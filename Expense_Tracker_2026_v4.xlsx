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Dashboard" sheetId="2" state="visible" r:id="rId4"/>
    <sheet name="Accounts" sheetId="3" state="visible" r:id="rId5"/>
    <sheet name="Expenses" sheetId="4" state="visible" r:id="rId6"/>
    <sheet name="Income" sheetId="5" state="visible" r:id="rId7"/>
    <sheet name="Transfers" sheetId="6" state="visible" r:id="rId8"/>
    <sheet name="Balances" sheetId="7" state="visible" r:id="rId9"/>
    <sheet name="Monthly Overview GBP" sheetId="8" state="visible" r:id="rId10"/>
    <sheet name="Monthly Overview INR" sheetId="9" state="visible" r:id="rId11"/>
    <sheet name="Cashflow GBP" sheetId="10" state="visible" r:id="rId12"/>
    <sheet name="Cashflow INR" sheetId="11" state="visible" r:id="rId13"/>
    <sheet name="Itemised GBP" sheetId="12" state="visible" r:id="rId14"/>
    <sheet name="Itemised INR" sheetId="13" state="visible" r:id="rId15"/>
    <sheet name="Debt Tracker" sheetId="14" state="visible" r:id="rId16"/>
    <sheet name="Savings Goals" sheetId="15" state="visible" r:id="rId17"/>
    <sheet name="Recurring Forecast" sheetId="16" state="visible" r:id="rId18"/>
    <sheet name="Year-on-Year" sheetId="17" state="visible" r:id="rId19"/>
    <sheet name="Currency Conversion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<sst xmlns="http://schemas.openxmlformats.org/spreadsheetml/2006/main" count="432" uniqueCount="220">
  <si>
    <t xml:space="preserve">SETTINGS &amp; CONFIGURATION</t>
  </si>
  <si>
    <t xml:space="preserve">Parameter</t>
  </si>
  <si>
    <t xml:space="preserve">Value</t>
  </si>
  <si>
    <t xml:space="preserve">Description</t>
  </si>
  <si>
    <t xml:space="preserve">Tracker Year</t>
  </si>
  <si>
    <t xml:space="preserve">Year for all calculations</t>
  </si>
  <si>
    <t xml:space="preserve">GBP to INR Exchange Rate</t>
  </si>
  <si>
    <t xml:space="preserve">Update manually as needed</t>
  </si>
  <si>
    <t xml:space="preserve">INR to GBP Exchange Rate</t>
  </si>
  <si>
    <t xml:space="preserve">Auto-calculated</t>
  </si>
  <si>
    <t xml:space="preserve">Default Currency</t>
  </si>
  <si>
    <t xml:space="preserve">GBP</t>
  </si>
  <si>
    <t xml:space="preserve">Your primary currency</t>
  </si>
  <si>
    <t xml:space="preserve">Date Format</t>
  </si>
  <si>
    <t xml:space="preserve">DD/MM/YYYY</t>
  </si>
  <si>
    <t xml:space="preserve">Used across all sheets</t>
  </si>
  <si>
    <t xml:space="preserve">Budget Alert Threshold</t>
  </si>
  <si>
    <t xml:space="preserve">Warn at 80% of budget (0.0 to 1.0)</t>
  </si>
  <si>
    <t xml:space="preserve">Version</t>
  </si>
  <si>
    <t xml:space="preserve">4.0</t>
  </si>
  <si>
    <t xml:space="preserve">Last Updated</t>
  </si>
  <si>
    <t xml:space="preserve">FINANCIAL DASHBOARD</t>
  </si>
  <si>
    <t xml:space="preserve">Year 2026 — Quick Snapshot</t>
  </si>
  <si>
    <t xml:space="preserve">THIS MONTH</t>
  </si>
  <si>
    <t xml:space="preserve">GBP Expenses</t>
  </si>
  <si>
    <t xml:space="preserve">GBP Income</t>
  </si>
  <si>
    <t xml:space="preserve">INR Expenses</t>
  </si>
  <si>
    <t xml:space="preserve">INR Income</t>
  </si>
  <si>
    <t xml:space="preserve">GBP Net Savings</t>
  </si>
  <si>
    <t xml:space="preserve">INR Net Savings</t>
  </si>
  <si>
    <t xml:space="preserve">ACCOUNT BALANCES SUMMARY</t>
  </si>
  <si>
    <t xml:space="preserve">Total GBP Assets</t>
  </si>
  <si>
    <t xml:space="preserve">Total GBP CC Debt</t>
  </si>
  <si>
    <t xml:space="preserve">Total INR Assets</t>
  </si>
  <si>
    <t xml:space="preserve">Total INR CC Debt</t>
  </si>
  <si>
    <t xml:space="preserve">Combined GBP Equivalent</t>
  </si>
  <si>
    <t xml:space="preserve">YEAR TO DATE</t>
  </si>
  <si>
    <t xml:space="preserve">YTD GBP Expenses</t>
  </si>
  <si>
    <t xml:space="preserve">YTD GBP Income</t>
  </si>
  <si>
    <t xml:space="preserve">YTD INR Expenses</t>
  </si>
  <si>
    <t xml:space="preserve">YTD INR Income</t>
  </si>
  <si>
    <t xml:space="preserve">TOP SPENDING CATEGORIES (GBP - This Month)</t>
  </si>
  <si>
    <t xml:space="preserve">Rent</t>
  </si>
  <si>
    <t xml:space="preserve">Transport</t>
  </si>
  <si>
    <t xml:space="preserve">Travel</t>
  </si>
  <si>
    <t xml:space="preserve">Shopping</t>
  </si>
  <si>
    <t xml:space="preserve">Electronics</t>
  </si>
  <si>
    <t xml:space="preserve">Subscriptions</t>
  </si>
  <si>
    <t xml:space="preserve">Bills</t>
  </si>
  <si>
    <t xml:space="preserve">Entertainment</t>
  </si>
  <si>
    <t xml:space="preserve">Food and Drinks</t>
  </si>
  <si>
    <t xml:space="preserve">Groceries</t>
  </si>
  <si>
    <t xml:space="preserve">Others</t>
  </si>
  <si>
    <t xml:space="preserve">Gifts</t>
  </si>
  <si>
    <t xml:space="preserve">Donations</t>
  </si>
  <si>
    <t xml:space="preserve">Investments</t>
  </si>
  <si>
    <t xml:space="preserve">MASTER ACCOUNT LIST</t>
  </si>
  <si>
    <t xml:space="preserve">Account Name</t>
  </si>
  <si>
    <t xml:space="preserve">Account Type</t>
  </si>
  <si>
    <t xml:space="preserve">Currency</t>
  </si>
  <si>
    <t xml:space="preserve">Card Last 4 Digits</t>
  </si>
  <si>
    <t xml:space="preserve">Bank/Provider</t>
  </si>
  <si>
    <t xml:space="preserve">Opening Balance / Credit Limit</t>
  </si>
  <si>
    <t xml:space="preserve">Status</t>
  </si>
  <si>
    <t xml:space="preserve">Date Opened</t>
  </si>
  <si>
    <t xml:space="preserve">Notes</t>
  </si>
  <si>
    <t xml:space="preserve">Lloyds Bank (GBP)</t>
  </si>
  <si>
    <t xml:space="preserve">Bank Account</t>
  </si>
  <si>
    <t xml:space="preserve">Active</t>
  </si>
  <si>
    <t xml:space="preserve">HSBC Bank (GBP)</t>
  </si>
  <si>
    <t xml:space="preserve">Barclays Bank (GBP)</t>
  </si>
  <si>
    <t xml:space="preserve">Halifax Bank (GBP)</t>
  </si>
  <si>
    <t xml:space="preserve">Klarna Pay (GBP)</t>
  </si>
  <si>
    <t xml:space="preserve">Pay Later</t>
  </si>
  <si>
    <t xml:space="preserve">Capitol One Credit Card (GBP)</t>
  </si>
  <si>
    <t xml:space="preserve">Credit Card</t>
  </si>
  <si>
    <t xml:space="preserve">HSBC Rewards Credit Card (GBP)</t>
  </si>
  <si>
    <t xml:space="preserve">Barclays Rewards Credit Card (GBP)</t>
  </si>
  <si>
    <t xml:space="preserve">Klarna Pay Later (GBP)</t>
  </si>
  <si>
    <t xml:space="preserve">Splitwise (GBP)</t>
  </si>
  <si>
    <t xml:space="preserve">Expense Sharing</t>
  </si>
  <si>
    <t xml:space="preserve">Oyster Travel Card (GBP)</t>
  </si>
  <si>
    <t xml:space="preserve">Travel Card</t>
  </si>
  <si>
    <t xml:space="preserve">HDFC Bank (INR)</t>
  </si>
  <si>
    <t xml:space="preserve">INR</t>
  </si>
  <si>
    <t xml:space="preserve">HDFC IOCL Credit Card (INR)</t>
  </si>
  <si>
    <t xml:space="preserve">HDFC Swiggy Credit Card (INR)</t>
  </si>
  <si>
    <t xml:space="preserve">Axis Airtel Credit Card (INR)</t>
  </si>
  <si>
    <t xml:space="preserve">EXPENSE TRACKER</t>
  </si>
  <si>
    <t xml:space="preserve">Date</t>
  </si>
  <si>
    <t xml:space="preserve">Name/Description</t>
  </si>
  <si>
    <t xml:space="preserve">Category</t>
  </si>
  <si>
    <t xml:space="preserve">Price</t>
  </si>
  <si>
    <t xml:space="preserve">Transaction Gateway</t>
  </si>
  <si>
    <t xml:space="preserve">Splitwise</t>
  </si>
  <si>
    <t xml:space="preserve">Your Share</t>
  </si>
  <si>
    <t xml:space="preserve">Recurring</t>
  </si>
  <si>
    <t xml:space="preserve">INCOME TRACKER</t>
  </si>
  <si>
    <t xml:space="preserve">Date of Credit</t>
  </si>
  <si>
    <t xml:space="preserve">Company</t>
  </si>
  <si>
    <t xml:space="preserve">Amount</t>
  </si>
  <si>
    <t xml:space="preserve">Bank Account Credited</t>
  </si>
  <si>
    <t xml:space="preserve">Pay Cycle Start</t>
  </si>
  <si>
    <t xml:space="preserve">Pay Cycle End</t>
  </si>
  <si>
    <t xml:space="preserve">TRANSFERS (Credit Card Payments &amp; Top-ups)</t>
  </si>
  <si>
    <t xml:space="preserve">To Account</t>
  </si>
  <si>
    <t xml:space="preserve">From Account</t>
  </si>
  <si>
    <t xml:space="preserve">ACCOUNT BALANCES</t>
  </si>
  <si>
    <t xml:space="preserve">Account</t>
  </si>
  <si>
    <t xml:space="preserve">Type</t>
  </si>
  <si>
    <t xml:space="preserve">Total Credits</t>
  </si>
  <si>
    <t xml:space="preserve">Total Debits</t>
  </si>
  <si>
    <t xml:space="preserve">Current Balance / Available Credit</t>
  </si>
  <si>
    <t xml:space="preserve">DASHBOARD SUMMARY</t>
  </si>
  <si>
    <t xml:space="preserve">Total GBP Bank Assets</t>
  </si>
  <si>
    <t xml:space="preserve">Total GBP Credit Card Debt</t>
  </si>
  <si>
    <t xml:space="preserve">Total INR Bank Assets</t>
  </si>
  <si>
    <t xml:space="preserve">Total INR Credit Card Debt</t>
  </si>
  <si>
    <t xml:space="preserve">Exchange Rate (GBP to INR)</t>
  </si>
  <si>
    <t xml:space="preserve">Approx Combined GBP Equivalent</t>
  </si>
  <si>
    <t xml:space="preserve">MONTHLY OVERVIEW (GBP)</t>
  </si>
  <si>
    <t xml:space="preserve">Month</t>
  </si>
  <si>
    <t xml:space="preserve">Total Expenditure</t>
  </si>
  <si>
    <t xml:space="preserve">Income</t>
  </si>
  <si>
    <t xml:space="preserve">Gross Savings</t>
  </si>
  <si>
    <t xml:space="preserve">January 2026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</si>
  <si>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</si>
  <si>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</si>
  <si>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</si>
  <si>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</si>
  <si>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</si>
  <si>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</si>
  <si>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</si>
  <si>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</si>
  <si>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</si>
  <si>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</si>
  <si>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</si>
  <si>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Total</t>
  </si>
  <si>
    <t xml:space="preserve">Monthly Budget</t>
  </si>
  <si>
    <t xml:space="preserve">Yearly Breakdown</t>
  </si>
  <si>
    <t xml:space="preserve">MONTHLY OVERVIEW (INR)</t>
  </si>
  <si>
    <t xml:space="preserve">CASHFLOW (GBP) - Daily Running Balance</t>
  </si>
  <si>
    <t xml:space="preserve">Week</t>
  </si>
  <si>
    <t xml:space="preserve">Starting Balance</t>
  </si>
  <si>
    <t xml:space="preserve">Day Total +/-</t>
  </si>
  <si>
    <t xml:space="preserve">Income (+)</t>
  </si>
  <si>
    <t xml:space="preserve">Expenses (-)</t>
  </si>
  <si>
    <t xml:space="preserve">Ending Balance</t>
  </si>
  <si>
    <t xml:space="preserve">CASHFLOW (INR) - Daily Running Balance</t>
  </si>
  <si>
    <t xml:space="preserve">ITEMISED WEEKLY VIEW (GBP)</t>
  </si>
  <si>
    <t xml:space="preserve">Week
Commencing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</si>
  <si>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</si>
  <si>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</si>
  <si>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</si>
  <si>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</si>
  <si>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</si>
  <si>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</si>
  <si>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</si>
  <si>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
No</t>
  </si>
  <si>
    <t xml:space="preserve">Total for
Week</t>
  </si>
  <si>
    <t xml:space="preserve">ITEMISED WEEKLY VIEW (INR)</t>
  </si>
  <si>
    <t xml:space="preserve">DEBT &amp; LOAN TRACKER</t>
  </si>
  <si>
    <t xml:space="preserve">Debt Name</t>
  </si>
  <si>
    <t xml:space="preserve">Lender/Provider</t>
  </si>
  <si>
    <t xml:space="preserve">Total Amount</t>
  </si>
  <si>
    <t xml:space="preserve">Interest Rate (%)</t>
  </si>
  <si>
    <t xml:space="preserve">Monthly EMI</t>
  </si>
  <si>
    <t xml:space="preserve">Start Date</t>
  </si>
  <si>
    <t xml:space="preserve">End Date</t>
  </si>
  <si>
    <t xml:space="preserve">Months Remaining</t>
  </si>
  <si>
    <t xml:space="preserve">Total Paid</t>
  </si>
  <si>
    <t xml:space="preserve">Remaining Balance</t>
  </si>
  <si>
    <t xml:space="preserve">TOTAL</t>
  </si>
  <si>
    <t xml:space="preserve">SAVINGS GOALS TRACKER</t>
  </si>
  <si>
    <t xml:space="preserve">Goal Name</t>
  </si>
  <si>
    <t xml:space="preserve">Target Amount</t>
  </si>
  <si>
    <t xml:space="preserve">Deadline</t>
  </si>
  <si>
    <t xml:space="preserve">Current Savings</t>
  </si>
  <si>
    <t xml:space="preserve">Progress (%)</t>
  </si>
  <si>
    <t xml:space="preserve">Remaining</t>
  </si>
  <si>
    <t xml:space="preserve">On Track?</t>
  </si>
  <si>
    <t xml:space="preserve">RECURRING EXPENSES FORECAST</t>
  </si>
  <si>
    <t xml:space="preserve">Expense Name</t>
  </si>
  <si>
    <t xml:space="preserve">Monthly Amount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</si>
  <si>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</si>
  <si>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</si>
  <si>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</si>
  <si>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</si>
  <si>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</si>
  <si>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</si>
  <si>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</si>
  <si>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</si>
  <si>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</si>
  <si>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</si>
  <si>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</si>
  <si>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</si>
  <si>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MONTHLY TOTAL</t>
  </si>
  <si>
    <t xml:space="preserve">ANNUAL TOTAL</t>
  </si>
  <si>
    <t xml:space="preserve">YEAR-ON-YEAR COMPARISON</t>
  </si>
  <si>
    <t xml:space="preserve">Instructions:</t>
  </si>
  <si>
    <t xml:space="preserve">This sheet compares current year vs previous year.</t>
  </si>
  <si>
    <t xml:space="preserve">Enter previous year totals manually in the blue cells. Current year pulls automatically.</t>
  </si>
  <si>
    <t xml:space="preserve">2025 (GBP)</t>
  </si>
  <si>
    <t xml:space="preserve">2026 (GBP)</t>
  </si>
  <si>
    <t xml:space="preserve">Change (GBP)</t>
  </si>
  <si>
    <t xml:space="preserve">Change (%)</t>
  </si>
  <si>
    <t xml:space="preserve">2025 (INR)</t>
  </si>
  <si>
    <t xml:space="preserve">2026 (INR)</t>
  </si>
  <si>
    <t xml:space="preserve">Change (INR)</t>
  </si>
  <si>
    <t xml:space="preserve">CURRENCY CONVERSION LOG</t>
  </si>
  <si>
    <t xml:space="preserve">From Currency</t>
  </si>
  <si>
    <t xml:space="preserve">To Currency</t>
  </si>
  <si>
    <t xml:space="preserve">Amount Sent</t>
  </si>
  <si>
    <t xml:space="preserve">Exchange Rate</t>
  </si>
  <si>
    <t xml:space="preserve">Amount Received</t>
  </si>
  <si>
    <t xml:space="preserve">Fee/Charges</t>
  </si>
  <si>
    <t xml:space="preserve">Provider/Service</t>
  </si>
  <si>
    <t xml:space="preserve">Average Rate</t>
  </si>
  <si>
    <t xml:space="preserve">Total Sent</t>
  </si>
  <si>
    <t xml:space="preserve">Total Fees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</si>
</sst>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00"/>
    <numFmt numFmtId="166" formatCode="0.0%"/>
    <numFmt numFmtId="167" formatCode="dd/mm/yyyy"/>
    <numFmt numFmtId="168" formatCode="#,##0.00"/>
    <numFmt numFmtId="169" formatCode="\£#,##0.00"/>
    <numFmt numFmtId="170" formatCode="\₹#,##0.00"/>
    <numFmt numFmtId="171" formatCode="dd\ mmm\ yy"/>
    <numFmt numFmtId="172" formatCode="0.00%"/>
    <numFmt numFmtId="173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12"/>
      <color rgb="FF66666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404040"/>
      </patternFill>
    </fill>
    <fill>
      <patternFill patternType="solid">
        <fgColor rgb="FFD6E4F0"/>
        <bgColor rgb="FFD9D9D9"/>
      </patternFill>
    </fill>
    <fill>
      <patternFill patternType="solid">
        <fgColor rgb="FF7030A0"/>
        <bgColor rgb="FF6A5286"/>
      </patternFill>
    </fill>
    <fill>
      <patternFill patternType="solid">
        <fgColor rgb="FFFFC000"/>
        <bgColor rgb="FFF79646"/>
      </patternFill>
    </fill>
    <fill>
      <patternFill patternType="solid">
        <fgColor rgb="FF375623"/>
        <bgColor rgb="FF404040"/>
      </patternFill>
    </fill>
    <fill>
      <patternFill patternType="solid">
        <fgColor rgb="FF800000"/>
        <bgColor rgb="FF800000"/>
      </patternFill>
    </fill>
    <fill>
      <patternFill patternType="solid">
        <fgColor rgb="FF4472C4"/>
        <bgColor rgb="FF4A7EBB"/>
      </patternFill>
    </fill>
    <fill>
      <patternFill patternType="solid">
        <fgColor rgb="FFF2F2F2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008000"/>
        <bgColor rgb="FF008080"/>
      </patternFill>
    </fill>
    <fill>
      <patternFill patternType="solid">
        <fgColor rgb="FFED7D31"/>
        <bgColor rgb="FFCC7C3A"/>
      </patternFill>
    </fill>
    <fill>
      <patternFill patternType="solid">
        <fgColor rgb="FF2E75B6"/>
        <bgColor rgb="FF4472C4"/>
      </patternFill>
    </fill>
    <fill>
      <patternFill patternType="solid">
        <fgColor rgb="FF00B050"/>
        <bgColor rgb="FF008080"/>
      </patternFill>
    </fill>
    <fill>
      <patternFill patternType="solid">
        <fgColor rgb="FFBF8F00"/>
        <bgColor rgb="FFCC7C3A"/>
      </patternFill>
    </fill>
    <fill>
      <patternFill patternType="solid">
        <fgColor rgb="FF5B9BD5"/>
        <bgColor rgb="FF4BACC6"/>
      </patternFill>
    </fill>
    <fill>
      <patternFill patternType="solid">
        <fgColor rgb="FF008080"/>
        <bgColor rgb="FF007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8F00"/>
      <rgbColor rgb="FF4A7EBB"/>
      <rgbColor rgb="FF008080"/>
      <rgbColor rgb="FFAABAD7"/>
      <rgbColor rgb="FF878787"/>
      <rgbColor rgb="FF5B9BD5"/>
      <rgbColor rgb="FF9F423F"/>
      <rgbColor rgb="FFFFF2CC"/>
      <rgbColor rgb="FFD6E4F0"/>
      <rgbColor rgb="FF666666"/>
      <rgbColor rgb="FFED7D31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2E75B6"/>
      <rgbColor rgb="FF0000FF"/>
      <rgbColor rgb="FF00B050"/>
      <rgbColor rgb="FFF2F2F2"/>
      <rgbColor rgb="FFC6EFCE"/>
      <rgbColor rgb="FFF9F9F9"/>
      <rgbColor rgb="FF4F81BD"/>
      <rgbColor rgb="FFD8AAA9"/>
      <rgbColor rgb="FFCC7C3A"/>
      <rgbColor rgb="FFFFC7CE"/>
      <rgbColor rgb="FF4472C4"/>
      <rgbColor rgb="FF4BACC6"/>
      <rgbColor rgb="FF9BBB59"/>
      <rgbColor rgb="FFFFC000"/>
      <rgbColor rgb="FFF79646"/>
      <rgbColor rgb="FFFF6600"/>
      <rgbColor rgb="FF8064A2"/>
      <rgbColor rgb="FF809B49"/>
      <rgbColor rgb="FF1F3864"/>
      <rgbColor rgb="FF3E8EA4"/>
      <rgbColor rgb="FF416A9C"/>
      <rgbColor rgb="FF375623"/>
      <rgbColor rgb="FFC0504D"/>
      <rgbColor rgb="FF7030A0"/>
      <rgbColor rgb="FF6A528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'Monthly Overview GBP'!P2</c:f>
              <c:strCache>
                <c:ptCount val="1"/>
                <c:pt idx="0">
                  <c:v>Total Expenditure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Overview GBP'!$A$3:$A$14</c:f>
              <c:strCache>
                <c:ptCount val="12"/>
                <c:pt idx="0">
                  <c:v>January 2026</c:v>
                </c:pt>
                <c:pt idx="1">
                  <c:v>February 2026</c:v>
                </c:pt>
                <c:pt idx="2">
                  <c:v>March 2026</c:v>
                </c:pt>
                <c:pt idx="3">
                  <c:v>April 2026</c:v>
                </c:pt>
                <c:pt idx="4">
                  <c:v>May 2026</c:v>
                </c:pt>
                <c:pt idx="5">
                  <c:v>June 2026</c:v>
                </c:pt>
                <c:pt idx="6">
                  <c:v>July 2026</c:v>
                </c:pt>
                <c:pt idx="7">
                  <c:v>August 2026</c:v>
                </c:pt>
                <c:pt idx="8">
                  <c:v>September 2026</c:v>
                </c:pt>
                <c:pt idx="9">
                  <c:v>October 2026</c:v>
                </c:pt>
                <c:pt idx="10">
                  <c:v>November 2026</c:v>
                </c:pt>
                <c:pt idx="11">
                  <c:v>December 2026</c:v>
                </c:pt>
              </c:strCache>
            </c:strRef>
          </c:cat>
          <c:val>
            <c:numRef>
              <c:f>'Monthly Overview GBP'!$P$3:$P$14</c:f>
              <c:numCache>
                <c:formatCode>\£#,##0.00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4320936"/>
        <c:axId val="69941979"/>
      </c:barChart>
      <c:catAx>
        <c:axId val="1432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41979"/>
        <c:crosses val="autoZero"/>
        <c:auto val="1"/>
        <c:lblAlgn val="ctr"/>
        <c:lblOffset val="100"/>
        <c:noMultiLvlLbl val="0"/>
      </c:catAx>
      <c:valAx>
        <c:axId val="69941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209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16a9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f423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09b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6a528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3e8ea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cc7c3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1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2"/>
            <c:spPr>
              <a:solidFill>
                <a:srgbClr val="aabad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3"/>
            <c:spPr>
              <a:solidFill>
                <a:srgbClr val="d8aaa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'Monthly Overview GBP'!$B$2:$O$2</c:f>
              <c:strCache>
                <c:ptCount val="14"/>
                <c:pt idx="0">
                  <c:v>Rent</c:v>
                </c:pt>
                <c:pt idx="1">
                  <c:v>Transport</c:v>
                </c:pt>
                <c:pt idx="2">
                  <c:v>Travel</c:v>
                </c:pt>
                <c:pt idx="3">
                  <c:v>Shopping</c:v>
                </c:pt>
                <c:pt idx="4">
                  <c:v>Electronics</c:v>
                </c:pt>
                <c:pt idx="5">
                  <c:v>Subscriptions</c:v>
                </c:pt>
                <c:pt idx="6">
                  <c:v>Bills</c:v>
                </c:pt>
                <c:pt idx="7">
                  <c:v>Entertainment</c:v>
                </c:pt>
                <c:pt idx="8">
                  <c:v>Food and Drinks</c:v>
                </c:pt>
                <c:pt idx="9">
                  <c:v>Groceries</c:v>
                </c:pt>
                <c:pt idx="10">
                  <c:v>Others</c:v>
                </c:pt>
                <c:pt idx="11">
                  <c:v>Gifts</c:v>
                </c:pt>
                <c:pt idx="12">
                  <c:v>Donations</c:v>
                </c:pt>
                <c:pt idx="13">
                  <c:v>Investments</c:v>
                </c:pt>
              </c:strCache>
            </c:strRef>
          </c:cat>
          <c:val>
            <c:numRef>
              <c:f>'Monthly Overview GBP'!$B$16:$O$16</c:f>
              <c:numCache>
                <c:formatCode>\£#,##0.00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'Monthly Overview INR'!P2</c:f>
              <c:strCache>
                <c:ptCount val="1"/>
                <c:pt idx="0">
                  <c:v>Total Expenditure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Overview INR'!$A$3:$A$14</c:f>
              <c:strCache>
                <c:ptCount val="12"/>
                <c:pt idx="0">
                  <c:v>January 2026</c:v>
                </c:pt>
                <c:pt idx="1">
                  <c:v>February 2026</c:v>
                </c:pt>
                <c:pt idx="2">
                  <c:v>March 2026</c:v>
                </c:pt>
                <c:pt idx="3">
                  <c:v>April 2026</c:v>
                </c:pt>
                <c:pt idx="4">
                  <c:v>May 2026</c:v>
                </c:pt>
                <c:pt idx="5">
                  <c:v>June 2026</c:v>
                </c:pt>
                <c:pt idx="6">
                  <c:v>July 2026</c:v>
                </c:pt>
                <c:pt idx="7">
                  <c:v>August 2026</c:v>
                </c:pt>
                <c:pt idx="8">
                  <c:v>September 2026</c:v>
                </c:pt>
                <c:pt idx="9">
                  <c:v>October 2026</c:v>
                </c:pt>
                <c:pt idx="10">
                  <c:v>November 2026</c:v>
                </c:pt>
                <c:pt idx="11">
                  <c:v>December 2026</c:v>
                </c:pt>
              </c:strCache>
            </c:strRef>
          </c:cat>
          <c:val>
            <c:numRef>
              <c:f>'Monthly Overview INR'!$P$3:$P$14</c:f>
              <c:numCache>
                <c:formatCode>\₹#,##0.00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1995717"/>
        <c:axId val="45765085"/>
      </c:barChart>
      <c:catAx>
        <c:axId val="319957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65085"/>
        <c:crosses val="autoZero"/>
        <c:auto val="1"/>
        <c:lblAlgn val="ctr"/>
        <c:lblOffset val="100"/>
        <c:noMultiLvlLbl val="0"/>
      </c:catAx>
      <c:valAx>
        <c:axId val="45765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957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16a9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f423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09b4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6a528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3e8ea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cc7c3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1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2"/>
            <c:spPr>
              <a:solidFill>
                <a:srgbClr val="aabad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3"/>
            <c:spPr>
              <a:solidFill>
                <a:srgbClr val="d8aaa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'Monthly Overview INR'!$B$2:$O$2</c:f>
              <c:strCache>
                <c:ptCount val="14"/>
                <c:pt idx="0">
                  <c:v>Rent</c:v>
                </c:pt>
                <c:pt idx="1">
                  <c:v>Transport</c:v>
                </c:pt>
                <c:pt idx="2">
                  <c:v>Travel</c:v>
                </c:pt>
                <c:pt idx="3">
                  <c:v>Shopping</c:v>
                </c:pt>
                <c:pt idx="4">
                  <c:v>Electronics</c:v>
                </c:pt>
                <c:pt idx="5">
                  <c:v>Subscriptions</c:v>
                </c:pt>
                <c:pt idx="6">
                  <c:v>Bills</c:v>
                </c:pt>
                <c:pt idx="7">
                  <c:v>Entertainment</c:v>
                </c:pt>
                <c:pt idx="8">
                  <c:v>Food and Drinks</c:v>
                </c:pt>
                <c:pt idx="9">
                  <c:v>Groceries</c:v>
                </c:pt>
                <c:pt idx="10">
                  <c:v>Others</c:v>
                </c:pt>
                <c:pt idx="11">
                  <c:v>Gifts</c:v>
                </c:pt>
                <c:pt idx="12">
                  <c:v>Donations</c:v>
                </c:pt>
                <c:pt idx="13">
                  <c:v>Investments</c:v>
                </c:pt>
              </c:strCache>
            </c:strRef>
          </c:cat>
          <c:val>
            <c:numRef>
              <c:f>'Monthly Overview INR'!$B$16:$O$16</c:f>
              <c:numCache>
                <c:formatCode>\₹#,##0.00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Trend (GBP)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'Cashflow GBP'!G2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'Cashflow GBP'!$B$3:$B$367</c:f>
              <c:strCache>
                <c:ptCount val="365"/>
                <c:pt idx="0">
                  <c:v>01 Jan 26</c:v>
                </c:pt>
                <c:pt idx="1">
                  <c:v>02 Jan 26</c:v>
                </c:pt>
                <c:pt idx="2">
                  <c:v>03 Jan 26</c:v>
                </c:pt>
                <c:pt idx="3">
                  <c:v>04 Jan 26</c:v>
                </c:pt>
                <c:pt idx="4">
                  <c:v>05 Jan 26</c:v>
                </c:pt>
                <c:pt idx="5">
                  <c:v>06 Jan 26</c:v>
                </c:pt>
                <c:pt idx="6">
                  <c:v>07 Jan 26</c:v>
                </c:pt>
                <c:pt idx="7">
                  <c:v>08 Jan 26</c:v>
                </c:pt>
                <c:pt idx="8">
                  <c:v>09 Jan 26</c:v>
                </c:pt>
                <c:pt idx="9">
                  <c:v>10 Jan 26</c:v>
                </c:pt>
                <c:pt idx="10">
                  <c:v>11 Jan 26</c:v>
                </c:pt>
                <c:pt idx="11">
                  <c:v>12 Jan 26</c:v>
                </c:pt>
                <c:pt idx="12">
                  <c:v>13 Jan 26</c:v>
                </c:pt>
                <c:pt idx="13">
                  <c:v>14 Jan 26</c:v>
                </c:pt>
                <c:pt idx="14">
                  <c:v>15 Jan 26</c:v>
                </c:pt>
                <c:pt idx="15">
                  <c:v>16 Jan 26</c:v>
                </c:pt>
                <c:pt idx="16">
                  <c:v>17 Jan 26</c:v>
                </c:pt>
                <c:pt idx="17">
                  <c:v>18 Jan 26</c:v>
                </c:pt>
                <c:pt idx="18">
                  <c:v>19 Jan 26</c:v>
                </c:pt>
                <c:pt idx="19">
                  <c:v>20 Jan 26</c:v>
                </c:pt>
                <c:pt idx="20">
                  <c:v>21 Jan 26</c:v>
                </c:pt>
                <c:pt idx="21">
                  <c:v>22 Jan 26</c:v>
                </c:pt>
                <c:pt idx="22">
                  <c:v>23 Jan 26</c:v>
                </c:pt>
                <c:pt idx="23">
                  <c:v>24 Jan 26</c:v>
                </c:pt>
                <c:pt idx="24">
                  <c:v>25 Jan 26</c:v>
                </c:pt>
                <c:pt idx="25">
                  <c:v>26 Jan 26</c:v>
                </c:pt>
                <c:pt idx="26">
                  <c:v>27 Jan 26</c:v>
                </c:pt>
                <c:pt idx="27">
                  <c:v>28 Jan 26</c:v>
                </c:pt>
                <c:pt idx="28">
                  <c:v>29 Jan 26</c:v>
                </c:pt>
                <c:pt idx="29">
                  <c:v>30 Jan 26</c:v>
                </c:pt>
                <c:pt idx="30">
                  <c:v>31 Jan 26</c:v>
                </c:pt>
                <c:pt idx="31">
                  <c:v>01 Feb 26</c:v>
                </c:pt>
                <c:pt idx="32">
                  <c:v>02 Feb 26</c:v>
                </c:pt>
                <c:pt idx="33">
                  <c:v>03 Feb 26</c:v>
                </c:pt>
                <c:pt idx="34">
                  <c:v>04 Feb 26</c:v>
                </c:pt>
                <c:pt idx="35">
                  <c:v>05 Feb 26</c:v>
                </c:pt>
                <c:pt idx="36">
                  <c:v>06 Feb 26</c:v>
                </c:pt>
                <c:pt idx="37">
                  <c:v>07 Feb 26</c:v>
                </c:pt>
                <c:pt idx="38">
                  <c:v>08 Feb 26</c:v>
                </c:pt>
                <c:pt idx="39">
                  <c:v>09 Feb 26</c:v>
                </c:pt>
                <c:pt idx="40">
                  <c:v>10 Feb 26</c:v>
                </c:pt>
                <c:pt idx="41">
                  <c:v>11 Feb 26</c:v>
                </c:pt>
                <c:pt idx="42">
                  <c:v>12 Feb 26</c:v>
                </c:pt>
                <c:pt idx="43">
                  <c:v>13 Feb 26</c:v>
                </c:pt>
                <c:pt idx="44">
                  <c:v>14 Feb 26</c:v>
                </c:pt>
                <c:pt idx="45">
                  <c:v>15 Feb 26</c:v>
                </c:pt>
                <c:pt idx="46">
                  <c:v>16 Feb 26</c:v>
                </c:pt>
                <c:pt idx="47">
                  <c:v>17 Feb 26</c:v>
                </c:pt>
                <c:pt idx="48">
                  <c:v>18 Feb 26</c:v>
                </c:pt>
                <c:pt idx="49">
                  <c:v>19 Feb 26</c:v>
                </c:pt>
                <c:pt idx="50">
                  <c:v>20 Feb 26</c:v>
                </c:pt>
                <c:pt idx="51">
                  <c:v>21 Feb 26</c:v>
                </c:pt>
                <c:pt idx="52">
                  <c:v>22 Feb 26</c:v>
                </c:pt>
                <c:pt idx="53">
                  <c:v>23 Feb 26</c:v>
                </c:pt>
                <c:pt idx="54">
                  <c:v>24 Feb 26</c:v>
                </c:pt>
                <c:pt idx="55">
                  <c:v>25 Feb 26</c:v>
                </c:pt>
                <c:pt idx="56">
                  <c:v>26 Feb 26</c:v>
                </c:pt>
                <c:pt idx="57">
                  <c:v>27 Feb 26</c:v>
                </c:pt>
                <c:pt idx="58">
                  <c:v>28 Feb 26</c:v>
                </c:pt>
                <c:pt idx="59">
                  <c:v>01 Mar 26</c:v>
                </c:pt>
                <c:pt idx="60">
                  <c:v>02 Mar 26</c:v>
                </c:pt>
                <c:pt idx="61">
                  <c:v>03 Mar 26</c:v>
                </c:pt>
                <c:pt idx="62">
                  <c:v>04 Mar 26</c:v>
                </c:pt>
                <c:pt idx="63">
                  <c:v>05 Mar 26</c:v>
                </c:pt>
                <c:pt idx="64">
                  <c:v>06 Mar 26</c:v>
                </c:pt>
                <c:pt idx="65">
                  <c:v>07 Mar 26</c:v>
                </c:pt>
                <c:pt idx="66">
                  <c:v>08 Mar 26</c:v>
                </c:pt>
                <c:pt idx="67">
                  <c:v>09 Mar 26</c:v>
                </c:pt>
                <c:pt idx="68">
                  <c:v>10 Mar 26</c:v>
                </c:pt>
                <c:pt idx="69">
                  <c:v>11 Mar 26</c:v>
                </c:pt>
                <c:pt idx="70">
                  <c:v>12 Mar 26</c:v>
                </c:pt>
                <c:pt idx="71">
                  <c:v>13 Mar 26</c:v>
                </c:pt>
                <c:pt idx="72">
                  <c:v>14 Mar 26</c:v>
                </c:pt>
                <c:pt idx="73">
                  <c:v>15 Mar 26</c:v>
                </c:pt>
                <c:pt idx="74">
                  <c:v>16 Mar 26</c:v>
                </c:pt>
                <c:pt idx="75">
                  <c:v>17 Mar 26</c:v>
                </c:pt>
                <c:pt idx="76">
                  <c:v>18 Mar 26</c:v>
                </c:pt>
                <c:pt idx="77">
                  <c:v>19 Mar 26</c:v>
                </c:pt>
                <c:pt idx="78">
                  <c:v>20 Mar 26</c:v>
                </c:pt>
                <c:pt idx="79">
                  <c:v>21 Mar 26</c:v>
                </c:pt>
                <c:pt idx="80">
                  <c:v>22 Mar 26</c:v>
                </c:pt>
                <c:pt idx="81">
                  <c:v>23 Mar 26</c:v>
                </c:pt>
                <c:pt idx="82">
                  <c:v>24 Mar 26</c:v>
                </c:pt>
                <c:pt idx="83">
                  <c:v>25 Mar 26</c:v>
                </c:pt>
                <c:pt idx="84">
                  <c:v>26 Mar 26</c:v>
                </c:pt>
                <c:pt idx="85">
                  <c:v>27 Mar 26</c:v>
                </c:pt>
                <c:pt idx="86">
                  <c:v>28 Mar 26</c:v>
                </c:pt>
                <c:pt idx="87">
                  <c:v>29 Mar 26</c:v>
                </c:pt>
                <c:pt idx="88">
                  <c:v>30 Mar 26</c:v>
                </c:pt>
                <c:pt idx="89">
                  <c:v>31 Mar 26</c:v>
                </c:pt>
                <c:pt idx="90">
                  <c:v>01 Apr 26</c:v>
                </c:pt>
                <c:pt idx="91">
                  <c:v>02 Apr 26</c:v>
                </c:pt>
                <c:pt idx="92">
                  <c:v>03 Apr 26</c:v>
                </c:pt>
                <c:pt idx="93">
                  <c:v>04 Apr 26</c:v>
                </c:pt>
                <c:pt idx="94">
                  <c:v>05 Apr 26</c:v>
                </c:pt>
                <c:pt idx="95">
                  <c:v>06 Apr 26</c:v>
                </c:pt>
                <c:pt idx="96">
                  <c:v>07 Apr 26</c:v>
                </c:pt>
                <c:pt idx="97">
                  <c:v>08 Apr 26</c:v>
                </c:pt>
                <c:pt idx="98">
                  <c:v>09 Apr 26</c:v>
                </c:pt>
                <c:pt idx="99">
                  <c:v>10 Apr 26</c:v>
                </c:pt>
                <c:pt idx="100">
                  <c:v>11 Apr 26</c:v>
                </c:pt>
                <c:pt idx="101">
                  <c:v>12 Apr 26</c:v>
                </c:pt>
                <c:pt idx="102">
                  <c:v>13 Apr 26</c:v>
                </c:pt>
                <c:pt idx="103">
                  <c:v>14 Apr 26</c:v>
                </c:pt>
                <c:pt idx="104">
                  <c:v>15 Apr 26</c:v>
                </c:pt>
                <c:pt idx="105">
                  <c:v>16 Apr 26</c:v>
                </c:pt>
                <c:pt idx="106">
                  <c:v>17 Apr 26</c:v>
                </c:pt>
                <c:pt idx="107">
                  <c:v>18 Apr 26</c:v>
                </c:pt>
                <c:pt idx="108">
                  <c:v>19 Apr 26</c:v>
                </c:pt>
                <c:pt idx="109">
                  <c:v>20 Apr 26</c:v>
                </c:pt>
                <c:pt idx="110">
                  <c:v>21 Apr 26</c:v>
                </c:pt>
                <c:pt idx="111">
                  <c:v>22 Apr 26</c:v>
                </c:pt>
                <c:pt idx="112">
                  <c:v>23 Apr 26</c:v>
                </c:pt>
                <c:pt idx="113">
                  <c:v>24 Apr 26</c:v>
                </c:pt>
                <c:pt idx="114">
                  <c:v>25 Apr 26</c:v>
                </c:pt>
                <c:pt idx="115">
                  <c:v>26 Apr 26</c:v>
                </c:pt>
                <c:pt idx="116">
                  <c:v>27 Apr 26</c:v>
                </c:pt>
                <c:pt idx="117">
                  <c:v>28 Apr 26</c:v>
                </c:pt>
                <c:pt idx="118">
                  <c:v>29 Apr 26</c:v>
                </c:pt>
                <c:pt idx="119">
                  <c:v>30 Apr 26</c:v>
                </c:pt>
                <c:pt idx="120">
                  <c:v>01 May 26</c:v>
                </c:pt>
                <c:pt idx="121">
                  <c:v>02 May 26</c:v>
                </c:pt>
                <c:pt idx="122">
                  <c:v>03 May 26</c:v>
                </c:pt>
                <c:pt idx="123">
                  <c:v>04 May 26</c:v>
                </c:pt>
                <c:pt idx="124">
                  <c:v>05 May 26</c:v>
                </c:pt>
                <c:pt idx="125">
                  <c:v>06 May 26</c:v>
                </c:pt>
                <c:pt idx="126">
                  <c:v>07 May 26</c:v>
                </c:pt>
                <c:pt idx="127">
                  <c:v>08 May 26</c:v>
                </c:pt>
                <c:pt idx="128">
                  <c:v>09 May 26</c:v>
                </c:pt>
                <c:pt idx="129">
                  <c:v>10 May 26</c:v>
                </c:pt>
                <c:pt idx="130">
                  <c:v>11 May 26</c:v>
                </c:pt>
                <c:pt idx="131">
                  <c:v>12 May 26</c:v>
                </c:pt>
                <c:pt idx="132">
                  <c:v>13 May 26</c:v>
                </c:pt>
                <c:pt idx="133">
                  <c:v>14 May 26</c:v>
                </c:pt>
                <c:pt idx="134">
                  <c:v>15 May 26</c:v>
                </c:pt>
                <c:pt idx="135">
                  <c:v>16 May 26</c:v>
                </c:pt>
                <c:pt idx="136">
                  <c:v>17 May 26</c:v>
                </c:pt>
                <c:pt idx="137">
                  <c:v>18 May 26</c:v>
                </c:pt>
                <c:pt idx="138">
                  <c:v>19 May 26</c:v>
                </c:pt>
                <c:pt idx="139">
                  <c:v>20 May 26</c:v>
                </c:pt>
                <c:pt idx="140">
                  <c:v>21 May 26</c:v>
                </c:pt>
                <c:pt idx="141">
                  <c:v>22 May 26</c:v>
                </c:pt>
                <c:pt idx="142">
                  <c:v>23 May 26</c:v>
                </c:pt>
                <c:pt idx="143">
                  <c:v>24 May 26</c:v>
                </c:pt>
                <c:pt idx="144">
                  <c:v>25 May 26</c:v>
                </c:pt>
                <c:pt idx="145">
                  <c:v>26 May 26</c:v>
                </c:pt>
                <c:pt idx="146">
                  <c:v>27 May 26</c:v>
                </c:pt>
                <c:pt idx="147">
                  <c:v>28 May 26</c:v>
                </c:pt>
                <c:pt idx="148">
                  <c:v>29 May 26</c:v>
                </c:pt>
                <c:pt idx="149">
                  <c:v>30 May 26</c:v>
                </c:pt>
                <c:pt idx="150">
                  <c:v>31 May 26</c:v>
                </c:pt>
                <c:pt idx="151">
                  <c:v>01 Jun 26</c:v>
                </c:pt>
                <c:pt idx="152">
                  <c:v>02 Jun 26</c:v>
                </c:pt>
                <c:pt idx="153">
                  <c:v>03 Jun 26</c:v>
                </c:pt>
                <c:pt idx="154">
                  <c:v>04 Jun 26</c:v>
                </c:pt>
                <c:pt idx="155">
                  <c:v>05 Jun 26</c:v>
                </c:pt>
                <c:pt idx="156">
                  <c:v>06 Jun 26</c:v>
                </c:pt>
                <c:pt idx="157">
                  <c:v>07 Jun 26</c:v>
                </c:pt>
                <c:pt idx="158">
                  <c:v>08 Jun 26</c:v>
                </c:pt>
                <c:pt idx="159">
                  <c:v>09 Jun 26</c:v>
                </c:pt>
                <c:pt idx="160">
                  <c:v>10 Jun 26</c:v>
                </c:pt>
                <c:pt idx="161">
                  <c:v>11 Jun 26</c:v>
                </c:pt>
                <c:pt idx="162">
                  <c:v>12 Jun 26</c:v>
                </c:pt>
                <c:pt idx="163">
                  <c:v>13 Jun 26</c:v>
                </c:pt>
                <c:pt idx="164">
                  <c:v>14 Jun 26</c:v>
                </c:pt>
                <c:pt idx="165">
                  <c:v>15 Jun 26</c:v>
                </c:pt>
                <c:pt idx="166">
                  <c:v>16 Jun 26</c:v>
                </c:pt>
                <c:pt idx="167">
                  <c:v>17 Jun 26</c:v>
                </c:pt>
                <c:pt idx="168">
                  <c:v>18 Jun 26</c:v>
                </c:pt>
                <c:pt idx="169">
                  <c:v>19 Jun 26</c:v>
                </c:pt>
                <c:pt idx="170">
                  <c:v>20 Jun 26</c:v>
                </c:pt>
                <c:pt idx="171">
                  <c:v>21 Jun 26</c:v>
                </c:pt>
                <c:pt idx="172">
                  <c:v>22 Jun 26</c:v>
                </c:pt>
                <c:pt idx="173">
                  <c:v>23 Jun 26</c:v>
                </c:pt>
                <c:pt idx="174">
                  <c:v>24 Jun 26</c:v>
                </c:pt>
                <c:pt idx="175">
                  <c:v>25 Jun 26</c:v>
                </c:pt>
                <c:pt idx="176">
                  <c:v>26 Jun 26</c:v>
                </c:pt>
                <c:pt idx="177">
                  <c:v>27 Jun 26</c:v>
                </c:pt>
                <c:pt idx="178">
                  <c:v>28 Jun 26</c:v>
                </c:pt>
                <c:pt idx="179">
                  <c:v>29 Jun 26</c:v>
                </c:pt>
                <c:pt idx="180">
                  <c:v>30 Jun 26</c:v>
                </c:pt>
                <c:pt idx="181">
                  <c:v>01 Jul 26</c:v>
                </c:pt>
                <c:pt idx="182">
                  <c:v>02 Jul 26</c:v>
                </c:pt>
                <c:pt idx="183">
                  <c:v>03 Jul 26</c:v>
                </c:pt>
                <c:pt idx="184">
                  <c:v>04 Jul 26</c:v>
                </c:pt>
                <c:pt idx="185">
                  <c:v>05 Jul 26</c:v>
                </c:pt>
                <c:pt idx="186">
                  <c:v>06 Jul 26</c:v>
                </c:pt>
                <c:pt idx="187">
                  <c:v>07 Jul 26</c:v>
                </c:pt>
                <c:pt idx="188">
                  <c:v>08 Jul 26</c:v>
                </c:pt>
                <c:pt idx="189">
                  <c:v>09 Jul 26</c:v>
                </c:pt>
                <c:pt idx="190">
                  <c:v>10 Jul 26</c:v>
                </c:pt>
                <c:pt idx="191">
                  <c:v>11 Jul 26</c:v>
                </c:pt>
                <c:pt idx="192">
                  <c:v>12 Jul 26</c:v>
                </c:pt>
                <c:pt idx="193">
                  <c:v>13 Jul 26</c:v>
                </c:pt>
                <c:pt idx="194">
                  <c:v>14 Jul 26</c:v>
                </c:pt>
                <c:pt idx="195">
                  <c:v>15 Jul 26</c:v>
                </c:pt>
                <c:pt idx="196">
                  <c:v>16 Jul 26</c:v>
                </c:pt>
                <c:pt idx="197">
                  <c:v>17 Jul 26</c:v>
                </c:pt>
                <c:pt idx="198">
                  <c:v>18 Jul 26</c:v>
                </c:pt>
                <c:pt idx="199">
                  <c:v>19 Jul 26</c:v>
                </c:pt>
                <c:pt idx="200">
                  <c:v>20 Jul 26</c:v>
                </c:pt>
                <c:pt idx="201">
                  <c:v>21 Jul 26</c:v>
                </c:pt>
                <c:pt idx="202">
                  <c:v>22 Jul 26</c:v>
                </c:pt>
                <c:pt idx="203">
                  <c:v>23 Jul 26</c:v>
                </c:pt>
                <c:pt idx="204">
                  <c:v>24 Jul 26</c:v>
                </c:pt>
                <c:pt idx="205">
                  <c:v>25 Jul 26</c:v>
                </c:pt>
                <c:pt idx="206">
                  <c:v>26 Jul 26</c:v>
                </c:pt>
                <c:pt idx="207">
                  <c:v>27 Jul 26</c:v>
                </c:pt>
                <c:pt idx="208">
                  <c:v>28 Jul 26</c:v>
                </c:pt>
                <c:pt idx="209">
                  <c:v>29 Jul 26</c:v>
                </c:pt>
                <c:pt idx="210">
                  <c:v>30 Jul 26</c:v>
                </c:pt>
                <c:pt idx="211">
                  <c:v>31 Jul 26</c:v>
                </c:pt>
                <c:pt idx="212">
                  <c:v>01 Aug 26</c:v>
                </c:pt>
                <c:pt idx="213">
                  <c:v>02 Aug 26</c:v>
                </c:pt>
                <c:pt idx="214">
                  <c:v>03 Aug 26</c:v>
                </c:pt>
                <c:pt idx="215">
                  <c:v>04 Aug 26</c:v>
                </c:pt>
                <c:pt idx="216">
                  <c:v>05 Aug 26</c:v>
                </c:pt>
                <c:pt idx="217">
                  <c:v>06 Aug 26</c:v>
                </c:pt>
                <c:pt idx="218">
                  <c:v>07 Aug 26</c:v>
                </c:pt>
                <c:pt idx="219">
                  <c:v>08 Aug 26</c:v>
                </c:pt>
                <c:pt idx="220">
                  <c:v>09 Aug 26</c:v>
                </c:pt>
                <c:pt idx="221">
                  <c:v>10 Aug 26</c:v>
                </c:pt>
                <c:pt idx="222">
                  <c:v>11 Aug 26</c:v>
                </c:pt>
                <c:pt idx="223">
                  <c:v>12 Aug 26</c:v>
                </c:pt>
                <c:pt idx="224">
                  <c:v>13 Aug 26</c:v>
                </c:pt>
                <c:pt idx="225">
                  <c:v>14 Aug 26</c:v>
                </c:pt>
                <c:pt idx="226">
                  <c:v>15 Aug 26</c:v>
                </c:pt>
                <c:pt idx="227">
                  <c:v>16 Aug 26</c:v>
                </c:pt>
                <c:pt idx="228">
                  <c:v>17 Aug 26</c:v>
                </c:pt>
                <c:pt idx="229">
                  <c:v>18 Aug 26</c:v>
                </c:pt>
                <c:pt idx="230">
                  <c:v>19 Aug 26</c:v>
                </c:pt>
                <c:pt idx="231">
                  <c:v>20 Aug 26</c:v>
                </c:pt>
                <c:pt idx="232">
                  <c:v>21 Aug 26</c:v>
                </c:pt>
                <c:pt idx="233">
                  <c:v>22 Aug 26</c:v>
                </c:pt>
                <c:pt idx="234">
                  <c:v>23 Aug 26</c:v>
                </c:pt>
                <c:pt idx="235">
                  <c:v>24 Aug 26</c:v>
                </c:pt>
                <c:pt idx="236">
                  <c:v>25 Aug 26</c:v>
                </c:pt>
                <c:pt idx="237">
                  <c:v>26 Aug 26</c:v>
                </c:pt>
                <c:pt idx="238">
                  <c:v>27 Aug 26</c:v>
                </c:pt>
                <c:pt idx="239">
                  <c:v>28 Aug 26</c:v>
                </c:pt>
                <c:pt idx="240">
                  <c:v>29 Aug 26</c:v>
                </c:pt>
                <c:pt idx="241">
                  <c:v>30 Aug 26</c:v>
                </c:pt>
                <c:pt idx="242">
                  <c:v>31 Aug 26</c:v>
                </c:pt>
                <c:pt idx="243">
                  <c:v>01 Sep 26</c:v>
                </c:pt>
                <c:pt idx="244">
                  <c:v>02 Sep 26</c:v>
                </c:pt>
                <c:pt idx="245">
                  <c:v>03 Sep 26</c:v>
                </c:pt>
                <c:pt idx="246">
                  <c:v>04 Sep 26</c:v>
                </c:pt>
                <c:pt idx="247">
                  <c:v>05 Sep 26</c:v>
                </c:pt>
                <c:pt idx="248">
                  <c:v>06 Sep 26</c:v>
                </c:pt>
                <c:pt idx="249">
                  <c:v>07 Sep 26</c:v>
                </c:pt>
                <c:pt idx="250">
                  <c:v>08 Sep 26</c:v>
                </c:pt>
                <c:pt idx="251">
                  <c:v>09 Sep 26</c:v>
                </c:pt>
                <c:pt idx="252">
                  <c:v>10 Sep 26</c:v>
                </c:pt>
                <c:pt idx="253">
                  <c:v>11 Sep 26</c:v>
                </c:pt>
                <c:pt idx="254">
                  <c:v>12 Sep 26</c:v>
                </c:pt>
                <c:pt idx="255">
                  <c:v>13 Sep 26</c:v>
                </c:pt>
                <c:pt idx="256">
                  <c:v>14 Sep 26</c:v>
                </c:pt>
                <c:pt idx="257">
                  <c:v>15 Sep 26</c:v>
                </c:pt>
                <c:pt idx="258">
                  <c:v>16 Sep 26</c:v>
                </c:pt>
                <c:pt idx="259">
                  <c:v>17 Sep 26</c:v>
                </c:pt>
                <c:pt idx="260">
                  <c:v>18 Sep 26</c:v>
                </c:pt>
                <c:pt idx="261">
                  <c:v>19 Sep 26</c:v>
                </c:pt>
                <c:pt idx="262">
                  <c:v>20 Sep 26</c:v>
                </c:pt>
                <c:pt idx="263">
                  <c:v>21 Sep 26</c:v>
                </c:pt>
                <c:pt idx="264">
                  <c:v>22 Sep 26</c:v>
                </c:pt>
                <c:pt idx="265">
                  <c:v>23 Sep 26</c:v>
                </c:pt>
                <c:pt idx="266">
                  <c:v>24 Sep 26</c:v>
                </c:pt>
                <c:pt idx="267">
                  <c:v>25 Sep 26</c:v>
                </c:pt>
                <c:pt idx="268">
                  <c:v>26 Sep 26</c:v>
                </c:pt>
                <c:pt idx="269">
                  <c:v>27 Sep 26</c:v>
                </c:pt>
                <c:pt idx="270">
                  <c:v>28 Sep 26</c:v>
                </c:pt>
                <c:pt idx="271">
                  <c:v>29 Sep 26</c:v>
                </c:pt>
                <c:pt idx="272">
                  <c:v>30 Sep 26</c:v>
                </c:pt>
                <c:pt idx="273">
                  <c:v>01 Oct 26</c:v>
                </c:pt>
                <c:pt idx="274">
                  <c:v>02 Oct 26</c:v>
                </c:pt>
                <c:pt idx="275">
                  <c:v>03 Oct 26</c:v>
                </c:pt>
                <c:pt idx="276">
                  <c:v>04 Oct 26</c:v>
                </c:pt>
                <c:pt idx="277">
                  <c:v>05 Oct 26</c:v>
                </c:pt>
                <c:pt idx="278">
                  <c:v>06 Oct 26</c:v>
                </c:pt>
                <c:pt idx="279">
                  <c:v>07 Oct 26</c:v>
                </c:pt>
                <c:pt idx="280">
                  <c:v>08 Oct 26</c:v>
                </c:pt>
                <c:pt idx="281">
                  <c:v>09 Oct 26</c:v>
                </c:pt>
                <c:pt idx="282">
                  <c:v>10 Oct 26</c:v>
                </c:pt>
                <c:pt idx="283">
                  <c:v>11 Oct 26</c:v>
                </c:pt>
                <c:pt idx="284">
                  <c:v>12 Oct 26</c:v>
                </c:pt>
                <c:pt idx="285">
                  <c:v>13 Oct 26</c:v>
                </c:pt>
                <c:pt idx="286">
                  <c:v>14 Oct 26</c:v>
                </c:pt>
                <c:pt idx="287">
                  <c:v>15 Oct 26</c:v>
                </c:pt>
                <c:pt idx="288">
                  <c:v>16 Oct 26</c:v>
                </c:pt>
                <c:pt idx="289">
                  <c:v>17 Oct 26</c:v>
                </c:pt>
                <c:pt idx="290">
                  <c:v>18 Oct 26</c:v>
                </c:pt>
                <c:pt idx="291">
                  <c:v>19 Oct 26</c:v>
                </c:pt>
                <c:pt idx="292">
                  <c:v>20 Oct 26</c:v>
                </c:pt>
                <c:pt idx="293">
                  <c:v>21 Oct 26</c:v>
                </c:pt>
                <c:pt idx="294">
                  <c:v>22 Oct 26</c:v>
                </c:pt>
                <c:pt idx="295">
                  <c:v>23 Oct 26</c:v>
                </c:pt>
                <c:pt idx="296">
                  <c:v>24 Oct 26</c:v>
                </c:pt>
                <c:pt idx="297">
                  <c:v>25 Oct 26</c:v>
                </c:pt>
                <c:pt idx="298">
                  <c:v>26 Oct 26</c:v>
                </c:pt>
                <c:pt idx="299">
                  <c:v>27 Oct 26</c:v>
                </c:pt>
                <c:pt idx="300">
                  <c:v>28 Oct 26</c:v>
                </c:pt>
                <c:pt idx="301">
                  <c:v>29 Oct 26</c:v>
                </c:pt>
                <c:pt idx="302">
                  <c:v>30 Oct 26</c:v>
                </c:pt>
                <c:pt idx="303">
                  <c:v>31 Oct 26</c:v>
                </c:pt>
                <c:pt idx="304">
                  <c:v>01 Nov 26</c:v>
                </c:pt>
                <c:pt idx="305">
                  <c:v>02 Nov 26</c:v>
                </c:pt>
                <c:pt idx="306">
                  <c:v>03 Nov 26</c:v>
                </c:pt>
                <c:pt idx="307">
                  <c:v>04 Nov 26</c:v>
                </c:pt>
                <c:pt idx="308">
                  <c:v>05 Nov 26</c:v>
                </c:pt>
                <c:pt idx="309">
                  <c:v>06 Nov 26</c:v>
                </c:pt>
                <c:pt idx="310">
                  <c:v>07 Nov 26</c:v>
                </c:pt>
                <c:pt idx="311">
                  <c:v>08 Nov 26</c:v>
                </c:pt>
                <c:pt idx="312">
                  <c:v>09 Nov 26</c:v>
                </c:pt>
                <c:pt idx="313">
                  <c:v>10 Nov 26</c:v>
                </c:pt>
                <c:pt idx="314">
                  <c:v>11 Nov 26</c:v>
                </c:pt>
                <c:pt idx="315">
                  <c:v>12 Nov 26</c:v>
                </c:pt>
                <c:pt idx="316">
                  <c:v>13 Nov 26</c:v>
                </c:pt>
                <c:pt idx="317">
                  <c:v>14 Nov 26</c:v>
                </c:pt>
                <c:pt idx="318">
                  <c:v>15 Nov 26</c:v>
                </c:pt>
                <c:pt idx="319">
                  <c:v>16 Nov 26</c:v>
                </c:pt>
                <c:pt idx="320">
                  <c:v>17 Nov 26</c:v>
                </c:pt>
                <c:pt idx="321">
                  <c:v>18 Nov 26</c:v>
                </c:pt>
                <c:pt idx="322">
                  <c:v>19 Nov 26</c:v>
                </c:pt>
                <c:pt idx="323">
                  <c:v>20 Nov 26</c:v>
                </c:pt>
                <c:pt idx="324">
                  <c:v>21 Nov 26</c:v>
                </c:pt>
                <c:pt idx="325">
                  <c:v>22 Nov 26</c:v>
                </c:pt>
                <c:pt idx="326">
                  <c:v>23 Nov 26</c:v>
                </c:pt>
                <c:pt idx="327">
                  <c:v>24 Nov 26</c:v>
                </c:pt>
                <c:pt idx="328">
                  <c:v>25 Nov 26</c:v>
                </c:pt>
                <c:pt idx="329">
                  <c:v>26 Nov 26</c:v>
                </c:pt>
                <c:pt idx="330">
                  <c:v>27 Nov 26</c:v>
                </c:pt>
                <c:pt idx="331">
                  <c:v>28 Nov 26</c:v>
                </c:pt>
                <c:pt idx="332">
                  <c:v>29 Nov 26</c:v>
                </c:pt>
                <c:pt idx="333">
                  <c:v>30 Nov 26</c:v>
                </c:pt>
                <c:pt idx="334">
                  <c:v>01 Dec 26</c:v>
                </c:pt>
                <c:pt idx="335">
                  <c:v>02 Dec 26</c:v>
                </c:pt>
                <c:pt idx="336">
                  <c:v>03 Dec 26</c:v>
                </c:pt>
                <c:pt idx="337">
                  <c:v>04 Dec 26</c:v>
                </c:pt>
                <c:pt idx="338">
                  <c:v>05 Dec 26</c:v>
                </c:pt>
                <c:pt idx="339">
                  <c:v>06 Dec 26</c:v>
                </c:pt>
                <c:pt idx="340">
                  <c:v>07 Dec 26</c:v>
                </c:pt>
                <c:pt idx="341">
                  <c:v>08 Dec 26</c:v>
                </c:pt>
                <c:pt idx="342">
                  <c:v>09 Dec 26</c:v>
                </c:pt>
                <c:pt idx="343">
                  <c:v>10 Dec 26</c:v>
                </c:pt>
                <c:pt idx="344">
                  <c:v>11 Dec 26</c:v>
                </c:pt>
                <c:pt idx="345">
                  <c:v>12 Dec 26</c:v>
                </c:pt>
                <c:pt idx="346">
                  <c:v>13 Dec 26</c:v>
                </c:pt>
                <c:pt idx="347">
                  <c:v>14 Dec 26</c:v>
                </c:pt>
                <c:pt idx="348">
                  <c:v>15 Dec 26</c:v>
                </c:pt>
                <c:pt idx="349">
                  <c:v>16 Dec 26</c:v>
                </c:pt>
                <c:pt idx="350">
                  <c:v>17 Dec 26</c:v>
                </c:pt>
                <c:pt idx="351">
                  <c:v>18 Dec 26</c:v>
                </c:pt>
                <c:pt idx="352">
                  <c:v>19 Dec 26</c:v>
                </c:pt>
                <c:pt idx="353">
                  <c:v>20 Dec 26</c:v>
                </c:pt>
                <c:pt idx="354">
                  <c:v>21 Dec 26</c:v>
                </c:pt>
                <c:pt idx="355">
                  <c:v>22 Dec 26</c:v>
                </c:pt>
                <c:pt idx="356">
                  <c:v>23 Dec 26</c:v>
                </c:pt>
                <c:pt idx="357">
                  <c:v>24 Dec 26</c:v>
                </c:pt>
                <c:pt idx="358">
                  <c:v>25 Dec 26</c:v>
                </c:pt>
                <c:pt idx="359">
                  <c:v>26 Dec 26</c:v>
                </c:pt>
                <c:pt idx="360">
                  <c:v>27 Dec 26</c:v>
                </c:pt>
                <c:pt idx="361">
                  <c:v>28 Dec 26</c:v>
                </c:pt>
                <c:pt idx="362">
                  <c:v>29 Dec 26</c:v>
                </c:pt>
                <c:pt idx="363">
                  <c:v>30 Dec 26</c:v>
                </c:pt>
                <c:pt idx="364">
                  <c:v>31 Dec 26</c:v>
                </c:pt>
              </c:strCache>
            </c:strRef>
          </c:cat>
          <c:val>
            <c:numRef>
              <c:f>'Cashflow GBP'!$G$3:$G$367</c:f>
              <c:numCache>
                <c:formatCode>\£#,##0.00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842664"/>
        <c:axId val="86189706"/>
      </c:lineChart>
      <c:catAx>
        <c:axId val="72842664"/>
        <c:scaling>
          <c:orientation val="minMax"/>
        </c:scaling>
        <c:delete val="0"/>
        <c:axPos val="b"/>
        <c:numFmt formatCode="dd\ 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89706"/>
        <c:crosses val="autoZero"/>
        <c:auto val="1"/>
        <c:lblAlgn val="ctr"/>
        <c:lblOffset val="100"/>
        <c:noMultiLvlLbl val="0"/>
      </c:catAx>
      <c:valAx>
        <c:axId val="86189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42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Trend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'Cashflow INR'!G2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'Cashflow INR'!$B$3:$B$367</c:f>
              <c:strCache>
                <c:ptCount val="365"/>
                <c:pt idx="0">
                  <c:v>01 Jan 26</c:v>
                </c:pt>
                <c:pt idx="1">
                  <c:v>02 Jan 26</c:v>
                </c:pt>
                <c:pt idx="2">
                  <c:v>03 Jan 26</c:v>
                </c:pt>
                <c:pt idx="3">
                  <c:v>04 Jan 26</c:v>
                </c:pt>
                <c:pt idx="4">
                  <c:v>05 Jan 26</c:v>
                </c:pt>
                <c:pt idx="5">
                  <c:v>06 Jan 26</c:v>
                </c:pt>
                <c:pt idx="6">
                  <c:v>07 Jan 26</c:v>
                </c:pt>
                <c:pt idx="7">
                  <c:v>08 Jan 26</c:v>
                </c:pt>
                <c:pt idx="8">
                  <c:v>09 Jan 26</c:v>
                </c:pt>
                <c:pt idx="9">
                  <c:v>10 Jan 26</c:v>
                </c:pt>
                <c:pt idx="10">
                  <c:v>11 Jan 26</c:v>
                </c:pt>
                <c:pt idx="11">
                  <c:v>12 Jan 26</c:v>
                </c:pt>
                <c:pt idx="12">
                  <c:v>13 Jan 26</c:v>
                </c:pt>
                <c:pt idx="13">
                  <c:v>14 Jan 26</c:v>
                </c:pt>
                <c:pt idx="14">
                  <c:v>15 Jan 26</c:v>
                </c:pt>
                <c:pt idx="15">
                  <c:v>16 Jan 26</c:v>
                </c:pt>
                <c:pt idx="16">
                  <c:v>17 Jan 26</c:v>
                </c:pt>
                <c:pt idx="17">
                  <c:v>18 Jan 26</c:v>
                </c:pt>
                <c:pt idx="18">
                  <c:v>19 Jan 26</c:v>
                </c:pt>
                <c:pt idx="19">
                  <c:v>20 Jan 26</c:v>
                </c:pt>
                <c:pt idx="20">
                  <c:v>21 Jan 26</c:v>
                </c:pt>
                <c:pt idx="21">
                  <c:v>22 Jan 26</c:v>
                </c:pt>
                <c:pt idx="22">
                  <c:v>23 Jan 26</c:v>
                </c:pt>
                <c:pt idx="23">
                  <c:v>24 Jan 26</c:v>
                </c:pt>
                <c:pt idx="24">
                  <c:v>25 Jan 26</c:v>
                </c:pt>
                <c:pt idx="25">
                  <c:v>26 Jan 26</c:v>
                </c:pt>
                <c:pt idx="26">
                  <c:v>27 Jan 26</c:v>
                </c:pt>
                <c:pt idx="27">
                  <c:v>28 Jan 26</c:v>
                </c:pt>
                <c:pt idx="28">
                  <c:v>29 Jan 26</c:v>
                </c:pt>
                <c:pt idx="29">
                  <c:v>30 Jan 26</c:v>
                </c:pt>
                <c:pt idx="30">
                  <c:v>31 Jan 26</c:v>
                </c:pt>
                <c:pt idx="31">
                  <c:v>01 Feb 26</c:v>
                </c:pt>
                <c:pt idx="32">
                  <c:v>02 Feb 26</c:v>
                </c:pt>
                <c:pt idx="33">
                  <c:v>03 Feb 26</c:v>
                </c:pt>
                <c:pt idx="34">
                  <c:v>04 Feb 26</c:v>
                </c:pt>
                <c:pt idx="35">
                  <c:v>05 Feb 26</c:v>
                </c:pt>
                <c:pt idx="36">
                  <c:v>06 Feb 26</c:v>
                </c:pt>
                <c:pt idx="37">
                  <c:v>07 Feb 26</c:v>
                </c:pt>
                <c:pt idx="38">
                  <c:v>08 Feb 26</c:v>
                </c:pt>
                <c:pt idx="39">
                  <c:v>09 Feb 26</c:v>
                </c:pt>
                <c:pt idx="40">
                  <c:v>10 Feb 26</c:v>
                </c:pt>
                <c:pt idx="41">
                  <c:v>11 Feb 26</c:v>
                </c:pt>
                <c:pt idx="42">
                  <c:v>12 Feb 26</c:v>
                </c:pt>
                <c:pt idx="43">
                  <c:v>13 Feb 26</c:v>
                </c:pt>
                <c:pt idx="44">
                  <c:v>14 Feb 26</c:v>
                </c:pt>
                <c:pt idx="45">
                  <c:v>15 Feb 26</c:v>
                </c:pt>
                <c:pt idx="46">
                  <c:v>16 Feb 26</c:v>
                </c:pt>
                <c:pt idx="47">
                  <c:v>17 Feb 26</c:v>
                </c:pt>
                <c:pt idx="48">
                  <c:v>18 Feb 26</c:v>
                </c:pt>
                <c:pt idx="49">
                  <c:v>19 Feb 26</c:v>
                </c:pt>
                <c:pt idx="50">
                  <c:v>20 Feb 26</c:v>
                </c:pt>
                <c:pt idx="51">
                  <c:v>21 Feb 26</c:v>
                </c:pt>
                <c:pt idx="52">
                  <c:v>22 Feb 26</c:v>
                </c:pt>
                <c:pt idx="53">
                  <c:v>23 Feb 26</c:v>
                </c:pt>
                <c:pt idx="54">
                  <c:v>24 Feb 26</c:v>
                </c:pt>
                <c:pt idx="55">
                  <c:v>25 Feb 26</c:v>
                </c:pt>
                <c:pt idx="56">
                  <c:v>26 Feb 26</c:v>
                </c:pt>
                <c:pt idx="57">
                  <c:v>27 Feb 26</c:v>
                </c:pt>
                <c:pt idx="58">
                  <c:v>28 Feb 26</c:v>
                </c:pt>
                <c:pt idx="59">
                  <c:v>01 Mar 26</c:v>
                </c:pt>
                <c:pt idx="60">
                  <c:v>02 Mar 26</c:v>
                </c:pt>
                <c:pt idx="61">
                  <c:v>03 Mar 26</c:v>
                </c:pt>
                <c:pt idx="62">
                  <c:v>04 Mar 26</c:v>
                </c:pt>
                <c:pt idx="63">
                  <c:v>05 Mar 26</c:v>
                </c:pt>
                <c:pt idx="64">
                  <c:v>06 Mar 26</c:v>
                </c:pt>
                <c:pt idx="65">
                  <c:v>07 Mar 26</c:v>
                </c:pt>
                <c:pt idx="66">
                  <c:v>08 Mar 26</c:v>
                </c:pt>
                <c:pt idx="67">
                  <c:v>09 Mar 26</c:v>
                </c:pt>
                <c:pt idx="68">
                  <c:v>10 Mar 26</c:v>
                </c:pt>
                <c:pt idx="69">
                  <c:v>11 Mar 26</c:v>
                </c:pt>
                <c:pt idx="70">
                  <c:v>12 Mar 26</c:v>
                </c:pt>
                <c:pt idx="71">
                  <c:v>13 Mar 26</c:v>
                </c:pt>
                <c:pt idx="72">
                  <c:v>14 Mar 26</c:v>
                </c:pt>
                <c:pt idx="73">
                  <c:v>15 Mar 26</c:v>
                </c:pt>
                <c:pt idx="74">
                  <c:v>16 Mar 26</c:v>
                </c:pt>
                <c:pt idx="75">
                  <c:v>17 Mar 26</c:v>
                </c:pt>
                <c:pt idx="76">
                  <c:v>18 Mar 26</c:v>
                </c:pt>
                <c:pt idx="77">
                  <c:v>19 Mar 26</c:v>
                </c:pt>
                <c:pt idx="78">
                  <c:v>20 Mar 26</c:v>
                </c:pt>
                <c:pt idx="79">
                  <c:v>21 Mar 26</c:v>
                </c:pt>
                <c:pt idx="80">
                  <c:v>22 Mar 26</c:v>
                </c:pt>
                <c:pt idx="81">
                  <c:v>23 Mar 26</c:v>
                </c:pt>
                <c:pt idx="82">
                  <c:v>24 Mar 26</c:v>
                </c:pt>
                <c:pt idx="83">
                  <c:v>25 Mar 26</c:v>
                </c:pt>
                <c:pt idx="84">
                  <c:v>26 Mar 26</c:v>
                </c:pt>
                <c:pt idx="85">
                  <c:v>27 Mar 26</c:v>
                </c:pt>
                <c:pt idx="86">
                  <c:v>28 Mar 26</c:v>
                </c:pt>
                <c:pt idx="87">
                  <c:v>29 Mar 26</c:v>
                </c:pt>
                <c:pt idx="88">
                  <c:v>30 Mar 26</c:v>
                </c:pt>
                <c:pt idx="89">
                  <c:v>31 Mar 26</c:v>
                </c:pt>
                <c:pt idx="90">
                  <c:v>01 Apr 26</c:v>
                </c:pt>
                <c:pt idx="91">
                  <c:v>02 Apr 26</c:v>
                </c:pt>
                <c:pt idx="92">
                  <c:v>03 Apr 26</c:v>
                </c:pt>
                <c:pt idx="93">
                  <c:v>04 Apr 26</c:v>
                </c:pt>
                <c:pt idx="94">
                  <c:v>05 Apr 26</c:v>
                </c:pt>
                <c:pt idx="95">
                  <c:v>06 Apr 26</c:v>
                </c:pt>
                <c:pt idx="96">
                  <c:v>07 Apr 26</c:v>
                </c:pt>
                <c:pt idx="97">
                  <c:v>08 Apr 26</c:v>
                </c:pt>
                <c:pt idx="98">
                  <c:v>09 Apr 26</c:v>
                </c:pt>
                <c:pt idx="99">
                  <c:v>10 Apr 26</c:v>
                </c:pt>
                <c:pt idx="100">
                  <c:v>11 Apr 26</c:v>
                </c:pt>
                <c:pt idx="101">
                  <c:v>12 Apr 26</c:v>
                </c:pt>
                <c:pt idx="102">
                  <c:v>13 Apr 26</c:v>
                </c:pt>
                <c:pt idx="103">
                  <c:v>14 Apr 26</c:v>
                </c:pt>
                <c:pt idx="104">
                  <c:v>15 Apr 26</c:v>
                </c:pt>
                <c:pt idx="105">
                  <c:v>16 Apr 26</c:v>
                </c:pt>
                <c:pt idx="106">
                  <c:v>17 Apr 26</c:v>
                </c:pt>
                <c:pt idx="107">
                  <c:v>18 Apr 26</c:v>
                </c:pt>
                <c:pt idx="108">
                  <c:v>19 Apr 26</c:v>
                </c:pt>
                <c:pt idx="109">
                  <c:v>20 Apr 26</c:v>
                </c:pt>
                <c:pt idx="110">
                  <c:v>21 Apr 26</c:v>
                </c:pt>
                <c:pt idx="111">
                  <c:v>22 Apr 26</c:v>
                </c:pt>
                <c:pt idx="112">
                  <c:v>23 Apr 26</c:v>
                </c:pt>
                <c:pt idx="113">
                  <c:v>24 Apr 26</c:v>
                </c:pt>
                <c:pt idx="114">
                  <c:v>25 Apr 26</c:v>
                </c:pt>
                <c:pt idx="115">
                  <c:v>26 Apr 26</c:v>
                </c:pt>
                <c:pt idx="116">
                  <c:v>27 Apr 26</c:v>
                </c:pt>
                <c:pt idx="117">
                  <c:v>28 Apr 26</c:v>
                </c:pt>
                <c:pt idx="118">
                  <c:v>29 Apr 26</c:v>
                </c:pt>
                <c:pt idx="119">
                  <c:v>30 Apr 26</c:v>
                </c:pt>
                <c:pt idx="120">
                  <c:v>01 May 26</c:v>
                </c:pt>
                <c:pt idx="121">
                  <c:v>02 May 26</c:v>
                </c:pt>
                <c:pt idx="122">
                  <c:v>03 May 26</c:v>
                </c:pt>
                <c:pt idx="123">
                  <c:v>04 May 26</c:v>
                </c:pt>
                <c:pt idx="124">
                  <c:v>05 May 26</c:v>
                </c:pt>
                <c:pt idx="125">
                  <c:v>06 May 26</c:v>
                </c:pt>
                <c:pt idx="126">
                  <c:v>07 May 26</c:v>
                </c:pt>
                <c:pt idx="127">
                  <c:v>08 May 26</c:v>
                </c:pt>
                <c:pt idx="128">
                  <c:v>09 May 26</c:v>
                </c:pt>
                <c:pt idx="129">
                  <c:v>10 May 26</c:v>
                </c:pt>
                <c:pt idx="130">
                  <c:v>11 May 26</c:v>
                </c:pt>
                <c:pt idx="131">
                  <c:v>12 May 26</c:v>
                </c:pt>
                <c:pt idx="132">
                  <c:v>13 May 26</c:v>
                </c:pt>
                <c:pt idx="133">
                  <c:v>14 May 26</c:v>
                </c:pt>
                <c:pt idx="134">
                  <c:v>15 May 26</c:v>
                </c:pt>
                <c:pt idx="135">
                  <c:v>16 May 26</c:v>
                </c:pt>
                <c:pt idx="136">
                  <c:v>17 May 26</c:v>
                </c:pt>
                <c:pt idx="137">
                  <c:v>18 May 26</c:v>
                </c:pt>
                <c:pt idx="138">
                  <c:v>19 May 26</c:v>
                </c:pt>
                <c:pt idx="139">
                  <c:v>20 May 26</c:v>
                </c:pt>
                <c:pt idx="140">
                  <c:v>21 May 26</c:v>
                </c:pt>
                <c:pt idx="141">
                  <c:v>22 May 26</c:v>
                </c:pt>
                <c:pt idx="142">
                  <c:v>23 May 26</c:v>
                </c:pt>
                <c:pt idx="143">
                  <c:v>24 May 26</c:v>
                </c:pt>
                <c:pt idx="144">
                  <c:v>25 May 26</c:v>
                </c:pt>
                <c:pt idx="145">
                  <c:v>26 May 26</c:v>
                </c:pt>
                <c:pt idx="146">
                  <c:v>27 May 26</c:v>
                </c:pt>
                <c:pt idx="147">
                  <c:v>28 May 26</c:v>
                </c:pt>
                <c:pt idx="148">
                  <c:v>29 May 26</c:v>
                </c:pt>
                <c:pt idx="149">
                  <c:v>30 May 26</c:v>
                </c:pt>
                <c:pt idx="150">
                  <c:v>31 May 26</c:v>
                </c:pt>
                <c:pt idx="151">
                  <c:v>01 Jun 26</c:v>
                </c:pt>
                <c:pt idx="152">
                  <c:v>02 Jun 26</c:v>
                </c:pt>
                <c:pt idx="153">
                  <c:v>03 Jun 26</c:v>
                </c:pt>
                <c:pt idx="154">
                  <c:v>04 Jun 26</c:v>
                </c:pt>
                <c:pt idx="155">
                  <c:v>05 Jun 26</c:v>
                </c:pt>
                <c:pt idx="156">
                  <c:v>06 Jun 26</c:v>
                </c:pt>
                <c:pt idx="157">
                  <c:v>07 Jun 26</c:v>
                </c:pt>
                <c:pt idx="158">
                  <c:v>08 Jun 26</c:v>
                </c:pt>
                <c:pt idx="159">
                  <c:v>09 Jun 26</c:v>
                </c:pt>
                <c:pt idx="160">
                  <c:v>10 Jun 26</c:v>
                </c:pt>
                <c:pt idx="161">
                  <c:v>11 Jun 26</c:v>
                </c:pt>
                <c:pt idx="162">
                  <c:v>12 Jun 26</c:v>
                </c:pt>
                <c:pt idx="163">
                  <c:v>13 Jun 26</c:v>
                </c:pt>
                <c:pt idx="164">
                  <c:v>14 Jun 26</c:v>
                </c:pt>
                <c:pt idx="165">
                  <c:v>15 Jun 26</c:v>
                </c:pt>
                <c:pt idx="166">
                  <c:v>16 Jun 26</c:v>
                </c:pt>
                <c:pt idx="167">
                  <c:v>17 Jun 26</c:v>
                </c:pt>
                <c:pt idx="168">
                  <c:v>18 Jun 26</c:v>
                </c:pt>
                <c:pt idx="169">
                  <c:v>19 Jun 26</c:v>
                </c:pt>
                <c:pt idx="170">
                  <c:v>20 Jun 26</c:v>
                </c:pt>
                <c:pt idx="171">
                  <c:v>21 Jun 26</c:v>
                </c:pt>
                <c:pt idx="172">
                  <c:v>22 Jun 26</c:v>
                </c:pt>
                <c:pt idx="173">
                  <c:v>23 Jun 26</c:v>
                </c:pt>
                <c:pt idx="174">
                  <c:v>24 Jun 26</c:v>
                </c:pt>
                <c:pt idx="175">
                  <c:v>25 Jun 26</c:v>
                </c:pt>
                <c:pt idx="176">
                  <c:v>26 Jun 26</c:v>
                </c:pt>
                <c:pt idx="177">
                  <c:v>27 Jun 26</c:v>
                </c:pt>
                <c:pt idx="178">
                  <c:v>28 Jun 26</c:v>
                </c:pt>
                <c:pt idx="179">
                  <c:v>29 Jun 26</c:v>
                </c:pt>
                <c:pt idx="180">
                  <c:v>30 Jun 26</c:v>
                </c:pt>
                <c:pt idx="181">
                  <c:v>01 Jul 26</c:v>
                </c:pt>
                <c:pt idx="182">
                  <c:v>02 Jul 26</c:v>
                </c:pt>
                <c:pt idx="183">
                  <c:v>03 Jul 26</c:v>
                </c:pt>
                <c:pt idx="184">
                  <c:v>04 Jul 26</c:v>
                </c:pt>
                <c:pt idx="185">
                  <c:v>05 Jul 26</c:v>
                </c:pt>
                <c:pt idx="186">
                  <c:v>06 Jul 26</c:v>
                </c:pt>
                <c:pt idx="187">
                  <c:v>07 Jul 26</c:v>
                </c:pt>
                <c:pt idx="188">
                  <c:v>08 Jul 26</c:v>
                </c:pt>
                <c:pt idx="189">
                  <c:v>09 Jul 26</c:v>
                </c:pt>
                <c:pt idx="190">
                  <c:v>10 Jul 26</c:v>
                </c:pt>
                <c:pt idx="191">
                  <c:v>11 Jul 26</c:v>
                </c:pt>
                <c:pt idx="192">
                  <c:v>12 Jul 26</c:v>
                </c:pt>
                <c:pt idx="193">
                  <c:v>13 Jul 26</c:v>
                </c:pt>
                <c:pt idx="194">
                  <c:v>14 Jul 26</c:v>
                </c:pt>
                <c:pt idx="195">
                  <c:v>15 Jul 26</c:v>
                </c:pt>
                <c:pt idx="196">
                  <c:v>16 Jul 26</c:v>
                </c:pt>
                <c:pt idx="197">
                  <c:v>17 Jul 26</c:v>
                </c:pt>
                <c:pt idx="198">
                  <c:v>18 Jul 26</c:v>
                </c:pt>
                <c:pt idx="199">
                  <c:v>19 Jul 26</c:v>
                </c:pt>
                <c:pt idx="200">
                  <c:v>20 Jul 26</c:v>
                </c:pt>
                <c:pt idx="201">
                  <c:v>21 Jul 26</c:v>
                </c:pt>
                <c:pt idx="202">
                  <c:v>22 Jul 26</c:v>
                </c:pt>
                <c:pt idx="203">
                  <c:v>23 Jul 26</c:v>
                </c:pt>
                <c:pt idx="204">
                  <c:v>24 Jul 26</c:v>
                </c:pt>
                <c:pt idx="205">
                  <c:v>25 Jul 26</c:v>
                </c:pt>
                <c:pt idx="206">
                  <c:v>26 Jul 26</c:v>
                </c:pt>
                <c:pt idx="207">
                  <c:v>27 Jul 26</c:v>
                </c:pt>
                <c:pt idx="208">
                  <c:v>28 Jul 26</c:v>
                </c:pt>
                <c:pt idx="209">
                  <c:v>29 Jul 26</c:v>
                </c:pt>
                <c:pt idx="210">
                  <c:v>30 Jul 26</c:v>
                </c:pt>
                <c:pt idx="211">
                  <c:v>31 Jul 26</c:v>
                </c:pt>
                <c:pt idx="212">
                  <c:v>01 Aug 26</c:v>
                </c:pt>
                <c:pt idx="213">
                  <c:v>02 Aug 26</c:v>
                </c:pt>
                <c:pt idx="214">
                  <c:v>03 Aug 26</c:v>
                </c:pt>
                <c:pt idx="215">
                  <c:v>04 Aug 26</c:v>
                </c:pt>
                <c:pt idx="216">
                  <c:v>05 Aug 26</c:v>
                </c:pt>
                <c:pt idx="217">
                  <c:v>06 Aug 26</c:v>
                </c:pt>
                <c:pt idx="218">
                  <c:v>07 Aug 26</c:v>
                </c:pt>
                <c:pt idx="219">
                  <c:v>08 Aug 26</c:v>
                </c:pt>
                <c:pt idx="220">
                  <c:v>09 Aug 26</c:v>
                </c:pt>
                <c:pt idx="221">
                  <c:v>10 Aug 26</c:v>
                </c:pt>
                <c:pt idx="222">
                  <c:v>11 Aug 26</c:v>
                </c:pt>
                <c:pt idx="223">
                  <c:v>12 Aug 26</c:v>
                </c:pt>
                <c:pt idx="224">
                  <c:v>13 Aug 26</c:v>
                </c:pt>
                <c:pt idx="225">
                  <c:v>14 Aug 26</c:v>
                </c:pt>
                <c:pt idx="226">
                  <c:v>15 Aug 26</c:v>
                </c:pt>
                <c:pt idx="227">
                  <c:v>16 Aug 26</c:v>
                </c:pt>
                <c:pt idx="228">
                  <c:v>17 Aug 26</c:v>
                </c:pt>
                <c:pt idx="229">
                  <c:v>18 Aug 26</c:v>
                </c:pt>
                <c:pt idx="230">
                  <c:v>19 Aug 26</c:v>
                </c:pt>
                <c:pt idx="231">
                  <c:v>20 Aug 26</c:v>
                </c:pt>
                <c:pt idx="232">
                  <c:v>21 Aug 26</c:v>
                </c:pt>
                <c:pt idx="233">
                  <c:v>22 Aug 26</c:v>
                </c:pt>
                <c:pt idx="234">
                  <c:v>23 Aug 26</c:v>
                </c:pt>
                <c:pt idx="235">
                  <c:v>24 Aug 26</c:v>
                </c:pt>
                <c:pt idx="236">
                  <c:v>25 Aug 26</c:v>
                </c:pt>
                <c:pt idx="237">
                  <c:v>26 Aug 26</c:v>
                </c:pt>
                <c:pt idx="238">
                  <c:v>27 Aug 26</c:v>
                </c:pt>
                <c:pt idx="239">
                  <c:v>28 Aug 26</c:v>
                </c:pt>
                <c:pt idx="240">
                  <c:v>29 Aug 26</c:v>
                </c:pt>
                <c:pt idx="241">
                  <c:v>30 Aug 26</c:v>
                </c:pt>
                <c:pt idx="242">
                  <c:v>31 Aug 26</c:v>
                </c:pt>
                <c:pt idx="243">
                  <c:v>01 Sep 26</c:v>
                </c:pt>
                <c:pt idx="244">
                  <c:v>02 Sep 26</c:v>
                </c:pt>
                <c:pt idx="245">
                  <c:v>03 Sep 26</c:v>
                </c:pt>
                <c:pt idx="246">
                  <c:v>04 Sep 26</c:v>
                </c:pt>
                <c:pt idx="247">
                  <c:v>05 Sep 26</c:v>
                </c:pt>
                <c:pt idx="248">
                  <c:v>06 Sep 26</c:v>
                </c:pt>
                <c:pt idx="249">
                  <c:v>07 Sep 26</c:v>
                </c:pt>
                <c:pt idx="250">
                  <c:v>08 Sep 26</c:v>
                </c:pt>
                <c:pt idx="251">
                  <c:v>09 Sep 26</c:v>
                </c:pt>
                <c:pt idx="252">
                  <c:v>10 Sep 26</c:v>
                </c:pt>
                <c:pt idx="253">
                  <c:v>11 Sep 26</c:v>
                </c:pt>
                <c:pt idx="254">
                  <c:v>12 Sep 26</c:v>
                </c:pt>
                <c:pt idx="255">
                  <c:v>13 Sep 26</c:v>
                </c:pt>
                <c:pt idx="256">
                  <c:v>14 Sep 26</c:v>
                </c:pt>
                <c:pt idx="257">
                  <c:v>15 Sep 26</c:v>
                </c:pt>
                <c:pt idx="258">
                  <c:v>16 Sep 26</c:v>
                </c:pt>
                <c:pt idx="259">
                  <c:v>17 Sep 26</c:v>
                </c:pt>
                <c:pt idx="260">
                  <c:v>18 Sep 26</c:v>
                </c:pt>
                <c:pt idx="261">
                  <c:v>19 Sep 26</c:v>
                </c:pt>
                <c:pt idx="262">
                  <c:v>20 Sep 26</c:v>
                </c:pt>
                <c:pt idx="263">
                  <c:v>21 Sep 26</c:v>
                </c:pt>
                <c:pt idx="264">
                  <c:v>22 Sep 26</c:v>
                </c:pt>
                <c:pt idx="265">
                  <c:v>23 Sep 26</c:v>
                </c:pt>
                <c:pt idx="266">
                  <c:v>24 Sep 26</c:v>
                </c:pt>
                <c:pt idx="267">
                  <c:v>25 Sep 26</c:v>
                </c:pt>
                <c:pt idx="268">
                  <c:v>26 Sep 26</c:v>
                </c:pt>
                <c:pt idx="269">
                  <c:v>27 Sep 26</c:v>
                </c:pt>
                <c:pt idx="270">
                  <c:v>28 Sep 26</c:v>
                </c:pt>
                <c:pt idx="271">
                  <c:v>29 Sep 26</c:v>
                </c:pt>
                <c:pt idx="272">
                  <c:v>30 Sep 26</c:v>
                </c:pt>
                <c:pt idx="273">
                  <c:v>01 Oct 26</c:v>
                </c:pt>
                <c:pt idx="274">
                  <c:v>02 Oct 26</c:v>
                </c:pt>
                <c:pt idx="275">
                  <c:v>03 Oct 26</c:v>
                </c:pt>
                <c:pt idx="276">
                  <c:v>04 Oct 26</c:v>
                </c:pt>
                <c:pt idx="277">
                  <c:v>05 Oct 26</c:v>
                </c:pt>
                <c:pt idx="278">
                  <c:v>06 Oct 26</c:v>
                </c:pt>
                <c:pt idx="279">
                  <c:v>07 Oct 26</c:v>
                </c:pt>
                <c:pt idx="280">
                  <c:v>08 Oct 26</c:v>
                </c:pt>
                <c:pt idx="281">
                  <c:v>09 Oct 26</c:v>
                </c:pt>
                <c:pt idx="282">
                  <c:v>10 Oct 26</c:v>
                </c:pt>
                <c:pt idx="283">
                  <c:v>11 Oct 26</c:v>
                </c:pt>
                <c:pt idx="284">
                  <c:v>12 Oct 26</c:v>
                </c:pt>
                <c:pt idx="285">
                  <c:v>13 Oct 26</c:v>
                </c:pt>
                <c:pt idx="286">
                  <c:v>14 Oct 26</c:v>
                </c:pt>
                <c:pt idx="287">
                  <c:v>15 Oct 26</c:v>
                </c:pt>
                <c:pt idx="288">
                  <c:v>16 Oct 26</c:v>
                </c:pt>
                <c:pt idx="289">
                  <c:v>17 Oct 26</c:v>
                </c:pt>
                <c:pt idx="290">
                  <c:v>18 Oct 26</c:v>
                </c:pt>
                <c:pt idx="291">
                  <c:v>19 Oct 26</c:v>
                </c:pt>
                <c:pt idx="292">
                  <c:v>20 Oct 26</c:v>
                </c:pt>
                <c:pt idx="293">
                  <c:v>21 Oct 26</c:v>
                </c:pt>
                <c:pt idx="294">
                  <c:v>22 Oct 26</c:v>
                </c:pt>
                <c:pt idx="295">
                  <c:v>23 Oct 26</c:v>
                </c:pt>
                <c:pt idx="296">
                  <c:v>24 Oct 26</c:v>
                </c:pt>
                <c:pt idx="297">
                  <c:v>25 Oct 26</c:v>
                </c:pt>
                <c:pt idx="298">
                  <c:v>26 Oct 26</c:v>
                </c:pt>
                <c:pt idx="299">
                  <c:v>27 Oct 26</c:v>
                </c:pt>
                <c:pt idx="300">
                  <c:v>28 Oct 26</c:v>
                </c:pt>
                <c:pt idx="301">
                  <c:v>29 Oct 26</c:v>
                </c:pt>
                <c:pt idx="302">
                  <c:v>30 Oct 26</c:v>
                </c:pt>
                <c:pt idx="303">
                  <c:v>31 Oct 26</c:v>
                </c:pt>
                <c:pt idx="304">
                  <c:v>01 Nov 26</c:v>
                </c:pt>
                <c:pt idx="305">
                  <c:v>02 Nov 26</c:v>
                </c:pt>
                <c:pt idx="306">
                  <c:v>03 Nov 26</c:v>
                </c:pt>
                <c:pt idx="307">
                  <c:v>04 Nov 26</c:v>
                </c:pt>
                <c:pt idx="308">
                  <c:v>05 Nov 26</c:v>
                </c:pt>
                <c:pt idx="309">
                  <c:v>06 Nov 26</c:v>
                </c:pt>
                <c:pt idx="310">
                  <c:v>07 Nov 26</c:v>
                </c:pt>
                <c:pt idx="311">
                  <c:v>08 Nov 26</c:v>
                </c:pt>
                <c:pt idx="312">
                  <c:v>09 Nov 26</c:v>
                </c:pt>
                <c:pt idx="313">
                  <c:v>10 Nov 26</c:v>
                </c:pt>
                <c:pt idx="314">
                  <c:v>11 Nov 26</c:v>
                </c:pt>
                <c:pt idx="315">
                  <c:v>12 Nov 26</c:v>
                </c:pt>
                <c:pt idx="316">
                  <c:v>13 Nov 26</c:v>
                </c:pt>
                <c:pt idx="317">
                  <c:v>14 Nov 26</c:v>
                </c:pt>
                <c:pt idx="318">
                  <c:v>15 Nov 26</c:v>
                </c:pt>
                <c:pt idx="319">
                  <c:v>16 Nov 26</c:v>
                </c:pt>
                <c:pt idx="320">
                  <c:v>17 Nov 26</c:v>
                </c:pt>
                <c:pt idx="321">
                  <c:v>18 Nov 26</c:v>
                </c:pt>
                <c:pt idx="322">
                  <c:v>19 Nov 26</c:v>
                </c:pt>
                <c:pt idx="323">
                  <c:v>20 Nov 26</c:v>
                </c:pt>
                <c:pt idx="324">
                  <c:v>21 Nov 26</c:v>
                </c:pt>
                <c:pt idx="325">
                  <c:v>22 Nov 26</c:v>
                </c:pt>
                <c:pt idx="326">
                  <c:v>23 Nov 26</c:v>
                </c:pt>
                <c:pt idx="327">
                  <c:v>24 Nov 26</c:v>
                </c:pt>
                <c:pt idx="328">
                  <c:v>25 Nov 26</c:v>
                </c:pt>
                <c:pt idx="329">
                  <c:v>26 Nov 26</c:v>
                </c:pt>
                <c:pt idx="330">
                  <c:v>27 Nov 26</c:v>
                </c:pt>
                <c:pt idx="331">
                  <c:v>28 Nov 26</c:v>
                </c:pt>
                <c:pt idx="332">
                  <c:v>29 Nov 26</c:v>
                </c:pt>
                <c:pt idx="333">
                  <c:v>30 Nov 26</c:v>
                </c:pt>
                <c:pt idx="334">
                  <c:v>01 Dec 26</c:v>
                </c:pt>
                <c:pt idx="335">
                  <c:v>02 Dec 26</c:v>
                </c:pt>
                <c:pt idx="336">
                  <c:v>03 Dec 26</c:v>
                </c:pt>
                <c:pt idx="337">
                  <c:v>04 Dec 26</c:v>
                </c:pt>
                <c:pt idx="338">
                  <c:v>05 Dec 26</c:v>
                </c:pt>
                <c:pt idx="339">
                  <c:v>06 Dec 26</c:v>
                </c:pt>
                <c:pt idx="340">
                  <c:v>07 Dec 26</c:v>
                </c:pt>
                <c:pt idx="341">
                  <c:v>08 Dec 26</c:v>
                </c:pt>
                <c:pt idx="342">
                  <c:v>09 Dec 26</c:v>
                </c:pt>
                <c:pt idx="343">
                  <c:v>10 Dec 26</c:v>
                </c:pt>
                <c:pt idx="344">
                  <c:v>11 Dec 26</c:v>
                </c:pt>
                <c:pt idx="345">
                  <c:v>12 Dec 26</c:v>
                </c:pt>
                <c:pt idx="346">
                  <c:v>13 Dec 26</c:v>
                </c:pt>
                <c:pt idx="347">
                  <c:v>14 Dec 26</c:v>
                </c:pt>
                <c:pt idx="348">
                  <c:v>15 Dec 26</c:v>
                </c:pt>
                <c:pt idx="349">
                  <c:v>16 Dec 26</c:v>
                </c:pt>
                <c:pt idx="350">
                  <c:v>17 Dec 26</c:v>
                </c:pt>
                <c:pt idx="351">
                  <c:v>18 Dec 26</c:v>
                </c:pt>
                <c:pt idx="352">
                  <c:v>19 Dec 26</c:v>
                </c:pt>
                <c:pt idx="353">
                  <c:v>20 Dec 26</c:v>
                </c:pt>
                <c:pt idx="354">
                  <c:v>21 Dec 26</c:v>
                </c:pt>
                <c:pt idx="355">
                  <c:v>22 Dec 26</c:v>
                </c:pt>
                <c:pt idx="356">
                  <c:v>23 Dec 26</c:v>
                </c:pt>
                <c:pt idx="357">
                  <c:v>24 Dec 26</c:v>
                </c:pt>
                <c:pt idx="358">
                  <c:v>25 Dec 26</c:v>
                </c:pt>
                <c:pt idx="359">
                  <c:v>26 Dec 26</c:v>
                </c:pt>
                <c:pt idx="360">
                  <c:v>27 Dec 26</c:v>
                </c:pt>
                <c:pt idx="361">
                  <c:v>28 Dec 26</c:v>
                </c:pt>
                <c:pt idx="362">
                  <c:v>29 Dec 26</c:v>
                </c:pt>
                <c:pt idx="363">
                  <c:v>30 Dec 26</c:v>
                </c:pt>
                <c:pt idx="364">
                  <c:v>31 Dec 26</c:v>
                </c:pt>
              </c:strCache>
            </c:strRef>
          </c:cat>
          <c:val>
            <c:numRef>
              <c:f>'Cashflow INR'!$G$3:$G$367</c:f>
              <c:numCache>
                <c:formatCode>\₹#,##0.00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0224"/>
        <c:axId val="51357054"/>
      </c:lineChart>
      <c:catAx>
        <c:axId val="940224"/>
        <c:scaling>
          <c:orientation val="minMax"/>
        </c:scaling>
        <c:delete val="0"/>
        <c:axPos val="b"/>
        <c:numFmt formatCode="dd\ 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57054"/>
        <c:crosses val="autoZero"/>
        <c:auto val="1"/>
        <c:lblAlgn val="ctr"/>
        <c:lblOffset val="100"/>
        <c:noMultiLvlLbl val="0"/>
      </c:catAx>
      <c:valAx>
        <c:axId val="51357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10440</xdr:rowOff>
    </xdr:from>
    <xdr:to>
      <xdr:col>8</xdr:col>
      <xdr:colOff>823320</xdr:colOff>
      <xdr:row>48</xdr:row>
      <xdr:rowOff>46080</xdr:rowOff>
    </xdr:to>
    <xdr:graphicFrame>
      <xdr:nvGraphicFramePr>
        <xdr:cNvPr id="0" name="Chart 1"/>
        <xdr:cNvGraphicFramePr/>
      </xdr:nvGraphicFramePr>
      <xdr:xfrm>
        <a:off x="0" y="4000680"/>
        <a:ext cx="89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10440</xdr:rowOff>
    </xdr:from>
    <xdr:to>
      <xdr:col>16</xdr:col>
      <xdr:colOff>10080</xdr:colOff>
      <xdr:row>48</xdr:row>
      <xdr:rowOff>46080</xdr:rowOff>
    </xdr:to>
    <xdr:graphicFrame>
      <xdr:nvGraphicFramePr>
        <xdr:cNvPr id="1" name="Chart 2"/>
        <xdr:cNvGraphicFramePr/>
      </xdr:nvGraphicFramePr>
      <xdr:xfrm>
        <a:off x="9163080" y="4000680"/>
        <a:ext cx="71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10440</xdr:rowOff>
    </xdr:from>
    <xdr:to>
      <xdr:col>8</xdr:col>
      <xdr:colOff>823320</xdr:colOff>
      <xdr:row>48</xdr:row>
      <xdr:rowOff>46080</xdr:rowOff>
    </xdr:to>
    <xdr:graphicFrame>
      <xdr:nvGraphicFramePr>
        <xdr:cNvPr id="2" name="Chart 1"/>
        <xdr:cNvGraphicFramePr/>
      </xdr:nvGraphicFramePr>
      <xdr:xfrm>
        <a:off x="0" y="4000680"/>
        <a:ext cx="89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10440</xdr:rowOff>
    </xdr:from>
    <xdr:to>
      <xdr:col>16</xdr:col>
      <xdr:colOff>10080</xdr:colOff>
      <xdr:row>48</xdr:row>
      <xdr:rowOff>46080</xdr:rowOff>
    </xdr:to>
    <xdr:graphicFrame>
      <xdr:nvGraphicFramePr>
        <xdr:cNvPr id="3" name="Chart 2"/>
        <xdr:cNvGraphicFramePr/>
      </xdr:nvGraphicFramePr>
      <xdr:xfrm>
        <a:off x="9163080" y="4000680"/>
        <a:ext cx="71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190440</xdr:rowOff>
    </xdr:from>
    <xdr:to>
      <xdr:col>26</xdr:col>
      <xdr:colOff>403920</xdr:colOff>
      <xdr:row>29</xdr:row>
      <xdr:rowOff>35640</xdr:rowOff>
    </xdr:to>
    <xdr:graphicFrame>
      <xdr:nvGraphicFramePr>
        <xdr:cNvPr id="4" name="Chart 1"/>
        <xdr:cNvGraphicFramePr/>
      </xdr:nvGraphicFramePr>
      <xdr:xfrm>
        <a:off x="9210600" y="190440"/>
        <a:ext cx="107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190440</xdr:rowOff>
    </xdr:from>
    <xdr:to>
      <xdr:col>26</xdr:col>
      <xdr:colOff>403920</xdr:colOff>
      <xdr:row>29</xdr:row>
      <xdr:rowOff>35640</xdr:rowOff>
    </xdr:to>
    <xdr:graphicFrame>
      <xdr:nvGraphicFramePr>
        <xdr:cNvPr id="5" name="Chart 1"/>
        <xdr:cNvGraphicFramePr/>
      </xdr:nvGraphicFramePr>
      <xdr:xfrm>
        <a:off x="9210600" y="190440"/>
        <a:ext cx="107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n">
        <v>2026</v>
      </c>
      <c r="C3" s="5" t="s">
        <v>5</v>
      </c>
    </row>
    <row r="4" customFormat="false" ht="15" hidden="false" customHeight="false" outlineLevel="0" collapsed="false">
      <c r="A4" s="3" t="s">
        <v>6</v>
      </c>
      <c r="B4" s="4" t="n">
        <v>107</v>
      </c>
      <c r="C4" s="5" t="s">
        <v>7</v>
      </c>
    </row>
    <row r="5" customFormat="false" ht="15" hidden="false" customHeight="false" outlineLevel="0" collapsed="false">
      <c r="A5" s="3" t="s">
        <v>8</v>
      </c>
      <c r="B5" s="6" t="n">
        <f aca="false">IF(B4=0,"",1/B4)</f>
        <v>0.00934579439252336</v>
      </c>
      <c r="C5" s="5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  <c r="C6" s="5" t="s">
        <v>12</v>
      </c>
    </row>
    <row r="7" customFormat="false" ht="15" hidden="false" customHeight="false" outlineLevel="0" collapsed="false">
      <c r="A7" s="3" t="s">
        <v>13</v>
      </c>
      <c r="B7" s="4" t="s">
        <v>14</v>
      </c>
      <c r="C7" s="5" t="s">
        <v>15</v>
      </c>
    </row>
    <row r="8" customFormat="false" ht="15" hidden="false" customHeight="false" outlineLevel="0" collapsed="false">
      <c r="A8" s="3" t="s">
        <v>16</v>
      </c>
      <c r="B8" s="7" t="n">
        <v>0.8</v>
      </c>
      <c r="C8" s="5" t="s">
        <v>17</v>
      </c>
    </row>
    <row r="11" customFormat="false" ht="15" hidden="false" customHeight="false" outlineLevel="0" collapsed="false">
      <c r="A11" s="8" t="s">
        <v>18</v>
      </c>
      <c r="B11" s="9" t="s">
        <v>19</v>
      </c>
    </row>
    <row r="12" customFormat="false" ht="15" hidden="false" customHeight="false" outlineLevel="0" collapsed="false">
      <c r="A12" s="8" t="s">
        <v>20</v>
      </c>
      <c r="B12" s="10" t="n">
        <v>46119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3"/>
    <col collapsed="false" customWidth="true" hidden="false" outlineLevel="0" max="11" min="11" style="0" width="20"/>
    <col collapsed="false" customWidth="true" hidden="false" outlineLevel="0" max="12" min="12" style="0" width="18"/>
  </cols>
  <sheetData>
    <row r="1" customFormat="false" ht="22.05" hidden="false" customHeight="false" outlineLevel="0" collapsed="false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5" hidden="false" customHeight="false" outlineLevel="0" collapsed="false">
      <c r="A2" s="12" t="s">
        <v>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customFormat="false" ht="15" hidden="false" customHeight="false" outlineLevel="0" collapsed="false">
      <c r="A4" s="13" t="s">
        <v>23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customFormat="false" ht="19.7" hidden="false" customHeight="false" outlineLevel="0" collapsed="false">
      <c r="B5" s="14" t="s">
        <v>24</v>
      </c>
      <c r="C5" s="15" t="n">
        <f aca="true">SUMPRODUCT((Expenses!E$3:E$1002="GBP")*(MONTH(Expenses!A$3:A$1002)=MONTH(TODAY()))*(YEAR(Expenses!A$3:A$1002)=2026)*(Expenses!A$3:A$1002&lt;&gt;"")*Expenses!D$3:D$1002)</f>
        <v>0</v>
      </c>
      <c r="E5" s="14" t="s">
        <v>25</v>
      </c>
      <c r="F5" s="15" t="n">
        <f aca="true">SUMPRODUCT((Income!D$3:D$502="GBP")*(MONTH(Income!A$3:A$502)=MONTH(TODAY()))*(YEAR(Income!A$3:A$502)=2026)*(Income!A$3:A$502&lt;&gt;"")*Income!C$3:C$502)</f>
        <v>0</v>
      </c>
      <c r="H5" s="14" t="s">
        <v>26</v>
      </c>
      <c r="I5" s="15" t="n">
        <f aca="true">SUMPRODUCT((Expenses!E$3:E$1002="INR")*(MONTH(Expenses!A$3:A$1002)=MONTH(TODAY()))*(YEAR(Expenses!A$3:A$1002)=2026)*(Expenses!A$3:A$1002&lt;&gt;"")*Expenses!D$3:D$1002)</f>
        <v>0</v>
      </c>
      <c r="K5" s="14" t="s">
        <v>27</v>
      </c>
      <c r="L5" s="15" t="n">
        <f aca="true">SUMPRODUCT((Income!D$3:D$502="INR")*(MONTH(Income!A$3:A$502)=MONTH(TODAY()))*(YEAR(Income!A$3:A$502)=2026)*(Income!A$3:A$502&lt;&gt;"")*Income!C$3:C$502)</f>
        <v>0</v>
      </c>
    </row>
    <row r="6" customFormat="false" ht="15" hidden="false" customHeight="false" outlineLevel="0" collapsed="false">
      <c r="B6" s="16"/>
      <c r="E6" s="16"/>
      <c r="H6" s="16"/>
      <c r="K6" s="16"/>
    </row>
    <row r="7" customFormat="false" ht="19.7" hidden="false" customHeight="false" outlineLevel="0" collapsed="false">
      <c r="B7" s="14" t="s">
        <v>28</v>
      </c>
      <c r="C7" s="17" t="n">
        <f aca="false">C5-C6</f>
        <v>0</v>
      </c>
      <c r="E7" s="14" t="s">
        <v>29</v>
      </c>
      <c r="F7" s="18" t="n">
        <f aca="false">F5-F6</f>
        <v>0</v>
      </c>
    </row>
    <row r="9" customFormat="false" ht="15" hidden="false" customHeight="false" outlineLevel="0" collapsed="false">
      <c r="A9" s="19" t="s">
        <v>30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customFormat="false" ht="19.7" hidden="false" customHeight="false" outlineLevel="0" collapsed="false">
      <c r="B10" s="14" t="s">
        <v>31</v>
      </c>
      <c r="C10" s="17" t="n">
        <f aca="false">Balances!B20</f>
        <v>0</v>
      </c>
      <c r="E10" s="14" t="s">
        <v>32</v>
      </c>
      <c r="F10" s="17" t="n">
        <f aca="false">Balances!B21</f>
        <v>0</v>
      </c>
      <c r="H10" s="14" t="s">
        <v>33</v>
      </c>
      <c r="I10" s="18" t="n">
        <f aca="false">Balances!B22</f>
        <v>0</v>
      </c>
      <c r="K10" s="14" t="s">
        <v>34</v>
      </c>
      <c r="L10" s="18" t="n">
        <f aca="false">Balances!B23</f>
        <v>0</v>
      </c>
    </row>
    <row r="12" customFormat="false" ht="22.05" hidden="false" customHeight="false" outlineLevel="0" collapsed="false">
      <c r="B12" s="20" t="s">
        <v>35</v>
      </c>
      <c r="C12" s="21" t="n">
        <f aca="false">Balances!B25</f>
        <v>107</v>
      </c>
    </row>
    <row r="14" customFormat="false" ht="15" hidden="false" customHeight="false" outlineLevel="0" collapsed="false">
      <c r="A14" s="22" t="s">
        <v>36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customFormat="false" ht="19.7" hidden="false" customHeight="false" outlineLevel="0" collapsed="false">
      <c r="B15" s="14" t="s">
        <v>37</v>
      </c>
      <c r="C15" s="17" t="n">
        <f aca="false">SUMPRODUCT((Expenses!E$3:E$1002="GBP")*(YEAR(Expenses!A$3:A$1002)=2026)*(Expenses!A$3:A$1002&lt;&gt;"")*Expenses!D$3:D$1002)</f>
        <v>0</v>
      </c>
      <c r="E15" s="14" t="s">
        <v>38</v>
      </c>
      <c r="F15" s="17" t="n">
        <f aca="false">SUMPRODUCT((Income!D$3:D$502="GBP")*(YEAR(Income!A$3:A$502)=2026)*(Income!A$3:A$502&lt;&gt;"")*Income!C$3:C$502)</f>
        <v>0</v>
      </c>
      <c r="H15" s="14" t="s">
        <v>39</v>
      </c>
      <c r="I15" s="18" t="n">
        <f aca="false">SUMPRODUCT((Expenses!E$3:E$1002="INR")*(YEAR(Expenses!A$3:A$1002)=2026)*(Expenses!A$3:A$1002&lt;&gt;"")*Expenses!D$3:D$1002)</f>
        <v>0</v>
      </c>
      <c r="K15" s="14" t="s">
        <v>40</v>
      </c>
      <c r="L15" s="18" t="n">
        <f aca="false">SUMPRODUCT((Income!D$3:D$502="INR")*(YEAR(Income!A$3:A$502)=2026)*(Income!A$3:A$502&lt;&gt;"")*Income!C$3:C$502)</f>
        <v>0</v>
      </c>
    </row>
    <row r="18" customFormat="false" ht="15" hidden="false" customHeight="false" outlineLevel="0" collapsed="false">
      <c r="A18" s="23" t="s">
        <v>41</v>
      </c>
      <c r="B18" s="23"/>
      <c r="C18" s="23"/>
      <c r="D18" s="23"/>
      <c r="E18" s="23"/>
      <c r="F18" s="23"/>
    </row>
    <row r="19" customFormat="false" ht="15" hidden="false" customHeight="false" outlineLevel="0" collapsed="false">
      <c r="B19" s="5" t="s">
        <v>42</v>
      </c>
      <c r="C19" s="24" t="n">
        <f aca="true">SUMPRODUCT((Expenses!C$3:C$1002="Rent")*(Expenses!E$3:E$1002="GBP")*(MONTH(Expenses!A$3:A$1002)=MONTH(TODAY()))*(YEAR(Expenses!A$3:A$1002)=2026)*(Expenses!A$3:A$1002&lt;&gt;"")*Expenses!D$3:D$1002)</f>
        <v>0</v>
      </c>
    </row>
    <row r="20" customFormat="false" ht="15" hidden="false" customHeight="false" outlineLevel="0" collapsed="false">
      <c r="B20" s="5" t="s">
        <v>43</v>
      </c>
      <c r="C20" s="24" t="n">
        <f aca="true">SUMPRODUCT((Expenses!C$3:C$1002="Transport")*(Expenses!E$3:E$1002="GBP")*(MONTH(Expenses!A$3:A$1002)=MONTH(TODAY()))*(YEAR(Expenses!A$3:A$1002)=2026)*(Expenses!A$3:A$1002&lt;&gt;"")*Expenses!D$3:D$1002)</f>
        <v>0</v>
      </c>
    </row>
    <row r="21" customFormat="false" ht="15" hidden="false" customHeight="false" outlineLevel="0" collapsed="false">
      <c r="B21" s="5" t="s">
        <v>44</v>
      </c>
      <c r="C21" s="24" t="n">
        <f aca="true">SUMPRODUCT((Expenses!C$3:C$1002="Travel")*(Expenses!E$3:E$1002="GBP")*(MONTH(Expenses!A$3:A$1002)=MONTH(TODAY()))*(YEAR(Expenses!A$3:A$1002)=2026)*(Expenses!A$3:A$1002&lt;&gt;"")*Expenses!D$3:D$1002)</f>
        <v>0</v>
      </c>
    </row>
    <row r="22" customFormat="false" ht="15" hidden="false" customHeight="false" outlineLevel="0" collapsed="false">
      <c r="B22" s="5" t="s">
        <v>45</v>
      </c>
      <c r="C22" s="24" t="n">
        <f aca="true">SUMPRODUCT((Expenses!C$3:C$1002="Shopping")*(Expenses!E$3:E$1002="GBP")*(MONTH(Expenses!A$3:A$1002)=MONTH(TODAY()))*(YEAR(Expenses!A$3:A$1002)=2026)*(Expenses!A$3:A$1002&lt;&gt;"")*Expenses!D$3:D$1002)</f>
        <v>0</v>
      </c>
    </row>
    <row r="23" customFormat="false" ht="15" hidden="false" customHeight="false" outlineLevel="0" collapsed="false">
      <c r="B23" s="5" t="s">
        <v>46</v>
      </c>
      <c r="C23" s="24" t="n">
        <f aca="true">SUMPRODUCT((Expenses!C$3:C$1002="Electronics")*(Expenses!E$3:E$1002="GBP")*(MONTH(Expenses!A$3:A$1002)=MONTH(TODAY()))*(YEAR(Expenses!A$3:A$1002)=2026)*(Expenses!A$3:A$1002&lt;&gt;"")*Expenses!D$3:D$1002)</f>
        <v>0</v>
      </c>
    </row>
    <row r="24" customFormat="false" ht="15" hidden="false" customHeight="false" outlineLevel="0" collapsed="false">
      <c r="B24" s="5" t="s">
        <v>47</v>
      </c>
      <c r="C24" s="24" t="n">
        <f aca="true">SUMPRODUCT((Expenses!C$3:C$1002="Subscriptions")*(Expenses!E$3:E$1002="GBP")*(MONTH(Expenses!A$3:A$1002)=MONTH(TODAY()))*(YEAR(Expenses!A$3:A$1002)=2026)*(Expenses!A$3:A$1002&lt;&gt;"")*Expenses!D$3:D$1002)</f>
        <v>0</v>
      </c>
    </row>
    <row r="25" customFormat="false" ht="15" hidden="false" customHeight="false" outlineLevel="0" collapsed="false">
      <c r="B25" s="5" t="s">
        <v>48</v>
      </c>
      <c r="C25" s="24" t="n">
        <f aca="true">SUMPRODUCT((Expenses!C$3:C$1002="Bills")*(Expenses!E$3:E$1002="GBP")*(MONTH(Expenses!A$3:A$1002)=MONTH(TODAY()))*(YEAR(Expenses!A$3:A$1002)=2026)*(Expenses!A$3:A$1002&lt;&gt;"")*Expenses!D$3:D$1002)</f>
        <v>0</v>
      </c>
    </row>
    <row r="26" customFormat="false" ht="15" hidden="false" customHeight="false" outlineLevel="0" collapsed="false">
      <c r="B26" s="5" t="s">
        <v>49</v>
      </c>
      <c r="C26" s="24" t="n">
        <f aca="true">SUMPRODUCT((Expenses!C$3:C$1002="Entertainment")*(Expenses!E$3:E$1002="GBP")*(MONTH(Expenses!A$3:A$1002)=MONTH(TODAY()))*(YEAR(Expenses!A$3:A$1002)=2026)*(Expenses!A$3:A$1002&lt;&gt;"")*Expenses!D$3:D$1002)</f>
        <v>0</v>
      </c>
    </row>
    <row r="27" customFormat="false" ht="15" hidden="false" customHeight="false" outlineLevel="0" collapsed="false">
      <c r="B27" s="5" t="s">
        <v>50</v>
      </c>
      <c r="C27" s="24" t="n">
        <f aca="true">SUMPRODUCT((Expenses!C$3:C$1002="Food and Drinks")*(Expenses!E$3:E$1002="GBP")*(MONTH(Expenses!A$3:A$1002)=MONTH(TODAY()))*(YEAR(Expenses!A$3:A$1002)=2026)*(Expenses!A$3:A$1002&lt;&gt;"")*Expenses!D$3:D$1002)</f>
        <v>0</v>
      </c>
    </row>
    <row r="28" customFormat="false" ht="15" hidden="false" customHeight="false" outlineLevel="0" collapsed="false">
      <c r="B28" s="5" t="s">
        <v>51</v>
      </c>
      <c r="C28" s="24" t="n">
        <f aca="true">SUMPRODUCT((Expenses!C$3:C$1002="Groceries")*(Expenses!E$3:E$1002="GBP")*(MONTH(Expenses!A$3:A$1002)=MONTH(TODAY()))*(YEAR(Expenses!A$3:A$1002)=2026)*(Expenses!A$3:A$1002&lt;&gt;"")*Expenses!D$3:D$1002)</f>
        <v>0</v>
      </c>
    </row>
    <row r="29" customFormat="false" ht="15" hidden="false" customHeight="false" outlineLevel="0" collapsed="false">
      <c r="B29" s="5" t="s">
        <v>52</v>
      </c>
      <c r="C29" s="24" t="n">
        <f aca="true">SUMPRODUCT((Expenses!C$3:C$1002="Others")*(Expenses!E$3:E$1002="GBP")*(MONTH(Expenses!A$3:A$1002)=MONTH(TODAY()))*(YEAR(Expenses!A$3:A$1002)=2026)*(Expenses!A$3:A$1002&lt;&gt;"")*Expenses!D$3:D$1002)</f>
        <v>0</v>
      </c>
    </row>
    <row r="30" customFormat="false" ht="15" hidden="false" customHeight="false" outlineLevel="0" collapsed="false">
      <c r="B30" s="5" t="s">
        <v>53</v>
      </c>
      <c r="C30" s="24" t="n">
        <f aca="true">SUMPRODUCT((Expenses!C$3:C$1002="Gifts")*(Expenses!E$3:E$1002="GBP")*(MONTH(Expenses!A$3:A$1002)=MONTH(TODAY()))*(YEAR(Expenses!A$3:A$1002)=2026)*(Expenses!A$3:A$1002&lt;&gt;"")*Expenses!D$3:D$1002)</f>
        <v>0</v>
      </c>
    </row>
    <row r="31" customFormat="false" ht="15" hidden="false" customHeight="false" outlineLevel="0" collapsed="false">
      <c r="B31" s="5" t="s">
        <v>54</v>
      </c>
      <c r="C31" s="24" t="n">
        <f aca="true">SUMPRODUCT((Expenses!C$3:C$1002="Donations")*(Expenses!E$3:E$1002="GBP")*(MONTH(Expenses!A$3:A$1002)=MONTH(TODAY()))*(YEAR(Expenses!A$3:A$1002)=2026)*(Expenses!A$3:A$1002&lt;&gt;"")*Expenses!D$3:D$1002)</f>
        <v>0</v>
      </c>
    </row>
    <row r="32" customFormat="false" ht="15" hidden="false" customHeight="false" outlineLevel="0" collapsed="false">
      <c r="B32" s="5" t="s">
        <v>55</v>
      </c>
      <c r="C32" s="24" t="n">
        <f aca="true">SUMPRODUCT((Expenses!C$3:C$1002="Investments")*(Expenses!E$3:E$1002="GBP")*(MONTH(Expenses!A$3:A$1002)=MONTH(TODAY()))*(YEAR(Expenses!A$3:A$1002)=2026)*(Expenses!A$3:A$1002&lt;&gt;"")*Expenses!D$3:D$1002)</f>
        <v>0</v>
      </c>
    </row>
  </sheetData>
  <mergeCells count="6">
    <mergeCell ref="A1:L1"/>
    <mergeCell ref="A2:L2"/>
    <mergeCell ref="A4:L4"/>
    <mergeCell ref="A9:L9"/>
    <mergeCell ref="A14:L14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</row>
    <row r="2" customFormat="false" ht="26.85" hidden="false" customHeight="false" outlineLevel="0" collapsed="false">
      <c r="A2" s="25" t="s">
        <v>57</v>
      </c>
      <c r="B2" s="25" t="s">
        <v>58</v>
      </c>
      <c r="C2" s="25" t="s">
        <v>59</v>
      </c>
      <c r="D2" s="25" t="s">
        <v>60</v>
      </c>
      <c r="E2" s="25" t="s">
        <v>61</v>
      </c>
      <c r="F2" s="25" t="s">
        <v>62</v>
      </c>
      <c r="G2" s="25" t="s">
        <v>63</v>
      </c>
      <c r="H2" s="25" t="s">
        <v>64</v>
      </c>
      <c r="I2" s="25" t="s">
        <v>65</v>
      </c>
    </row>
    <row r="3" customFormat="false" ht="15" hidden="false" customHeight="false" outlineLevel="0" collapsed="false">
      <c r="A3" s="3" t="s">
        <v>66</v>
      </c>
      <c r="B3" s="5" t="s">
        <v>67</v>
      </c>
      <c r="C3" s="5" t="s">
        <v>11</v>
      </c>
      <c r="D3" s="26"/>
      <c r="E3" s="26"/>
      <c r="F3" s="27"/>
      <c r="G3" s="5" t="s">
        <v>68</v>
      </c>
      <c r="H3" s="28"/>
      <c r="I3" s="26"/>
    </row>
    <row r="4" customFormat="false" ht="15" hidden="false" customHeight="false" outlineLevel="0" collapsed="false">
      <c r="A4" s="29" t="s">
        <v>69</v>
      </c>
      <c r="B4" s="30" t="s">
        <v>67</v>
      </c>
      <c r="C4" s="30" t="s">
        <v>11</v>
      </c>
      <c r="D4" s="26"/>
      <c r="E4" s="26"/>
      <c r="F4" s="27"/>
      <c r="G4" s="30" t="s">
        <v>68</v>
      </c>
      <c r="H4" s="28"/>
      <c r="I4" s="26"/>
    </row>
    <row r="5" customFormat="false" ht="15" hidden="false" customHeight="false" outlineLevel="0" collapsed="false">
      <c r="A5" s="3" t="s">
        <v>70</v>
      </c>
      <c r="B5" s="5" t="s">
        <v>67</v>
      </c>
      <c r="C5" s="5" t="s">
        <v>11</v>
      </c>
      <c r="D5" s="26"/>
      <c r="E5" s="26"/>
      <c r="F5" s="27"/>
      <c r="G5" s="5" t="s">
        <v>68</v>
      </c>
      <c r="H5" s="28"/>
      <c r="I5" s="26"/>
    </row>
    <row r="6" customFormat="false" ht="15" hidden="false" customHeight="false" outlineLevel="0" collapsed="false">
      <c r="A6" s="29" t="s">
        <v>71</v>
      </c>
      <c r="B6" s="30" t="s">
        <v>67</v>
      </c>
      <c r="C6" s="30" t="s">
        <v>11</v>
      </c>
      <c r="D6" s="26"/>
      <c r="E6" s="26"/>
      <c r="F6" s="27"/>
      <c r="G6" s="30" t="s">
        <v>68</v>
      </c>
      <c r="H6" s="28"/>
      <c r="I6" s="26"/>
    </row>
    <row r="7" customFormat="false" ht="15" hidden="false" customHeight="false" outlineLevel="0" collapsed="false">
      <c r="A7" s="3" t="s">
        <v>72</v>
      </c>
      <c r="B7" s="5" t="s">
        <v>73</v>
      </c>
      <c r="C7" s="5" t="s">
        <v>11</v>
      </c>
      <c r="D7" s="26"/>
      <c r="E7" s="26"/>
      <c r="F7" s="27"/>
      <c r="G7" s="5" t="s">
        <v>68</v>
      </c>
      <c r="H7" s="28"/>
      <c r="I7" s="26"/>
    </row>
    <row r="8" customFormat="false" ht="15" hidden="false" customHeight="false" outlineLevel="0" collapsed="false">
      <c r="A8" s="29" t="s">
        <v>74</v>
      </c>
      <c r="B8" s="30" t="s">
        <v>75</v>
      </c>
      <c r="C8" s="30" t="s">
        <v>11</v>
      </c>
      <c r="D8" s="26"/>
      <c r="E8" s="26"/>
      <c r="F8" s="27"/>
      <c r="G8" s="30" t="s">
        <v>68</v>
      </c>
      <c r="H8" s="28"/>
      <c r="I8" s="26"/>
    </row>
    <row r="9" customFormat="false" ht="15" hidden="false" customHeight="false" outlineLevel="0" collapsed="false">
      <c r="A9" s="3" t="s">
        <v>76</v>
      </c>
      <c r="B9" s="5" t="s">
        <v>75</v>
      </c>
      <c r="C9" s="5" t="s">
        <v>11</v>
      </c>
      <c r="D9" s="26"/>
      <c r="E9" s="26"/>
      <c r="F9" s="27"/>
      <c r="G9" s="5" t="s">
        <v>68</v>
      </c>
      <c r="H9" s="28"/>
      <c r="I9" s="26"/>
    </row>
    <row r="10" customFormat="false" ht="15" hidden="false" customHeight="false" outlineLevel="0" collapsed="false">
      <c r="A10" s="29" t="s">
        <v>77</v>
      </c>
      <c r="B10" s="30" t="s">
        <v>75</v>
      </c>
      <c r="C10" s="30" t="s">
        <v>11</v>
      </c>
      <c r="D10" s="26"/>
      <c r="E10" s="26"/>
      <c r="F10" s="27"/>
      <c r="G10" s="30" t="s">
        <v>68</v>
      </c>
      <c r="H10" s="28"/>
      <c r="I10" s="26"/>
    </row>
    <row r="11" customFormat="false" ht="15" hidden="false" customHeight="false" outlineLevel="0" collapsed="false">
      <c r="A11" s="3" t="s">
        <v>78</v>
      </c>
      <c r="B11" s="5" t="s">
        <v>75</v>
      </c>
      <c r="C11" s="5" t="s">
        <v>11</v>
      </c>
      <c r="D11" s="26"/>
      <c r="E11" s="26"/>
      <c r="F11" s="27"/>
      <c r="G11" s="5" t="s">
        <v>68</v>
      </c>
      <c r="H11" s="28"/>
      <c r="I11" s="26"/>
    </row>
    <row r="12" customFormat="false" ht="15" hidden="false" customHeight="false" outlineLevel="0" collapsed="false">
      <c r="A12" s="29" t="s">
        <v>79</v>
      </c>
      <c r="B12" s="30" t="s">
        <v>80</v>
      </c>
      <c r="C12" s="30" t="s">
        <v>11</v>
      </c>
      <c r="D12" s="26"/>
      <c r="E12" s="26"/>
      <c r="F12" s="27"/>
      <c r="G12" s="30" t="s">
        <v>68</v>
      </c>
      <c r="H12" s="28"/>
      <c r="I12" s="26"/>
    </row>
    <row r="13" customFormat="false" ht="15" hidden="false" customHeight="false" outlineLevel="0" collapsed="false">
      <c r="A13" s="3" t="s">
        <v>81</v>
      </c>
      <c r="B13" s="5" t="s">
        <v>82</v>
      </c>
      <c r="C13" s="5" t="s">
        <v>11</v>
      </c>
      <c r="D13" s="26"/>
      <c r="E13" s="26"/>
      <c r="F13" s="27"/>
      <c r="G13" s="5" t="s">
        <v>68</v>
      </c>
      <c r="H13" s="28"/>
      <c r="I13" s="26"/>
    </row>
    <row r="14" customFormat="false" ht="15" hidden="false" customHeight="false" outlineLevel="0" collapsed="false">
      <c r="A14" s="29" t="s">
        <v>83</v>
      </c>
      <c r="B14" s="30" t="s">
        <v>67</v>
      </c>
      <c r="C14" s="30" t="s">
        <v>84</v>
      </c>
      <c r="D14" s="26"/>
      <c r="E14" s="26"/>
      <c r="F14" s="27"/>
      <c r="G14" s="30" t="s">
        <v>68</v>
      </c>
      <c r="H14" s="28"/>
      <c r="I14" s="26"/>
    </row>
    <row r="15" customFormat="false" ht="15" hidden="false" customHeight="false" outlineLevel="0" collapsed="false">
      <c r="A15" s="3" t="s">
        <v>85</v>
      </c>
      <c r="B15" s="5" t="s">
        <v>75</v>
      </c>
      <c r="C15" s="5" t="s">
        <v>84</v>
      </c>
      <c r="D15" s="26"/>
      <c r="E15" s="26"/>
      <c r="F15" s="27"/>
      <c r="G15" s="5" t="s">
        <v>68</v>
      </c>
      <c r="H15" s="28"/>
      <c r="I15" s="26"/>
    </row>
    <row r="16" customFormat="false" ht="15" hidden="false" customHeight="false" outlineLevel="0" collapsed="false">
      <c r="A16" s="29" t="s">
        <v>86</v>
      </c>
      <c r="B16" s="30" t="s">
        <v>75</v>
      </c>
      <c r="C16" s="30" t="s">
        <v>84</v>
      </c>
      <c r="D16" s="26"/>
      <c r="E16" s="26"/>
      <c r="F16" s="27"/>
      <c r="G16" s="30" t="s">
        <v>68</v>
      </c>
      <c r="H16" s="28"/>
      <c r="I16" s="26"/>
    </row>
    <row r="17" customFormat="false" ht="15" hidden="false" customHeight="false" outlineLevel="0" collapsed="false">
      <c r="A17" s="3" t="s">
        <v>87</v>
      </c>
      <c r="B17" s="5" t="s">
        <v>75</v>
      </c>
      <c r="C17" s="5" t="s">
        <v>84</v>
      </c>
      <c r="D17" s="26"/>
      <c r="E17" s="26"/>
      <c r="F17" s="27"/>
      <c r="G17" s="5" t="s">
        <v>68</v>
      </c>
      <c r="H17" s="28"/>
      <c r="I17" s="26"/>
    </row>
    <row r="18" customFormat="false" ht="15" hidden="false" customHeight="false" outlineLevel="0" collapsed="false">
      <c r="A18" s="26"/>
      <c r="B18" s="26"/>
      <c r="C18" s="26"/>
      <c r="D18" s="26"/>
      <c r="E18" s="26"/>
      <c r="F18" s="26"/>
      <c r="G18" s="26"/>
      <c r="H18" s="26"/>
      <c r="I18" s="26"/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  <c r="G19" s="26"/>
      <c r="H19" s="26"/>
      <c r="I19" s="26"/>
    </row>
    <row r="20" customFormat="false" ht="15" hidden="false" customHeight="false" outlineLevel="0" collapsed="false">
      <c r="A20" s="26"/>
      <c r="B20" s="26"/>
      <c r="C20" s="26"/>
      <c r="D20" s="26"/>
      <c r="E20" s="26"/>
      <c r="F20" s="26"/>
      <c r="G20" s="26"/>
      <c r="H20" s="26"/>
      <c r="I20" s="26"/>
    </row>
    <row r="21" customFormat="false" ht="15" hidden="false" customHeight="false" outlineLevel="0" collapsed="false">
      <c r="A21" s="26"/>
      <c r="B21" s="26"/>
      <c r="C21" s="26"/>
      <c r="D21" s="26"/>
      <c r="E21" s="26"/>
      <c r="F21" s="26"/>
      <c r="G21" s="26"/>
      <c r="H21" s="26"/>
      <c r="I21" s="26"/>
    </row>
    <row r="22" customFormat="false" ht="15" hidden="false" customHeight="false" outlineLevel="0" collapsed="false">
      <c r="A22" s="26"/>
      <c r="B22" s="26"/>
      <c r="C22" s="26"/>
      <c r="D22" s="26"/>
      <c r="E22" s="26"/>
      <c r="F22" s="26"/>
      <c r="G22" s="26"/>
      <c r="H22" s="26"/>
      <c r="I22" s="26"/>
    </row>
    <row r="23" customFormat="false" ht="15" hidden="false" customHeight="false" outlineLevel="0" collapsed="false">
      <c r="A23" s="26"/>
      <c r="B23" s="26"/>
      <c r="C23" s="26"/>
      <c r="D23" s="26"/>
      <c r="E23" s="26"/>
      <c r="F23" s="26"/>
      <c r="G23" s="26"/>
      <c r="H23" s="26"/>
      <c r="I23" s="26"/>
    </row>
    <row r="24" customFormat="false" ht="15" hidden="false" customHeight="false" outlineLevel="0" collapsed="false">
      <c r="A24" s="26"/>
      <c r="B24" s="26"/>
      <c r="C24" s="26"/>
      <c r="D24" s="26"/>
      <c r="E24" s="26"/>
      <c r="F24" s="26"/>
      <c r="G24" s="26"/>
      <c r="H24" s="26"/>
      <c r="I24" s="26"/>
    </row>
    <row r="25" customFormat="false" ht="15" hidden="false" customHeight="false" outlineLevel="0" collapsed="false">
      <c r="A25" s="26"/>
      <c r="B25" s="26"/>
      <c r="C25" s="26"/>
      <c r="D25" s="26"/>
      <c r="E25" s="26"/>
      <c r="F25" s="26"/>
      <c r="G25" s="26"/>
      <c r="H25" s="26"/>
      <c r="I25" s="26"/>
    </row>
    <row r="26" customFormat="false" ht="15" hidden="false" customHeight="false" outlineLevel="0" collapsed="false">
      <c r="A26" s="26"/>
      <c r="B26" s="26"/>
      <c r="C26" s="26"/>
      <c r="D26" s="26"/>
      <c r="E26" s="26"/>
      <c r="F26" s="26"/>
      <c r="G26" s="26"/>
      <c r="H26" s="26"/>
      <c r="I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  <c r="G27" s="26"/>
      <c r="H27" s="26"/>
      <c r="I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  <c r="I28" s="26"/>
    </row>
    <row r="29" customFormat="false" ht="15" hidden="false" customHeight="false" outlineLevel="0" collapsed="false">
      <c r="A29" s="26"/>
      <c r="B29" s="26"/>
      <c r="C29" s="26"/>
      <c r="D29" s="26"/>
      <c r="E29" s="26"/>
      <c r="F29" s="26"/>
      <c r="G29" s="26"/>
      <c r="H29" s="26"/>
      <c r="I29" s="26"/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  <c r="G30" s="26"/>
      <c r="H30" s="26"/>
      <c r="I30" s="26"/>
    </row>
    <row r="31" customFormat="false" ht="15" hidden="false" customHeight="false" outlineLevel="0" collapsed="false">
      <c r="A31" s="26"/>
      <c r="B31" s="26"/>
      <c r="C31" s="26"/>
      <c r="D31" s="26"/>
      <c r="E31" s="26"/>
      <c r="F31" s="26"/>
      <c r="G31" s="26"/>
      <c r="H31" s="26"/>
      <c r="I31" s="26"/>
    </row>
    <row r="32" customFormat="false" ht="15" hidden="false" customHeight="false" outlineLevel="0" collapsed="false">
      <c r="A32" s="26"/>
      <c r="B32" s="26"/>
      <c r="C32" s="26"/>
      <c r="D32" s="26"/>
      <c r="E32" s="26"/>
      <c r="F32" s="26"/>
      <c r="G32" s="26"/>
      <c r="H32" s="26"/>
      <c r="I32" s="26"/>
    </row>
    <row r="33" customFormat="false" ht="15" hidden="false" customHeight="false" outlineLevel="0" collapsed="false">
      <c r="A33" s="26"/>
      <c r="B33" s="26"/>
      <c r="C33" s="26"/>
      <c r="D33" s="26"/>
      <c r="E33" s="26"/>
      <c r="F33" s="26"/>
      <c r="G33" s="26"/>
      <c r="H33" s="26"/>
      <c r="I33" s="26"/>
    </row>
    <row r="34" customFormat="false" ht="15" hidden="false" customHeight="false" outlineLevel="0" collapsed="false">
      <c r="A34" s="26"/>
      <c r="B34" s="26"/>
      <c r="C34" s="26"/>
      <c r="D34" s="26"/>
      <c r="E34" s="26"/>
      <c r="F34" s="26"/>
      <c r="G34" s="26"/>
      <c r="H34" s="26"/>
      <c r="I34" s="26"/>
    </row>
    <row r="35" customFormat="false" ht="15" hidden="false" customHeight="false" outlineLevel="0" collapsed="false">
      <c r="A35" s="26"/>
      <c r="B35" s="26"/>
      <c r="C35" s="26"/>
      <c r="D35" s="26"/>
      <c r="E35" s="26"/>
      <c r="F35" s="26"/>
      <c r="G35" s="26"/>
      <c r="H35" s="26"/>
      <c r="I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</row>
    <row r="37" customFormat="false" ht="15" hidden="false" customHeight="false" outlineLevel="0" collapsed="false">
      <c r="A37" s="26"/>
      <c r="B37" s="26"/>
      <c r="C37" s="26"/>
      <c r="D37" s="26"/>
      <c r="E37" s="26"/>
      <c r="F37" s="26"/>
      <c r="G37" s="26"/>
      <c r="H37" s="26"/>
      <c r="I37" s="26"/>
    </row>
    <row r="38" customFormat="false" ht="15" hidden="false" customHeight="false" outlineLevel="0" collapsed="false">
      <c r="A38" s="26"/>
      <c r="B38" s="26"/>
      <c r="C38" s="26"/>
      <c r="D38" s="26"/>
      <c r="E38" s="26"/>
      <c r="F38" s="26"/>
      <c r="G38" s="26"/>
      <c r="H38" s="26"/>
      <c r="I38" s="26"/>
    </row>
    <row r="39" customFormat="false" ht="15" hidden="false" customHeight="false" outlineLevel="0" collapsed="false">
      <c r="A39" s="26"/>
      <c r="B39" s="26"/>
      <c r="C39" s="26"/>
      <c r="D39" s="26"/>
      <c r="E39" s="26"/>
      <c r="F39" s="26"/>
      <c r="G39" s="26"/>
      <c r="H39" s="26"/>
      <c r="I39" s="26"/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6"/>
      <c r="G40" s="26"/>
      <c r="H40" s="26"/>
      <c r="I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6"/>
      <c r="G41" s="26"/>
      <c r="H41" s="26"/>
      <c r="I41" s="26"/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6"/>
      <c r="G42" s="26"/>
      <c r="H42" s="26"/>
      <c r="I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6"/>
      <c r="G43" s="26"/>
      <c r="H43" s="26"/>
      <c r="I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6"/>
      <c r="G44" s="26"/>
      <c r="H44" s="26"/>
      <c r="I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6"/>
      <c r="G45" s="26"/>
      <c r="H45" s="26"/>
      <c r="I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6"/>
      <c r="G46" s="26"/>
      <c r="H46" s="26"/>
      <c r="I46" s="26"/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6"/>
      <c r="G47" s="26"/>
      <c r="H47" s="26"/>
      <c r="I47" s="26"/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6"/>
      <c r="G48" s="26"/>
      <c r="H48" s="26"/>
      <c r="I48" s="26"/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6"/>
      <c r="G49" s="26"/>
      <c r="H49" s="26"/>
      <c r="I49" s="26"/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6"/>
      <c r="G50" s="26"/>
      <c r="H50" s="26"/>
      <c r="I50" s="26"/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6"/>
      <c r="G51" s="26"/>
      <c r="H51" s="26"/>
      <c r="I51" s="26"/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6"/>
      <c r="G52" s="26"/>
      <c r="H52" s="26"/>
      <c r="I52" s="26"/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6"/>
      <c r="G53" s="26"/>
      <c r="H53" s="26"/>
      <c r="I53" s="26"/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6"/>
      <c r="G54" s="26"/>
      <c r="H54" s="26"/>
      <c r="I54" s="26"/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6"/>
      <c r="G55" s="26"/>
      <c r="H55" s="26"/>
      <c r="I55" s="26"/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6"/>
      <c r="G56" s="26"/>
      <c r="H56" s="26"/>
      <c r="I56" s="26"/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6"/>
      <c r="G57" s="26"/>
      <c r="H57" s="26"/>
      <c r="I57" s="26"/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6"/>
      <c r="G58" s="26"/>
      <c r="H58" s="26"/>
      <c r="I58" s="26"/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6"/>
      <c r="G59" s="26"/>
      <c r="H59" s="26"/>
      <c r="I59" s="26"/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6"/>
      <c r="G60" s="26"/>
      <c r="H60" s="26"/>
      <c r="I60" s="26"/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6"/>
      <c r="G61" s="26"/>
      <c r="H61" s="26"/>
      <c r="I61" s="26"/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6"/>
      <c r="G62" s="26"/>
      <c r="H62" s="26"/>
      <c r="I62" s="26"/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6"/>
      <c r="G63" s="26"/>
      <c r="H63" s="26"/>
      <c r="I63" s="26"/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6"/>
      <c r="G64" s="26"/>
      <c r="H64" s="26"/>
      <c r="I64" s="26"/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6"/>
      <c r="G65" s="26"/>
      <c r="H65" s="26"/>
      <c r="I65" s="26"/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6"/>
      <c r="G66" s="26"/>
      <c r="H66" s="26"/>
      <c r="I66" s="26"/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6"/>
      <c r="G67" s="26"/>
      <c r="H67" s="26"/>
      <c r="I67" s="26"/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6"/>
      <c r="G68" s="26"/>
      <c r="H68" s="26"/>
      <c r="I68" s="26"/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6"/>
      <c r="G69" s="26"/>
      <c r="H69" s="26"/>
      <c r="I69" s="26"/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6"/>
      <c r="G70" s="26"/>
      <c r="H70" s="26"/>
      <c r="I70" s="26"/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6"/>
      <c r="G71" s="26"/>
      <c r="H71" s="26"/>
      <c r="I71" s="26"/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6"/>
      <c r="G72" s="26"/>
      <c r="H72" s="26"/>
      <c r="I72" s="26"/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6"/>
      <c r="G73" s="26"/>
      <c r="H73" s="26"/>
      <c r="I73" s="26"/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6"/>
      <c r="G74" s="26"/>
      <c r="H74" s="26"/>
      <c r="I74" s="26"/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6"/>
      <c r="G75" s="26"/>
      <c r="H75" s="26"/>
      <c r="I75" s="26"/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6"/>
      <c r="G76" s="26"/>
      <c r="H76" s="26"/>
      <c r="I76" s="26"/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6"/>
      <c r="G77" s="26"/>
      <c r="H77" s="26"/>
      <c r="I77" s="26"/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6"/>
      <c r="G78" s="26"/>
      <c r="H78" s="26"/>
      <c r="I78" s="26"/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6"/>
      <c r="G79" s="26"/>
      <c r="H79" s="26"/>
      <c r="I79" s="26"/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6"/>
      <c r="G80" s="26"/>
      <c r="H80" s="26"/>
      <c r="I80" s="26"/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6"/>
      <c r="G81" s="26"/>
      <c r="H81" s="26"/>
      <c r="I81" s="26"/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6"/>
      <c r="G82" s="26"/>
      <c r="H82" s="26"/>
      <c r="I82" s="26"/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6"/>
      <c r="G83" s="26"/>
      <c r="H83" s="26"/>
      <c r="I83" s="26"/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6"/>
      <c r="G84" s="26"/>
      <c r="H84" s="26"/>
      <c r="I84" s="26"/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6"/>
      <c r="G85" s="26"/>
      <c r="H85" s="26"/>
      <c r="I85" s="26"/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6"/>
      <c r="G86" s="26"/>
      <c r="H86" s="26"/>
      <c r="I86" s="26"/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6"/>
      <c r="G87" s="26"/>
      <c r="H87" s="26"/>
      <c r="I87" s="26"/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6"/>
      <c r="G88" s="26"/>
      <c r="H88" s="26"/>
      <c r="I88" s="26"/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6"/>
      <c r="G89" s="26"/>
      <c r="H89" s="26"/>
      <c r="I89" s="26"/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6"/>
      <c r="G90" s="26"/>
      <c r="H90" s="26"/>
      <c r="I90" s="26"/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6"/>
      <c r="G91" s="26"/>
      <c r="H91" s="26"/>
      <c r="I91" s="26"/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6"/>
      <c r="G92" s="26"/>
      <c r="H92" s="26"/>
      <c r="I92" s="26"/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6"/>
      <c r="G93" s="26"/>
      <c r="H93" s="26"/>
      <c r="I93" s="26"/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6"/>
      <c r="G94" s="26"/>
      <c r="H94" s="26"/>
      <c r="I94" s="26"/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6"/>
      <c r="G95" s="26"/>
      <c r="H95" s="26"/>
      <c r="I95" s="26"/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6"/>
      <c r="G96" s="26"/>
      <c r="H96" s="26"/>
      <c r="I96" s="26"/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6"/>
      <c r="G97" s="26"/>
      <c r="H97" s="26"/>
      <c r="I97" s="26"/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6"/>
      <c r="G98" s="26"/>
      <c r="H98" s="26"/>
      <c r="I98" s="26"/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6"/>
      <c r="G99" s="26"/>
      <c r="H99" s="26"/>
      <c r="I99" s="26"/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6"/>
      <c r="G100" s="26"/>
      <c r="H100" s="26"/>
      <c r="I100" s="26"/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6"/>
      <c r="G101" s="26"/>
      <c r="H101" s="26"/>
      <c r="I101" s="26"/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6"/>
      <c r="G102" s="26"/>
      <c r="H102" s="26"/>
      <c r="I102" s="26"/>
    </row>
  </sheetData>
  <mergeCells count="1">
    <mergeCell ref="A1:I1"/>
  </mergeCells>
  <dataValidations count="3">
    <dataValidation allowBlank="true" errorStyle="stop" operator="between" showDropDown="false" showErrorMessage="false" showInputMessage="false" sqref="B3:B102" type="list">
      <formula1>"Bank Account,Credit Card,Pay Later,Travel Card,Expense Sharing,Digital Wallet,Loan Account"</formula1>
      <formula2>0</formula2>
    </dataValidation>
    <dataValidation allowBlank="true" errorStyle="stop" operator="between" showDropDown="false" showErrorMessage="false" showInputMessage="false" sqref="C3:C102" type="list">
      <formula1>"GBP,INR"</formula1>
      <formula2>0</formula2>
    </dataValidation>
    <dataValidation allowBlank="true" errorStyle="stop" operator="between" showDropDown="false" showErrorMessage="false" showInputMessage="false" sqref="G3:G102" type="list">
      <formula1>"Active,Closed"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1" t="s">
        <v>89</v>
      </c>
      <c r="B2" s="31" t="s">
        <v>90</v>
      </c>
      <c r="C2" s="31" t="s">
        <v>91</v>
      </c>
      <c r="D2" s="31" t="s">
        <v>92</v>
      </c>
      <c r="E2" s="31" t="s">
        <v>59</v>
      </c>
      <c r="F2" s="31" t="s">
        <v>93</v>
      </c>
      <c r="G2" s="31" t="s">
        <v>94</v>
      </c>
      <c r="H2" s="31" t="s">
        <v>95</v>
      </c>
      <c r="I2" s="31" t="s">
        <v>96</v>
      </c>
      <c r="J2" s="31" t="s">
        <v>65</v>
      </c>
    </row>
    <row r="3" customFormat="false" ht="15" hidden="false" customHeight="false" outlineLevel="0" collapsed="false">
      <c r="A3" s="28"/>
      <c r="B3" s="26"/>
      <c r="C3" s="26"/>
      <c r="D3" s="32"/>
      <c r="E3" s="33" t="str">
        <f aca="false">IF(F3="","",IF(OR(F3="HDFC Bank (INR)",F3="HDFC IOCL Credit Card (INR)",F3="HDFC Swiggy Credit Card (INR)",F3="Axis Airtel Credit Card (INR)"),"INR","GBP"))</f>
        <v/>
      </c>
      <c r="F3" s="26"/>
      <c r="G3" s="26"/>
      <c r="H3" s="34" t="n">
        <f aca="false">IF(G3="Yes","",D3)</f>
        <v>0</v>
      </c>
      <c r="I3" s="26"/>
      <c r="J3" s="26"/>
    </row>
    <row r="4" customFormat="false" ht="15" hidden="false" customHeight="false" outlineLevel="0" collapsed="false">
      <c r="A4" s="28"/>
      <c r="B4" s="26"/>
      <c r="C4" s="26"/>
      <c r="D4" s="32"/>
      <c r="E4" s="33" t="str">
        <f aca="false">IF(F4="","",IF(OR(F4="HDFC Bank (INR)",F4="HDFC IOCL Credit Card (INR)",F4="HDFC Swiggy Credit Card (INR)",F4="Axis Airtel Credit Card (INR)"),"INR","GBP"))</f>
        <v/>
      </c>
      <c r="F4" s="26"/>
      <c r="G4" s="26"/>
      <c r="H4" s="34" t="n">
        <f aca="false">IF(G4="Yes","",D4)</f>
        <v>0</v>
      </c>
      <c r="I4" s="26"/>
      <c r="J4" s="26"/>
    </row>
    <row r="5" customFormat="false" ht="15" hidden="false" customHeight="false" outlineLevel="0" collapsed="false">
      <c r="A5" s="28"/>
      <c r="B5" s="26"/>
      <c r="C5" s="26"/>
      <c r="D5" s="32"/>
      <c r="E5" s="33" t="str">
        <f aca="false">IF(F5="","",IF(OR(F5="HDFC Bank (INR)",F5="HDFC IOCL Credit Card (INR)",F5="HDFC Swiggy Credit Card (INR)",F5="Axis Airtel Credit Card (INR)"),"INR","GBP"))</f>
        <v/>
      </c>
      <c r="F5" s="26"/>
      <c r="G5" s="26"/>
      <c r="H5" s="34" t="n">
        <f aca="false">IF(G5="Yes","",D5)</f>
        <v>0</v>
      </c>
      <c r="I5" s="26"/>
      <c r="J5" s="26"/>
    </row>
    <row r="6" customFormat="false" ht="15" hidden="false" customHeight="false" outlineLevel="0" collapsed="false">
      <c r="A6" s="28"/>
      <c r="B6" s="26"/>
      <c r="C6" s="26"/>
      <c r="D6" s="32"/>
      <c r="E6" s="33" t="str">
        <f aca="false">IF(F6="","",IF(OR(F6="HDFC Bank (INR)",F6="HDFC IOCL Credit Card (INR)",F6="HDFC Swiggy Credit Card (INR)",F6="Axis Airtel Credit Card (INR)"),"INR","GBP"))</f>
        <v/>
      </c>
      <c r="F6" s="26"/>
      <c r="G6" s="26"/>
      <c r="H6" s="34" t="n">
        <f aca="false">IF(G6="Yes","",D6)</f>
        <v>0</v>
      </c>
      <c r="I6" s="26"/>
      <c r="J6" s="26"/>
    </row>
    <row r="7" customFormat="false" ht="15" hidden="false" customHeight="false" outlineLevel="0" collapsed="false">
      <c r="A7" s="28"/>
      <c r="B7" s="26"/>
      <c r="C7" s="26"/>
      <c r="D7" s="32"/>
      <c r="E7" s="33" t="str">
        <f aca="false">IF(F7="","",IF(OR(F7="HDFC Bank (INR)",F7="HDFC IOCL Credit Card (INR)",F7="HDFC Swiggy Credit Card (INR)",F7="Axis Airtel Credit Card (INR)"),"INR","GBP"))</f>
        <v/>
      </c>
      <c r="F7" s="26"/>
      <c r="G7" s="26"/>
      <c r="H7" s="34" t="n">
        <f aca="false">IF(G7="Yes","",D7)</f>
        <v>0</v>
      </c>
      <c r="I7" s="26"/>
      <c r="J7" s="26"/>
    </row>
    <row r="8" customFormat="false" ht="15" hidden="false" customHeight="false" outlineLevel="0" collapsed="false">
      <c r="A8" s="28"/>
      <c r="B8" s="26"/>
      <c r="C8" s="26"/>
      <c r="D8" s="32"/>
      <c r="E8" s="33" t="str">
        <f aca="false">IF(F8="","",IF(OR(F8="HDFC Bank (INR)",F8="HDFC IOCL Credit Card (INR)",F8="HDFC Swiggy Credit Card (INR)",F8="Axis Airtel Credit Card (INR)"),"INR","GBP"))</f>
        <v/>
      </c>
      <c r="F8" s="26"/>
      <c r="G8" s="26"/>
      <c r="H8" s="34" t="n">
        <f aca="false">IF(G8="Yes","",D8)</f>
        <v>0</v>
      </c>
      <c r="I8" s="26"/>
      <c r="J8" s="26"/>
    </row>
    <row r="9" customFormat="false" ht="15" hidden="false" customHeight="false" outlineLevel="0" collapsed="false">
      <c r="A9" s="28"/>
      <c r="B9" s="26"/>
      <c r="C9" s="26"/>
      <c r="D9" s="32"/>
      <c r="E9" s="33" t="str">
        <f aca="false">IF(F9="","",IF(OR(F9="HDFC Bank (INR)",F9="HDFC IOCL Credit Card (INR)",F9="HDFC Swiggy Credit Card (INR)",F9="Axis Airtel Credit Card (INR)"),"INR","GBP"))</f>
        <v/>
      </c>
      <c r="F9" s="26"/>
      <c r="G9" s="26"/>
      <c r="H9" s="34" t="n">
        <f aca="false">IF(G9="Yes","",D9)</f>
        <v>0</v>
      </c>
      <c r="I9" s="26"/>
      <c r="J9" s="26"/>
    </row>
    <row r="10" customFormat="false" ht="15" hidden="false" customHeight="false" outlineLevel="0" collapsed="false">
      <c r="A10" s="28"/>
      <c r="B10" s="26"/>
      <c r="C10" s="26"/>
      <c r="D10" s="32"/>
      <c r="E10" s="33" t="str">
        <f aca="false">IF(F10="","",IF(OR(F10="HDFC Bank (INR)",F10="HDFC IOCL Credit Card (INR)",F10="HDFC Swiggy Credit Card (INR)",F10="Axis Airtel Credit Card (INR)"),"INR","GBP"))</f>
        <v/>
      </c>
      <c r="F10" s="26"/>
      <c r="G10" s="26"/>
      <c r="H10" s="34" t="n">
        <f aca="false">IF(G10="Yes","",D10)</f>
        <v>0</v>
      </c>
      <c r="I10" s="26"/>
      <c r="J10" s="26"/>
    </row>
    <row r="11" customFormat="false" ht="15" hidden="false" customHeight="false" outlineLevel="0" collapsed="false">
      <c r="A11" s="28"/>
      <c r="B11" s="26"/>
      <c r="C11" s="26"/>
      <c r="D11" s="32"/>
      <c r="E11" s="33" t="str">
        <f aca="false">IF(F11="","",IF(OR(F11="HDFC Bank (INR)",F11="HDFC IOCL Credit Card (INR)",F11="HDFC Swiggy Credit Card (INR)",F11="Axis Airtel Credit Card (INR)"),"INR","GBP"))</f>
        <v/>
      </c>
      <c r="F11" s="26"/>
      <c r="G11" s="26"/>
      <c r="H11" s="34" t="n">
        <f aca="false">IF(G11="Yes","",D11)</f>
        <v>0</v>
      </c>
      <c r="I11" s="26"/>
      <c r="J11" s="26"/>
    </row>
    <row r="12" customFormat="false" ht="15" hidden="false" customHeight="false" outlineLevel="0" collapsed="false">
      <c r="A12" s="28"/>
      <c r="B12" s="26"/>
      <c r="C12" s="26"/>
      <c r="D12" s="32"/>
      <c r="E12" s="33" t="str">
        <f aca="false">IF(F12="","",IF(OR(F12="HDFC Bank (INR)",F12="HDFC IOCL Credit Card (INR)",F12="HDFC Swiggy Credit Card (INR)",F12="Axis Airtel Credit Card (INR)"),"INR","GBP"))</f>
        <v/>
      </c>
      <c r="F12" s="26"/>
      <c r="G12" s="26"/>
      <c r="H12" s="34" t="n">
        <f aca="false">IF(G12="Yes","",D12)</f>
        <v>0</v>
      </c>
      <c r="I12" s="26"/>
      <c r="J12" s="26"/>
    </row>
    <row r="13" customFormat="false" ht="15" hidden="false" customHeight="false" outlineLevel="0" collapsed="false">
      <c r="A13" s="28"/>
      <c r="B13" s="26"/>
      <c r="C13" s="26"/>
      <c r="D13" s="32"/>
      <c r="E13" s="33" t="str">
        <f aca="false">IF(F13="","",IF(OR(F13="HDFC Bank (INR)",F13="HDFC IOCL Credit Card (INR)",F13="HDFC Swiggy Credit Card (INR)",F13="Axis Airtel Credit Card (INR)"),"INR","GBP"))</f>
        <v/>
      </c>
      <c r="F13" s="26"/>
      <c r="G13" s="26"/>
      <c r="H13" s="34" t="n">
        <f aca="false">IF(G13="Yes","",D13)</f>
        <v>0</v>
      </c>
      <c r="I13" s="26"/>
      <c r="J13" s="26"/>
    </row>
    <row r="14" customFormat="false" ht="15" hidden="false" customHeight="false" outlineLevel="0" collapsed="false">
      <c r="A14" s="28"/>
      <c r="B14" s="26"/>
      <c r="C14" s="26"/>
      <c r="D14" s="32"/>
      <c r="E14" s="33" t="str">
        <f aca="false">IF(F14="","",IF(OR(F14="HDFC Bank (INR)",F14="HDFC IOCL Credit Card (INR)",F14="HDFC Swiggy Credit Card (INR)",F14="Axis Airtel Credit Card (INR)"),"INR","GBP"))</f>
        <v/>
      </c>
      <c r="F14" s="26"/>
      <c r="G14" s="26"/>
      <c r="H14" s="34" t="n">
        <f aca="false">IF(G14="Yes","",D14)</f>
        <v>0</v>
      </c>
      <c r="I14" s="26"/>
      <c r="J14" s="26"/>
    </row>
    <row r="15" customFormat="false" ht="15" hidden="false" customHeight="false" outlineLevel="0" collapsed="false">
      <c r="A15" s="28"/>
      <c r="B15" s="26"/>
      <c r="C15" s="26"/>
      <c r="D15" s="32"/>
      <c r="E15" s="33" t="str">
        <f aca="false">IF(F15="","",IF(OR(F15="HDFC Bank (INR)",F15="HDFC IOCL Credit Card (INR)",F15="HDFC Swiggy Credit Card (INR)",F15="Axis Airtel Credit Card (INR)"),"INR","GBP"))</f>
        <v/>
      </c>
      <c r="F15" s="26"/>
      <c r="G15" s="26"/>
      <c r="H15" s="34" t="n">
        <f aca="false">IF(G15="Yes","",D15)</f>
        <v>0</v>
      </c>
      <c r="I15" s="26"/>
      <c r="J15" s="26"/>
    </row>
    <row r="16" customFormat="false" ht="15" hidden="false" customHeight="false" outlineLevel="0" collapsed="false">
      <c r="A16" s="28"/>
      <c r="B16" s="26"/>
      <c r="C16" s="26"/>
      <c r="D16" s="32"/>
      <c r="E16" s="33" t="str">
        <f aca="false">IF(F16="","",IF(OR(F16="HDFC Bank (INR)",F16="HDFC IOCL Credit Card (INR)",F16="HDFC Swiggy Credit Card (INR)",F16="Axis Airtel Credit Card (INR)"),"INR","GBP"))</f>
        <v/>
      </c>
      <c r="F16" s="26"/>
      <c r="G16" s="26"/>
      <c r="H16" s="34" t="n">
        <f aca="false">IF(G16="Yes","",D16)</f>
        <v>0</v>
      </c>
      <c r="I16" s="26"/>
      <c r="J16" s="26"/>
    </row>
    <row r="17" customFormat="false" ht="15" hidden="false" customHeight="false" outlineLevel="0" collapsed="false">
      <c r="A17" s="28"/>
      <c r="B17" s="26"/>
      <c r="C17" s="26"/>
      <c r="D17" s="32"/>
      <c r="E17" s="33" t="str">
        <f aca="false">IF(F17="","",IF(OR(F17="HDFC Bank (INR)",F17="HDFC IOCL Credit Card (INR)",F17="HDFC Swiggy Credit Card (INR)",F17="Axis Airtel Credit Card (INR)"),"INR","GBP"))</f>
        <v/>
      </c>
      <c r="F17" s="26"/>
      <c r="G17" s="26"/>
      <c r="H17" s="34" t="n">
        <f aca="false">IF(G17="Yes","",D17)</f>
        <v>0</v>
      </c>
      <c r="I17" s="26"/>
      <c r="J17" s="26"/>
    </row>
    <row r="18" customFormat="false" ht="15" hidden="false" customHeight="false" outlineLevel="0" collapsed="false">
      <c r="A18" s="28"/>
      <c r="B18" s="26"/>
      <c r="C18" s="26"/>
      <c r="D18" s="32"/>
      <c r="E18" s="33" t="str">
        <f aca="false">IF(F18="","",IF(OR(F18="HDFC Bank (INR)",F18="HDFC IOCL Credit Card (INR)",F18="HDFC Swiggy Credit Card (INR)",F18="Axis Airtel Credit Card (INR)"),"INR","GBP"))</f>
        <v/>
      </c>
      <c r="F18" s="26"/>
      <c r="G18" s="26"/>
      <c r="H18" s="34" t="n">
        <f aca="false">IF(G18="Yes","",D18)</f>
        <v>0</v>
      </c>
      <c r="I18" s="26"/>
      <c r="J18" s="26"/>
    </row>
    <row r="19" customFormat="false" ht="15" hidden="false" customHeight="false" outlineLevel="0" collapsed="false">
      <c r="A19" s="28"/>
      <c r="B19" s="26"/>
      <c r="C19" s="26"/>
      <c r="D19" s="32"/>
      <c r="E19" s="33" t="str">
        <f aca="false">IF(F19="","",IF(OR(F19="HDFC Bank (INR)",F19="HDFC IOCL Credit Card (INR)",F19="HDFC Swiggy Credit Card (INR)",F19="Axis Airtel Credit Card (INR)"),"INR","GBP"))</f>
        <v/>
      </c>
      <c r="F19" s="26"/>
      <c r="G19" s="26"/>
      <c r="H19" s="34" t="n">
        <f aca="false">IF(G19="Yes","",D19)</f>
        <v>0</v>
      </c>
      <c r="I19" s="26"/>
      <c r="J19" s="26"/>
    </row>
    <row r="20" customFormat="false" ht="15" hidden="false" customHeight="false" outlineLevel="0" collapsed="false">
      <c r="A20" s="28"/>
      <c r="B20" s="26"/>
      <c r="C20" s="26"/>
      <c r="D20" s="32"/>
      <c r="E20" s="33" t="str">
        <f aca="false">IF(F20="","",IF(OR(F20="HDFC Bank (INR)",F20="HDFC IOCL Credit Card (INR)",F20="HDFC Swiggy Credit Card (INR)",F20="Axis Airtel Credit Card (INR)"),"INR","GBP"))</f>
        <v/>
      </c>
      <c r="F20" s="26"/>
      <c r="G20" s="26"/>
      <c r="H20" s="34" t="n">
        <f aca="false">IF(G20="Yes","",D20)</f>
        <v>0</v>
      </c>
      <c r="I20" s="26"/>
      <c r="J20" s="26"/>
    </row>
    <row r="21" customFormat="false" ht="15" hidden="false" customHeight="false" outlineLevel="0" collapsed="false">
      <c r="A21" s="28"/>
      <c r="B21" s="26"/>
      <c r="C21" s="26"/>
      <c r="D21" s="32"/>
      <c r="E21" s="33" t="str">
        <f aca="false">IF(F21="","",IF(OR(F21="HDFC Bank (INR)",F21="HDFC IOCL Credit Card (INR)",F21="HDFC Swiggy Credit Card (INR)",F21="Axis Airtel Credit Card (INR)"),"INR","GBP"))</f>
        <v/>
      </c>
      <c r="F21" s="26"/>
      <c r="G21" s="26"/>
      <c r="H21" s="34" t="n">
        <f aca="false">IF(G21="Yes","",D21)</f>
        <v>0</v>
      </c>
      <c r="I21" s="26"/>
      <c r="J21" s="26"/>
    </row>
    <row r="22" customFormat="false" ht="15" hidden="false" customHeight="false" outlineLevel="0" collapsed="false">
      <c r="A22" s="28"/>
      <c r="B22" s="26"/>
      <c r="C22" s="26"/>
      <c r="D22" s="32"/>
      <c r="E22" s="33" t="str">
        <f aca="false">IF(F22="","",IF(OR(F22="HDFC Bank (INR)",F22="HDFC IOCL Credit Card (INR)",F22="HDFC Swiggy Credit Card (INR)",F22="Axis Airtel Credit Card (INR)"),"INR","GBP"))</f>
        <v/>
      </c>
      <c r="F22" s="26"/>
      <c r="G22" s="26"/>
      <c r="H22" s="34" t="n">
        <f aca="false">IF(G22="Yes","",D22)</f>
        <v>0</v>
      </c>
      <c r="I22" s="26"/>
      <c r="J22" s="26"/>
    </row>
    <row r="23" customFormat="false" ht="15" hidden="false" customHeight="false" outlineLevel="0" collapsed="false">
      <c r="A23" s="28"/>
      <c r="B23" s="26"/>
      <c r="C23" s="26"/>
      <c r="D23" s="32"/>
      <c r="E23" s="33" t="str">
        <f aca="false">IF(F23="","",IF(OR(F23="HDFC Bank (INR)",F23="HDFC IOCL Credit Card (INR)",F23="HDFC Swiggy Credit Card (INR)",F23="Axis Airtel Credit Card (INR)"),"INR","GBP"))</f>
        <v/>
      </c>
      <c r="F23" s="26"/>
      <c r="G23" s="26"/>
      <c r="H23" s="34" t="n">
        <f aca="false">IF(G23="Yes","",D23)</f>
        <v>0</v>
      </c>
      <c r="I23" s="26"/>
      <c r="J23" s="26"/>
    </row>
    <row r="24" customFormat="false" ht="15" hidden="false" customHeight="false" outlineLevel="0" collapsed="false">
      <c r="A24" s="28"/>
      <c r="B24" s="26"/>
      <c r="C24" s="26"/>
      <c r="D24" s="32"/>
      <c r="E24" s="33" t="str">
        <f aca="false">IF(F24="","",IF(OR(F24="HDFC Bank (INR)",F24="HDFC IOCL Credit Card (INR)",F24="HDFC Swiggy Credit Card (INR)",F24="Axis Airtel Credit Card (INR)"),"INR","GBP"))</f>
        <v/>
      </c>
      <c r="F24" s="26"/>
      <c r="G24" s="26"/>
      <c r="H24" s="34" t="n">
        <f aca="false">IF(G24="Yes","",D24)</f>
        <v>0</v>
      </c>
      <c r="I24" s="26"/>
      <c r="J24" s="26"/>
    </row>
    <row r="25" customFormat="false" ht="15" hidden="false" customHeight="false" outlineLevel="0" collapsed="false">
      <c r="A25" s="28"/>
      <c r="B25" s="26"/>
      <c r="C25" s="26"/>
      <c r="D25" s="32"/>
      <c r="E25" s="33" t="str">
        <f aca="false">IF(F25="","",IF(OR(F25="HDFC Bank (INR)",F25="HDFC IOCL Credit Card (INR)",F25="HDFC Swiggy Credit Card (INR)",F25="Axis Airtel Credit Card (INR)"),"INR","GBP"))</f>
        <v/>
      </c>
      <c r="F25" s="26"/>
      <c r="G25" s="26"/>
      <c r="H25" s="34" t="n">
        <f aca="false">IF(G25="Yes","",D25)</f>
        <v>0</v>
      </c>
      <c r="I25" s="26"/>
      <c r="J25" s="26"/>
    </row>
    <row r="26" customFormat="false" ht="15" hidden="false" customHeight="false" outlineLevel="0" collapsed="false">
      <c r="A26" s="28"/>
      <c r="B26" s="26"/>
      <c r="C26" s="26"/>
      <c r="D26" s="32"/>
      <c r="E26" s="33" t="str">
        <f aca="false">IF(F26="","",IF(OR(F26="HDFC Bank (INR)",F26="HDFC IOCL Credit Card (INR)",F26="HDFC Swiggy Credit Card (INR)",F26="Axis Airtel Credit Card (INR)"),"INR","GBP"))</f>
        <v/>
      </c>
      <c r="F26" s="26"/>
      <c r="G26" s="26"/>
      <c r="H26" s="34" t="n">
        <f aca="false">IF(G26="Yes","",D26)</f>
        <v>0</v>
      </c>
      <c r="I26" s="26"/>
      <c r="J26" s="26"/>
    </row>
    <row r="27" customFormat="false" ht="15" hidden="false" customHeight="false" outlineLevel="0" collapsed="false">
      <c r="A27" s="28"/>
      <c r="B27" s="26"/>
      <c r="C27" s="26"/>
      <c r="D27" s="32"/>
      <c r="E27" s="33" t="str">
        <f aca="false">IF(F27="","",IF(OR(F27="HDFC Bank (INR)",F27="HDFC IOCL Credit Card (INR)",F27="HDFC Swiggy Credit Card (INR)",F27="Axis Airtel Credit Card (INR)"),"INR","GBP"))</f>
        <v/>
      </c>
      <c r="F27" s="26"/>
      <c r="G27" s="26"/>
      <c r="H27" s="34" t="n">
        <f aca="false">IF(G27="Yes","",D27)</f>
        <v>0</v>
      </c>
      <c r="I27" s="26"/>
      <c r="J27" s="26"/>
    </row>
    <row r="28" customFormat="false" ht="15" hidden="false" customHeight="false" outlineLevel="0" collapsed="false">
      <c r="A28" s="28"/>
      <c r="B28" s="26"/>
      <c r="C28" s="26"/>
      <c r="D28" s="32"/>
      <c r="E28" s="33" t="str">
        <f aca="false">IF(F28="","",IF(OR(F28="HDFC Bank (INR)",F28="HDFC IOCL Credit Card (INR)",F28="HDFC Swiggy Credit Card (INR)",F28="Axis Airtel Credit Card (INR)"),"INR","GBP"))</f>
        <v/>
      </c>
      <c r="F28" s="26"/>
      <c r="G28" s="26"/>
      <c r="H28" s="34" t="n">
        <f aca="false">IF(G28="Yes","",D28)</f>
        <v>0</v>
      </c>
      <c r="I28" s="26"/>
      <c r="J28" s="26"/>
    </row>
    <row r="29" customFormat="false" ht="15" hidden="false" customHeight="false" outlineLevel="0" collapsed="false">
      <c r="A29" s="28"/>
      <c r="B29" s="26"/>
      <c r="C29" s="26"/>
      <c r="D29" s="32"/>
      <c r="E29" s="33" t="str">
        <f aca="false">IF(F29="","",IF(OR(F29="HDFC Bank (INR)",F29="HDFC IOCL Credit Card (INR)",F29="HDFC Swiggy Credit Card (INR)",F29="Axis Airtel Credit Card (INR)"),"INR","GBP"))</f>
        <v/>
      </c>
      <c r="F29" s="26"/>
      <c r="G29" s="26"/>
      <c r="H29" s="34" t="n">
        <f aca="false">IF(G29="Yes","",D29)</f>
        <v>0</v>
      </c>
      <c r="I29" s="26"/>
      <c r="J29" s="26"/>
    </row>
    <row r="30" customFormat="false" ht="15" hidden="false" customHeight="false" outlineLevel="0" collapsed="false">
      <c r="A30" s="28"/>
      <c r="B30" s="26"/>
      <c r="C30" s="26"/>
      <c r="D30" s="32"/>
      <c r="E30" s="33" t="str">
        <f aca="false">IF(F30="","",IF(OR(F30="HDFC Bank (INR)",F30="HDFC IOCL Credit Card (INR)",F30="HDFC Swiggy Credit Card (INR)",F30="Axis Airtel Credit Card (INR)"),"INR","GBP"))</f>
        <v/>
      </c>
      <c r="F30" s="26"/>
      <c r="G30" s="26"/>
      <c r="H30" s="34" t="n">
        <f aca="false">IF(G30="Yes","",D30)</f>
        <v>0</v>
      </c>
      <c r="I30" s="26"/>
      <c r="J30" s="26"/>
    </row>
    <row r="31" customFormat="false" ht="15" hidden="false" customHeight="false" outlineLevel="0" collapsed="false">
      <c r="A31" s="28"/>
      <c r="B31" s="26"/>
      <c r="C31" s="26"/>
      <c r="D31" s="32"/>
      <c r="E31" s="33" t="str">
        <f aca="false">IF(F31="","",IF(OR(F31="HDFC Bank (INR)",F31="HDFC IOCL Credit Card (INR)",F31="HDFC Swiggy Credit Card (INR)",F31="Axis Airtel Credit Card (INR)"),"INR","GBP"))</f>
        <v/>
      </c>
      <c r="F31" s="26"/>
      <c r="G31" s="26"/>
      <c r="H31" s="34" t="n">
        <f aca="false">IF(G31="Yes","",D31)</f>
        <v>0</v>
      </c>
      <c r="I31" s="26"/>
      <c r="J31" s="26"/>
    </row>
    <row r="32" customFormat="false" ht="15" hidden="false" customHeight="false" outlineLevel="0" collapsed="false">
      <c r="A32" s="28"/>
      <c r="B32" s="26"/>
      <c r="C32" s="26"/>
      <c r="D32" s="32"/>
      <c r="E32" s="33" t="str">
        <f aca="false">IF(F32="","",IF(OR(F32="HDFC Bank (INR)",F32="HDFC IOCL Credit Card (INR)",F32="HDFC Swiggy Credit Card (INR)",F32="Axis Airtel Credit Card (INR)"),"INR","GBP"))</f>
        <v/>
      </c>
      <c r="F32" s="26"/>
      <c r="G32" s="26"/>
      <c r="H32" s="34" t="n">
        <f aca="false">IF(G32="Yes","",D32)</f>
        <v>0</v>
      </c>
      <c r="I32" s="26"/>
      <c r="J32" s="26"/>
    </row>
    <row r="33" customFormat="false" ht="15" hidden="false" customHeight="false" outlineLevel="0" collapsed="false">
      <c r="A33" s="28"/>
      <c r="B33" s="26"/>
      <c r="C33" s="26"/>
      <c r="D33" s="32"/>
      <c r="E33" s="33" t="str">
        <f aca="false">IF(F33="","",IF(OR(F33="HDFC Bank (INR)",F33="HDFC IOCL Credit Card (INR)",F33="HDFC Swiggy Credit Card (INR)",F33="Axis Airtel Credit Card (INR)"),"INR","GBP"))</f>
        <v/>
      </c>
      <c r="F33" s="26"/>
      <c r="G33" s="26"/>
      <c r="H33" s="34" t="n">
        <f aca="false">IF(G33="Yes","",D33)</f>
        <v>0</v>
      </c>
      <c r="I33" s="26"/>
      <c r="J33" s="26"/>
    </row>
    <row r="34" customFormat="false" ht="15" hidden="false" customHeight="false" outlineLevel="0" collapsed="false">
      <c r="A34" s="28"/>
      <c r="B34" s="26"/>
      <c r="C34" s="26"/>
      <c r="D34" s="32"/>
      <c r="E34" s="33" t="str">
        <f aca="false">IF(F34="","",IF(OR(F34="HDFC Bank (INR)",F34="HDFC IOCL Credit Card (INR)",F34="HDFC Swiggy Credit Card (INR)",F34="Axis Airtel Credit Card (INR)"),"INR","GBP"))</f>
        <v/>
      </c>
      <c r="F34" s="26"/>
      <c r="G34" s="26"/>
      <c r="H34" s="34" t="n">
        <f aca="false">IF(G34="Yes","",D34)</f>
        <v>0</v>
      </c>
      <c r="I34" s="26"/>
      <c r="J34" s="26"/>
    </row>
    <row r="35" customFormat="false" ht="15" hidden="false" customHeight="false" outlineLevel="0" collapsed="false">
      <c r="A35" s="28"/>
      <c r="B35" s="26"/>
      <c r="C35" s="26"/>
      <c r="D35" s="32"/>
      <c r="E35" s="33" t="str">
        <f aca="false">IF(F35="","",IF(OR(F35="HDFC Bank (INR)",F35="HDFC IOCL Credit Card (INR)",F35="HDFC Swiggy Credit Card (INR)",F35="Axis Airtel Credit Card (INR)"),"INR","GBP"))</f>
        <v/>
      </c>
      <c r="F35" s="26"/>
      <c r="G35" s="26"/>
      <c r="H35" s="34" t="n">
        <f aca="false">IF(G35="Yes","",D35)</f>
        <v>0</v>
      </c>
      <c r="I35" s="26"/>
      <c r="J35" s="26"/>
    </row>
    <row r="36" customFormat="false" ht="15" hidden="false" customHeight="false" outlineLevel="0" collapsed="false">
      <c r="A36" s="28"/>
      <c r="B36" s="26"/>
      <c r="C36" s="26"/>
      <c r="D36" s="32"/>
      <c r="E36" s="33" t="str">
        <f aca="false">IF(F36="","",IF(OR(F36="HDFC Bank (INR)",F36="HDFC IOCL Credit Card (INR)",F36="HDFC Swiggy Credit Card (INR)",F36="Axis Airtel Credit Card (INR)"),"INR","GBP"))</f>
        <v/>
      </c>
      <c r="F36" s="26"/>
      <c r="G36" s="26"/>
      <c r="H36" s="34" t="n">
        <f aca="false">IF(G36="Yes","",D36)</f>
        <v>0</v>
      </c>
      <c r="I36" s="26"/>
      <c r="J36" s="26"/>
    </row>
    <row r="37" customFormat="false" ht="15" hidden="false" customHeight="false" outlineLevel="0" collapsed="false">
      <c r="A37" s="28"/>
      <c r="B37" s="26"/>
      <c r="C37" s="26"/>
      <c r="D37" s="32"/>
      <c r="E37" s="33" t="str">
        <f aca="false">IF(F37="","",IF(OR(F37="HDFC Bank (INR)",F37="HDFC IOCL Credit Card (INR)",F37="HDFC Swiggy Credit Card (INR)",F37="Axis Airtel Credit Card (INR)"),"INR","GBP"))</f>
        <v/>
      </c>
      <c r="F37" s="26"/>
      <c r="G37" s="26"/>
      <c r="H37" s="34" t="n">
        <f aca="false">IF(G37="Yes","",D37)</f>
        <v>0</v>
      </c>
      <c r="I37" s="26"/>
      <c r="J37" s="26"/>
    </row>
    <row r="38" customFormat="false" ht="15" hidden="false" customHeight="false" outlineLevel="0" collapsed="false">
      <c r="A38" s="28"/>
      <c r="B38" s="26"/>
      <c r="C38" s="26"/>
      <c r="D38" s="32"/>
      <c r="E38" s="33" t="str">
        <f aca="false">IF(F38="","",IF(OR(F38="HDFC Bank (INR)",F38="HDFC IOCL Credit Card (INR)",F38="HDFC Swiggy Credit Card (INR)",F38="Axis Airtel Credit Card (INR)"),"INR","GBP"))</f>
        <v/>
      </c>
      <c r="F38" s="26"/>
      <c r="G38" s="26"/>
      <c r="H38" s="34" t="n">
        <f aca="false">IF(G38="Yes","",D38)</f>
        <v>0</v>
      </c>
      <c r="I38" s="26"/>
      <c r="J38" s="26"/>
    </row>
    <row r="39" customFormat="false" ht="15" hidden="false" customHeight="false" outlineLevel="0" collapsed="false">
      <c r="A39" s="28"/>
      <c r="B39" s="26"/>
      <c r="C39" s="26"/>
      <c r="D39" s="32"/>
      <c r="E39" s="33" t="str">
        <f aca="false">IF(F39="","",IF(OR(F39="HDFC Bank (INR)",F39="HDFC IOCL Credit Card (INR)",F39="HDFC Swiggy Credit Card (INR)",F39="Axis Airtel Credit Card (INR)"),"INR","GBP"))</f>
        <v/>
      </c>
      <c r="F39" s="26"/>
      <c r="G39" s="26"/>
      <c r="H39" s="34" t="n">
        <f aca="false">IF(G39="Yes","",D39)</f>
        <v>0</v>
      </c>
      <c r="I39" s="26"/>
      <c r="J39" s="26"/>
    </row>
    <row r="40" customFormat="false" ht="15" hidden="false" customHeight="false" outlineLevel="0" collapsed="false">
      <c r="A40" s="28"/>
      <c r="B40" s="26"/>
      <c r="C40" s="26"/>
      <c r="D40" s="32"/>
      <c r="E40" s="33" t="str">
        <f aca="false">IF(F40="","",IF(OR(F40="HDFC Bank (INR)",F40="HDFC IOCL Credit Card (INR)",F40="HDFC Swiggy Credit Card (INR)",F40="Axis Airtel Credit Card (INR)"),"INR","GBP"))</f>
        <v/>
      </c>
      <c r="F40" s="26"/>
      <c r="G40" s="26"/>
      <c r="H40" s="34" t="n">
        <f aca="false">IF(G40="Yes","",D40)</f>
        <v>0</v>
      </c>
      <c r="I40" s="26"/>
      <c r="J40" s="26"/>
    </row>
    <row r="41" customFormat="false" ht="15" hidden="false" customHeight="false" outlineLevel="0" collapsed="false">
      <c r="A41" s="28"/>
      <c r="B41" s="26"/>
      <c r="C41" s="26"/>
      <c r="D41" s="32"/>
      <c r="E41" s="33" t="str">
        <f aca="false">IF(F41="","",IF(OR(F41="HDFC Bank (INR)",F41="HDFC IOCL Credit Card (INR)",F41="HDFC Swiggy Credit Card (INR)",F41="Axis Airtel Credit Card (INR)"),"INR","GBP"))</f>
        <v/>
      </c>
      <c r="F41" s="26"/>
      <c r="G41" s="26"/>
      <c r="H41" s="34" t="n">
        <f aca="false">IF(G41="Yes","",D41)</f>
        <v>0</v>
      </c>
      <c r="I41" s="26"/>
      <c r="J41" s="26"/>
    </row>
    <row r="42" customFormat="false" ht="15" hidden="false" customHeight="false" outlineLevel="0" collapsed="false">
      <c r="A42" s="28"/>
      <c r="B42" s="26"/>
      <c r="C42" s="26"/>
      <c r="D42" s="32"/>
      <c r="E42" s="33" t="str">
        <f aca="false">IF(F42="","",IF(OR(F42="HDFC Bank (INR)",F42="HDFC IOCL Credit Card (INR)",F42="HDFC Swiggy Credit Card (INR)",F42="Axis Airtel Credit Card (INR)"),"INR","GBP"))</f>
        <v/>
      </c>
      <c r="F42" s="26"/>
      <c r="G42" s="26"/>
      <c r="H42" s="34" t="n">
        <f aca="false">IF(G42="Yes","",D42)</f>
        <v>0</v>
      </c>
      <c r="I42" s="26"/>
      <c r="J42" s="26"/>
    </row>
    <row r="43" customFormat="false" ht="15" hidden="false" customHeight="false" outlineLevel="0" collapsed="false">
      <c r="A43" s="28"/>
      <c r="B43" s="26"/>
      <c r="C43" s="26"/>
      <c r="D43" s="32"/>
      <c r="E43" s="33" t="str">
        <f aca="false">IF(F43="","",IF(OR(F43="HDFC Bank (INR)",F43="HDFC IOCL Credit Card (INR)",F43="HDFC Swiggy Credit Card (INR)",F43="Axis Airtel Credit Card (INR)"),"INR","GBP"))</f>
        <v/>
      </c>
      <c r="F43" s="26"/>
      <c r="G43" s="26"/>
      <c r="H43" s="34" t="n">
        <f aca="false">IF(G43="Yes","",D43)</f>
        <v>0</v>
      </c>
      <c r="I43" s="26"/>
      <c r="J43" s="26"/>
    </row>
    <row r="44" customFormat="false" ht="15" hidden="false" customHeight="false" outlineLevel="0" collapsed="false">
      <c r="A44" s="28"/>
      <c r="B44" s="26"/>
      <c r="C44" s="26"/>
      <c r="D44" s="32"/>
      <c r="E44" s="33" t="str">
        <f aca="false">IF(F44="","",IF(OR(F44="HDFC Bank (INR)",F44="HDFC IOCL Credit Card (INR)",F44="HDFC Swiggy Credit Card (INR)",F44="Axis Airtel Credit Card (INR)"),"INR","GBP"))</f>
        <v/>
      </c>
      <c r="F44" s="26"/>
      <c r="G44" s="26"/>
      <c r="H44" s="34" t="n">
        <f aca="false">IF(G44="Yes","",D44)</f>
        <v>0</v>
      </c>
      <c r="I44" s="26"/>
      <c r="J44" s="26"/>
    </row>
    <row r="45" customFormat="false" ht="15" hidden="false" customHeight="false" outlineLevel="0" collapsed="false">
      <c r="A45" s="28"/>
      <c r="B45" s="26"/>
      <c r="C45" s="26"/>
      <c r="D45" s="32"/>
      <c r="E45" s="33" t="str">
        <f aca="false">IF(F45="","",IF(OR(F45="HDFC Bank (INR)",F45="HDFC IOCL Credit Card (INR)",F45="HDFC Swiggy Credit Card (INR)",F45="Axis Airtel Credit Card (INR)"),"INR","GBP"))</f>
        <v/>
      </c>
      <c r="F45" s="26"/>
      <c r="G45" s="26"/>
      <c r="H45" s="34" t="n">
        <f aca="false">IF(G45="Yes","",D45)</f>
        <v>0</v>
      </c>
      <c r="I45" s="26"/>
      <c r="J45" s="26"/>
    </row>
    <row r="46" customFormat="false" ht="15" hidden="false" customHeight="false" outlineLevel="0" collapsed="false">
      <c r="A46" s="28"/>
      <c r="B46" s="26"/>
      <c r="C46" s="26"/>
      <c r="D46" s="32"/>
      <c r="E46" s="33" t="str">
        <f aca="false">IF(F46="","",IF(OR(F46="HDFC Bank (INR)",F46="HDFC IOCL Credit Card (INR)",F46="HDFC Swiggy Credit Card (INR)",F46="Axis Airtel Credit Card (INR)"),"INR","GBP"))</f>
        <v/>
      </c>
      <c r="F46" s="26"/>
      <c r="G46" s="26"/>
      <c r="H46" s="34" t="n">
        <f aca="false">IF(G46="Yes","",D46)</f>
        <v>0</v>
      </c>
      <c r="I46" s="26"/>
      <c r="J46" s="26"/>
    </row>
    <row r="47" customFormat="false" ht="15" hidden="false" customHeight="false" outlineLevel="0" collapsed="false">
      <c r="A47" s="28"/>
      <c r="B47" s="26"/>
      <c r="C47" s="26"/>
      <c r="D47" s="32"/>
      <c r="E47" s="33" t="str">
        <f aca="false">IF(F47="","",IF(OR(F47="HDFC Bank (INR)",F47="HDFC IOCL Credit Card (INR)",F47="HDFC Swiggy Credit Card (INR)",F47="Axis Airtel Credit Card (INR)"),"INR","GBP"))</f>
        <v/>
      </c>
      <c r="F47" s="26"/>
      <c r="G47" s="26"/>
      <c r="H47" s="34" t="n">
        <f aca="false">IF(G47="Yes","",D47)</f>
        <v>0</v>
      </c>
      <c r="I47" s="26"/>
      <c r="J47" s="26"/>
    </row>
    <row r="48" customFormat="false" ht="15" hidden="false" customHeight="false" outlineLevel="0" collapsed="false">
      <c r="A48" s="28"/>
      <c r="B48" s="26"/>
      <c r="C48" s="26"/>
      <c r="D48" s="32"/>
      <c r="E48" s="33" t="str">
        <f aca="false">IF(F48="","",IF(OR(F48="HDFC Bank (INR)",F48="HDFC IOCL Credit Card (INR)",F48="HDFC Swiggy Credit Card (INR)",F48="Axis Airtel Credit Card (INR)"),"INR","GBP"))</f>
        <v/>
      </c>
      <c r="F48" s="26"/>
      <c r="G48" s="26"/>
      <c r="H48" s="34" t="n">
        <f aca="false">IF(G48="Yes","",D48)</f>
        <v>0</v>
      </c>
      <c r="I48" s="26"/>
      <c r="J48" s="26"/>
    </row>
    <row r="49" customFormat="false" ht="15" hidden="false" customHeight="false" outlineLevel="0" collapsed="false">
      <c r="A49" s="28"/>
      <c r="B49" s="26"/>
      <c r="C49" s="26"/>
      <c r="D49" s="32"/>
      <c r="E49" s="33" t="str">
        <f aca="false">IF(F49="","",IF(OR(F49="HDFC Bank (INR)",F49="HDFC IOCL Credit Card (INR)",F49="HDFC Swiggy Credit Card (INR)",F49="Axis Airtel Credit Card (INR)"),"INR","GBP"))</f>
        <v/>
      </c>
      <c r="F49" s="26"/>
      <c r="G49" s="26"/>
      <c r="H49" s="34" t="n">
        <f aca="false">IF(G49="Yes","",D49)</f>
        <v>0</v>
      </c>
      <c r="I49" s="26"/>
      <c r="J49" s="26"/>
    </row>
    <row r="50" customFormat="false" ht="15" hidden="false" customHeight="false" outlineLevel="0" collapsed="false">
      <c r="A50" s="28"/>
      <c r="B50" s="26"/>
      <c r="C50" s="26"/>
      <c r="D50" s="32"/>
      <c r="E50" s="33" t="str">
        <f aca="false">IF(F50="","",IF(OR(F50="HDFC Bank (INR)",F50="HDFC IOCL Credit Card (INR)",F50="HDFC Swiggy Credit Card (INR)",F50="Axis Airtel Credit Card (INR)"),"INR","GBP"))</f>
        <v/>
      </c>
      <c r="F50" s="26"/>
      <c r="G50" s="26"/>
      <c r="H50" s="34" t="n">
        <f aca="false">IF(G50="Yes","",D50)</f>
        <v>0</v>
      </c>
      <c r="I50" s="26"/>
      <c r="J50" s="26"/>
    </row>
    <row r="51" customFormat="false" ht="15" hidden="false" customHeight="false" outlineLevel="0" collapsed="false">
      <c r="A51" s="28"/>
      <c r="B51" s="26"/>
      <c r="C51" s="26"/>
      <c r="D51" s="32"/>
      <c r="E51" s="33" t="str">
        <f aca="false">IF(F51="","",IF(OR(F51="HDFC Bank (INR)",F51="HDFC IOCL Credit Card (INR)",F51="HDFC Swiggy Credit Card (INR)",F51="Axis Airtel Credit Card (INR)"),"INR","GBP"))</f>
        <v/>
      </c>
      <c r="F51" s="26"/>
      <c r="G51" s="26"/>
      <c r="H51" s="34" t="n">
        <f aca="false">IF(G51="Yes","",D51)</f>
        <v>0</v>
      </c>
      <c r="I51" s="26"/>
      <c r="J51" s="26"/>
    </row>
    <row r="52" customFormat="false" ht="15" hidden="false" customHeight="false" outlineLevel="0" collapsed="false">
      <c r="A52" s="28"/>
      <c r="B52" s="26"/>
      <c r="C52" s="26"/>
      <c r="D52" s="32"/>
      <c r="E52" s="33" t="str">
        <f aca="false">IF(F52="","",IF(OR(F52="HDFC Bank (INR)",F52="HDFC IOCL Credit Card (INR)",F52="HDFC Swiggy Credit Card (INR)",F52="Axis Airtel Credit Card (INR)"),"INR","GBP"))</f>
        <v/>
      </c>
      <c r="F52" s="26"/>
      <c r="G52" s="26"/>
      <c r="H52" s="34" t="n">
        <f aca="false">IF(G52="Yes","",D52)</f>
        <v>0</v>
      </c>
      <c r="I52" s="26"/>
      <c r="J52" s="26"/>
    </row>
    <row r="53" customFormat="false" ht="15" hidden="false" customHeight="false" outlineLevel="0" collapsed="false">
      <c r="A53" s="28"/>
      <c r="B53" s="26"/>
      <c r="C53" s="26"/>
      <c r="D53" s="32"/>
      <c r="E53" s="33" t="str">
        <f aca="false">IF(F53="","",IF(OR(F53="HDFC Bank (INR)",F53="HDFC IOCL Credit Card (INR)",F53="HDFC Swiggy Credit Card (INR)",F53="Axis Airtel Credit Card (INR)"),"INR","GBP"))</f>
        <v/>
      </c>
      <c r="F53" s="26"/>
      <c r="G53" s="26"/>
      <c r="H53" s="34" t="n">
        <f aca="false">IF(G53="Yes","",D53)</f>
        <v>0</v>
      </c>
      <c r="I53" s="26"/>
      <c r="J53" s="26"/>
    </row>
    <row r="54" customFormat="false" ht="15" hidden="false" customHeight="false" outlineLevel="0" collapsed="false">
      <c r="A54" s="28"/>
      <c r="B54" s="26"/>
      <c r="C54" s="26"/>
      <c r="D54" s="32"/>
      <c r="E54" s="33" t="str">
        <f aca="false">IF(F54="","",IF(OR(F54="HDFC Bank (INR)",F54="HDFC IOCL Credit Card (INR)",F54="HDFC Swiggy Credit Card (INR)",F54="Axis Airtel Credit Card (INR)"),"INR","GBP"))</f>
        <v/>
      </c>
      <c r="F54" s="26"/>
      <c r="G54" s="26"/>
      <c r="H54" s="34" t="n">
        <f aca="false">IF(G54="Yes","",D54)</f>
        <v>0</v>
      </c>
      <c r="I54" s="26"/>
      <c r="J54" s="26"/>
    </row>
    <row r="55" customFormat="false" ht="15" hidden="false" customHeight="false" outlineLevel="0" collapsed="false">
      <c r="A55" s="28"/>
      <c r="B55" s="26"/>
      <c r="C55" s="26"/>
      <c r="D55" s="32"/>
      <c r="E55" s="33" t="str">
        <f aca="false">IF(F55="","",IF(OR(F55="HDFC Bank (INR)",F55="HDFC IOCL Credit Card (INR)",F55="HDFC Swiggy Credit Card (INR)",F55="Axis Airtel Credit Card (INR)"),"INR","GBP"))</f>
        <v/>
      </c>
      <c r="F55" s="26"/>
      <c r="G55" s="26"/>
      <c r="H55" s="34" t="n">
        <f aca="false">IF(G55="Yes","",D55)</f>
        <v>0</v>
      </c>
      <c r="I55" s="26"/>
      <c r="J55" s="26"/>
    </row>
    <row r="56" customFormat="false" ht="15" hidden="false" customHeight="false" outlineLevel="0" collapsed="false">
      <c r="A56" s="28"/>
      <c r="B56" s="26"/>
      <c r="C56" s="26"/>
      <c r="D56" s="32"/>
      <c r="E56" s="33" t="str">
        <f aca="false">IF(F56="","",IF(OR(F56="HDFC Bank (INR)",F56="HDFC IOCL Credit Card (INR)",F56="HDFC Swiggy Credit Card (INR)",F56="Axis Airtel Credit Card (INR)"),"INR","GBP"))</f>
        <v/>
      </c>
      <c r="F56" s="26"/>
      <c r="G56" s="26"/>
      <c r="H56" s="34" t="n">
        <f aca="false">IF(G56="Yes","",D56)</f>
        <v>0</v>
      </c>
      <c r="I56" s="26"/>
      <c r="J56" s="26"/>
    </row>
    <row r="57" customFormat="false" ht="15" hidden="false" customHeight="false" outlineLevel="0" collapsed="false">
      <c r="A57" s="28"/>
      <c r="B57" s="26"/>
      <c r="C57" s="26"/>
      <c r="D57" s="32"/>
      <c r="E57" s="33" t="str">
        <f aca="false">IF(F57="","",IF(OR(F57="HDFC Bank (INR)",F57="HDFC IOCL Credit Card (INR)",F57="HDFC Swiggy Credit Card (INR)",F57="Axis Airtel Credit Card (INR)"),"INR","GBP"))</f>
        <v/>
      </c>
      <c r="F57" s="26"/>
      <c r="G57" s="26"/>
      <c r="H57" s="34" t="n">
        <f aca="false">IF(G57="Yes","",D57)</f>
        <v>0</v>
      </c>
      <c r="I57" s="26"/>
      <c r="J57" s="26"/>
    </row>
    <row r="58" customFormat="false" ht="15" hidden="false" customHeight="false" outlineLevel="0" collapsed="false">
      <c r="A58" s="28"/>
      <c r="B58" s="26"/>
      <c r="C58" s="26"/>
      <c r="D58" s="32"/>
      <c r="E58" s="33" t="str">
        <f aca="false">IF(F58="","",IF(OR(F58="HDFC Bank (INR)",F58="HDFC IOCL Credit Card (INR)",F58="HDFC Swiggy Credit Card (INR)",F58="Axis Airtel Credit Card (INR)"),"INR","GBP"))</f>
        <v/>
      </c>
      <c r="F58" s="26"/>
      <c r="G58" s="26"/>
      <c r="H58" s="34" t="n">
        <f aca="false">IF(G58="Yes","",D58)</f>
        <v>0</v>
      </c>
      <c r="I58" s="26"/>
      <c r="J58" s="26"/>
    </row>
    <row r="59" customFormat="false" ht="15" hidden="false" customHeight="false" outlineLevel="0" collapsed="false">
      <c r="A59" s="28"/>
      <c r="B59" s="26"/>
      <c r="C59" s="26"/>
      <c r="D59" s="32"/>
      <c r="E59" s="33" t="str">
        <f aca="false">IF(F59="","",IF(OR(F59="HDFC Bank (INR)",F59="HDFC IOCL Credit Card (INR)",F59="HDFC Swiggy Credit Card (INR)",F59="Axis Airtel Credit Card (INR)"),"INR","GBP"))</f>
        <v/>
      </c>
      <c r="F59" s="26"/>
      <c r="G59" s="26"/>
      <c r="H59" s="34" t="n">
        <f aca="false">IF(G59="Yes","",D59)</f>
        <v>0</v>
      </c>
      <c r="I59" s="26"/>
      <c r="J59" s="26"/>
    </row>
    <row r="60" customFormat="false" ht="15" hidden="false" customHeight="false" outlineLevel="0" collapsed="false">
      <c r="A60" s="28"/>
      <c r="B60" s="26"/>
      <c r="C60" s="26"/>
      <c r="D60" s="32"/>
      <c r="E60" s="33" t="str">
        <f aca="false">IF(F60="","",IF(OR(F60="HDFC Bank (INR)",F60="HDFC IOCL Credit Card (INR)",F60="HDFC Swiggy Credit Card (INR)",F60="Axis Airtel Credit Card (INR)"),"INR","GBP"))</f>
        <v/>
      </c>
      <c r="F60" s="26"/>
      <c r="G60" s="26"/>
      <c r="H60" s="34" t="n">
        <f aca="false">IF(G60="Yes","",D60)</f>
        <v>0</v>
      </c>
      <c r="I60" s="26"/>
      <c r="J60" s="26"/>
    </row>
    <row r="61" customFormat="false" ht="15" hidden="false" customHeight="false" outlineLevel="0" collapsed="false">
      <c r="A61" s="28"/>
      <c r="B61" s="26"/>
      <c r="C61" s="26"/>
      <c r="D61" s="32"/>
      <c r="E61" s="33" t="str">
        <f aca="false">IF(F61="","",IF(OR(F61="HDFC Bank (INR)",F61="HDFC IOCL Credit Card (INR)",F61="HDFC Swiggy Credit Card (INR)",F61="Axis Airtel Credit Card (INR)"),"INR","GBP"))</f>
        <v/>
      </c>
      <c r="F61" s="26"/>
      <c r="G61" s="26"/>
      <c r="H61" s="34" t="n">
        <f aca="false">IF(G61="Yes","",D61)</f>
        <v>0</v>
      </c>
      <c r="I61" s="26"/>
      <c r="J61" s="26"/>
    </row>
    <row r="62" customFormat="false" ht="15" hidden="false" customHeight="false" outlineLevel="0" collapsed="false">
      <c r="A62" s="28"/>
      <c r="B62" s="26"/>
      <c r="C62" s="26"/>
      <c r="D62" s="32"/>
      <c r="E62" s="33" t="str">
        <f aca="false">IF(F62="","",IF(OR(F62="HDFC Bank (INR)",F62="HDFC IOCL Credit Card (INR)",F62="HDFC Swiggy Credit Card (INR)",F62="Axis Airtel Credit Card (INR)"),"INR","GBP"))</f>
        <v/>
      </c>
      <c r="F62" s="26"/>
      <c r="G62" s="26"/>
      <c r="H62" s="34" t="n">
        <f aca="false">IF(G62="Yes","",D62)</f>
        <v>0</v>
      </c>
      <c r="I62" s="26"/>
      <c r="J62" s="26"/>
    </row>
    <row r="63" customFormat="false" ht="15" hidden="false" customHeight="false" outlineLevel="0" collapsed="false">
      <c r="A63" s="28"/>
      <c r="B63" s="26"/>
      <c r="C63" s="26"/>
      <c r="D63" s="32"/>
      <c r="E63" s="33" t="str">
        <f aca="false">IF(F63="","",IF(OR(F63="HDFC Bank (INR)",F63="HDFC IOCL Credit Card (INR)",F63="HDFC Swiggy Credit Card (INR)",F63="Axis Airtel Credit Card (INR)"),"INR","GBP"))</f>
        <v/>
      </c>
      <c r="F63" s="26"/>
      <c r="G63" s="26"/>
      <c r="H63" s="34" t="n">
        <f aca="false">IF(G63="Yes","",D63)</f>
        <v>0</v>
      </c>
      <c r="I63" s="26"/>
      <c r="J63" s="26"/>
    </row>
    <row r="64" customFormat="false" ht="15" hidden="false" customHeight="false" outlineLevel="0" collapsed="false">
      <c r="A64" s="28"/>
      <c r="B64" s="26"/>
      <c r="C64" s="26"/>
      <c r="D64" s="32"/>
      <c r="E64" s="33" t="str">
        <f aca="false">IF(F64="","",IF(OR(F64="HDFC Bank (INR)",F64="HDFC IOCL Credit Card (INR)",F64="HDFC Swiggy Credit Card (INR)",F64="Axis Airtel Credit Card (INR)"),"INR","GBP"))</f>
        <v/>
      </c>
      <c r="F64" s="26"/>
      <c r="G64" s="26"/>
      <c r="H64" s="34" t="n">
        <f aca="false">IF(G64="Yes","",D64)</f>
        <v>0</v>
      </c>
      <c r="I64" s="26"/>
      <c r="J64" s="26"/>
    </row>
    <row r="65" customFormat="false" ht="15" hidden="false" customHeight="false" outlineLevel="0" collapsed="false">
      <c r="A65" s="28"/>
      <c r="B65" s="26"/>
      <c r="C65" s="26"/>
      <c r="D65" s="32"/>
      <c r="E65" s="33" t="str">
        <f aca="false">IF(F65="","",IF(OR(F65="HDFC Bank (INR)",F65="HDFC IOCL Credit Card (INR)",F65="HDFC Swiggy Credit Card (INR)",F65="Axis Airtel Credit Card (INR)"),"INR","GBP"))</f>
        <v/>
      </c>
      <c r="F65" s="26"/>
      <c r="G65" s="26"/>
      <c r="H65" s="34" t="n">
        <f aca="false">IF(G65="Yes","",D65)</f>
        <v>0</v>
      </c>
      <c r="I65" s="26"/>
      <c r="J65" s="26"/>
    </row>
    <row r="66" customFormat="false" ht="15" hidden="false" customHeight="false" outlineLevel="0" collapsed="false">
      <c r="A66" s="28"/>
      <c r="B66" s="26"/>
      <c r="C66" s="26"/>
      <c r="D66" s="32"/>
      <c r="E66" s="33" t="str">
        <f aca="false">IF(F66="","",IF(OR(F66="HDFC Bank (INR)",F66="HDFC IOCL Credit Card (INR)",F66="HDFC Swiggy Credit Card (INR)",F66="Axis Airtel Credit Card (INR)"),"INR","GBP"))</f>
        <v/>
      </c>
      <c r="F66" s="26"/>
      <c r="G66" s="26"/>
      <c r="H66" s="34" t="n">
        <f aca="false">IF(G66="Yes","",D66)</f>
        <v>0</v>
      </c>
      <c r="I66" s="26"/>
      <c r="J66" s="26"/>
    </row>
    <row r="67" customFormat="false" ht="15" hidden="false" customHeight="false" outlineLevel="0" collapsed="false">
      <c r="A67" s="28"/>
      <c r="B67" s="26"/>
      <c r="C67" s="26"/>
      <c r="D67" s="32"/>
      <c r="E67" s="33" t="str">
        <f aca="false">IF(F67="","",IF(OR(F67="HDFC Bank (INR)",F67="HDFC IOCL Credit Card (INR)",F67="HDFC Swiggy Credit Card (INR)",F67="Axis Airtel Credit Card (INR)"),"INR","GBP"))</f>
        <v/>
      </c>
      <c r="F67" s="26"/>
      <c r="G67" s="26"/>
      <c r="H67" s="34" t="n">
        <f aca="false">IF(G67="Yes","",D67)</f>
        <v>0</v>
      </c>
      <c r="I67" s="26"/>
      <c r="J67" s="26"/>
    </row>
    <row r="68" customFormat="false" ht="15" hidden="false" customHeight="false" outlineLevel="0" collapsed="false">
      <c r="A68" s="28"/>
      <c r="B68" s="26"/>
      <c r="C68" s="26"/>
      <c r="D68" s="32"/>
      <c r="E68" s="33" t="str">
        <f aca="false">IF(F68="","",IF(OR(F68="HDFC Bank (INR)",F68="HDFC IOCL Credit Card (INR)",F68="HDFC Swiggy Credit Card (INR)",F68="Axis Airtel Credit Card (INR)"),"INR","GBP"))</f>
        <v/>
      </c>
      <c r="F68" s="26"/>
      <c r="G68" s="26"/>
      <c r="H68" s="34" t="n">
        <f aca="false">IF(G68="Yes","",D68)</f>
        <v>0</v>
      </c>
      <c r="I68" s="26"/>
      <c r="J68" s="26"/>
    </row>
    <row r="69" customFormat="false" ht="15" hidden="false" customHeight="false" outlineLevel="0" collapsed="false">
      <c r="A69" s="28"/>
      <c r="B69" s="26"/>
      <c r="C69" s="26"/>
      <c r="D69" s="32"/>
      <c r="E69" s="33" t="str">
        <f aca="false">IF(F69="","",IF(OR(F69="HDFC Bank (INR)",F69="HDFC IOCL Credit Card (INR)",F69="HDFC Swiggy Credit Card (INR)",F69="Axis Airtel Credit Card (INR)"),"INR","GBP"))</f>
        <v/>
      </c>
      <c r="F69" s="26"/>
      <c r="G69" s="26"/>
      <c r="H69" s="34" t="n">
        <f aca="false">IF(G69="Yes","",D69)</f>
        <v>0</v>
      </c>
      <c r="I69" s="26"/>
      <c r="J69" s="26"/>
    </row>
    <row r="70" customFormat="false" ht="15" hidden="false" customHeight="false" outlineLevel="0" collapsed="false">
      <c r="A70" s="28"/>
      <c r="B70" s="26"/>
      <c r="C70" s="26"/>
      <c r="D70" s="32"/>
      <c r="E70" s="33" t="str">
        <f aca="false">IF(F70="","",IF(OR(F70="HDFC Bank (INR)",F70="HDFC IOCL Credit Card (INR)",F70="HDFC Swiggy Credit Card (INR)",F70="Axis Airtel Credit Card (INR)"),"INR","GBP"))</f>
        <v/>
      </c>
      <c r="F70" s="26"/>
      <c r="G70" s="26"/>
      <c r="H70" s="34" t="n">
        <f aca="false">IF(G70="Yes","",D70)</f>
        <v>0</v>
      </c>
      <c r="I70" s="26"/>
      <c r="J70" s="26"/>
    </row>
    <row r="71" customFormat="false" ht="15" hidden="false" customHeight="false" outlineLevel="0" collapsed="false">
      <c r="A71" s="28"/>
      <c r="B71" s="26"/>
      <c r="C71" s="26"/>
      <c r="D71" s="32"/>
      <c r="E71" s="33" t="str">
        <f aca="false">IF(F71="","",IF(OR(F71="HDFC Bank (INR)",F71="HDFC IOCL Credit Card (INR)",F71="HDFC Swiggy Credit Card (INR)",F71="Axis Airtel Credit Card (INR)"),"INR","GBP"))</f>
        <v/>
      </c>
      <c r="F71" s="26"/>
      <c r="G71" s="26"/>
      <c r="H71" s="34" t="n">
        <f aca="false">IF(G71="Yes","",D71)</f>
        <v>0</v>
      </c>
      <c r="I71" s="26"/>
      <c r="J71" s="26"/>
    </row>
    <row r="72" customFormat="false" ht="15" hidden="false" customHeight="false" outlineLevel="0" collapsed="false">
      <c r="A72" s="28"/>
      <c r="B72" s="26"/>
      <c r="C72" s="26"/>
      <c r="D72" s="32"/>
      <c r="E72" s="33" t="str">
        <f aca="false">IF(F72="","",IF(OR(F72="HDFC Bank (INR)",F72="HDFC IOCL Credit Card (INR)",F72="HDFC Swiggy Credit Card (INR)",F72="Axis Airtel Credit Card (INR)"),"INR","GBP"))</f>
        <v/>
      </c>
      <c r="F72" s="26"/>
      <c r="G72" s="26"/>
      <c r="H72" s="34" t="n">
        <f aca="false">IF(G72="Yes","",D72)</f>
        <v>0</v>
      </c>
      <c r="I72" s="26"/>
      <c r="J72" s="26"/>
    </row>
    <row r="73" customFormat="false" ht="15" hidden="false" customHeight="false" outlineLevel="0" collapsed="false">
      <c r="A73" s="28"/>
      <c r="B73" s="26"/>
      <c r="C73" s="26"/>
      <c r="D73" s="32"/>
      <c r="E73" s="33" t="str">
        <f aca="false">IF(F73="","",IF(OR(F73="HDFC Bank (INR)",F73="HDFC IOCL Credit Card (INR)",F73="HDFC Swiggy Credit Card (INR)",F73="Axis Airtel Credit Card (INR)"),"INR","GBP"))</f>
        <v/>
      </c>
      <c r="F73" s="26"/>
      <c r="G73" s="26"/>
      <c r="H73" s="34" t="n">
        <f aca="false">IF(G73="Yes","",D73)</f>
        <v>0</v>
      </c>
      <c r="I73" s="26"/>
      <c r="J73" s="26"/>
    </row>
    <row r="74" customFormat="false" ht="15" hidden="false" customHeight="false" outlineLevel="0" collapsed="false">
      <c r="A74" s="28"/>
      <c r="B74" s="26"/>
      <c r="C74" s="26"/>
      <c r="D74" s="32"/>
      <c r="E74" s="33" t="str">
        <f aca="false">IF(F74="","",IF(OR(F74="HDFC Bank (INR)",F74="HDFC IOCL Credit Card (INR)",F74="HDFC Swiggy Credit Card (INR)",F74="Axis Airtel Credit Card (INR)"),"INR","GBP"))</f>
        <v/>
      </c>
      <c r="F74" s="26"/>
      <c r="G74" s="26"/>
      <c r="H74" s="34" t="n">
        <f aca="false">IF(G74="Yes","",D74)</f>
        <v>0</v>
      </c>
      <c r="I74" s="26"/>
      <c r="J74" s="26"/>
    </row>
    <row r="75" customFormat="false" ht="15" hidden="false" customHeight="false" outlineLevel="0" collapsed="false">
      <c r="A75" s="28"/>
      <c r="B75" s="26"/>
      <c r="C75" s="26"/>
      <c r="D75" s="32"/>
      <c r="E75" s="33" t="str">
        <f aca="false">IF(F75="","",IF(OR(F75="HDFC Bank (INR)",F75="HDFC IOCL Credit Card (INR)",F75="HDFC Swiggy Credit Card (INR)",F75="Axis Airtel Credit Card (INR)"),"INR","GBP"))</f>
        <v/>
      </c>
      <c r="F75" s="26"/>
      <c r="G75" s="26"/>
      <c r="H75" s="34" t="n">
        <f aca="false">IF(G75="Yes","",D75)</f>
        <v>0</v>
      </c>
      <c r="I75" s="26"/>
      <c r="J75" s="26"/>
    </row>
    <row r="76" customFormat="false" ht="15" hidden="false" customHeight="false" outlineLevel="0" collapsed="false">
      <c r="A76" s="28"/>
      <c r="B76" s="26"/>
      <c r="C76" s="26"/>
      <c r="D76" s="32"/>
      <c r="E76" s="33" t="str">
        <f aca="false">IF(F76="","",IF(OR(F76="HDFC Bank (INR)",F76="HDFC IOCL Credit Card (INR)",F76="HDFC Swiggy Credit Card (INR)",F76="Axis Airtel Credit Card (INR)"),"INR","GBP"))</f>
        <v/>
      </c>
      <c r="F76" s="26"/>
      <c r="G76" s="26"/>
      <c r="H76" s="34" t="n">
        <f aca="false">IF(G76="Yes","",D76)</f>
        <v>0</v>
      </c>
      <c r="I76" s="26"/>
      <c r="J76" s="26"/>
    </row>
    <row r="77" customFormat="false" ht="15" hidden="false" customHeight="false" outlineLevel="0" collapsed="false">
      <c r="A77" s="28"/>
      <c r="B77" s="26"/>
      <c r="C77" s="26"/>
      <c r="D77" s="32"/>
      <c r="E77" s="33" t="str">
        <f aca="false">IF(F77="","",IF(OR(F77="HDFC Bank (INR)",F77="HDFC IOCL Credit Card (INR)",F77="HDFC Swiggy Credit Card (INR)",F77="Axis Airtel Credit Card (INR)"),"INR","GBP"))</f>
        <v/>
      </c>
      <c r="F77" s="26"/>
      <c r="G77" s="26"/>
      <c r="H77" s="34" t="n">
        <f aca="false">IF(G77="Yes","",D77)</f>
        <v>0</v>
      </c>
      <c r="I77" s="26"/>
      <c r="J77" s="26"/>
    </row>
    <row r="78" customFormat="false" ht="15" hidden="false" customHeight="false" outlineLevel="0" collapsed="false">
      <c r="A78" s="28"/>
      <c r="B78" s="26"/>
      <c r="C78" s="26"/>
      <c r="D78" s="32"/>
      <c r="E78" s="33" t="str">
        <f aca="false">IF(F78="","",IF(OR(F78="HDFC Bank (INR)",F78="HDFC IOCL Credit Card (INR)",F78="HDFC Swiggy Credit Card (INR)",F78="Axis Airtel Credit Card (INR)"),"INR","GBP"))</f>
        <v/>
      </c>
      <c r="F78" s="26"/>
      <c r="G78" s="26"/>
      <c r="H78" s="34" t="n">
        <f aca="false">IF(G78="Yes","",D78)</f>
        <v>0</v>
      </c>
      <c r="I78" s="26"/>
      <c r="J78" s="26"/>
    </row>
    <row r="79" customFormat="false" ht="15" hidden="false" customHeight="false" outlineLevel="0" collapsed="false">
      <c r="A79" s="28"/>
      <c r="B79" s="26"/>
      <c r="C79" s="26"/>
      <c r="D79" s="32"/>
      <c r="E79" s="33" t="str">
        <f aca="false">IF(F79="","",IF(OR(F79="HDFC Bank (INR)",F79="HDFC IOCL Credit Card (INR)",F79="HDFC Swiggy Credit Card (INR)",F79="Axis Airtel Credit Card (INR)"),"INR","GBP"))</f>
        <v/>
      </c>
      <c r="F79" s="26"/>
      <c r="G79" s="26"/>
      <c r="H79" s="34" t="n">
        <f aca="false">IF(G79="Yes","",D79)</f>
        <v>0</v>
      </c>
      <c r="I79" s="26"/>
      <c r="J79" s="26"/>
    </row>
    <row r="80" customFormat="false" ht="15" hidden="false" customHeight="false" outlineLevel="0" collapsed="false">
      <c r="A80" s="28"/>
      <c r="B80" s="26"/>
      <c r="C80" s="26"/>
      <c r="D80" s="32"/>
      <c r="E80" s="33" t="str">
        <f aca="false">IF(F80="","",IF(OR(F80="HDFC Bank (INR)",F80="HDFC IOCL Credit Card (INR)",F80="HDFC Swiggy Credit Card (INR)",F80="Axis Airtel Credit Card (INR)"),"INR","GBP"))</f>
        <v/>
      </c>
      <c r="F80" s="26"/>
      <c r="G80" s="26"/>
      <c r="H80" s="34" t="n">
        <f aca="false">IF(G80="Yes","",D80)</f>
        <v>0</v>
      </c>
      <c r="I80" s="26"/>
      <c r="J80" s="26"/>
    </row>
    <row r="81" customFormat="false" ht="15" hidden="false" customHeight="false" outlineLevel="0" collapsed="false">
      <c r="A81" s="28"/>
      <c r="B81" s="26"/>
      <c r="C81" s="26"/>
      <c r="D81" s="32"/>
      <c r="E81" s="33" t="str">
        <f aca="false">IF(F81="","",IF(OR(F81="HDFC Bank (INR)",F81="HDFC IOCL Credit Card (INR)",F81="HDFC Swiggy Credit Card (INR)",F81="Axis Airtel Credit Card (INR)"),"INR","GBP"))</f>
        <v/>
      </c>
      <c r="F81" s="26"/>
      <c r="G81" s="26"/>
      <c r="H81" s="34" t="n">
        <f aca="false">IF(G81="Yes","",D81)</f>
        <v>0</v>
      </c>
      <c r="I81" s="26"/>
      <c r="J81" s="26"/>
    </row>
    <row r="82" customFormat="false" ht="15" hidden="false" customHeight="false" outlineLevel="0" collapsed="false">
      <c r="A82" s="28"/>
      <c r="B82" s="26"/>
      <c r="C82" s="26"/>
      <c r="D82" s="32"/>
      <c r="E82" s="33" t="str">
        <f aca="false">IF(F82="","",IF(OR(F82="HDFC Bank (INR)",F82="HDFC IOCL Credit Card (INR)",F82="HDFC Swiggy Credit Card (INR)",F82="Axis Airtel Credit Card (INR)"),"INR","GBP"))</f>
        <v/>
      </c>
      <c r="F82" s="26"/>
      <c r="G82" s="26"/>
      <c r="H82" s="34" t="n">
        <f aca="false">IF(G82="Yes","",D82)</f>
        <v>0</v>
      </c>
      <c r="I82" s="26"/>
      <c r="J82" s="26"/>
    </row>
    <row r="83" customFormat="false" ht="15" hidden="false" customHeight="false" outlineLevel="0" collapsed="false">
      <c r="A83" s="28"/>
      <c r="B83" s="26"/>
      <c r="C83" s="26"/>
      <c r="D83" s="32"/>
      <c r="E83" s="33" t="str">
        <f aca="false">IF(F83="","",IF(OR(F83="HDFC Bank (INR)",F83="HDFC IOCL Credit Card (INR)",F83="HDFC Swiggy Credit Card (INR)",F83="Axis Airtel Credit Card (INR)"),"INR","GBP"))</f>
        <v/>
      </c>
      <c r="F83" s="26"/>
      <c r="G83" s="26"/>
      <c r="H83" s="34" t="n">
        <f aca="false">IF(G83="Yes","",D83)</f>
        <v>0</v>
      </c>
      <c r="I83" s="26"/>
      <c r="J83" s="26"/>
    </row>
    <row r="84" customFormat="false" ht="15" hidden="false" customHeight="false" outlineLevel="0" collapsed="false">
      <c r="A84" s="28"/>
      <c r="B84" s="26"/>
      <c r="C84" s="26"/>
      <c r="D84" s="32"/>
      <c r="E84" s="33" t="str">
        <f aca="false">IF(F84="","",IF(OR(F84="HDFC Bank (INR)",F84="HDFC IOCL Credit Card (INR)",F84="HDFC Swiggy Credit Card (INR)",F84="Axis Airtel Credit Card (INR)"),"INR","GBP"))</f>
        <v/>
      </c>
      <c r="F84" s="26"/>
      <c r="G84" s="26"/>
      <c r="H84" s="34" t="n">
        <f aca="false">IF(G84="Yes","",D84)</f>
        <v>0</v>
      </c>
      <c r="I84" s="26"/>
      <c r="J84" s="26"/>
    </row>
    <row r="85" customFormat="false" ht="15" hidden="false" customHeight="false" outlineLevel="0" collapsed="false">
      <c r="A85" s="28"/>
      <c r="B85" s="26"/>
      <c r="C85" s="26"/>
      <c r="D85" s="32"/>
      <c r="E85" s="33" t="str">
        <f aca="false">IF(F85="","",IF(OR(F85="HDFC Bank (INR)",F85="HDFC IOCL Credit Card (INR)",F85="HDFC Swiggy Credit Card (INR)",F85="Axis Airtel Credit Card (INR)"),"INR","GBP"))</f>
        <v/>
      </c>
      <c r="F85" s="26"/>
      <c r="G85" s="26"/>
      <c r="H85" s="34" t="n">
        <f aca="false">IF(G85="Yes","",D85)</f>
        <v>0</v>
      </c>
      <c r="I85" s="26"/>
      <c r="J85" s="26"/>
    </row>
    <row r="86" customFormat="false" ht="15" hidden="false" customHeight="false" outlineLevel="0" collapsed="false">
      <c r="A86" s="28"/>
      <c r="B86" s="26"/>
      <c r="C86" s="26"/>
      <c r="D86" s="32"/>
      <c r="E86" s="33" t="str">
        <f aca="false">IF(F86="","",IF(OR(F86="HDFC Bank (INR)",F86="HDFC IOCL Credit Card (INR)",F86="HDFC Swiggy Credit Card (INR)",F86="Axis Airtel Credit Card (INR)"),"INR","GBP"))</f>
        <v/>
      </c>
      <c r="F86" s="26"/>
      <c r="G86" s="26"/>
      <c r="H86" s="34" t="n">
        <f aca="false">IF(G86="Yes","",D86)</f>
        <v>0</v>
      </c>
      <c r="I86" s="26"/>
      <c r="J86" s="26"/>
    </row>
    <row r="87" customFormat="false" ht="15" hidden="false" customHeight="false" outlineLevel="0" collapsed="false">
      <c r="A87" s="28"/>
      <c r="B87" s="26"/>
      <c r="C87" s="26"/>
      <c r="D87" s="32"/>
      <c r="E87" s="33" t="str">
        <f aca="false">IF(F87="","",IF(OR(F87="HDFC Bank (INR)",F87="HDFC IOCL Credit Card (INR)",F87="HDFC Swiggy Credit Card (INR)",F87="Axis Airtel Credit Card (INR)"),"INR","GBP"))</f>
        <v/>
      </c>
      <c r="F87" s="26"/>
      <c r="G87" s="26"/>
      <c r="H87" s="34" t="n">
        <f aca="false">IF(G87="Yes","",D87)</f>
        <v>0</v>
      </c>
      <c r="I87" s="26"/>
      <c r="J87" s="26"/>
    </row>
    <row r="88" customFormat="false" ht="15" hidden="false" customHeight="false" outlineLevel="0" collapsed="false">
      <c r="A88" s="28"/>
      <c r="B88" s="26"/>
      <c r="C88" s="26"/>
      <c r="D88" s="32"/>
      <c r="E88" s="33" t="str">
        <f aca="false">IF(F88="","",IF(OR(F88="HDFC Bank (INR)",F88="HDFC IOCL Credit Card (INR)",F88="HDFC Swiggy Credit Card (INR)",F88="Axis Airtel Credit Card (INR)"),"INR","GBP"))</f>
        <v/>
      </c>
      <c r="F88" s="26"/>
      <c r="G88" s="26"/>
      <c r="H88" s="34" t="n">
        <f aca="false">IF(G88="Yes","",D88)</f>
        <v>0</v>
      </c>
      <c r="I88" s="26"/>
      <c r="J88" s="26"/>
    </row>
    <row r="89" customFormat="false" ht="15" hidden="false" customHeight="false" outlineLevel="0" collapsed="false">
      <c r="A89" s="28"/>
      <c r="B89" s="26"/>
      <c r="C89" s="26"/>
      <c r="D89" s="32"/>
      <c r="E89" s="33" t="str">
        <f aca="false">IF(F89="","",IF(OR(F89="HDFC Bank (INR)",F89="HDFC IOCL Credit Card (INR)",F89="HDFC Swiggy Credit Card (INR)",F89="Axis Airtel Credit Card (INR)"),"INR","GBP"))</f>
        <v/>
      </c>
      <c r="F89" s="26"/>
      <c r="G89" s="26"/>
      <c r="H89" s="34" t="n">
        <f aca="false">IF(G89="Yes","",D89)</f>
        <v>0</v>
      </c>
      <c r="I89" s="26"/>
      <c r="J89" s="26"/>
    </row>
    <row r="90" customFormat="false" ht="15" hidden="false" customHeight="false" outlineLevel="0" collapsed="false">
      <c r="A90" s="28"/>
      <c r="B90" s="26"/>
      <c r="C90" s="26"/>
      <c r="D90" s="32"/>
      <c r="E90" s="33" t="str">
        <f aca="false">IF(F90="","",IF(OR(F90="HDFC Bank (INR)",F90="HDFC IOCL Credit Card (INR)",F90="HDFC Swiggy Credit Card (INR)",F90="Axis Airtel Credit Card (INR)"),"INR","GBP"))</f>
        <v/>
      </c>
      <c r="F90" s="26"/>
      <c r="G90" s="26"/>
      <c r="H90" s="34" t="n">
        <f aca="false">IF(G90="Yes","",D90)</f>
        <v>0</v>
      </c>
      <c r="I90" s="26"/>
      <c r="J90" s="26"/>
    </row>
    <row r="91" customFormat="false" ht="15" hidden="false" customHeight="false" outlineLevel="0" collapsed="false">
      <c r="A91" s="28"/>
      <c r="B91" s="26"/>
      <c r="C91" s="26"/>
      <c r="D91" s="32"/>
      <c r="E91" s="33" t="str">
        <f aca="false">IF(F91="","",IF(OR(F91="HDFC Bank (INR)",F91="HDFC IOCL Credit Card (INR)",F91="HDFC Swiggy Credit Card (INR)",F91="Axis Airtel Credit Card (INR)"),"INR","GBP"))</f>
        <v/>
      </c>
      <c r="F91" s="26"/>
      <c r="G91" s="26"/>
      <c r="H91" s="34" t="n">
        <f aca="false">IF(G91="Yes","",D91)</f>
        <v>0</v>
      </c>
      <c r="I91" s="26"/>
      <c r="J91" s="26"/>
    </row>
    <row r="92" customFormat="false" ht="15" hidden="false" customHeight="false" outlineLevel="0" collapsed="false">
      <c r="A92" s="28"/>
      <c r="B92" s="26"/>
      <c r="C92" s="26"/>
      <c r="D92" s="32"/>
      <c r="E92" s="33" t="str">
        <f aca="false">IF(F92="","",IF(OR(F92="HDFC Bank (INR)",F92="HDFC IOCL Credit Card (INR)",F92="HDFC Swiggy Credit Card (INR)",F92="Axis Airtel Credit Card (INR)"),"INR","GBP"))</f>
        <v/>
      </c>
      <c r="F92" s="26"/>
      <c r="G92" s="26"/>
      <c r="H92" s="34" t="n">
        <f aca="false">IF(G92="Yes","",D92)</f>
        <v>0</v>
      </c>
      <c r="I92" s="26"/>
      <c r="J92" s="26"/>
    </row>
    <row r="93" customFormat="false" ht="15" hidden="false" customHeight="false" outlineLevel="0" collapsed="false">
      <c r="A93" s="28"/>
      <c r="B93" s="26"/>
      <c r="C93" s="26"/>
      <c r="D93" s="32"/>
      <c r="E93" s="33" t="str">
        <f aca="false">IF(F93="","",IF(OR(F93="HDFC Bank (INR)",F93="HDFC IOCL Credit Card (INR)",F93="HDFC Swiggy Credit Card (INR)",F93="Axis Airtel Credit Card (INR)"),"INR","GBP"))</f>
        <v/>
      </c>
      <c r="F93" s="26"/>
      <c r="G93" s="26"/>
      <c r="H93" s="34" t="n">
        <f aca="false">IF(G93="Yes","",D93)</f>
        <v>0</v>
      </c>
      <c r="I93" s="26"/>
      <c r="J93" s="26"/>
    </row>
    <row r="94" customFormat="false" ht="15" hidden="false" customHeight="false" outlineLevel="0" collapsed="false">
      <c r="A94" s="28"/>
      <c r="B94" s="26"/>
      <c r="C94" s="26"/>
      <c r="D94" s="32"/>
      <c r="E94" s="33" t="str">
        <f aca="false">IF(F94="","",IF(OR(F94="HDFC Bank (INR)",F94="HDFC IOCL Credit Card (INR)",F94="HDFC Swiggy Credit Card (INR)",F94="Axis Airtel Credit Card (INR)"),"INR","GBP"))</f>
        <v/>
      </c>
      <c r="F94" s="26"/>
      <c r="G94" s="26"/>
      <c r="H94" s="34" t="n">
        <f aca="false">IF(G94="Yes","",D94)</f>
        <v>0</v>
      </c>
      <c r="I94" s="26"/>
      <c r="J94" s="26"/>
    </row>
    <row r="95" customFormat="false" ht="15" hidden="false" customHeight="false" outlineLevel="0" collapsed="false">
      <c r="A95" s="28"/>
      <c r="B95" s="26"/>
      <c r="C95" s="26"/>
      <c r="D95" s="32"/>
      <c r="E95" s="33" t="str">
        <f aca="false">IF(F95="","",IF(OR(F95="HDFC Bank (INR)",F95="HDFC IOCL Credit Card (INR)",F95="HDFC Swiggy Credit Card (INR)",F95="Axis Airtel Credit Card (INR)"),"INR","GBP"))</f>
        <v/>
      </c>
      <c r="F95" s="26"/>
      <c r="G95" s="26"/>
      <c r="H95" s="34" t="n">
        <f aca="false">IF(G95="Yes","",D95)</f>
        <v>0</v>
      </c>
      <c r="I95" s="26"/>
      <c r="J95" s="26"/>
    </row>
    <row r="96" customFormat="false" ht="15" hidden="false" customHeight="false" outlineLevel="0" collapsed="false">
      <c r="A96" s="28"/>
      <c r="B96" s="26"/>
      <c r="C96" s="26"/>
      <c r="D96" s="32"/>
      <c r="E96" s="33" t="str">
        <f aca="false">IF(F96="","",IF(OR(F96="HDFC Bank (INR)",F96="HDFC IOCL Credit Card (INR)",F96="HDFC Swiggy Credit Card (INR)",F96="Axis Airtel Credit Card (INR)"),"INR","GBP"))</f>
        <v/>
      </c>
      <c r="F96" s="26"/>
      <c r="G96" s="26"/>
      <c r="H96" s="34" t="n">
        <f aca="false">IF(G96="Yes","",D96)</f>
        <v>0</v>
      </c>
      <c r="I96" s="26"/>
      <c r="J96" s="26"/>
    </row>
    <row r="97" customFormat="false" ht="15" hidden="false" customHeight="false" outlineLevel="0" collapsed="false">
      <c r="A97" s="28"/>
      <c r="B97" s="26"/>
      <c r="C97" s="26"/>
      <c r="D97" s="32"/>
      <c r="E97" s="33" t="str">
        <f aca="false">IF(F97="","",IF(OR(F97="HDFC Bank (INR)",F97="HDFC IOCL Credit Card (INR)",F97="HDFC Swiggy Credit Card (INR)",F97="Axis Airtel Credit Card (INR)"),"INR","GBP"))</f>
        <v/>
      </c>
      <c r="F97" s="26"/>
      <c r="G97" s="26"/>
      <c r="H97" s="34" t="n">
        <f aca="false">IF(G97="Yes","",D97)</f>
        <v>0</v>
      </c>
      <c r="I97" s="26"/>
      <c r="J97" s="26"/>
    </row>
    <row r="98" customFormat="false" ht="15" hidden="false" customHeight="false" outlineLevel="0" collapsed="false">
      <c r="A98" s="28"/>
      <c r="B98" s="26"/>
      <c r="C98" s="26"/>
      <c r="D98" s="32"/>
      <c r="E98" s="33" t="str">
        <f aca="false">IF(F98="","",IF(OR(F98="HDFC Bank (INR)",F98="HDFC IOCL Credit Card (INR)",F98="HDFC Swiggy Credit Card (INR)",F98="Axis Airtel Credit Card (INR)"),"INR","GBP"))</f>
        <v/>
      </c>
      <c r="F98" s="26"/>
      <c r="G98" s="26"/>
      <c r="H98" s="34" t="n">
        <f aca="false">IF(G98="Yes","",D98)</f>
        <v>0</v>
      </c>
      <c r="I98" s="26"/>
      <c r="J98" s="26"/>
    </row>
    <row r="99" customFormat="false" ht="15" hidden="false" customHeight="false" outlineLevel="0" collapsed="false">
      <c r="A99" s="28"/>
      <c r="B99" s="26"/>
      <c r="C99" s="26"/>
      <c r="D99" s="32"/>
      <c r="E99" s="33" t="str">
        <f aca="false">IF(F99="","",IF(OR(F99="HDFC Bank (INR)",F99="HDFC IOCL Credit Card (INR)",F99="HDFC Swiggy Credit Card (INR)",F99="Axis Airtel Credit Card (INR)"),"INR","GBP"))</f>
        <v/>
      </c>
      <c r="F99" s="26"/>
      <c r="G99" s="26"/>
      <c r="H99" s="34" t="n">
        <f aca="false">IF(G99="Yes","",D99)</f>
        <v>0</v>
      </c>
      <c r="I99" s="26"/>
      <c r="J99" s="26"/>
    </row>
    <row r="100" customFormat="false" ht="15" hidden="false" customHeight="false" outlineLevel="0" collapsed="false">
      <c r="A100" s="28"/>
      <c r="B100" s="26"/>
      <c r="C100" s="26"/>
      <c r="D100" s="32"/>
      <c r="E100" s="33" t="str">
        <f aca="false">IF(F100="","",IF(OR(F100="HDFC Bank (INR)",F100="HDFC IOCL Credit Card (INR)",F100="HDFC Swiggy Credit Card (INR)",F100="Axis Airtel Credit Card (INR)"),"INR","GBP"))</f>
        <v/>
      </c>
      <c r="F100" s="26"/>
      <c r="G100" s="26"/>
      <c r="H100" s="34" t="n">
        <f aca="false">IF(G100="Yes","",D100)</f>
        <v>0</v>
      </c>
      <c r="I100" s="26"/>
      <c r="J100" s="26"/>
    </row>
    <row r="101" customFormat="false" ht="15" hidden="false" customHeight="false" outlineLevel="0" collapsed="false">
      <c r="A101" s="28"/>
      <c r="B101" s="26"/>
      <c r="C101" s="26"/>
      <c r="D101" s="32"/>
      <c r="E101" s="33" t="str">
        <f aca="false">IF(F101="","",IF(OR(F101="HDFC Bank (INR)",F101="HDFC IOCL Credit Card (INR)",F101="HDFC Swiggy Credit Card (INR)",F101="Axis Airtel Credit Card (INR)"),"INR","GBP"))</f>
        <v/>
      </c>
      <c r="F101" s="26"/>
      <c r="G101" s="26"/>
      <c r="H101" s="34" t="n">
        <f aca="false">IF(G101="Yes","",D101)</f>
        <v>0</v>
      </c>
      <c r="I101" s="26"/>
      <c r="J101" s="26"/>
    </row>
    <row r="102" customFormat="false" ht="15" hidden="false" customHeight="false" outlineLevel="0" collapsed="false">
      <c r="A102" s="28"/>
      <c r="B102" s="26"/>
      <c r="C102" s="26"/>
      <c r="D102" s="32"/>
      <c r="E102" s="33" t="str">
        <f aca="false">IF(F102="","",IF(OR(F102="HDFC Bank (INR)",F102="HDFC IOCL Credit Card (INR)",F102="HDFC Swiggy Credit Card (INR)",F102="Axis Airtel Credit Card (INR)"),"INR","GBP"))</f>
        <v/>
      </c>
      <c r="F102" s="26"/>
      <c r="G102" s="26"/>
      <c r="H102" s="34" t="n">
        <f aca="false">IF(G102="Yes","",D102)</f>
        <v>0</v>
      </c>
      <c r="I102" s="26"/>
      <c r="J102" s="26"/>
    </row>
    <row r="103" customFormat="false" ht="15" hidden="false" customHeight="false" outlineLevel="0" collapsed="false">
      <c r="A103" s="28"/>
      <c r="B103" s="26"/>
      <c r="C103" s="26"/>
      <c r="D103" s="32"/>
      <c r="E103" s="33" t="str">
        <f aca="false">IF(F103="","",IF(OR(F103="HDFC Bank (INR)",F103="HDFC IOCL Credit Card (INR)",F103="HDFC Swiggy Credit Card (INR)",F103="Axis Airtel Credit Card (INR)"),"INR","GBP"))</f>
        <v/>
      </c>
      <c r="F103" s="26"/>
      <c r="G103" s="26"/>
      <c r="H103" s="34" t="n">
        <f aca="false">IF(G103="Yes","",D103)</f>
        <v>0</v>
      </c>
      <c r="I103" s="26"/>
      <c r="J103" s="26"/>
    </row>
    <row r="104" customFormat="false" ht="15" hidden="false" customHeight="false" outlineLevel="0" collapsed="false">
      <c r="A104" s="28"/>
      <c r="B104" s="26"/>
      <c r="C104" s="26"/>
      <c r="D104" s="32"/>
      <c r="E104" s="33" t="str">
        <f aca="false">IF(F104="","",IF(OR(F104="HDFC Bank (INR)",F104="HDFC IOCL Credit Card (INR)",F104="HDFC Swiggy Credit Card (INR)",F104="Axis Airtel Credit Card (INR)"),"INR","GBP"))</f>
        <v/>
      </c>
      <c r="F104" s="26"/>
      <c r="G104" s="26"/>
      <c r="H104" s="34" t="n">
        <f aca="false">IF(G104="Yes","",D104)</f>
        <v>0</v>
      </c>
      <c r="I104" s="26"/>
      <c r="J104" s="26"/>
    </row>
    <row r="105" customFormat="false" ht="15" hidden="false" customHeight="false" outlineLevel="0" collapsed="false">
      <c r="A105" s="28"/>
      <c r="B105" s="26"/>
      <c r="C105" s="26"/>
      <c r="D105" s="32"/>
      <c r="E105" s="33" t="str">
        <f aca="false">IF(F105="","",IF(OR(F105="HDFC Bank (INR)",F105="HDFC IOCL Credit Card (INR)",F105="HDFC Swiggy Credit Card (INR)",F105="Axis Airtel Credit Card (INR)"),"INR","GBP"))</f>
        <v/>
      </c>
      <c r="F105" s="26"/>
      <c r="G105" s="26"/>
      <c r="H105" s="34" t="n">
        <f aca="false">IF(G105="Yes","",D105)</f>
        <v>0</v>
      </c>
      <c r="I105" s="26"/>
      <c r="J105" s="26"/>
    </row>
    <row r="106" customFormat="false" ht="15" hidden="false" customHeight="false" outlineLevel="0" collapsed="false">
      <c r="A106" s="28"/>
      <c r="B106" s="26"/>
      <c r="C106" s="26"/>
      <c r="D106" s="32"/>
      <c r="E106" s="33" t="str">
        <f aca="false">IF(F106="","",IF(OR(F106="HDFC Bank (INR)",F106="HDFC IOCL Credit Card (INR)",F106="HDFC Swiggy Credit Card (INR)",F106="Axis Airtel Credit Card (INR)"),"INR","GBP"))</f>
        <v/>
      </c>
      <c r="F106" s="26"/>
      <c r="G106" s="26"/>
      <c r="H106" s="34" t="n">
        <f aca="false">IF(G106="Yes","",D106)</f>
        <v>0</v>
      </c>
      <c r="I106" s="26"/>
      <c r="J106" s="26"/>
    </row>
    <row r="107" customFormat="false" ht="15" hidden="false" customHeight="false" outlineLevel="0" collapsed="false">
      <c r="A107" s="28"/>
      <c r="B107" s="26"/>
      <c r="C107" s="26"/>
      <c r="D107" s="32"/>
      <c r="E107" s="33" t="str">
        <f aca="false">IF(F107="","",IF(OR(F107="HDFC Bank (INR)",F107="HDFC IOCL Credit Card (INR)",F107="HDFC Swiggy Credit Card (INR)",F107="Axis Airtel Credit Card (INR)"),"INR","GBP"))</f>
        <v/>
      </c>
      <c r="F107" s="26"/>
      <c r="G107" s="26"/>
      <c r="H107" s="34" t="n">
        <f aca="false">IF(G107="Yes","",D107)</f>
        <v>0</v>
      </c>
      <c r="I107" s="26"/>
      <c r="J107" s="26"/>
    </row>
    <row r="108" customFormat="false" ht="15" hidden="false" customHeight="false" outlineLevel="0" collapsed="false">
      <c r="A108" s="28"/>
      <c r="B108" s="26"/>
      <c r="C108" s="26"/>
      <c r="D108" s="32"/>
      <c r="E108" s="33" t="str">
        <f aca="false">IF(F108="","",IF(OR(F108="HDFC Bank (INR)",F108="HDFC IOCL Credit Card (INR)",F108="HDFC Swiggy Credit Card (INR)",F108="Axis Airtel Credit Card (INR)"),"INR","GBP"))</f>
        <v/>
      </c>
      <c r="F108" s="26"/>
      <c r="G108" s="26"/>
      <c r="H108" s="34" t="n">
        <f aca="false">IF(G108="Yes","",D108)</f>
        <v>0</v>
      </c>
      <c r="I108" s="26"/>
      <c r="J108" s="26"/>
    </row>
    <row r="109" customFormat="false" ht="15" hidden="false" customHeight="false" outlineLevel="0" collapsed="false">
      <c r="A109" s="28"/>
      <c r="B109" s="26"/>
      <c r="C109" s="26"/>
      <c r="D109" s="32"/>
      <c r="E109" s="33" t="str">
        <f aca="false">IF(F109="","",IF(OR(F109="HDFC Bank (INR)",F109="HDFC IOCL Credit Card (INR)",F109="HDFC Swiggy Credit Card (INR)",F109="Axis Airtel Credit Card (INR)"),"INR","GBP"))</f>
        <v/>
      </c>
      <c r="F109" s="26"/>
      <c r="G109" s="26"/>
      <c r="H109" s="34" t="n">
        <f aca="false">IF(G109="Yes","",D109)</f>
        <v>0</v>
      </c>
      <c r="I109" s="26"/>
      <c r="J109" s="26"/>
    </row>
    <row r="110" customFormat="false" ht="15" hidden="false" customHeight="false" outlineLevel="0" collapsed="false">
      <c r="A110" s="28"/>
      <c r="B110" s="26"/>
      <c r="C110" s="26"/>
      <c r="D110" s="32"/>
      <c r="E110" s="33" t="str">
        <f aca="false">IF(F110="","",IF(OR(F110="HDFC Bank (INR)",F110="HDFC IOCL Credit Card (INR)",F110="HDFC Swiggy Credit Card (INR)",F110="Axis Airtel Credit Card (INR)"),"INR","GBP"))</f>
        <v/>
      </c>
      <c r="F110" s="26"/>
      <c r="G110" s="26"/>
      <c r="H110" s="34" t="n">
        <f aca="false">IF(G110="Yes","",D110)</f>
        <v>0</v>
      </c>
      <c r="I110" s="26"/>
      <c r="J110" s="26"/>
    </row>
    <row r="111" customFormat="false" ht="15" hidden="false" customHeight="false" outlineLevel="0" collapsed="false">
      <c r="A111" s="28"/>
      <c r="B111" s="26"/>
      <c r="C111" s="26"/>
      <c r="D111" s="32"/>
      <c r="E111" s="33" t="str">
        <f aca="false">IF(F111="","",IF(OR(F111="HDFC Bank (INR)",F111="HDFC IOCL Credit Card (INR)",F111="HDFC Swiggy Credit Card (INR)",F111="Axis Airtel Credit Card (INR)"),"INR","GBP"))</f>
        <v/>
      </c>
      <c r="F111" s="26"/>
      <c r="G111" s="26"/>
      <c r="H111" s="34" t="n">
        <f aca="false">IF(G111="Yes","",D111)</f>
        <v>0</v>
      </c>
      <c r="I111" s="26"/>
      <c r="J111" s="26"/>
    </row>
    <row r="112" customFormat="false" ht="15" hidden="false" customHeight="false" outlineLevel="0" collapsed="false">
      <c r="A112" s="28"/>
      <c r="B112" s="26"/>
      <c r="C112" s="26"/>
      <c r="D112" s="32"/>
      <c r="E112" s="33" t="str">
        <f aca="false">IF(F112="","",IF(OR(F112="HDFC Bank (INR)",F112="HDFC IOCL Credit Card (INR)",F112="HDFC Swiggy Credit Card (INR)",F112="Axis Airtel Credit Card (INR)"),"INR","GBP"))</f>
        <v/>
      </c>
      <c r="F112" s="26"/>
      <c r="G112" s="26"/>
      <c r="H112" s="34" t="n">
        <f aca="false">IF(G112="Yes","",D112)</f>
        <v>0</v>
      </c>
      <c r="I112" s="26"/>
      <c r="J112" s="26"/>
    </row>
    <row r="113" customFormat="false" ht="15" hidden="false" customHeight="false" outlineLevel="0" collapsed="false">
      <c r="A113" s="28"/>
      <c r="B113" s="26"/>
      <c r="C113" s="26"/>
      <c r="D113" s="32"/>
      <c r="E113" s="33" t="str">
        <f aca="false">IF(F113="","",IF(OR(F113="HDFC Bank (INR)",F113="HDFC IOCL Credit Card (INR)",F113="HDFC Swiggy Credit Card (INR)",F113="Axis Airtel Credit Card (INR)"),"INR","GBP"))</f>
        <v/>
      </c>
      <c r="F113" s="26"/>
      <c r="G113" s="26"/>
      <c r="H113" s="34" t="n">
        <f aca="false">IF(G113="Yes","",D113)</f>
        <v>0</v>
      </c>
      <c r="I113" s="26"/>
      <c r="J113" s="26"/>
    </row>
    <row r="114" customFormat="false" ht="15" hidden="false" customHeight="false" outlineLevel="0" collapsed="false">
      <c r="A114" s="28"/>
      <c r="B114" s="26"/>
      <c r="C114" s="26"/>
      <c r="D114" s="32"/>
      <c r="E114" s="33" t="str">
        <f aca="false">IF(F114="","",IF(OR(F114="HDFC Bank (INR)",F114="HDFC IOCL Credit Card (INR)",F114="HDFC Swiggy Credit Card (INR)",F114="Axis Airtel Credit Card (INR)"),"INR","GBP"))</f>
        <v/>
      </c>
      <c r="F114" s="26"/>
      <c r="G114" s="26"/>
      <c r="H114" s="34" t="n">
        <f aca="false">IF(G114="Yes","",D114)</f>
        <v>0</v>
      </c>
      <c r="I114" s="26"/>
      <c r="J114" s="26"/>
    </row>
    <row r="115" customFormat="false" ht="15" hidden="false" customHeight="false" outlineLevel="0" collapsed="false">
      <c r="A115" s="28"/>
      <c r="B115" s="26"/>
      <c r="C115" s="26"/>
      <c r="D115" s="32"/>
      <c r="E115" s="33" t="str">
        <f aca="false">IF(F115="","",IF(OR(F115="HDFC Bank (INR)",F115="HDFC IOCL Credit Card (INR)",F115="HDFC Swiggy Credit Card (INR)",F115="Axis Airtel Credit Card (INR)"),"INR","GBP"))</f>
        <v/>
      </c>
      <c r="F115" s="26"/>
      <c r="G115" s="26"/>
      <c r="H115" s="34" t="n">
        <f aca="false">IF(G115="Yes","",D115)</f>
        <v>0</v>
      </c>
      <c r="I115" s="26"/>
      <c r="J115" s="26"/>
    </row>
    <row r="116" customFormat="false" ht="15" hidden="false" customHeight="false" outlineLevel="0" collapsed="false">
      <c r="A116" s="28"/>
      <c r="B116" s="26"/>
      <c r="C116" s="26"/>
      <c r="D116" s="32"/>
      <c r="E116" s="33" t="str">
        <f aca="false">IF(F116="","",IF(OR(F116="HDFC Bank (INR)",F116="HDFC IOCL Credit Card (INR)",F116="HDFC Swiggy Credit Card (INR)",F116="Axis Airtel Credit Card (INR)"),"INR","GBP"))</f>
        <v/>
      </c>
      <c r="F116" s="26"/>
      <c r="G116" s="26"/>
      <c r="H116" s="34" t="n">
        <f aca="false">IF(G116="Yes","",D116)</f>
        <v>0</v>
      </c>
      <c r="I116" s="26"/>
      <c r="J116" s="26"/>
    </row>
    <row r="117" customFormat="false" ht="15" hidden="false" customHeight="false" outlineLevel="0" collapsed="false">
      <c r="A117" s="28"/>
      <c r="B117" s="26"/>
      <c r="C117" s="26"/>
      <c r="D117" s="32"/>
      <c r="E117" s="33" t="str">
        <f aca="false">IF(F117="","",IF(OR(F117="HDFC Bank (INR)",F117="HDFC IOCL Credit Card (INR)",F117="HDFC Swiggy Credit Card (INR)",F117="Axis Airtel Credit Card (INR)"),"INR","GBP"))</f>
        <v/>
      </c>
      <c r="F117" s="26"/>
      <c r="G117" s="26"/>
      <c r="H117" s="34" t="n">
        <f aca="false">IF(G117="Yes","",D117)</f>
        <v>0</v>
      </c>
      <c r="I117" s="26"/>
      <c r="J117" s="26"/>
    </row>
    <row r="118" customFormat="false" ht="15" hidden="false" customHeight="false" outlineLevel="0" collapsed="false">
      <c r="A118" s="28"/>
      <c r="B118" s="26"/>
      <c r="C118" s="26"/>
      <c r="D118" s="32"/>
      <c r="E118" s="33" t="str">
        <f aca="false">IF(F118="","",IF(OR(F118="HDFC Bank (INR)",F118="HDFC IOCL Credit Card (INR)",F118="HDFC Swiggy Credit Card (INR)",F118="Axis Airtel Credit Card (INR)"),"INR","GBP"))</f>
        <v/>
      </c>
      <c r="F118" s="26"/>
      <c r="G118" s="26"/>
      <c r="H118" s="34" t="n">
        <f aca="false">IF(G118="Yes","",D118)</f>
        <v>0</v>
      </c>
      <c r="I118" s="26"/>
      <c r="J118" s="26"/>
    </row>
    <row r="119" customFormat="false" ht="15" hidden="false" customHeight="false" outlineLevel="0" collapsed="false">
      <c r="A119" s="28"/>
      <c r="B119" s="26"/>
      <c r="C119" s="26"/>
      <c r="D119" s="32"/>
      <c r="E119" s="33" t="str">
        <f aca="false">IF(F119="","",IF(OR(F119="HDFC Bank (INR)",F119="HDFC IOCL Credit Card (INR)",F119="HDFC Swiggy Credit Card (INR)",F119="Axis Airtel Credit Card (INR)"),"INR","GBP"))</f>
        <v/>
      </c>
      <c r="F119" s="26"/>
      <c r="G119" s="26"/>
      <c r="H119" s="34" t="n">
        <f aca="false">IF(G119="Yes","",D119)</f>
        <v>0</v>
      </c>
      <c r="I119" s="26"/>
      <c r="J119" s="26"/>
    </row>
    <row r="120" customFormat="false" ht="15" hidden="false" customHeight="false" outlineLevel="0" collapsed="false">
      <c r="A120" s="28"/>
      <c r="B120" s="26"/>
      <c r="C120" s="26"/>
      <c r="D120" s="32"/>
      <c r="E120" s="33" t="str">
        <f aca="false">IF(F120="","",IF(OR(F120="HDFC Bank (INR)",F120="HDFC IOCL Credit Card (INR)",F120="HDFC Swiggy Credit Card (INR)",F120="Axis Airtel Credit Card (INR)"),"INR","GBP"))</f>
        <v/>
      </c>
      <c r="F120" s="26"/>
      <c r="G120" s="26"/>
      <c r="H120" s="34" t="n">
        <f aca="false">IF(G120="Yes","",D120)</f>
        <v>0</v>
      </c>
      <c r="I120" s="26"/>
      <c r="J120" s="26"/>
    </row>
    <row r="121" customFormat="false" ht="15" hidden="false" customHeight="false" outlineLevel="0" collapsed="false">
      <c r="A121" s="28"/>
      <c r="B121" s="26"/>
      <c r="C121" s="26"/>
      <c r="D121" s="32"/>
      <c r="E121" s="33" t="str">
        <f aca="false">IF(F121="","",IF(OR(F121="HDFC Bank (INR)",F121="HDFC IOCL Credit Card (INR)",F121="HDFC Swiggy Credit Card (INR)",F121="Axis Airtel Credit Card (INR)"),"INR","GBP"))</f>
        <v/>
      </c>
      <c r="F121" s="26"/>
      <c r="G121" s="26"/>
      <c r="H121" s="34" t="n">
        <f aca="false">IF(G121="Yes","",D121)</f>
        <v>0</v>
      </c>
      <c r="I121" s="26"/>
      <c r="J121" s="26"/>
    </row>
    <row r="122" customFormat="false" ht="15" hidden="false" customHeight="false" outlineLevel="0" collapsed="false">
      <c r="A122" s="28"/>
      <c r="B122" s="26"/>
      <c r="C122" s="26"/>
      <c r="D122" s="32"/>
      <c r="E122" s="33" t="str">
        <f aca="false">IF(F122="","",IF(OR(F122="HDFC Bank (INR)",F122="HDFC IOCL Credit Card (INR)",F122="HDFC Swiggy Credit Card (INR)",F122="Axis Airtel Credit Card (INR)"),"INR","GBP"))</f>
        <v/>
      </c>
      <c r="F122" s="26"/>
      <c r="G122" s="26"/>
      <c r="H122" s="34" t="n">
        <f aca="false">IF(G122="Yes","",D122)</f>
        <v>0</v>
      </c>
      <c r="I122" s="26"/>
      <c r="J122" s="26"/>
    </row>
    <row r="123" customFormat="false" ht="15" hidden="false" customHeight="false" outlineLevel="0" collapsed="false">
      <c r="A123" s="28"/>
      <c r="B123" s="26"/>
      <c r="C123" s="26"/>
      <c r="D123" s="32"/>
      <c r="E123" s="33" t="str">
        <f aca="false">IF(F123="","",IF(OR(F123="HDFC Bank (INR)",F123="HDFC IOCL Credit Card (INR)",F123="HDFC Swiggy Credit Card (INR)",F123="Axis Airtel Credit Card (INR)"),"INR","GBP"))</f>
        <v/>
      </c>
      <c r="F123" s="26"/>
      <c r="G123" s="26"/>
      <c r="H123" s="34" t="n">
        <f aca="false">IF(G123="Yes","",D123)</f>
        <v>0</v>
      </c>
      <c r="I123" s="26"/>
      <c r="J123" s="26"/>
    </row>
    <row r="124" customFormat="false" ht="15" hidden="false" customHeight="false" outlineLevel="0" collapsed="false">
      <c r="A124" s="28"/>
      <c r="B124" s="26"/>
      <c r="C124" s="26"/>
      <c r="D124" s="32"/>
      <c r="E124" s="33" t="str">
        <f aca="false">IF(F124="","",IF(OR(F124="HDFC Bank (INR)",F124="HDFC IOCL Credit Card (INR)",F124="HDFC Swiggy Credit Card (INR)",F124="Axis Airtel Credit Card (INR)"),"INR","GBP"))</f>
        <v/>
      </c>
      <c r="F124" s="26"/>
      <c r="G124" s="26"/>
      <c r="H124" s="34" t="n">
        <f aca="false">IF(G124="Yes","",D124)</f>
        <v>0</v>
      </c>
      <c r="I124" s="26"/>
      <c r="J124" s="26"/>
    </row>
    <row r="125" customFormat="false" ht="15" hidden="false" customHeight="false" outlineLevel="0" collapsed="false">
      <c r="A125" s="28"/>
      <c r="B125" s="26"/>
      <c r="C125" s="26"/>
      <c r="D125" s="32"/>
      <c r="E125" s="33" t="str">
        <f aca="false">IF(F125="","",IF(OR(F125="HDFC Bank (INR)",F125="HDFC IOCL Credit Card (INR)",F125="HDFC Swiggy Credit Card (INR)",F125="Axis Airtel Credit Card (INR)"),"INR","GBP"))</f>
        <v/>
      </c>
      <c r="F125" s="26"/>
      <c r="G125" s="26"/>
      <c r="H125" s="34" t="n">
        <f aca="false">IF(G125="Yes","",D125)</f>
        <v>0</v>
      </c>
      <c r="I125" s="26"/>
      <c r="J125" s="26"/>
    </row>
    <row r="126" customFormat="false" ht="15" hidden="false" customHeight="false" outlineLevel="0" collapsed="false">
      <c r="A126" s="28"/>
      <c r="B126" s="26"/>
      <c r="C126" s="26"/>
      <c r="D126" s="32"/>
      <c r="E126" s="33" t="str">
        <f aca="false">IF(F126="","",IF(OR(F126="HDFC Bank (INR)",F126="HDFC IOCL Credit Card (INR)",F126="HDFC Swiggy Credit Card (INR)",F126="Axis Airtel Credit Card (INR)"),"INR","GBP"))</f>
        <v/>
      </c>
      <c r="F126" s="26"/>
      <c r="G126" s="26"/>
      <c r="H126" s="34" t="n">
        <f aca="false">IF(G126="Yes","",D126)</f>
        <v>0</v>
      </c>
      <c r="I126" s="26"/>
      <c r="J126" s="26"/>
    </row>
    <row r="127" customFormat="false" ht="15" hidden="false" customHeight="false" outlineLevel="0" collapsed="false">
      <c r="A127" s="28"/>
      <c r="B127" s="26"/>
      <c r="C127" s="26"/>
      <c r="D127" s="32"/>
      <c r="E127" s="33" t="str">
        <f aca="false">IF(F127="","",IF(OR(F127="HDFC Bank (INR)",F127="HDFC IOCL Credit Card (INR)",F127="HDFC Swiggy Credit Card (INR)",F127="Axis Airtel Credit Card (INR)"),"INR","GBP"))</f>
        <v/>
      </c>
      <c r="F127" s="26"/>
      <c r="G127" s="26"/>
      <c r="H127" s="34" t="n">
        <f aca="false">IF(G127="Yes","",D127)</f>
        <v>0</v>
      </c>
      <c r="I127" s="26"/>
      <c r="J127" s="26"/>
    </row>
    <row r="128" customFormat="false" ht="15" hidden="false" customHeight="false" outlineLevel="0" collapsed="false">
      <c r="A128" s="28"/>
      <c r="B128" s="26"/>
      <c r="C128" s="26"/>
      <c r="D128" s="32"/>
      <c r="E128" s="33" t="str">
        <f aca="false">IF(F128="","",IF(OR(F128="HDFC Bank (INR)",F128="HDFC IOCL Credit Card (INR)",F128="HDFC Swiggy Credit Card (INR)",F128="Axis Airtel Credit Card (INR)"),"INR","GBP"))</f>
        <v/>
      </c>
      <c r="F128" s="26"/>
      <c r="G128" s="26"/>
      <c r="H128" s="34" t="n">
        <f aca="false">IF(G128="Yes","",D128)</f>
        <v>0</v>
      </c>
      <c r="I128" s="26"/>
      <c r="J128" s="26"/>
    </row>
    <row r="129" customFormat="false" ht="15" hidden="false" customHeight="false" outlineLevel="0" collapsed="false">
      <c r="A129" s="28"/>
      <c r="B129" s="26"/>
      <c r="C129" s="26"/>
      <c r="D129" s="32"/>
      <c r="E129" s="33" t="str">
        <f aca="false">IF(F129="","",IF(OR(F129="HDFC Bank (INR)",F129="HDFC IOCL Credit Card (INR)",F129="HDFC Swiggy Credit Card (INR)",F129="Axis Airtel Credit Card (INR)"),"INR","GBP"))</f>
        <v/>
      </c>
      <c r="F129" s="26"/>
      <c r="G129" s="26"/>
      <c r="H129" s="34" t="n">
        <f aca="false">IF(G129="Yes","",D129)</f>
        <v>0</v>
      </c>
      <c r="I129" s="26"/>
      <c r="J129" s="26"/>
    </row>
    <row r="130" customFormat="false" ht="15" hidden="false" customHeight="false" outlineLevel="0" collapsed="false">
      <c r="A130" s="28"/>
      <c r="B130" s="26"/>
      <c r="C130" s="26"/>
      <c r="D130" s="32"/>
      <c r="E130" s="33" t="str">
        <f aca="false">IF(F130="","",IF(OR(F130="HDFC Bank (INR)",F130="HDFC IOCL Credit Card (INR)",F130="HDFC Swiggy Credit Card (INR)",F130="Axis Airtel Credit Card (INR)"),"INR","GBP"))</f>
        <v/>
      </c>
      <c r="F130" s="26"/>
      <c r="G130" s="26"/>
      <c r="H130" s="34" t="n">
        <f aca="false">IF(G130="Yes","",D130)</f>
        <v>0</v>
      </c>
      <c r="I130" s="26"/>
      <c r="J130" s="26"/>
    </row>
    <row r="131" customFormat="false" ht="15" hidden="false" customHeight="false" outlineLevel="0" collapsed="false">
      <c r="A131" s="28"/>
      <c r="B131" s="26"/>
      <c r="C131" s="26"/>
      <c r="D131" s="32"/>
      <c r="E131" s="33" t="str">
        <f aca="false">IF(F131="","",IF(OR(F131="HDFC Bank (INR)",F131="HDFC IOCL Credit Card (INR)",F131="HDFC Swiggy Credit Card (INR)",F131="Axis Airtel Credit Card (INR)"),"INR","GBP"))</f>
        <v/>
      </c>
      <c r="F131" s="26"/>
      <c r="G131" s="26"/>
      <c r="H131" s="34" t="n">
        <f aca="false">IF(G131="Yes","",D131)</f>
        <v>0</v>
      </c>
      <c r="I131" s="26"/>
      <c r="J131" s="26"/>
    </row>
    <row r="132" customFormat="false" ht="15" hidden="false" customHeight="false" outlineLevel="0" collapsed="false">
      <c r="A132" s="28"/>
      <c r="B132" s="26"/>
      <c r="C132" s="26"/>
      <c r="D132" s="32"/>
      <c r="E132" s="33" t="str">
        <f aca="false">IF(F132="","",IF(OR(F132="HDFC Bank (INR)",F132="HDFC IOCL Credit Card (INR)",F132="HDFC Swiggy Credit Card (INR)",F132="Axis Airtel Credit Card (INR)"),"INR","GBP"))</f>
        <v/>
      </c>
      <c r="F132" s="26"/>
      <c r="G132" s="26"/>
      <c r="H132" s="34" t="n">
        <f aca="false">IF(G132="Yes","",D132)</f>
        <v>0</v>
      </c>
      <c r="I132" s="26"/>
      <c r="J132" s="26"/>
    </row>
    <row r="133" customFormat="false" ht="15" hidden="false" customHeight="false" outlineLevel="0" collapsed="false">
      <c r="A133" s="28"/>
      <c r="B133" s="26"/>
      <c r="C133" s="26"/>
      <c r="D133" s="32"/>
      <c r="E133" s="33" t="str">
        <f aca="false">IF(F133="","",IF(OR(F133="HDFC Bank (INR)",F133="HDFC IOCL Credit Card (INR)",F133="HDFC Swiggy Credit Card (INR)",F133="Axis Airtel Credit Card (INR)"),"INR","GBP"))</f>
        <v/>
      </c>
      <c r="F133" s="26"/>
      <c r="G133" s="26"/>
      <c r="H133" s="34" t="n">
        <f aca="false">IF(G133="Yes","",D133)</f>
        <v>0</v>
      </c>
      <c r="I133" s="26"/>
      <c r="J133" s="26"/>
    </row>
    <row r="134" customFormat="false" ht="15" hidden="false" customHeight="false" outlineLevel="0" collapsed="false">
      <c r="A134" s="28"/>
      <c r="B134" s="26"/>
      <c r="C134" s="26"/>
      <c r="D134" s="32"/>
      <c r="E134" s="33" t="str">
        <f aca="false">IF(F134="","",IF(OR(F134="HDFC Bank (INR)",F134="HDFC IOCL Credit Card (INR)",F134="HDFC Swiggy Credit Card (INR)",F134="Axis Airtel Credit Card (INR)"),"INR","GBP"))</f>
        <v/>
      </c>
      <c r="F134" s="26"/>
      <c r="G134" s="26"/>
      <c r="H134" s="34" t="n">
        <f aca="false">IF(G134="Yes","",D134)</f>
        <v>0</v>
      </c>
      <c r="I134" s="26"/>
      <c r="J134" s="26"/>
    </row>
    <row r="135" customFormat="false" ht="15" hidden="false" customHeight="false" outlineLevel="0" collapsed="false">
      <c r="A135" s="28"/>
      <c r="B135" s="26"/>
      <c r="C135" s="26"/>
      <c r="D135" s="32"/>
      <c r="E135" s="33" t="str">
        <f aca="false">IF(F135="","",IF(OR(F135="HDFC Bank (INR)",F135="HDFC IOCL Credit Card (INR)",F135="HDFC Swiggy Credit Card (INR)",F135="Axis Airtel Credit Card (INR)"),"INR","GBP"))</f>
        <v/>
      </c>
      <c r="F135" s="26"/>
      <c r="G135" s="26"/>
      <c r="H135" s="34" t="n">
        <f aca="false">IF(G135="Yes","",D135)</f>
        <v>0</v>
      </c>
      <c r="I135" s="26"/>
      <c r="J135" s="26"/>
    </row>
    <row r="136" customFormat="false" ht="15" hidden="false" customHeight="false" outlineLevel="0" collapsed="false">
      <c r="A136" s="28"/>
      <c r="B136" s="26"/>
      <c r="C136" s="26"/>
      <c r="D136" s="32"/>
      <c r="E136" s="33" t="str">
        <f aca="false">IF(F136="","",IF(OR(F136="HDFC Bank (INR)",F136="HDFC IOCL Credit Card (INR)",F136="HDFC Swiggy Credit Card (INR)",F136="Axis Airtel Credit Card (INR)"),"INR","GBP"))</f>
        <v/>
      </c>
      <c r="F136" s="26"/>
      <c r="G136" s="26"/>
      <c r="H136" s="34" t="n">
        <f aca="false">IF(G136="Yes","",D136)</f>
        <v>0</v>
      </c>
      <c r="I136" s="26"/>
      <c r="J136" s="26"/>
    </row>
    <row r="137" customFormat="false" ht="15" hidden="false" customHeight="false" outlineLevel="0" collapsed="false">
      <c r="A137" s="28"/>
      <c r="B137" s="26"/>
      <c r="C137" s="26"/>
      <c r="D137" s="32"/>
      <c r="E137" s="33" t="str">
        <f aca="false">IF(F137="","",IF(OR(F137="HDFC Bank (INR)",F137="HDFC IOCL Credit Card (INR)",F137="HDFC Swiggy Credit Card (INR)",F137="Axis Airtel Credit Card (INR)"),"INR","GBP"))</f>
        <v/>
      </c>
      <c r="F137" s="26"/>
      <c r="G137" s="26"/>
      <c r="H137" s="34" t="n">
        <f aca="false">IF(G137="Yes","",D137)</f>
        <v>0</v>
      </c>
      <c r="I137" s="26"/>
      <c r="J137" s="26"/>
    </row>
    <row r="138" customFormat="false" ht="15" hidden="false" customHeight="false" outlineLevel="0" collapsed="false">
      <c r="A138" s="28"/>
      <c r="B138" s="26"/>
      <c r="C138" s="26"/>
      <c r="D138" s="32"/>
      <c r="E138" s="33" t="str">
        <f aca="false">IF(F138="","",IF(OR(F138="HDFC Bank (INR)",F138="HDFC IOCL Credit Card (INR)",F138="HDFC Swiggy Credit Card (INR)",F138="Axis Airtel Credit Card (INR)"),"INR","GBP"))</f>
        <v/>
      </c>
      <c r="F138" s="26"/>
      <c r="G138" s="26"/>
      <c r="H138" s="34" t="n">
        <f aca="false">IF(G138="Yes","",D138)</f>
        <v>0</v>
      </c>
      <c r="I138" s="26"/>
      <c r="J138" s="26"/>
    </row>
    <row r="139" customFormat="false" ht="15" hidden="false" customHeight="false" outlineLevel="0" collapsed="false">
      <c r="A139" s="28"/>
      <c r="B139" s="26"/>
      <c r="C139" s="26"/>
      <c r="D139" s="32"/>
      <c r="E139" s="33" t="str">
        <f aca="false">IF(F139="","",IF(OR(F139="HDFC Bank (INR)",F139="HDFC IOCL Credit Card (INR)",F139="HDFC Swiggy Credit Card (INR)",F139="Axis Airtel Credit Card (INR)"),"INR","GBP"))</f>
        <v/>
      </c>
      <c r="F139" s="26"/>
      <c r="G139" s="26"/>
      <c r="H139" s="34" t="n">
        <f aca="false">IF(G139="Yes","",D139)</f>
        <v>0</v>
      </c>
      <c r="I139" s="26"/>
      <c r="J139" s="26"/>
    </row>
    <row r="140" customFormat="false" ht="15" hidden="false" customHeight="false" outlineLevel="0" collapsed="false">
      <c r="A140" s="28"/>
      <c r="B140" s="26"/>
      <c r="C140" s="26"/>
      <c r="D140" s="32"/>
      <c r="E140" s="33" t="str">
        <f aca="false">IF(F140="","",IF(OR(F140="HDFC Bank (INR)",F140="HDFC IOCL Credit Card (INR)",F140="HDFC Swiggy Credit Card (INR)",F140="Axis Airtel Credit Card (INR)"),"INR","GBP"))</f>
        <v/>
      </c>
      <c r="F140" s="26"/>
      <c r="G140" s="26"/>
      <c r="H140" s="34" t="n">
        <f aca="false">IF(G140="Yes","",D140)</f>
        <v>0</v>
      </c>
      <c r="I140" s="26"/>
      <c r="J140" s="26"/>
    </row>
    <row r="141" customFormat="false" ht="15" hidden="false" customHeight="false" outlineLevel="0" collapsed="false">
      <c r="A141" s="28"/>
      <c r="B141" s="26"/>
      <c r="C141" s="26"/>
      <c r="D141" s="32"/>
      <c r="E141" s="33" t="str">
        <f aca="false">IF(F141="","",IF(OR(F141="HDFC Bank (INR)",F141="HDFC IOCL Credit Card (INR)",F141="HDFC Swiggy Credit Card (INR)",F141="Axis Airtel Credit Card (INR)"),"INR","GBP"))</f>
        <v/>
      </c>
      <c r="F141" s="26"/>
      <c r="G141" s="26"/>
      <c r="H141" s="34" t="n">
        <f aca="false">IF(G141="Yes","",D141)</f>
        <v>0</v>
      </c>
      <c r="I141" s="26"/>
      <c r="J141" s="26"/>
    </row>
    <row r="142" customFormat="false" ht="15" hidden="false" customHeight="false" outlineLevel="0" collapsed="false">
      <c r="A142" s="28"/>
      <c r="B142" s="26"/>
      <c r="C142" s="26"/>
      <c r="D142" s="32"/>
      <c r="E142" s="33" t="str">
        <f aca="false">IF(F142="","",IF(OR(F142="HDFC Bank (INR)",F142="HDFC IOCL Credit Card (INR)",F142="HDFC Swiggy Credit Card (INR)",F142="Axis Airtel Credit Card (INR)"),"INR","GBP"))</f>
        <v/>
      </c>
      <c r="F142" s="26"/>
      <c r="G142" s="26"/>
      <c r="H142" s="34" t="n">
        <f aca="false">IF(G142="Yes","",D142)</f>
        <v>0</v>
      </c>
      <c r="I142" s="26"/>
      <c r="J142" s="26"/>
    </row>
    <row r="143" customFormat="false" ht="15" hidden="false" customHeight="false" outlineLevel="0" collapsed="false">
      <c r="A143" s="28"/>
      <c r="B143" s="26"/>
      <c r="C143" s="26"/>
      <c r="D143" s="32"/>
      <c r="E143" s="33" t="str">
        <f aca="false">IF(F143="","",IF(OR(F143="HDFC Bank (INR)",F143="HDFC IOCL Credit Card (INR)",F143="HDFC Swiggy Credit Card (INR)",F143="Axis Airtel Credit Card (INR)"),"INR","GBP"))</f>
        <v/>
      </c>
      <c r="F143" s="26"/>
      <c r="G143" s="26"/>
      <c r="H143" s="34" t="n">
        <f aca="false">IF(G143="Yes","",D143)</f>
        <v>0</v>
      </c>
      <c r="I143" s="26"/>
      <c r="J143" s="26"/>
    </row>
    <row r="144" customFormat="false" ht="15" hidden="false" customHeight="false" outlineLevel="0" collapsed="false">
      <c r="A144" s="28"/>
      <c r="B144" s="26"/>
      <c r="C144" s="26"/>
      <c r="D144" s="32"/>
      <c r="E144" s="33" t="str">
        <f aca="false">IF(F144="","",IF(OR(F144="HDFC Bank (INR)",F144="HDFC IOCL Credit Card (INR)",F144="HDFC Swiggy Credit Card (INR)",F144="Axis Airtel Credit Card (INR)"),"INR","GBP"))</f>
        <v/>
      </c>
      <c r="F144" s="26"/>
      <c r="G144" s="26"/>
      <c r="H144" s="34" t="n">
        <f aca="false">IF(G144="Yes","",D144)</f>
        <v>0</v>
      </c>
      <c r="I144" s="26"/>
      <c r="J144" s="26"/>
    </row>
    <row r="145" customFormat="false" ht="15" hidden="false" customHeight="false" outlineLevel="0" collapsed="false">
      <c r="A145" s="28"/>
      <c r="B145" s="26"/>
      <c r="C145" s="26"/>
      <c r="D145" s="32"/>
      <c r="E145" s="33" t="str">
        <f aca="false">IF(F145="","",IF(OR(F145="HDFC Bank (INR)",F145="HDFC IOCL Credit Card (INR)",F145="HDFC Swiggy Credit Card (INR)",F145="Axis Airtel Credit Card (INR)"),"INR","GBP"))</f>
        <v/>
      </c>
      <c r="F145" s="26"/>
      <c r="G145" s="26"/>
      <c r="H145" s="34" t="n">
        <f aca="false">IF(G145="Yes","",D145)</f>
        <v>0</v>
      </c>
      <c r="I145" s="26"/>
      <c r="J145" s="26"/>
    </row>
    <row r="146" customFormat="false" ht="15" hidden="false" customHeight="false" outlineLevel="0" collapsed="false">
      <c r="A146" s="28"/>
      <c r="B146" s="26"/>
      <c r="C146" s="26"/>
      <c r="D146" s="32"/>
      <c r="E146" s="33" t="str">
        <f aca="false">IF(F146="","",IF(OR(F146="HDFC Bank (INR)",F146="HDFC IOCL Credit Card (INR)",F146="HDFC Swiggy Credit Card (INR)",F146="Axis Airtel Credit Card (INR)"),"INR","GBP"))</f>
        <v/>
      </c>
      <c r="F146" s="26"/>
      <c r="G146" s="26"/>
      <c r="H146" s="34" t="n">
        <f aca="false">IF(G146="Yes","",D146)</f>
        <v>0</v>
      </c>
      <c r="I146" s="26"/>
      <c r="J146" s="26"/>
    </row>
    <row r="147" customFormat="false" ht="15" hidden="false" customHeight="false" outlineLevel="0" collapsed="false">
      <c r="A147" s="28"/>
      <c r="B147" s="26"/>
      <c r="C147" s="26"/>
      <c r="D147" s="32"/>
      <c r="E147" s="33" t="str">
        <f aca="false">IF(F147="","",IF(OR(F147="HDFC Bank (INR)",F147="HDFC IOCL Credit Card (INR)",F147="HDFC Swiggy Credit Card (INR)",F147="Axis Airtel Credit Card (INR)"),"INR","GBP"))</f>
        <v/>
      </c>
      <c r="F147" s="26"/>
      <c r="G147" s="26"/>
      <c r="H147" s="34" t="n">
        <f aca="false">IF(G147="Yes","",D147)</f>
        <v>0</v>
      </c>
      <c r="I147" s="26"/>
      <c r="J147" s="26"/>
    </row>
    <row r="148" customFormat="false" ht="15" hidden="false" customHeight="false" outlineLevel="0" collapsed="false">
      <c r="A148" s="28"/>
      <c r="B148" s="26"/>
      <c r="C148" s="26"/>
      <c r="D148" s="32"/>
      <c r="E148" s="33" t="str">
        <f aca="false">IF(F148="","",IF(OR(F148="HDFC Bank (INR)",F148="HDFC IOCL Credit Card (INR)",F148="HDFC Swiggy Credit Card (INR)",F148="Axis Airtel Credit Card (INR)"),"INR","GBP"))</f>
        <v/>
      </c>
      <c r="F148" s="26"/>
      <c r="G148" s="26"/>
      <c r="H148" s="34" t="n">
        <f aca="false">IF(G148="Yes","",D148)</f>
        <v>0</v>
      </c>
      <c r="I148" s="26"/>
      <c r="J148" s="26"/>
    </row>
    <row r="149" customFormat="false" ht="15" hidden="false" customHeight="false" outlineLevel="0" collapsed="false">
      <c r="A149" s="28"/>
      <c r="B149" s="26"/>
      <c r="C149" s="26"/>
      <c r="D149" s="32"/>
      <c r="E149" s="33" t="str">
        <f aca="false">IF(F149="","",IF(OR(F149="HDFC Bank (INR)",F149="HDFC IOCL Credit Card (INR)",F149="HDFC Swiggy Credit Card (INR)",F149="Axis Airtel Credit Card (INR)"),"INR","GBP"))</f>
        <v/>
      </c>
      <c r="F149" s="26"/>
      <c r="G149" s="26"/>
      <c r="H149" s="34" t="n">
        <f aca="false">IF(G149="Yes","",D149)</f>
        <v>0</v>
      </c>
      <c r="I149" s="26"/>
      <c r="J149" s="26"/>
    </row>
    <row r="150" customFormat="false" ht="15" hidden="false" customHeight="false" outlineLevel="0" collapsed="false">
      <c r="A150" s="28"/>
      <c r="B150" s="26"/>
      <c r="C150" s="26"/>
      <c r="D150" s="32"/>
      <c r="E150" s="33" t="str">
        <f aca="false">IF(F150="","",IF(OR(F150="HDFC Bank (INR)",F150="HDFC IOCL Credit Card (INR)",F150="HDFC Swiggy Credit Card (INR)",F150="Axis Airtel Credit Card (INR)"),"INR","GBP"))</f>
        <v/>
      </c>
      <c r="F150" s="26"/>
      <c r="G150" s="26"/>
      <c r="H150" s="34" t="n">
        <f aca="false">IF(G150="Yes","",D150)</f>
        <v>0</v>
      </c>
      <c r="I150" s="26"/>
      <c r="J150" s="26"/>
    </row>
    <row r="151" customFormat="false" ht="15" hidden="false" customHeight="false" outlineLevel="0" collapsed="false">
      <c r="A151" s="28"/>
      <c r="B151" s="26"/>
      <c r="C151" s="26"/>
      <c r="D151" s="32"/>
      <c r="E151" s="33" t="str">
        <f aca="false">IF(F151="","",IF(OR(F151="HDFC Bank (INR)",F151="HDFC IOCL Credit Card (INR)",F151="HDFC Swiggy Credit Card (INR)",F151="Axis Airtel Credit Card (INR)"),"INR","GBP"))</f>
        <v/>
      </c>
      <c r="F151" s="26"/>
      <c r="G151" s="26"/>
      <c r="H151" s="34" t="n">
        <f aca="false">IF(G151="Yes","",D151)</f>
        <v>0</v>
      </c>
      <c r="I151" s="26"/>
      <c r="J151" s="26"/>
    </row>
    <row r="152" customFormat="false" ht="15" hidden="false" customHeight="false" outlineLevel="0" collapsed="false">
      <c r="A152" s="28"/>
      <c r="B152" s="26"/>
      <c r="C152" s="26"/>
      <c r="D152" s="32"/>
      <c r="E152" s="33" t="str">
        <f aca="false">IF(F152="","",IF(OR(F152="HDFC Bank (INR)",F152="HDFC IOCL Credit Card (INR)",F152="HDFC Swiggy Credit Card (INR)",F152="Axis Airtel Credit Card (INR)"),"INR","GBP"))</f>
        <v/>
      </c>
      <c r="F152" s="26"/>
      <c r="G152" s="26"/>
      <c r="H152" s="34" t="n">
        <f aca="false">IF(G152="Yes","",D152)</f>
        <v>0</v>
      </c>
      <c r="I152" s="26"/>
      <c r="J152" s="26"/>
    </row>
    <row r="153" customFormat="false" ht="15" hidden="false" customHeight="false" outlineLevel="0" collapsed="false">
      <c r="A153" s="28"/>
      <c r="B153" s="26"/>
      <c r="C153" s="26"/>
      <c r="D153" s="32"/>
      <c r="E153" s="33" t="str">
        <f aca="false">IF(F153="","",IF(OR(F153="HDFC Bank (INR)",F153="HDFC IOCL Credit Card (INR)",F153="HDFC Swiggy Credit Card (INR)",F153="Axis Airtel Credit Card (INR)"),"INR","GBP"))</f>
        <v/>
      </c>
      <c r="F153" s="26"/>
      <c r="G153" s="26"/>
      <c r="H153" s="34" t="n">
        <f aca="false">IF(G153="Yes","",D153)</f>
        <v>0</v>
      </c>
      <c r="I153" s="26"/>
      <c r="J153" s="26"/>
    </row>
    <row r="154" customFormat="false" ht="15" hidden="false" customHeight="false" outlineLevel="0" collapsed="false">
      <c r="A154" s="28"/>
      <c r="B154" s="26"/>
      <c r="C154" s="26"/>
      <c r="D154" s="32"/>
      <c r="E154" s="33" t="str">
        <f aca="false">IF(F154="","",IF(OR(F154="HDFC Bank (INR)",F154="HDFC IOCL Credit Card (INR)",F154="HDFC Swiggy Credit Card (INR)",F154="Axis Airtel Credit Card (INR)"),"INR","GBP"))</f>
        <v/>
      </c>
      <c r="F154" s="26"/>
      <c r="G154" s="26"/>
      <c r="H154" s="34" t="n">
        <f aca="false">IF(G154="Yes","",D154)</f>
        <v>0</v>
      </c>
      <c r="I154" s="26"/>
      <c r="J154" s="26"/>
    </row>
    <row r="155" customFormat="false" ht="15" hidden="false" customHeight="false" outlineLevel="0" collapsed="false">
      <c r="A155" s="28"/>
      <c r="B155" s="26"/>
      <c r="C155" s="26"/>
      <c r="D155" s="32"/>
      <c r="E155" s="33" t="str">
        <f aca="false">IF(F155="","",IF(OR(F155="HDFC Bank (INR)",F155="HDFC IOCL Credit Card (INR)",F155="HDFC Swiggy Credit Card (INR)",F155="Axis Airtel Credit Card (INR)"),"INR","GBP"))</f>
        <v/>
      </c>
      <c r="F155" s="26"/>
      <c r="G155" s="26"/>
      <c r="H155" s="34" t="n">
        <f aca="false">IF(G155="Yes","",D155)</f>
        <v>0</v>
      </c>
      <c r="I155" s="26"/>
      <c r="J155" s="26"/>
    </row>
    <row r="156" customFormat="false" ht="15" hidden="false" customHeight="false" outlineLevel="0" collapsed="false">
      <c r="A156" s="28"/>
      <c r="B156" s="26"/>
      <c r="C156" s="26"/>
      <c r="D156" s="32"/>
      <c r="E156" s="33" t="str">
        <f aca="false">IF(F156="","",IF(OR(F156="HDFC Bank (INR)",F156="HDFC IOCL Credit Card (INR)",F156="HDFC Swiggy Credit Card (INR)",F156="Axis Airtel Credit Card (INR)"),"INR","GBP"))</f>
        <v/>
      </c>
      <c r="F156" s="26"/>
      <c r="G156" s="26"/>
      <c r="H156" s="34" t="n">
        <f aca="false">IF(G156="Yes","",D156)</f>
        <v>0</v>
      </c>
      <c r="I156" s="26"/>
      <c r="J156" s="26"/>
    </row>
    <row r="157" customFormat="false" ht="15" hidden="false" customHeight="false" outlineLevel="0" collapsed="false">
      <c r="A157" s="28"/>
      <c r="B157" s="26"/>
      <c r="C157" s="26"/>
      <c r="D157" s="32"/>
      <c r="E157" s="33" t="str">
        <f aca="false">IF(F157="","",IF(OR(F157="HDFC Bank (INR)",F157="HDFC IOCL Credit Card (INR)",F157="HDFC Swiggy Credit Card (INR)",F157="Axis Airtel Credit Card (INR)"),"INR","GBP"))</f>
        <v/>
      </c>
      <c r="F157" s="26"/>
      <c r="G157" s="26"/>
      <c r="H157" s="34" t="n">
        <f aca="false">IF(G157="Yes","",D157)</f>
        <v>0</v>
      </c>
      <c r="I157" s="26"/>
      <c r="J157" s="26"/>
    </row>
    <row r="158" customFormat="false" ht="15" hidden="false" customHeight="false" outlineLevel="0" collapsed="false">
      <c r="A158" s="28"/>
      <c r="B158" s="26"/>
      <c r="C158" s="26"/>
      <c r="D158" s="32"/>
      <c r="E158" s="33" t="str">
        <f aca="false">IF(F158="","",IF(OR(F158="HDFC Bank (INR)",F158="HDFC IOCL Credit Card (INR)",F158="HDFC Swiggy Credit Card (INR)",F158="Axis Airtel Credit Card (INR)"),"INR","GBP"))</f>
        <v/>
      </c>
      <c r="F158" s="26"/>
      <c r="G158" s="26"/>
      <c r="H158" s="34" t="n">
        <f aca="false">IF(G158="Yes","",D158)</f>
        <v>0</v>
      </c>
      <c r="I158" s="26"/>
      <c r="J158" s="26"/>
    </row>
    <row r="159" customFormat="false" ht="15" hidden="false" customHeight="false" outlineLevel="0" collapsed="false">
      <c r="A159" s="28"/>
      <c r="B159" s="26"/>
      <c r="C159" s="26"/>
      <c r="D159" s="32"/>
      <c r="E159" s="33" t="str">
        <f aca="false">IF(F159="","",IF(OR(F159="HDFC Bank (INR)",F159="HDFC IOCL Credit Card (INR)",F159="HDFC Swiggy Credit Card (INR)",F159="Axis Airtel Credit Card (INR)"),"INR","GBP"))</f>
        <v/>
      </c>
      <c r="F159" s="26"/>
      <c r="G159" s="26"/>
      <c r="H159" s="34" t="n">
        <f aca="false">IF(G159="Yes","",D159)</f>
        <v>0</v>
      </c>
      <c r="I159" s="26"/>
      <c r="J159" s="26"/>
    </row>
    <row r="160" customFormat="false" ht="15" hidden="false" customHeight="false" outlineLevel="0" collapsed="false">
      <c r="A160" s="28"/>
      <c r="B160" s="26"/>
      <c r="C160" s="26"/>
      <c r="D160" s="32"/>
      <c r="E160" s="33" t="str">
        <f aca="false">IF(F160="","",IF(OR(F160="HDFC Bank (INR)",F160="HDFC IOCL Credit Card (INR)",F160="HDFC Swiggy Credit Card (INR)",F160="Axis Airtel Credit Card (INR)"),"INR","GBP"))</f>
        <v/>
      </c>
      <c r="F160" s="26"/>
      <c r="G160" s="26"/>
      <c r="H160" s="34" t="n">
        <f aca="false">IF(G160="Yes","",D160)</f>
        <v>0</v>
      </c>
      <c r="I160" s="26"/>
      <c r="J160" s="26"/>
    </row>
    <row r="161" customFormat="false" ht="15" hidden="false" customHeight="false" outlineLevel="0" collapsed="false">
      <c r="A161" s="28"/>
      <c r="B161" s="26"/>
      <c r="C161" s="26"/>
      <c r="D161" s="32"/>
      <c r="E161" s="33" t="str">
        <f aca="false">IF(F161="","",IF(OR(F161="HDFC Bank (INR)",F161="HDFC IOCL Credit Card (INR)",F161="HDFC Swiggy Credit Card (INR)",F161="Axis Airtel Credit Card (INR)"),"INR","GBP"))</f>
        <v/>
      </c>
      <c r="F161" s="26"/>
      <c r="G161" s="26"/>
      <c r="H161" s="34" t="n">
        <f aca="false">IF(G161="Yes","",D161)</f>
        <v>0</v>
      </c>
      <c r="I161" s="26"/>
      <c r="J161" s="26"/>
    </row>
    <row r="162" customFormat="false" ht="15" hidden="false" customHeight="false" outlineLevel="0" collapsed="false">
      <c r="A162" s="28"/>
      <c r="B162" s="26"/>
      <c r="C162" s="26"/>
      <c r="D162" s="32"/>
      <c r="E162" s="33" t="str">
        <f aca="false">IF(F162="","",IF(OR(F162="HDFC Bank (INR)",F162="HDFC IOCL Credit Card (INR)",F162="HDFC Swiggy Credit Card (INR)",F162="Axis Airtel Credit Card (INR)"),"INR","GBP"))</f>
        <v/>
      </c>
      <c r="F162" s="26"/>
      <c r="G162" s="26"/>
      <c r="H162" s="34" t="n">
        <f aca="false">IF(G162="Yes","",D162)</f>
        <v>0</v>
      </c>
      <c r="I162" s="26"/>
      <c r="J162" s="26"/>
    </row>
    <row r="163" customFormat="false" ht="15" hidden="false" customHeight="false" outlineLevel="0" collapsed="false">
      <c r="A163" s="28"/>
      <c r="B163" s="26"/>
      <c r="C163" s="26"/>
      <c r="D163" s="32"/>
      <c r="E163" s="33" t="str">
        <f aca="false">IF(F163="","",IF(OR(F163="HDFC Bank (INR)",F163="HDFC IOCL Credit Card (INR)",F163="HDFC Swiggy Credit Card (INR)",F163="Axis Airtel Credit Card (INR)"),"INR","GBP"))</f>
        <v/>
      </c>
      <c r="F163" s="26"/>
      <c r="G163" s="26"/>
      <c r="H163" s="34" t="n">
        <f aca="false">IF(G163="Yes","",D163)</f>
        <v>0</v>
      </c>
      <c r="I163" s="26"/>
      <c r="J163" s="26"/>
    </row>
    <row r="164" customFormat="false" ht="15" hidden="false" customHeight="false" outlineLevel="0" collapsed="false">
      <c r="A164" s="28"/>
      <c r="B164" s="26"/>
      <c r="C164" s="26"/>
      <c r="D164" s="32"/>
      <c r="E164" s="33" t="str">
        <f aca="false">IF(F164="","",IF(OR(F164="HDFC Bank (INR)",F164="HDFC IOCL Credit Card (INR)",F164="HDFC Swiggy Credit Card (INR)",F164="Axis Airtel Credit Card (INR)"),"INR","GBP"))</f>
        <v/>
      </c>
      <c r="F164" s="26"/>
      <c r="G164" s="26"/>
      <c r="H164" s="34" t="n">
        <f aca="false">IF(G164="Yes","",D164)</f>
        <v>0</v>
      </c>
      <c r="I164" s="26"/>
      <c r="J164" s="26"/>
    </row>
    <row r="165" customFormat="false" ht="15" hidden="false" customHeight="false" outlineLevel="0" collapsed="false">
      <c r="A165" s="28"/>
      <c r="B165" s="26"/>
      <c r="C165" s="26"/>
      <c r="D165" s="32"/>
      <c r="E165" s="33" t="str">
        <f aca="false">IF(F165="","",IF(OR(F165="HDFC Bank (INR)",F165="HDFC IOCL Credit Card (INR)",F165="HDFC Swiggy Credit Card (INR)",F165="Axis Airtel Credit Card (INR)"),"INR","GBP"))</f>
        <v/>
      </c>
      <c r="F165" s="26"/>
      <c r="G165" s="26"/>
      <c r="H165" s="34" t="n">
        <f aca="false">IF(G165="Yes","",D165)</f>
        <v>0</v>
      </c>
      <c r="I165" s="26"/>
      <c r="J165" s="26"/>
    </row>
    <row r="166" customFormat="false" ht="15" hidden="false" customHeight="false" outlineLevel="0" collapsed="false">
      <c r="A166" s="28"/>
      <c r="B166" s="26"/>
      <c r="C166" s="26"/>
      <c r="D166" s="32"/>
      <c r="E166" s="33" t="str">
        <f aca="false">IF(F166="","",IF(OR(F166="HDFC Bank (INR)",F166="HDFC IOCL Credit Card (INR)",F166="HDFC Swiggy Credit Card (INR)",F166="Axis Airtel Credit Card (INR)"),"INR","GBP"))</f>
        <v/>
      </c>
      <c r="F166" s="26"/>
      <c r="G166" s="26"/>
      <c r="H166" s="34" t="n">
        <f aca="false">IF(G166="Yes","",D166)</f>
        <v>0</v>
      </c>
      <c r="I166" s="26"/>
      <c r="J166" s="26"/>
    </row>
    <row r="167" customFormat="false" ht="15" hidden="false" customHeight="false" outlineLevel="0" collapsed="false">
      <c r="A167" s="28"/>
      <c r="B167" s="26"/>
      <c r="C167" s="26"/>
      <c r="D167" s="32"/>
      <c r="E167" s="33" t="str">
        <f aca="false">IF(F167="","",IF(OR(F167="HDFC Bank (INR)",F167="HDFC IOCL Credit Card (INR)",F167="HDFC Swiggy Credit Card (INR)",F167="Axis Airtel Credit Card (INR)"),"INR","GBP"))</f>
        <v/>
      </c>
      <c r="F167" s="26"/>
      <c r="G167" s="26"/>
      <c r="H167" s="34" t="n">
        <f aca="false">IF(G167="Yes","",D167)</f>
        <v>0</v>
      </c>
      <c r="I167" s="26"/>
      <c r="J167" s="26"/>
    </row>
    <row r="168" customFormat="false" ht="15" hidden="false" customHeight="false" outlineLevel="0" collapsed="false">
      <c r="A168" s="28"/>
      <c r="B168" s="26"/>
      <c r="C168" s="26"/>
      <c r="D168" s="32"/>
      <c r="E168" s="33" t="str">
        <f aca="false">IF(F168="","",IF(OR(F168="HDFC Bank (INR)",F168="HDFC IOCL Credit Card (INR)",F168="HDFC Swiggy Credit Card (INR)",F168="Axis Airtel Credit Card (INR)"),"INR","GBP"))</f>
        <v/>
      </c>
      <c r="F168" s="26"/>
      <c r="G168" s="26"/>
      <c r="H168" s="34" t="n">
        <f aca="false">IF(G168="Yes","",D168)</f>
        <v>0</v>
      </c>
      <c r="I168" s="26"/>
      <c r="J168" s="26"/>
    </row>
    <row r="169" customFormat="false" ht="15" hidden="false" customHeight="false" outlineLevel="0" collapsed="false">
      <c r="A169" s="28"/>
      <c r="B169" s="26"/>
      <c r="C169" s="26"/>
      <c r="D169" s="32"/>
      <c r="E169" s="33" t="str">
        <f aca="false">IF(F169="","",IF(OR(F169="HDFC Bank (INR)",F169="HDFC IOCL Credit Card (INR)",F169="HDFC Swiggy Credit Card (INR)",F169="Axis Airtel Credit Card (INR)"),"INR","GBP"))</f>
        <v/>
      </c>
      <c r="F169" s="26"/>
      <c r="G169" s="26"/>
      <c r="H169" s="34" t="n">
        <f aca="false">IF(G169="Yes","",D169)</f>
        <v>0</v>
      </c>
      <c r="I169" s="26"/>
      <c r="J169" s="26"/>
    </row>
    <row r="170" customFormat="false" ht="15" hidden="false" customHeight="false" outlineLevel="0" collapsed="false">
      <c r="A170" s="28"/>
      <c r="B170" s="26"/>
      <c r="C170" s="26"/>
      <c r="D170" s="32"/>
      <c r="E170" s="33" t="str">
        <f aca="false">IF(F170="","",IF(OR(F170="HDFC Bank (INR)",F170="HDFC IOCL Credit Card (INR)",F170="HDFC Swiggy Credit Card (INR)",F170="Axis Airtel Credit Card (INR)"),"INR","GBP"))</f>
        <v/>
      </c>
      <c r="F170" s="26"/>
      <c r="G170" s="26"/>
      <c r="H170" s="34" t="n">
        <f aca="false">IF(G170="Yes","",D170)</f>
        <v>0</v>
      </c>
      <c r="I170" s="26"/>
      <c r="J170" s="26"/>
    </row>
    <row r="171" customFormat="false" ht="15" hidden="false" customHeight="false" outlineLevel="0" collapsed="false">
      <c r="A171" s="28"/>
      <c r="B171" s="26"/>
      <c r="C171" s="26"/>
      <c r="D171" s="32"/>
      <c r="E171" s="33" t="str">
        <f aca="false">IF(F171="","",IF(OR(F171="HDFC Bank (INR)",F171="HDFC IOCL Credit Card (INR)",F171="HDFC Swiggy Credit Card (INR)",F171="Axis Airtel Credit Card (INR)"),"INR","GBP"))</f>
        <v/>
      </c>
      <c r="F171" s="26"/>
      <c r="G171" s="26"/>
      <c r="H171" s="34" t="n">
        <f aca="false">IF(G171="Yes","",D171)</f>
        <v>0</v>
      </c>
      <c r="I171" s="26"/>
      <c r="J171" s="26"/>
    </row>
    <row r="172" customFormat="false" ht="15" hidden="false" customHeight="false" outlineLevel="0" collapsed="false">
      <c r="A172" s="28"/>
      <c r="B172" s="26"/>
      <c r="C172" s="26"/>
      <c r="D172" s="32"/>
      <c r="E172" s="33" t="str">
        <f aca="false">IF(F172="","",IF(OR(F172="HDFC Bank (INR)",F172="HDFC IOCL Credit Card (INR)",F172="HDFC Swiggy Credit Card (INR)",F172="Axis Airtel Credit Card (INR)"),"INR","GBP"))</f>
        <v/>
      </c>
      <c r="F172" s="26"/>
      <c r="G172" s="26"/>
      <c r="H172" s="34" t="n">
        <f aca="false">IF(G172="Yes","",D172)</f>
        <v>0</v>
      </c>
      <c r="I172" s="26"/>
      <c r="J172" s="26"/>
    </row>
    <row r="173" customFormat="false" ht="15" hidden="false" customHeight="false" outlineLevel="0" collapsed="false">
      <c r="A173" s="28"/>
      <c r="B173" s="26"/>
      <c r="C173" s="26"/>
      <c r="D173" s="32"/>
      <c r="E173" s="33" t="str">
        <f aca="false">IF(F173="","",IF(OR(F173="HDFC Bank (INR)",F173="HDFC IOCL Credit Card (INR)",F173="HDFC Swiggy Credit Card (INR)",F173="Axis Airtel Credit Card (INR)"),"INR","GBP"))</f>
        <v/>
      </c>
      <c r="F173" s="26"/>
      <c r="G173" s="26"/>
      <c r="H173" s="34" t="n">
        <f aca="false">IF(G173="Yes","",D173)</f>
        <v>0</v>
      </c>
      <c r="I173" s="26"/>
      <c r="J173" s="26"/>
    </row>
    <row r="174" customFormat="false" ht="15" hidden="false" customHeight="false" outlineLevel="0" collapsed="false">
      <c r="A174" s="28"/>
      <c r="B174" s="26"/>
      <c r="C174" s="26"/>
      <c r="D174" s="32"/>
      <c r="E174" s="33" t="str">
        <f aca="false">IF(F174="","",IF(OR(F174="HDFC Bank (INR)",F174="HDFC IOCL Credit Card (INR)",F174="HDFC Swiggy Credit Card (INR)",F174="Axis Airtel Credit Card (INR)"),"INR","GBP"))</f>
        <v/>
      </c>
      <c r="F174" s="26"/>
      <c r="G174" s="26"/>
      <c r="H174" s="34" t="n">
        <f aca="false">IF(G174="Yes","",D174)</f>
        <v>0</v>
      </c>
      <c r="I174" s="26"/>
      <c r="J174" s="26"/>
    </row>
    <row r="175" customFormat="false" ht="15" hidden="false" customHeight="false" outlineLevel="0" collapsed="false">
      <c r="A175" s="28"/>
      <c r="B175" s="26"/>
      <c r="C175" s="26"/>
      <c r="D175" s="32"/>
      <c r="E175" s="33" t="str">
        <f aca="false">IF(F175="","",IF(OR(F175="HDFC Bank (INR)",F175="HDFC IOCL Credit Card (INR)",F175="HDFC Swiggy Credit Card (INR)",F175="Axis Airtel Credit Card (INR)"),"INR","GBP"))</f>
        <v/>
      </c>
      <c r="F175" s="26"/>
      <c r="G175" s="26"/>
      <c r="H175" s="34" t="n">
        <f aca="false">IF(G175="Yes","",D175)</f>
        <v>0</v>
      </c>
      <c r="I175" s="26"/>
      <c r="J175" s="26"/>
    </row>
    <row r="176" customFormat="false" ht="15" hidden="false" customHeight="false" outlineLevel="0" collapsed="false">
      <c r="A176" s="28"/>
      <c r="B176" s="26"/>
      <c r="C176" s="26"/>
      <c r="D176" s="32"/>
      <c r="E176" s="33" t="str">
        <f aca="false">IF(F176="","",IF(OR(F176="HDFC Bank (INR)",F176="HDFC IOCL Credit Card (INR)",F176="HDFC Swiggy Credit Card (INR)",F176="Axis Airtel Credit Card (INR)"),"INR","GBP"))</f>
        <v/>
      </c>
      <c r="F176" s="26"/>
      <c r="G176" s="26"/>
      <c r="H176" s="34" t="n">
        <f aca="false">IF(G176="Yes","",D176)</f>
        <v>0</v>
      </c>
      <c r="I176" s="26"/>
      <c r="J176" s="26"/>
    </row>
    <row r="177" customFormat="false" ht="15" hidden="false" customHeight="false" outlineLevel="0" collapsed="false">
      <c r="A177" s="28"/>
      <c r="B177" s="26"/>
      <c r="C177" s="26"/>
      <c r="D177" s="32"/>
      <c r="E177" s="33" t="str">
        <f aca="false">IF(F177="","",IF(OR(F177="HDFC Bank (INR)",F177="HDFC IOCL Credit Card (INR)",F177="HDFC Swiggy Credit Card (INR)",F177="Axis Airtel Credit Card (INR)"),"INR","GBP"))</f>
        <v/>
      </c>
      <c r="F177" s="26"/>
      <c r="G177" s="26"/>
      <c r="H177" s="34" t="n">
        <f aca="false">IF(G177="Yes","",D177)</f>
        <v>0</v>
      </c>
      <c r="I177" s="26"/>
      <c r="J177" s="26"/>
    </row>
    <row r="178" customFormat="false" ht="15" hidden="false" customHeight="false" outlineLevel="0" collapsed="false">
      <c r="A178" s="28"/>
      <c r="B178" s="26"/>
      <c r="C178" s="26"/>
      <c r="D178" s="32"/>
      <c r="E178" s="33" t="str">
        <f aca="false">IF(F178="","",IF(OR(F178="HDFC Bank (INR)",F178="HDFC IOCL Credit Card (INR)",F178="HDFC Swiggy Credit Card (INR)",F178="Axis Airtel Credit Card (INR)"),"INR","GBP"))</f>
        <v/>
      </c>
      <c r="F178" s="26"/>
      <c r="G178" s="26"/>
      <c r="H178" s="34" t="n">
        <f aca="false">IF(G178="Yes","",D178)</f>
        <v>0</v>
      </c>
      <c r="I178" s="26"/>
      <c r="J178" s="26"/>
    </row>
    <row r="179" customFormat="false" ht="15" hidden="false" customHeight="false" outlineLevel="0" collapsed="false">
      <c r="A179" s="28"/>
      <c r="B179" s="26"/>
      <c r="C179" s="26"/>
      <c r="D179" s="32"/>
      <c r="E179" s="33" t="str">
        <f aca="false">IF(F179="","",IF(OR(F179="HDFC Bank (INR)",F179="HDFC IOCL Credit Card (INR)",F179="HDFC Swiggy Credit Card (INR)",F179="Axis Airtel Credit Card (INR)"),"INR","GBP"))</f>
        <v/>
      </c>
      <c r="F179" s="26"/>
      <c r="G179" s="26"/>
      <c r="H179" s="34" t="n">
        <f aca="false">IF(G179="Yes","",D179)</f>
        <v>0</v>
      </c>
      <c r="I179" s="26"/>
      <c r="J179" s="26"/>
    </row>
    <row r="180" customFormat="false" ht="15" hidden="false" customHeight="false" outlineLevel="0" collapsed="false">
      <c r="A180" s="28"/>
      <c r="B180" s="26"/>
      <c r="C180" s="26"/>
      <c r="D180" s="32"/>
      <c r="E180" s="33" t="str">
        <f aca="false">IF(F180="","",IF(OR(F180="HDFC Bank (INR)",F180="HDFC IOCL Credit Card (INR)",F180="HDFC Swiggy Credit Card (INR)",F180="Axis Airtel Credit Card (INR)"),"INR","GBP"))</f>
        <v/>
      </c>
      <c r="F180" s="26"/>
      <c r="G180" s="26"/>
      <c r="H180" s="34" t="n">
        <f aca="false">IF(G180="Yes","",D180)</f>
        <v>0</v>
      </c>
      <c r="I180" s="26"/>
      <c r="J180" s="26"/>
    </row>
    <row r="181" customFormat="false" ht="15" hidden="false" customHeight="false" outlineLevel="0" collapsed="false">
      <c r="A181" s="28"/>
      <c r="B181" s="26"/>
      <c r="C181" s="26"/>
      <c r="D181" s="32"/>
      <c r="E181" s="33" t="str">
        <f aca="false">IF(F181="","",IF(OR(F181="HDFC Bank (INR)",F181="HDFC IOCL Credit Card (INR)",F181="HDFC Swiggy Credit Card (INR)",F181="Axis Airtel Credit Card (INR)"),"INR","GBP"))</f>
        <v/>
      </c>
      <c r="F181" s="26"/>
      <c r="G181" s="26"/>
      <c r="H181" s="34" t="n">
        <f aca="false">IF(G181="Yes","",D181)</f>
        <v>0</v>
      </c>
      <c r="I181" s="26"/>
      <c r="J181" s="26"/>
    </row>
    <row r="182" customFormat="false" ht="15" hidden="false" customHeight="false" outlineLevel="0" collapsed="false">
      <c r="A182" s="28"/>
      <c r="B182" s="26"/>
      <c r="C182" s="26"/>
      <c r="D182" s="32"/>
      <c r="E182" s="33" t="str">
        <f aca="false">IF(F182="","",IF(OR(F182="HDFC Bank (INR)",F182="HDFC IOCL Credit Card (INR)",F182="HDFC Swiggy Credit Card (INR)",F182="Axis Airtel Credit Card (INR)"),"INR","GBP"))</f>
        <v/>
      </c>
      <c r="F182" s="26"/>
      <c r="G182" s="26"/>
      <c r="H182" s="34" t="n">
        <f aca="false">IF(G182="Yes","",D182)</f>
        <v>0</v>
      </c>
      <c r="I182" s="26"/>
      <c r="J182" s="26"/>
    </row>
    <row r="183" customFormat="false" ht="15" hidden="false" customHeight="false" outlineLevel="0" collapsed="false">
      <c r="A183" s="28"/>
      <c r="B183" s="26"/>
      <c r="C183" s="26"/>
      <c r="D183" s="32"/>
      <c r="E183" s="33" t="str">
        <f aca="false">IF(F183="","",IF(OR(F183="HDFC Bank (INR)",F183="HDFC IOCL Credit Card (INR)",F183="HDFC Swiggy Credit Card (INR)",F183="Axis Airtel Credit Card (INR)"),"INR","GBP"))</f>
        <v/>
      </c>
      <c r="F183" s="26"/>
      <c r="G183" s="26"/>
      <c r="H183" s="34" t="n">
        <f aca="false">IF(G183="Yes","",D183)</f>
        <v>0</v>
      </c>
      <c r="I183" s="26"/>
      <c r="J183" s="26"/>
    </row>
    <row r="184" customFormat="false" ht="15" hidden="false" customHeight="false" outlineLevel="0" collapsed="false">
      <c r="A184" s="28"/>
      <c r="B184" s="26"/>
      <c r="C184" s="26"/>
      <c r="D184" s="32"/>
      <c r="E184" s="33" t="str">
        <f aca="false">IF(F184="","",IF(OR(F184="HDFC Bank (INR)",F184="HDFC IOCL Credit Card (INR)",F184="HDFC Swiggy Credit Card (INR)",F184="Axis Airtel Credit Card (INR)"),"INR","GBP"))</f>
        <v/>
      </c>
      <c r="F184" s="26"/>
      <c r="G184" s="26"/>
      <c r="H184" s="34" t="n">
        <f aca="false">IF(G184="Yes","",D184)</f>
        <v>0</v>
      </c>
      <c r="I184" s="26"/>
      <c r="J184" s="26"/>
    </row>
    <row r="185" customFormat="false" ht="15" hidden="false" customHeight="false" outlineLevel="0" collapsed="false">
      <c r="A185" s="28"/>
      <c r="B185" s="26"/>
      <c r="C185" s="26"/>
      <c r="D185" s="32"/>
      <c r="E185" s="33" t="str">
        <f aca="false">IF(F185="","",IF(OR(F185="HDFC Bank (INR)",F185="HDFC IOCL Credit Card (INR)",F185="HDFC Swiggy Credit Card (INR)",F185="Axis Airtel Credit Card (INR)"),"INR","GBP"))</f>
        <v/>
      </c>
      <c r="F185" s="26"/>
      <c r="G185" s="26"/>
      <c r="H185" s="34" t="n">
        <f aca="false">IF(G185="Yes","",D185)</f>
        <v>0</v>
      </c>
      <c r="I185" s="26"/>
      <c r="J185" s="26"/>
    </row>
    <row r="186" customFormat="false" ht="15" hidden="false" customHeight="false" outlineLevel="0" collapsed="false">
      <c r="A186" s="28"/>
      <c r="B186" s="26"/>
      <c r="C186" s="26"/>
      <c r="D186" s="32"/>
      <c r="E186" s="33" t="str">
        <f aca="false">IF(F186="","",IF(OR(F186="HDFC Bank (INR)",F186="HDFC IOCL Credit Card (INR)",F186="HDFC Swiggy Credit Card (INR)",F186="Axis Airtel Credit Card (INR)"),"INR","GBP"))</f>
        <v/>
      </c>
      <c r="F186" s="26"/>
      <c r="G186" s="26"/>
      <c r="H186" s="34" t="n">
        <f aca="false">IF(G186="Yes","",D186)</f>
        <v>0</v>
      </c>
      <c r="I186" s="26"/>
      <c r="J186" s="26"/>
    </row>
    <row r="187" customFormat="false" ht="15" hidden="false" customHeight="false" outlineLevel="0" collapsed="false">
      <c r="A187" s="28"/>
      <c r="B187" s="26"/>
      <c r="C187" s="26"/>
      <c r="D187" s="32"/>
      <c r="E187" s="33" t="str">
        <f aca="false">IF(F187="","",IF(OR(F187="HDFC Bank (INR)",F187="HDFC IOCL Credit Card (INR)",F187="HDFC Swiggy Credit Card (INR)",F187="Axis Airtel Credit Card (INR)"),"INR","GBP"))</f>
        <v/>
      </c>
      <c r="F187" s="26"/>
      <c r="G187" s="26"/>
      <c r="H187" s="34" t="n">
        <f aca="false">IF(G187="Yes","",D187)</f>
        <v>0</v>
      </c>
      <c r="I187" s="26"/>
      <c r="J187" s="26"/>
    </row>
    <row r="188" customFormat="false" ht="15" hidden="false" customHeight="false" outlineLevel="0" collapsed="false">
      <c r="A188" s="28"/>
      <c r="B188" s="26"/>
      <c r="C188" s="26"/>
      <c r="D188" s="32"/>
      <c r="E188" s="33" t="str">
        <f aca="false">IF(F188="","",IF(OR(F188="HDFC Bank (INR)",F188="HDFC IOCL Credit Card (INR)",F188="HDFC Swiggy Credit Card (INR)",F188="Axis Airtel Credit Card (INR)"),"INR","GBP"))</f>
        <v/>
      </c>
      <c r="F188" s="26"/>
      <c r="G188" s="26"/>
      <c r="H188" s="34" t="n">
        <f aca="false">IF(G188="Yes","",D188)</f>
        <v>0</v>
      </c>
      <c r="I188" s="26"/>
      <c r="J188" s="26"/>
    </row>
    <row r="189" customFormat="false" ht="15" hidden="false" customHeight="false" outlineLevel="0" collapsed="false">
      <c r="A189" s="28"/>
      <c r="B189" s="26"/>
      <c r="C189" s="26"/>
      <c r="D189" s="32"/>
      <c r="E189" s="33" t="str">
        <f aca="false">IF(F189="","",IF(OR(F189="HDFC Bank (INR)",F189="HDFC IOCL Credit Card (INR)",F189="HDFC Swiggy Credit Card (INR)",F189="Axis Airtel Credit Card (INR)"),"INR","GBP"))</f>
        <v/>
      </c>
      <c r="F189" s="26"/>
      <c r="G189" s="26"/>
      <c r="H189" s="34" t="n">
        <f aca="false">IF(G189="Yes","",D189)</f>
        <v>0</v>
      </c>
      <c r="I189" s="26"/>
      <c r="J189" s="26"/>
    </row>
    <row r="190" customFormat="false" ht="15" hidden="false" customHeight="false" outlineLevel="0" collapsed="false">
      <c r="A190" s="28"/>
      <c r="B190" s="26"/>
      <c r="C190" s="26"/>
      <c r="D190" s="32"/>
      <c r="E190" s="33" t="str">
        <f aca="false">IF(F190="","",IF(OR(F190="HDFC Bank (INR)",F190="HDFC IOCL Credit Card (INR)",F190="HDFC Swiggy Credit Card (INR)",F190="Axis Airtel Credit Card (INR)"),"INR","GBP"))</f>
        <v/>
      </c>
      <c r="F190" s="26"/>
      <c r="G190" s="26"/>
      <c r="H190" s="34" t="n">
        <f aca="false">IF(G190="Yes","",D190)</f>
        <v>0</v>
      </c>
      <c r="I190" s="26"/>
      <c r="J190" s="26"/>
    </row>
    <row r="191" customFormat="false" ht="15" hidden="false" customHeight="false" outlineLevel="0" collapsed="false">
      <c r="A191" s="28"/>
      <c r="B191" s="26"/>
      <c r="C191" s="26"/>
      <c r="D191" s="32"/>
      <c r="E191" s="33" t="str">
        <f aca="false">IF(F191="","",IF(OR(F191="HDFC Bank (INR)",F191="HDFC IOCL Credit Card (INR)",F191="HDFC Swiggy Credit Card (INR)",F191="Axis Airtel Credit Card (INR)"),"INR","GBP"))</f>
        <v/>
      </c>
      <c r="F191" s="26"/>
      <c r="G191" s="26"/>
      <c r="H191" s="34" t="n">
        <f aca="false">IF(G191="Yes","",D191)</f>
        <v>0</v>
      </c>
      <c r="I191" s="26"/>
      <c r="J191" s="26"/>
    </row>
    <row r="192" customFormat="false" ht="15" hidden="false" customHeight="false" outlineLevel="0" collapsed="false">
      <c r="A192" s="28"/>
      <c r="B192" s="26"/>
      <c r="C192" s="26"/>
      <c r="D192" s="32"/>
      <c r="E192" s="33" t="str">
        <f aca="false">IF(F192="","",IF(OR(F192="HDFC Bank (INR)",F192="HDFC IOCL Credit Card (INR)",F192="HDFC Swiggy Credit Card (INR)",F192="Axis Airtel Credit Card (INR)"),"INR","GBP"))</f>
        <v/>
      </c>
      <c r="F192" s="26"/>
      <c r="G192" s="26"/>
      <c r="H192" s="34" t="n">
        <f aca="false">IF(G192="Yes","",D192)</f>
        <v>0</v>
      </c>
      <c r="I192" s="26"/>
      <c r="J192" s="26"/>
    </row>
    <row r="193" customFormat="false" ht="15" hidden="false" customHeight="false" outlineLevel="0" collapsed="false">
      <c r="A193" s="28"/>
      <c r="B193" s="26"/>
      <c r="C193" s="26"/>
      <c r="D193" s="32"/>
      <c r="E193" s="33" t="str">
        <f aca="false">IF(F193="","",IF(OR(F193="HDFC Bank (INR)",F193="HDFC IOCL Credit Card (INR)",F193="HDFC Swiggy Credit Card (INR)",F193="Axis Airtel Credit Card (INR)"),"INR","GBP"))</f>
        <v/>
      </c>
      <c r="F193" s="26"/>
      <c r="G193" s="26"/>
      <c r="H193" s="34" t="n">
        <f aca="false">IF(G193="Yes","",D193)</f>
        <v>0</v>
      </c>
      <c r="I193" s="26"/>
      <c r="J193" s="26"/>
    </row>
    <row r="194" customFormat="false" ht="15" hidden="false" customHeight="false" outlineLevel="0" collapsed="false">
      <c r="A194" s="28"/>
      <c r="B194" s="26"/>
      <c r="C194" s="26"/>
      <c r="D194" s="32"/>
      <c r="E194" s="33" t="str">
        <f aca="false">IF(F194="","",IF(OR(F194="HDFC Bank (INR)",F194="HDFC IOCL Credit Card (INR)",F194="HDFC Swiggy Credit Card (INR)",F194="Axis Airtel Credit Card (INR)"),"INR","GBP"))</f>
        <v/>
      </c>
      <c r="F194" s="26"/>
      <c r="G194" s="26"/>
      <c r="H194" s="34" t="n">
        <f aca="false">IF(G194="Yes","",D194)</f>
        <v>0</v>
      </c>
      <c r="I194" s="26"/>
      <c r="J194" s="26"/>
    </row>
    <row r="195" customFormat="false" ht="15" hidden="false" customHeight="false" outlineLevel="0" collapsed="false">
      <c r="A195" s="28"/>
      <c r="B195" s="26"/>
      <c r="C195" s="26"/>
      <c r="D195" s="32"/>
      <c r="E195" s="33" t="str">
        <f aca="false">IF(F195="","",IF(OR(F195="HDFC Bank (INR)",F195="HDFC IOCL Credit Card (INR)",F195="HDFC Swiggy Credit Card (INR)",F195="Axis Airtel Credit Card (INR)"),"INR","GBP"))</f>
        <v/>
      </c>
      <c r="F195" s="26"/>
      <c r="G195" s="26"/>
      <c r="H195" s="34" t="n">
        <f aca="false">IF(G195="Yes","",D195)</f>
        <v>0</v>
      </c>
      <c r="I195" s="26"/>
      <c r="J195" s="26"/>
    </row>
    <row r="196" customFormat="false" ht="15" hidden="false" customHeight="false" outlineLevel="0" collapsed="false">
      <c r="A196" s="28"/>
      <c r="B196" s="26"/>
      <c r="C196" s="26"/>
      <c r="D196" s="32"/>
      <c r="E196" s="33" t="str">
        <f aca="false">IF(F196="","",IF(OR(F196="HDFC Bank (INR)",F196="HDFC IOCL Credit Card (INR)",F196="HDFC Swiggy Credit Card (INR)",F196="Axis Airtel Credit Card (INR)"),"INR","GBP"))</f>
        <v/>
      </c>
      <c r="F196" s="26"/>
      <c r="G196" s="26"/>
      <c r="H196" s="34" t="n">
        <f aca="false">IF(G196="Yes","",D196)</f>
        <v>0</v>
      </c>
      <c r="I196" s="26"/>
      <c r="J196" s="26"/>
    </row>
    <row r="197" customFormat="false" ht="15" hidden="false" customHeight="false" outlineLevel="0" collapsed="false">
      <c r="A197" s="28"/>
      <c r="B197" s="26"/>
      <c r="C197" s="26"/>
      <c r="D197" s="32"/>
      <c r="E197" s="33" t="str">
        <f aca="false">IF(F197="","",IF(OR(F197="HDFC Bank (INR)",F197="HDFC IOCL Credit Card (INR)",F197="HDFC Swiggy Credit Card (INR)",F197="Axis Airtel Credit Card (INR)"),"INR","GBP"))</f>
        <v/>
      </c>
      <c r="F197" s="26"/>
      <c r="G197" s="26"/>
      <c r="H197" s="34" t="n">
        <f aca="false">IF(G197="Yes","",D197)</f>
        <v>0</v>
      </c>
      <c r="I197" s="26"/>
      <c r="J197" s="26"/>
    </row>
    <row r="198" customFormat="false" ht="15" hidden="false" customHeight="false" outlineLevel="0" collapsed="false">
      <c r="A198" s="28"/>
      <c r="B198" s="26"/>
      <c r="C198" s="26"/>
      <c r="D198" s="32"/>
      <c r="E198" s="33" t="str">
        <f aca="false">IF(F198="","",IF(OR(F198="HDFC Bank (INR)",F198="HDFC IOCL Credit Card (INR)",F198="HDFC Swiggy Credit Card (INR)",F198="Axis Airtel Credit Card (INR)"),"INR","GBP"))</f>
        <v/>
      </c>
      <c r="F198" s="26"/>
      <c r="G198" s="26"/>
      <c r="H198" s="34" t="n">
        <f aca="false">IF(G198="Yes","",D198)</f>
        <v>0</v>
      </c>
      <c r="I198" s="26"/>
      <c r="J198" s="26"/>
    </row>
    <row r="199" customFormat="false" ht="15" hidden="false" customHeight="false" outlineLevel="0" collapsed="false">
      <c r="A199" s="28"/>
      <c r="B199" s="26"/>
      <c r="C199" s="26"/>
      <c r="D199" s="32"/>
      <c r="E199" s="33" t="str">
        <f aca="false">IF(F199="","",IF(OR(F199="HDFC Bank (INR)",F199="HDFC IOCL Credit Card (INR)",F199="HDFC Swiggy Credit Card (INR)",F199="Axis Airtel Credit Card (INR)"),"INR","GBP"))</f>
        <v/>
      </c>
      <c r="F199" s="26"/>
      <c r="G199" s="26"/>
      <c r="H199" s="34" t="n">
        <f aca="false">IF(G199="Yes","",D199)</f>
        <v>0</v>
      </c>
      <c r="I199" s="26"/>
      <c r="J199" s="26"/>
    </row>
    <row r="200" customFormat="false" ht="15" hidden="false" customHeight="false" outlineLevel="0" collapsed="false">
      <c r="A200" s="28"/>
      <c r="B200" s="26"/>
      <c r="C200" s="26"/>
      <c r="D200" s="32"/>
      <c r="E200" s="33" t="str">
        <f aca="false">IF(F200="","",IF(OR(F200="HDFC Bank (INR)",F200="HDFC IOCL Credit Card (INR)",F200="HDFC Swiggy Credit Card (INR)",F200="Axis Airtel Credit Card (INR)"),"INR","GBP"))</f>
        <v/>
      </c>
      <c r="F200" s="26"/>
      <c r="G200" s="26"/>
      <c r="H200" s="34" t="n">
        <f aca="false">IF(G200="Yes","",D200)</f>
        <v>0</v>
      </c>
      <c r="I200" s="26"/>
      <c r="J200" s="26"/>
    </row>
    <row r="201" customFormat="false" ht="15" hidden="false" customHeight="false" outlineLevel="0" collapsed="false">
      <c r="A201" s="28"/>
      <c r="B201" s="26"/>
      <c r="C201" s="26"/>
      <c r="D201" s="32"/>
      <c r="E201" s="33" t="str">
        <f aca="false">IF(F201="","",IF(OR(F201="HDFC Bank (INR)",F201="HDFC IOCL Credit Card (INR)",F201="HDFC Swiggy Credit Card (INR)",F201="Axis Airtel Credit Card (INR)"),"INR","GBP"))</f>
        <v/>
      </c>
      <c r="F201" s="26"/>
      <c r="G201" s="26"/>
      <c r="H201" s="34" t="n">
        <f aca="false">IF(G201="Yes","",D201)</f>
        <v>0</v>
      </c>
      <c r="I201" s="26"/>
      <c r="J201" s="26"/>
    </row>
    <row r="202" customFormat="false" ht="15" hidden="false" customHeight="false" outlineLevel="0" collapsed="false">
      <c r="A202" s="28"/>
      <c r="B202" s="26"/>
      <c r="C202" s="26"/>
      <c r="D202" s="32"/>
      <c r="E202" s="33" t="str">
        <f aca="false">IF(F202="","",IF(OR(F202="HDFC Bank (INR)",F202="HDFC IOCL Credit Card (INR)",F202="HDFC Swiggy Credit Card (INR)",F202="Axis Airtel Credit Card (INR)"),"INR","GBP"))</f>
        <v/>
      </c>
      <c r="F202" s="26"/>
      <c r="G202" s="26"/>
      <c r="H202" s="34" t="n">
        <f aca="false">IF(G202="Yes","",D202)</f>
        <v>0</v>
      </c>
      <c r="I202" s="26"/>
      <c r="J202" s="26"/>
    </row>
    <row r="203" customFormat="false" ht="15" hidden="false" customHeight="false" outlineLevel="0" collapsed="false">
      <c r="A203" s="28"/>
      <c r="B203" s="26"/>
      <c r="C203" s="26"/>
      <c r="D203" s="32"/>
      <c r="E203" s="33" t="str">
        <f aca="false">IF(F203="","",IF(OR(F203="HDFC Bank (INR)",F203="HDFC IOCL Credit Card (INR)",F203="HDFC Swiggy Credit Card (INR)",F203="Axis Airtel Credit Card (INR)"),"INR","GBP"))</f>
        <v/>
      </c>
      <c r="F203" s="26"/>
      <c r="G203" s="26"/>
      <c r="H203" s="34" t="n">
        <f aca="false">IF(G203="Yes","",D203)</f>
        <v>0</v>
      </c>
      <c r="I203" s="26"/>
      <c r="J203" s="26"/>
    </row>
    <row r="204" customFormat="false" ht="15" hidden="false" customHeight="false" outlineLevel="0" collapsed="false">
      <c r="A204" s="28"/>
      <c r="B204" s="26"/>
      <c r="C204" s="26"/>
      <c r="D204" s="32"/>
      <c r="E204" s="33" t="str">
        <f aca="false">IF(F204="","",IF(OR(F204="HDFC Bank (INR)",F204="HDFC IOCL Credit Card (INR)",F204="HDFC Swiggy Credit Card (INR)",F204="Axis Airtel Credit Card (INR)"),"INR","GBP"))</f>
        <v/>
      </c>
      <c r="F204" s="26"/>
      <c r="G204" s="26"/>
      <c r="H204" s="34" t="n">
        <f aca="false">IF(G204="Yes","",D204)</f>
        <v>0</v>
      </c>
      <c r="I204" s="26"/>
      <c r="J204" s="26"/>
    </row>
    <row r="205" customFormat="false" ht="15" hidden="false" customHeight="false" outlineLevel="0" collapsed="false">
      <c r="A205" s="28"/>
      <c r="B205" s="26"/>
      <c r="C205" s="26"/>
      <c r="D205" s="32"/>
      <c r="E205" s="33" t="str">
        <f aca="false">IF(F205="","",IF(OR(F205="HDFC Bank (INR)",F205="HDFC IOCL Credit Card (INR)",F205="HDFC Swiggy Credit Card (INR)",F205="Axis Airtel Credit Card (INR)"),"INR","GBP"))</f>
        <v/>
      </c>
      <c r="F205" s="26"/>
      <c r="G205" s="26"/>
      <c r="H205" s="34" t="n">
        <f aca="false">IF(G205="Yes","",D205)</f>
        <v>0</v>
      </c>
      <c r="I205" s="26"/>
      <c r="J205" s="26"/>
    </row>
    <row r="206" customFormat="false" ht="15" hidden="false" customHeight="false" outlineLevel="0" collapsed="false">
      <c r="A206" s="28"/>
      <c r="B206" s="26"/>
      <c r="C206" s="26"/>
      <c r="D206" s="32"/>
      <c r="E206" s="33" t="str">
        <f aca="false">IF(F206="","",IF(OR(F206="HDFC Bank (INR)",F206="HDFC IOCL Credit Card (INR)",F206="HDFC Swiggy Credit Card (INR)",F206="Axis Airtel Credit Card (INR)"),"INR","GBP"))</f>
        <v/>
      </c>
      <c r="F206" s="26"/>
      <c r="G206" s="26"/>
      <c r="H206" s="34" t="n">
        <f aca="false">IF(G206="Yes","",D206)</f>
        <v>0</v>
      </c>
      <c r="I206" s="26"/>
      <c r="J206" s="26"/>
    </row>
    <row r="207" customFormat="false" ht="15" hidden="false" customHeight="false" outlineLevel="0" collapsed="false">
      <c r="A207" s="28"/>
      <c r="B207" s="26"/>
      <c r="C207" s="26"/>
      <c r="D207" s="32"/>
      <c r="E207" s="33" t="str">
        <f aca="false">IF(F207="","",IF(OR(F207="HDFC Bank (INR)",F207="HDFC IOCL Credit Card (INR)",F207="HDFC Swiggy Credit Card (INR)",F207="Axis Airtel Credit Card (INR)"),"INR","GBP"))</f>
        <v/>
      </c>
      <c r="F207" s="26"/>
      <c r="G207" s="26"/>
      <c r="H207" s="34" t="n">
        <f aca="false">IF(G207="Yes","",D207)</f>
        <v>0</v>
      </c>
      <c r="I207" s="26"/>
      <c r="J207" s="26"/>
    </row>
    <row r="208" customFormat="false" ht="15" hidden="false" customHeight="false" outlineLevel="0" collapsed="false">
      <c r="A208" s="28"/>
      <c r="B208" s="26"/>
      <c r="C208" s="26"/>
      <c r="D208" s="32"/>
      <c r="E208" s="33" t="str">
        <f aca="false">IF(F208="","",IF(OR(F208="HDFC Bank (INR)",F208="HDFC IOCL Credit Card (INR)",F208="HDFC Swiggy Credit Card (INR)",F208="Axis Airtel Credit Card (INR)"),"INR","GBP"))</f>
        <v/>
      </c>
      <c r="F208" s="26"/>
      <c r="G208" s="26"/>
      <c r="H208" s="34" t="n">
        <f aca="false">IF(G208="Yes","",D208)</f>
        <v>0</v>
      </c>
      <c r="I208" s="26"/>
      <c r="J208" s="26"/>
    </row>
    <row r="209" customFormat="false" ht="15" hidden="false" customHeight="false" outlineLevel="0" collapsed="false">
      <c r="A209" s="28"/>
      <c r="B209" s="26"/>
      <c r="C209" s="26"/>
      <c r="D209" s="32"/>
      <c r="E209" s="33" t="str">
        <f aca="false">IF(F209="","",IF(OR(F209="HDFC Bank (INR)",F209="HDFC IOCL Credit Card (INR)",F209="HDFC Swiggy Credit Card (INR)",F209="Axis Airtel Credit Card (INR)"),"INR","GBP"))</f>
        <v/>
      </c>
      <c r="F209" s="26"/>
      <c r="G209" s="26"/>
      <c r="H209" s="34" t="n">
        <f aca="false">IF(G209="Yes","",D209)</f>
        <v>0</v>
      </c>
      <c r="I209" s="26"/>
      <c r="J209" s="26"/>
    </row>
    <row r="210" customFormat="false" ht="15" hidden="false" customHeight="false" outlineLevel="0" collapsed="false">
      <c r="A210" s="28"/>
      <c r="B210" s="26"/>
      <c r="C210" s="26"/>
      <c r="D210" s="32"/>
      <c r="E210" s="33" t="str">
        <f aca="false">IF(F210="","",IF(OR(F210="HDFC Bank (INR)",F210="HDFC IOCL Credit Card (INR)",F210="HDFC Swiggy Credit Card (INR)",F210="Axis Airtel Credit Card (INR)"),"INR","GBP"))</f>
        <v/>
      </c>
      <c r="F210" s="26"/>
      <c r="G210" s="26"/>
      <c r="H210" s="34" t="n">
        <f aca="false">IF(G210="Yes","",D210)</f>
        <v>0</v>
      </c>
      <c r="I210" s="26"/>
      <c r="J210" s="26"/>
    </row>
    <row r="211" customFormat="false" ht="15" hidden="false" customHeight="false" outlineLevel="0" collapsed="false">
      <c r="A211" s="28"/>
      <c r="B211" s="26"/>
      <c r="C211" s="26"/>
      <c r="D211" s="32"/>
      <c r="E211" s="33" t="str">
        <f aca="false">IF(F211="","",IF(OR(F211="HDFC Bank (INR)",F211="HDFC IOCL Credit Card (INR)",F211="HDFC Swiggy Credit Card (INR)",F211="Axis Airtel Credit Card (INR)"),"INR","GBP"))</f>
        <v/>
      </c>
      <c r="F211" s="26"/>
      <c r="G211" s="26"/>
      <c r="H211" s="34" t="n">
        <f aca="false">IF(G211="Yes","",D211)</f>
        <v>0</v>
      </c>
      <c r="I211" s="26"/>
      <c r="J211" s="26"/>
    </row>
    <row r="212" customFormat="false" ht="15" hidden="false" customHeight="false" outlineLevel="0" collapsed="false">
      <c r="A212" s="28"/>
      <c r="B212" s="26"/>
      <c r="C212" s="26"/>
      <c r="D212" s="32"/>
      <c r="E212" s="33" t="str">
        <f aca="false">IF(F212="","",IF(OR(F212="HDFC Bank (INR)",F212="HDFC IOCL Credit Card (INR)",F212="HDFC Swiggy Credit Card (INR)",F212="Axis Airtel Credit Card (INR)"),"INR","GBP"))</f>
        <v/>
      </c>
      <c r="F212" s="26"/>
      <c r="G212" s="26"/>
      <c r="H212" s="34" t="n">
        <f aca="false">IF(G212="Yes","",D212)</f>
        <v>0</v>
      </c>
      <c r="I212" s="26"/>
      <c r="J212" s="26"/>
    </row>
    <row r="213" customFormat="false" ht="15" hidden="false" customHeight="false" outlineLevel="0" collapsed="false">
      <c r="A213" s="28"/>
      <c r="B213" s="26"/>
      <c r="C213" s="26"/>
      <c r="D213" s="32"/>
      <c r="E213" s="33" t="str">
        <f aca="false">IF(F213="","",IF(OR(F213="HDFC Bank (INR)",F213="HDFC IOCL Credit Card (INR)",F213="HDFC Swiggy Credit Card (INR)",F213="Axis Airtel Credit Card (INR)"),"INR","GBP"))</f>
        <v/>
      </c>
      <c r="F213" s="26"/>
      <c r="G213" s="26"/>
      <c r="H213" s="34" t="n">
        <f aca="false">IF(G213="Yes","",D213)</f>
        <v>0</v>
      </c>
      <c r="I213" s="26"/>
      <c r="J213" s="26"/>
    </row>
    <row r="214" customFormat="false" ht="15" hidden="false" customHeight="false" outlineLevel="0" collapsed="false">
      <c r="A214" s="28"/>
      <c r="B214" s="26"/>
      <c r="C214" s="26"/>
      <c r="D214" s="32"/>
      <c r="E214" s="33" t="str">
        <f aca="false">IF(F214="","",IF(OR(F214="HDFC Bank (INR)",F214="HDFC IOCL Credit Card (INR)",F214="HDFC Swiggy Credit Card (INR)",F214="Axis Airtel Credit Card (INR)"),"INR","GBP"))</f>
        <v/>
      </c>
      <c r="F214" s="26"/>
      <c r="G214" s="26"/>
      <c r="H214" s="34" t="n">
        <f aca="false">IF(G214="Yes","",D214)</f>
        <v>0</v>
      </c>
      <c r="I214" s="26"/>
      <c r="J214" s="26"/>
    </row>
    <row r="215" customFormat="false" ht="15" hidden="false" customHeight="false" outlineLevel="0" collapsed="false">
      <c r="A215" s="28"/>
      <c r="B215" s="26"/>
      <c r="C215" s="26"/>
      <c r="D215" s="32"/>
      <c r="E215" s="33" t="str">
        <f aca="false">IF(F215="","",IF(OR(F215="HDFC Bank (INR)",F215="HDFC IOCL Credit Card (INR)",F215="HDFC Swiggy Credit Card (INR)",F215="Axis Airtel Credit Card (INR)"),"INR","GBP"))</f>
        <v/>
      </c>
      <c r="F215" s="26"/>
      <c r="G215" s="26"/>
      <c r="H215" s="34" t="n">
        <f aca="false">IF(G215="Yes","",D215)</f>
        <v>0</v>
      </c>
      <c r="I215" s="26"/>
      <c r="J215" s="26"/>
    </row>
    <row r="216" customFormat="false" ht="15" hidden="false" customHeight="false" outlineLevel="0" collapsed="false">
      <c r="A216" s="28"/>
      <c r="B216" s="26"/>
      <c r="C216" s="26"/>
      <c r="D216" s="32"/>
      <c r="E216" s="33" t="str">
        <f aca="false">IF(F216="","",IF(OR(F216="HDFC Bank (INR)",F216="HDFC IOCL Credit Card (INR)",F216="HDFC Swiggy Credit Card (INR)",F216="Axis Airtel Credit Card (INR)"),"INR","GBP"))</f>
        <v/>
      </c>
      <c r="F216" s="26"/>
      <c r="G216" s="26"/>
      <c r="H216" s="34" t="n">
        <f aca="false">IF(G216="Yes","",D216)</f>
        <v>0</v>
      </c>
      <c r="I216" s="26"/>
      <c r="J216" s="26"/>
    </row>
    <row r="217" customFormat="false" ht="15" hidden="false" customHeight="false" outlineLevel="0" collapsed="false">
      <c r="A217" s="28"/>
      <c r="B217" s="26"/>
      <c r="C217" s="26"/>
      <c r="D217" s="32"/>
      <c r="E217" s="33" t="str">
        <f aca="false">IF(F217="","",IF(OR(F217="HDFC Bank (INR)",F217="HDFC IOCL Credit Card (INR)",F217="HDFC Swiggy Credit Card (INR)",F217="Axis Airtel Credit Card (INR)"),"INR","GBP"))</f>
        <v/>
      </c>
      <c r="F217" s="26"/>
      <c r="G217" s="26"/>
      <c r="H217" s="34" t="n">
        <f aca="false">IF(G217="Yes","",D217)</f>
        <v>0</v>
      </c>
      <c r="I217" s="26"/>
      <c r="J217" s="26"/>
    </row>
    <row r="218" customFormat="false" ht="15" hidden="false" customHeight="false" outlineLevel="0" collapsed="false">
      <c r="A218" s="28"/>
      <c r="B218" s="26"/>
      <c r="C218" s="26"/>
      <c r="D218" s="32"/>
      <c r="E218" s="33" t="str">
        <f aca="false">IF(F218="","",IF(OR(F218="HDFC Bank (INR)",F218="HDFC IOCL Credit Card (INR)",F218="HDFC Swiggy Credit Card (INR)",F218="Axis Airtel Credit Card (INR)"),"INR","GBP"))</f>
        <v/>
      </c>
      <c r="F218" s="26"/>
      <c r="G218" s="26"/>
      <c r="H218" s="34" t="n">
        <f aca="false">IF(G218="Yes","",D218)</f>
        <v>0</v>
      </c>
      <c r="I218" s="26"/>
      <c r="J218" s="26"/>
    </row>
    <row r="219" customFormat="false" ht="15" hidden="false" customHeight="false" outlineLevel="0" collapsed="false">
      <c r="A219" s="28"/>
      <c r="B219" s="26"/>
      <c r="C219" s="26"/>
      <c r="D219" s="32"/>
      <c r="E219" s="33" t="str">
        <f aca="false">IF(F219="","",IF(OR(F219="HDFC Bank (INR)",F219="HDFC IOCL Credit Card (INR)",F219="HDFC Swiggy Credit Card (INR)",F219="Axis Airtel Credit Card (INR)"),"INR","GBP"))</f>
        <v/>
      </c>
      <c r="F219" s="26"/>
      <c r="G219" s="26"/>
      <c r="H219" s="34" t="n">
        <f aca="false">IF(G219="Yes","",D219)</f>
        <v>0</v>
      </c>
      <c r="I219" s="26"/>
      <c r="J219" s="26"/>
    </row>
    <row r="220" customFormat="false" ht="15" hidden="false" customHeight="false" outlineLevel="0" collapsed="false">
      <c r="A220" s="28"/>
      <c r="B220" s="26"/>
      <c r="C220" s="26"/>
      <c r="D220" s="32"/>
      <c r="E220" s="33" t="str">
        <f aca="false">IF(F220="","",IF(OR(F220="HDFC Bank (INR)",F220="HDFC IOCL Credit Card (INR)",F220="HDFC Swiggy Credit Card (INR)",F220="Axis Airtel Credit Card (INR)"),"INR","GBP"))</f>
        <v/>
      </c>
      <c r="F220" s="26"/>
      <c r="G220" s="26"/>
      <c r="H220" s="34" t="n">
        <f aca="false">IF(G220="Yes","",D220)</f>
        <v>0</v>
      </c>
      <c r="I220" s="26"/>
      <c r="J220" s="26"/>
    </row>
    <row r="221" customFormat="false" ht="15" hidden="false" customHeight="false" outlineLevel="0" collapsed="false">
      <c r="A221" s="28"/>
      <c r="B221" s="26"/>
      <c r="C221" s="26"/>
      <c r="D221" s="32"/>
      <c r="E221" s="33" t="str">
        <f aca="false">IF(F221="","",IF(OR(F221="HDFC Bank (INR)",F221="HDFC IOCL Credit Card (INR)",F221="HDFC Swiggy Credit Card (INR)",F221="Axis Airtel Credit Card (INR)"),"INR","GBP"))</f>
        <v/>
      </c>
      <c r="F221" s="26"/>
      <c r="G221" s="26"/>
      <c r="H221" s="34" t="n">
        <f aca="false">IF(G221="Yes","",D221)</f>
        <v>0</v>
      </c>
      <c r="I221" s="26"/>
      <c r="J221" s="26"/>
    </row>
    <row r="222" customFormat="false" ht="15" hidden="false" customHeight="false" outlineLevel="0" collapsed="false">
      <c r="A222" s="28"/>
      <c r="B222" s="26"/>
      <c r="C222" s="26"/>
      <c r="D222" s="32"/>
      <c r="E222" s="33" t="str">
        <f aca="false">IF(F222="","",IF(OR(F222="HDFC Bank (INR)",F222="HDFC IOCL Credit Card (INR)",F222="HDFC Swiggy Credit Card (INR)",F222="Axis Airtel Credit Card (INR)"),"INR","GBP"))</f>
        <v/>
      </c>
      <c r="F222" s="26"/>
      <c r="G222" s="26"/>
      <c r="H222" s="34" t="n">
        <f aca="false">IF(G222="Yes","",D222)</f>
        <v>0</v>
      </c>
      <c r="I222" s="26"/>
      <c r="J222" s="26"/>
    </row>
    <row r="223" customFormat="false" ht="15" hidden="false" customHeight="false" outlineLevel="0" collapsed="false">
      <c r="A223" s="28"/>
      <c r="B223" s="26"/>
      <c r="C223" s="26"/>
      <c r="D223" s="32"/>
      <c r="E223" s="33" t="str">
        <f aca="false">IF(F223="","",IF(OR(F223="HDFC Bank (INR)",F223="HDFC IOCL Credit Card (INR)",F223="HDFC Swiggy Credit Card (INR)",F223="Axis Airtel Credit Card (INR)"),"INR","GBP"))</f>
        <v/>
      </c>
      <c r="F223" s="26"/>
      <c r="G223" s="26"/>
      <c r="H223" s="34" t="n">
        <f aca="false">IF(G223="Yes","",D223)</f>
        <v>0</v>
      </c>
      <c r="I223" s="26"/>
      <c r="J223" s="26"/>
    </row>
    <row r="224" customFormat="false" ht="15" hidden="false" customHeight="false" outlineLevel="0" collapsed="false">
      <c r="A224" s="28"/>
      <c r="B224" s="26"/>
      <c r="C224" s="26"/>
      <c r="D224" s="32"/>
      <c r="E224" s="33" t="str">
        <f aca="false">IF(F224="","",IF(OR(F224="HDFC Bank (INR)",F224="HDFC IOCL Credit Card (INR)",F224="HDFC Swiggy Credit Card (INR)",F224="Axis Airtel Credit Card (INR)"),"INR","GBP"))</f>
        <v/>
      </c>
      <c r="F224" s="26"/>
      <c r="G224" s="26"/>
      <c r="H224" s="34" t="n">
        <f aca="false">IF(G224="Yes","",D224)</f>
        <v>0</v>
      </c>
      <c r="I224" s="26"/>
      <c r="J224" s="26"/>
    </row>
    <row r="225" customFormat="false" ht="15" hidden="false" customHeight="false" outlineLevel="0" collapsed="false">
      <c r="A225" s="28"/>
      <c r="B225" s="26"/>
      <c r="C225" s="26"/>
      <c r="D225" s="32"/>
      <c r="E225" s="33" t="str">
        <f aca="false">IF(F225="","",IF(OR(F225="HDFC Bank (INR)",F225="HDFC IOCL Credit Card (INR)",F225="HDFC Swiggy Credit Card (INR)",F225="Axis Airtel Credit Card (INR)"),"INR","GBP"))</f>
        <v/>
      </c>
      <c r="F225" s="26"/>
      <c r="G225" s="26"/>
      <c r="H225" s="34" t="n">
        <f aca="false">IF(G225="Yes","",D225)</f>
        <v>0</v>
      </c>
      <c r="I225" s="26"/>
      <c r="J225" s="26"/>
    </row>
    <row r="226" customFormat="false" ht="15" hidden="false" customHeight="false" outlineLevel="0" collapsed="false">
      <c r="A226" s="28"/>
      <c r="B226" s="26"/>
      <c r="C226" s="26"/>
      <c r="D226" s="32"/>
      <c r="E226" s="33" t="str">
        <f aca="false">IF(F226="","",IF(OR(F226="HDFC Bank (INR)",F226="HDFC IOCL Credit Card (INR)",F226="HDFC Swiggy Credit Card (INR)",F226="Axis Airtel Credit Card (INR)"),"INR","GBP"))</f>
        <v/>
      </c>
      <c r="F226" s="26"/>
      <c r="G226" s="26"/>
      <c r="H226" s="34" t="n">
        <f aca="false">IF(G226="Yes","",D226)</f>
        <v>0</v>
      </c>
      <c r="I226" s="26"/>
      <c r="J226" s="26"/>
    </row>
    <row r="227" customFormat="false" ht="15" hidden="false" customHeight="false" outlineLevel="0" collapsed="false">
      <c r="A227" s="28"/>
      <c r="B227" s="26"/>
      <c r="C227" s="26"/>
      <c r="D227" s="32"/>
      <c r="E227" s="33" t="str">
        <f aca="false">IF(F227="","",IF(OR(F227="HDFC Bank (INR)",F227="HDFC IOCL Credit Card (INR)",F227="HDFC Swiggy Credit Card (INR)",F227="Axis Airtel Credit Card (INR)"),"INR","GBP"))</f>
        <v/>
      </c>
      <c r="F227" s="26"/>
      <c r="G227" s="26"/>
      <c r="H227" s="34" t="n">
        <f aca="false">IF(G227="Yes","",D227)</f>
        <v>0</v>
      </c>
      <c r="I227" s="26"/>
      <c r="J227" s="26"/>
    </row>
    <row r="228" customFormat="false" ht="15" hidden="false" customHeight="false" outlineLevel="0" collapsed="false">
      <c r="A228" s="28"/>
      <c r="B228" s="26"/>
      <c r="C228" s="26"/>
      <c r="D228" s="32"/>
      <c r="E228" s="33" t="str">
        <f aca="false">IF(F228="","",IF(OR(F228="HDFC Bank (INR)",F228="HDFC IOCL Credit Card (INR)",F228="HDFC Swiggy Credit Card (INR)",F228="Axis Airtel Credit Card (INR)"),"INR","GBP"))</f>
        <v/>
      </c>
      <c r="F228" s="26"/>
      <c r="G228" s="26"/>
      <c r="H228" s="34" t="n">
        <f aca="false">IF(G228="Yes","",D228)</f>
        <v>0</v>
      </c>
      <c r="I228" s="26"/>
      <c r="J228" s="26"/>
    </row>
    <row r="229" customFormat="false" ht="15" hidden="false" customHeight="false" outlineLevel="0" collapsed="false">
      <c r="A229" s="28"/>
      <c r="B229" s="26"/>
      <c r="C229" s="26"/>
      <c r="D229" s="32"/>
      <c r="E229" s="33" t="str">
        <f aca="false">IF(F229="","",IF(OR(F229="HDFC Bank (INR)",F229="HDFC IOCL Credit Card (INR)",F229="HDFC Swiggy Credit Card (INR)",F229="Axis Airtel Credit Card (INR)"),"INR","GBP"))</f>
        <v/>
      </c>
      <c r="F229" s="26"/>
      <c r="G229" s="26"/>
      <c r="H229" s="34" t="n">
        <f aca="false">IF(G229="Yes","",D229)</f>
        <v>0</v>
      </c>
      <c r="I229" s="26"/>
      <c r="J229" s="26"/>
    </row>
    <row r="230" customFormat="false" ht="15" hidden="false" customHeight="false" outlineLevel="0" collapsed="false">
      <c r="A230" s="28"/>
      <c r="B230" s="26"/>
      <c r="C230" s="26"/>
      <c r="D230" s="32"/>
      <c r="E230" s="33" t="str">
        <f aca="false">IF(F230="","",IF(OR(F230="HDFC Bank (INR)",F230="HDFC IOCL Credit Card (INR)",F230="HDFC Swiggy Credit Card (INR)",F230="Axis Airtel Credit Card (INR)"),"INR","GBP"))</f>
        <v/>
      </c>
      <c r="F230" s="26"/>
      <c r="G230" s="26"/>
      <c r="H230" s="34" t="n">
        <f aca="false">IF(G230="Yes","",D230)</f>
        <v>0</v>
      </c>
      <c r="I230" s="26"/>
      <c r="J230" s="26"/>
    </row>
    <row r="231" customFormat="false" ht="15" hidden="false" customHeight="false" outlineLevel="0" collapsed="false">
      <c r="A231" s="28"/>
      <c r="B231" s="26"/>
      <c r="C231" s="26"/>
      <c r="D231" s="32"/>
      <c r="E231" s="33" t="str">
        <f aca="false">IF(F231="","",IF(OR(F231="HDFC Bank (INR)",F231="HDFC IOCL Credit Card (INR)",F231="HDFC Swiggy Credit Card (INR)",F231="Axis Airtel Credit Card (INR)"),"INR","GBP"))</f>
        <v/>
      </c>
      <c r="F231" s="26"/>
      <c r="G231" s="26"/>
      <c r="H231" s="34" t="n">
        <f aca="false">IF(G231="Yes","",D231)</f>
        <v>0</v>
      </c>
      <c r="I231" s="26"/>
      <c r="J231" s="26"/>
    </row>
    <row r="232" customFormat="false" ht="15" hidden="false" customHeight="false" outlineLevel="0" collapsed="false">
      <c r="A232" s="28"/>
      <c r="B232" s="26"/>
      <c r="C232" s="26"/>
      <c r="D232" s="32"/>
      <c r="E232" s="33" t="str">
        <f aca="false">IF(F232="","",IF(OR(F232="HDFC Bank (INR)",F232="HDFC IOCL Credit Card (INR)",F232="HDFC Swiggy Credit Card (INR)",F232="Axis Airtel Credit Card (INR)"),"INR","GBP"))</f>
        <v/>
      </c>
      <c r="F232" s="26"/>
      <c r="G232" s="26"/>
      <c r="H232" s="34" t="n">
        <f aca="false">IF(G232="Yes","",D232)</f>
        <v>0</v>
      </c>
      <c r="I232" s="26"/>
      <c r="J232" s="26"/>
    </row>
    <row r="233" customFormat="false" ht="15" hidden="false" customHeight="false" outlineLevel="0" collapsed="false">
      <c r="A233" s="28"/>
      <c r="B233" s="26"/>
      <c r="C233" s="26"/>
      <c r="D233" s="32"/>
      <c r="E233" s="33" t="str">
        <f aca="false">IF(F233="","",IF(OR(F233="HDFC Bank (INR)",F233="HDFC IOCL Credit Card (INR)",F233="HDFC Swiggy Credit Card (INR)",F233="Axis Airtel Credit Card (INR)"),"INR","GBP"))</f>
        <v/>
      </c>
      <c r="F233" s="26"/>
      <c r="G233" s="26"/>
      <c r="H233" s="34" t="n">
        <f aca="false">IF(G233="Yes","",D233)</f>
        <v>0</v>
      </c>
      <c r="I233" s="26"/>
      <c r="J233" s="26"/>
    </row>
    <row r="234" customFormat="false" ht="15" hidden="false" customHeight="false" outlineLevel="0" collapsed="false">
      <c r="A234" s="28"/>
      <c r="B234" s="26"/>
      <c r="C234" s="26"/>
      <c r="D234" s="32"/>
      <c r="E234" s="33" t="str">
        <f aca="false">IF(F234="","",IF(OR(F234="HDFC Bank (INR)",F234="HDFC IOCL Credit Card (INR)",F234="HDFC Swiggy Credit Card (INR)",F234="Axis Airtel Credit Card (INR)"),"INR","GBP"))</f>
        <v/>
      </c>
      <c r="F234" s="26"/>
      <c r="G234" s="26"/>
      <c r="H234" s="34" t="n">
        <f aca="false">IF(G234="Yes","",D234)</f>
        <v>0</v>
      </c>
      <c r="I234" s="26"/>
      <c r="J234" s="26"/>
    </row>
    <row r="235" customFormat="false" ht="15" hidden="false" customHeight="false" outlineLevel="0" collapsed="false">
      <c r="A235" s="28"/>
      <c r="B235" s="26"/>
      <c r="C235" s="26"/>
      <c r="D235" s="32"/>
      <c r="E235" s="33" t="str">
        <f aca="false">IF(F235="","",IF(OR(F235="HDFC Bank (INR)",F235="HDFC IOCL Credit Card (INR)",F235="HDFC Swiggy Credit Card (INR)",F235="Axis Airtel Credit Card (INR)"),"INR","GBP"))</f>
        <v/>
      </c>
      <c r="F235" s="26"/>
      <c r="G235" s="26"/>
      <c r="H235" s="34" t="n">
        <f aca="false">IF(G235="Yes","",D235)</f>
        <v>0</v>
      </c>
      <c r="I235" s="26"/>
      <c r="J235" s="26"/>
    </row>
    <row r="236" customFormat="false" ht="15" hidden="false" customHeight="false" outlineLevel="0" collapsed="false">
      <c r="A236" s="28"/>
      <c r="B236" s="26"/>
      <c r="C236" s="26"/>
      <c r="D236" s="32"/>
      <c r="E236" s="33" t="str">
        <f aca="false">IF(F236="","",IF(OR(F236="HDFC Bank (INR)",F236="HDFC IOCL Credit Card (INR)",F236="HDFC Swiggy Credit Card (INR)",F236="Axis Airtel Credit Card (INR)"),"INR","GBP"))</f>
        <v/>
      </c>
      <c r="F236" s="26"/>
      <c r="G236" s="26"/>
      <c r="H236" s="34" t="n">
        <f aca="false">IF(G236="Yes","",D236)</f>
        <v>0</v>
      </c>
      <c r="I236" s="26"/>
      <c r="J236" s="26"/>
    </row>
    <row r="237" customFormat="false" ht="15" hidden="false" customHeight="false" outlineLevel="0" collapsed="false">
      <c r="A237" s="28"/>
      <c r="B237" s="26"/>
      <c r="C237" s="26"/>
      <c r="D237" s="32"/>
      <c r="E237" s="33" t="str">
        <f aca="false">IF(F237="","",IF(OR(F237="HDFC Bank (INR)",F237="HDFC IOCL Credit Card (INR)",F237="HDFC Swiggy Credit Card (INR)",F237="Axis Airtel Credit Card (INR)"),"INR","GBP"))</f>
        <v/>
      </c>
      <c r="F237" s="26"/>
      <c r="G237" s="26"/>
      <c r="H237" s="34" t="n">
        <f aca="false">IF(G237="Yes","",D237)</f>
        <v>0</v>
      </c>
      <c r="I237" s="26"/>
      <c r="J237" s="26"/>
    </row>
    <row r="238" customFormat="false" ht="15" hidden="false" customHeight="false" outlineLevel="0" collapsed="false">
      <c r="A238" s="28"/>
      <c r="B238" s="26"/>
      <c r="C238" s="26"/>
      <c r="D238" s="32"/>
      <c r="E238" s="33" t="str">
        <f aca="false">IF(F238="","",IF(OR(F238="HDFC Bank (INR)",F238="HDFC IOCL Credit Card (INR)",F238="HDFC Swiggy Credit Card (INR)",F238="Axis Airtel Credit Card (INR)"),"INR","GBP"))</f>
        <v/>
      </c>
      <c r="F238" s="26"/>
      <c r="G238" s="26"/>
      <c r="H238" s="34" t="n">
        <f aca="false">IF(G238="Yes","",D238)</f>
        <v>0</v>
      </c>
      <c r="I238" s="26"/>
      <c r="J238" s="26"/>
    </row>
    <row r="239" customFormat="false" ht="15" hidden="false" customHeight="false" outlineLevel="0" collapsed="false">
      <c r="A239" s="28"/>
      <c r="B239" s="26"/>
      <c r="C239" s="26"/>
      <c r="D239" s="32"/>
      <c r="E239" s="33" t="str">
        <f aca="false">IF(F239="","",IF(OR(F239="HDFC Bank (INR)",F239="HDFC IOCL Credit Card (INR)",F239="HDFC Swiggy Credit Card (INR)",F239="Axis Airtel Credit Card (INR)"),"INR","GBP"))</f>
        <v/>
      </c>
      <c r="F239" s="26"/>
      <c r="G239" s="26"/>
      <c r="H239" s="34" t="n">
        <f aca="false">IF(G239="Yes","",D239)</f>
        <v>0</v>
      </c>
      <c r="I239" s="26"/>
      <c r="J239" s="26"/>
    </row>
    <row r="240" customFormat="false" ht="15" hidden="false" customHeight="false" outlineLevel="0" collapsed="false">
      <c r="A240" s="28"/>
      <c r="B240" s="26"/>
      <c r="C240" s="26"/>
      <c r="D240" s="32"/>
      <c r="E240" s="33" t="str">
        <f aca="false">IF(F240="","",IF(OR(F240="HDFC Bank (INR)",F240="HDFC IOCL Credit Card (INR)",F240="HDFC Swiggy Credit Card (INR)",F240="Axis Airtel Credit Card (INR)"),"INR","GBP"))</f>
        <v/>
      </c>
      <c r="F240" s="26"/>
      <c r="G240" s="26"/>
      <c r="H240" s="34" t="n">
        <f aca="false">IF(G240="Yes","",D240)</f>
        <v>0</v>
      </c>
      <c r="I240" s="26"/>
      <c r="J240" s="26"/>
    </row>
    <row r="241" customFormat="false" ht="15" hidden="false" customHeight="false" outlineLevel="0" collapsed="false">
      <c r="A241" s="28"/>
      <c r="B241" s="26"/>
      <c r="C241" s="26"/>
      <c r="D241" s="32"/>
      <c r="E241" s="33" t="str">
        <f aca="false">IF(F241="","",IF(OR(F241="HDFC Bank (INR)",F241="HDFC IOCL Credit Card (INR)",F241="HDFC Swiggy Credit Card (INR)",F241="Axis Airtel Credit Card (INR)"),"INR","GBP"))</f>
        <v/>
      </c>
      <c r="F241" s="26"/>
      <c r="G241" s="26"/>
      <c r="H241" s="34" t="n">
        <f aca="false">IF(G241="Yes","",D241)</f>
        <v>0</v>
      </c>
      <c r="I241" s="26"/>
      <c r="J241" s="26"/>
    </row>
    <row r="242" customFormat="false" ht="15" hidden="false" customHeight="false" outlineLevel="0" collapsed="false">
      <c r="A242" s="28"/>
      <c r="B242" s="26"/>
      <c r="C242" s="26"/>
      <c r="D242" s="32"/>
      <c r="E242" s="33" t="str">
        <f aca="false">IF(F242="","",IF(OR(F242="HDFC Bank (INR)",F242="HDFC IOCL Credit Card (INR)",F242="HDFC Swiggy Credit Card (INR)",F242="Axis Airtel Credit Card (INR)"),"INR","GBP"))</f>
        <v/>
      </c>
      <c r="F242" s="26"/>
      <c r="G242" s="26"/>
      <c r="H242" s="34" t="n">
        <f aca="false">IF(G242="Yes","",D242)</f>
        <v>0</v>
      </c>
      <c r="I242" s="26"/>
      <c r="J242" s="26"/>
    </row>
    <row r="243" customFormat="false" ht="15" hidden="false" customHeight="false" outlineLevel="0" collapsed="false">
      <c r="A243" s="28"/>
      <c r="B243" s="26"/>
      <c r="C243" s="26"/>
      <c r="D243" s="32"/>
      <c r="E243" s="33" t="str">
        <f aca="false">IF(F243="","",IF(OR(F243="HDFC Bank (INR)",F243="HDFC IOCL Credit Card (INR)",F243="HDFC Swiggy Credit Card (INR)",F243="Axis Airtel Credit Card (INR)"),"INR","GBP"))</f>
        <v/>
      </c>
      <c r="F243" s="26"/>
      <c r="G243" s="26"/>
      <c r="H243" s="34" t="n">
        <f aca="false">IF(G243="Yes","",D243)</f>
        <v>0</v>
      </c>
      <c r="I243" s="26"/>
      <c r="J243" s="26"/>
    </row>
    <row r="244" customFormat="false" ht="15" hidden="false" customHeight="false" outlineLevel="0" collapsed="false">
      <c r="A244" s="28"/>
      <c r="B244" s="26"/>
      <c r="C244" s="26"/>
      <c r="D244" s="32"/>
      <c r="E244" s="33" t="str">
        <f aca="false">IF(F244="","",IF(OR(F244="HDFC Bank (INR)",F244="HDFC IOCL Credit Card (INR)",F244="HDFC Swiggy Credit Card (INR)",F244="Axis Airtel Credit Card (INR)"),"INR","GBP"))</f>
        <v/>
      </c>
      <c r="F244" s="26"/>
      <c r="G244" s="26"/>
      <c r="H244" s="34" t="n">
        <f aca="false">IF(G244="Yes","",D244)</f>
        <v>0</v>
      </c>
      <c r="I244" s="26"/>
      <c r="J244" s="26"/>
    </row>
    <row r="245" customFormat="false" ht="15" hidden="false" customHeight="false" outlineLevel="0" collapsed="false">
      <c r="A245" s="28"/>
      <c r="B245" s="26"/>
      <c r="C245" s="26"/>
      <c r="D245" s="32"/>
      <c r="E245" s="33" t="str">
        <f aca="false">IF(F245="","",IF(OR(F245="HDFC Bank (INR)",F245="HDFC IOCL Credit Card (INR)",F245="HDFC Swiggy Credit Card (INR)",F245="Axis Airtel Credit Card (INR)"),"INR","GBP"))</f>
        <v/>
      </c>
      <c r="F245" s="26"/>
      <c r="G245" s="26"/>
      <c r="H245" s="34" t="n">
        <f aca="false">IF(G245="Yes","",D245)</f>
        <v>0</v>
      </c>
      <c r="I245" s="26"/>
      <c r="J245" s="26"/>
    </row>
    <row r="246" customFormat="false" ht="15" hidden="false" customHeight="false" outlineLevel="0" collapsed="false">
      <c r="A246" s="28"/>
      <c r="B246" s="26"/>
      <c r="C246" s="26"/>
      <c r="D246" s="32"/>
      <c r="E246" s="33" t="str">
        <f aca="false">IF(F246="","",IF(OR(F246="HDFC Bank (INR)",F246="HDFC IOCL Credit Card (INR)",F246="HDFC Swiggy Credit Card (INR)",F246="Axis Airtel Credit Card (INR)"),"INR","GBP"))</f>
        <v/>
      </c>
      <c r="F246" s="26"/>
      <c r="G246" s="26"/>
      <c r="H246" s="34" t="n">
        <f aca="false">IF(G246="Yes","",D246)</f>
        <v>0</v>
      </c>
      <c r="I246" s="26"/>
      <c r="J246" s="26"/>
    </row>
    <row r="247" customFormat="false" ht="15" hidden="false" customHeight="false" outlineLevel="0" collapsed="false">
      <c r="A247" s="28"/>
      <c r="B247" s="26"/>
      <c r="C247" s="26"/>
      <c r="D247" s="32"/>
      <c r="E247" s="33" t="str">
        <f aca="false">IF(F247="","",IF(OR(F247="HDFC Bank (INR)",F247="HDFC IOCL Credit Card (INR)",F247="HDFC Swiggy Credit Card (INR)",F247="Axis Airtel Credit Card (INR)"),"INR","GBP"))</f>
        <v/>
      </c>
      <c r="F247" s="26"/>
      <c r="G247" s="26"/>
      <c r="H247" s="34" t="n">
        <f aca="false">IF(G247="Yes","",D247)</f>
        <v>0</v>
      </c>
      <c r="I247" s="26"/>
      <c r="J247" s="26"/>
    </row>
    <row r="248" customFormat="false" ht="15" hidden="false" customHeight="false" outlineLevel="0" collapsed="false">
      <c r="A248" s="28"/>
      <c r="B248" s="26"/>
      <c r="C248" s="26"/>
      <c r="D248" s="32"/>
      <c r="E248" s="33" t="str">
        <f aca="false">IF(F248="","",IF(OR(F248="HDFC Bank (INR)",F248="HDFC IOCL Credit Card (INR)",F248="HDFC Swiggy Credit Card (INR)",F248="Axis Airtel Credit Card (INR)"),"INR","GBP"))</f>
        <v/>
      </c>
      <c r="F248" s="26"/>
      <c r="G248" s="26"/>
      <c r="H248" s="34" t="n">
        <f aca="false">IF(G248="Yes","",D248)</f>
        <v>0</v>
      </c>
      <c r="I248" s="26"/>
      <c r="J248" s="26"/>
    </row>
    <row r="249" customFormat="false" ht="15" hidden="false" customHeight="false" outlineLevel="0" collapsed="false">
      <c r="A249" s="28"/>
      <c r="B249" s="26"/>
      <c r="C249" s="26"/>
      <c r="D249" s="32"/>
      <c r="E249" s="33" t="str">
        <f aca="false">IF(F249="","",IF(OR(F249="HDFC Bank (INR)",F249="HDFC IOCL Credit Card (INR)",F249="HDFC Swiggy Credit Card (INR)",F249="Axis Airtel Credit Card (INR)"),"INR","GBP"))</f>
        <v/>
      </c>
      <c r="F249" s="26"/>
      <c r="G249" s="26"/>
      <c r="H249" s="34" t="n">
        <f aca="false">IF(G249="Yes","",D249)</f>
        <v>0</v>
      </c>
      <c r="I249" s="26"/>
      <c r="J249" s="26"/>
    </row>
    <row r="250" customFormat="false" ht="15" hidden="false" customHeight="false" outlineLevel="0" collapsed="false">
      <c r="A250" s="28"/>
      <c r="B250" s="26"/>
      <c r="C250" s="26"/>
      <c r="D250" s="32"/>
      <c r="E250" s="33" t="str">
        <f aca="false">IF(F250="","",IF(OR(F250="HDFC Bank (INR)",F250="HDFC IOCL Credit Card (INR)",F250="HDFC Swiggy Credit Card (INR)",F250="Axis Airtel Credit Card (INR)"),"INR","GBP"))</f>
        <v/>
      </c>
      <c r="F250" s="26"/>
      <c r="G250" s="26"/>
      <c r="H250" s="34" t="n">
        <f aca="false">IF(G250="Yes","",D250)</f>
        <v>0</v>
      </c>
      <c r="I250" s="26"/>
      <c r="J250" s="26"/>
    </row>
    <row r="251" customFormat="false" ht="15" hidden="false" customHeight="false" outlineLevel="0" collapsed="false">
      <c r="A251" s="28"/>
      <c r="B251" s="26"/>
      <c r="C251" s="26"/>
      <c r="D251" s="32"/>
      <c r="E251" s="33" t="str">
        <f aca="false">IF(F251="","",IF(OR(F251="HDFC Bank (INR)",F251="HDFC IOCL Credit Card (INR)",F251="HDFC Swiggy Credit Card (INR)",F251="Axis Airtel Credit Card (INR)"),"INR","GBP"))</f>
        <v/>
      </c>
      <c r="F251" s="26"/>
      <c r="G251" s="26"/>
      <c r="H251" s="34" t="n">
        <f aca="false">IF(G251="Yes","",D251)</f>
        <v>0</v>
      </c>
      <c r="I251" s="26"/>
      <c r="J251" s="26"/>
    </row>
    <row r="252" customFormat="false" ht="15" hidden="false" customHeight="false" outlineLevel="0" collapsed="false">
      <c r="A252" s="28"/>
      <c r="B252" s="26"/>
      <c r="C252" s="26"/>
      <c r="D252" s="32"/>
      <c r="E252" s="33" t="str">
        <f aca="false">IF(F252="","",IF(OR(F252="HDFC Bank (INR)",F252="HDFC IOCL Credit Card (INR)",F252="HDFC Swiggy Credit Card (INR)",F252="Axis Airtel Credit Card (INR)"),"INR","GBP"))</f>
        <v/>
      </c>
      <c r="F252" s="26"/>
      <c r="G252" s="26"/>
      <c r="H252" s="34" t="n">
        <f aca="false">IF(G252="Yes","",D252)</f>
        <v>0</v>
      </c>
      <c r="I252" s="26"/>
      <c r="J252" s="26"/>
    </row>
    <row r="253" customFormat="false" ht="15" hidden="false" customHeight="false" outlineLevel="0" collapsed="false">
      <c r="A253" s="28"/>
      <c r="B253" s="26"/>
      <c r="C253" s="26"/>
      <c r="D253" s="32"/>
      <c r="E253" s="33" t="str">
        <f aca="false">IF(F253="","",IF(OR(F253="HDFC Bank (INR)",F253="HDFC IOCL Credit Card (INR)",F253="HDFC Swiggy Credit Card (INR)",F253="Axis Airtel Credit Card (INR)"),"INR","GBP"))</f>
        <v/>
      </c>
      <c r="F253" s="26"/>
      <c r="G253" s="26"/>
      <c r="H253" s="34" t="n">
        <f aca="false">IF(G253="Yes","",D253)</f>
        <v>0</v>
      </c>
      <c r="I253" s="26"/>
      <c r="J253" s="26"/>
    </row>
    <row r="254" customFormat="false" ht="15" hidden="false" customHeight="false" outlineLevel="0" collapsed="false">
      <c r="A254" s="28"/>
      <c r="B254" s="26"/>
      <c r="C254" s="26"/>
      <c r="D254" s="32"/>
      <c r="E254" s="33" t="str">
        <f aca="false">IF(F254="","",IF(OR(F254="HDFC Bank (INR)",F254="HDFC IOCL Credit Card (INR)",F254="HDFC Swiggy Credit Card (INR)",F254="Axis Airtel Credit Card (INR)"),"INR","GBP"))</f>
        <v/>
      </c>
      <c r="F254" s="26"/>
      <c r="G254" s="26"/>
      <c r="H254" s="34" t="n">
        <f aca="false">IF(G254="Yes","",D254)</f>
        <v>0</v>
      </c>
      <c r="I254" s="26"/>
      <c r="J254" s="26"/>
    </row>
    <row r="255" customFormat="false" ht="15" hidden="false" customHeight="false" outlineLevel="0" collapsed="false">
      <c r="A255" s="28"/>
      <c r="B255" s="26"/>
      <c r="C255" s="26"/>
      <c r="D255" s="32"/>
      <c r="E255" s="33" t="str">
        <f aca="false">IF(F255="","",IF(OR(F255="HDFC Bank (INR)",F255="HDFC IOCL Credit Card (INR)",F255="HDFC Swiggy Credit Card (INR)",F255="Axis Airtel Credit Card (INR)"),"INR","GBP"))</f>
        <v/>
      </c>
      <c r="F255" s="26"/>
      <c r="G255" s="26"/>
      <c r="H255" s="34" t="n">
        <f aca="false">IF(G255="Yes","",D255)</f>
        <v>0</v>
      </c>
      <c r="I255" s="26"/>
      <c r="J255" s="26"/>
    </row>
    <row r="256" customFormat="false" ht="15" hidden="false" customHeight="false" outlineLevel="0" collapsed="false">
      <c r="A256" s="28"/>
      <c r="B256" s="26"/>
      <c r="C256" s="26"/>
      <c r="D256" s="32"/>
      <c r="E256" s="33" t="str">
        <f aca="false">IF(F256="","",IF(OR(F256="HDFC Bank (INR)",F256="HDFC IOCL Credit Card (INR)",F256="HDFC Swiggy Credit Card (INR)",F256="Axis Airtel Credit Card (INR)"),"INR","GBP"))</f>
        <v/>
      </c>
      <c r="F256" s="26"/>
      <c r="G256" s="26"/>
      <c r="H256" s="34" t="n">
        <f aca="false">IF(G256="Yes","",D256)</f>
        <v>0</v>
      </c>
      <c r="I256" s="26"/>
      <c r="J256" s="26"/>
    </row>
    <row r="257" customFormat="false" ht="15" hidden="false" customHeight="false" outlineLevel="0" collapsed="false">
      <c r="A257" s="28"/>
      <c r="B257" s="26"/>
      <c r="C257" s="26"/>
      <c r="D257" s="32"/>
      <c r="E257" s="33" t="str">
        <f aca="false">IF(F257="","",IF(OR(F257="HDFC Bank (INR)",F257="HDFC IOCL Credit Card (INR)",F257="HDFC Swiggy Credit Card (INR)",F257="Axis Airtel Credit Card (INR)"),"INR","GBP"))</f>
        <v/>
      </c>
      <c r="F257" s="26"/>
      <c r="G257" s="26"/>
      <c r="H257" s="34" t="n">
        <f aca="false">IF(G257="Yes","",D257)</f>
        <v>0</v>
      </c>
      <c r="I257" s="26"/>
      <c r="J257" s="26"/>
    </row>
    <row r="258" customFormat="false" ht="15" hidden="false" customHeight="false" outlineLevel="0" collapsed="false">
      <c r="A258" s="28"/>
      <c r="B258" s="26"/>
      <c r="C258" s="26"/>
      <c r="D258" s="32"/>
      <c r="E258" s="33" t="str">
        <f aca="false">IF(F258="","",IF(OR(F258="HDFC Bank (INR)",F258="HDFC IOCL Credit Card (INR)",F258="HDFC Swiggy Credit Card (INR)",F258="Axis Airtel Credit Card (INR)"),"INR","GBP"))</f>
        <v/>
      </c>
      <c r="F258" s="26"/>
      <c r="G258" s="26"/>
      <c r="H258" s="34" t="n">
        <f aca="false">IF(G258="Yes","",D258)</f>
        <v>0</v>
      </c>
      <c r="I258" s="26"/>
      <c r="J258" s="26"/>
    </row>
    <row r="259" customFormat="false" ht="15" hidden="false" customHeight="false" outlineLevel="0" collapsed="false">
      <c r="A259" s="28"/>
      <c r="B259" s="26"/>
      <c r="C259" s="26"/>
      <c r="D259" s="32"/>
      <c r="E259" s="33" t="str">
        <f aca="false">IF(F259="","",IF(OR(F259="HDFC Bank (INR)",F259="HDFC IOCL Credit Card (INR)",F259="HDFC Swiggy Credit Card (INR)",F259="Axis Airtel Credit Card (INR)"),"INR","GBP"))</f>
        <v/>
      </c>
      <c r="F259" s="26"/>
      <c r="G259" s="26"/>
      <c r="H259" s="34" t="n">
        <f aca="false">IF(G259="Yes","",D259)</f>
        <v>0</v>
      </c>
      <c r="I259" s="26"/>
      <c r="J259" s="26"/>
    </row>
    <row r="260" customFormat="false" ht="15" hidden="false" customHeight="false" outlineLevel="0" collapsed="false">
      <c r="A260" s="28"/>
      <c r="B260" s="26"/>
      <c r="C260" s="26"/>
      <c r="D260" s="32"/>
      <c r="E260" s="33" t="str">
        <f aca="false">IF(F260="","",IF(OR(F260="HDFC Bank (INR)",F260="HDFC IOCL Credit Card (INR)",F260="HDFC Swiggy Credit Card (INR)",F260="Axis Airtel Credit Card (INR)"),"INR","GBP"))</f>
        <v/>
      </c>
      <c r="F260" s="26"/>
      <c r="G260" s="26"/>
      <c r="H260" s="34" t="n">
        <f aca="false">IF(G260="Yes","",D260)</f>
        <v>0</v>
      </c>
      <c r="I260" s="26"/>
      <c r="J260" s="26"/>
    </row>
    <row r="261" customFormat="false" ht="15" hidden="false" customHeight="false" outlineLevel="0" collapsed="false">
      <c r="A261" s="28"/>
      <c r="B261" s="26"/>
      <c r="C261" s="26"/>
      <c r="D261" s="32"/>
      <c r="E261" s="33" t="str">
        <f aca="false">IF(F261="","",IF(OR(F261="HDFC Bank (INR)",F261="HDFC IOCL Credit Card (INR)",F261="HDFC Swiggy Credit Card (INR)",F261="Axis Airtel Credit Card (INR)"),"INR","GBP"))</f>
        <v/>
      </c>
      <c r="F261" s="26"/>
      <c r="G261" s="26"/>
      <c r="H261" s="34" t="n">
        <f aca="false">IF(G261="Yes","",D261)</f>
        <v>0</v>
      </c>
      <c r="I261" s="26"/>
      <c r="J261" s="26"/>
    </row>
    <row r="262" customFormat="false" ht="15" hidden="false" customHeight="false" outlineLevel="0" collapsed="false">
      <c r="A262" s="28"/>
      <c r="B262" s="26"/>
      <c r="C262" s="26"/>
      <c r="D262" s="32"/>
      <c r="E262" s="33" t="str">
        <f aca="false">IF(F262="","",IF(OR(F262="HDFC Bank (INR)",F262="HDFC IOCL Credit Card (INR)",F262="HDFC Swiggy Credit Card (INR)",F262="Axis Airtel Credit Card (INR)"),"INR","GBP"))</f>
        <v/>
      </c>
      <c r="F262" s="26"/>
      <c r="G262" s="26"/>
      <c r="H262" s="34" t="n">
        <f aca="false">IF(G262="Yes","",D262)</f>
        <v>0</v>
      </c>
      <c r="I262" s="26"/>
      <c r="J262" s="26"/>
    </row>
    <row r="263" customFormat="false" ht="15" hidden="false" customHeight="false" outlineLevel="0" collapsed="false">
      <c r="A263" s="28"/>
      <c r="B263" s="26"/>
      <c r="C263" s="26"/>
      <c r="D263" s="32"/>
      <c r="E263" s="33" t="str">
        <f aca="false">IF(F263="","",IF(OR(F263="HDFC Bank (INR)",F263="HDFC IOCL Credit Card (INR)",F263="HDFC Swiggy Credit Card (INR)",F263="Axis Airtel Credit Card (INR)"),"INR","GBP"))</f>
        <v/>
      </c>
      <c r="F263" s="26"/>
      <c r="G263" s="26"/>
      <c r="H263" s="34" t="n">
        <f aca="false">IF(G263="Yes","",D263)</f>
        <v>0</v>
      </c>
      <c r="I263" s="26"/>
      <c r="J263" s="26"/>
    </row>
    <row r="264" customFormat="false" ht="15" hidden="false" customHeight="false" outlineLevel="0" collapsed="false">
      <c r="A264" s="28"/>
      <c r="B264" s="26"/>
      <c r="C264" s="26"/>
      <c r="D264" s="32"/>
      <c r="E264" s="33" t="str">
        <f aca="false">IF(F264="","",IF(OR(F264="HDFC Bank (INR)",F264="HDFC IOCL Credit Card (INR)",F264="HDFC Swiggy Credit Card (INR)",F264="Axis Airtel Credit Card (INR)"),"INR","GBP"))</f>
        <v/>
      </c>
      <c r="F264" s="26"/>
      <c r="G264" s="26"/>
      <c r="H264" s="34" t="n">
        <f aca="false">IF(G264="Yes","",D264)</f>
        <v>0</v>
      </c>
      <c r="I264" s="26"/>
      <c r="J264" s="26"/>
    </row>
    <row r="265" customFormat="false" ht="15" hidden="false" customHeight="false" outlineLevel="0" collapsed="false">
      <c r="A265" s="28"/>
      <c r="B265" s="26"/>
      <c r="C265" s="26"/>
      <c r="D265" s="32"/>
      <c r="E265" s="33" t="str">
        <f aca="false">IF(F265="","",IF(OR(F265="HDFC Bank (INR)",F265="HDFC IOCL Credit Card (INR)",F265="HDFC Swiggy Credit Card (INR)",F265="Axis Airtel Credit Card (INR)"),"INR","GBP"))</f>
        <v/>
      </c>
      <c r="F265" s="26"/>
      <c r="G265" s="26"/>
      <c r="H265" s="34" t="n">
        <f aca="false">IF(G265="Yes","",D265)</f>
        <v>0</v>
      </c>
      <c r="I265" s="26"/>
      <c r="J265" s="26"/>
    </row>
    <row r="266" customFormat="false" ht="15" hidden="false" customHeight="false" outlineLevel="0" collapsed="false">
      <c r="A266" s="28"/>
      <c r="B266" s="26"/>
      <c r="C266" s="26"/>
      <c r="D266" s="32"/>
      <c r="E266" s="33" t="str">
        <f aca="false">IF(F266="","",IF(OR(F266="HDFC Bank (INR)",F266="HDFC IOCL Credit Card (INR)",F266="HDFC Swiggy Credit Card (INR)",F266="Axis Airtel Credit Card (INR)"),"INR","GBP"))</f>
        <v/>
      </c>
      <c r="F266" s="26"/>
      <c r="G266" s="26"/>
      <c r="H266" s="34" t="n">
        <f aca="false">IF(G266="Yes","",D266)</f>
        <v>0</v>
      </c>
      <c r="I266" s="26"/>
      <c r="J266" s="26"/>
    </row>
    <row r="267" customFormat="false" ht="15" hidden="false" customHeight="false" outlineLevel="0" collapsed="false">
      <c r="A267" s="28"/>
      <c r="B267" s="26"/>
      <c r="C267" s="26"/>
      <c r="D267" s="32"/>
      <c r="E267" s="33" t="str">
        <f aca="false">IF(F267="","",IF(OR(F267="HDFC Bank (INR)",F267="HDFC IOCL Credit Card (INR)",F267="HDFC Swiggy Credit Card (INR)",F267="Axis Airtel Credit Card (INR)"),"INR","GBP"))</f>
        <v/>
      </c>
      <c r="F267" s="26"/>
      <c r="G267" s="26"/>
      <c r="H267" s="34" t="n">
        <f aca="false">IF(G267="Yes","",D267)</f>
        <v>0</v>
      </c>
      <c r="I267" s="26"/>
      <c r="J267" s="26"/>
    </row>
    <row r="268" customFormat="false" ht="15" hidden="false" customHeight="false" outlineLevel="0" collapsed="false">
      <c r="A268" s="28"/>
      <c r="B268" s="26"/>
      <c r="C268" s="26"/>
      <c r="D268" s="32"/>
      <c r="E268" s="33" t="str">
        <f aca="false">IF(F268="","",IF(OR(F268="HDFC Bank (INR)",F268="HDFC IOCL Credit Card (INR)",F268="HDFC Swiggy Credit Card (INR)",F268="Axis Airtel Credit Card (INR)"),"INR","GBP"))</f>
        <v/>
      </c>
      <c r="F268" s="26"/>
      <c r="G268" s="26"/>
      <c r="H268" s="34" t="n">
        <f aca="false">IF(G268="Yes","",D268)</f>
        <v>0</v>
      </c>
      <c r="I268" s="26"/>
      <c r="J268" s="26"/>
    </row>
    <row r="269" customFormat="false" ht="15" hidden="false" customHeight="false" outlineLevel="0" collapsed="false">
      <c r="A269" s="28"/>
      <c r="B269" s="26"/>
      <c r="C269" s="26"/>
      <c r="D269" s="32"/>
      <c r="E269" s="33" t="str">
        <f aca="false">IF(F269="","",IF(OR(F269="HDFC Bank (INR)",F269="HDFC IOCL Credit Card (INR)",F269="HDFC Swiggy Credit Card (INR)",F269="Axis Airtel Credit Card (INR)"),"INR","GBP"))</f>
        <v/>
      </c>
      <c r="F269" s="26"/>
      <c r="G269" s="26"/>
      <c r="H269" s="34" t="n">
        <f aca="false">IF(G269="Yes","",D269)</f>
        <v>0</v>
      </c>
      <c r="I269" s="26"/>
      <c r="J269" s="26"/>
    </row>
    <row r="270" customFormat="false" ht="15" hidden="false" customHeight="false" outlineLevel="0" collapsed="false">
      <c r="A270" s="28"/>
      <c r="B270" s="26"/>
      <c r="C270" s="26"/>
      <c r="D270" s="32"/>
      <c r="E270" s="33" t="str">
        <f aca="false">IF(F270="","",IF(OR(F270="HDFC Bank (INR)",F270="HDFC IOCL Credit Card (INR)",F270="HDFC Swiggy Credit Card (INR)",F270="Axis Airtel Credit Card (INR)"),"INR","GBP"))</f>
        <v/>
      </c>
      <c r="F270" s="26"/>
      <c r="G270" s="26"/>
      <c r="H270" s="34" t="n">
        <f aca="false">IF(G270="Yes","",D270)</f>
        <v>0</v>
      </c>
      <c r="I270" s="26"/>
      <c r="J270" s="26"/>
    </row>
    <row r="271" customFormat="false" ht="15" hidden="false" customHeight="false" outlineLevel="0" collapsed="false">
      <c r="A271" s="28"/>
      <c r="B271" s="26"/>
      <c r="C271" s="26"/>
      <c r="D271" s="32"/>
      <c r="E271" s="33" t="str">
        <f aca="false">IF(F271="","",IF(OR(F271="HDFC Bank (INR)",F271="HDFC IOCL Credit Card (INR)",F271="HDFC Swiggy Credit Card (INR)",F271="Axis Airtel Credit Card (INR)"),"INR","GBP"))</f>
        <v/>
      </c>
      <c r="F271" s="26"/>
      <c r="G271" s="26"/>
      <c r="H271" s="34" t="n">
        <f aca="false">IF(G271="Yes","",D271)</f>
        <v>0</v>
      </c>
      <c r="I271" s="26"/>
      <c r="J271" s="26"/>
    </row>
    <row r="272" customFormat="false" ht="15" hidden="false" customHeight="false" outlineLevel="0" collapsed="false">
      <c r="A272" s="28"/>
      <c r="B272" s="26"/>
      <c r="C272" s="26"/>
      <c r="D272" s="32"/>
      <c r="E272" s="33" t="str">
        <f aca="false">IF(F272="","",IF(OR(F272="HDFC Bank (INR)",F272="HDFC IOCL Credit Card (INR)",F272="HDFC Swiggy Credit Card (INR)",F272="Axis Airtel Credit Card (INR)"),"INR","GBP"))</f>
        <v/>
      </c>
      <c r="F272" s="26"/>
      <c r="G272" s="26"/>
      <c r="H272" s="34" t="n">
        <f aca="false">IF(G272="Yes","",D272)</f>
        <v>0</v>
      </c>
      <c r="I272" s="26"/>
      <c r="J272" s="26"/>
    </row>
    <row r="273" customFormat="false" ht="15" hidden="false" customHeight="false" outlineLevel="0" collapsed="false">
      <c r="A273" s="28"/>
      <c r="B273" s="26"/>
      <c r="C273" s="26"/>
      <c r="D273" s="32"/>
      <c r="E273" s="33" t="str">
        <f aca="false">IF(F273="","",IF(OR(F273="HDFC Bank (INR)",F273="HDFC IOCL Credit Card (INR)",F273="HDFC Swiggy Credit Card (INR)",F273="Axis Airtel Credit Card (INR)"),"INR","GBP"))</f>
        <v/>
      </c>
      <c r="F273" s="26"/>
      <c r="G273" s="26"/>
      <c r="H273" s="34" t="n">
        <f aca="false">IF(G273="Yes","",D273)</f>
        <v>0</v>
      </c>
      <c r="I273" s="26"/>
      <c r="J273" s="26"/>
    </row>
    <row r="274" customFormat="false" ht="15" hidden="false" customHeight="false" outlineLevel="0" collapsed="false">
      <c r="A274" s="28"/>
      <c r="B274" s="26"/>
      <c r="C274" s="26"/>
      <c r="D274" s="32"/>
      <c r="E274" s="33" t="str">
        <f aca="false">IF(F274="","",IF(OR(F274="HDFC Bank (INR)",F274="HDFC IOCL Credit Card (INR)",F274="HDFC Swiggy Credit Card (INR)",F274="Axis Airtel Credit Card (INR)"),"INR","GBP"))</f>
        <v/>
      </c>
      <c r="F274" s="26"/>
      <c r="G274" s="26"/>
      <c r="H274" s="34" t="n">
        <f aca="false">IF(G274="Yes","",D274)</f>
        <v>0</v>
      </c>
      <c r="I274" s="26"/>
      <c r="J274" s="26"/>
    </row>
    <row r="275" customFormat="false" ht="15" hidden="false" customHeight="false" outlineLevel="0" collapsed="false">
      <c r="A275" s="28"/>
      <c r="B275" s="26"/>
      <c r="C275" s="26"/>
      <c r="D275" s="32"/>
      <c r="E275" s="33" t="str">
        <f aca="false">IF(F275="","",IF(OR(F275="HDFC Bank (INR)",F275="HDFC IOCL Credit Card (INR)",F275="HDFC Swiggy Credit Card (INR)",F275="Axis Airtel Credit Card (INR)"),"INR","GBP"))</f>
        <v/>
      </c>
      <c r="F275" s="26"/>
      <c r="G275" s="26"/>
      <c r="H275" s="34" t="n">
        <f aca="false">IF(G275="Yes","",D275)</f>
        <v>0</v>
      </c>
      <c r="I275" s="26"/>
      <c r="J275" s="26"/>
    </row>
    <row r="276" customFormat="false" ht="15" hidden="false" customHeight="false" outlineLevel="0" collapsed="false">
      <c r="A276" s="28"/>
      <c r="B276" s="26"/>
      <c r="C276" s="26"/>
      <c r="D276" s="32"/>
      <c r="E276" s="33" t="str">
        <f aca="false">IF(F276="","",IF(OR(F276="HDFC Bank (INR)",F276="HDFC IOCL Credit Card (INR)",F276="HDFC Swiggy Credit Card (INR)",F276="Axis Airtel Credit Card (INR)"),"INR","GBP"))</f>
        <v/>
      </c>
      <c r="F276" s="26"/>
      <c r="G276" s="26"/>
      <c r="H276" s="34" t="n">
        <f aca="false">IF(G276="Yes","",D276)</f>
        <v>0</v>
      </c>
      <c r="I276" s="26"/>
      <c r="J276" s="26"/>
    </row>
    <row r="277" customFormat="false" ht="15" hidden="false" customHeight="false" outlineLevel="0" collapsed="false">
      <c r="A277" s="28"/>
      <c r="B277" s="26"/>
      <c r="C277" s="26"/>
      <c r="D277" s="32"/>
      <c r="E277" s="33" t="str">
        <f aca="false">IF(F277="","",IF(OR(F277="HDFC Bank (INR)",F277="HDFC IOCL Credit Card (INR)",F277="HDFC Swiggy Credit Card (INR)",F277="Axis Airtel Credit Card (INR)"),"INR","GBP"))</f>
        <v/>
      </c>
      <c r="F277" s="26"/>
      <c r="G277" s="26"/>
      <c r="H277" s="34" t="n">
        <f aca="false">IF(G277="Yes","",D277)</f>
        <v>0</v>
      </c>
      <c r="I277" s="26"/>
      <c r="J277" s="26"/>
    </row>
    <row r="278" customFormat="false" ht="15" hidden="false" customHeight="false" outlineLevel="0" collapsed="false">
      <c r="A278" s="28"/>
      <c r="B278" s="26"/>
      <c r="C278" s="26"/>
      <c r="D278" s="32"/>
      <c r="E278" s="33" t="str">
        <f aca="false">IF(F278="","",IF(OR(F278="HDFC Bank (INR)",F278="HDFC IOCL Credit Card (INR)",F278="HDFC Swiggy Credit Card (INR)",F278="Axis Airtel Credit Card (INR)"),"INR","GBP"))</f>
        <v/>
      </c>
      <c r="F278" s="26"/>
      <c r="G278" s="26"/>
      <c r="H278" s="34" t="n">
        <f aca="false">IF(G278="Yes","",D278)</f>
        <v>0</v>
      </c>
      <c r="I278" s="26"/>
      <c r="J278" s="26"/>
    </row>
    <row r="279" customFormat="false" ht="15" hidden="false" customHeight="false" outlineLevel="0" collapsed="false">
      <c r="A279" s="28"/>
      <c r="B279" s="26"/>
      <c r="C279" s="26"/>
      <c r="D279" s="32"/>
      <c r="E279" s="33" t="str">
        <f aca="false">IF(F279="","",IF(OR(F279="HDFC Bank (INR)",F279="HDFC IOCL Credit Card (INR)",F279="HDFC Swiggy Credit Card (INR)",F279="Axis Airtel Credit Card (INR)"),"INR","GBP"))</f>
        <v/>
      </c>
      <c r="F279" s="26"/>
      <c r="G279" s="26"/>
      <c r="H279" s="34" t="n">
        <f aca="false">IF(G279="Yes","",D279)</f>
        <v>0</v>
      </c>
      <c r="I279" s="26"/>
      <c r="J279" s="26"/>
    </row>
    <row r="280" customFormat="false" ht="15" hidden="false" customHeight="false" outlineLevel="0" collapsed="false">
      <c r="A280" s="28"/>
      <c r="B280" s="26"/>
      <c r="C280" s="26"/>
      <c r="D280" s="32"/>
      <c r="E280" s="33" t="str">
        <f aca="false">IF(F280="","",IF(OR(F280="HDFC Bank (INR)",F280="HDFC IOCL Credit Card (INR)",F280="HDFC Swiggy Credit Card (INR)",F280="Axis Airtel Credit Card (INR)"),"INR","GBP"))</f>
        <v/>
      </c>
      <c r="F280" s="26"/>
      <c r="G280" s="26"/>
      <c r="H280" s="34" t="n">
        <f aca="false">IF(G280="Yes","",D280)</f>
        <v>0</v>
      </c>
      <c r="I280" s="26"/>
      <c r="J280" s="26"/>
    </row>
    <row r="281" customFormat="false" ht="15" hidden="false" customHeight="false" outlineLevel="0" collapsed="false">
      <c r="A281" s="28"/>
      <c r="B281" s="26"/>
      <c r="C281" s="26"/>
      <c r="D281" s="32"/>
      <c r="E281" s="33" t="str">
        <f aca="false">IF(F281="","",IF(OR(F281="HDFC Bank (INR)",F281="HDFC IOCL Credit Card (INR)",F281="HDFC Swiggy Credit Card (INR)",F281="Axis Airtel Credit Card (INR)"),"INR","GBP"))</f>
        <v/>
      </c>
      <c r="F281" s="26"/>
      <c r="G281" s="26"/>
      <c r="H281" s="34" t="n">
        <f aca="false">IF(G281="Yes","",D281)</f>
        <v>0</v>
      </c>
      <c r="I281" s="26"/>
      <c r="J281" s="26"/>
    </row>
    <row r="282" customFormat="false" ht="15" hidden="false" customHeight="false" outlineLevel="0" collapsed="false">
      <c r="A282" s="28"/>
      <c r="B282" s="26"/>
      <c r="C282" s="26"/>
      <c r="D282" s="32"/>
      <c r="E282" s="33" t="str">
        <f aca="false">IF(F282="","",IF(OR(F282="HDFC Bank (INR)",F282="HDFC IOCL Credit Card (INR)",F282="HDFC Swiggy Credit Card (INR)",F282="Axis Airtel Credit Card (INR)"),"INR","GBP"))</f>
        <v/>
      </c>
      <c r="F282" s="26"/>
      <c r="G282" s="26"/>
      <c r="H282" s="34" t="n">
        <f aca="false">IF(G282="Yes","",D282)</f>
        <v>0</v>
      </c>
      <c r="I282" s="26"/>
      <c r="J282" s="26"/>
    </row>
    <row r="283" customFormat="false" ht="15" hidden="false" customHeight="false" outlineLevel="0" collapsed="false">
      <c r="A283" s="28"/>
      <c r="B283" s="26"/>
      <c r="C283" s="26"/>
      <c r="D283" s="32"/>
      <c r="E283" s="33" t="str">
        <f aca="false">IF(F283="","",IF(OR(F283="HDFC Bank (INR)",F283="HDFC IOCL Credit Card (INR)",F283="HDFC Swiggy Credit Card (INR)",F283="Axis Airtel Credit Card (INR)"),"INR","GBP"))</f>
        <v/>
      </c>
      <c r="F283" s="26"/>
      <c r="G283" s="26"/>
      <c r="H283" s="34" t="n">
        <f aca="false">IF(G283="Yes","",D283)</f>
        <v>0</v>
      </c>
      <c r="I283" s="26"/>
      <c r="J283" s="26"/>
    </row>
    <row r="284" customFormat="false" ht="15" hidden="false" customHeight="false" outlineLevel="0" collapsed="false">
      <c r="A284" s="28"/>
      <c r="B284" s="26"/>
      <c r="C284" s="26"/>
      <c r="D284" s="32"/>
      <c r="E284" s="33" t="str">
        <f aca="false">IF(F284="","",IF(OR(F284="HDFC Bank (INR)",F284="HDFC IOCL Credit Card (INR)",F284="HDFC Swiggy Credit Card (INR)",F284="Axis Airtel Credit Card (INR)"),"INR","GBP"))</f>
        <v/>
      </c>
      <c r="F284" s="26"/>
      <c r="G284" s="26"/>
      <c r="H284" s="34" t="n">
        <f aca="false">IF(G284="Yes","",D284)</f>
        <v>0</v>
      </c>
      <c r="I284" s="26"/>
      <c r="J284" s="26"/>
    </row>
    <row r="285" customFormat="false" ht="15" hidden="false" customHeight="false" outlineLevel="0" collapsed="false">
      <c r="A285" s="28"/>
      <c r="B285" s="26"/>
      <c r="C285" s="26"/>
      <c r="D285" s="32"/>
      <c r="E285" s="33" t="str">
        <f aca="false">IF(F285="","",IF(OR(F285="HDFC Bank (INR)",F285="HDFC IOCL Credit Card (INR)",F285="HDFC Swiggy Credit Card (INR)",F285="Axis Airtel Credit Card (INR)"),"INR","GBP"))</f>
        <v/>
      </c>
      <c r="F285" s="26"/>
      <c r="G285" s="26"/>
      <c r="H285" s="34" t="n">
        <f aca="false">IF(G285="Yes","",D285)</f>
        <v>0</v>
      </c>
      <c r="I285" s="26"/>
      <c r="J285" s="26"/>
    </row>
    <row r="286" customFormat="false" ht="15" hidden="false" customHeight="false" outlineLevel="0" collapsed="false">
      <c r="A286" s="28"/>
      <c r="B286" s="26"/>
      <c r="C286" s="26"/>
      <c r="D286" s="32"/>
      <c r="E286" s="33" t="str">
        <f aca="false">IF(F286="","",IF(OR(F286="HDFC Bank (INR)",F286="HDFC IOCL Credit Card (INR)",F286="HDFC Swiggy Credit Card (INR)",F286="Axis Airtel Credit Card (INR)"),"INR","GBP"))</f>
        <v/>
      </c>
      <c r="F286" s="26"/>
      <c r="G286" s="26"/>
      <c r="H286" s="34" t="n">
        <f aca="false">IF(G286="Yes","",D286)</f>
        <v>0</v>
      </c>
      <c r="I286" s="26"/>
      <c r="J286" s="26"/>
    </row>
    <row r="287" customFormat="false" ht="15" hidden="false" customHeight="false" outlineLevel="0" collapsed="false">
      <c r="A287" s="28"/>
      <c r="B287" s="26"/>
      <c r="C287" s="26"/>
      <c r="D287" s="32"/>
      <c r="E287" s="33" t="str">
        <f aca="false">IF(F287="","",IF(OR(F287="HDFC Bank (INR)",F287="HDFC IOCL Credit Card (INR)",F287="HDFC Swiggy Credit Card (INR)",F287="Axis Airtel Credit Card (INR)"),"INR","GBP"))</f>
        <v/>
      </c>
      <c r="F287" s="26"/>
      <c r="G287" s="26"/>
      <c r="H287" s="34" t="n">
        <f aca="false">IF(G287="Yes","",D287)</f>
        <v>0</v>
      </c>
      <c r="I287" s="26"/>
      <c r="J287" s="26"/>
    </row>
    <row r="288" customFormat="false" ht="15" hidden="false" customHeight="false" outlineLevel="0" collapsed="false">
      <c r="A288" s="28"/>
      <c r="B288" s="26"/>
      <c r="C288" s="26"/>
      <c r="D288" s="32"/>
      <c r="E288" s="33" t="str">
        <f aca="false">IF(F288="","",IF(OR(F288="HDFC Bank (INR)",F288="HDFC IOCL Credit Card (INR)",F288="HDFC Swiggy Credit Card (INR)",F288="Axis Airtel Credit Card (INR)"),"INR","GBP"))</f>
        <v/>
      </c>
      <c r="F288" s="26"/>
      <c r="G288" s="26"/>
      <c r="H288" s="34" t="n">
        <f aca="false">IF(G288="Yes","",D288)</f>
        <v>0</v>
      </c>
      <c r="I288" s="26"/>
      <c r="J288" s="26"/>
    </row>
    <row r="289" customFormat="false" ht="15" hidden="false" customHeight="false" outlineLevel="0" collapsed="false">
      <c r="A289" s="28"/>
      <c r="B289" s="26"/>
      <c r="C289" s="26"/>
      <c r="D289" s="32"/>
      <c r="E289" s="33" t="str">
        <f aca="false">IF(F289="","",IF(OR(F289="HDFC Bank (INR)",F289="HDFC IOCL Credit Card (INR)",F289="HDFC Swiggy Credit Card (INR)",F289="Axis Airtel Credit Card (INR)"),"INR","GBP"))</f>
        <v/>
      </c>
      <c r="F289" s="26"/>
      <c r="G289" s="26"/>
      <c r="H289" s="34" t="n">
        <f aca="false">IF(G289="Yes","",D289)</f>
        <v>0</v>
      </c>
      <c r="I289" s="26"/>
      <c r="J289" s="26"/>
    </row>
    <row r="290" customFormat="false" ht="15" hidden="false" customHeight="false" outlineLevel="0" collapsed="false">
      <c r="A290" s="28"/>
      <c r="B290" s="26"/>
      <c r="C290" s="26"/>
      <c r="D290" s="32"/>
      <c r="E290" s="33" t="str">
        <f aca="false">IF(F290="","",IF(OR(F290="HDFC Bank (INR)",F290="HDFC IOCL Credit Card (INR)",F290="HDFC Swiggy Credit Card (INR)",F290="Axis Airtel Credit Card (INR)"),"INR","GBP"))</f>
        <v/>
      </c>
      <c r="F290" s="26"/>
      <c r="G290" s="26"/>
      <c r="H290" s="34" t="n">
        <f aca="false">IF(G290="Yes","",D290)</f>
        <v>0</v>
      </c>
      <c r="I290" s="26"/>
      <c r="J290" s="26"/>
    </row>
    <row r="291" customFormat="false" ht="15" hidden="false" customHeight="false" outlineLevel="0" collapsed="false">
      <c r="A291" s="28"/>
      <c r="B291" s="26"/>
      <c r="C291" s="26"/>
      <c r="D291" s="32"/>
      <c r="E291" s="33" t="str">
        <f aca="false">IF(F291="","",IF(OR(F291="HDFC Bank (INR)",F291="HDFC IOCL Credit Card (INR)",F291="HDFC Swiggy Credit Card (INR)",F291="Axis Airtel Credit Card (INR)"),"INR","GBP"))</f>
        <v/>
      </c>
      <c r="F291" s="26"/>
      <c r="G291" s="26"/>
      <c r="H291" s="34" t="n">
        <f aca="false">IF(G291="Yes","",D291)</f>
        <v>0</v>
      </c>
      <c r="I291" s="26"/>
      <c r="J291" s="26"/>
    </row>
    <row r="292" customFormat="false" ht="15" hidden="false" customHeight="false" outlineLevel="0" collapsed="false">
      <c r="A292" s="28"/>
      <c r="B292" s="26"/>
      <c r="C292" s="26"/>
      <c r="D292" s="32"/>
      <c r="E292" s="33" t="str">
        <f aca="false">IF(F292="","",IF(OR(F292="HDFC Bank (INR)",F292="HDFC IOCL Credit Card (INR)",F292="HDFC Swiggy Credit Card (INR)",F292="Axis Airtel Credit Card (INR)"),"INR","GBP"))</f>
        <v/>
      </c>
      <c r="F292" s="26"/>
      <c r="G292" s="26"/>
      <c r="H292" s="34" t="n">
        <f aca="false">IF(G292="Yes","",D292)</f>
        <v>0</v>
      </c>
      <c r="I292" s="26"/>
      <c r="J292" s="26"/>
    </row>
    <row r="293" customFormat="false" ht="15" hidden="false" customHeight="false" outlineLevel="0" collapsed="false">
      <c r="A293" s="28"/>
      <c r="B293" s="26"/>
      <c r="C293" s="26"/>
      <c r="D293" s="32"/>
      <c r="E293" s="33" t="str">
        <f aca="false">IF(F293="","",IF(OR(F293="HDFC Bank (INR)",F293="HDFC IOCL Credit Card (INR)",F293="HDFC Swiggy Credit Card (INR)",F293="Axis Airtel Credit Card (INR)"),"INR","GBP"))</f>
        <v/>
      </c>
      <c r="F293" s="26"/>
      <c r="G293" s="26"/>
      <c r="H293" s="34" t="n">
        <f aca="false">IF(G293="Yes","",D293)</f>
        <v>0</v>
      </c>
      <c r="I293" s="26"/>
      <c r="J293" s="26"/>
    </row>
    <row r="294" customFormat="false" ht="15" hidden="false" customHeight="false" outlineLevel="0" collapsed="false">
      <c r="A294" s="28"/>
      <c r="B294" s="26"/>
      <c r="C294" s="26"/>
      <c r="D294" s="32"/>
      <c r="E294" s="33" t="str">
        <f aca="false">IF(F294="","",IF(OR(F294="HDFC Bank (INR)",F294="HDFC IOCL Credit Card (INR)",F294="HDFC Swiggy Credit Card (INR)",F294="Axis Airtel Credit Card (INR)"),"INR","GBP"))</f>
        <v/>
      </c>
      <c r="F294" s="26"/>
      <c r="G294" s="26"/>
      <c r="H294" s="34" t="n">
        <f aca="false">IF(G294="Yes","",D294)</f>
        <v>0</v>
      </c>
      <c r="I294" s="26"/>
      <c r="J294" s="26"/>
    </row>
    <row r="295" customFormat="false" ht="15" hidden="false" customHeight="false" outlineLevel="0" collapsed="false">
      <c r="A295" s="28"/>
      <c r="B295" s="26"/>
      <c r="C295" s="26"/>
      <c r="D295" s="32"/>
      <c r="E295" s="33" t="str">
        <f aca="false">IF(F295="","",IF(OR(F295="HDFC Bank (INR)",F295="HDFC IOCL Credit Card (INR)",F295="HDFC Swiggy Credit Card (INR)",F295="Axis Airtel Credit Card (INR)"),"INR","GBP"))</f>
        <v/>
      </c>
      <c r="F295" s="26"/>
      <c r="G295" s="26"/>
      <c r="H295" s="34" t="n">
        <f aca="false">IF(G295="Yes","",D295)</f>
        <v>0</v>
      </c>
      <c r="I295" s="26"/>
      <c r="J295" s="26"/>
    </row>
    <row r="296" customFormat="false" ht="15" hidden="false" customHeight="false" outlineLevel="0" collapsed="false">
      <c r="A296" s="28"/>
      <c r="B296" s="26"/>
      <c r="C296" s="26"/>
      <c r="D296" s="32"/>
      <c r="E296" s="33" t="str">
        <f aca="false">IF(F296="","",IF(OR(F296="HDFC Bank (INR)",F296="HDFC IOCL Credit Card (INR)",F296="HDFC Swiggy Credit Card (INR)",F296="Axis Airtel Credit Card (INR)"),"INR","GBP"))</f>
        <v/>
      </c>
      <c r="F296" s="26"/>
      <c r="G296" s="26"/>
      <c r="H296" s="34" t="n">
        <f aca="false">IF(G296="Yes","",D296)</f>
        <v>0</v>
      </c>
      <c r="I296" s="26"/>
      <c r="J296" s="26"/>
    </row>
    <row r="297" customFormat="false" ht="15" hidden="false" customHeight="false" outlineLevel="0" collapsed="false">
      <c r="A297" s="28"/>
      <c r="B297" s="26"/>
      <c r="C297" s="26"/>
      <c r="D297" s="32"/>
      <c r="E297" s="33" t="str">
        <f aca="false">IF(F297="","",IF(OR(F297="HDFC Bank (INR)",F297="HDFC IOCL Credit Card (INR)",F297="HDFC Swiggy Credit Card (INR)",F297="Axis Airtel Credit Card (INR)"),"INR","GBP"))</f>
        <v/>
      </c>
      <c r="F297" s="26"/>
      <c r="G297" s="26"/>
      <c r="H297" s="34" t="n">
        <f aca="false">IF(G297="Yes","",D297)</f>
        <v>0</v>
      </c>
      <c r="I297" s="26"/>
      <c r="J297" s="26"/>
    </row>
    <row r="298" customFormat="false" ht="15" hidden="false" customHeight="false" outlineLevel="0" collapsed="false">
      <c r="A298" s="28"/>
      <c r="B298" s="26"/>
      <c r="C298" s="26"/>
      <c r="D298" s="32"/>
      <c r="E298" s="33" t="str">
        <f aca="false">IF(F298="","",IF(OR(F298="HDFC Bank (INR)",F298="HDFC IOCL Credit Card (INR)",F298="HDFC Swiggy Credit Card (INR)",F298="Axis Airtel Credit Card (INR)"),"INR","GBP"))</f>
        <v/>
      </c>
      <c r="F298" s="26"/>
      <c r="G298" s="26"/>
      <c r="H298" s="34" t="n">
        <f aca="false">IF(G298="Yes","",D298)</f>
        <v>0</v>
      </c>
      <c r="I298" s="26"/>
      <c r="J298" s="26"/>
    </row>
    <row r="299" customFormat="false" ht="15" hidden="false" customHeight="false" outlineLevel="0" collapsed="false">
      <c r="A299" s="28"/>
      <c r="B299" s="26"/>
      <c r="C299" s="26"/>
      <c r="D299" s="32"/>
      <c r="E299" s="33" t="str">
        <f aca="false">IF(F299="","",IF(OR(F299="HDFC Bank (INR)",F299="HDFC IOCL Credit Card (INR)",F299="HDFC Swiggy Credit Card (INR)",F299="Axis Airtel Credit Card (INR)"),"INR","GBP"))</f>
        <v/>
      </c>
      <c r="F299" s="26"/>
      <c r="G299" s="26"/>
      <c r="H299" s="34" t="n">
        <f aca="false">IF(G299="Yes","",D299)</f>
        <v>0</v>
      </c>
      <c r="I299" s="26"/>
      <c r="J299" s="26"/>
    </row>
    <row r="300" customFormat="false" ht="15" hidden="false" customHeight="false" outlineLevel="0" collapsed="false">
      <c r="A300" s="28"/>
      <c r="B300" s="26"/>
      <c r="C300" s="26"/>
      <c r="D300" s="32"/>
      <c r="E300" s="33" t="str">
        <f aca="false">IF(F300="","",IF(OR(F300="HDFC Bank (INR)",F300="HDFC IOCL Credit Card (INR)",F300="HDFC Swiggy Credit Card (INR)",F300="Axis Airtel Credit Card (INR)"),"INR","GBP"))</f>
        <v/>
      </c>
      <c r="F300" s="26"/>
      <c r="G300" s="26"/>
      <c r="H300" s="34" t="n">
        <f aca="false">IF(G300="Yes","",D300)</f>
        <v>0</v>
      </c>
      <c r="I300" s="26"/>
      <c r="J300" s="26"/>
    </row>
    <row r="301" customFormat="false" ht="15" hidden="false" customHeight="false" outlineLevel="0" collapsed="false">
      <c r="A301" s="28"/>
      <c r="B301" s="26"/>
      <c r="C301" s="26"/>
      <c r="D301" s="32"/>
      <c r="E301" s="33" t="str">
        <f aca="false">IF(F301="","",IF(OR(F301="HDFC Bank (INR)",F301="HDFC IOCL Credit Card (INR)",F301="HDFC Swiggy Credit Card (INR)",F301="Axis Airtel Credit Card (INR)"),"INR","GBP"))</f>
        <v/>
      </c>
      <c r="F301" s="26"/>
      <c r="G301" s="26"/>
      <c r="H301" s="34" t="n">
        <f aca="false">IF(G301="Yes","",D301)</f>
        <v>0</v>
      </c>
      <c r="I301" s="26"/>
      <c r="J301" s="26"/>
    </row>
    <row r="302" customFormat="false" ht="15" hidden="false" customHeight="false" outlineLevel="0" collapsed="false">
      <c r="A302" s="28"/>
      <c r="B302" s="26"/>
      <c r="C302" s="26"/>
      <c r="D302" s="32"/>
      <c r="E302" s="33" t="str">
        <f aca="false">IF(F302="","",IF(OR(F302="HDFC Bank (INR)",F302="HDFC IOCL Credit Card (INR)",F302="HDFC Swiggy Credit Card (INR)",F302="Axis Airtel Credit Card (INR)"),"INR","GBP"))</f>
        <v/>
      </c>
      <c r="F302" s="26"/>
      <c r="G302" s="26"/>
      <c r="H302" s="34" t="n">
        <f aca="false">IF(G302="Yes","",D302)</f>
        <v>0</v>
      </c>
      <c r="I302" s="26"/>
      <c r="J302" s="26"/>
    </row>
    <row r="303" customFormat="false" ht="15" hidden="false" customHeight="false" outlineLevel="0" collapsed="false">
      <c r="A303" s="28"/>
      <c r="B303" s="26"/>
      <c r="C303" s="26"/>
      <c r="D303" s="32"/>
      <c r="E303" s="33" t="str">
        <f aca="false">IF(F303="","",IF(OR(F303="HDFC Bank (INR)",F303="HDFC IOCL Credit Card (INR)",F303="HDFC Swiggy Credit Card (INR)",F303="Axis Airtel Credit Card (INR)"),"INR","GBP"))</f>
        <v/>
      </c>
      <c r="F303" s="26"/>
      <c r="G303" s="26"/>
      <c r="H303" s="34" t="n">
        <f aca="false">IF(G303="Yes","",D303)</f>
        <v>0</v>
      </c>
      <c r="I303" s="26"/>
      <c r="J303" s="26"/>
    </row>
    <row r="304" customFormat="false" ht="15" hidden="false" customHeight="false" outlineLevel="0" collapsed="false">
      <c r="A304" s="28"/>
      <c r="B304" s="26"/>
      <c r="C304" s="26"/>
      <c r="D304" s="32"/>
      <c r="E304" s="33" t="str">
        <f aca="false">IF(F304="","",IF(OR(F304="HDFC Bank (INR)",F304="HDFC IOCL Credit Card (INR)",F304="HDFC Swiggy Credit Card (INR)",F304="Axis Airtel Credit Card (INR)"),"INR","GBP"))</f>
        <v/>
      </c>
      <c r="F304" s="26"/>
      <c r="G304" s="26"/>
      <c r="H304" s="34" t="n">
        <f aca="false">IF(G304="Yes","",D304)</f>
        <v>0</v>
      </c>
      <c r="I304" s="26"/>
      <c r="J304" s="26"/>
    </row>
    <row r="305" customFormat="false" ht="15" hidden="false" customHeight="false" outlineLevel="0" collapsed="false">
      <c r="A305" s="28"/>
      <c r="B305" s="26"/>
      <c r="C305" s="26"/>
      <c r="D305" s="32"/>
      <c r="E305" s="33" t="str">
        <f aca="false">IF(F305="","",IF(OR(F305="HDFC Bank (INR)",F305="HDFC IOCL Credit Card (INR)",F305="HDFC Swiggy Credit Card (INR)",F305="Axis Airtel Credit Card (INR)"),"INR","GBP"))</f>
        <v/>
      </c>
      <c r="F305" s="26"/>
      <c r="G305" s="26"/>
      <c r="H305" s="34" t="n">
        <f aca="false">IF(G305="Yes","",D305)</f>
        <v>0</v>
      </c>
      <c r="I305" s="26"/>
      <c r="J305" s="26"/>
    </row>
    <row r="306" customFormat="false" ht="15" hidden="false" customHeight="false" outlineLevel="0" collapsed="false">
      <c r="A306" s="28"/>
      <c r="B306" s="26"/>
      <c r="C306" s="26"/>
      <c r="D306" s="32"/>
      <c r="E306" s="33" t="str">
        <f aca="false">IF(F306="","",IF(OR(F306="HDFC Bank (INR)",F306="HDFC IOCL Credit Card (INR)",F306="HDFC Swiggy Credit Card (INR)",F306="Axis Airtel Credit Card (INR)"),"INR","GBP"))</f>
        <v/>
      </c>
      <c r="F306" s="26"/>
      <c r="G306" s="26"/>
      <c r="H306" s="34" t="n">
        <f aca="false">IF(G306="Yes","",D306)</f>
        <v>0</v>
      </c>
      <c r="I306" s="26"/>
      <c r="J306" s="26"/>
    </row>
    <row r="307" customFormat="false" ht="15" hidden="false" customHeight="false" outlineLevel="0" collapsed="false">
      <c r="A307" s="28"/>
      <c r="B307" s="26"/>
      <c r="C307" s="26"/>
      <c r="D307" s="32"/>
      <c r="E307" s="33" t="str">
        <f aca="false">IF(F307="","",IF(OR(F307="HDFC Bank (INR)",F307="HDFC IOCL Credit Card (INR)",F307="HDFC Swiggy Credit Card (INR)",F307="Axis Airtel Credit Card (INR)"),"INR","GBP"))</f>
        <v/>
      </c>
      <c r="F307" s="26"/>
      <c r="G307" s="26"/>
      <c r="H307" s="34" t="n">
        <f aca="false">IF(G307="Yes","",D307)</f>
        <v>0</v>
      </c>
      <c r="I307" s="26"/>
      <c r="J307" s="26"/>
    </row>
    <row r="308" customFormat="false" ht="15" hidden="false" customHeight="false" outlineLevel="0" collapsed="false">
      <c r="A308" s="28"/>
      <c r="B308" s="26"/>
      <c r="C308" s="26"/>
      <c r="D308" s="32"/>
      <c r="E308" s="33" t="str">
        <f aca="false">IF(F308="","",IF(OR(F308="HDFC Bank (INR)",F308="HDFC IOCL Credit Card (INR)",F308="HDFC Swiggy Credit Card (INR)",F308="Axis Airtel Credit Card (INR)"),"INR","GBP"))</f>
        <v/>
      </c>
      <c r="F308" s="26"/>
      <c r="G308" s="26"/>
      <c r="H308" s="34" t="n">
        <f aca="false">IF(G308="Yes","",D308)</f>
        <v>0</v>
      </c>
      <c r="I308" s="26"/>
      <c r="J308" s="26"/>
    </row>
    <row r="309" customFormat="false" ht="15" hidden="false" customHeight="false" outlineLevel="0" collapsed="false">
      <c r="A309" s="28"/>
      <c r="B309" s="26"/>
      <c r="C309" s="26"/>
      <c r="D309" s="32"/>
      <c r="E309" s="33" t="str">
        <f aca="false">IF(F309="","",IF(OR(F309="HDFC Bank (INR)",F309="HDFC IOCL Credit Card (INR)",F309="HDFC Swiggy Credit Card (INR)",F309="Axis Airtel Credit Card (INR)"),"INR","GBP"))</f>
        <v/>
      </c>
      <c r="F309" s="26"/>
      <c r="G309" s="26"/>
      <c r="H309" s="34" t="n">
        <f aca="false">IF(G309="Yes","",D309)</f>
        <v>0</v>
      </c>
      <c r="I309" s="26"/>
      <c r="J309" s="26"/>
    </row>
    <row r="310" customFormat="false" ht="15" hidden="false" customHeight="false" outlineLevel="0" collapsed="false">
      <c r="A310" s="28"/>
      <c r="B310" s="26"/>
      <c r="C310" s="26"/>
      <c r="D310" s="32"/>
      <c r="E310" s="33" t="str">
        <f aca="false">IF(F310="","",IF(OR(F310="HDFC Bank (INR)",F310="HDFC IOCL Credit Card (INR)",F310="HDFC Swiggy Credit Card (INR)",F310="Axis Airtel Credit Card (INR)"),"INR","GBP"))</f>
        <v/>
      </c>
      <c r="F310" s="26"/>
      <c r="G310" s="26"/>
      <c r="H310" s="34" t="n">
        <f aca="false">IF(G310="Yes","",D310)</f>
        <v>0</v>
      </c>
      <c r="I310" s="26"/>
      <c r="J310" s="26"/>
    </row>
    <row r="311" customFormat="false" ht="15" hidden="false" customHeight="false" outlineLevel="0" collapsed="false">
      <c r="A311" s="28"/>
      <c r="B311" s="26"/>
      <c r="C311" s="26"/>
      <c r="D311" s="32"/>
      <c r="E311" s="33" t="str">
        <f aca="false">IF(F311="","",IF(OR(F311="HDFC Bank (INR)",F311="HDFC IOCL Credit Card (INR)",F311="HDFC Swiggy Credit Card (INR)",F311="Axis Airtel Credit Card (INR)"),"INR","GBP"))</f>
        <v/>
      </c>
      <c r="F311" s="26"/>
      <c r="G311" s="26"/>
      <c r="H311" s="34" t="n">
        <f aca="false">IF(G311="Yes","",D311)</f>
        <v>0</v>
      </c>
      <c r="I311" s="26"/>
      <c r="J311" s="26"/>
    </row>
    <row r="312" customFormat="false" ht="15" hidden="false" customHeight="false" outlineLevel="0" collapsed="false">
      <c r="A312" s="28"/>
      <c r="B312" s="26"/>
      <c r="C312" s="26"/>
      <c r="D312" s="32"/>
      <c r="E312" s="33" t="str">
        <f aca="false">IF(F312="","",IF(OR(F312="HDFC Bank (INR)",F312="HDFC IOCL Credit Card (INR)",F312="HDFC Swiggy Credit Card (INR)",F312="Axis Airtel Credit Card (INR)"),"INR","GBP"))</f>
        <v/>
      </c>
      <c r="F312" s="26"/>
      <c r="G312" s="26"/>
      <c r="H312" s="34" t="n">
        <f aca="false">IF(G312="Yes","",D312)</f>
        <v>0</v>
      </c>
      <c r="I312" s="26"/>
      <c r="J312" s="26"/>
    </row>
    <row r="313" customFormat="false" ht="15" hidden="false" customHeight="false" outlineLevel="0" collapsed="false">
      <c r="A313" s="28"/>
      <c r="B313" s="26"/>
      <c r="C313" s="26"/>
      <c r="D313" s="32"/>
      <c r="E313" s="33" t="str">
        <f aca="false">IF(F313="","",IF(OR(F313="HDFC Bank (INR)",F313="HDFC IOCL Credit Card (INR)",F313="HDFC Swiggy Credit Card (INR)",F313="Axis Airtel Credit Card (INR)"),"INR","GBP"))</f>
        <v/>
      </c>
      <c r="F313" s="26"/>
      <c r="G313" s="26"/>
      <c r="H313" s="34" t="n">
        <f aca="false">IF(G313="Yes","",D313)</f>
        <v>0</v>
      </c>
      <c r="I313" s="26"/>
      <c r="J313" s="26"/>
    </row>
    <row r="314" customFormat="false" ht="15" hidden="false" customHeight="false" outlineLevel="0" collapsed="false">
      <c r="A314" s="28"/>
      <c r="B314" s="26"/>
      <c r="C314" s="26"/>
      <c r="D314" s="32"/>
      <c r="E314" s="33" t="str">
        <f aca="false">IF(F314="","",IF(OR(F314="HDFC Bank (INR)",F314="HDFC IOCL Credit Card (INR)",F314="HDFC Swiggy Credit Card (INR)",F314="Axis Airtel Credit Card (INR)"),"INR","GBP"))</f>
        <v/>
      </c>
      <c r="F314" s="26"/>
      <c r="G314" s="26"/>
      <c r="H314" s="34" t="n">
        <f aca="false">IF(G314="Yes","",D314)</f>
        <v>0</v>
      </c>
      <c r="I314" s="26"/>
      <c r="J314" s="26"/>
    </row>
    <row r="315" customFormat="false" ht="15" hidden="false" customHeight="false" outlineLevel="0" collapsed="false">
      <c r="A315" s="28"/>
      <c r="B315" s="26"/>
      <c r="C315" s="26"/>
      <c r="D315" s="32"/>
      <c r="E315" s="33" t="str">
        <f aca="false">IF(F315="","",IF(OR(F315="HDFC Bank (INR)",F315="HDFC IOCL Credit Card (INR)",F315="HDFC Swiggy Credit Card (INR)",F315="Axis Airtel Credit Card (INR)"),"INR","GBP"))</f>
        <v/>
      </c>
      <c r="F315" s="26"/>
      <c r="G315" s="26"/>
      <c r="H315" s="34" t="n">
        <f aca="false">IF(G315="Yes","",D315)</f>
        <v>0</v>
      </c>
      <c r="I315" s="26"/>
      <c r="J315" s="26"/>
    </row>
    <row r="316" customFormat="false" ht="15" hidden="false" customHeight="false" outlineLevel="0" collapsed="false">
      <c r="A316" s="28"/>
      <c r="B316" s="26"/>
      <c r="C316" s="26"/>
      <c r="D316" s="32"/>
      <c r="E316" s="33" t="str">
        <f aca="false">IF(F316="","",IF(OR(F316="HDFC Bank (INR)",F316="HDFC IOCL Credit Card (INR)",F316="HDFC Swiggy Credit Card (INR)",F316="Axis Airtel Credit Card (INR)"),"INR","GBP"))</f>
        <v/>
      </c>
      <c r="F316" s="26"/>
      <c r="G316" s="26"/>
      <c r="H316" s="34" t="n">
        <f aca="false">IF(G316="Yes","",D316)</f>
        <v>0</v>
      </c>
      <c r="I316" s="26"/>
      <c r="J316" s="26"/>
    </row>
    <row r="317" customFormat="false" ht="15" hidden="false" customHeight="false" outlineLevel="0" collapsed="false">
      <c r="A317" s="28"/>
      <c r="B317" s="26"/>
      <c r="C317" s="26"/>
      <c r="D317" s="32"/>
      <c r="E317" s="33" t="str">
        <f aca="false">IF(F317="","",IF(OR(F317="HDFC Bank (INR)",F317="HDFC IOCL Credit Card (INR)",F317="HDFC Swiggy Credit Card (INR)",F317="Axis Airtel Credit Card (INR)"),"INR","GBP"))</f>
        <v/>
      </c>
      <c r="F317" s="26"/>
      <c r="G317" s="26"/>
      <c r="H317" s="34" t="n">
        <f aca="false">IF(G317="Yes","",D317)</f>
        <v>0</v>
      </c>
      <c r="I317" s="26"/>
      <c r="J317" s="26"/>
    </row>
    <row r="318" customFormat="false" ht="15" hidden="false" customHeight="false" outlineLevel="0" collapsed="false">
      <c r="A318" s="28"/>
      <c r="B318" s="26"/>
      <c r="C318" s="26"/>
      <c r="D318" s="32"/>
      <c r="E318" s="33" t="str">
        <f aca="false">IF(F318="","",IF(OR(F318="HDFC Bank (INR)",F318="HDFC IOCL Credit Card (INR)",F318="HDFC Swiggy Credit Card (INR)",F318="Axis Airtel Credit Card (INR)"),"INR","GBP"))</f>
        <v/>
      </c>
      <c r="F318" s="26"/>
      <c r="G318" s="26"/>
      <c r="H318" s="34" t="n">
        <f aca="false">IF(G318="Yes","",D318)</f>
        <v>0</v>
      </c>
      <c r="I318" s="26"/>
      <c r="J318" s="26"/>
    </row>
    <row r="319" customFormat="false" ht="15" hidden="false" customHeight="false" outlineLevel="0" collapsed="false">
      <c r="A319" s="28"/>
      <c r="B319" s="26"/>
      <c r="C319" s="26"/>
      <c r="D319" s="32"/>
      <c r="E319" s="33" t="str">
        <f aca="false">IF(F319="","",IF(OR(F319="HDFC Bank (INR)",F319="HDFC IOCL Credit Card (INR)",F319="HDFC Swiggy Credit Card (INR)",F319="Axis Airtel Credit Card (INR)"),"INR","GBP"))</f>
        <v/>
      </c>
      <c r="F319" s="26"/>
      <c r="G319" s="26"/>
      <c r="H319" s="34" t="n">
        <f aca="false">IF(G319="Yes","",D319)</f>
        <v>0</v>
      </c>
      <c r="I319" s="26"/>
      <c r="J319" s="26"/>
    </row>
    <row r="320" customFormat="false" ht="15" hidden="false" customHeight="false" outlineLevel="0" collapsed="false">
      <c r="A320" s="28"/>
      <c r="B320" s="26"/>
      <c r="C320" s="26"/>
      <c r="D320" s="32"/>
      <c r="E320" s="33" t="str">
        <f aca="false">IF(F320="","",IF(OR(F320="HDFC Bank (INR)",F320="HDFC IOCL Credit Card (INR)",F320="HDFC Swiggy Credit Card (INR)",F320="Axis Airtel Credit Card (INR)"),"INR","GBP"))</f>
        <v/>
      </c>
      <c r="F320" s="26"/>
      <c r="G320" s="26"/>
      <c r="H320" s="34" t="n">
        <f aca="false">IF(G320="Yes","",D320)</f>
        <v>0</v>
      </c>
      <c r="I320" s="26"/>
      <c r="J320" s="26"/>
    </row>
    <row r="321" customFormat="false" ht="15" hidden="false" customHeight="false" outlineLevel="0" collapsed="false">
      <c r="A321" s="28"/>
      <c r="B321" s="26"/>
      <c r="C321" s="26"/>
      <c r="D321" s="32"/>
      <c r="E321" s="33" t="str">
        <f aca="false">IF(F321="","",IF(OR(F321="HDFC Bank (INR)",F321="HDFC IOCL Credit Card (INR)",F321="HDFC Swiggy Credit Card (INR)",F321="Axis Airtel Credit Card (INR)"),"INR","GBP"))</f>
        <v/>
      </c>
      <c r="F321" s="26"/>
      <c r="G321" s="26"/>
      <c r="H321" s="34" t="n">
        <f aca="false">IF(G321="Yes","",D321)</f>
        <v>0</v>
      </c>
      <c r="I321" s="26"/>
      <c r="J321" s="26"/>
    </row>
    <row r="322" customFormat="false" ht="15" hidden="false" customHeight="false" outlineLevel="0" collapsed="false">
      <c r="A322" s="28"/>
      <c r="B322" s="26"/>
      <c r="C322" s="26"/>
      <c r="D322" s="32"/>
      <c r="E322" s="33" t="str">
        <f aca="false">IF(F322="","",IF(OR(F322="HDFC Bank (INR)",F322="HDFC IOCL Credit Card (INR)",F322="HDFC Swiggy Credit Card (INR)",F322="Axis Airtel Credit Card (INR)"),"INR","GBP"))</f>
        <v/>
      </c>
      <c r="F322" s="26"/>
      <c r="G322" s="26"/>
      <c r="H322" s="34" t="n">
        <f aca="false">IF(G322="Yes","",D322)</f>
        <v>0</v>
      </c>
      <c r="I322" s="26"/>
      <c r="J322" s="26"/>
    </row>
    <row r="323" customFormat="false" ht="15" hidden="false" customHeight="false" outlineLevel="0" collapsed="false">
      <c r="A323" s="28"/>
      <c r="B323" s="26"/>
      <c r="C323" s="26"/>
      <c r="D323" s="32"/>
      <c r="E323" s="33" t="str">
        <f aca="false">IF(F323="","",IF(OR(F323="HDFC Bank (INR)",F323="HDFC IOCL Credit Card (INR)",F323="HDFC Swiggy Credit Card (INR)",F323="Axis Airtel Credit Card (INR)"),"INR","GBP"))</f>
        <v/>
      </c>
      <c r="F323" s="26"/>
      <c r="G323" s="26"/>
      <c r="H323" s="34" t="n">
        <f aca="false">IF(G323="Yes","",D323)</f>
        <v>0</v>
      </c>
      <c r="I323" s="26"/>
      <c r="J323" s="26"/>
    </row>
    <row r="324" customFormat="false" ht="15" hidden="false" customHeight="false" outlineLevel="0" collapsed="false">
      <c r="A324" s="28"/>
      <c r="B324" s="26"/>
      <c r="C324" s="26"/>
      <c r="D324" s="32"/>
      <c r="E324" s="33" t="str">
        <f aca="false">IF(F324="","",IF(OR(F324="HDFC Bank (INR)",F324="HDFC IOCL Credit Card (INR)",F324="HDFC Swiggy Credit Card (INR)",F324="Axis Airtel Credit Card (INR)"),"INR","GBP"))</f>
        <v/>
      </c>
      <c r="F324" s="26"/>
      <c r="G324" s="26"/>
      <c r="H324" s="34" t="n">
        <f aca="false">IF(G324="Yes","",D324)</f>
        <v>0</v>
      </c>
      <c r="I324" s="26"/>
      <c r="J324" s="26"/>
    </row>
    <row r="325" customFormat="false" ht="15" hidden="false" customHeight="false" outlineLevel="0" collapsed="false">
      <c r="A325" s="28"/>
      <c r="B325" s="26"/>
      <c r="C325" s="26"/>
      <c r="D325" s="32"/>
      <c r="E325" s="33" t="str">
        <f aca="false">IF(F325="","",IF(OR(F325="HDFC Bank (INR)",F325="HDFC IOCL Credit Card (INR)",F325="HDFC Swiggy Credit Card (INR)",F325="Axis Airtel Credit Card (INR)"),"INR","GBP"))</f>
        <v/>
      </c>
      <c r="F325" s="26"/>
      <c r="G325" s="26"/>
      <c r="H325" s="34" t="n">
        <f aca="false">IF(G325="Yes","",D325)</f>
        <v>0</v>
      </c>
      <c r="I325" s="26"/>
      <c r="J325" s="26"/>
    </row>
    <row r="326" customFormat="false" ht="15" hidden="false" customHeight="false" outlineLevel="0" collapsed="false">
      <c r="A326" s="28"/>
      <c r="B326" s="26"/>
      <c r="C326" s="26"/>
      <c r="D326" s="32"/>
      <c r="E326" s="33" t="str">
        <f aca="false">IF(F326="","",IF(OR(F326="HDFC Bank (INR)",F326="HDFC IOCL Credit Card (INR)",F326="HDFC Swiggy Credit Card (INR)",F326="Axis Airtel Credit Card (INR)"),"INR","GBP"))</f>
        <v/>
      </c>
      <c r="F326" s="26"/>
      <c r="G326" s="26"/>
      <c r="H326" s="34" t="n">
        <f aca="false">IF(G326="Yes","",D326)</f>
        <v>0</v>
      </c>
      <c r="I326" s="26"/>
      <c r="J326" s="26"/>
    </row>
    <row r="327" customFormat="false" ht="15" hidden="false" customHeight="false" outlineLevel="0" collapsed="false">
      <c r="A327" s="28"/>
      <c r="B327" s="26"/>
      <c r="C327" s="26"/>
      <c r="D327" s="32"/>
      <c r="E327" s="33" t="str">
        <f aca="false">IF(F327="","",IF(OR(F327="HDFC Bank (INR)",F327="HDFC IOCL Credit Card (INR)",F327="HDFC Swiggy Credit Card (INR)",F327="Axis Airtel Credit Card (INR)"),"INR","GBP"))</f>
        <v/>
      </c>
      <c r="F327" s="26"/>
      <c r="G327" s="26"/>
      <c r="H327" s="34" t="n">
        <f aca="false">IF(G327="Yes","",D327)</f>
        <v>0</v>
      </c>
      <c r="I327" s="26"/>
      <c r="J327" s="26"/>
    </row>
    <row r="328" customFormat="false" ht="15" hidden="false" customHeight="false" outlineLevel="0" collapsed="false">
      <c r="A328" s="28"/>
      <c r="B328" s="26"/>
      <c r="C328" s="26"/>
      <c r="D328" s="32"/>
      <c r="E328" s="33" t="str">
        <f aca="false">IF(F328="","",IF(OR(F328="HDFC Bank (INR)",F328="HDFC IOCL Credit Card (INR)",F328="HDFC Swiggy Credit Card (INR)",F328="Axis Airtel Credit Card (INR)"),"INR","GBP"))</f>
        <v/>
      </c>
      <c r="F328" s="26"/>
      <c r="G328" s="26"/>
      <c r="H328" s="34" t="n">
        <f aca="false">IF(G328="Yes","",D328)</f>
        <v>0</v>
      </c>
      <c r="I328" s="26"/>
      <c r="J328" s="26"/>
    </row>
    <row r="329" customFormat="false" ht="15" hidden="false" customHeight="false" outlineLevel="0" collapsed="false">
      <c r="A329" s="28"/>
      <c r="B329" s="26"/>
      <c r="C329" s="26"/>
      <c r="D329" s="32"/>
      <c r="E329" s="33" t="str">
        <f aca="false">IF(F329="","",IF(OR(F329="HDFC Bank (INR)",F329="HDFC IOCL Credit Card (INR)",F329="HDFC Swiggy Credit Card (INR)",F329="Axis Airtel Credit Card (INR)"),"INR","GBP"))</f>
        <v/>
      </c>
      <c r="F329" s="26"/>
      <c r="G329" s="26"/>
      <c r="H329" s="34" t="n">
        <f aca="false">IF(G329="Yes","",D329)</f>
        <v>0</v>
      </c>
      <c r="I329" s="26"/>
      <c r="J329" s="26"/>
    </row>
    <row r="330" customFormat="false" ht="15" hidden="false" customHeight="false" outlineLevel="0" collapsed="false">
      <c r="A330" s="28"/>
      <c r="B330" s="26"/>
      <c r="C330" s="26"/>
      <c r="D330" s="32"/>
      <c r="E330" s="33" t="str">
        <f aca="false">IF(F330="","",IF(OR(F330="HDFC Bank (INR)",F330="HDFC IOCL Credit Card (INR)",F330="HDFC Swiggy Credit Card (INR)",F330="Axis Airtel Credit Card (INR)"),"INR","GBP"))</f>
        <v/>
      </c>
      <c r="F330" s="26"/>
      <c r="G330" s="26"/>
      <c r="H330" s="34" t="n">
        <f aca="false">IF(G330="Yes","",D330)</f>
        <v>0</v>
      </c>
      <c r="I330" s="26"/>
      <c r="J330" s="26"/>
    </row>
    <row r="331" customFormat="false" ht="15" hidden="false" customHeight="false" outlineLevel="0" collapsed="false">
      <c r="A331" s="28"/>
      <c r="B331" s="26"/>
      <c r="C331" s="26"/>
      <c r="D331" s="32"/>
      <c r="E331" s="33" t="str">
        <f aca="false">IF(F331="","",IF(OR(F331="HDFC Bank (INR)",F331="HDFC IOCL Credit Card (INR)",F331="HDFC Swiggy Credit Card (INR)",F331="Axis Airtel Credit Card (INR)"),"INR","GBP"))</f>
        <v/>
      </c>
      <c r="F331" s="26"/>
      <c r="G331" s="26"/>
      <c r="H331" s="34" t="n">
        <f aca="false">IF(G331="Yes","",D331)</f>
        <v>0</v>
      </c>
      <c r="I331" s="26"/>
      <c r="J331" s="26"/>
    </row>
    <row r="332" customFormat="false" ht="15" hidden="false" customHeight="false" outlineLevel="0" collapsed="false">
      <c r="A332" s="28"/>
      <c r="B332" s="26"/>
      <c r="C332" s="26"/>
      <c r="D332" s="32"/>
      <c r="E332" s="33" t="str">
        <f aca="false">IF(F332="","",IF(OR(F332="HDFC Bank (INR)",F332="HDFC IOCL Credit Card (INR)",F332="HDFC Swiggy Credit Card (INR)",F332="Axis Airtel Credit Card (INR)"),"INR","GBP"))</f>
        <v/>
      </c>
      <c r="F332" s="26"/>
      <c r="G332" s="26"/>
      <c r="H332" s="34" t="n">
        <f aca="false">IF(G332="Yes","",D332)</f>
        <v>0</v>
      </c>
      <c r="I332" s="26"/>
      <c r="J332" s="26"/>
    </row>
    <row r="333" customFormat="false" ht="15" hidden="false" customHeight="false" outlineLevel="0" collapsed="false">
      <c r="A333" s="28"/>
      <c r="B333" s="26"/>
      <c r="C333" s="26"/>
      <c r="D333" s="32"/>
      <c r="E333" s="33" t="str">
        <f aca="false">IF(F333="","",IF(OR(F333="HDFC Bank (INR)",F333="HDFC IOCL Credit Card (INR)",F333="HDFC Swiggy Credit Card (INR)",F333="Axis Airtel Credit Card (INR)"),"INR","GBP"))</f>
        <v/>
      </c>
      <c r="F333" s="26"/>
      <c r="G333" s="26"/>
      <c r="H333" s="34" t="n">
        <f aca="false">IF(G333="Yes","",D333)</f>
        <v>0</v>
      </c>
      <c r="I333" s="26"/>
      <c r="J333" s="26"/>
    </row>
    <row r="334" customFormat="false" ht="15" hidden="false" customHeight="false" outlineLevel="0" collapsed="false">
      <c r="A334" s="28"/>
      <c r="B334" s="26"/>
      <c r="C334" s="26"/>
      <c r="D334" s="32"/>
      <c r="E334" s="33" t="str">
        <f aca="false">IF(F334="","",IF(OR(F334="HDFC Bank (INR)",F334="HDFC IOCL Credit Card (INR)",F334="HDFC Swiggy Credit Card (INR)",F334="Axis Airtel Credit Card (INR)"),"INR","GBP"))</f>
        <v/>
      </c>
      <c r="F334" s="26"/>
      <c r="G334" s="26"/>
      <c r="H334" s="34" t="n">
        <f aca="false">IF(G334="Yes","",D334)</f>
        <v>0</v>
      </c>
      <c r="I334" s="26"/>
      <c r="J334" s="26"/>
    </row>
    <row r="335" customFormat="false" ht="15" hidden="false" customHeight="false" outlineLevel="0" collapsed="false">
      <c r="A335" s="28"/>
      <c r="B335" s="26"/>
      <c r="C335" s="26"/>
      <c r="D335" s="32"/>
      <c r="E335" s="33" t="str">
        <f aca="false">IF(F335="","",IF(OR(F335="HDFC Bank (INR)",F335="HDFC IOCL Credit Card (INR)",F335="HDFC Swiggy Credit Card (INR)",F335="Axis Airtel Credit Card (INR)"),"INR","GBP"))</f>
        <v/>
      </c>
      <c r="F335" s="26"/>
      <c r="G335" s="26"/>
      <c r="H335" s="34" t="n">
        <f aca="false">IF(G335="Yes","",D335)</f>
        <v>0</v>
      </c>
      <c r="I335" s="26"/>
      <c r="J335" s="26"/>
    </row>
    <row r="336" customFormat="false" ht="15" hidden="false" customHeight="false" outlineLevel="0" collapsed="false">
      <c r="A336" s="28"/>
      <c r="B336" s="26"/>
      <c r="C336" s="26"/>
      <c r="D336" s="32"/>
      <c r="E336" s="33" t="str">
        <f aca="false">IF(F336="","",IF(OR(F336="HDFC Bank (INR)",F336="HDFC IOCL Credit Card (INR)",F336="HDFC Swiggy Credit Card (INR)",F336="Axis Airtel Credit Card (INR)"),"INR","GBP"))</f>
        <v/>
      </c>
      <c r="F336" s="26"/>
      <c r="G336" s="26"/>
      <c r="H336" s="34" t="n">
        <f aca="false">IF(G336="Yes","",D336)</f>
        <v>0</v>
      </c>
      <c r="I336" s="26"/>
      <c r="J336" s="26"/>
    </row>
    <row r="337" customFormat="false" ht="15" hidden="false" customHeight="false" outlineLevel="0" collapsed="false">
      <c r="A337" s="28"/>
      <c r="B337" s="26"/>
      <c r="C337" s="26"/>
      <c r="D337" s="32"/>
      <c r="E337" s="33" t="str">
        <f aca="false">IF(F337="","",IF(OR(F337="HDFC Bank (INR)",F337="HDFC IOCL Credit Card (INR)",F337="HDFC Swiggy Credit Card (INR)",F337="Axis Airtel Credit Card (INR)"),"INR","GBP"))</f>
        <v/>
      </c>
      <c r="F337" s="26"/>
      <c r="G337" s="26"/>
      <c r="H337" s="34" t="n">
        <f aca="false">IF(G337="Yes","",D337)</f>
        <v>0</v>
      </c>
      <c r="I337" s="26"/>
      <c r="J337" s="26"/>
    </row>
    <row r="338" customFormat="false" ht="15" hidden="false" customHeight="false" outlineLevel="0" collapsed="false">
      <c r="A338" s="28"/>
      <c r="B338" s="26"/>
      <c r="C338" s="26"/>
      <c r="D338" s="32"/>
      <c r="E338" s="33" t="str">
        <f aca="false">IF(F338="","",IF(OR(F338="HDFC Bank (INR)",F338="HDFC IOCL Credit Card (INR)",F338="HDFC Swiggy Credit Card (INR)",F338="Axis Airtel Credit Card (INR)"),"INR","GBP"))</f>
        <v/>
      </c>
      <c r="F338" s="26"/>
      <c r="G338" s="26"/>
      <c r="H338" s="34" t="n">
        <f aca="false">IF(G338="Yes","",D338)</f>
        <v>0</v>
      </c>
      <c r="I338" s="26"/>
      <c r="J338" s="26"/>
    </row>
    <row r="339" customFormat="false" ht="15" hidden="false" customHeight="false" outlineLevel="0" collapsed="false">
      <c r="A339" s="28"/>
      <c r="B339" s="26"/>
      <c r="C339" s="26"/>
      <c r="D339" s="32"/>
      <c r="E339" s="33" t="str">
        <f aca="false">IF(F339="","",IF(OR(F339="HDFC Bank (INR)",F339="HDFC IOCL Credit Card (INR)",F339="HDFC Swiggy Credit Card (INR)",F339="Axis Airtel Credit Card (INR)"),"INR","GBP"))</f>
        <v/>
      </c>
      <c r="F339" s="26"/>
      <c r="G339" s="26"/>
      <c r="H339" s="34" t="n">
        <f aca="false">IF(G339="Yes","",D339)</f>
        <v>0</v>
      </c>
      <c r="I339" s="26"/>
      <c r="J339" s="26"/>
    </row>
    <row r="340" customFormat="false" ht="15" hidden="false" customHeight="false" outlineLevel="0" collapsed="false">
      <c r="A340" s="28"/>
      <c r="B340" s="26"/>
      <c r="C340" s="26"/>
      <c r="D340" s="32"/>
      <c r="E340" s="33" t="str">
        <f aca="false">IF(F340="","",IF(OR(F340="HDFC Bank (INR)",F340="HDFC IOCL Credit Card (INR)",F340="HDFC Swiggy Credit Card (INR)",F340="Axis Airtel Credit Card (INR)"),"INR","GBP"))</f>
        <v/>
      </c>
      <c r="F340" s="26"/>
      <c r="G340" s="26"/>
      <c r="H340" s="34" t="n">
        <f aca="false">IF(G340="Yes","",D340)</f>
        <v>0</v>
      </c>
      <c r="I340" s="26"/>
      <c r="J340" s="26"/>
    </row>
    <row r="341" customFormat="false" ht="15" hidden="false" customHeight="false" outlineLevel="0" collapsed="false">
      <c r="A341" s="28"/>
      <c r="B341" s="26"/>
      <c r="C341" s="26"/>
      <c r="D341" s="32"/>
      <c r="E341" s="33" t="str">
        <f aca="false">IF(F341="","",IF(OR(F341="HDFC Bank (INR)",F341="HDFC IOCL Credit Card (INR)",F341="HDFC Swiggy Credit Card (INR)",F341="Axis Airtel Credit Card (INR)"),"INR","GBP"))</f>
        <v/>
      </c>
      <c r="F341" s="26"/>
      <c r="G341" s="26"/>
      <c r="H341" s="34" t="n">
        <f aca="false">IF(G341="Yes","",D341)</f>
        <v>0</v>
      </c>
      <c r="I341" s="26"/>
      <c r="J341" s="26"/>
    </row>
    <row r="342" customFormat="false" ht="15" hidden="false" customHeight="false" outlineLevel="0" collapsed="false">
      <c r="A342" s="28"/>
      <c r="B342" s="26"/>
      <c r="C342" s="26"/>
      <c r="D342" s="32"/>
      <c r="E342" s="33" t="str">
        <f aca="false">IF(F342="","",IF(OR(F342="HDFC Bank (INR)",F342="HDFC IOCL Credit Card (INR)",F342="HDFC Swiggy Credit Card (INR)",F342="Axis Airtel Credit Card (INR)"),"INR","GBP"))</f>
        <v/>
      </c>
      <c r="F342" s="26"/>
      <c r="G342" s="26"/>
      <c r="H342" s="34" t="n">
        <f aca="false">IF(G342="Yes","",D342)</f>
        <v>0</v>
      </c>
      <c r="I342" s="26"/>
      <c r="J342" s="26"/>
    </row>
    <row r="343" customFormat="false" ht="15" hidden="false" customHeight="false" outlineLevel="0" collapsed="false">
      <c r="A343" s="28"/>
      <c r="B343" s="26"/>
      <c r="C343" s="26"/>
      <c r="D343" s="32"/>
      <c r="E343" s="33" t="str">
        <f aca="false">IF(F343="","",IF(OR(F343="HDFC Bank (INR)",F343="HDFC IOCL Credit Card (INR)",F343="HDFC Swiggy Credit Card (INR)",F343="Axis Airtel Credit Card (INR)"),"INR","GBP"))</f>
        <v/>
      </c>
      <c r="F343" s="26"/>
      <c r="G343" s="26"/>
      <c r="H343" s="34" t="n">
        <f aca="false">IF(G343="Yes","",D343)</f>
        <v>0</v>
      </c>
      <c r="I343" s="26"/>
      <c r="J343" s="26"/>
    </row>
    <row r="344" customFormat="false" ht="15" hidden="false" customHeight="false" outlineLevel="0" collapsed="false">
      <c r="A344" s="28"/>
      <c r="B344" s="26"/>
      <c r="C344" s="26"/>
      <c r="D344" s="32"/>
      <c r="E344" s="33" t="str">
        <f aca="false">IF(F344="","",IF(OR(F344="HDFC Bank (INR)",F344="HDFC IOCL Credit Card (INR)",F344="HDFC Swiggy Credit Card (INR)",F344="Axis Airtel Credit Card (INR)"),"INR","GBP"))</f>
        <v/>
      </c>
      <c r="F344" s="26"/>
      <c r="G344" s="26"/>
      <c r="H344" s="34" t="n">
        <f aca="false">IF(G344="Yes","",D344)</f>
        <v>0</v>
      </c>
      <c r="I344" s="26"/>
      <c r="J344" s="26"/>
    </row>
    <row r="345" customFormat="false" ht="15" hidden="false" customHeight="false" outlineLevel="0" collapsed="false">
      <c r="A345" s="28"/>
      <c r="B345" s="26"/>
      <c r="C345" s="26"/>
      <c r="D345" s="32"/>
      <c r="E345" s="33" t="str">
        <f aca="false">IF(F345="","",IF(OR(F345="HDFC Bank (INR)",F345="HDFC IOCL Credit Card (INR)",F345="HDFC Swiggy Credit Card (INR)",F345="Axis Airtel Credit Card (INR)"),"INR","GBP"))</f>
        <v/>
      </c>
      <c r="F345" s="26"/>
      <c r="G345" s="26"/>
      <c r="H345" s="34" t="n">
        <f aca="false">IF(G345="Yes","",D345)</f>
        <v>0</v>
      </c>
      <c r="I345" s="26"/>
      <c r="J345" s="26"/>
    </row>
    <row r="346" customFormat="false" ht="15" hidden="false" customHeight="false" outlineLevel="0" collapsed="false">
      <c r="A346" s="28"/>
      <c r="B346" s="26"/>
      <c r="C346" s="26"/>
      <c r="D346" s="32"/>
      <c r="E346" s="33" t="str">
        <f aca="false">IF(F346="","",IF(OR(F346="HDFC Bank (INR)",F346="HDFC IOCL Credit Card (INR)",F346="HDFC Swiggy Credit Card (INR)",F346="Axis Airtel Credit Card (INR)"),"INR","GBP"))</f>
        <v/>
      </c>
      <c r="F346" s="26"/>
      <c r="G346" s="26"/>
      <c r="H346" s="34" t="n">
        <f aca="false">IF(G346="Yes","",D346)</f>
        <v>0</v>
      </c>
      <c r="I346" s="26"/>
      <c r="J346" s="26"/>
    </row>
    <row r="347" customFormat="false" ht="15" hidden="false" customHeight="false" outlineLevel="0" collapsed="false">
      <c r="A347" s="28"/>
      <c r="B347" s="26"/>
      <c r="C347" s="26"/>
      <c r="D347" s="32"/>
      <c r="E347" s="33" t="str">
        <f aca="false">IF(F347="","",IF(OR(F347="HDFC Bank (INR)",F347="HDFC IOCL Credit Card (INR)",F347="HDFC Swiggy Credit Card (INR)",F347="Axis Airtel Credit Card (INR)"),"INR","GBP"))</f>
        <v/>
      </c>
      <c r="F347" s="26"/>
      <c r="G347" s="26"/>
      <c r="H347" s="34" t="n">
        <f aca="false">IF(G347="Yes","",D347)</f>
        <v>0</v>
      </c>
      <c r="I347" s="26"/>
      <c r="J347" s="26"/>
    </row>
    <row r="348" customFormat="false" ht="15" hidden="false" customHeight="false" outlineLevel="0" collapsed="false">
      <c r="A348" s="28"/>
      <c r="B348" s="26"/>
      <c r="C348" s="26"/>
      <c r="D348" s="32"/>
      <c r="E348" s="33" t="str">
        <f aca="false">IF(F348="","",IF(OR(F348="HDFC Bank (INR)",F348="HDFC IOCL Credit Card (INR)",F348="HDFC Swiggy Credit Card (INR)",F348="Axis Airtel Credit Card (INR)"),"INR","GBP"))</f>
        <v/>
      </c>
      <c r="F348" s="26"/>
      <c r="G348" s="26"/>
      <c r="H348" s="34" t="n">
        <f aca="false">IF(G348="Yes","",D348)</f>
        <v>0</v>
      </c>
      <c r="I348" s="26"/>
      <c r="J348" s="26"/>
    </row>
    <row r="349" customFormat="false" ht="15" hidden="false" customHeight="false" outlineLevel="0" collapsed="false">
      <c r="A349" s="28"/>
      <c r="B349" s="26"/>
      <c r="C349" s="26"/>
      <c r="D349" s="32"/>
      <c r="E349" s="33" t="str">
        <f aca="false">IF(F349="","",IF(OR(F349="HDFC Bank (INR)",F349="HDFC IOCL Credit Card (INR)",F349="HDFC Swiggy Credit Card (INR)",F349="Axis Airtel Credit Card (INR)"),"INR","GBP"))</f>
        <v/>
      </c>
      <c r="F349" s="26"/>
      <c r="G349" s="26"/>
      <c r="H349" s="34" t="n">
        <f aca="false">IF(G349="Yes","",D349)</f>
        <v>0</v>
      </c>
      <c r="I349" s="26"/>
      <c r="J349" s="26"/>
    </row>
    <row r="350" customFormat="false" ht="15" hidden="false" customHeight="false" outlineLevel="0" collapsed="false">
      <c r="A350" s="28"/>
      <c r="B350" s="26"/>
      <c r="C350" s="26"/>
      <c r="D350" s="32"/>
      <c r="E350" s="33" t="str">
        <f aca="false">IF(F350="","",IF(OR(F350="HDFC Bank (INR)",F350="HDFC IOCL Credit Card (INR)",F350="HDFC Swiggy Credit Card (INR)",F350="Axis Airtel Credit Card (INR)"),"INR","GBP"))</f>
        <v/>
      </c>
      <c r="F350" s="26"/>
      <c r="G350" s="26"/>
      <c r="H350" s="34" t="n">
        <f aca="false">IF(G350="Yes","",D350)</f>
        <v>0</v>
      </c>
      <c r="I350" s="26"/>
      <c r="J350" s="26"/>
    </row>
    <row r="351" customFormat="false" ht="15" hidden="false" customHeight="false" outlineLevel="0" collapsed="false">
      <c r="A351" s="28"/>
      <c r="B351" s="26"/>
      <c r="C351" s="26"/>
      <c r="D351" s="32"/>
      <c r="E351" s="33" t="str">
        <f aca="false">IF(F351="","",IF(OR(F351="HDFC Bank (INR)",F351="HDFC IOCL Credit Card (INR)",F351="HDFC Swiggy Credit Card (INR)",F351="Axis Airtel Credit Card (INR)"),"INR","GBP"))</f>
        <v/>
      </c>
      <c r="F351" s="26"/>
      <c r="G351" s="26"/>
      <c r="H351" s="34" t="n">
        <f aca="false">IF(G351="Yes","",D351)</f>
        <v>0</v>
      </c>
      <c r="I351" s="26"/>
      <c r="J351" s="26"/>
    </row>
    <row r="352" customFormat="false" ht="15" hidden="false" customHeight="false" outlineLevel="0" collapsed="false">
      <c r="A352" s="28"/>
      <c r="B352" s="26"/>
      <c r="C352" s="26"/>
      <c r="D352" s="32"/>
      <c r="E352" s="33" t="str">
        <f aca="false">IF(F352="","",IF(OR(F352="HDFC Bank (INR)",F352="HDFC IOCL Credit Card (INR)",F352="HDFC Swiggy Credit Card (INR)",F352="Axis Airtel Credit Card (INR)"),"INR","GBP"))</f>
        <v/>
      </c>
      <c r="F352" s="26"/>
      <c r="G352" s="26"/>
      <c r="H352" s="34" t="n">
        <f aca="false">IF(G352="Yes","",D352)</f>
        <v>0</v>
      </c>
      <c r="I352" s="26"/>
      <c r="J352" s="26"/>
    </row>
    <row r="353" customFormat="false" ht="15" hidden="false" customHeight="false" outlineLevel="0" collapsed="false">
      <c r="A353" s="28"/>
      <c r="B353" s="26"/>
      <c r="C353" s="26"/>
      <c r="D353" s="32"/>
      <c r="E353" s="33" t="str">
        <f aca="false">IF(F353="","",IF(OR(F353="HDFC Bank (INR)",F353="HDFC IOCL Credit Card (INR)",F353="HDFC Swiggy Credit Card (INR)",F353="Axis Airtel Credit Card (INR)"),"INR","GBP"))</f>
        <v/>
      </c>
      <c r="F353" s="26"/>
      <c r="G353" s="26"/>
      <c r="H353" s="34" t="n">
        <f aca="false">IF(G353="Yes","",D353)</f>
        <v>0</v>
      </c>
      <c r="I353" s="26"/>
      <c r="J353" s="26"/>
    </row>
    <row r="354" customFormat="false" ht="15" hidden="false" customHeight="false" outlineLevel="0" collapsed="false">
      <c r="A354" s="28"/>
      <c r="B354" s="26"/>
      <c r="C354" s="26"/>
      <c r="D354" s="32"/>
      <c r="E354" s="33" t="str">
        <f aca="false">IF(F354="","",IF(OR(F354="HDFC Bank (INR)",F354="HDFC IOCL Credit Card (INR)",F354="HDFC Swiggy Credit Card (INR)",F354="Axis Airtel Credit Card (INR)"),"INR","GBP"))</f>
        <v/>
      </c>
      <c r="F354" s="26"/>
      <c r="G354" s="26"/>
      <c r="H354" s="34" t="n">
        <f aca="false">IF(G354="Yes","",D354)</f>
        <v>0</v>
      </c>
      <c r="I354" s="26"/>
      <c r="J354" s="26"/>
    </row>
    <row r="355" customFormat="false" ht="15" hidden="false" customHeight="false" outlineLevel="0" collapsed="false">
      <c r="A355" s="28"/>
      <c r="B355" s="26"/>
      <c r="C355" s="26"/>
      <c r="D355" s="32"/>
      <c r="E355" s="33" t="str">
        <f aca="false">IF(F355="","",IF(OR(F355="HDFC Bank (INR)",F355="HDFC IOCL Credit Card (INR)",F355="HDFC Swiggy Credit Card (INR)",F355="Axis Airtel Credit Card (INR)"),"INR","GBP"))</f>
        <v/>
      </c>
      <c r="F355" s="26"/>
      <c r="G355" s="26"/>
      <c r="H355" s="34" t="n">
        <f aca="false">IF(G355="Yes","",D355)</f>
        <v>0</v>
      </c>
      <c r="I355" s="26"/>
      <c r="J355" s="26"/>
    </row>
    <row r="356" customFormat="false" ht="15" hidden="false" customHeight="false" outlineLevel="0" collapsed="false">
      <c r="A356" s="28"/>
      <c r="B356" s="26"/>
      <c r="C356" s="26"/>
      <c r="D356" s="32"/>
      <c r="E356" s="33" t="str">
        <f aca="false">IF(F356="","",IF(OR(F356="HDFC Bank (INR)",F356="HDFC IOCL Credit Card (INR)",F356="HDFC Swiggy Credit Card (INR)",F356="Axis Airtel Credit Card (INR)"),"INR","GBP"))</f>
        <v/>
      </c>
      <c r="F356" s="26"/>
      <c r="G356" s="26"/>
      <c r="H356" s="34" t="n">
        <f aca="false">IF(G356="Yes","",D356)</f>
        <v>0</v>
      </c>
      <c r="I356" s="26"/>
      <c r="J356" s="26"/>
    </row>
    <row r="357" customFormat="false" ht="15" hidden="false" customHeight="false" outlineLevel="0" collapsed="false">
      <c r="A357" s="28"/>
      <c r="B357" s="26"/>
      <c r="C357" s="26"/>
      <c r="D357" s="32"/>
      <c r="E357" s="33" t="str">
        <f aca="false">IF(F357="","",IF(OR(F357="HDFC Bank (INR)",F357="HDFC IOCL Credit Card (INR)",F357="HDFC Swiggy Credit Card (INR)",F357="Axis Airtel Credit Card (INR)"),"INR","GBP"))</f>
        <v/>
      </c>
      <c r="F357" s="26"/>
      <c r="G357" s="26"/>
      <c r="H357" s="34" t="n">
        <f aca="false">IF(G357="Yes","",D357)</f>
        <v>0</v>
      </c>
      <c r="I357" s="26"/>
      <c r="J357" s="26"/>
    </row>
    <row r="358" customFormat="false" ht="15" hidden="false" customHeight="false" outlineLevel="0" collapsed="false">
      <c r="A358" s="28"/>
      <c r="B358" s="26"/>
      <c r="C358" s="26"/>
      <c r="D358" s="32"/>
      <c r="E358" s="33" t="str">
        <f aca="false">IF(F358="","",IF(OR(F358="HDFC Bank (INR)",F358="HDFC IOCL Credit Card (INR)",F358="HDFC Swiggy Credit Card (INR)",F358="Axis Airtel Credit Card (INR)"),"INR","GBP"))</f>
        <v/>
      </c>
      <c r="F358" s="26"/>
      <c r="G358" s="26"/>
      <c r="H358" s="34" t="n">
        <f aca="false">IF(G358="Yes","",D358)</f>
        <v>0</v>
      </c>
      <c r="I358" s="26"/>
      <c r="J358" s="26"/>
    </row>
    <row r="359" customFormat="false" ht="15" hidden="false" customHeight="false" outlineLevel="0" collapsed="false">
      <c r="A359" s="28"/>
      <c r="B359" s="26"/>
      <c r="C359" s="26"/>
      <c r="D359" s="32"/>
      <c r="E359" s="33" t="str">
        <f aca="false">IF(F359="","",IF(OR(F359="HDFC Bank (INR)",F359="HDFC IOCL Credit Card (INR)",F359="HDFC Swiggy Credit Card (INR)",F359="Axis Airtel Credit Card (INR)"),"INR","GBP"))</f>
        <v/>
      </c>
      <c r="F359" s="26"/>
      <c r="G359" s="26"/>
      <c r="H359" s="34" t="n">
        <f aca="false">IF(G359="Yes","",D359)</f>
        <v>0</v>
      </c>
      <c r="I359" s="26"/>
      <c r="J359" s="26"/>
    </row>
    <row r="360" customFormat="false" ht="15" hidden="false" customHeight="false" outlineLevel="0" collapsed="false">
      <c r="A360" s="28"/>
      <c r="B360" s="26"/>
      <c r="C360" s="26"/>
      <c r="D360" s="32"/>
      <c r="E360" s="33" t="str">
        <f aca="false">IF(F360="","",IF(OR(F360="HDFC Bank (INR)",F360="HDFC IOCL Credit Card (INR)",F360="HDFC Swiggy Credit Card (INR)",F360="Axis Airtel Credit Card (INR)"),"INR","GBP"))</f>
        <v/>
      </c>
      <c r="F360" s="26"/>
      <c r="G360" s="26"/>
      <c r="H360" s="34" t="n">
        <f aca="false">IF(G360="Yes","",D360)</f>
        <v>0</v>
      </c>
      <c r="I360" s="26"/>
      <c r="J360" s="26"/>
    </row>
    <row r="361" customFormat="false" ht="15" hidden="false" customHeight="false" outlineLevel="0" collapsed="false">
      <c r="A361" s="28"/>
      <c r="B361" s="26"/>
      <c r="C361" s="26"/>
      <c r="D361" s="32"/>
      <c r="E361" s="33" t="str">
        <f aca="false">IF(F361="","",IF(OR(F361="HDFC Bank (INR)",F361="HDFC IOCL Credit Card (INR)",F361="HDFC Swiggy Credit Card (INR)",F361="Axis Airtel Credit Card (INR)"),"INR","GBP"))</f>
        <v/>
      </c>
      <c r="F361" s="26"/>
      <c r="G361" s="26"/>
      <c r="H361" s="34" t="n">
        <f aca="false">IF(G361="Yes","",D361)</f>
        <v>0</v>
      </c>
      <c r="I361" s="26"/>
      <c r="J361" s="26"/>
    </row>
    <row r="362" customFormat="false" ht="15" hidden="false" customHeight="false" outlineLevel="0" collapsed="false">
      <c r="A362" s="28"/>
      <c r="B362" s="26"/>
      <c r="C362" s="26"/>
      <c r="D362" s="32"/>
      <c r="E362" s="33" t="str">
        <f aca="false">IF(F362="","",IF(OR(F362="HDFC Bank (INR)",F362="HDFC IOCL Credit Card (INR)",F362="HDFC Swiggy Credit Card (INR)",F362="Axis Airtel Credit Card (INR)"),"INR","GBP"))</f>
        <v/>
      </c>
      <c r="F362" s="26"/>
      <c r="G362" s="26"/>
      <c r="H362" s="34" t="n">
        <f aca="false">IF(G362="Yes","",D362)</f>
        <v>0</v>
      </c>
      <c r="I362" s="26"/>
      <c r="J362" s="26"/>
    </row>
    <row r="363" customFormat="false" ht="15" hidden="false" customHeight="false" outlineLevel="0" collapsed="false">
      <c r="A363" s="28"/>
      <c r="B363" s="26"/>
      <c r="C363" s="26"/>
      <c r="D363" s="32"/>
      <c r="E363" s="33" t="str">
        <f aca="false">IF(F363="","",IF(OR(F363="HDFC Bank (INR)",F363="HDFC IOCL Credit Card (INR)",F363="HDFC Swiggy Credit Card (INR)",F363="Axis Airtel Credit Card (INR)"),"INR","GBP"))</f>
        <v/>
      </c>
      <c r="F363" s="26"/>
      <c r="G363" s="26"/>
      <c r="H363" s="34" t="n">
        <f aca="false">IF(G363="Yes","",D363)</f>
        <v>0</v>
      </c>
      <c r="I363" s="26"/>
      <c r="J363" s="26"/>
    </row>
    <row r="364" customFormat="false" ht="15" hidden="false" customHeight="false" outlineLevel="0" collapsed="false">
      <c r="A364" s="28"/>
      <c r="B364" s="26"/>
      <c r="C364" s="26"/>
      <c r="D364" s="32"/>
      <c r="E364" s="33" t="str">
        <f aca="false">IF(F364="","",IF(OR(F364="HDFC Bank (INR)",F364="HDFC IOCL Credit Card (INR)",F364="HDFC Swiggy Credit Card (INR)",F364="Axis Airtel Credit Card (INR)"),"INR","GBP"))</f>
        <v/>
      </c>
      <c r="F364" s="26"/>
      <c r="G364" s="26"/>
      <c r="H364" s="34" t="n">
        <f aca="false">IF(G364="Yes","",D364)</f>
        <v>0</v>
      </c>
      <c r="I364" s="26"/>
      <c r="J364" s="26"/>
    </row>
    <row r="365" customFormat="false" ht="15" hidden="false" customHeight="false" outlineLevel="0" collapsed="false">
      <c r="A365" s="28"/>
      <c r="B365" s="26"/>
      <c r="C365" s="26"/>
      <c r="D365" s="32"/>
      <c r="E365" s="33" t="str">
        <f aca="false">IF(F365="","",IF(OR(F365="HDFC Bank (INR)",F365="HDFC IOCL Credit Card (INR)",F365="HDFC Swiggy Credit Card (INR)",F365="Axis Airtel Credit Card (INR)"),"INR","GBP"))</f>
        <v/>
      </c>
      <c r="F365" s="26"/>
      <c r="G365" s="26"/>
      <c r="H365" s="34" t="n">
        <f aca="false">IF(G365="Yes","",D365)</f>
        <v>0</v>
      </c>
      <c r="I365" s="26"/>
      <c r="J365" s="26"/>
    </row>
    <row r="366" customFormat="false" ht="15" hidden="false" customHeight="false" outlineLevel="0" collapsed="false">
      <c r="A366" s="28"/>
      <c r="B366" s="26"/>
      <c r="C366" s="26"/>
      <c r="D366" s="32"/>
      <c r="E366" s="33" t="str">
        <f aca="false">IF(F366="","",IF(OR(F366="HDFC Bank (INR)",F366="HDFC IOCL Credit Card (INR)",F366="HDFC Swiggy Credit Card (INR)",F366="Axis Airtel Credit Card (INR)"),"INR","GBP"))</f>
        <v/>
      </c>
      <c r="F366" s="26"/>
      <c r="G366" s="26"/>
      <c r="H366" s="34" t="n">
        <f aca="false">IF(G366="Yes","",D366)</f>
        <v>0</v>
      </c>
      <c r="I366" s="26"/>
      <c r="J366" s="26"/>
    </row>
    <row r="367" customFormat="false" ht="15" hidden="false" customHeight="false" outlineLevel="0" collapsed="false">
      <c r="A367" s="28"/>
      <c r="B367" s="26"/>
      <c r="C367" s="26"/>
      <c r="D367" s="32"/>
      <c r="E367" s="33" t="str">
        <f aca="false">IF(F367="","",IF(OR(F367="HDFC Bank (INR)",F367="HDFC IOCL Credit Card (INR)",F367="HDFC Swiggy Credit Card (INR)",F367="Axis Airtel Credit Card (INR)"),"INR","GBP"))</f>
        <v/>
      </c>
      <c r="F367" s="26"/>
      <c r="G367" s="26"/>
      <c r="H367" s="34" t="n">
        <f aca="false">IF(G367="Yes","",D367)</f>
        <v>0</v>
      </c>
      <c r="I367" s="26"/>
      <c r="J367" s="26"/>
    </row>
    <row r="368" customFormat="false" ht="15" hidden="false" customHeight="false" outlineLevel="0" collapsed="false">
      <c r="A368" s="28"/>
      <c r="B368" s="26"/>
      <c r="C368" s="26"/>
      <c r="D368" s="32"/>
      <c r="E368" s="33" t="str">
        <f aca="false">IF(F368="","",IF(OR(F368="HDFC Bank (INR)",F368="HDFC IOCL Credit Card (INR)",F368="HDFC Swiggy Credit Card (INR)",F368="Axis Airtel Credit Card (INR)"),"INR","GBP"))</f>
        <v/>
      </c>
      <c r="F368" s="26"/>
      <c r="G368" s="26"/>
      <c r="H368" s="34" t="n">
        <f aca="false">IF(G368="Yes","",D368)</f>
        <v>0</v>
      </c>
      <c r="I368" s="26"/>
      <c r="J368" s="26"/>
    </row>
    <row r="369" customFormat="false" ht="15" hidden="false" customHeight="false" outlineLevel="0" collapsed="false">
      <c r="A369" s="28"/>
      <c r="B369" s="26"/>
      <c r="C369" s="26"/>
      <c r="D369" s="32"/>
      <c r="E369" s="33" t="str">
        <f aca="false">IF(F369="","",IF(OR(F369="HDFC Bank (INR)",F369="HDFC IOCL Credit Card (INR)",F369="HDFC Swiggy Credit Card (INR)",F369="Axis Airtel Credit Card (INR)"),"INR","GBP"))</f>
        <v/>
      </c>
      <c r="F369" s="26"/>
      <c r="G369" s="26"/>
      <c r="H369" s="34" t="n">
        <f aca="false">IF(G369="Yes","",D369)</f>
        <v>0</v>
      </c>
      <c r="I369" s="26"/>
      <c r="J369" s="26"/>
    </row>
    <row r="370" customFormat="false" ht="15" hidden="false" customHeight="false" outlineLevel="0" collapsed="false">
      <c r="A370" s="28"/>
      <c r="B370" s="26"/>
      <c r="C370" s="26"/>
      <c r="D370" s="32"/>
      <c r="E370" s="33" t="str">
        <f aca="false">IF(F370="","",IF(OR(F370="HDFC Bank (INR)",F370="HDFC IOCL Credit Card (INR)",F370="HDFC Swiggy Credit Card (INR)",F370="Axis Airtel Credit Card (INR)"),"INR","GBP"))</f>
        <v/>
      </c>
      <c r="F370" s="26"/>
      <c r="G370" s="26"/>
      <c r="H370" s="34" t="n">
        <f aca="false">IF(G370="Yes","",D370)</f>
        <v>0</v>
      </c>
      <c r="I370" s="26"/>
      <c r="J370" s="26"/>
    </row>
    <row r="371" customFormat="false" ht="15" hidden="false" customHeight="false" outlineLevel="0" collapsed="false">
      <c r="A371" s="28"/>
      <c r="B371" s="26"/>
      <c r="C371" s="26"/>
      <c r="D371" s="32"/>
      <c r="E371" s="33" t="str">
        <f aca="false">IF(F371="","",IF(OR(F371="HDFC Bank (INR)",F371="HDFC IOCL Credit Card (INR)",F371="HDFC Swiggy Credit Card (INR)",F371="Axis Airtel Credit Card (INR)"),"INR","GBP"))</f>
        <v/>
      </c>
      <c r="F371" s="26"/>
      <c r="G371" s="26"/>
      <c r="H371" s="34" t="n">
        <f aca="false">IF(G371="Yes","",D371)</f>
        <v>0</v>
      </c>
      <c r="I371" s="26"/>
      <c r="J371" s="26"/>
    </row>
    <row r="372" customFormat="false" ht="15" hidden="false" customHeight="false" outlineLevel="0" collapsed="false">
      <c r="A372" s="28"/>
      <c r="B372" s="26"/>
      <c r="C372" s="26"/>
      <c r="D372" s="32"/>
      <c r="E372" s="33" t="str">
        <f aca="false">IF(F372="","",IF(OR(F372="HDFC Bank (INR)",F372="HDFC IOCL Credit Card (INR)",F372="HDFC Swiggy Credit Card (INR)",F372="Axis Airtel Credit Card (INR)"),"INR","GBP"))</f>
        <v/>
      </c>
      <c r="F372" s="26"/>
      <c r="G372" s="26"/>
      <c r="H372" s="34" t="n">
        <f aca="false">IF(G372="Yes","",D372)</f>
        <v>0</v>
      </c>
      <c r="I372" s="26"/>
      <c r="J372" s="26"/>
    </row>
    <row r="373" customFormat="false" ht="15" hidden="false" customHeight="false" outlineLevel="0" collapsed="false">
      <c r="A373" s="28"/>
      <c r="B373" s="26"/>
      <c r="C373" s="26"/>
      <c r="D373" s="32"/>
      <c r="E373" s="33" t="str">
        <f aca="false">IF(F373="","",IF(OR(F373="HDFC Bank (INR)",F373="HDFC IOCL Credit Card (INR)",F373="HDFC Swiggy Credit Card (INR)",F373="Axis Airtel Credit Card (INR)"),"INR","GBP"))</f>
        <v/>
      </c>
      <c r="F373" s="26"/>
      <c r="G373" s="26"/>
      <c r="H373" s="34" t="n">
        <f aca="false">IF(G373="Yes","",D373)</f>
        <v>0</v>
      </c>
      <c r="I373" s="26"/>
      <c r="J373" s="26"/>
    </row>
    <row r="374" customFormat="false" ht="15" hidden="false" customHeight="false" outlineLevel="0" collapsed="false">
      <c r="A374" s="28"/>
      <c r="B374" s="26"/>
      <c r="C374" s="26"/>
      <c r="D374" s="32"/>
      <c r="E374" s="33" t="str">
        <f aca="false">IF(F374="","",IF(OR(F374="HDFC Bank (INR)",F374="HDFC IOCL Credit Card (INR)",F374="HDFC Swiggy Credit Card (INR)",F374="Axis Airtel Credit Card (INR)"),"INR","GBP"))</f>
        <v/>
      </c>
      <c r="F374" s="26"/>
      <c r="G374" s="26"/>
      <c r="H374" s="34" t="n">
        <f aca="false">IF(G374="Yes","",D374)</f>
        <v>0</v>
      </c>
      <c r="I374" s="26"/>
      <c r="J374" s="26"/>
    </row>
    <row r="375" customFormat="false" ht="15" hidden="false" customHeight="false" outlineLevel="0" collapsed="false">
      <c r="A375" s="28"/>
      <c r="B375" s="26"/>
      <c r="C375" s="26"/>
      <c r="D375" s="32"/>
      <c r="E375" s="33" t="str">
        <f aca="false">IF(F375="","",IF(OR(F375="HDFC Bank (INR)",F375="HDFC IOCL Credit Card (INR)",F375="HDFC Swiggy Credit Card (INR)",F375="Axis Airtel Credit Card (INR)"),"INR","GBP"))</f>
        <v/>
      </c>
      <c r="F375" s="26"/>
      <c r="G375" s="26"/>
      <c r="H375" s="34" t="n">
        <f aca="false">IF(G375="Yes","",D375)</f>
        <v>0</v>
      </c>
      <c r="I375" s="26"/>
      <c r="J375" s="26"/>
    </row>
    <row r="376" customFormat="false" ht="15" hidden="false" customHeight="false" outlineLevel="0" collapsed="false">
      <c r="A376" s="28"/>
      <c r="B376" s="26"/>
      <c r="C376" s="26"/>
      <c r="D376" s="32"/>
      <c r="E376" s="33" t="str">
        <f aca="false">IF(F376="","",IF(OR(F376="HDFC Bank (INR)",F376="HDFC IOCL Credit Card (INR)",F376="HDFC Swiggy Credit Card (INR)",F376="Axis Airtel Credit Card (INR)"),"INR","GBP"))</f>
        <v/>
      </c>
      <c r="F376" s="26"/>
      <c r="G376" s="26"/>
      <c r="H376" s="34" t="n">
        <f aca="false">IF(G376="Yes","",D376)</f>
        <v>0</v>
      </c>
      <c r="I376" s="26"/>
      <c r="J376" s="26"/>
    </row>
    <row r="377" customFormat="false" ht="15" hidden="false" customHeight="false" outlineLevel="0" collapsed="false">
      <c r="A377" s="28"/>
      <c r="B377" s="26"/>
      <c r="C377" s="26"/>
      <c r="D377" s="32"/>
      <c r="E377" s="33" t="str">
        <f aca="false">IF(F377="","",IF(OR(F377="HDFC Bank (INR)",F377="HDFC IOCL Credit Card (INR)",F377="HDFC Swiggy Credit Card (INR)",F377="Axis Airtel Credit Card (INR)"),"INR","GBP"))</f>
        <v/>
      </c>
      <c r="F377" s="26"/>
      <c r="G377" s="26"/>
      <c r="H377" s="34" t="n">
        <f aca="false">IF(G377="Yes","",D377)</f>
        <v>0</v>
      </c>
      <c r="I377" s="26"/>
      <c r="J377" s="26"/>
    </row>
    <row r="378" customFormat="false" ht="15" hidden="false" customHeight="false" outlineLevel="0" collapsed="false">
      <c r="A378" s="28"/>
      <c r="B378" s="26"/>
      <c r="C378" s="26"/>
      <c r="D378" s="32"/>
      <c r="E378" s="33" t="str">
        <f aca="false">IF(F378="","",IF(OR(F378="HDFC Bank (INR)",F378="HDFC IOCL Credit Card (INR)",F378="HDFC Swiggy Credit Card (INR)",F378="Axis Airtel Credit Card (INR)"),"INR","GBP"))</f>
        <v/>
      </c>
      <c r="F378" s="26"/>
      <c r="G378" s="26"/>
      <c r="H378" s="34" t="n">
        <f aca="false">IF(G378="Yes","",D378)</f>
        <v>0</v>
      </c>
      <c r="I378" s="26"/>
      <c r="J378" s="26"/>
    </row>
    <row r="379" customFormat="false" ht="15" hidden="false" customHeight="false" outlineLevel="0" collapsed="false">
      <c r="A379" s="28"/>
      <c r="B379" s="26"/>
      <c r="C379" s="26"/>
      <c r="D379" s="32"/>
      <c r="E379" s="33" t="str">
        <f aca="false">IF(F379="","",IF(OR(F379="HDFC Bank (INR)",F379="HDFC IOCL Credit Card (INR)",F379="HDFC Swiggy Credit Card (INR)",F379="Axis Airtel Credit Card (INR)"),"INR","GBP"))</f>
        <v/>
      </c>
      <c r="F379" s="26"/>
      <c r="G379" s="26"/>
      <c r="H379" s="34" t="n">
        <f aca="false">IF(G379="Yes","",D379)</f>
        <v>0</v>
      </c>
      <c r="I379" s="26"/>
      <c r="J379" s="26"/>
    </row>
    <row r="380" customFormat="false" ht="15" hidden="false" customHeight="false" outlineLevel="0" collapsed="false">
      <c r="A380" s="28"/>
      <c r="B380" s="26"/>
      <c r="C380" s="26"/>
      <c r="D380" s="32"/>
      <c r="E380" s="33" t="str">
        <f aca="false">IF(F380="","",IF(OR(F380="HDFC Bank (INR)",F380="HDFC IOCL Credit Card (INR)",F380="HDFC Swiggy Credit Card (INR)",F380="Axis Airtel Credit Card (INR)"),"INR","GBP"))</f>
        <v/>
      </c>
      <c r="F380" s="26"/>
      <c r="G380" s="26"/>
      <c r="H380" s="34" t="n">
        <f aca="false">IF(G380="Yes","",D380)</f>
        <v>0</v>
      </c>
      <c r="I380" s="26"/>
      <c r="J380" s="26"/>
    </row>
    <row r="381" customFormat="false" ht="15" hidden="false" customHeight="false" outlineLevel="0" collapsed="false">
      <c r="A381" s="28"/>
      <c r="B381" s="26"/>
      <c r="C381" s="26"/>
      <c r="D381" s="32"/>
      <c r="E381" s="33" t="str">
        <f aca="false">IF(F381="","",IF(OR(F381="HDFC Bank (INR)",F381="HDFC IOCL Credit Card (INR)",F381="HDFC Swiggy Credit Card (INR)",F381="Axis Airtel Credit Card (INR)"),"INR","GBP"))</f>
        <v/>
      </c>
      <c r="F381" s="26"/>
      <c r="G381" s="26"/>
      <c r="H381" s="34" t="n">
        <f aca="false">IF(G381="Yes","",D381)</f>
        <v>0</v>
      </c>
      <c r="I381" s="26"/>
      <c r="J381" s="26"/>
    </row>
    <row r="382" customFormat="false" ht="15" hidden="false" customHeight="false" outlineLevel="0" collapsed="false">
      <c r="A382" s="28"/>
      <c r="B382" s="26"/>
      <c r="C382" s="26"/>
      <c r="D382" s="32"/>
      <c r="E382" s="33" t="str">
        <f aca="false">IF(F382="","",IF(OR(F382="HDFC Bank (INR)",F382="HDFC IOCL Credit Card (INR)",F382="HDFC Swiggy Credit Card (INR)",F382="Axis Airtel Credit Card (INR)"),"INR","GBP"))</f>
        <v/>
      </c>
      <c r="F382" s="26"/>
      <c r="G382" s="26"/>
      <c r="H382" s="34" t="n">
        <f aca="false">IF(G382="Yes","",D382)</f>
        <v>0</v>
      </c>
      <c r="I382" s="26"/>
      <c r="J382" s="26"/>
    </row>
    <row r="383" customFormat="false" ht="15" hidden="false" customHeight="false" outlineLevel="0" collapsed="false">
      <c r="A383" s="28"/>
      <c r="B383" s="26"/>
      <c r="C383" s="26"/>
      <c r="D383" s="32"/>
      <c r="E383" s="33" t="str">
        <f aca="false">IF(F383="","",IF(OR(F383="HDFC Bank (INR)",F383="HDFC IOCL Credit Card (INR)",F383="HDFC Swiggy Credit Card (INR)",F383="Axis Airtel Credit Card (INR)"),"INR","GBP"))</f>
        <v/>
      </c>
      <c r="F383" s="26"/>
      <c r="G383" s="26"/>
      <c r="H383" s="34" t="n">
        <f aca="false">IF(G383="Yes","",D383)</f>
        <v>0</v>
      </c>
      <c r="I383" s="26"/>
      <c r="J383" s="26"/>
    </row>
    <row r="384" customFormat="false" ht="15" hidden="false" customHeight="false" outlineLevel="0" collapsed="false">
      <c r="A384" s="28"/>
      <c r="B384" s="26"/>
      <c r="C384" s="26"/>
      <c r="D384" s="32"/>
      <c r="E384" s="33" t="str">
        <f aca="false">IF(F384="","",IF(OR(F384="HDFC Bank (INR)",F384="HDFC IOCL Credit Card (INR)",F384="HDFC Swiggy Credit Card (INR)",F384="Axis Airtel Credit Card (INR)"),"INR","GBP"))</f>
        <v/>
      </c>
      <c r="F384" s="26"/>
      <c r="G384" s="26"/>
      <c r="H384" s="34" t="n">
        <f aca="false">IF(G384="Yes","",D384)</f>
        <v>0</v>
      </c>
      <c r="I384" s="26"/>
      <c r="J384" s="26"/>
    </row>
    <row r="385" customFormat="false" ht="15" hidden="false" customHeight="false" outlineLevel="0" collapsed="false">
      <c r="A385" s="28"/>
      <c r="B385" s="26"/>
      <c r="C385" s="26"/>
      <c r="D385" s="32"/>
      <c r="E385" s="33" t="str">
        <f aca="false">IF(F385="","",IF(OR(F385="HDFC Bank (INR)",F385="HDFC IOCL Credit Card (INR)",F385="HDFC Swiggy Credit Card (INR)",F385="Axis Airtel Credit Card (INR)"),"INR","GBP"))</f>
        <v/>
      </c>
      <c r="F385" s="26"/>
      <c r="G385" s="26"/>
      <c r="H385" s="34" t="n">
        <f aca="false">IF(G385="Yes","",D385)</f>
        <v>0</v>
      </c>
      <c r="I385" s="26"/>
      <c r="J385" s="26"/>
    </row>
    <row r="386" customFormat="false" ht="15" hidden="false" customHeight="false" outlineLevel="0" collapsed="false">
      <c r="A386" s="28"/>
      <c r="B386" s="26"/>
      <c r="C386" s="26"/>
      <c r="D386" s="32"/>
      <c r="E386" s="33" t="str">
        <f aca="false">IF(F386="","",IF(OR(F386="HDFC Bank (INR)",F386="HDFC IOCL Credit Card (INR)",F386="HDFC Swiggy Credit Card (INR)",F386="Axis Airtel Credit Card (INR)"),"INR","GBP"))</f>
        <v/>
      </c>
      <c r="F386" s="26"/>
      <c r="G386" s="26"/>
      <c r="H386" s="34" t="n">
        <f aca="false">IF(G386="Yes","",D386)</f>
        <v>0</v>
      </c>
      <c r="I386" s="26"/>
      <c r="J386" s="26"/>
    </row>
    <row r="387" customFormat="false" ht="15" hidden="false" customHeight="false" outlineLevel="0" collapsed="false">
      <c r="A387" s="28"/>
      <c r="B387" s="26"/>
      <c r="C387" s="26"/>
      <c r="D387" s="32"/>
      <c r="E387" s="33" t="str">
        <f aca="false">IF(F387="","",IF(OR(F387="HDFC Bank (INR)",F387="HDFC IOCL Credit Card (INR)",F387="HDFC Swiggy Credit Card (INR)",F387="Axis Airtel Credit Card (INR)"),"INR","GBP"))</f>
        <v/>
      </c>
      <c r="F387" s="26"/>
      <c r="G387" s="26"/>
      <c r="H387" s="34" t="n">
        <f aca="false">IF(G387="Yes","",D387)</f>
        <v>0</v>
      </c>
      <c r="I387" s="26"/>
      <c r="J387" s="26"/>
    </row>
    <row r="388" customFormat="false" ht="15" hidden="false" customHeight="false" outlineLevel="0" collapsed="false">
      <c r="A388" s="28"/>
      <c r="B388" s="26"/>
      <c r="C388" s="26"/>
      <c r="D388" s="32"/>
      <c r="E388" s="33" t="str">
        <f aca="false">IF(F388="","",IF(OR(F388="HDFC Bank (INR)",F388="HDFC IOCL Credit Card (INR)",F388="HDFC Swiggy Credit Card (INR)",F388="Axis Airtel Credit Card (INR)"),"INR","GBP"))</f>
        <v/>
      </c>
      <c r="F388" s="26"/>
      <c r="G388" s="26"/>
      <c r="H388" s="34" t="n">
        <f aca="false">IF(G388="Yes","",D388)</f>
        <v>0</v>
      </c>
      <c r="I388" s="26"/>
      <c r="J388" s="26"/>
    </row>
    <row r="389" customFormat="false" ht="15" hidden="false" customHeight="false" outlineLevel="0" collapsed="false">
      <c r="A389" s="28"/>
      <c r="B389" s="26"/>
      <c r="C389" s="26"/>
      <c r="D389" s="32"/>
      <c r="E389" s="33" t="str">
        <f aca="false">IF(F389="","",IF(OR(F389="HDFC Bank (INR)",F389="HDFC IOCL Credit Card (INR)",F389="HDFC Swiggy Credit Card (INR)",F389="Axis Airtel Credit Card (INR)"),"INR","GBP"))</f>
        <v/>
      </c>
      <c r="F389" s="26"/>
      <c r="G389" s="26"/>
      <c r="H389" s="34" t="n">
        <f aca="false">IF(G389="Yes","",D389)</f>
        <v>0</v>
      </c>
      <c r="I389" s="26"/>
      <c r="J389" s="26"/>
    </row>
    <row r="390" customFormat="false" ht="15" hidden="false" customHeight="false" outlineLevel="0" collapsed="false">
      <c r="A390" s="28"/>
      <c r="B390" s="26"/>
      <c r="C390" s="26"/>
      <c r="D390" s="32"/>
      <c r="E390" s="33" t="str">
        <f aca="false">IF(F390="","",IF(OR(F390="HDFC Bank (INR)",F390="HDFC IOCL Credit Card (INR)",F390="HDFC Swiggy Credit Card (INR)",F390="Axis Airtel Credit Card (INR)"),"INR","GBP"))</f>
        <v/>
      </c>
      <c r="F390" s="26"/>
      <c r="G390" s="26"/>
      <c r="H390" s="34" t="n">
        <f aca="false">IF(G390="Yes","",D390)</f>
        <v>0</v>
      </c>
      <c r="I390" s="26"/>
      <c r="J390" s="26"/>
    </row>
    <row r="391" customFormat="false" ht="15" hidden="false" customHeight="false" outlineLevel="0" collapsed="false">
      <c r="A391" s="28"/>
      <c r="B391" s="26"/>
      <c r="C391" s="26"/>
      <c r="D391" s="32"/>
      <c r="E391" s="33" t="str">
        <f aca="false">IF(F391="","",IF(OR(F391="HDFC Bank (INR)",F391="HDFC IOCL Credit Card (INR)",F391="HDFC Swiggy Credit Card (INR)",F391="Axis Airtel Credit Card (INR)"),"INR","GBP"))</f>
        <v/>
      </c>
      <c r="F391" s="26"/>
      <c r="G391" s="26"/>
      <c r="H391" s="34" t="n">
        <f aca="false">IF(G391="Yes","",D391)</f>
        <v>0</v>
      </c>
      <c r="I391" s="26"/>
      <c r="J391" s="26"/>
    </row>
    <row r="392" customFormat="false" ht="15" hidden="false" customHeight="false" outlineLevel="0" collapsed="false">
      <c r="A392" s="28"/>
      <c r="B392" s="26"/>
      <c r="C392" s="26"/>
      <c r="D392" s="32"/>
      <c r="E392" s="33" t="str">
        <f aca="false">IF(F392="","",IF(OR(F392="HDFC Bank (INR)",F392="HDFC IOCL Credit Card (INR)",F392="HDFC Swiggy Credit Card (INR)",F392="Axis Airtel Credit Card (INR)"),"INR","GBP"))</f>
        <v/>
      </c>
      <c r="F392" s="26"/>
      <c r="G392" s="26"/>
      <c r="H392" s="34" t="n">
        <f aca="false">IF(G392="Yes","",D392)</f>
        <v>0</v>
      </c>
      <c r="I392" s="26"/>
      <c r="J392" s="26"/>
    </row>
    <row r="393" customFormat="false" ht="15" hidden="false" customHeight="false" outlineLevel="0" collapsed="false">
      <c r="A393" s="28"/>
      <c r="B393" s="26"/>
      <c r="C393" s="26"/>
      <c r="D393" s="32"/>
      <c r="E393" s="33" t="str">
        <f aca="false">IF(F393="","",IF(OR(F393="HDFC Bank (INR)",F393="HDFC IOCL Credit Card (INR)",F393="HDFC Swiggy Credit Card (INR)",F393="Axis Airtel Credit Card (INR)"),"INR","GBP"))</f>
        <v/>
      </c>
      <c r="F393" s="26"/>
      <c r="G393" s="26"/>
      <c r="H393" s="34" t="n">
        <f aca="false">IF(G393="Yes","",D393)</f>
        <v>0</v>
      </c>
      <c r="I393" s="26"/>
      <c r="J393" s="26"/>
    </row>
    <row r="394" customFormat="false" ht="15" hidden="false" customHeight="false" outlineLevel="0" collapsed="false">
      <c r="A394" s="28"/>
      <c r="B394" s="26"/>
      <c r="C394" s="26"/>
      <c r="D394" s="32"/>
      <c r="E394" s="33" t="str">
        <f aca="false">IF(F394="","",IF(OR(F394="HDFC Bank (INR)",F394="HDFC IOCL Credit Card (INR)",F394="HDFC Swiggy Credit Card (INR)",F394="Axis Airtel Credit Card (INR)"),"INR","GBP"))</f>
        <v/>
      </c>
      <c r="F394" s="26"/>
      <c r="G394" s="26"/>
      <c r="H394" s="34" t="n">
        <f aca="false">IF(G394="Yes","",D394)</f>
        <v>0</v>
      </c>
      <c r="I394" s="26"/>
      <c r="J394" s="26"/>
    </row>
    <row r="395" customFormat="false" ht="15" hidden="false" customHeight="false" outlineLevel="0" collapsed="false">
      <c r="A395" s="28"/>
      <c r="B395" s="26"/>
      <c r="C395" s="26"/>
      <c r="D395" s="32"/>
      <c r="E395" s="33" t="str">
        <f aca="false">IF(F395="","",IF(OR(F395="HDFC Bank (INR)",F395="HDFC IOCL Credit Card (INR)",F395="HDFC Swiggy Credit Card (INR)",F395="Axis Airtel Credit Card (INR)"),"INR","GBP"))</f>
        <v/>
      </c>
      <c r="F395" s="26"/>
      <c r="G395" s="26"/>
      <c r="H395" s="34" t="n">
        <f aca="false">IF(G395="Yes","",D395)</f>
        <v>0</v>
      </c>
      <c r="I395" s="26"/>
      <c r="J395" s="26"/>
    </row>
    <row r="396" customFormat="false" ht="15" hidden="false" customHeight="false" outlineLevel="0" collapsed="false">
      <c r="A396" s="28"/>
      <c r="B396" s="26"/>
      <c r="C396" s="26"/>
      <c r="D396" s="32"/>
      <c r="E396" s="33" t="str">
        <f aca="false">IF(F396="","",IF(OR(F396="HDFC Bank (INR)",F396="HDFC IOCL Credit Card (INR)",F396="HDFC Swiggy Credit Card (INR)",F396="Axis Airtel Credit Card (INR)"),"INR","GBP"))</f>
        <v/>
      </c>
      <c r="F396" s="26"/>
      <c r="G396" s="26"/>
      <c r="H396" s="34" t="n">
        <f aca="false">IF(G396="Yes","",D396)</f>
        <v>0</v>
      </c>
      <c r="I396" s="26"/>
      <c r="J396" s="26"/>
    </row>
    <row r="397" customFormat="false" ht="15" hidden="false" customHeight="false" outlineLevel="0" collapsed="false">
      <c r="A397" s="28"/>
      <c r="B397" s="26"/>
      <c r="C397" s="26"/>
      <c r="D397" s="32"/>
      <c r="E397" s="33" t="str">
        <f aca="false">IF(F397="","",IF(OR(F397="HDFC Bank (INR)",F397="HDFC IOCL Credit Card (INR)",F397="HDFC Swiggy Credit Card (INR)",F397="Axis Airtel Credit Card (INR)"),"INR","GBP"))</f>
        <v/>
      </c>
      <c r="F397" s="26"/>
      <c r="G397" s="26"/>
      <c r="H397" s="34" t="n">
        <f aca="false">IF(G397="Yes","",D397)</f>
        <v>0</v>
      </c>
      <c r="I397" s="26"/>
      <c r="J397" s="26"/>
    </row>
    <row r="398" customFormat="false" ht="15" hidden="false" customHeight="false" outlineLevel="0" collapsed="false">
      <c r="A398" s="28"/>
      <c r="B398" s="26"/>
      <c r="C398" s="26"/>
      <c r="D398" s="32"/>
      <c r="E398" s="33" t="str">
        <f aca="false">IF(F398="","",IF(OR(F398="HDFC Bank (INR)",F398="HDFC IOCL Credit Card (INR)",F398="HDFC Swiggy Credit Card (INR)",F398="Axis Airtel Credit Card (INR)"),"INR","GBP"))</f>
        <v/>
      </c>
      <c r="F398" s="26"/>
      <c r="G398" s="26"/>
      <c r="H398" s="34" t="n">
        <f aca="false">IF(G398="Yes","",D398)</f>
        <v>0</v>
      </c>
      <c r="I398" s="26"/>
      <c r="J398" s="26"/>
    </row>
    <row r="399" customFormat="false" ht="15" hidden="false" customHeight="false" outlineLevel="0" collapsed="false">
      <c r="A399" s="28"/>
      <c r="B399" s="26"/>
      <c r="C399" s="26"/>
      <c r="D399" s="32"/>
      <c r="E399" s="33" t="str">
        <f aca="false">IF(F399="","",IF(OR(F399="HDFC Bank (INR)",F399="HDFC IOCL Credit Card (INR)",F399="HDFC Swiggy Credit Card (INR)",F399="Axis Airtel Credit Card (INR)"),"INR","GBP"))</f>
        <v/>
      </c>
      <c r="F399" s="26"/>
      <c r="G399" s="26"/>
      <c r="H399" s="34" t="n">
        <f aca="false">IF(G399="Yes","",D399)</f>
        <v>0</v>
      </c>
      <c r="I399" s="26"/>
      <c r="J399" s="26"/>
    </row>
    <row r="400" customFormat="false" ht="15" hidden="false" customHeight="false" outlineLevel="0" collapsed="false">
      <c r="A400" s="28"/>
      <c r="B400" s="26"/>
      <c r="C400" s="26"/>
      <c r="D400" s="32"/>
      <c r="E400" s="33" t="str">
        <f aca="false">IF(F400="","",IF(OR(F400="HDFC Bank (INR)",F400="HDFC IOCL Credit Card (INR)",F400="HDFC Swiggy Credit Card (INR)",F400="Axis Airtel Credit Card (INR)"),"INR","GBP"))</f>
        <v/>
      </c>
      <c r="F400" s="26"/>
      <c r="G400" s="26"/>
      <c r="H400" s="34" t="n">
        <f aca="false">IF(G400="Yes","",D400)</f>
        <v>0</v>
      </c>
      <c r="I400" s="26"/>
      <c r="J400" s="26"/>
    </row>
    <row r="401" customFormat="false" ht="15" hidden="false" customHeight="false" outlineLevel="0" collapsed="false">
      <c r="A401" s="28"/>
      <c r="B401" s="26"/>
      <c r="C401" s="26"/>
      <c r="D401" s="32"/>
      <c r="E401" s="33" t="str">
        <f aca="false">IF(F401="","",IF(OR(F401="HDFC Bank (INR)",F401="HDFC IOCL Credit Card (INR)",F401="HDFC Swiggy Credit Card (INR)",F401="Axis Airtel Credit Card (INR)"),"INR","GBP"))</f>
        <v/>
      </c>
      <c r="F401" s="26"/>
      <c r="G401" s="26"/>
      <c r="H401" s="34" t="n">
        <f aca="false">IF(G401="Yes","",D401)</f>
        <v>0</v>
      </c>
      <c r="I401" s="26"/>
      <c r="J401" s="26"/>
    </row>
    <row r="402" customFormat="false" ht="15" hidden="false" customHeight="false" outlineLevel="0" collapsed="false">
      <c r="A402" s="28"/>
      <c r="B402" s="26"/>
      <c r="C402" s="26"/>
      <c r="D402" s="32"/>
      <c r="E402" s="33" t="str">
        <f aca="false">IF(F402="","",IF(OR(F402="HDFC Bank (INR)",F402="HDFC IOCL Credit Card (INR)",F402="HDFC Swiggy Credit Card (INR)",F402="Axis Airtel Credit Card (INR)"),"INR","GBP"))</f>
        <v/>
      </c>
      <c r="F402" s="26"/>
      <c r="G402" s="26"/>
      <c r="H402" s="34" t="n">
        <f aca="false">IF(G402="Yes","",D402)</f>
        <v>0</v>
      </c>
      <c r="I402" s="26"/>
      <c r="J402" s="26"/>
    </row>
    <row r="403" customFormat="false" ht="15" hidden="false" customHeight="false" outlineLevel="0" collapsed="false">
      <c r="A403" s="28"/>
      <c r="B403" s="26"/>
      <c r="C403" s="26"/>
      <c r="D403" s="32"/>
      <c r="E403" s="33" t="str">
        <f aca="false">IF(F403="","",IF(OR(F403="HDFC Bank (INR)",F403="HDFC IOCL Credit Card (INR)",F403="HDFC Swiggy Credit Card (INR)",F403="Axis Airtel Credit Card (INR)"),"INR","GBP"))</f>
        <v/>
      </c>
      <c r="F403" s="26"/>
      <c r="G403" s="26"/>
      <c r="H403" s="34" t="n">
        <f aca="false">IF(G403="Yes","",D403)</f>
        <v>0</v>
      </c>
      <c r="I403" s="26"/>
      <c r="J403" s="26"/>
    </row>
    <row r="404" customFormat="false" ht="15" hidden="false" customHeight="false" outlineLevel="0" collapsed="false">
      <c r="A404" s="28"/>
      <c r="B404" s="26"/>
      <c r="C404" s="26"/>
      <c r="D404" s="32"/>
      <c r="E404" s="33" t="str">
        <f aca="false">IF(F404="","",IF(OR(F404="HDFC Bank (INR)",F404="HDFC IOCL Credit Card (INR)",F404="HDFC Swiggy Credit Card (INR)",F404="Axis Airtel Credit Card (INR)"),"INR","GBP"))</f>
        <v/>
      </c>
      <c r="F404" s="26"/>
      <c r="G404" s="26"/>
      <c r="H404" s="34" t="n">
        <f aca="false">IF(G404="Yes","",D404)</f>
        <v>0</v>
      </c>
      <c r="I404" s="26"/>
      <c r="J404" s="26"/>
    </row>
    <row r="405" customFormat="false" ht="15" hidden="false" customHeight="false" outlineLevel="0" collapsed="false">
      <c r="A405" s="28"/>
      <c r="B405" s="26"/>
      <c r="C405" s="26"/>
      <c r="D405" s="32"/>
      <c r="E405" s="33" t="str">
        <f aca="false">IF(F405="","",IF(OR(F405="HDFC Bank (INR)",F405="HDFC IOCL Credit Card (INR)",F405="HDFC Swiggy Credit Card (INR)",F405="Axis Airtel Credit Card (INR)"),"INR","GBP"))</f>
        <v/>
      </c>
      <c r="F405" s="26"/>
      <c r="G405" s="26"/>
      <c r="H405" s="34" t="n">
        <f aca="false">IF(G405="Yes","",D405)</f>
        <v>0</v>
      </c>
      <c r="I405" s="26"/>
      <c r="J405" s="26"/>
    </row>
    <row r="406" customFormat="false" ht="15" hidden="false" customHeight="false" outlineLevel="0" collapsed="false">
      <c r="A406" s="28"/>
      <c r="B406" s="26"/>
      <c r="C406" s="26"/>
      <c r="D406" s="32"/>
      <c r="E406" s="33" t="str">
        <f aca="false">IF(F406="","",IF(OR(F406="HDFC Bank (INR)",F406="HDFC IOCL Credit Card (INR)",F406="HDFC Swiggy Credit Card (INR)",F406="Axis Airtel Credit Card (INR)"),"INR","GBP"))</f>
        <v/>
      </c>
      <c r="F406" s="26"/>
      <c r="G406" s="26"/>
      <c r="H406" s="34" t="n">
        <f aca="false">IF(G406="Yes","",D406)</f>
        <v>0</v>
      </c>
      <c r="I406" s="26"/>
      <c r="J406" s="26"/>
    </row>
    <row r="407" customFormat="false" ht="15" hidden="false" customHeight="false" outlineLevel="0" collapsed="false">
      <c r="A407" s="28"/>
      <c r="B407" s="26"/>
      <c r="C407" s="26"/>
      <c r="D407" s="32"/>
      <c r="E407" s="33" t="str">
        <f aca="false">IF(F407="","",IF(OR(F407="HDFC Bank (INR)",F407="HDFC IOCL Credit Card (INR)",F407="HDFC Swiggy Credit Card (INR)",F407="Axis Airtel Credit Card (INR)"),"INR","GBP"))</f>
        <v/>
      </c>
      <c r="F407" s="26"/>
      <c r="G407" s="26"/>
      <c r="H407" s="34" t="n">
        <f aca="false">IF(G407="Yes","",D407)</f>
        <v>0</v>
      </c>
      <c r="I407" s="26"/>
      <c r="J407" s="26"/>
    </row>
    <row r="408" customFormat="false" ht="15" hidden="false" customHeight="false" outlineLevel="0" collapsed="false">
      <c r="A408" s="28"/>
      <c r="B408" s="26"/>
      <c r="C408" s="26"/>
      <c r="D408" s="32"/>
      <c r="E408" s="33" t="str">
        <f aca="false">IF(F408="","",IF(OR(F408="HDFC Bank (INR)",F408="HDFC IOCL Credit Card (INR)",F408="HDFC Swiggy Credit Card (INR)",F408="Axis Airtel Credit Card (INR)"),"INR","GBP"))</f>
        <v/>
      </c>
      <c r="F408" s="26"/>
      <c r="G408" s="26"/>
      <c r="H408" s="34" t="n">
        <f aca="false">IF(G408="Yes","",D408)</f>
        <v>0</v>
      </c>
      <c r="I408" s="26"/>
      <c r="J408" s="26"/>
    </row>
    <row r="409" customFormat="false" ht="15" hidden="false" customHeight="false" outlineLevel="0" collapsed="false">
      <c r="A409" s="28"/>
      <c r="B409" s="26"/>
      <c r="C409" s="26"/>
      <c r="D409" s="32"/>
      <c r="E409" s="33" t="str">
        <f aca="false">IF(F409="","",IF(OR(F409="HDFC Bank (INR)",F409="HDFC IOCL Credit Card (INR)",F409="HDFC Swiggy Credit Card (INR)",F409="Axis Airtel Credit Card (INR)"),"INR","GBP"))</f>
        <v/>
      </c>
      <c r="F409" s="26"/>
      <c r="G409" s="26"/>
      <c r="H409" s="34" t="n">
        <f aca="false">IF(G409="Yes","",D409)</f>
        <v>0</v>
      </c>
      <c r="I409" s="26"/>
      <c r="J409" s="26"/>
    </row>
    <row r="410" customFormat="false" ht="15" hidden="false" customHeight="false" outlineLevel="0" collapsed="false">
      <c r="A410" s="28"/>
      <c r="B410" s="26"/>
      <c r="C410" s="26"/>
      <c r="D410" s="32"/>
      <c r="E410" s="33" t="str">
        <f aca="false">IF(F410="","",IF(OR(F410="HDFC Bank (INR)",F410="HDFC IOCL Credit Card (INR)",F410="HDFC Swiggy Credit Card (INR)",F410="Axis Airtel Credit Card (INR)"),"INR","GBP"))</f>
        <v/>
      </c>
      <c r="F410" s="26"/>
      <c r="G410" s="26"/>
      <c r="H410" s="34" t="n">
        <f aca="false">IF(G410="Yes","",D410)</f>
        <v>0</v>
      </c>
      <c r="I410" s="26"/>
      <c r="J410" s="26"/>
    </row>
    <row r="411" customFormat="false" ht="15" hidden="false" customHeight="false" outlineLevel="0" collapsed="false">
      <c r="A411" s="28"/>
      <c r="B411" s="26"/>
      <c r="C411" s="26"/>
      <c r="D411" s="32"/>
      <c r="E411" s="33" t="str">
        <f aca="false">IF(F411="","",IF(OR(F411="HDFC Bank (INR)",F411="HDFC IOCL Credit Card (INR)",F411="HDFC Swiggy Credit Card (INR)",F411="Axis Airtel Credit Card (INR)"),"INR","GBP"))</f>
        <v/>
      </c>
      <c r="F411" s="26"/>
      <c r="G411" s="26"/>
      <c r="H411" s="34" t="n">
        <f aca="false">IF(G411="Yes","",D411)</f>
        <v>0</v>
      </c>
      <c r="I411" s="26"/>
      <c r="J411" s="26"/>
    </row>
    <row r="412" customFormat="false" ht="15" hidden="false" customHeight="false" outlineLevel="0" collapsed="false">
      <c r="A412" s="28"/>
      <c r="B412" s="26"/>
      <c r="C412" s="26"/>
      <c r="D412" s="32"/>
      <c r="E412" s="33" t="str">
        <f aca="false">IF(F412="","",IF(OR(F412="HDFC Bank (INR)",F412="HDFC IOCL Credit Card (INR)",F412="HDFC Swiggy Credit Card (INR)",F412="Axis Airtel Credit Card (INR)"),"INR","GBP"))</f>
        <v/>
      </c>
      <c r="F412" s="26"/>
      <c r="G412" s="26"/>
      <c r="H412" s="34" t="n">
        <f aca="false">IF(G412="Yes","",D412)</f>
        <v>0</v>
      </c>
      <c r="I412" s="26"/>
      <c r="J412" s="26"/>
    </row>
    <row r="413" customFormat="false" ht="15" hidden="false" customHeight="false" outlineLevel="0" collapsed="false">
      <c r="A413" s="28"/>
      <c r="B413" s="26"/>
      <c r="C413" s="26"/>
      <c r="D413" s="32"/>
      <c r="E413" s="33" t="str">
        <f aca="false">IF(F413="","",IF(OR(F413="HDFC Bank (INR)",F413="HDFC IOCL Credit Card (INR)",F413="HDFC Swiggy Credit Card (INR)",F413="Axis Airtel Credit Card (INR)"),"INR","GBP"))</f>
        <v/>
      </c>
      <c r="F413" s="26"/>
      <c r="G413" s="26"/>
      <c r="H413" s="34" t="n">
        <f aca="false">IF(G413="Yes","",D413)</f>
        <v>0</v>
      </c>
      <c r="I413" s="26"/>
      <c r="J413" s="26"/>
    </row>
    <row r="414" customFormat="false" ht="15" hidden="false" customHeight="false" outlineLevel="0" collapsed="false">
      <c r="A414" s="28"/>
      <c r="B414" s="26"/>
      <c r="C414" s="26"/>
      <c r="D414" s="32"/>
      <c r="E414" s="33" t="str">
        <f aca="false">IF(F414="","",IF(OR(F414="HDFC Bank (INR)",F414="HDFC IOCL Credit Card (INR)",F414="HDFC Swiggy Credit Card (INR)",F414="Axis Airtel Credit Card (INR)"),"INR","GBP"))</f>
        <v/>
      </c>
      <c r="F414" s="26"/>
      <c r="G414" s="26"/>
      <c r="H414" s="34" t="n">
        <f aca="false">IF(G414="Yes","",D414)</f>
        <v>0</v>
      </c>
      <c r="I414" s="26"/>
      <c r="J414" s="26"/>
    </row>
    <row r="415" customFormat="false" ht="15" hidden="false" customHeight="false" outlineLevel="0" collapsed="false">
      <c r="A415" s="28"/>
      <c r="B415" s="26"/>
      <c r="C415" s="26"/>
      <c r="D415" s="32"/>
      <c r="E415" s="33" t="str">
        <f aca="false">IF(F415="","",IF(OR(F415="HDFC Bank (INR)",F415="HDFC IOCL Credit Card (INR)",F415="HDFC Swiggy Credit Card (INR)",F415="Axis Airtel Credit Card (INR)"),"INR","GBP"))</f>
        <v/>
      </c>
      <c r="F415" s="26"/>
      <c r="G415" s="26"/>
      <c r="H415" s="34" t="n">
        <f aca="false">IF(G415="Yes","",D415)</f>
        <v>0</v>
      </c>
      <c r="I415" s="26"/>
      <c r="J415" s="26"/>
    </row>
    <row r="416" customFormat="false" ht="15" hidden="false" customHeight="false" outlineLevel="0" collapsed="false">
      <c r="A416" s="28"/>
      <c r="B416" s="26"/>
      <c r="C416" s="26"/>
      <c r="D416" s="32"/>
      <c r="E416" s="33" t="str">
        <f aca="false">IF(F416="","",IF(OR(F416="HDFC Bank (INR)",F416="HDFC IOCL Credit Card (INR)",F416="HDFC Swiggy Credit Card (INR)",F416="Axis Airtel Credit Card (INR)"),"INR","GBP"))</f>
        <v/>
      </c>
      <c r="F416" s="26"/>
      <c r="G416" s="26"/>
      <c r="H416" s="34" t="n">
        <f aca="false">IF(G416="Yes","",D416)</f>
        <v>0</v>
      </c>
      <c r="I416" s="26"/>
      <c r="J416" s="26"/>
    </row>
    <row r="417" customFormat="false" ht="15" hidden="false" customHeight="false" outlineLevel="0" collapsed="false">
      <c r="A417" s="28"/>
      <c r="B417" s="26"/>
      <c r="C417" s="26"/>
      <c r="D417" s="32"/>
      <c r="E417" s="33" t="str">
        <f aca="false">IF(F417="","",IF(OR(F417="HDFC Bank (INR)",F417="HDFC IOCL Credit Card (INR)",F417="HDFC Swiggy Credit Card (INR)",F417="Axis Airtel Credit Card (INR)"),"INR","GBP"))</f>
        <v/>
      </c>
      <c r="F417" s="26"/>
      <c r="G417" s="26"/>
      <c r="H417" s="34" t="n">
        <f aca="false">IF(G417="Yes","",D417)</f>
        <v>0</v>
      </c>
      <c r="I417" s="26"/>
      <c r="J417" s="26"/>
    </row>
    <row r="418" customFormat="false" ht="15" hidden="false" customHeight="false" outlineLevel="0" collapsed="false">
      <c r="A418" s="28"/>
      <c r="B418" s="26"/>
      <c r="C418" s="26"/>
      <c r="D418" s="32"/>
      <c r="E418" s="33" t="str">
        <f aca="false">IF(F418="","",IF(OR(F418="HDFC Bank (INR)",F418="HDFC IOCL Credit Card (INR)",F418="HDFC Swiggy Credit Card (INR)",F418="Axis Airtel Credit Card (INR)"),"INR","GBP"))</f>
        <v/>
      </c>
      <c r="F418" s="26"/>
      <c r="G418" s="26"/>
      <c r="H418" s="34" t="n">
        <f aca="false">IF(G418="Yes","",D418)</f>
        <v>0</v>
      </c>
      <c r="I418" s="26"/>
      <c r="J418" s="26"/>
    </row>
    <row r="419" customFormat="false" ht="15" hidden="false" customHeight="false" outlineLevel="0" collapsed="false">
      <c r="A419" s="28"/>
      <c r="B419" s="26"/>
      <c r="C419" s="26"/>
      <c r="D419" s="32"/>
      <c r="E419" s="33" t="str">
        <f aca="false">IF(F419="","",IF(OR(F419="HDFC Bank (INR)",F419="HDFC IOCL Credit Card (INR)",F419="HDFC Swiggy Credit Card (INR)",F419="Axis Airtel Credit Card (INR)"),"INR","GBP"))</f>
        <v/>
      </c>
      <c r="F419" s="26"/>
      <c r="G419" s="26"/>
      <c r="H419" s="34" t="n">
        <f aca="false">IF(G419="Yes","",D419)</f>
        <v>0</v>
      </c>
      <c r="I419" s="26"/>
      <c r="J419" s="26"/>
    </row>
    <row r="420" customFormat="false" ht="15" hidden="false" customHeight="false" outlineLevel="0" collapsed="false">
      <c r="A420" s="28"/>
      <c r="B420" s="26"/>
      <c r="C420" s="26"/>
      <c r="D420" s="32"/>
      <c r="E420" s="33" t="str">
        <f aca="false">IF(F420="","",IF(OR(F420="HDFC Bank (INR)",F420="HDFC IOCL Credit Card (INR)",F420="HDFC Swiggy Credit Card (INR)",F420="Axis Airtel Credit Card (INR)"),"INR","GBP"))</f>
        <v/>
      </c>
      <c r="F420" s="26"/>
      <c r="G420" s="26"/>
      <c r="H420" s="34" t="n">
        <f aca="false">IF(G420="Yes","",D420)</f>
        <v>0</v>
      </c>
      <c r="I420" s="26"/>
      <c r="J420" s="26"/>
    </row>
    <row r="421" customFormat="false" ht="15" hidden="false" customHeight="false" outlineLevel="0" collapsed="false">
      <c r="A421" s="28"/>
      <c r="B421" s="26"/>
      <c r="C421" s="26"/>
      <c r="D421" s="32"/>
      <c r="E421" s="33" t="str">
        <f aca="false">IF(F421="","",IF(OR(F421="HDFC Bank (INR)",F421="HDFC IOCL Credit Card (INR)",F421="HDFC Swiggy Credit Card (INR)",F421="Axis Airtel Credit Card (INR)"),"INR","GBP"))</f>
        <v/>
      </c>
      <c r="F421" s="26"/>
      <c r="G421" s="26"/>
      <c r="H421" s="34" t="n">
        <f aca="false">IF(G421="Yes","",D421)</f>
        <v>0</v>
      </c>
      <c r="I421" s="26"/>
      <c r="J421" s="26"/>
    </row>
    <row r="422" customFormat="false" ht="15" hidden="false" customHeight="false" outlineLevel="0" collapsed="false">
      <c r="A422" s="28"/>
      <c r="B422" s="26"/>
      <c r="C422" s="26"/>
      <c r="D422" s="32"/>
      <c r="E422" s="33" t="str">
        <f aca="false">IF(F422="","",IF(OR(F422="HDFC Bank (INR)",F422="HDFC IOCL Credit Card (INR)",F422="HDFC Swiggy Credit Card (INR)",F422="Axis Airtel Credit Card (INR)"),"INR","GBP"))</f>
        <v/>
      </c>
      <c r="F422" s="26"/>
      <c r="G422" s="26"/>
      <c r="H422" s="34" t="n">
        <f aca="false">IF(G422="Yes","",D422)</f>
        <v>0</v>
      </c>
      <c r="I422" s="26"/>
      <c r="J422" s="26"/>
    </row>
    <row r="423" customFormat="false" ht="15" hidden="false" customHeight="false" outlineLevel="0" collapsed="false">
      <c r="A423" s="28"/>
      <c r="B423" s="26"/>
      <c r="C423" s="26"/>
      <c r="D423" s="32"/>
      <c r="E423" s="33" t="str">
        <f aca="false">IF(F423="","",IF(OR(F423="HDFC Bank (INR)",F423="HDFC IOCL Credit Card (INR)",F423="HDFC Swiggy Credit Card (INR)",F423="Axis Airtel Credit Card (INR)"),"INR","GBP"))</f>
        <v/>
      </c>
      <c r="F423" s="26"/>
      <c r="G423" s="26"/>
      <c r="H423" s="34" t="n">
        <f aca="false">IF(G423="Yes","",D423)</f>
        <v>0</v>
      </c>
      <c r="I423" s="26"/>
      <c r="J423" s="26"/>
    </row>
    <row r="424" customFormat="false" ht="15" hidden="false" customHeight="false" outlineLevel="0" collapsed="false">
      <c r="A424" s="28"/>
      <c r="B424" s="26"/>
      <c r="C424" s="26"/>
      <c r="D424" s="32"/>
      <c r="E424" s="33" t="str">
        <f aca="false">IF(F424="","",IF(OR(F424="HDFC Bank (INR)",F424="HDFC IOCL Credit Card (INR)",F424="HDFC Swiggy Credit Card (INR)",F424="Axis Airtel Credit Card (INR)"),"INR","GBP"))</f>
        <v/>
      </c>
      <c r="F424" s="26"/>
      <c r="G424" s="26"/>
      <c r="H424" s="34" t="n">
        <f aca="false">IF(G424="Yes","",D424)</f>
        <v>0</v>
      </c>
      <c r="I424" s="26"/>
      <c r="J424" s="26"/>
    </row>
    <row r="425" customFormat="false" ht="15" hidden="false" customHeight="false" outlineLevel="0" collapsed="false">
      <c r="A425" s="28"/>
      <c r="B425" s="26"/>
      <c r="C425" s="26"/>
      <c r="D425" s="32"/>
      <c r="E425" s="33" t="str">
        <f aca="false">IF(F425="","",IF(OR(F425="HDFC Bank (INR)",F425="HDFC IOCL Credit Card (INR)",F425="HDFC Swiggy Credit Card (INR)",F425="Axis Airtel Credit Card (INR)"),"INR","GBP"))</f>
        <v/>
      </c>
      <c r="F425" s="26"/>
      <c r="G425" s="26"/>
      <c r="H425" s="34" t="n">
        <f aca="false">IF(G425="Yes","",D425)</f>
        <v>0</v>
      </c>
      <c r="I425" s="26"/>
      <c r="J425" s="26"/>
    </row>
    <row r="426" customFormat="false" ht="15" hidden="false" customHeight="false" outlineLevel="0" collapsed="false">
      <c r="A426" s="28"/>
      <c r="B426" s="26"/>
      <c r="C426" s="26"/>
      <c r="D426" s="32"/>
      <c r="E426" s="33" t="str">
        <f aca="false">IF(F426="","",IF(OR(F426="HDFC Bank (INR)",F426="HDFC IOCL Credit Card (INR)",F426="HDFC Swiggy Credit Card (INR)",F426="Axis Airtel Credit Card (INR)"),"INR","GBP"))</f>
        <v/>
      </c>
      <c r="F426" s="26"/>
      <c r="G426" s="26"/>
      <c r="H426" s="34" t="n">
        <f aca="false">IF(G426="Yes","",D426)</f>
        <v>0</v>
      </c>
      <c r="I426" s="26"/>
      <c r="J426" s="26"/>
    </row>
    <row r="427" customFormat="false" ht="15" hidden="false" customHeight="false" outlineLevel="0" collapsed="false">
      <c r="A427" s="28"/>
      <c r="B427" s="26"/>
      <c r="C427" s="26"/>
      <c r="D427" s="32"/>
      <c r="E427" s="33" t="str">
        <f aca="false">IF(F427="","",IF(OR(F427="HDFC Bank (INR)",F427="HDFC IOCL Credit Card (INR)",F427="HDFC Swiggy Credit Card (INR)",F427="Axis Airtel Credit Card (INR)"),"INR","GBP"))</f>
        <v/>
      </c>
      <c r="F427" s="26"/>
      <c r="G427" s="26"/>
      <c r="H427" s="34" t="n">
        <f aca="false">IF(G427="Yes","",D427)</f>
        <v>0</v>
      </c>
      <c r="I427" s="26"/>
      <c r="J427" s="26"/>
    </row>
    <row r="428" customFormat="false" ht="15" hidden="false" customHeight="false" outlineLevel="0" collapsed="false">
      <c r="A428" s="28"/>
      <c r="B428" s="26"/>
      <c r="C428" s="26"/>
      <c r="D428" s="32"/>
      <c r="E428" s="33" t="str">
        <f aca="false">IF(F428="","",IF(OR(F428="HDFC Bank (INR)",F428="HDFC IOCL Credit Card (INR)",F428="HDFC Swiggy Credit Card (INR)",F428="Axis Airtel Credit Card (INR)"),"INR","GBP"))</f>
        <v/>
      </c>
      <c r="F428" s="26"/>
      <c r="G428" s="26"/>
      <c r="H428" s="34" t="n">
        <f aca="false">IF(G428="Yes","",D428)</f>
        <v>0</v>
      </c>
      <c r="I428" s="26"/>
      <c r="J428" s="26"/>
    </row>
    <row r="429" customFormat="false" ht="15" hidden="false" customHeight="false" outlineLevel="0" collapsed="false">
      <c r="A429" s="28"/>
      <c r="B429" s="26"/>
      <c r="C429" s="26"/>
      <c r="D429" s="32"/>
      <c r="E429" s="33" t="str">
        <f aca="false">IF(F429="","",IF(OR(F429="HDFC Bank (INR)",F429="HDFC IOCL Credit Card (INR)",F429="HDFC Swiggy Credit Card (INR)",F429="Axis Airtel Credit Card (INR)"),"INR","GBP"))</f>
        <v/>
      </c>
      <c r="F429" s="26"/>
      <c r="G429" s="26"/>
      <c r="H429" s="34" t="n">
        <f aca="false">IF(G429="Yes","",D429)</f>
        <v>0</v>
      </c>
      <c r="I429" s="26"/>
      <c r="J429" s="26"/>
    </row>
    <row r="430" customFormat="false" ht="15" hidden="false" customHeight="false" outlineLevel="0" collapsed="false">
      <c r="A430" s="28"/>
      <c r="B430" s="26"/>
      <c r="C430" s="26"/>
      <c r="D430" s="32"/>
      <c r="E430" s="33" t="str">
        <f aca="false">IF(F430="","",IF(OR(F430="HDFC Bank (INR)",F430="HDFC IOCL Credit Card (INR)",F430="HDFC Swiggy Credit Card (INR)",F430="Axis Airtel Credit Card (INR)"),"INR","GBP"))</f>
        <v/>
      </c>
      <c r="F430" s="26"/>
      <c r="G430" s="26"/>
      <c r="H430" s="34" t="n">
        <f aca="false">IF(G430="Yes","",D430)</f>
        <v>0</v>
      </c>
      <c r="I430" s="26"/>
      <c r="J430" s="26"/>
    </row>
    <row r="431" customFormat="false" ht="15" hidden="false" customHeight="false" outlineLevel="0" collapsed="false">
      <c r="A431" s="28"/>
      <c r="B431" s="26"/>
      <c r="C431" s="26"/>
      <c r="D431" s="32"/>
      <c r="E431" s="33" t="str">
        <f aca="false">IF(F431="","",IF(OR(F431="HDFC Bank (INR)",F431="HDFC IOCL Credit Card (INR)",F431="HDFC Swiggy Credit Card (INR)",F431="Axis Airtel Credit Card (INR)"),"INR","GBP"))</f>
        <v/>
      </c>
      <c r="F431" s="26"/>
      <c r="G431" s="26"/>
      <c r="H431" s="34" t="n">
        <f aca="false">IF(G431="Yes","",D431)</f>
        <v>0</v>
      </c>
      <c r="I431" s="26"/>
      <c r="J431" s="26"/>
    </row>
    <row r="432" customFormat="false" ht="15" hidden="false" customHeight="false" outlineLevel="0" collapsed="false">
      <c r="A432" s="28"/>
      <c r="B432" s="26"/>
      <c r="C432" s="26"/>
      <c r="D432" s="32"/>
      <c r="E432" s="33" t="str">
        <f aca="false">IF(F432="","",IF(OR(F432="HDFC Bank (INR)",F432="HDFC IOCL Credit Card (INR)",F432="HDFC Swiggy Credit Card (INR)",F432="Axis Airtel Credit Card (INR)"),"INR","GBP"))</f>
        <v/>
      </c>
      <c r="F432" s="26"/>
      <c r="G432" s="26"/>
      <c r="H432" s="34" t="n">
        <f aca="false">IF(G432="Yes","",D432)</f>
        <v>0</v>
      </c>
      <c r="I432" s="26"/>
      <c r="J432" s="26"/>
    </row>
    <row r="433" customFormat="false" ht="15" hidden="false" customHeight="false" outlineLevel="0" collapsed="false">
      <c r="A433" s="28"/>
      <c r="B433" s="26"/>
      <c r="C433" s="26"/>
      <c r="D433" s="32"/>
      <c r="E433" s="33" t="str">
        <f aca="false">IF(F433="","",IF(OR(F433="HDFC Bank (INR)",F433="HDFC IOCL Credit Card (INR)",F433="HDFC Swiggy Credit Card (INR)",F433="Axis Airtel Credit Card (INR)"),"INR","GBP"))</f>
        <v/>
      </c>
      <c r="F433" s="26"/>
      <c r="G433" s="26"/>
      <c r="H433" s="34" t="n">
        <f aca="false">IF(G433="Yes","",D433)</f>
        <v>0</v>
      </c>
      <c r="I433" s="26"/>
      <c r="J433" s="26"/>
    </row>
    <row r="434" customFormat="false" ht="15" hidden="false" customHeight="false" outlineLevel="0" collapsed="false">
      <c r="A434" s="28"/>
      <c r="B434" s="26"/>
      <c r="C434" s="26"/>
      <c r="D434" s="32"/>
      <c r="E434" s="33" t="str">
        <f aca="false">IF(F434="","",IF(OR(F434="HDFC Bank (INR)",F434="HDFC IOCL Credit Card (INR)",F434="HDFC Swiggy Credit Card (INR)",F434="Axis Airtel Credit Card (INR)"),"INR","GBP"))</f>
        <v/>
      </c>
      <c r="F434" s="26"/>
      <c r="G434" s="26"/>
      <c r="H434" s="34" t="n">
        <f aca="false">IF(G434="Yes","",D434)</f>
        <v>0</v>
      </c>
      <c r="I434" s="26"/>
      <c r="J434" s="26"/>
    </row>
    <row r="435" customFormat="false" ht="15" hidden="false" customHeight="false" outlineLevel="0" collapsed="false">
      <c r="A435" s="28"/>
      <c r="B435" s="26"/>
      <c r="C435" s="26"/>
      <c r="D435" s="32"/>
      <c r="E435" s="33" t="str">
        <f aca="false">IF(F435="","",IF(OR(F435="HDFC Bank (INR)",F435="HDFC IOCL Credit Card (INR)",F435="HDFC Swiggy Credit Card (INR)",F435="Axis Airtel Credit Card (INR)"),"INR","GBP"))</f>
        <v/>
      </c>
      <c r="F435" s="26"/>
      <c r="G435" s="26"/>
      <c r="H435" s="34" t="n">
        <f aca="false">IF(G435="Yes","",D435)</f>
        <v>0</v>
      </c>
      <c r="I435" s="26"/>
      <c r="J435" s="26"/>
    </row>
    <row r="436" customFormat="false" ht="15" hidden="false" customHeight="false" outlineLevel="0" collapsed="false">
      <c r="A436" s="28"/>
      <c r="B436" s="26"/>
      <c r="C436" s="26"/>
      <c r="D436" s="32"/>
      <c r="E436" s="33" t="str">
        <f aca="false">IF(F436="","",IF(OR(F436="HDFC Bank (INR)",F436="HDFC IOCL Credit Card (INR)",F436="HDFC Swiggy Credit Card (INR)",F436="Axis Airtel Credit Card (INR)"),"INR","GBP"))</f>
        <v/>
      </c>
      <c r="F436" s="26"/>
      <c r="G436" s="26"/>
      <c r="H436" s="34" t="n">
        <f aca="false">IF(G436="Yes","",D436)</f>
        <v>0</v>
      </c>
      <c r="I436" s="26"/>
      <c r="J436" s="26"/>
    </row>
    <row r="437" customFormat="false" ht="15" hidden="false" customHeight="false" outlineLevel="0" collapsed="false">
      <c r="A437" s="28"/>
      <c r="B437" s="26"/>
      <c r="C437" s="26"/>
      <c r="D437" s="32"/>
      <c r="E437" s="33" t="str">
        <f aca="false">IF(F437="","",IF(OR(F437="HDFC Bank (INR)",F437="HDFC IOCL Credit Card (INR)",F437="HDFC Swiggy Credit Card (INR)",F437="Axis Airtel Credit Card (INR)"),"INR","GBP"))</f>
        <v/>
      </c>
      <c r="F437" s="26"/>
      <c r="G437" s="26"/>
      <c r="H437" s="34" t="n">
        <f aca="false">IF(G437="Yes","",D437)</f>
        <v>0</v>
      </c>
      <c r="I437" s="26"/>
      <c r="J437" s="26"/>
    </row>
    <row r="438" customFormat="false" ht="15" hidden="false" customHeight="false" outlineLevel="0" collapsed="false">
      <c r="A438" s="28"/>
      <c r="B438" s="26"/>
      <c r="C438" s="26"/>
      <c r="D438" s="32"/>
      <c r="E438" s="33" t="str">
        <f aca="false">IF(F438="","",IF(OR(F438="HDFC Bank (INR)",F438="HDFC IOCL Credit Card (INR)",F438="HDFC Swiggy Credit Card (INR)",F438="Axis Airtel Credit Card (INR)"),"INR","GBP"))</f>
        <v/>
      </c>
      <c r="F438" s="26"/>
      <c r="G438" s="26"/>
      <c r="H438" s="34" t="n">
        <f aca="false">IF(G438="Yes","",D438)</f>
        <v>0</v>
      </c>
      <c r="I438" s="26"/>
      <c r="J438" s="26"/>
    </row>
    <row r="439" customFormat="false" ht="15" hidden="false" customHeight="false" outlineLevel="0" collapsed="false">
      <c r="A439" s="28"/>
      <c r="B439" s="26"/>
      <c r="C439" s="26"/>
      <c r="D439" s="32"/>
      <c r="E439" s="33" t="str">
        <f aca="false">IF(F439="","",IF(OR(F439="HDFC Bank (INR)",F439="HDFC IOCL Credit Card (INR)",F439="HDFC Swiggy Credit Card (INR)",F439="Axis Airtel Credit Card (INR)"),"INR","GBP"))</f>
        <v/>
      </c>
      <c r="F439" s="26"/>
      <c r="G439" s="26"/>
      <c r="H439" s="34" t="n">
        <f aca="false">IF(G439="Yes","",D439)</f>
        <v>0</v>
      </c>
      <c r="I439" s="26"/>
      <c r="J439" s="26"/>
    </row>
    <row r="440" customFormat="false" ht="15" hidden="false" customHeight="false" outlineLevel="0" collapsed="false">
      <c r="A440" s="28"/>
      <c r="B440" s="26"/>
      <c r="C440" s="26"/>
      <c r="D440" s="32"/>
      <c r="E440" s="33" t="str">
        <f aca="false">IF(F440="","",IF(OR(F440="HDFC Bank (INR)",F440="HDFC IOCL Credit Card (INR)",F440="HDFC Swiggy Credit Card (INR)",F440="Axis Airtel Credit Card (INR)"),"INR","GBP"))</f>
        <v/>
      </c>
      <c r="F440" s="26"/>
      <c r="G440" s="26"/>
      <c r="H440" s="34" t="n">
        <f aca="false">IF(G440="Yes","",D440)</f>
        <v>0</v>
      </c>
      <c r="I440" s="26"/>
      <c r="J440" s="26"/>
    </row>
    <row r="441" customFormat="false" ht="15" hidden="false" customHeight="false" outlineLevel="0" collapsed="false">
      <c r="A441" s="28"/>
      <c r="B441" s="26"/>
      <c r="C441" s="26"/>
      <c r="D441" s="32"/>
      <c r="E441" s="33" t="str">
        <f aca="false">IF(F441="","",IF(OR(F441="HDFC Bank (INR)",F441="HDFC IOCL Credit Card (INR)",F441="HDFC Swiggy Credit Card (INR)",F441="Axis Airtel Credit Card (INR)"),"INR","GBP"))</f>
        <v/>
      </c>
      <c r="F441" s="26"/>
      <c r="G441" s="26"/>
      <c r="H441" s="34" t="n">
        <f aca="false">IF(G441="Yes","",D441)</f>
        <v>0</v>
      </c>
      <c r="I441" s="26"/>
      <c r="J441" s="26"/>
    </row>
    <row r="442" customFormat="false" ht="15" hidden="false" customHeight="false" outlineLevel="0" collapsed="false">
      <c r="A442" s="28"/>
      <c r="B442" s="26"/>
      <c r="C442" s="26"/>
      <c r="D442" s="32"/>
      <c r="E442" s="33" t="str">
        <f aca="false">IF(F442="","",IF(OR(F442="HDFC Bank (INR)",F442="HDFC IOCL Credit Card (INR)",F442="HDFC Swiggy Credit Card (INR)",F442="Axis Airtel Credit Card (INR)"),"INR","GBP"))</f>
        <v/>
      </c>
      <c r="F442" s="26"/>
      <c r="G442" s="26"/>
      <c r="H442" s="34" t="n">
        <f aca="false">IF(G442="Yes","",D442)</f>
        <v>0</v>
      </c>
      <c r="I442" s="26"/>
      <c r="J442" s="26"/>
    </row>
    <row r="443" customFormat="false" ht="15" hidden="false" customHeight="false" outlineLevel="0" collapsed="false">
      <c r="A443" s="28"/>
      <c r="B443" s="26"/>
      <c r="C443" s="26"/>
      <c r="D443" s="32"/>
      <c r="E443" s="33" t="str">
        <f aca="false">IF(F443="","",IF(OR(F443="HDFC Bank (INR)",F443="HDFC IOCL Credit Card (INR)",F443="HDFC Swiggy Credit Card (INR)",F443="Axis Airtel Credit Card (INR)"),"INR","GBP"))</f>
        <v/>
      </c>
      <c r="F443" s="26"/>
      <c r="G443" s="26"/>
      <c r="H443" s="34" t="n">
        <f aca="false">IF(G443="Yes","",D443)</f>
        <v>0</v>
      </c>
      <c r="I443" s="26"/>
      <c r="J443" s="26"/>
    </row>
    <row r="444" customFormat="false" ht="15" hidden="false" customHeight="false" outlineLevel="0" collapsed="false">
      <c r="A444" s="28"/>
      <c r="B444" s="26"/>
      <c r="C444" s="26"/>
      <c r="D444" s="32"/>
      <c r="E444" s="33" t="str">
        <f aca="false">IF(F444="","",IF(OR(F444="HDFC Bank (INR)",F444="HDFC IOCL Credit Card (INR)",F444="HDFC Swiggy Credit Card (INR)",F444="Axis Airtel Credit Card (INR)"),"INR","GBP"))</f>
        <v/>
      </c>
      <c r="F444" s="26"/>
      <c r="G444" s="26"/>
      <c r="H444" s="34" t="n">
        <f aca="false">IF(G444="Yes","",D444)</f>
        <v>0</v>
      </c>
      <c r="I444" s="26"/>
      <c r="J444" s="26"/>
    </row>
    <row r="445" customFormat="false" ht="15" hidden="false" customHeight="false" outlineLevel="0" collapsed="false">
      <c r="A445" s="28"/>
      <c r="B445" s="26"/>
      <c r="C445" s="26"/>
      <c r="D445" s="32"/>
      <c r="E445" s="33" t="str">
        <f aca="false">IF(F445="","",IF(OR(F445="HDFC Bank (INR)",F445="HDFC IOCL Credit Card (INR)",F445="HDFC Swiggy Credit Card (INR)",F445="Axis Airtel Credit Card (INR)"),"INR","GBP"))</f>
        <v/>
      </c>
      <c r="F445" s="26"/>
      <c r="G445" s="26"/>
      <c r="H445" s="34" t="n">
        <f aca="false">IF(G445="Yes","",D445)</f>
        <v>0</v>
      </c>
      <c r="I445" s="26"/>
      <c r="J445" s="26"/>
    </row>
    <row r="446" customFormat="false" ht="15" hidden="false" customHeight="false" outlineLevel="0" collapsed="false">
      <c r="A446" s="28"/>
      <c r="B446" s="26"/>
      <c r="C446" s="26"/>
      <c r="D446" s="32"/>
      <c r="E446" s="33" t="str">
        <f aca="false">IF(F446="","",IF(OR(F446="HDFC Bank (INR)",F446="HDFC IOCL Credit Card (INR)",F446="HDFC Swiggy Credit Card (INR)",F446="Axis Airtel Credit Card (INR)"),"INR","GBP"))</f>
        <v/>
      </c>
      <c r="F446" s="26"/>
      <c r="G446" s="26"/>
      <c r="H446" s="34" t="n">
        <f aca="false">IF(G446="Yes","",D446)</f>
        <v>0</v>
      </c>
      <c r="I446" s="26"/>
      <c r="J446" s="26"/>
    </row>
    <row r="447" customFormat="false" ht="15" hidden="false" customHeight="false" outlineLevel="0" collapsed="false">
      <c r="A447" s="28"/>
      <c r="B447" s="26"/>
      <c r="C447" s="26"/>
      <c r="D447" s="32"/>
      <c r="E447" s="33" t="str">
        <f aca="false">IF(F447="","",IF(OR(F447="HDFC Bank (INR)",F447="HDFC IOCL Credit Card (INR)",F447="HDFC Swiggy Credit Card (INR)",F447="Axis Airtel Credit Card (INR)"),"INR","GBP"))</f>
        <v/>
      </c>
      <c r="F447" s="26"/>
      <c r="G447" s="26"/>
      <c r="H447" s="34" t="n">
        <f aca="false">IF(G447="Yes","",D447)</f>
        <v>0</v>
      </c>
      <c r="I447" s="26"/>
      <c r="J447" s="26"/>
    </row>
    <row r="448" customFormat="false" ht="15" hidden="false" customHeight="false" outlineLevel="0" collapsed="false">
      <c r="A448" s="28"/>
      <c r="B448" s="26"/>
      <c r="C448" s="26"/>
      <c r="D448" s="32"/>
      <c r="E448" s="33" t="str">
        <f aca="false">IF(F448="","",IF(OR(F448="HDFC Bank (INR)",F448="HDFC IOCL Credit Card (INR)",F448="HDFC Swiggy Credit Card (INR)",F448="Axis Airtel Credit Card (INR)"),"INR","GBP"))</f>
        <v/>
      </c>
      <c r="F448" s="26"/>
      <c r="G448" s="26"/>
      <c r="H448" s="34" t="n">
        <f aca="false">IF(G448="Yes","",D448)</f>
        <v>0</v>
      </c>
      <c r="I448" s="26"/>
      <c r="J448" s="26"/>
    </row>
    <row r="449" customFormat="false" ht="15" hidden="false" customHeight="false" outlineLevel="0" collapsed="false">
      <c r="A449" s="28"/>
      <c r="B449" s="26"/>
      <c r="C449" s="26"/>
      <c r="D449" s="32"/>
      <c r="E449" s="33" t="str">
        <f aca="false">IF(F449="","",IF(OR(F449="HDFC Bank (INR)",F449="HDFC IOCL Credit Card (INR)",F449="HDFC Swiggy Credit Card (INR)",F449="Axis Airtel Credit Card (INR)"),"INR","GBP"))</f>
        <v/>
      </c>
      <c r="F449" s="26"/>
      <c r="G449" s="26"/>
      <c r="H449" s="34" t="n">
        <f aca="false">IF(G449="Yes","",D449)</f>
        <v>0</v>
      </c>
      <c r="I449" s="26"/>
      <c r="J449" s="26"/>
    </row>
    <row r="450" customFormat="false" ht="15" hidden="false" customHeight="false" outlineLevel="0" collapsed="false">
      <c r="A450" s="28"/>
      <c r="B450" s="26"/>
      <c r="C450" s="26"/>
      <c r="D450" s="32"/>
      <c r="E450" s="33" t="str">
        <f aca="false">IF(F450="","",IF(OR(F450="HDFC Bank (INR)",F450="HDFC IOCL Credit Card (INR)",F450="HDFC Swiggy Credit Card (INR)",F450="Axis Airtel Credit Card (INR)"),"INR","GBP"))</f>
        <v/>
      </c>
      <c r="F450" s="26"/>
      <c r="G450" s="26"/>
      <c r="H450" s="34" t="n">
        <f aca="false">IF(G450="Yes","",D450)</f>
        <v>0</v>
      </c>
      <c r="I450" s="26"/>
      <c r="J450" s="26"/>
    </row>
    <row r="451" customFormat="false" ht="15" hidden="false" customHeight="false" outlineLevel="0" collapsed="false">
      <c r="A451" s="28"/>
      <c r="B451" s="26"/>
      <c r="C451" s="26"/>
      <c r="D451" s="32"/>
      <c r="E451" s="33" t="str">
        <f aca="false">IF(F451="","",IF(OR(F451="HDFC Bank (INR)",F451="HDFC IOCL Credit Card (INR)",F451="HDFC Swiggy Credit Card (INR)",F451="Axis Airtel Credit Card (INR)"),"INR","GBP"))</f>
        <v/>
      </c>
      <c r="F451" s="26"/>
      <c r="G451" s="26"/>
      <c r="H451" s="34" t="n">
        <f aca="false">IF(G451="Yes","",D451)</f>
        <v>0</v>
      </c>
      <c r="I451" s="26"/>
      <c r="J451" s="26"/>
    </row>
    <row r="452" customFormat="false" ht="15" hidden="false" customHeight="false" outlineLevel="0" collapsed="false">
      <c r="A452" s="28"/>
      <c r="B452" s="26"/>
      <c r="C452" s="26"/>
      <c r="D452" s="32"/>
      <c r="E452" s="33" t="str">
        <f aca="false">IF(F452="","",IF(OR(F452="HDFC Bank (INR)",F452="HDFC IOCL Credit Card (INR)",F452="HDFC Swiggy Credit Card (INR)",F452="Axis Airtel Credit Card (INR)"),"INR","GBP"))</f>
        <v/>
      </c>
      <c r="F452" s="26"/>
      <c r="G452" s="26"/>
      <c r="H452" s="34" t="n">
        <f aca="false">IF(G452="Yes","",D452)</f>
        <v>0</v>
      </c>
      <c r="I452" s="26"/>
      <c r="J452" s="26"/>
    </row>
    <row r="453" customFormat="false" ht="15" hidden="false" customHeight="false" outlineLevel="0" collapsed="false">
      <c r="A453" s="28"/>
      <c r="B453" s="26"/>
      <c r="C453" s="26"/>
      <c r="D453" s="32"/>
      <c r="E453" s="33" t="str">
        <f aca="false">IF(F453="","",IF(OR(F453="HDFC Bank (INR)",F453="HDFC IOCL Credit Card (INR)",F453="HDFC Swiggy Credit Card (INR)",F453="Axis Airtel Credit Card (INR)"),"INR","GBP"))</f>
        <v/>
      </c>
      <c r="F453" s="26"/>
      <c r="G453" s="26"/>
      <c r="H453" s="34" t="n">
        <f aca="false">IF(G453="Yes","",D453)</f>
        <v>0</v>
      </c>
      <c r="I453" s="26"/>
      <c r="J453" s="26"/>
    </row>
    <row r="454" customFormat="false" ht="15" hidden="false" customHeight="false" outlineLevel="0" collapsed="false">
      <c r="A454" s="28"/>
      <c r="B454" s="26"/>
      <c r="C454" s="26"/>
      <c r="D454" s="32"/>
      <c r="E454" s="33" t="str">
        <f aca="false">IF(F454="","",IF(OR(F454="HDFC Bank (INR)",F454="HDFC IOCL Credit Card (INR)",F454="HDFC Swiggy Credit Card (INR)",F454="Axis Airtel Credit Card (INR)"),"INR","GBP"))</f>
        <v/>
      </c>
      <c r="F454" s="26"/>
      <c r="G454" s="26"/>
      <c r="H454" s="34" t="n">
        <f aca="false">IF(G454="Yes","",D454)</f>
        <v>0</v>
      </c>
      <c r="I454" s="26"/>
      <c r="J454" s="26"/>
    </row>
    <row r="455" customFormat="false" ht="15" hidden="false" customHeight="false" outlineLevel="0" collapsed="false">
      <c r="A455" s="28"/>
      <c r="B455" s="26"/>
      <c r="C455" s="26"/>
      <c r="D455" s="32"/>
      <c r="E455" s="33" t="str">
        <f aca="false">IF(F455="","",IF(OR(F455="HDFC Bank (INR)",F455="HDFC IOCL Credit Card (INR)",F455="HDFC Swiggy Credit Card (INR)",F455="Axis Airtel Credit Card (INR)"),"INR","GBP"))</f>
        <v/>
      </c>
      <c r="F455" s="26"/>
      <c r="G455" s="26"/>
      <c r="H455" s="34" t="n">
        <f aca="false">IF(G455="Yes","",D455)</f>
        <v>0</v>
      </c>
      <c r="I455" s="26"/>
      <c r="J455" s="26"/>
    </row>
    <row r="456" customFormat="false" ht="15" hidden="false" customHeight="false" outlineLevel="0" collapsed="false">
      <c r="A456" s="28"/>
      <c r="B456" s="26"/>
      <c r="C456" s="26"/>
      <c r="D456" s="32"/>
      <c r="E456" s="33" t="str">
        <f aca="false">IF(F456="","",IF(OR(F456="HDFC Bank (INR)",F456="HDFC IOCL Credit Card (INR)",F456="HDFC Swiggy Credit Card (INR)",F456="Axis Airtel Credit Card (INR)"),"INR","GBP"))</f>
        <v/>
      </c>
      <c r="F456" s="26"/>
      <c r="G456" s="26"/>
      <c r="H456" s="34" t="n">
        <f aca="false">IF(G456="Yes","",D456)</f>
        <v>0</v>
      </c>
      <c r="I456" s="26"/>
      <c r="J456" s="26"/>
    </row>
    <row r="457" customFormat="false" ht="15" hidden="false" customHeight="false" outlineLevel="0" collapsed="false">
      <c r="A457" s="28"/>
      <c r="B457" s="26"/>
      <c r="C457" s="26"/>
      <c r="D457" s="32"/>
      <c r="E457" s="33" t="str">
        <f aca="false">IF(F457="","",IF(OR(F457="HDFC Bank (INR)",F457="HDFC IOCL Credit Card (INR)",F457="HDFC Swiggy Credit Card (INR)",F457="Axis Airtel Credit Card (INR)"),"INR","GBP"))</f>
        <v/>
      </c>
      <c r="F457" s="26"/>
      <c r="G457" s="26"/>
      <c r="H457" s="34" t="n">
        <f aca="false">IF(G457="Yes","",D457)</f>
        <v>0</v>
      </c>
      <c r="I457" s="26"/>
      <c r="J457" s="26"/>
    </row>
    <row r="458" customFormat="false" ht="15" hidden="false" customHeight="false" outlineLevel="0" collapsed="false">
      <c r="A458" s="28"/>
      <c r="B458" s="26"/>
      <c r="C458" s="26"/>
      <c r="D458" s="32"/>
      <c r="E458" s="33" t="str">
        <f aca="false">IF(F458="","",IF(OR(F458="HDFC Bank (INR)",F458="HDFC IOCL Credit Card (INR)",F458="HDFC Swiggy Credit Card (INR)",F458="Axis Airtel Credit Card (INR)"),"INR","GBP"))</f>
        <v/>
      </c>
      <c r="F458" s="26"/>
      <c r="G458" s="26"/>
      <c r="H458" s="34" t="n">
        <f aca="false">IF(G458="Yes","",D458)</f>
        <v>0</v>
      </c>
      <c r="I458" s="26"/>
      <c r="J458" s="26"/>
    </row>
    <row r="459" customFormat="false" ht="15" hidden="false" customHeight="false" outlineLevel="0" collapsed="false">
      <c r="A459" s="28"/>
      <c r="B459" s="26"/>
      <c r="C459" s="26"/>
      <c r="D459" s="32"/>
      <c r="E459" s="33" t="str">
        <f aca="false">IF(F459="","",IF(OR(F459="HDFC Bank (INR)",F459="HDFC IOCL Credit Card (INR)",F459="HDFC Swiggy Credit Card (INR)",F459="Axis Airtel Credit Card (INR)"),"INR","GBP"))</f>
        <v/>
      </c>
      <c r="F459" s="26"/>
      <c r="G459" s="26"/>
      <c r="H459" s="34" t="n">
        <f aca="false">IF(G459="Yes","",D459)</f>
        <v>0</v>
      </c>
      <c r="I459" s="26"/>
      <c r="J459" s="26"/>
    </row>
    <row r="460" customFormat="false" ht="15" hidden="false" customHeight="false" outlineLevel="0" collapsed="false">
      <c r="A460" s="28"/>
      <c r="B460" s="26"/>
      <c r="C460" s="26"/>
      <c r="D460" s="32"/>
      <c r="E460" s="33" t="str">
        <f aca="false">IF(F460="","",IF(OR(F460="HDFC Bank (INR)",F460="HDFC IOCL Credit Card (INR)",F460="HDFC Swiggy Credit Card (INR)",F460="Axis Airtel Credit Card (INR)"),"INR","GBP"))</f>
        <v/>
      </c>
      <c r="F460" s="26"/>
      <c r="G460" s="26"/>
      <c r="H460" s="34" t="n">
        <f aca="false">IF(G460="Yes","",D460)</f>
        <v>0</v>
      </c>
      <c r="I460" s="26"/>
      <c r="J460" s="26"/>
    </row>
    <row r="461" customFormat="false" ht="15" hidden="false" customHeight="false" outlineLevel="0" collapsed="false">
      <c r="A461" s="28"/>
      <c r="B461" s="26"/>
      <c r="C461" s="26"/>
      <c r="D461" s="32"/>
      <c r="E461" s="33" t="str">
        <f aca="false">IF(F461="","",IF(OR(F461="HDFC Bank (INR)",F461="HDFC IOCL Credit Card (INR)",F461="HDFC Swiggy Credit Card (INR)",F461="Axis Airtel Credit Card (INR)"),"INR","GBP"))</f>
        <v/>
      </c>
      <c r="F461" s="26"/>
      <c r="G461" s="26"/>
      <c r="H461" s="34" t="n">
        <f aca="false">IF(G461="Yes","",D461)</f>
        <v>0</v>
      </c>
      <c r="I461" s="26"/>
      <c r="J461" s="26"/>
    </row>
    <row r="462" customFormat="false" ht="15" hidden="false" customHeight="false" outlineLevel="0" collapsed="false">
      <c r="A462" s="28"/>
      <c r="B462" s="26"/>
      <c r="C462" s="26"/>
      <c r="D462" s="32"/>
      <c r="E462" s="33" t="str">
        <f aca="false">IF(F462="","",IF(OR(F462="HDFC Bank (INR)",F462="HDFC IOCL Credit Card (INR)",F462="HDFC Swiggy Credit Card (INR)",F462="Axis Airtel Credit Card (INR)"),"INR","GBP"))</f>
        <v/>
      </c>
      <c r="F462" s="26"/>
      <c r="G462" s="26"/>
      <c r="H462" s="34" t="n">
        <f aca="false">IF(G462="Yes","",D462)</f>
        <v>0</v>
      </c>
      <c r="I462" s="26"/>
      <c r="J462" s="26"/>
    </row>
    <row r="463" customFormat="false" ht="15" hidden="false" customHeight="false" outlineLevel="0" collapsed="false">
      <c r="A463" s="28"/>
      <c r="B463" s="26"/>
      <c r="C463" s="26"/>
      <c r="D463" s="32"/>
      <c r="E463" s="33" t="str">
        <f aca="false">IF(F463="","",IF(OR(F463="HDFC Bank (INR)",F463="HDFC IOCL Credit Card (INR)",F463="HDFC Swiggy Credit Card (INR)",F463="Axis Airtel Credit Card (INR)"),"INR","GBP"))</f>
        <v/>
      </c>
      <c r="F463" s="26"/>
      <c r="G463" s="26"/>
      <c r="H463" s="34" t="n">
        <f aca="false">IF(G463="Yes","",D463)</f>
        <v>0</v>
      </c>
      <c r="I463" s="26"/>
      <c r="J463" s="26"/>
    </row>
    <row r="464" customFormat="false" ht="15" hidden="false" customHeight="false" outlineLevel="0" collapsed="false">
      <c r="A464" s="28"/>
      <c r="B464" s="26"/>
      <c r="C464" s="26"/>
      <c r="D464" s="32"/>
      <c r="E464" s="33" t="str">
        <f aca="false">IF(F464="","",IF(OR(F464="HDFC Bank (INR)",F464="HDFC IOCL Credit Card (INR)",F464="HDFC Swiggy Credit Card (INR)",F464="Axis Airtel Credit Card (INR)"),"INR","GBP"))</f>
        <v/>
      </c>
      <c r="F464" s="26"/>
      <c r="G464" s="26"/>
      <c r="H464" s="34" t="n">
        <f aca="false">IF(G464="Yes","",D464)</f>
        <v>0</v>
      </c>
      <c r="I464" s="26"/>
      <c r="J464" s="26"/>
    </row>
    <row r="465" customFormat="false" ht="15" hidden="false" customHeight="false" outlineLevel="0" collapsed="false">
      <c r="A465" s="28"/>
      <c r="B465" s="26"/>
      <c r="C465" s="26"/>
      <c r="D465" s="32"/>
      <c r="E465" s="33" t="str">
        <f aca="false">IF(F465="","",IF(OR(F465="HDFC Bank (INR)",F465="HDFC IOCL Credit Card (INR)",F465="HDFC Swiggy Credit Card (INR)",F465="Axis Airtel Credit Card (INR)"),"INR","GBP"))</f>
        <v/>
      </c>
      <c r="F465" s="26"/>
      <c r="G465" s="26"/>
      <c r="H465" s="34" t="n">
        <f aca="false">IF(G465="Yes","",D465)</f>
        <v>0</v>
      </c>
      <c r="I465" s="26"/>
      <c r="J465" s="26"/>
    </row>
    <row r="466" customFormat="false" ht="15" hidden="false" customHeight="false" outlineLevel="0" collapsed="false">
      <c r="A466" s="28"/>
      <c r="B466" s="26"/>
      <c r="C466" s="26"/>
      <c r="D466" s="32"/>
      <c r="E466" s="33" t="str">
        <f aca="false">IF(F466="","",IF(OR(F466="HDFC Bank (INR)",F466="HDFC IOCL Credit Card (INR)",F466="HDFC Swiggy Credit Card (INR)",F466="Axis Airtel Credit Card (INR)"),"INR","GBP"))</f>
        <v/>
      </c>
      <c r="F466" s="26"/>
      <c r="G466" s="26"/>
      <c r="H466" s="34" t="n">
        <f aca="false">IF(G466="Yes","",D466)</f>
        <v>0</v>
      </c>
      <c r="I466" s="26"/>
      <c r="J466" s="26"/>
    </row>
    <row r="467" customFormat="false" ht="15" hidden="false" customHeight="false" outlineLevel="0" collapsed="false">
      <c r="A467" s="28"/>
      <c r="B467" s="26"/>
      <c r="C467" s="26"/>
      <c r="D467" s="32"/>
      <c r="E467" s="33" t="str">
        <f aca="false">IF(F467="","",IF(OR(F467="HDFC Bank (INR)",F467="HDFC IOCL Credit Card (INR)",F467="HDFC Swiggy Credit Card (INR)",F467="Axis Airtel Credit Card (INR)"),"INR","GBP"))</f>
        <v/>
      </c>
      <c r="F467" s="26"/>
      <c r="G467" s="26"/>
      <c r="H467" s="34" t="n">
        <f aca="false">IF(G467="Yes","",D467)</f>
        <v>0</v>
      </c>
      <c r="I467" s="26"/>
      <c r="J467" s="26"/>
    </row>
    <row r="468" customFormat="false" ht="15" hidden="false" customHeight="false" outlineLevel="0" collapsed="false">
      <c r="A468" s="28"/>
      <c r="B468" s="26"/>
      <c r="C468" s="26"/>
      <c r="D468" s="32"/>
      <c r="E468" s="33" t="str">
        <f aca="false">IF(F468="","",IF(OR(F468="HDFC Bank (INR)",F468="HDFC IOCL Credit Card (INR)",F468="HDFC Swiggy Credit Card (INR)",F468="Axis Airtel Credit Card (INR)"),"INR","GBP"))</f>
        <v/>
      </c>
      <c r="F468" s="26"/>
      <c r="G468" s="26"/>
      <c r="H468" s="34" t="n">
        <f aca="false">IF(G468="Yes","",D468)</f>
        <v>0</v>
      </c>
      <c r="I468" s="26"/>
      <c r="J468" s="26"/>
    </row>
    <row r="469" customFormat="false" ht="15" hidden="false" customHeight="false" outlineLevel="0" collapsed="false">
      <c r="A469" s="28"/>
      <c r="B469" s="26"/>
      <c r="C469" s="26"/>
      <c r="D469" s="32"/>
      <c r="E469" s="33" t="str">
        <f aca="false">IF(F469="","",IF(OR(F469="HDFC Bank (INR)",F469="HDFC IOCL Credit Card (INR)",F469="HDFC Swiggy Credit Card (INR)",F469="Axis Airtel Credit Card (INR)"),"INR","GBP"))</f>
        <v/>
      </c>
      <c r="F469" s="26"/>
      <c r="G469" s="26"/>
      <c r="H469" s="34" t="n">
        <f aca="false">IF(G469="Yes","",D469)</f>
        <v>0</v>
      </c>
      <c r="I469" s="26"/>
      <c r="J469" s="26"/>
    </row>
    <row r="470" customFormat="false" ht="15" hidden="false" customHeight="false" outlineLevel="0" collapsed="false">
      <c r="A470" s="28"/>
      <c r="B470" s="26"/>
      <c r="C470" s="26"/>
      <c r="D470" s="32"/>
      <c r="E470" s="33" t="str">
        <f aca="false">IF(F470="","",IF(OR(F470="HDFC Bank (INR)",F470="HDFC IOCL Credit Card (INR)",F470="HDFC Swiggy Credit Card (INR)",F470="Axis Airtel Credit Card (INR)"),"INR","GBP"))</f>
        <v/>
      </c>
      <c r="F470" s="26"/>
      <c r="G470" s="26"/>
      <c r="H470" s="34" t="n">
        <f aca="false">IF(G470="Yes","",D470)</f>
        <v>0</v>
      </c>
      <c r="I470" s="26"/>
      <c r="J470" s="26"/>
    </row>
    <row r="471" customFormat="false" ht="15" hidden="false" customHeight="false" outlineLevel="0" collapsed="false">
      <c r="A471" s="28"/>
      <c r="B471" s="26"/>
      <c r="C471" s="26"/>
      <c r="D471" s="32"/>
      <c r="E471" s="33" t="str">
        <f aca="false">IF(F471="","",IF(OR(F471="HDFC Bank (INR)",F471="HDFC IOCL Credit Card (INR)",F471="HDFC Swiggy Credit Card (INR)",F471="Axis Airtel Credit Card (INR)"),"INR","GBP"))</f>
        <v/>
      </c>
      <c r="F471" s="26"/>
      <c r="G471" s="26"/>
      <c r="H471" s="34" t="n">
        <f aca="false">IF(G471="Yes","",D471)</f>
        <v>0</v>
      </c>
      <c r="I471" s="26"/>
      <c r="J471" s="26"/>
    </row>
    <row r="472" customFormat="false" ht="15" hidden="false" customHeight="false" outlineLevel="0" collapsed="false">
      <c r="A472" s="28"/>
      <c r="B472" s="26"/>
      <c r="C472" s="26"/>
      <c r="D472" s="32"/>
      <c r="E472" s="33" t="str">
        <f aca="false">IF(F472="","",IF(OR(F472="HDFC Bank (INR)",F472="HDFC IOCL Credit Card (INR)",F472="HDFC Swiggy Credit Card (INR)",F472="Axis Airtel Credit Card (INR)"),"INR","GBP"))</f>
        <v/>
      </c>
      <c r="F472" s="26"/>
      <c r="G472" s="26"/>
      <c r="H472" s="34" t="n">
        <f aca="false">IF(G472="Yes","",D472)</f>
        <v>0</v>
      </c>
      <c r="I472" s="26"/>
      <c r="J472" s="26"/>
    </row>
    <row r="473" customFormat="false" ht="15" hidden="false" customHeight="false" outlineLevel="0" collapsed="false">
      <c r="A473" s="28"/>
      <c r="B473" s="26"/>
      <c r="C473" s="26"/>
      <c r="D473" s="32"/>
      <c r="E473" s="33" t="str">
        <f aca="false">IF(F473="","",IF(OR(F473="HDFC Bank (INR)",F473="HDFC IOCL Credit Card (INR)",F473="HDFC Swiggy Credit Card (INR)",F473="Axis Airtel Credit Card (INR)"),"INR","GBP"))</f>
        <v/>
      </c>
      <c r="F473" s="26"/>
      <c r="G473" s="26"/>
      <c r="H473" s="34" t="n">
        <f aca="false">IF(G473="Yes","",D473)</f>
        <v>0</v>
      </c>
      <c r="I473" s="26"/>
      <c r="J473" s="26"/>
    </row>
    <row r="474" customFormat="false" ht="15" hidden="false" customHeight="false" outlineLevel="0" collapsed="false">
      <c r="A474" s="28"/>
      <c r="B474" s="26"/>
      <c r="C474" s="26"/>
      <c r="D474" s="32"/>
      <c r="E474" s="33" t="str">
        <f aca="false">IF(F474="","",IF(OR(F474="HDFC Bank (INR)",F474="HDFC IOCL Credit Card (INR)",F474="HDFC Swiggy Credit Card (INR)",F474="Axis Airtel Credit Card (INR)"),"INR","GBP"))</f>
        <v/>
      </c>
      <c r="F474" s="26"/>
      <c r="G474" s="26"/>
      <c r="H474" s="34" t="n">
        <f aca="false">IF(G474="Yes","",D474)</f>
        <v>0</v>
      </c>
      <c r="I474" s="26"/>
      <c r="J474" s="26"/>
    </row>
    <row r="475" customFormat="false" ht="15" hidden="false" customHeight="false" outlineLevel="0" collapsed="false">
      <c r="A475" s="28"/>
      <c r="B475" s="26"/>
      <c r="C475" s="26"/>
      <c r="D475" s="32"/>
      <c r="E475" s="33" t="str">
        <f aca="false">IF(F475="","",IF(OR(F475="HDFC Bank (INR)",F475="HDFC IOCL Credit Card (INR)",F475="HDFC Swiggy Credit Card (INR)",F475="Axis Airtel Credit Card (INR)"),"INR","GBP"))</f>
        <v/>
      </c>
      <c r="F475" s="26"/>
      <c r="G475" s="26"/>
      <c r="H475" s="34" t="n">
        <f aca="false">IF(G475="Yes","",D475)</f>
        <v>0</v>
      </c>
      <c r="I475" s="26"/>
      <c r="J475" s="26"/>
    </row>
    <row r="476" customFormat="false" ht="15" hidden="false" customHeight="false" outlineLevel="0" collapsed="false">
      <c r="A476" s="28"/>
      <c r="B476" s="26"/>
      <c r="C476" s="26"/>
      <c r="D476" s="32"/>
      <c r="E476" s="33" t="str">
        <f aca="false">IF(F476="","",IF(OR(F476="HDFC Bank (INR)",F476="HDFC IOCL Credit Card (INR)",F476="HDFC Swiggy Credit Card (INR)",F476="Axis Airtel Credit Card (INR)"),"INR","GBP"))</f>
        <v/>
      </c>
      <c r="F476" s="26"/>
      <c r="G476" s="26"/>
      <c r="H476" s="34" t="n">
        <f aca="false">IF(G476="Yes","",D476)</f>
        <v>0</v>
      </c>
      <c r="I476" s="26"/>
      <c r="J476" s="26"/>
    </row>
    <row r="477" customFormat="false" ht="15" hidden="false" customHeight="false" outlineLevel="0" collapsed="false">
      <c r="A477" s="28"/>
      <c r="B477" s="26"/>
      <c r="C477" s="26"/>
      <c r="D477" s="32"/>
      <c r="E477" s="33" t="str">
        <f aca="false">IF(F477="","",IF(OR(F477="HDFC Bank (INR)",F477="HDFC IOCL Credit Card (INR)",F477="HDFC Swiggy Credit Card (INR)",F477="Axis Airtel Credit Card (INR)"),"INR","GBP"))</f>
        <v/>
      </c>
      <c r="F477" s="26"/>
      <c r="G477" s="26"/>
      <c r="H477" s="34" t="n">
        <f aca="false">IF(G477="Yes","",D477)</f>
        <v>0</v>
      </c>
      <c r="I477" s="26"/>
      <c r="J477" s="26"/>
    </row>
    <row r="478" customFormat="false" ht="15" hidden="false" customHeight="false" outlineLevel="0" collapsed="false">
      <c r="A478" s="28"/>
      <c r="B478" s="26"/>
      <c r="C478" s="26"/>
      <c r="D478" s="32"/>
      <c r="E478" s="33" t="str">
        <f aca="false">IF(F478="","",IF(OR(F478="HDFC Bank (INR)",F478="HDFC IOCL Credit Card (INR)",F478="HDFC Swiggy Credit Card (INR)",F478="Axis Airtel Credit Card (INR)"),"INR","GBP"))</f>
        <v/>
      </c>
      <c r="F478" s="26"/>
      <c r="G478" s="26"/>
      <c r="H478" s="34" t="n">
        <f aca="false">IF(G478="Yes","",D478)</f>
        <v>0</v>
      </c>
      <c r="I478" s="26"/>
      <c r="J478" s="26"/>
    </row>
    <row r="479" customFormat="false" ht="15" hidden="false" customHeight="false" outlineLevel="0" collapsed="false">
      <c r="A479" s="28"/>
      <c r="B479" s="26"/>
      <c r="C479" s="26"/>
      <c r="D479" s="32"/>
      <c r="E479" s="33" t="str">
        <f aca="false">IF(F479="","",IF(OR(F479="HDFC Bank (INR)",F479="HDFC IOCL Credit Card (INR)",F479="HDFC Swiggy Credit Card (INR)",F479="Axis Airtel Credit Card (INR)"),"INR","GBP"))</f>
        <v/>
      </c>
      <c r="F479" s="26"/>
      <c r="G479" s="26"/>
      <c r="H479" s="34" t="n">
        <f aca="false">IF(G479="Yes","",D479)</f>
        <v>0</v>
      </c>
      <c r="I479" s="26"/>
      <c r="J479" s="26"/>
    </row>
    <row r="480" customFormat="false" ht="15" hidden="false" customHeight="false" outlineLevel="0" collapsed="false">
      <c r="A480" s="28"/>
      <c r="B480" s="26"/>
      <c r="C480" s="26"/>
      <c r="D480" s="32"/>
      <c r="E480" s="33" t="str">
        <f aca="false">IF(F480="","",IF(OR(F480="HDFC Bank (INR)",F480="HDFC IOCL Credit Card (INR)",F480="HDFC Swiggy Credit Card (INR)",F480="Axis Airtel Credit Card (INR)"),"INR","GBP"))</f>
        <v/>
      </c>
      <c r="F480" s="26"/>
      <c r="G480" s="26"/>
      <c r="H480" s="34" t="n">
        <f aca="false">IF(G480="Yes","",D480)</f>
        <v>0</v>
      </c>
      <c r="I480" s="26"/>
      <c r="J480" s="26"/>
    </row>
    <row r="481" customFormat="false" ht="15" hidden="false" customHeight="false" outlineLevel="0" collapsed="false">
      <c r="A481" s="28"/>
      <c r="B481" s="26"/>
      <c r="C481" s="26"/>
      <c r="D481" s="32"/>
      <c r="E481" s="33" t="str">
        <f aca="false">IF(F481="","",IF(OR(F481="HDFC Bank (INR)",F481="HDFC IOCL Credit Card (INR)",F481="HDFC Swiggy Credit Card (INR)",F481="Axis Airtel Credit Card (INR)"),"INR","GBP"))</f>
        <v/>
      </c>
      <c r="F481" s="26"/>
      <c r="G481" s="26"/>
      <c r="H481" s="34" t="n">
        <f aca="false">IF(G481="Yes","",D481)</f>
        <v>0</v>
      </c>
      <c r="I481" s="26"/>
      <c r="J481" s="26"/>
    </row>
    <row r="482" customFormat="false" ht="15" hidden="false" customHeight="false" outlineLevel="0" collapsed="false">
      <c r="A482" s="28"/>
      <c r="B482" s="26"/>
      <c r="C482" s="26"/>
      <c r="D482" s="32"/>
      <c r="E482" s="33" t="str">
        <f aca="false">IF(F482="","",IF(OR(F482="HDFC Bank (INR)",F482="HDFC IOCL Credit Card (INR)",F482="HDFC Swiggy Credit Card (INR)",F482="Axis Airtel Credit Card (INR)"),"INR","GBP"))</f>
        <v/>
      </c>
      <c r="F482" s="26"/>
      <c r="G482" s="26"/>
      <c r="H482" s="34" t="n">
        <f aca="false">IF(G482="Yes","",D482)</f>
        <v>0</v>
      </c>
      <c r="I482" s="26"/>
      <c r="J482" s="26"/>
    </row>
    <row r="483" customFormat="false" ht="15" hidden="false" customHeight="false" outlineLevel="0" collapsed="false">
      <c r="A483" s="28"/>
      <c r="B483" s="26"/>
      <c r="C483" s="26"/>
      <c r="D483" s="32"/>
      <c r="E483" s="33" t="str">
        <f aca="false">IF(F483="","",IF(OR(F483="HDFC Bank (INR)",F483="HDFC IOCL Credit Card (INR)",F483="HDFC Swiggy Credit Card (INR)",F483="Axis Airtel Credit Card (INR)"),"INR","GBP"))</f>
        <v/>
      </c>
      <c r="F483" s="26"/>
      <c r="G483" s="26"/>
      <c r="H483" s="34" t="n">
        <f aca="false">IF(G483="Yes","",D483)</f>
        <v>0</v>
      </c>
      <c r="I483" s="26"/>
      <c r="J483" s="26"/>
    </row>
    <row r="484" customFormat="false" ht="15" hidden="false" customHeight="false" outlineLevel="0" collapsed="false">
      <c r="A484" s="28"/>
      <c r="B484" s="26"/>
      <c r="C484" s="26"/>
      <c r="D484" s="32"/>
      <c r="E484" s="33" t="str">
        <f aca="false">IF(F484="","",IF(OR(F484="HDFC Bank (INR)",F484="HDFC IOCL Credit Card (INR)",F484="HDFC Swiggy Credit Card (INR)",F484="Axis Airtel Credit Card (INR)"),"INR","GBP"))</f>
        <v/>
      </c>
      <c r="F484" s="26"/>
      <c r="G484" s="26"/>
      <c r="H484" s="34" t="n">
        <f aca="false">IF(G484="Yes","",D484)</f>
        <v>0</v>
      </c>
      <c r="I484" s="26"/>
      <c r="J484" s="26"/>
    </row>
    <row r="485" customFormat="false" ht="15" hidden="false" customHeight="false" outlineLevel="0" collapsed="false">
      <c r="A485" s="28"/>
      <c r="B485" s="26"/>
      <c r="C485" s="26"/>
      <c r="D485" s="32"/>
      <c r="E485" s="33" t="str">
        <f aca="false">IF(F485="","",IF(OR(F485="HDFC Bank (INR)",F485="HDFC IOCL Credit Card (INR)",F485="HDFC Swiggy Credit Card (INR)",F485="Axis Airtel Credit Card (INR)"),"INR","GBP"))</f>
        <v/>
      </c>
      <c r="F485" s="26"/>
      <c r="G485" s="26"/>
      <c r="H485" s="34" t="n">
        <f aca="false">IF(G485="Yes","",D485)</f>
        <v>0</v>
      </c>
      <c r="I485" s="26"/>
      <c r="J485" s="26"/>
    </row>
    <row r="486" customFormat="false" ht="15" hidden="false" customHeight="false" outlineLevel="0" collapsed="false">
      <c r="A486" s="28"/>
      <c r="B486" s="26"/>
      <c r="C486" s="26"/>
      <c r="D486" s="32"/>
      <c r="E486" s="33" t="str">
        <f aca="false">IF(F486="","",IF(OR(F486="HDFC Bank (INR)",F486="HDFC IOCL Credit Card (INR)",F486="HDFC Swiggy Credit Card (INR)",F486="Axis Airtel Credit Card (INR)"),"INR","GBP"))</f>
        <v/>
      </c>
      <c r="F486" s="26"/>
      <c r="G486" s="26"/>
      <c r="H486" s="34" t="n">
        <f aca="false">IF(G486="Yes","",D486)</f>
        <v>0</v>
      </c>
      <c r="I486" s="26"/>
      <c r="J486" s="26"/>
    </row>
    <row r="487" customFormat="false" ht="15" hidden="false" customHeight="false" outlineLevel="0" collapsed="false">
      <c r="A487" s="28"/>
      <c r="B487" s="26"/>
      <c r="C487" s="26"/>
      <c r="D487" s="32"/>
      <c r="E487" s="33" t="str">
        <f aca="false">IF(F487="","",IF(OR(F487="HDFC Bank (INR)",F487="HDFC IOCL Credit Card (INR)",F487="HDFC Swiggy Credit Card (INR)",F487="Axis Airtel Credit Card (INR)"),"INR","GBP"))</f>
        <v/>
      </c>
      <c r="F487" s="26"/>
      <c r="G487" s="26"/>
      <c r="H487" s="34" t="n">
        <f aca="false">IF(G487="Yes","",D487)</f>
        <v>0</v>
      </c>
      <c r="I487" s="26"/>
      <c r="J487" s="26"/>
    </row>
    <row r="488" customFormat="false" ht="15" hidden="false" customHeight="false" outlineLevel="0" collapsed="false">
      <c r="A488" s="28"/>
      <c r="B488" s="26"/>
      <c r="C488" s="26"/>
      <c r="D488" s="32"/>
      <c r="E488" s="33" t="str">
        <f aca="false">IF(F488="","",IF(OR(F488="HDFC Bank (INR)",F488="HDFC IOCL Credit Card (INR)",F488="HDFC Swiggy Credit Card (INR)",F488="Axis Airtel Credit Card (INR)"),"INR","GBP"))</f>
        <v/>
      </c>
      <c r="F488" s="26"/>
      <c r="G488" s="26"/>
      <c r="H488" s="34" t="n">
        <f aca="false">IF(G488="Yes","",D488)</f>
        <v>0</v>
      </c>
      <c r="I488" s="26"/>
      <c r="J488" s="26"/>
    </row>
    <row r="489" customFormat="false" ht="15" hidden="false" customHeight="false" outlineLevel="0" collapsed="false">
      <c r="A489" s="28"/>
      <c r="B489" s="26"/>
      <c r="C489" s="26"/>
      <c r="D489" s="32"/>
      <c r="E489" s="33" t="str">
        <f aca="false">IF(F489="","",IF(OR(F489="HDFC Bank (INR)",F489="HDFC IOCL Credit Card (INR)",F489="HDFC Swiggy Credit Card (INR)",F489="Axis Airtel Credit Card (INR)"),"INR","GBP"))</f>
        <v/>
      </c>
      <c r="F489" s="26"/>
      <c r="G489" s="26"/>
      <c r="H489" s="34" t="n">
        <f aca="false">IF(G489="Yes","",D489)</f>
        <v>0</v>
      </c>
      <c r="I489" s="26"/>
      <c r="J489" s="26"/>
    </row>
    <row r="490" customFormat="false" ht="15" hidden="false" customHeight="false" outlineLevel="0" collapsed="false">
      <c r="A490" s="28"/>
      <c r="B490" s="26"/>
      <c r="C490" s="26"/>
      <c r="D490" s="32"/>
      <c r="E490" s="33" t="str">
        <f aca="false">IF(F490="","",IF(OR(F490="HDFC Bank (INR)",F490="HDFC IOCL Credit Card (INR)",F490="HDFC Swiggy Credit Card (INR)",F490="Axis Airtel Credit Card (INR)"),"INR","GBP"))</f>
        <v/>
      </c>
      <c r="F490" s="26"/>
      <c r="G490" s="26"/>
      <c r="H490" s="34" t="n">
        <f aca="false">IF(G490="Yes","",D490)</f>
        <v>0</v>
      </c>
      <c r="I490" s="26"/>
      <c r="J490" s="26"/>
    </row>
    <row r="491" customFormat="false" ht="15" hidden="false" customHeight="false" outlineLevel="0" collapsed="false">
      <c r="A491" s="28"/>
      <c r="B491" s="26"/>
      <c r="C491" s="26"/>
      <c r="D491" s="32"/>
      <c r="E491" s="33" t="str">
        <f aca="false">IF(F491="","",IF(OR(F491="HDFC Bank (INR)",F491="HDFC IOCL Credit Card (INR)",F491="HDFC Swiggy Credit Card (INR)",F491="Axis Airtel Credit Card (INR)"),"INR","GBP"))</f>
        <v/>
      </c>
      <c r="F491" s="26"/>
      <c r="G491" s="26"/>
      <c r="H491" s="34" t="n">
        <f aca="false">IF(G491="Yes","",D491)</f>
        <v>0</v>
      </c>
      <c r="I491" s="26"/>
      <c r="J491" s="26"/>
    </row>
    <row r="492" customFormat="false" ht="15" hidden="false" customHeight="false" outlineLevel="0" collapsed="false">
      <c r="A492" s="28"/>
      <c r="B492" s="26"/>
      <c r="C492" s="26"/>
      <c r="D492" s="32"/>
      <c r="E492" s="33" t="str">
        <f aca="false">IF(F492="","",IF(OR(F492="HDFC Bank (INR)",F492="HDFC IOCL Credit Card (INR)",F492="HDFC Swiggy Credit Card (INR)",F492="Axis Airtel Credit Card (INR)"),"INR","GBP"))</f>
        <v/>
      </c>
      <c r="F492" s="26"/>
      <c r="G492" s="26"/>
      <c r="H492" s="34" t="n">
        <f aca="false">IF(G492="Yes","",D492)</f>
        <v>0</v>
      </c>
      <c r="I492" s="26"/>
      <c r="J492" s="26"/>
    </row>
    <row r="493" customFormat="false" ht="15" hidden="false" customHeight="false" outlineLevel="0" collapsed="false">
      <c r="A493" s="28"/>
      <c r="B493" s="26"/>
      <c r="C493" s="26"/>
      <c r="D493" s="32"/>
      <c r="E493" s="33" t="str">
        <f aca="false">IF(F493="","",IF(OR(F493="HDFC Bank (INR)",F493="HDFC IOCL Credit Card (INR)",F493="HDFC Swiggy Credit Card (INR)",F493="Axis Airtel Credit Card (INR)"),"INR","GBP"))</f>
        <v/>
      </c>
      <c r="F493" s="26"/>
      <c r="G493" s="26"/>
      <c r="H493" s="34" t="n">
        <f aca="false">IF(G493="Yes","",D493)</f>
        <v>0</v>
      </c>
      <c r="I493" s="26"/>
      <c r="J493" s="26"/>
    </row>
    <row r="494" customFormat="false" ht="15" hidden="false" customHeight="false" outlineLevel="0" collapsed="false">
      <c r="A494" s="28"/>
      <c r="B494" s="26"/>
      <c r="C494" s="26"/>
      <c r="D494" s="32"/>
      <c r="E494" s="33" t="str">
        <f aca="false">IF(F494="","",IF(OR(F494="HDFC Bank (INR)",F494="HDFC IOCL Credit Card (INR)",F494="HDFC Swiggy Credit Card (INR)",F494="Axis Airtel Credit Card (INR)"),"INR","GBP"))</f>
        <v/>
      </c>
      <c r="F494" s="26"/>
      <c r="G494" s="26"/>
      <c r="H494" s="34" t="n">
        <f aca="false">IF(G494="Yes","",D494)</f>
        <v>0</v>
      </c>
      <c r="I494" s="26"/>
      <c r="J494" s="26"/>
    </row>
    <row r="495" customFormat="false" ht="15" hidden="false" customHeight="false" outlineLevel="0" collapsed="false">
      <c r="A495" s="28"/>
      <c r="B495" s="26"/>
      <c r="C495" s="26"/>
      <c r="D495" s="32"/>
      <c r="E495" s="33" t="str">
        <f aca="false">IF(F495="","",IF(OR(F495="HDFC Bank (INR)",F495="HDFC IOCL Credit Card (INR)",F495="HDFC Swiggy Credit Card (INR)",F495="Axis Airtel Credit Card (INR)"),"INR","GBP"))</f>
        <v/>
      </c>
      <c r="F495" s="26"/>
      <c r="G495" s="26"/>
      <c r="H495" s="34" t="n">
        <f aca="false">IF(G495="Yes","",D495)</f>
        <v>0</v>
      </c>
      <c r="I495" s="26"/>
      <c r="J495" s="26"/>
    </row>
    <row r="496" customFormat="false" ht="15" hidden="false" customHeight="false" outlineLevel="0" collapsed="false">
      <c r="A496" s="28"/>
      <c r="B496" s="26"/>
      <c r="C496" s="26"/>
      <c r="D496" s="32"/>
      <c r="E496" s="33" t="str">
        <f aca="false">IF(F496="","",IF(OR(F496="HDFC Bank (INR)",F496="HDFC IOCL Credit Card (INR)",F496="HDFC Swiggy Credit Card (INR)",F496="Axis Airtel Credit Card (INR)"),"INR","GBP"))</f>
        <v/>
      </c>
      <c r="F496" s="26"/>
      <c r="G496" s="26"/>
      <c r="H496" s="34" t="n">
        <f aca="false">IF(G496="Yes","",D496)</f>
        <v>0</v>
      </c>
      <c r="I496" s="26"/>
      <c r="J496" s="26"/>
    </row>
    <row r="497" customFormat="false" ht="15" hidden="false" customHeight="false" outlineLevel="0" collapsed="false">
      <c r="A497" s="28"/>
      <c r="B497" s="26"/>
      <c r="C497" s="26"/>
      <c r="D497" s="32"/>
      <c r="E497" s="33" t="str">
        <f aca="false">IF(F497="","",IF(OR(F497="HDFC Bank (INR)",F497="HDFC IOCL Credit Card (INR)",F497="HDFC Swiggy Credit Card (INR)",F497="Axis Airtel Credit Card (INR)"),"INR","GBP"))</f>
        <v/>
      </c>
      <c r="F497" s="26"/>
      <c r="G497" s="26"/>
      <c r="H497" s="34" t="n">
        <f aca="false">IF(G497="Yes","",D497)</f>
        <v>0</v>
      </c>
      <c r="I497" s="26"/>
      <c r="J497" s="26"/>
    </row>
    <row r="498" customFormat="false" ht="15" hidden="false" customHeight="false" outlineLevel="0" collapsed="false">
      <c r="A498" s="28"/>
      <c r="B498" s="26"/>
      <c r="C498" s="26"/>
      <c r="D498" s="32"/>
      <c r="E498" s="33" t="str">
        <f aca="false">IF(F498="","",IF(OR(F498="HDFC Bank (INR)",F498="HDFC IOCL Credit Card (INR)",F498="HDFC Swiggy Credit Card (INR)",F498="Axis Airtel Credit Card (INR)"),"INR","GBP"))</f>
        <v/>
      </c>
      <c r="F498" s="26"/>
      <c r="G498" s="26"/>
      <c r="H498" s="34" t="n">
        <f aca="false">IF(G498="Yes","",D498)</f>
        <v>0</v>
      </c>
      <c r="I498" s="26"/>
      <c r="J498" s="26"/>
    </row>
    <row r="499" customFormat="false" ht="15" hidden="false" customHeight="false" outlineLevel="0" collapsed="false">
      <c r="A499" s="28"/>
      <c r="B499" s="26"/>
      <c r="C499" s="26"/>
      <c r="D499" s="32"/>
      <c r="E499" s="33" t="str">
        <f aca="false">IF(F499="","",IF(OR(F499="HDFC Bank (INR)",F499="HDFC IOCL Credit Card (INR)",F499="HDFC Swiggy Credit Card (INR)",F499="Axis Airtel Credit Card (INR)"),"INR","GBP"))</f>
        <v/>
      </c>
      <c r="F499" s="26"/>
      <c r="G499" s="26"/>
      <c r="H499" s="34" t="n">
        <f aca="false">IF(G499="Yes","",D499)</f>
        <v>0</v>
      </c>
      <c r="I499" s="26"/>
      <c r="J499" s="26"/>
    </row>
    <row r="500" customFormat="false" ht="15" hidden="false" customHeight="false" outlineLevel="0" collapsed="false">
      <c r="A500" s="28"/>
      <c r="B500" s="26"/>
      <c r="C500" s="26"/>
      <c r="D500" s="32"/>
      <c r="E500" s="33" t="str">
        <f aca="false">IF(F500="","",IF(OR(F500="HDFC Bank (INR)",F500="HDFC IOCL Credit Card (INR)",F500="HDFC Swiggy Credit Card (INR)",F500="Axis Airtel Credit Card (INR)"),"INR","GBP"))</f>
        <v/>
      </c>
      <c r="F500" s="26"/>
      <c r="G500" s="26"/>
      <c r="H500" s="34" t="n">
        <f aca="false">IF(G500="Yes","",D500)</f>
        <v>0</v>
      </c>
      <c r="I500" s="26"/>
      <c r="J500" s="26"/>
    </row>
    <row r="501" customFormat="false" ht="15" hidden="false" customHeight="false" outlineLevel="0" collapsed="false">
      <c r="A501" s="28"/>
      <c r="B501" s="26"/>
      <c r="C501" s="26"/>
      <c r="D501" s="32"/>
      <c r="E501" s="33" t="str">
        <f aca="false">IF(F501="","",IF(OR(F501="HDFC Bank (INR)",F501="HDFC IOCL Credit Card (INR)",F501="HDFC Swiggy Credit Card (INR)",F501="Axis Airtel Credit Card (INR)"),"INR","GBP"))</f>
        <v/>
      </c>
      <c r="F501" s="26"/>
      <c r="G501" s="26"/>
      <c r="H501" s="34" t="n">
        <f aca="false">IF(G501="Yes","",D501)</f>
        <v>0</v>
      </c>
      <c r="I501" s="26"/>
      <c r="J501" s="26"/>
    </row>
    <row r="502" customFormat="false" ht="15" hidden="false" customHeight="false" outlineLevel="0" collapsed="false">
      <c r="A502" s="28"/>
      <c r="B502" s="26"/>
      <c r="C502" s="26"/>
      <c r="D502" s="32"/>
      <c r="E502" s="33" t="str">
        <f aca="false">IF(F502="","",IF(OR(F502="HDFC Bank (INR)",F502="HDFC IOCL Credit Card (INR)",F502="HDFC Swiggy Credit Card (INR)",F502="Axis Airtel Credit Card (INR)"),"INR","GBP"))</f>
        <v/>
      </c>
      <c r="F502" s="26"/>
      <c r="G502" s="26"/>
      <c r="H502" s="34" t="n">
        <f aca="false">IF(G502="Yes","",D502)</f>
        <v>0</v>
      </c>
      <c r="I502" s="26"/>
      <c r="J502" s="26"/>
    </row>
    <row r="503" customFormat="false" ht="15" hidden="false" customHeight="false" outlineLevel="0" collapsed="false">
      <c r="A503" s="28"/>
      <c r="B503" s="26"/>
      <c r="C503" s="26"/>
      <c r="D503" s="32"/>
      <c r="E503" s="33" t="str">
        <f aca="false">IF(F503="","",IF(OR(F503="HDFC Bank (INR)",F503="HDFC IOCL Credit Card (INR)",F503="HDFC Swiggy Credit Card (INR)",F503="Axis Airtel Credit Card (INR)"),"INR","GBP"))</f>
        <v/>
      </c>
      <c r="F503" s="26"/>
      <c r="G503" s="26"/>
      <c r="H503" s="34" t="n">
        <f aca="false">IF(G503="Yes","",D503)</f>
        <v>0</v>
      </c>
      <c r="I503" s="26"/>
      <c r="J503" s="26"/>
    </row>
    <row r="504" customFormat="false" ht="15" hidden="false" customHeight="false" outlineLevel="0" collapsed="false">
      <c r="A504" s="28"/>
      <c r="B504" s="26"/>
      <c r="C504" s="26"/>
      <c r="D504" s="32"/>
      <c r="E504" s="33" t="str">
        <f aca="false">IF(F504="","",IF(OR(F504="HDFC Bank (INR)",F504="HDFC IOCL Credit Card (INR)",F504="HDFC Swiggy Credit Card (INR)",F504="Axis Airtel Credit Card (INR)"),"INR","GBP"))</f>
        <v/>
      </c>
      <c r="F504" s="26"/>
      <c r="G504" s="26"/>
      <c r="H504" s="34" t="n">
        <f aca="false">IF(G504="Yes","",D504)</f>
        <v>0</v>
      </c>
      <c r="I504" s="26"/>
      <c r="J504" s="26"/>
    </row>
    <row r="505" customFormat="false" ht="15" hidden="false" customHeight="false" outlineLevel="0" collapsed="false">
      <c r="A505" s="28"/>
      <c r="B505" s="26"/>
      <c r="C505" s="26"/>
      <c r="D505" s="32"/>
      <c r="E505" s="33" t="str">
        <f aca="false">IF(F505="","",IF(OR(F505="HDFC Bank (INR)",F505="HDFC IOCL Credit Card (INR)",F505="HDFC Swiggy Credit Card (INR)",F505="Axis Airtel Credit Card (INR)"),"INR","GBP"))</f>
        <v/>
      </c>
      <c r="F505" s="26"/>
      <c r="G505" s="26"/>
      <c r="H505" s="34" t="n">
        <f aca="false">IF(G505="Yes","",D505)</f>
        <v>0</v>
      </c>
      <c r="I505" s="26"/>
      <c r="J505" s="26"/>
    </row>
    <row r="506" customFormat="false" ht="15" hidden="false" customHeight="false" outlineLevel="0" collapsed="false">
      <c r="A506" s="28"/>
      <c r="B506" s="26"/>
      <c r="C506" s="26"/>
      <c r="D506" s="32"/>
      <c r="E506" s="33" t="str">
        <f aca="false">IF(F506="","",IF(OR(F506="HDFC Bank (INR)",F506="HDFC IOCL Credit Card (INR)",F506="HDFC Swiggy Credit Card (INR)",F506="Axis Airtel Credit Card (INR)"),"INR","GBP"))</f>
        <v/>
      </c>
      <c r="F506" s="26"/>
      <c r="G506" s="26"/>
      <c r="H506" s="34" t="n">
        <f aca="false">IF(G506="Yes","",D506)</f>
        <v>0</v>
      </c>
      <c r="I506" s="26"/>
      <c r="J506" s="26"/>
    </row>
    <row r="507" customFormat="false" ht="15" hidden="false" customHeight="false" outlineLevel="0" collapsed="false">
      <c r="A507" s="28"/>
      <c r="B507" s="26"/>
      <c r="C507" s="26"/>
      <c r="D507" s="32"/>
      <c r="E507" s="33" t="str">
        <f aca="false">IF(F507="","",IF(OR(F507="HDFC Bank (INR)",F507="HDFC IOCL Credit Card (INR)",F507="HDFC Swiggy Credit Card (INR)",F507="Axis Airtel Credit Card (INR)"),"INR","GBP"))</f>
        <v/>
      </c>
      <c r="F507" s="26"/>
      <c r="G507" s="26"/>
      <c r="H507" s="34" t="n">
        <f aca="false">IF(G507="Yes","",D507)</f>
        <v>0</v>
      </c>
      <c r="I507" s="26"/>
      <c r="J507" s="26"/>
    </row>
    <row r="508" customFormat="false" ht="15" hidden="false" customHeight="false" outlineLevel="0" collapsed="false">
      <c r="A508" s="28"/>
      <c r="B508" s="26"/>
      <c r="C508" s="26"/>
      <c r="D508" s="32"/>
      <c r="E508" s="33" t="str">
        <f aca="false">IF(F508="","",IF(OR(F508="HDFC Bank (INR)",F508="HDFC IOCL Credit Card (INR)",F508="HDFC Swiggy Credit Card (INR)",F508="Axis Airtel Credit Card (INR)"),"INR","GBP"))</f>
        <v/>
      </c>
      <c r="F508" s="26"/>
      <c r="G508" s="26"/>
      <c r="H508" s="34" t="n">
        <f aca="false">IF(G508="Yes","",D508)</f>
        <v>0</v>
      </c>
      <c r="I508" s="26"/>
      <c r="J508" s="26"/>
    </row>
    <row r="509" customFormat="false" ht="15" hidden="false" customHeight="false" outlineLevel="0" collapsed="false">
      <c r="A509" s="28"/>
      <c r="B509" s="26"/>
      <c r="C509" s="26"/>
      <c r="D509" s="32"/>
      <c r="E509" s="33" t="str">
        <f aca="false">IF(F509="","",IF(OR(F509="HDFC Bank (INR)",F509="HDFC IOCL Credit Card (INR)",F509="HDFC Swiggy Credit Card (INR)",F509="Axis Airtel Credit Card (INR)"),"INR","GBP"))</f>
        <v/>
      </c>
      <c r="F509" s="26"/>
      <c r="G509" s="26"/>
      <c r="H509" s="34" t="n">
        <f aca="false">IF(G509="Yes","",D509)</f>
        <v>0</v>
      </c>
      <c r="I509" s="26"/>
      <c r="J509" s="26"/>
    </row>
    <row r="510" customFormat="false" ht="15" hidden="false" customHeight="false" outlineLevel="0" collapsed="false">
      <c r="A510" s="28"/>
      <c r="B510" s="26"/>
      <c r="C510" s="26"/>
      <c r="D510" s="32"/>
      <c r="E510" s="33" t="str">
        <f aca="false">IF(F510="","",IF(OR(F510="HDFC Bank (INR)",F510="HDFC IOCL Credit Card (INR)",F510="HDFC Swiggy Credit Card (INR)",F510="Axis Airtel Credit Card (INR)"),"INR","GBP"))</f>
        <v/>
      </c>
      <c r="F510" s="26"/>
      <c r="G510" s="26"/>
      <c r="H510" s="34" t="n">
        <f aca="false">IF(G510="Yes","",D510)</f>
        <v>0</v>
      </c>
      <c r="I510" s="26"/>
      <c r="J510" s="26"/>
    </row>
    <row r="511" customFormat="false" ht="15" hidden="false" customHeight="false" outlineLevel="0" collapsed="false">
      <c r="A511" s="28"/>
      <c r="B511" s="26"/>
      <c r="C511" s="26"/>
      <c r="D511" s="32"/>
      <c r="E511" s="33" t="str">
        <f aca="false">IF(F511="","",IF(OR(F511="HDFC Bank (INR)",F511="HDFC IOCL Credit Card (INR)",F511="HDFC Swiggy Credit Card (INR)",F511="Axis Airtel Credit Card (INR)"),"INR","GBP"))</f>
        <v/>
      </c>
      <c r="F511" s="26"/>
      <c r="G511" s="26"/>
      <c r="H511" s="34" t="n">
        <f aca="false">IF(G511="Yes","",D511)</f>
        <v>0</v>
      </c>
      <c r="I511" s="26"/>
      <c r="J511" s="26"/>
    </row>
    <row r="512" customFormat="false" ht="15" hidden="false" customHeight="false" outlineLevel="0" collapsed="false">
      <c r="A512" s="28"/>
      <c r="B512" s="26"/>
      <c r="C512" s="26"/>
      <c r="D512" s="32"/>
      <c r="E512" s="33" t="str">
        <f aca="false">IF(F512="","",IF(OR(F512="HDFC Bank (INR)",F512="HDFC IOCL Credit Card (INR)",F512="HDFC Swiggy Credit Card (INR)",F512="Axis Airtel Credit Card (INR)"),"INR","GBP"))</f>
        <v/>
      </c>
      <c r="F512" s="26"/>
      <c r="G512" s="26"/>
      <c r="H512" s="34" t="n">
        <f aca="false">IF(G512="Yes","",D512)</f>
        <v>0</v>
      </c>
      <c r="I512" s="26"/>
      <c r="J512" s="26"/>
    </row>
    <row r="513" customFormat="false" ht="15" hidden="false" customHeight="false" outlineLevel="0" collapsed="false">
      <c r="A513" s="28"/>
      <c r="B513" s="26"/>
      <c r="C513" s="26"/>
      <c r="D513" s="32"/>
      <c r="E513" s="33" t="str">
        <f aca="false">IF(F513="","",IF(OR(F513="HDFC Bank (INR)",F513="HDFC IOCL Credit Card (INR)",F513="HDFC Swiggy Credit Card (INR)",F513="Axis Airtel Credit Card (INR)"),"INR","GBP"))</f>
        <v/>
      </c>
      <c r="F513" s="26"/>
      <c r="G513" s="26"/>
      <c r="H513" s="34" t="n">
        <f aca="false">IF(G513="Yes","",D513)</f>
        <v>0</v>
      </c>
      <c r="I513" s="26"/>
      <c r="J513" s="26"/>
    </row>
    <row r="514" customFormat="false" ht="15" hidden="false" customHeight="false" outlineLevel="0" collapsed="false">
      <c r="A514" s="28"/>
      <c r="B514" s="26"/>
      <c r="C514" s="26"/>
      <c r="D514" s="32"/>
      <c r="E514" s="33" t="str">
        <f aca="false">IF(F514="","",IF(OR(F514="HDFC Bank (INR)",F514="HDFC IOCL Credit Card (INR)",F514="HDFC Swiggy Credit Card (INR)",F514="Axis Airtel Credit Card (INR)"),"INR","GBP"))</f>
        <v/>
      </c>
      <c r="F514" s="26"/>
      <c r="G514" s="26"/>
      <c r="H514" s="34" t="n">
        <f aca="false">IF(G514="Yes","",D514)</f>
        <v>0</v>
      </c>
      <c r="I514" s="26"/>
      <c r="J514" s="26"/>
    </row>
    <row r="515" customFormat="false" ht="15" hidden="false" customHeight="false" outlineLevel="0" collapsed="false">
      <c r="A515" s="28"/>
      <c r="B515" s="26"/>
      <c r="C515" s="26"/>
      <c r="D515" s="32"/>
      <c r="E515" s="33" t="str">
        <f aca="false">IF(F515="","",IF(OR(F515="HDFC Bank (INR)",F515="HDFC IOCL Credit Card (INR)",F515="HDFC Swiggy Credit Card (INR)",F515="Axis Airtel Credit Card (INR)"),"INR","GBP"))</f>
        <v/>
      </c>
      <c r="F515" s="26"/>
      <c r="G515" s="26"/>
      <c r="H515" s="34" t="n">
        <f aca="false">IF(G515="Yes","",D515)</f>
        <v>0</v>
      </c>
      <c r="I515" s="26"/>
      <c r="J515" s="26"/>
    </row>
    <row r="516" customFormat="false" ht="15" hidden="false" customHeight="false" outlineLevel="0" collapsed="false">
      <c r="A516" s="28"/>
      <c r="B516" s="26"/>
      <c r="C516" s="26"/>
      <c r="D516" s="32"/>
      <c r="E516" s="33" t="str">
        <f aca="false">IF(F516="","",IF(OR(F516="HDFC Bank (INR)",F516="HDFC IOCL Credit Card (INR)",F516="HDFC Swiggy Credit Card (INR)",F516="Axis Airtel Credit Card (INR)"),"INR","GBP"))</f>
        <v/>
      </c>
      <c r="F516" s="26"/>
      <c r="G516" s="26"/>
      <c r="H516" s="34" t="n">
        <f aca="false">IF(G516="Yes","",D516)</f>
        <v>0</v>
      </c>
      <c r="I516" s="26"/>
      <c r="J516" s="26"/>
    </row>
    <row r="517" customFormat="false" ht="15" hidden="false" customHeight="false" outlineLevel="0" collapsed="false">
      <c r="A517" s="28"/>
      <c r="B517" s="26"/>
      <c r="C517" s="26"/>
      <c r="D517" s="32"/>
      <c r="E517" s="33" t="str">
        <f aca="false">IF(F517="","",IF(OR(F517="HDFC Bank (INR)",F517="HDFC IOCL Credit Card (INR)",F517="HDFC Swiggy Credit Card (INR)",F517="Axis Airtel Credit Card (INR)"),"INR","GBP"))</f>
        <v/>
      </c>
      <c r="F517" s="26"/>
      <c r="G517" s="26"/>
      <c r="H517" s="34" t="n">
        <f aca="false">IF(G517="Yes","",D517)</f>
        <v>0</v>
      </c>
      <c r="I517" s="26"/>
      <c r="J517" s="26"/>
    </row>
    <row r="518" customFormat="false" ht="15" hidden="false" customHeight="false" outlineLevel="0" collapsed="false">
      <c r="A518" s="28"/>
      <c r="B518" s="26"/>
      <c r="C518" s="26"/>
      <c r="D518" s="32"/>
      <c r="E518" s="33" t="str">
        <f aca="false">IF(F518="","",IF(OR(F518="HDFC Bank (INR)",F518="HDFC IOCL Credit Card (INR)",F518="HDFC Swiggy Credit Card (INR)",F518="Axis Airtel Credit Card (INR)"),"INR","GBP"))</f>
        <v/>
      </c>
      <c r="F518" s="26"/>
      <c r="G518" s="26"/>
      <c r="H518" s="34" t="n">
        <f aca="false">IF(G518="Yes","",D518)</f>
        <v>0</v>
      </c>
      <c r="I518" s="26"/>
      <c r="J518" s="26"/>
    </row>
    <row r="519" customFormat="false" ht="15" hidden="false" customHeight="false" outlineLevel="0" collapsed="false">
      <c r="A519" s="28"/>
      <c r="B519" s="26"/>
      <c r="C519" s="26"/>
      <c r="D519" s="32"/>
      <c r="E519" s="33" t="str">
        <f aca="false">IF(F519="","",IF(OR(F519="HDFC Bank (INR)",F519="HDFC IOCL Credit Card (INR)",F519="HDFC Swiggy Credit Card (INR)",F519="Axis Airtel Credit Card (INR)"),"INR","GBP"))</f>
        <v/>
      </c>
      <c r="F519" s="26"/>
      <c r="G519" s="26"/>
      <c r="H519" s="34" t="n">
        <f aca="false">IF(G519="Yes","",D519)</f>
        <v>0</v>
      </c>
      <c r="I519" s="26"/>
      <c r="J519" s="26"/>
    </row>
    <row r="520" customFormat="false" ht="15" hidden="false" customHeight="false" outlineLevel="0" collapsed="false">
      <c r="A520" s="28"/>
      <c r="B520" s="26"/>
      <c r="C520" s="26"/>
      <c r="D520" s="32"/>
      <c r="E520" s="33" t="str">
        <f aca="false">IF(F520="","",IF(OR(F520="HDFC Bank (INR)",F520="HDFC IOCL Credit Card (INR)",F520="HDFC Swiggy Credit Card (INR)",F520="Axis Airtel Credit Card (INR)"),"INR","GBP"))</f>
        <v/>
      </c>
      <c r="F520" s="26"/>
      <c r="G520" s="26"/>
      <c r="H520" s="34" t="n">
        <f aca="false">IF(G520="Yes","",D520)</f>
        <v>0</v>
      </c>
      <c r="I520" s="26"/>
      <c r="J520" s="26"/>
    </row>
    <row r="521" customFormat="false" ht="15" hidden="false" customHeight="false" outlineLevel="0" collapsed="false">
      <c r="A521" s="28"/>
      <c r="B521" s="26"/>
      <c r="C521" s="26"/>
      <c r="D521" s="32"/>
      <c r="E521" s="33" t="str">
        <f aca="false">IF(F521="","",IF(OR(F521="HDFC Bank (INR)",F521="HDFC IOCL Credit Card (INR)",F521="HDFC Swiggy Credit Card (INR)",F521="Axis Airtel Credit Card (INR)"),"INR","GBP"))</f>
        <v/>
      </c>
      <c r="F521" s="26"/>
      <c r="G521" s="26"/>
      <c r="H521" s="34" t="n">
        <f aca="false">IF(G521="Yes","",D521)</f>
        <v>0</v>
      </c>
      <c r="I521" s="26"/>
      <c r="J521" s="26"/>
    </row>
    <row r="522" customFormat="false" ht="15" hidden="false" customHeight="false" outlineLevel="0" collapsed="false">
      <c r="A522" s="28"/>
      <c r="B522" s="26"/>
      <c r="C522" s="26"/>
      <c r="D522" s="32"/>
      <c r="E522" s="33" t="str">
        <f aca="false">IF(F522="","",IF(OR(F522="HDFC Bank (INR)",F522="HDFC IOCL Credit Card (INR)",F522="HDFC Swiggy Credit Card (INR)",F522="Axis Airtel Credit Card (INR)"),"INR","GBP"))</f>
        <v/>
      </c>
      <c r="F522" s="26"/>
      <c r="G522" s="26"/>
      <c r="H522" s="34" t="n">
        <f aca="false">IF(G522="Yes","",D522)</f>
        <v>0</v>
      </c>
      <c r="I522" s="26"/>
      <c r="J522" s="26"/>
    </row>
    <row r="523" customFormat="false" ht="15" hidden="false" customHeight="false" outlineLevel="0" collapsed="false">
      <c r="A523" s="28"/>
      <c r="B523" s="26"/>
      <c r="C523" s="26"/>
      <c r="D523" s="32"/>
      <c r="E523" s="33" t="str">
        <f aca="false">IF(F523="","",IF(OR(F523="HDFC Bank (INR)",F523="HDFC IOCL Credit Card (INR)",F523="HDFC Swiggy Credit Card (INR)",F523="Axis Airtel Credit Card (INR)"),"INR","GBP"))</f>
        <v/>
      </c>
      <c r="F523" s="26"/>
      <c r="G523" s="26"/>
      <c r="H523" s="34" t="n">
        <f aca="false">IF(G523="Yes","",D523)</f>
        <v>0</v>
      </c>
      <c r="I523" s="26"/>
      <c r="J523" s="26"/>
    </row>
    <row r="524" customFormat="false" ht="15" hidden="false" customHeight="false" outlineLevel="0" collapsed="false">
      <c r="A524" s="28"/>
      <c r="B524" s="26"/>
      <c r="C524" s="26"/>
      <c r="D524" s="32"/>
      <c r="E524" s="33" t="str">
        <f aca="false">IF(F524="","",IF(OR(F524="HDFC Bank (INR)",F524="HDFC IOCL Credit Card (INR)",F524="HDFC Swiggy Credit Card (INR)",F524="Axis Airtel Credit Card (INR)"),"INR","GBP"))</f>
        <v/>
      </c>
      <c r="F524" s="26"/>
      <c r="G524" s="26"/>
      <c r="H524" s="34" t="n">
        <f aca="false">IF(G524="Yes","",D524)</f>
        <v>0</v>
      </c>
      <c r="I524" s="26"/>
      <c r="J524" s="26"/>
    </row>
    <row r="525" customFormat="false" ht="15" hidden="false" customHeight="false" outlineLevel="0" collapsed="false">
      <c r="A525" s="28"/>
      <c r="B525" s="26"/>
      <c r="C525" s="26"/>
      <c r="D525" s="32"/>
      <c r="E525" s="33" t="str">
        <f aca="false">IF(F525="","",IF(OR(F525="HDFC Bank (INR)",F525="HDFC IOCL Credit Card (INR)",F525="HDFC Swiggy Credit Card (INR)",F525="Axis Airtel Credit Card (INR)"),"INR","GBP"))</f>
        <v/>
      </c>
      <c r="F525" s="26"/>
      <c r="G525" s="26"/>
      <c r="H525" s="34" t="n">
        <f aca="false">IF(G525="Yes","",D525)</f>
        <v>0</v>
      </c>
      <c r="I525" s="26"/>
      <c r="J525" s="26"/>
    </row>
    <row r="526" customFormat="false" ht="15" hidden="false" customHeight="false" outlineLevel="0" collapsed="false">
      <c r="A526" s="28"/>
      <c r="B526" s="26"/>
      <c r="C526" s="26"/>
      <c r="D526" s="32"/>
      <c r="E526" s="33" t="str">
        <f aca="false">IF(F526="","",IF(OR(F526="HDFC Bank (INR)",F526="HDFC IOCL Credit Card (INR)",F526="HDFC Swiggy Credit Card (INR)",F526="Axis Airtel Credit Card (INR)"),"INR","GBP"))</f>
        <v/>
      </c>
      <c r="F526" s="26"/>
      <c r="G526" s="26"/>
      <c r="H526" s="34" t="n">
        <f aca="false">IF(G526="Yes","",D526)</f>
        <v>0</v>
      </c>
      <c r="I526" s="26"/>
      <c r="J526" s="26"/>
    </row>
    <row r="527" customFormat="false" ht="15" hidden="false" customHeight="false" outlineLevel="0" collapsed="false">
      <c r="A527" s="28"/>
      <c r="B527" s="26"/>
      <c r="C527" s="26"/>
      <c r="D527" s="32"/>
      <c r="E527" s="33" t="str">
        <f aca="false">IF(F527="","",IF(OR(F527="HDFC Bank (INR)",F527="HDFC IOCL Credit Card (INR)",F527="HDFC Swiggy Credit Card (INR)",F527="Axis Airtel Credit Card (INR)"),"INR","GBP"))</f>
        <v/>
      </c>
      <c r="F527" s="26"/>
      <c r="G527" s="26"/>
      <c r="H527" s="34" t="n">
        <f aca="false">IF(G527="Yes","",D527)</f>
        <v>0</v>
      </c>
      <c r="I527" s="26"/>
      <c r="J527" s="26"/>
    </row>
    <row r="528" customFormat="false" ht="15" hidden="false" customHeight="false" outlineLevel="0" collapsed="false">
      <c r="A528" s="28"/>
      <c r="B528" s="26"/>
      <c r="C528" s="26"/>
      <c r="D528" s="32"/>
      <c r="E528" s="33" t="str">
        <f aca="false">IF(F528="","",IF(OR(F528="HDFC Bank (INR)",F528="HDFC IOCL Credit Card (INR)",F528="HDFC Swiggy Credit Card (INR)",F528="Axis Airtel Credit Card (INR)"),"INR","GBP"))</f>
        <v/>
      </c>
      <c r="F528" s="26"/>
      <c r="G528" s="26"/>
      <c r="H528" s="34" t="n">
        <f aca="false">IF(G528="Yes","",D528)</f>
        <v>0</v>
      </c>
      <c r="I528" s="26"/>
      <c r="J528" s="26"/>
    </row>
    <row r="529" customFormat="false" ht="15" hidden="false" customHeight="false" outlineLevel="0" collapsed="false">
      <c r="A529" s="28"/>
      <c r="B529" s="26"/>
      <c r="C529" s="26"/>
      <c r="D529" s="32"/>
      <c r="E529" s="33" t="str">
        <f aca="false">IF(F529="","",IF(OR(F529="HDFC Bank (INR)",F529="HDFC IOCL Credit Card (INR)",F529="HDFC Swiggy Credit Card (INR)",F529="Axis Airtel Credit Card (INR)"),"INR","GBP"))</f>
        <v/>
      </c>
      <c r="F529" s="26"/>
      <c r="G529" s="26"/>
      <c r="H529" s="34" t="n">
        <f aca="false">IF(G529="Yes","",D529)</f>
        <v>0</v>
      </c>
      <c r="I529" s="26"/>
      <c r="J529" s="26"/>
    </row>
    <row r="530" customFormat="false" ht="15" hidden="false" customHeight="false" outlineLevel="0" collapsed="false">
      <c r="A530" s="28"/>
      <c r="B530" s="26"/>
      <c r="C530" s="26"/>
      <c r="D530" s="32"/>
      <c r="E530" s="33" t="str">
        <f aca="false">IF(F530="","",IF(OR(F530="HDFC Bank (INR)",F530="HDFC IOCL Credit Card (INR)",F530="HDFC Swiggy Credit Card (INR)",F530="Axis Airtel Credit Card (INR)"),"INR","GBP"))</f>
        <v/>
      </c>
      <c r="F530" s="26"/>
      <c r="G530" s="26"/>
      <c r="H530" s="34" t="n">
        <f aca="false">IF(G530="Yes","",D530)</f>
        <v>0</v>
      </c>
      <c r="I530" s="26"/>
      <c r="J530" s="26"/>
    </row>
    <row r="531" customFormat="false" ht="15" hidden="false" customHeight="false" outlineLevel="0" collapsed="false">
      <c r="A531" s="28"/>
      <c r="B531" s="26"/>
      <c r="C531" s="26"/>
      <c r="D531" s="32"/>
      <c r="E531" s="33" t="str">
        <f aca="false">IF(F531="","",IF(OR(F531="HDFC Bank (INR)",F531="HDFC IOCL Credit Card (INR)",F531="HDFC Swiggy Credit Card (INR)",F531="Axis Airtel Credit Card (INR)"),"INR","GBP"))</f>
        <v/>
      </c>
      <c r="F531" s="26"/>
      <c r="G531" s="26"/>
      <c r="H531" s="34" t="n">
        <f aca="false">IF(G531="Yes","",D531)</f>
        <v>0</v>
      </c>
      <c r="I531" s="26"/>
      <c r="J531" s="26"/>
    </row>
    <row r="532" customFormat="false" ht="15" hidden="false" customHeight="false" outlineLevel="0" collapsed="false">
      <c r="A532" s="28"/>
      <c r="B532" s="26"/>
      <c r="C532" s="26"/>
      <c r="D532" s="32"/>
      <c r="E532" s="33" t="str">
        <f aca="false">IF(F532="","",IF(OR(F532="HDFC Bank (INR)",F532="HDFC IOCL Credit Card (INR)",F532="HDFC Swiggy Credit Card (INR)",F532="Axis Airtel Credit Card (INR)"),"INR","GBP"))</f>
        <v/>
      </c>
      <c r="F532" s="26"/>
      <c r="G532" s="26"/>
      <c r="H532" s="34" t="n">
        <f aca="false">IF(G532="Yes","",D532)</f>
        <v>0</v>
      </c>
      <c r="I532" s="26"/>
      <c r="J532" s="26"/>
    </row>
    <row r="533" customFormat="false" ht="15" hidden="false" customHeight="false" outlineLevel="0" collapsed="false">
      <c r="A533" s="28"/>
      <c r="B533" s="26"/>
      <c r="C533" s="26"/>
      <c r="D533" s="32"/>
      <c r="E533" s="33" t="str">
        <f aca="false">IF(F533="","",IF(OR(F533="HDFC Bank (INR)",F533="HDFC IOCL Credit Card (INR)",F533="HDFC Swiggy Credit Card (INR)",F533="Axis Airtel Credit Card (INR)"),"INR","GBP"))</f>
        <v/>
      </c>
      <c r="F533" s="26"/>
      <c r="G533" s="26"/>
      <c r="H533" s="34" t="n">
        <f aca="false">IF(G533="Yes","",D533)</f>
        <v>0</v>
      </c>
      <c r="I533" s="26"/>
      <c r="J533" s="26"/>
    </row>
    <row r="534" customFormat="false" ht="15" hidden="false" customHeight="false" outlineLevel="0" collapsed="false">
      <c r="A534" s="28"/>
      <c r="B534" s="26"/>
      <c r="C534" s="26"/>
      <c r="D534" s="32"/>
      <c r="E534" s="33" t="str">
        <f aca="false">IF(F534="","",IF(OR(F534="HDFC Bank (INR)",F534="HDFC IOCL Credit Card (INR)",F534="HDFC Swiggy Credit Card (INR)",F534="Axis Airtel Credit Card (INR)"),"INR","GBP"))</f>
        <v/>
      </c>
      <c r="F534" s="26"/>
      <c r="G534" s="26"/>
      <c r="H534" s="34" t="n">
        <f aca="false">IF(G534="Yes","",D534)</f>
        <v>0</v>
      </c>
      <c r="I534" s="26"/>
      <c r="J534" s="26"/>
    </row>
    <row r="535" customFormat="false" ht="15" hidden="false" customHeight="false" outlineLevel="0" collapsed="false">
      <c r="A535" s="28"/>
      <c r="B535" s="26"/>
      <c r="C535" s="26"/>
      <c r="D535" s="32"/>
      <c r="E535" s="33" t="str">
        <f aca="false">IF(F535="","",IF(OR(F535="HDFC Bank (INR)",F535="HDFC IOCL Credit Card (INR)",F535="HDFC Swiggy Credit Card (INR)",F535="Axis Airtel Credit Card (INR)"),"INR","GBP"))</f>
        <v/>
      </c>
      <c r="F535" s="26"/>
      <c r="G535" s="26"/>
      <c r="H535" s="34" t="n">
        <f aca="false">IF(G535="Yes","",D535)</f>
        <v>0</v>
      </c>
      <c r="I535" s="26"/>
      <c r="J535" s="26"/>
    </row>
    <row r="536" customFormat="false" ht="15" hidden="false" customHeight="false" outlineLevel="0" collapsed="false">
      <c r="A536" s="28"/>
      <c r="B536" s="26"/>
      <c r="C536" s="26"/>
      <c r="D536" s="32"/>
      <c r="E536" s="33" t="str">
        <f aca="false">IF(F536="","",IF(OR(F536="HDFC Bank (INR)",F536="HDFC IOCL Credit Card (INR)",F536="HDFC Swiggy Credit Card (INR)",F536="Axis Airtel Credit Card (INR)"),"INR","GBP"))</f>
        <v/>
      </c>
      <c r="F536" s="26"/>
      <c r="G536" s="26"/>
      <c r="H536" s="34" t="n">
        <f aca="false">IF(G536="Yes","",D536)</f>
        <v>0</v>
      </c>
      <c r="I536" s="26"/>
      <c r="J536" s="26"/>
    </row>
    <row r="537" customFormat="false" ht="15" hidden="false" customHeight="false" outlineLevel="0" collapsed="false">
      <c r="A537" s="28"/>
      <c r="B537" s="26"/>
      <c r="C537" s="26"/>
      <c r="D537" s="32"/>
      <c r="E537" s="33" t="str">
        <f aca="false">IF(F537="","",IF(OR(F537="HDFC Bank (INR)",F537="HDFC IOCL Credit Card (INR)",F537="HDFC Swiggy Credit Card (INR)",F537="Axis Airtel Credit Card (INR)"),"INR","GBP"))</f>
        <v/>
      </c>
      <c r="F537" s="26"/>
      <c r="G537" s="26"/>
      <c r="H537" s="34" t="n">
        <f aca="false">IF(G537="Yes","",D537)</f>
        <v>0</v>
      </c>
      <c r="I537" s="26"/>
      <c r="J537" s="26"/>
    </row>
    <row r="538" customFormat="false" ht="15" hidden="false" customHeight="false" outlineLevel="0" collapsed="false">
      <c r="A538" s="28"/>
      <c r="B538" s="26"/>
      <c r="C538" s="26"/>
      <c r="D538" s="32"/>
      <c r="E538" s="33" t="str">
        <f aca="false">IF(F538="","",IF(OR(F538="HDFC Bank (INR)",F538="HDFC IOCL Credit Card (INR)",F538="HDFC Swiggy Credit Card (INR)",F538="Axis Airtel Credit Card (INR)"),"INR","GBP"))</f>
        <v/>
      </c>
      <c r="F538" s="26"/>
      <c r="G538" s="26"/>
      <c r="H538" s="34" t="n">
        <f aca="false">IF(G538="Yes","",D538)</f>
        <v>0</v>
      </c>
      <c r="I538" s="26"/>
      <c r="J538" s="26"/>
    </row>
    <row r="539" customFormat="false" ht="15" hidden="false" customHeight="false" outlineLevel="0" collapsed="false">
      <c r="A539" s="28"/>
      <c r="B539" s="26"/>
      <c r="C539" s="26"/>
      <c r="D539" s="32"/>
      <c r="E539" s="33" t="str">
        <f aca="false">IF(F539="","",IF(OR(F539="HDFC Bank (INR)",F539="HDFC IOCL Credit Card (INR)",F539="HDFC Swiggy Credit Card (INR)",F539="Axis Airtel Credit Card (INR)"),"INR","GBP"))</f>
        <v/>
      </c>
      <c r="F539" s="26"/>
      <c r="G539" s="26"/>
      <c r="H539" s="34" t="n">
        <f aca="false">IF(G539="Yes","",D539)</f>
        <v>0</v>
      </c>
      <c r="I539" s="26"/>
      <c r="J539" s="26"/>
    </row>
    <row r="540" customFormat="false" ht="15" hidden="false" customHeight="false" outlineLevel="0" collapsed="false">
      <c r="A540" s="28"/>
      <c r="B540" s="26"/>
      <c r="C540" s="26"/>
      <c r="D540" s="32"/>
      <c r="E540" s="33" t="str">
        <f aca="false">IF(F540="","",IF(OR(F540="HDFC Bank (INR)",F540="HDFC IOCL Credit Card (INR)",F540="HDFC Swiggy Credit Card (INR)",F540="Axis Airtel Credit Card (INR)"),"INR","GBP"))</f>
        <v/>
      </c>
      <c r="F540" s="26"/>
      <c r="G540" s="26"/>
      <c r="H540" s="34" t="n">
        <f aca="false">IF(G540="Yes","",D540)</f>
        <v>0</v>
      </c>
      <c r="I540" s="26"/>
      <c r="J540" s="26"/>
    </row>
    <row r="541" customFormat="false" ht="15" hidden="false" customHeight="false" outlineLevel="0" collapsed="false">
      <c r="A541" s="28"/>
      <c r="B541" s="26"/>
      <c r="C541" s="26"/>
      <c r="D541" s="32"/>
      <c r="E541" s="33" t="str">
        <f aca="false">IF(F541="","",IF(OR(F541="HDFC Bank (INR)",F541="HDFC IOCL Credit Card (INR)",F541="HDFC Swiggy Credit Card (INR)",F541="Axis Airtel Credit Card (INR)"),"INR","GBP"))</f>
        <v/>
      </c>
      <c r="F541" s="26"/>
      <c r="G541" s="26"/>
      <c r="H541" s="34" t="n">
        <f aca="false">IF(G541="Yes","",D541)</f>
        <v>0</v>
      </c>
      <c r="I541" s="26"/>
      <c r="J541" s="26"/>
    </row>
    <row r="542" customFormat="false" ht="15" hidden="false" customHeight="false" outlineLevel="0" collapsed="false">
      <c r="A542" s="28"/>
      <c r="B542" s="26"/>
      <c r="C542" s="26"/>
      <c r="D542" s="32"/>
      <c r="E542" s="33" t="str">
        <f aca="false">IF(F542="","",IF(OR(F542="HDFC Bank (INR)",F542="HDFC IOCL Credit Card (INR)",F542="HDFC Swiggy Credit Card (INR)",F542="Axis Airtel Credit Card (INR)"),"INR","GBP"))</f>
        <v/>
      </c>
      <c r="F542" s="26"/>
      <c r="G542" s="26"/>
      <c r="H542" s="34" t="n">
        <f aca="false">IF(G542="Yes","",D542)</f>
        <v>0</v>
      </c>
      <c r="I542" s="26"/>
      <c r="J542" s="26"/>
    </row>
    <row r="543" customFormat="false" ht="15" hidden="false" customHeight="false" outlineLevel="0" collapsed="false">
      <c r="A543" s="28"/>
      <c r="B543" s="26"/>
      <c r="C543" s="26"/>
      <c r="D543" s="32"/>
      <c r="E543" s="33" t="str">
        <f aca="false">IF(F543="","",IF(OR(F543="HDFC Bank (INR)",F543="HDFC IOCL Credit Card (INR)",F543="HDFC Swiggy Credit Card (INR)",F543="Axis Airtel Credit Card (INR)"),"INR","GBP"))</f>
        <v/>
      </c>
      <c r="F543" s="26"/>
      <c r="G543" s="26"/>
      <c r="H543" s="34" t="n">
        <f aca="false">IF(G543="Yes","",D543)</f>
        <v>0</v>
      </c>
      <c r="I543" s="26"/>
      <c r="J543" s="26"/>
    </row>
    <row r="544" customFormat="false" ht="15" hidden="false" customHeight="false" outlineLevel="0" collapsed="false">
      <c r="A544" s="28"/>
      <c r="B544" s="26"/>
      <c r="C544" s="26"/>
      <c r="D544" s="32"/>
      <c r="E544" s="33" t="str">
        <f aca="false">IF(F544="","",IF(OR(F544="HDFC Bank (INR)",F544="HDFC IOCL Credit Card (INR)",F544="HDFC Swiggy Credit Card (INR)",F544="Axis Airtel Credit Card (INR)"),"INR","GBP"))</f>
        <v/>
      </c>
      <c r="F544" s="26"/>
      <c r="G544" s="26"/>
      <c r="H544" s="34" t="n">
        <f aca="false">IF(G544="Yes","",D544)</f>
        <v>0</v>
      </c>
      <c r="I544" s="26"/>
      <c r="J544" s="26"/>
    </row>
    <row r="545" customFormat="false" ht="15" hidden="false" customHeight="false" outlineLevel="0" collapsed="false">
      <c r="A545" s="28"/>
      <c r="B545" s="26"/>
      <c r="C545" s="26"/>
      <c r="D545" s="32"/>
      <c r="E545" s="33" t="str">
        <f aca="false">IF(F545="","",IF(OR(F545="HDFC Bank (INR)",F545="HDFC IOCL Credit Card (INR)",F545="HDFC Swiggy Credit Card (INR)",F545="Axis Airtel Credit Card (INR)"),"INR","GBP"))</f>
        <v/>
      </c>
      <c r="F545" s="26"/>
      <c r="G545" s="26"/>
      <c r="H545" s="34" t="n">
        <f aca="false">IF(G545="Yes","",D545)</f>
        <v>0</v>
      </c>
      <c r="I545" s="26"/>
      <c r="J545" s="26"/>
    </row>
    <row r="546" customFormat="false" ht="15" hidden="false" customHeight="false" outlineLevel="0" collapsed="false">
      <c r="A546" s="28"/>
      <c r="B546" s="26"/>
      <c r="C546" s="26"/>
      <c r="D546" s="32"/>
      <c r="E546" s="33" t="str">
        <f aca="false">IF(F546="","",IF(OR(F546="HDFC Bank (INR)",F546="HDFC IOCL Credit Card (INR)",F546="HDFC Swiggy Credit Card (INR)",F546="Axis Airtel Credit Card (INR)"),"INR","GBP"))</f>
        <v/>
      </c>
      <c r="F546" s="26"/>
      <c r="G546" s="26"/>
      <c r="H546" s="34" t="n">
        <f aca="false">IF(G546="Yes","",D546)</f>
        <v>0</v>
      </c>
      <c r="I546" s="26"/>
      <c r="J546" s="26"/>
    </row>
    <row r="547" customFormat="false" ht="15" hidden="false" customHeight="false" outlineLevel="0" collapsed="false">
      <c r="A547" s="28"/>
      <c r="B547" s="26"/>
      <c r="C547" s="26"/>
      <c r="D547" s="32"/>
      <c r="E547" s="33" t="str">
        <f aca="false">IF(F547="","",IF(OR(F547="HDFC Bank (INR)",F547="HDFC IOCL Credit Card (INR)",F547="HDFC Swiggy Credit Card (INR)",F547="Axis Airtel Credit Card (INR)"),"INR","GBP"))</f>
        <v/>
      </c>
      <c r="F547" s="26"/>
      <c r="G547" s="26"/>
      <c r="H547" s="34" t="n">
        <f aca="false">IF(G547="Yes","",D547)</f>
        <v>0</v>
      </c>
      <c r="I547" s="26"/>
      <c r="J547" s="26"/>
    </row>
    <row r="548" customFormat="false" ht="15" hidden="false" customHeight="false" outlineLevel="0" collapsed="false">
      <c r="A548" s="28"/>
      <c r="B548" s="26"/>
      <c r="C548" s="26"/>
      <c r="D548" s="32"/>
      <c r="E548" s="33" t="str">
        <f aca="false">IF(F548="","",IF(OR(F548="HDFC Bank (INR)",F548="HDFC IOCL Credit Card (INR)",F548="HDFC Swiggy Credit Card (INR)",F548="Axis Airtel Credit Card (INR)"),"INR","GBP"))</f>
        <v/>
      </c>
      <c r="F548" s="26"/>
      <c r="G548" s="26"/>
      <c r="H548" s="34" t="n">
        <f aca="false">IF(G548="Yes","",D548)</f>
        <v>0</v>
      </c>
      <c r="I548" s="26"/>
      <c r="J548" s="26"/>
    </row>
    <row r="549" customFormat="false" ht="15" hidden="false" customHeight="false" outlineLevel="0" collapsed="false">
      <c r="A549" s="28"/>
      <c r="B549" s="26"/>
      <c r="C549" s="26"/>
      <c r="D549" s="32"/>
      <c r="E549" s="33" t="str">
        <f aca="false">IF(F549="","",IF(OR(F549="HDFC Bank (INR)",F549="HDFC IOCL Credit Card (INR)",F549="HDFC Swiggy Credit Card (INR)",F549="Axis Airtel Credit Card (INR)"),"INR","GBP"))</f>
        <v/>
      </c>
      <c r="F549" s="26"/>
      <c r="G549" s="26"/>
      <c r="H549" s="34" t="n">
        <f aca="false">IF(G549="Yes","",D549)</f>
        <v>0</v>
      </c>
      <c r="I549" s="26"/>
      <c r="J549" s="26"/>
    </row>
    <row r="550" customFormat="false" ht="15" hidden="false" customHeight="false" outlineLevel="0" collapsed="false">
      <c r="A550" s="28"/>
      <c r="B550" s="26"/>
      <c r="C550" s="26"/>
      <c r="D550" s="32"/>
      <c r="E550" s="33" t="str">
        <f aca="false">IF(F550="","",IF(OR(F550="HDFC Bank (INR)",F550="HDFC IOCL Credit Card (INR)",F550="HDFC Swiggy Credit Card (INR)",F550="Axis Airtel Credit Card (INR)"),"INR","GBP"))</f>
        <v/>
      </c>
      <c r="F550" s="26"/>
      <c r="G550" s="26"/>
      <c r="H550" s="34" t="n">
        <f aca="false">IF(G550="Yes","",D550)</f>
        <v>0</v>
      </c>
      <c r="I550" s="26"/>
      <c r="J550" s="26"/>
    </row>
    <row r="551" customFormat="false" ht="15" hidden="false" customHeight="false" outlineLevel="0" collapsed="false">
      <c r="A551" s="28"/>
      <c r="B551" s="26"/>
      <c r="C551" s="26"/>
      <c r="D551" s="32"/>
      <c r="E551" s="33" t="str">
        <f aca="false">IF(F551="","",IF(OR(F551="HDFC Bank (INR)",F551="HDFC IOCL Credit Card (INR)",F551="HDFC Swiggy Credit Card (INR)",F551="Axis Airtel Credit Card (INR)"),"INR","GBP"))</f>
        <v/>
      </c>
      <c r="F551" s="26"/>
      <c r="G551" s="26"/>
      <c r="H551" s="34" t="n">
        <f aca="false">IF(G551="Yes","",D551)</f>
        <v>0</v>
      </c>
      <c r="I551" s="26"/>
      <c r="J551" s="26"/>
    </row>
    <row r="552" customFormat="false" ht="15" hidden="false" customHeight="false" outlineLevel="0" collapsed="false">
      <c r="A552" s="28"/>
      <c r="B552" s="26"/>
      <c r="C552" s="26"/>
      <c r="D552" s="32"/>
      <c r="E552" s="33" t="str">
        <f aca="false">IF(F552="","",IF(OR(F552="HDFC Bank (INR)",F552="HDFC IOCL Credit Card (INR)",F552="HDFC Swiggy Credit Card (INR)",F552="Axis Airtel Credit Card (INR)"),"INR","GBP"))</f>
        <v/>
      </c>
      <c r="F552" s="26"/>
      <c r="G552" s="26"/>
      <c r="H552" s="34" t="n">
        <f aca="false">IF(G552="Yes","",D552)</f>
        <v>0</v>
      </c>
      <c r="I552" s="26"/>
      <c r="J552" s="26"/>
    </row>
    <row r="553" customFormat="false" ht="15" hidden="false" customHeight="false" outlineLevel="0" collapsed="false">
      <c r="A553" s="28"/>
      <c r="B553" s="26"/>
      <c r="C553" s="26"/>
      <c r="D553" s="32"/>
      <c r="E553" s="33" t="str">
        <f aca="false">IF(F553="","",IF(OR(F553="HDFC Bank (INR)",F553="HDFC IOCL Credit Card (INR)",F553="HDFC Swiggy Credit Card (INR)",F553="Axis Airtel Credit Card (INR)"),"INR","GBP"))</f>
        <v/>
      </c>
      <c r="F553" s="26"/>
      <c r="G553" s="26"/>
      <c r="H553" s="34" t="n">
        <f aca="false">IF(G553="Yes","",D553)</f>
        <v>0</v>
      </c>
      <c r="I553" s="26"/>
      <c r="J553" s="26"/>
    </row>
    <row r="554" customFormat="false" ht="15" hidden="false" customHeight="false" outlineLevel="0" collapsed="false">
      <c r="A554" s="28"/>
      <c r="B554" s="26"/>
      <c r="C554" s="26"/>
      <c r="D554" s="32"/>
      <c r="E554" s="33" t="str">
        <f aca="false">IF(F554="","",IF(OR(F554="HDFC Bank (INR)",F554="HDFC IOCL Credit Card (INR)",F554="HDFC Swiggy Credit Card (INR)",F554="Axis Airtel Credit Card (INR)"),"INR","GBP"))</f>
        <v/>
      </c>
      <c r="F554" s="26"/>
      <c r="G554" s="26"/>
      <c r="H554" s="34" t="n">
        <f aca="false">IF(G554="Yes","",D554)</f>
        <v>0</v>
      </c>
      <c r="I554" s="26"/>
      <c r="J554" s="26"/>
    </row>
    <row r="555" customFormat="false" ht="15" hidden="false" customHeight="false" outlineLevel="0" collapsed="false">
      <c r="A555" s="28"/>
      <c r="B555" s="26"/>
      <c r="C555" s="26"/>
      <c r="D555" s="32"/>
      <c r="E555" s="33" t="str">
        <f aca="false">IF(F555="","",IF(OR(F555="HDFC Bank (INR)",F555="HDFC IOCL Credit Card (INR)",F555="HDFC Swiggy Credit Card (INR)",F555="Axis Airtel Credit Card (INR)"),"INR","GBP"))</f>
        <v/>
      </c>
      <c r="F555" s="26"/>
      <c r="G555" s="26"/>
      <c r="H555" s="34" t="n">
        <f aca="false">IF(G555="Yes","",D555)</f>
        <v>0</v>
      </c>
      <c r="I555" s="26"/>
      <c r="J555" s="26"/>
    </row>
    <row r="556" customFormat="false" ht="15" hidden="false" customHeight="false" outlineLevel="0" collapsed="false">
      <c r="A556" s="28"/>
      <c r="B556" s="26"/>
      <c r="C556" s="26"/>
      <c r="D556" s="32"/>
      <c r="E556" s="33" t="str">
        <f aca="false">IF(F556="","",IF(OR(F556="HDFC Bank (INR)",F556="HDFC IOCL Credit Card (INR)",F556="HDFC Swiggy Credit Card (INR)",F556="Axis Airtel Credit Card (INR)"),"INR","GBP"))</f>
        <v/>
      </c>
      <c r="F556" s="26"/>
      <c r="G556" s="26"/>
      <c r="H556" s="34" t="n">
        <f aca="false">IF(G556="Yes","",D556)</f>
        <v>0</v>
      </c>
      <c r="I556" s="26"/>
      <c r="J556" s="26"/>
    </row>
    <row r="557" customFormat="false" ht="15" hidden="false" customHeight="false" outlineLevel="0" collapsed="false">
      <c r="A557" s="28"/>
      <c r="B557" s="26"/>
      <c r="C557" s="26"/>
      <c r="D557" s="32"/>
      <c r="E557" s="33" t="str">
        <f aca="false">IF(F557="","",IF(OR(F557="HDFC Bank (INR)",F557="HDFC IOCL Credit Card (INR)",F557="HDFC Swiggy Credit Card (INR)",F557="Axis Airtel Credit Card (INR)"),"INR","GBP"))</f>
        <v/>
      </c>
      <c r="F557" s="26"/>
      <c r="G557" s="26"/>
      <c r="H557" s="34" t="n">
        <f aca="false">IF(G557="Yes","",D557)</f>
        <v>0</v>
      </c>
      <c r="I557" s="26"/>
      <c r="J557" s="26"/>
    </row>
    <row r="558" customFormat="false" ht="15" hidden="false" customHeight="false" outlineLevel="0" collapsed="false">
      <c r="A558" s="28"/>
      <c r="B558" s="26"/>
      <c r="C558" s="26"/>
      <c r="D558" s="32"/>
      <c r="E558" s="33" t="str">
        <f aca="false">IF(F558="","",IF(OR(F558="HDFC Bank (INR)",F558="HDFC IOCL Credit Card (INR)",F558="HDFC Swiggy Credit Card (INR)",F558="Axis Airtel Credit Card (INR)"),"INR","GBP"))</f>
        <v/>
      </c>
      <c r="F558" s="26"/>
      <c r="G558" s="26"/>
      <c r="H558" s="34" t="n">
        <f aca="false">IF(G558="Yes","",D558)</f>
        <v>0</v>
      </c>
      <c r="I558" s="26"/>
      <c r="J558" s="26"/>
    </row>
    <row r="559" customFormat="false" ht="15" hidden="false" customHeight="false" outlineLevel="0" collapsed="false">
      <c r="A559" s="28"/>
      <c r="B559" s="26"/>
      <c r="C559" s="26"/>
      <c r="D559" s="32"/>
      <c r="E559" s="33" t="str">
        <f aca="false">IF(F559="","",IF(OR(F559="HDFC Bank (INR)",F559="HDFC IOCL Credit Card (INR)",F559="HDFC Swiggy Credit Card (INR)",F559="Axis Airtel Credit Card (INR)"),"INR","GBP"))</f>
        <v/>
      </c>
      <c r="F559" s="26"/>
      <c r="G559" s="26"/>
      <c r="H559" s="34" t="n">
        <f aca="false">IF(G559="Yes","",D559)</f>
        <v>0</v>
      </c>
      <c r="I559" s="26"/>
      <c r="J559" s="26"/>
    </row>
    <row r="560" customFormat="false" ht="15" hidden="false" customHeight="false" outlineLevel="0" collapsed="false">
      <c r="A560" s="28"/>
      <c r="B560" s="26"/>
      <c r="C560" s="26"/>
      <c r="D560" s="32"/>
      <c r="E560" s="33" t="str">
        <f aca="false">IF(F560="","",IF(OR(F560="HDFC Bank (INR)",F560="HDFC IOCL Credit Card (INR)",F560="HDFC Swiggy Credit Card (INR)",F560="Axis Airtel Credit Card (INR)"),"INR","GBP"))</f>
        <v/>
      </c>
      <c r="F560" s="26"/>
      <c r="G560" s="26"/>
      <c r="H560" s="34" t="n">
        <f aca="false">IF(G560="Yes","",D560)</f>
        <v>0</v>
      </c>
      <c r="I560" s="26"/>
      <c r="J560" s="26"/>
    </row>
    <row r="561" customFormat="false" ht="15" hidden="false" customHeight="false" outlineLevel="0" collapsed="false">
      <c r="A561" s="28"/>
      <c r="B561" s="26"/>
      <c r="C561" s="26"/>
      <c r="D561" s="32"/>
      <c r="E561" s="33" t="str">
        <f aca="false">IF(F561="","",IF(OR(F561="HDFC Bank (INR)",F561="HDFC IOCL Credit Card (INR)",F561="HDFC Swiggy Credit Card (INR)",F561="Axis Airtel Credit Card (INR)"),"INR","GBP"))</f>
        <v/>
      </c>
      <c r="F561" s="26"/>
      <c r="G561" s="26"/>
      <c r="H561" s="34" t="n">
        <f aca="false">IF(G561="Yes","",D561)</f>
        <v>0</v>
      </c>
      <c r="I561" s="26"/>
      <c r="J561" s="26"/>
    </row>
    <row r="562" customFormat="false" ht="15" hidden="false" customHeight="false" outlineLevel="0" collapsed="false">
      <c r="A562" s="28"/>
      <c r="B562" s="26"/>
      <c r="C562" s="26"/>
      <c r="D562" s="32"/>
      <c r="E562" s="33" t="str">
        <f aca="false">IF(F562="","",IF(OR(F562="HDFC Bank (INR)",F562="HDFC IOCL Credit Card (INR)",F562="HDFC Swiggy Credit Card (INR)",F562="Axis Airtel Credit Card (INR)"),"INR","GBP"))</f>
        <v/>
      </c>
      <c r="F562" s="26"/>
      <c r="G562" s="26"/>
      <c r="H562" s="34" t="n">
        <f aca="false">IF(G562="Yes","",D562)</f>
        <v>0</v>
      </c>
      <c r="I562" s="26"/>
      <c r="J562" s="26"/>
    </row>
    <row r="563" customFormat="false" ht="15" hidden="false" customHeight="false" outlineLevel="0" collapsed="false">
      <c r="A563" s="28"/>
      <c r="B563" s="26"/>
      <c r="C563" s="26"/>
      <c r="D563" s="32"/>
      <c r="E563" s="33" t="str">
        <f aca="false">IF(F563="","",IF(OR(F563="HDFC Bank (INR)",F563="HDFC IOCL Credit Card (INR)",F563="HDFC Swiggy Credit Card (INR)",F563="Axis Airtel Credit Card (INR)"),"INR","GBP"))</f>
        <v/>
      </c>
      <c r="F563" s="26"/>
      <c r="G563" s="26"/>
      <c r="H563" s="34" t="n">
        <f aca="false">IF(G563="Yes","",D563)</f>
        <v>0</v>
      </c>
      <c r="I563" s="26"/>
      <c r="J563" s="26"/>
    </row>
    <row r="564" customFormat="false" ht="15" hidden="false" customHeight="false" outlineLevel="0" collapsed="false">
      <c r="A564" s="28"/>
      <c r="B564" s="26"/>
      <c r="C564" s="26"/>
      <c r="D564" s="32"/>
      <c r="E564" s="33" t="str">
        <f aca="false">IF(F564="","",IF(OR(F564="HDFC Bank (INR)",F564="HDFC IOCL Credit Card (INR)",F564="HDFC Swiggy Credit Card (INR)",F564="Axis Airtel Credit Card (INR)"),"INR","GBP"))</f>
        <v/>
      </c>
      <c r="F564" s="26"/>
      <c r="G564" s="26"/>
      <c r="H564" s="34" t="n">
        <f aca="false">IF(G564="Yes","",D564)</f>
        <v>0</v>
      </c>
      <c r="I564" s="26"/>
      <c r="J564" s="26"/>
    </row>
    <row r="565" customFormat="false" ht="15" hidden="false" customHeight="false" outlineLevel="0" collapsed="false">
      <c r="A565" s="28"/>
      <c r="B565" s="26"/>
      <c r="C565" s="26"/>
      <c r="D565" s="32"/>
      <c r="E565" s="33" t="str">
        <f aca="false">IF(F565="","",IF(OR(F565="HDFC Bank (INR)",F565="HDFC IOCL Credit Card (INR)",F565="HDFC Swiggy Credit Card (INR)",F565="Axis Airtel Credit Card (INR)"),"INR","GBP"))</f>
        <v/>
      </c>
      <c r="F565" s="26"/>
      <c r="G565" s="26"/>
      <c r="H565" s="34" t="n">
        <f aca="false">IF(G565="Yes","",D565)</f>
        <v>0</v>
      </c>
      <c r="I565" s="26"/>
      <c r="J565" s="26"/>
    </row>
    <row r="566" customFormat="false" ht="15" hidden="false" customHeight="false" outlineLevel="0" collapsed="false">
      <c r="A566" s="28"/>
      <c r="B566" s="26"/>
      <c r="C566" s="26"/>
      <c r="D566" s="32"/>
      <c r="E566" s="33" t="str">
        <f aca="false">IF(F566="","",IF(OR(F566="HDFC Bank (INR)",F566="HDFC IOCL Credit Card (INR)",F566="HDFC Swiggy Credit Card (INR)",F566="Axis Airtel Credit Card (INR)"),"INR","GBP"))</f>
        <v/>
      </c>
      <c r="F566" s="26"/>
      <c r="G566" s="26"/>
      <c r="H566" s="34" t="n">
        <f aca="false">IF(G566="Yes","",D566)</f>
        <v>0</v>
      </c>
      <c r="I566" s="26"/>
      <c r="J566" s="26"/>
    </row>
    <row r="567" customFormat="false" ht="15" hidden="false" customHeight="false" outlineLevel="0" collapsed="false">
      <c r="A567" s="28"/>
      <c r="B567" s="26"/>
      <c r="C567" s="26"/>
      <c r="D567" s="32"/>
      <c r="E567" s="33" t="str">
        <f aca="false">IF(F567="","",IF(OR(F567="HDFC Bank (INR)",F567="HDFC IOCL Credit Card (INR)",F567="HDFC Swiggy Credit Card (INR)",F567="Axis Airtel Credit Card (INR)"),"INR","GBP"))</f>
        <v/>
      </c>
      <c r="F567" s="26"/>
      <c r="G567" s="26"/>
      <c r="H567" s="34" t="n">
        <f aca="false">IF(G567="Yes","",D567)</f>
        <v>0</v>
      </c>
      <c r="I567" s="26"/>
      <c r="J567" s="26"/>
    </row>
    <row r="568" customFormat="false" ht="15" hidden="false" customHeight="false" outlineLevel="0" collapsed="false">
      <c r="A568" s="28"/>
      <c r="B568" s="26"/>
      <c r="C568" s="26"/>
      <c r="D568" s="32"/>
      <c r="E568" s="33" t="str">
        <f aca="false">IF(F568="","",IF(OR(F568="HDFC Bank (INR)",F568="HDFC IOCL Credit Card (INR)",F568="HDFC Swiggy Credit Card (INR)",F568="Axis Airtel Credit Card (INR)"),"INR","GBP"))</f>
        <v/>
      </c>
      <c r="F568" s="26"/>
      <c r="G568" s="26"/>
      <c r="H568" s="34" t="n">
        <f aca="false">IF(G568="Yes","",D568)</f>
        <v>0</v>
      </c>
      <c r="I568" s="26"/>
      <c r="J568" s="26"/>
    </row>
    <row r="569" customFormat="false" ht="15" hidden="false" customHeight="false" outlineLevel="0" collapsed="false">
      <c r="A569" s="28"/>
      <c r="B569" s="26"/>
      <c r="C569" s="26"/>
      <c r="D569" s="32"/>
      <c r="E569" s="33" t="str">
        <f aca="false">IF(F569="","",IF(OR(F569="HDFC Bank (INR)",F569="HDFC IOCL Credit Card (INR)",F569="HDFC Swiggy Credit Card (INR)",F569="Axis Airtel Credit Card (INR)"),"INR","GBP"))</f>
        <v/>
      </c>
      <c r="F569" s="26"/>
      <c r="G569" s="26"/>
      <c r="H569" s="34" t="n">
        <f aca="false">IF(G569="Yes","",D569)</f>
        <v>0</v>
      </c>
      <c r="I569" s="26"/>
      <c r="J569" s="26"/>
    </row>
    <row r="570" customFormat="false" ht="15" hidden="false" customHeight="false" outlineLevel="0" collapsed="false">
      <c r="A570" s="28"/>
      <c r="B570" s="26"/>
      <c r="C570" s="26"/>
      <c r="D570" s="32"/>
      <c r="E570" s="33" t="str">
        <f aca="false">IF(F570="","",IF(OR(F570="HDFC Bank (INR)",F570="HDFC IOCL Credit Card (INR)",F570="HDFC Swiggy Credit Card (INR)",F570="Axis Airtel Credit Card (INR)"),"INR","GBP"))</f>
        <v/>
      </c>
      <c r="F570" s="26"/>
      <c r="G570" s="26"/>
      <c r="H570" s="34" t="n">
        <f aca="false">IF(G570="Yes","",D570)</f>
        <v>0</v>
      </c>
      <c r="I570" s="26"/>
      <c r="J570" s="26"/>
    </row>
    <row r="571" customFormat="false" ht="15" hidden="false" customHeight="false" outlineLevel="0" collapsed="false">
      <c r="A571" s="28"/>
      <c r="B571" s="26"/>
      <c r="C571" s="26"/>
      <c r="D571" s="32"/>
      <c r="E571" s="33" t="str">
        <f aca="false">IF(F571="","",IF(OR(F571="HDFC Bank (INR)",F571="HDFC IOCL Credit Card (INR)",F571="HDFC Swiggy Credit Card (INR)",F571="Axis Airtel Credit Card (INR)"),"INR","GBP"))</f>
        <v/>
      </c>
      <c r="F571" s="26"/>
      <c r="G571" s="26"/>
      <c r="H571" s="34" t="n">
        <f aca="false">IF(G571="Yes","",D571)</f>
        <v>0</v>
      </c>
      <c r="I571" s="26"/>
      <c r="J571" s="26"/>
    </row>
    <row r="572" customFormat="false" ht="15" hidden="false" customHeight="false" outlineLevel="0" collapsed="false">
      <c r="A572" s="28"/>
      <c r="B572" s="26"/>
      <c r="C572" s="26"/>
      <c r="D572" s="32"/>
      <c r="E572" s="33" t="str">
        <f aca="false">IF(F572="","",IF(OR(F572="HDFC Bank (INR)",F572="HDFC IOCL Credit Card (INR)",F572="HDFC Swiggy Credit Card (INR)",F572="Axis Airtel Credit Card (INR)"),"INR","GBP"))</f>
        <v/>
      </c>
      <c r="F572" s="26"/>
      <c r="G572" s="26"/>
      <c r="H572" s="34" t="n">
        <f aca="false">IF(G572="Yes","",D572)</f>
        <v>0</v>
      </c>
      <c r="I572" s="26"/>
      <c r="J572" s="26"/>
    </row>
    <row r="573" customFormat="false" ht="15" hidden="false" customHeight="false" outlineLevel="0" collapsed="false">
      <c r="A573" s="28"/>
      <c r="B573" s="26"/>
      <c r="C573" s="26"/>
      <c r="D573" s="32"/>
      <c r="E573" s="33" t="str">
        <f aca="false">IF(F573="","",IF(OR(F573="HDFC Bank (INR)",F573="HDFC IOCL Credit Card (INR)",F573="HDFC Swiggy Credit Card (INR)",F573="Axis Airtel Credit Card (INR)"),"INR","GBP"))</f>
        <v/>
      </c>
      <c r="F573" s="26"/>
      <c r="G573" s="26"/>
      <c r="H573" s="34" t="n">
        <f aca="false">IF(G573="Yes","",D573)</f>
        <v>0</v>
      </c>
      <c r="I573" s="26"/>
      <c r="J573" s="26"/>
    </row>
    <row r="574" customFormat="false" ht="15" hidden="false" customHeight="false" outlineLevel="0" collapsed="false">
      <c r="A574" s="28"/>
      <c r="B574" s="26"/>
      <c r="C574" s="26"/>
      <c r="D574" s="32"/>
      <c r="E574" s="33" t="str">
        <f aca="false">IF(F574="","",IF(OR(F574="HDFC Bank (INR)",F574="HDFC IOCL Credit Card (INR)",F574="HDFC Swiggy Credit Card (INR)",F574="Axis Airtel Credit Card (INR)"),"INR","GBP"))</f>
        <v/>
      </c>
      <c r="F574" s="26"/>
      <c r="G574" s="26"/>
      <c r="H574" s="34" t="n">
        <f aca="false">IF(G574="Yes","",D574)</f>
        <v>0</v>
      </c>
      <c r="I574" s="26"/>
      <c r="J574" s="26"/>
    </row>
    <row r="575" customFormat="false" ht="15" hidden="false" customHeight="false" outlineLevel="0" collapsed="false">
      <c r="A575" s="28"/>
      <c r="B575" s="26"/>
      <c r="C575" s="26"/>
      <c r="D575" s="32"/>
      <c r="E575" s="33" t="str">
        <f aca="false">IF(F575="","",IF(OR(F575="HDFC Bank (INR)",F575="HDFC IOCL Credit Card (INR)",F575="HDFC Swiggy Credit Card (INR)",F575="Axis Airtel Credit Card (INR)"),"INR","GBP"))</f>
        <v/>
      </c>
      <c r="F575" s="26"/>
      <c r="G575" s="26"/>
      <c r="H575" s="34" t="n">
        <f aca="false">IF(G575="Yes","",D575)</f>
        <v>0</v>
      </c>
      <c r="I575" s="26"/>
      <c r="J575" s="26"/>
    </row>
    <row r="576" customFormat="false" ht="15" hidden="false" customHeight="false" outlineLevel="0" collapsed="false">
      <c r="A576" s="28"/>
      <c r="B576" s="26"/>
      <c r="C576" s="26"/>
      <c r="D576" s="32"/>
      <c r="E576" s="33" t="str">
        <f aca="false">IF(F576="","",IF(OR(F576="HDFC Bank (INR)",F576="HDFC IOCL Credit Card (INR)",F576="HDFC Swiggy Credit Card (INR)",F576="Axis Airtel Credit Card (INR)"),"INR","GBP"))</f>
        <v/>
      </c>
      <c r="F576" s="26"/>
      <c r="G576" s="26"/>
      <c r="H576" s="34" t="n">
        <f aca="false">IF(G576="Yes","",D576)</f>
        <v>0</v>
      </c>
      <c r="I576" s="26"/>
      <c r="J576" s="26"/>
    </row>
    <row r="577" customFormat="false" ht="15" hidden="false" customHeight="false" outlineLevel="0" collapsed="false">
      <c r="A577" s="28"/>
      <c r="B577" s="26"/>
      <c r="C577" s="26"/>
      <c r="D577" s="32"/>
      <c r="E577" s="33" t="str">
        <f aca="false">IF(F577="","",IF(OR(F577="HDFC Bank (INR)",F577="HDFC IOCL Credit Card (INR)",F577="HDFC Swiggy Credit Card (INR)",F577="Axis Airtel Credit Card (INR)"),"INR","GBP"))</f>
        <v/>
      </c>
      <c r="F577" s="26"/>
      <c r="G577" s="26"/>
      <c r="H577" s="34" t="n">
        <f aca="false">IF(G577="Yes","",D577)</f>
        <v>0</v>
      </c>
      <c r="I577" s="26"/>
      <c r="J577" s="26"/>
    </row>
    <row r="578" customFormat="false" ht="15" hidden="false" customHeight="false" outlineLevel="0" collapsed="false">
      <c r="A578" s="28"/>
      <c r="B578" s="26"/>
      <c r="C578" s="26"/>
      <c r="D578" s="32"/>
      <c r="E578" s="33" t="str">
        <f aca="false">IF(F578="","",IF(OR(F578="HDFC Bank (INR)",F578="HDFC IOCL Credit Card (INR)",F578="HDFC Swiggy Credit Card (INR)",F578="Axis Airtel Credit Card (INR)"),"INR","GBP"))</f>
        <v/>
      </c>
      <c r="F578" s="26"/>
      <c r="G578" s="26"/>
      <c r="H578" s="34" t="n">
        <f aca="false">IF(G578="Yes","",D578)</f>
        <v>0</v>
      </c>
      <c r="I578" s="26"/>
      <c r="J578" s="26"/>
    </row>
    <row r="579" customFormat="false" ht="15" hidden="false" customHeight="false" outlineLevel="0" collapsed="false">
      <c r="A579" s="28"/>
      <c r="B579" s="26"/>
      <c r="C579" s="26"/>
      <c r="D579" s="32"/>
      <c r="E579" s="33" t="str">
        <f aca="false">IF(F579="","",IF(OR(F579="HDFC Bank (INR)",F579="HDFC IOCL Credit Card (INR)",F579="HDFC Swiggy Credit Card (INR)",F579="Axis Airtel Credit Card (INR)"),"INR","GBP"))</f>
        <v/>
      </c>
      <c r="F579" s="26"/>
      <c r="G579" s="26"/>
      <c r="H579" s="34" t="n">
        <f aca="false">IF(G579="Yes","",D579)</f>
        <v>0</v>
      </c>
      <c r="I579" s="26"/>
      <c r="J579" s="26"/>
    </row>
    <row r="580" customFormat="false" ht="15" hidden="false" customHeight="false" outlineLevel="0" collapsed="false">
      <c r="A580" s="28"/>
      <c r="B580" s="26"/>
      <c r="C580" s="26"/>
      <c r="D580" s="32"/>
      <c r="E580" s="33" t="str">
        <f aca="false">IF(F580="","",IF(OR(F580="HDFC Bank (INR)",F580="HDFC IOCL Credit Card (INR)",F580="HDFC Swiggy Credit Card (INR)",F580="Axis Airtel Credit Card (INR)"),"INR","GBP"))</f>
        <v/>
      </c>
      <c r="F580" s="26"/>
      <c r="G580" s="26"/>
      <c r="H580" s="34" t="n">
        <f aca="false">IF(G580="Yes","",D580)</f>
        <v>0</v>
      </c>
      <c r="I580" s="26"/>
      <c r="J580" s="26"/>
    </row>
    <row r="581" customFormat="false" ht="15" hidden="false" customHeight="false" outlineLevel="0" collapsed="false">
      <c r="A581" s="28"/>
      <c r="B581" s="26"/>
      <c r="C581" s="26"/>
      <c r="D581" s="32"/>
      <c r="E581" s="33" t="str">
        <f aca="false">IF(F581="","",IF(OR(F581="HDFC Bank (INR)",F581="HDFC IOCL Credit Card (INR)",F581="HDFC Swiggy Credit Card (INR)",F581="Axis Airtel Credit Card (INR)"),"INR","GBP"))</f>
        <v/>
      </c>
      <c r="F581" s="26"/>
      <c r="G581" s="26"/>
      <c r="H581" s="34" t="n">
        <f aca="false">IF(G581="Yes","",D581)</f>
        <v>0</v>
      </c>
      <c r="I581" s="26"/>
      <c r="J581" s="26"/>
    </row>
    <row r="582" customFormat="false" ht="15" hidden="false" customHeight="false" outlineLevel="0" collapsed="false">
      <c r="A582" s="28"/>
      <c r="B582" s="26"/>
      <c r="C582" s="26"/>
      <c r="D582" s="32"/>
      <c r="E582" s="33" t="str">
        <f aca="false">IF(F582="","",IF(OR(F582="HDFC Bank (INR)",F582="HDFC IOCL Credit Card (INR)",F582="HDFC Swiggy Credit Card (INR)",F582="Axis Airtel Credit Card (INR)"),"INR","GBP"))</f>
        <v/>
      </c>
      <c r="F582" s="26"/>
      <c r="G582" s="26"/>
      <c r="H582" s="34" t="n">
        <f aca="false">IF(G582="Yes","",D582)</f>
        <v>0</v>
      </c>
      <c r="I582" s="26"/>
      <c r="J582" s="26"/>
    </row>
    <row r="583" customFormat="false" ht="15" hidden="false" customHeight="false" outlineLevel="0" collapsed="false">
      <c r="A583" s="28"/>
      <c r="B583" s="26"/>
      <c r="C583" s="26"/>
      <c r="D583" s="32"/>
      <c r="E583" s="33" t="str">
        <f aca="false">IF(F583="","",IF(OR(F583="HDFC Bank (INR)",F583="HDFC IOCL Credit Card (INR)",F583="HDFC Swiggy Credit Card (INR)",F583="Axis Airtel Credit Card (INR)"),"INR","GBP"))</f>
        <v/>
      </c>
      <c r="F583" s="26"/>
      <c r="G583" s="26"/>
      <c r="H583" s="34" t="n">
        <f aca="false">IF(G583="Yes","",D583)</f>
        <v>0</v>
      </c>
      <c r="I583" s="26"/>
      <c r="J583" s="26"/>
    </row>
    <row r="584" customFormat="false" ht="15" hidden="false" customHeight="false" outlineLevel="0" collapsed="false">
      <c r="A584" s="28"/>
      <c r="B584" s="26"/>
      <c r="C584" s="26"/>
      <c r="D584" s="32"/>
      <c r="E584" s="33" t="str">
        <f aca="false">IF(F584="","",IF(OR(F584="HDFC Bank (INR)",F584="HDFC IOCL Credit Card (INR)",F584="HDFC Swiggy Credit Card (INR)",F584="Axis Airtel Credit Card (INR)"),"INR","GBP"))</f>
        <v/>
      </c>
      <c r="F584" s="26"/>
      <c r="G584" s="26"/>
      <c r="H584" s="34" t="n">
        <f aca="false">IF(G584="Yes","",D584)</f>
        <v>0</v>
      </c>
      <c r="I584" s="26"/>
      <c r="J584" s="26"/>
    </row>
    <row r="585" customFormat="false" ht="15" hidden="false" customHeight="false" outlineLevel="0" collapsed="false">
      <c r="A585" s="28"/>
      <c r="B585" s="26"/>
      <c r="C585" s="26"/>
      <c r="D585" s="32"/>
      <c r="E585" s="33" t="str">
        <f aca="false">IF(F585="","",IF(OR(F585="HDFC Bank (INR)",F585="HDFC IOCL Credit Card (INR)",F585="HDFC Swiggy Credit Card (INR)",F585="Axis Airtel Credit Card (INR)"),"INR","GBP"))</f>
        <v/>
      </c>
      <c r="F585" s="26"/>
      <c r="G585" s="26"/>
      <c r="H585" s="34" t="n">
        <f aca="false">IF(G585="Yes","",D585)</f>
        <v>0</v>
      </c>
      <c r="I585" s="26"/>
      <c r="J585" s="26"/>
    </row>
    <row r="586" customFormat="false" ht="15" hidden="false" customHeight="false" outlineLevel="0" collapsed="false">
      <c r="A586" s="28"/>
      <c r="B586" s="26"/>
      <c r="C586" s="26"/>
      <c r="D586" s="32"/>
      <c r="E586" s="33" t="str">
        <f aca="false">IF(F586="","",IF(OR(F586="HDFC Bank (INR)",F586="HDFC IOCL Credit Card (INR)",F586="HDFC Swiggy Credit Card (INR)",F586="Axis Airtel Credit Card (INR)"),"INR","GBP"))</f>
        <v/>
      </c>
      <c r="F586" s="26"/>
      <c r="G586" s="26"/>
      <c r="H586" s="34" t="n">
        <f aca="false">IF(G586="Yes","",D586)</f>
        <v>0</v>
      </c>
      <c r="I586" s="26"/>
      <c r="J586" s="26"/>
    </row>
    <row r="587" customFormat="false" ht="15" hidden="false" customHeight="false" outlineLevel="0" collapsed="false">
      <c r="A587" s="28"/>
      <c r="B587" s="26"/>
      <c r="C587" s="26"/>
      <c r="D587" s="32"/>
      <c r="E587" s="33" t="str">
        <f aca="false">IF(F587="","",IF(OR(F587="HDFC Bank (INR)",F587="HDFC IOCL Credit Card (INR)",F587="HDFC Swiggy Credit Card (INR)",F587="Axis Airtel Credit Card (INR)"),"INR","GBP"))</f>
        <v/>
      </c>
      <c r="F587" s="26"/>
      <c r="G587" s="26"/>
      <c r="H587" s="34" t="n">
        <f aca="false">IF(G587="Yes","",D587)</f>
        <v>0</v>
      </c>
      <c r="I587" s="26"/>
      <c r="J587" s="26"/>
    </row>
    <row r="588" customFormat="false" ht="15" hidden="false" customHeight="false" outlineLevel="0" collapsed="false">
      <c r="A588" s="28"/>
      <c r="B588" s="26"/>
      <c r="C588" s="26"/>
      <c r="D588" s="32"/>
      <c r="E588" s="33" t="str">
        <f aca="false">IF(F588="","",IF(OR(F588="HDFC Bank (INR)",F588="HDFC IOCL Credit Card (INR)",F588="HDFC Swiggy Credit Card (INR)",F588="Axis Airtel Credit Card (INR)"),"INR","GBP"))</f>
        <v/>
      </c>
      <c r="F588" s="26"/>
      <c r="G588" s="26"/>
      <c r="H588" s="34" t="n">
        <f aca="false">IF(G588="Yes","",D588)</f>
        <v>0</v>
      </c>
      <c r="I588" s="26"/>
      <c r="J588" s="26"/>
    </row>
    <row r="589" customFormat="false" ht="15" hidden="false" customHeight="false" outlineLevel="0" collapsed="false">
      <c r="A589" s="28"/>
      <c r="B589" s="26"/>
      <c r="C589" s="26"/>
      <c r="D589" s="32"/>
      <c r="E589" s="33" t="str">
        <f aca="false">IF(F589="","",IF(OR(F589="HDFC Bank (INR)",F589="HDFC IOCL Credit Card (INR)",F589="HDFC Swiggy Credit Card (INR)",F589="Axis Airtel Credit Card (INR)"),"INR","GBP"))</f>
        <v/>
      </c>
      <c r="F589" s="26"/>
      <c r="G589" s="26"/>
      <c r="H589" s="34" t="n">
        <f aca="false">IF(G589="Yes","",D589)</f>
        <v>0</v>
      </c>
      <c r="I589" s="26"/>
      <c r="J589" s="26"/>
    </row>
    <row r="590" customFormat="false" ht="15" hidden="false" customHeight="false" outlineLevel="0" collapsed="false">
      <c r="A590" s="28"/>
      <c r="B590" s="26"/>
      <c r="C590" s="26"/>
      <c r="D590" s="32"/>
      <c r="E590" s="33" t="str">
        <f aca="false">IF(F590="","",IF(OR(F590="HDFC Bank (INR)",F590="HDFC IOCL Credit Card (INR)",F590="HDFC Swiggy Credit Card (INR)",F590="Axis Airtel Credit Card (INR)"),"INR","GBP"))</f>
        <v/>
      </c>
      <c r="F590" s="26"/>
      <c r="G590" s="26"/>
      <c r="H590" s="34" t="n">
        <f aca="false">IF(G590="Yes","",D590)</f>
        <v>0</v>
      </c>
      <c r="I590" s="26"/>
      <c r="J590" s="26"/>
    </row>
    <row r="591" customFormat="false" ht="15" hidden="false" customHeight="false" outlineLevel="0" collapsed="false">
      <c r="A591" s="28"/>
      <c r="B591" s="26"/>
      <c r="C591" s="26"/>
      <c r="D591" s="32"/>
      <c r="E591" s="33" t="str">
        <f aca="false">IF(F591="","",IF(OR(F591="HDFC Bank (INR)",F591="HDFC IOCL Credit Card (INR)",F591="HDFC Swiggy Credit Card (INR)",F591="Axis Airtel Credit Card (INR)"),"INR","GBP"))</f>
        <v/>
      </c>
      <c r="F591" s="26"/>
      <c r="G591" s="26"/>
      <c r="H591" s="34" t="n">
        <f aca="false">IF(G591="Yes","",D591)</f>
        <v>0</v>
      </c>
      <c r="I591" s="26"/>
      <c r="J591" s="26"/>
    </row>
    <row r="592" customFormat="false" ht="15" hidden="false" customHeight="false" outlineLevel="0" collapsed="false">
      <c r="A592" s="28"/>
      <c r="B592" s="26"/>
      <c r="C592" s="26"/>
      <c r="D592" s="32"/>
      <c r="E592" s="33" t="str">
        <f aca="false">IF(F592="","",IF(OR(F592="HDFC Bank (INR)",F592="HDFC IOCL Credit Card (INR)",F592="HDFC Swiggy Credit Card (INR)",F592="Axis Airtel Credit Card (INR)"),"INR","GBP"))</f>
        <v/>
      </c>
      <c r="F592" s="26"/>
      <c r="G592" s="26"/>
      <c r="H592" s="34" t="n">
        <f aca="false">IF(G592="Yes","",D592)</f>
        <v>0</v>
      </c>
      <c r="I592" s="26"/>
      <c r="J592" s="26"/>
    </row>
    <row r="593" customFormat="false" ht="15" hidden="false" customHeight="false" outlineLevel="0" collapsed="false">
      <c r="A593" s="28"/>
      <c r="B593" s="26"/>
      <c r="C593" s="26"/>
      <c r="D593" s="32"/>
      <c r="E593" s="33" t="str">
        <f aca="false">IF(F593="","",IF(OR(F593="HDFC Bank (INR)",F593="HDFC IOCL Credit Card (INR)",F593="HDFC Swiggy Credit Card (INR)",F593="Axis Airtel Credit Card (INR)"),"INR","GBP"))</f>
        <v/>
      </c>
      <c r="F593" s="26"/>
      <c r="G593" s="26"/>
      <c r="H593" s="34" t="n">
        <f aca="false">IF(G593="Yes","",D593)</f>
        <v>0</v>
      </c>
      <c r="I593" s="26"/>
      <c r="J593" s="26"/>
    </row>
    <row r="594" customFormat="false" ht="15" hidden="false" customHeight="false" outlineLevel="0" collapsed="false">
      <c r="A594" s="28"/>
      <c r="B594" s="26"/>
      <c r="C594" s="26"/>
      <c r="D594" s="32"/>
      <c r="E594" s="33" t="str">
        <f aca="false">IF(F594="","",IF(OR(F594="HDFC Bank (INR)",F594="HDFC IOCL Credit Card (INR)",F594="HDFC Swiggy Credit Card (INR)",F594="Axis Airtel Credit Card (INR)"),"INR","GBP"))</f>
        <v/>
      </c>
      <c r="F594" s="26"/>
      <c r="G594" s="26"/>
      <c r="H594" s="34" t="n">
        <f aca="false">IF(G594="Yes","",D594)</f>
        <v>0</v>
      </c>
      <c r="I594" s="26"/>
      <c r="J594" s="26"/>
    </row>
    <row r="595" customFormat="false" ht="15" hidden="false" customHeight="false" outlineLevel="0" collapsed="false">
      <c r="A595" s="28"/>
      <c r="B595" s="26"/>
      <c r="C595" s="26"/>
      <c r="D595" s="32"/>
      <c r="E595" s="33" t="str">
        <f aca="false">IF(F595="","",IF(OR(F595="HDFC Bank (INR)",F595="HDFC IOCL Credit Card (INR)",F595="HDFC Swiggy Credit Card (INR)",F595="Axis Airtel Credit Card (INR)"),"INR","GBP"))</f>
        <v/>
      </c>
      <c r="F595" s="26"/>
      <c r="G595" s="26"/>
      <c r="H595" s="34" t="n">
        <f aca="false">IF(G595="Yes","",D595)</f>
        <v>0</v>
      </c>
      <c r="I595" s="26"/>
      <c r="J595" s="26"/>
    </row>
    <row r="596" customFormat="false" ht="15" hidden="false" customHeight="false" outlineLevel="0" collapsed="false">
      <c r="A596" s="28"/>
      <c r="B596" s="26"/>
      <c r="C596" s="26"/>
      <c r="D596" s="32"/>
      <c r="E596" s="33" t="str">
        <f aca="false">IF(F596="","",IF(OR(F596="HDFC Bank (INR)",F596="HDFC IOCL Credit Card (INR)",F596="HDFC Swiggy Credit Card (INR)",F596="Axis Airtel Credit Card (INR)"),"INR","GBP"))</f>
        <v/>
      </c>
      <c r="F596" s="26"/>
      <c r="G596" s="26"/>
      <c r="H596" s="34" t="n">
        <f aca="false">IF(G596="Yes","",D596)</f>
        <v>0</v>
      </c>
      <c r="I596" s="26"/>
      <c r="J596" s="26"/>
    </row>
    <row r="597" customFormat="false" ht="15" hidden="false" customHeight="false" outlineLevel="0" collapsed="false">
      <c r="A597" s="28"/>
      <c r="B597" s="26"/>
      <c r="C597" s="26"/>
      <c r="D597" s="32"/>
      <c r="E597" s="33" t="str">
        <f aca="false">IF(F597="","",IF(OR(F597="HDFC Bank (INR)",F597="HDFC IOCL Credit Card (INR)",F597="HDFC Swiggy Credit Card (INR)",F597="Axis Airtel Credit Card (INR)"),"INR","GBP"))</f>
        <v/>
      </c>
      <c r="F597" s="26"/>
      <c r="G597" s="26"/>
      <c r="H597" s="34" t="n">
        <f aca="false">IF(G597="Yes","",D597)</f>
        <v>0</v>
      </c>
      <c r="I597" s="26"/>
      <c r="J597" s="26"/>
    </row>
    <row r="598" customFormat="false" ht="15" hidden="false" customHeight="false" outlineLevel="0" collapsed="false">
      <c r="A598" s="28"/>
      <c r="B598" s="26"/>
      <c r="C598" s="26"/>
      <c r="D598" s="32"/>
      <c r="E598" s="33" t="str">
        <f aca="false">IF(F598="","",IF(OR(F598="HDFC Bank (INR)",F598="HDFC IOCL Credit Card (INR)",F598="HDFC Swiggy Credit Card (INR)",F598="Axis Airtel Credit Card (INR)"),"INR","GBP"))</f>
        <v/>
      </c>
      <c r="F598" s="26"/>
      <c r="G598" s="26"/>
      <c r="H598" s="34" t="n">
        <f aca="false">IF(G598="Yes","",D598)</f>
        <v>0</v>
      </c>
      <c r="I598" s="26"/>
      <c r="J598" s="26"/>
    </row>
    <row r="599" customFormat="false" ht="15" hidden="false" customHeight="false" outlineLevel="0" collapsed="false">
      <c r="A599" s="28"/>
      <c r="B599" s="26"/>
      <c r="C599" s="26"/>
      <c r="D599" s="32"/>
      <c r="E599" s="33" t="str">
        <f aca="false">IF(F599="","",IF(OR(F599="HDFC Bank (INR)",F599="HDFC IOCL Credit Card (INR)",F599="HDFC Swiggy Credit Card (INR)",F599="Axis Airtel Credit Card (INR)"),"INR","GBP"))</f>
        <v/>
      </c>
      <c r="F599" s="26"/>
      <c r="G599" s="26"/>
      <c r="H599" s="34" t="n">
        <f aca="false">IF(G599="Yes","",D599)</f>
        <v>0</v>
      </c>
      <c r="I599" s="26"/>
      <c r="J599" s="26"/>
    </row>
    <row r="600" customFormat="false" ht="15" hidden="false" customHeight="false" outlineLevel="0" collapsed="false">
      <c r="A600" s="28"/>
      <c r="B600" s="26"/>
      <c r="C600" s="26"/>
      <c r="D600" s="32"/>
      <c r="E600" s="33" t="str">
        <f aca="false">IF(F600="","",IF(OR(F600="HDFC Bank (INR)",F600="HDFC IOCL Credit Card (INR)",F600="HDFC Swiggy Credit Card (INR)",F600="Axis Airtel Credit Card (INR)"),"INR","GBP"))</f>
        <v/>
      </c>
      <c r="F600" s="26"/>
      <c r="G600" s="26"/>
      <c r="H600" s="34" t="n">
        <f aca="false">IF(G600="Yes","",D600)</f>
        <v>0</v>
      </c>
      <c r="I600" s="26"/>
      <c r="J600" s="26"/>
    </row>
    <row r="601" customFormat="false" ht="15" hidden="false" customHeight="false" outlineLevel="0" collapsed="false">
      <c r="A601" s="28"/>
      <c r="B601" s="26"/>
      <c r="C601" s="26"/>
      <c r="D601" s="32"/>
      <c r="E601" s="33" t="str">
        <f aca="false">IF(F601="","",IF(OR(F601="HDFC Bank (INR)",F601="HDFC IOCL Credit Card (INR)",F601="HDFC Swiggy Credit Card (INR)",F601="Axis Airtel Credit Card (INR)"),"INR","GBP"))</f>
        <v/>
      </c>
      <c r="F601" s="26"/>
      <c r="G601" s="26"/>
      <c r="H601" s="34" t="n">
        <f aca="false">IF(G601="Yes","",D601)</f>
        <v>0</v>
      </c>
      <c r="I601" s="26"/>
      <c r="J601" s="26"/>
    </row>
    <row r="602" customFormat="false" ht="15" hidden="false" customHeight="false" outlineLevel="0" collapsed="false">
      <c r="A602" s="28"/>
      <c r="B602" s="26"/>
      <c r="C602" s="26"/>
      <c r="D602" s="32"/>
      <c r="E602" s="33" t="str">
        <f aca="false">IF(F602="","",IF(OR(F602="HDFC Bank (INR)",F602="HDFC IOCL Credit Card (INR)",F602="HDFC Swiggy Credit Card (INR)",F602="Axis Airtel Credit Card (INR)"),"INR","GBP"))</f>
        <v/>
      </c>
      <c r="F602" s="26"/>
      <c r="G602" s="26"/>
      <c r="H602" s="34" t="n">
        <f aca="false">IF(G602="Yes","",D602)</f>
        <v>0</v>
      </c>
      <c r="I602" s="26"/>
      <c r="J602" s="26"/>
    </row>
    <row r="603" customFormat="false" ht="15" hidden="false" customHeight="false" outlineLevel="0" collapsed="false">
      <c r="A603" s="28"/>
      <c r="B603" s="26"/>
      <c r="C603" s="26"/>
      <c r="D603" s="32"/>
      <c r="E603" s="33" t="str">
        <f aca="false">IF(F603="","",IF(OR(F603="HDFC Bank (INR)",F603="HDFC IOCL Credit Card (INR)",F603="HDFC Swiggy Credit Card (INR)",F603="Axis Airtel Credit Card (INR)"),"INR","GBP"))</f>
        <v/>
      </c>
      <c r="F603" s="26"/>
      <c r="G603" s="26"/>
      <c r="H603" s="34" t="n">
        <f aca="false">IF(G603="Yes","",D603)</f>
        <v>0</v>
      </c>
      <c r="I603" s="26"/>
      <c r="J603" s="26"/>
    </row>
    <row r="604" customFormat="false" ht="15" hidden="false" customHeight="false" outlineLevel="0" collapsed="false">
      <c r="A604" s="28"/>
      <c r="B604" s="26"/>
      <c r="C604" s="26"/>
      <c r="D604" s="32"/>
      <c r="E604" s="33" t="str">
        <f aca="false">IF(F604="","",IF(OR(F604="HDFC Bank (INR)",F604="HDFC IOCL Credit Card (INR)",F604="HDFC Swiggy Credit Card (INR)",F604="Axis Airtel Credit Card (INR)"),"INR","GBP"))</f>
        <v/>
      </c>
      <c r="F604" s="26"/>
      <c r="G604" s="26"/>
      <c r="H604" s="34" t="n">
        <f aca="false">IF(G604="Yes","",D604)</f>
        <v>0</v>
      </c>
      <c r="I604" s="26"/>
      <c r="J604" s="26"/>
    </row>
    <row r="605" customFormat="false" ht="15" hidden="false" customHeight="false" outlineLevel="0" collapsed="false">
      <c r="A605" s="28"/>
      <c r="B605" s="26"/>
      <c r="C605" s="26"/>
      <c r="D605" s="32"/>
      <c r="E605" s="33" t="str">
        <f aca="false">IF(F605="","",IF(OR(F605="HDFC Bank (INR)",F605="HDFC IOCL Credit Card (INR)",F605="HDFC Swiggy Credit Card (INR)",F605="Axis Airtel Credit Card (INR)"),"INR","GBP"))</f>
        <v/>
      </c>
      <c r="F605" s="26"/>
      <c r="G605" s="26"/>
      <c r="H605" s="34" t="n">
        <f aca="false">IF(G605="Yes","",D605)</f>
        <v>0</v>
      </c>
      <c r="I605" s="26"/>
      <c r="J605" s="26"/>
    </row>
    <row r="606" customFormat="false" ht="15" hidden="false" customHeight="false" outlineLevel="0" collapsed="false">
      <c r="A606" s="28"/>
      <c r="B606" s="26"/>
      <c r="C606" s="26"/>
      <c r="D606" s="32"/>
      <c r="E606" s="33" t="str">
        <f aca="false">IF(F606="","",IF(OR(F606="HDFC Bank (INR)",F606="HDFC IOCL Credit Card (INR)",F606="HDFC Swiggy Credit Card (INR)",F606="Axis Airtel Credit Card (INR)"),"INR","GBP"))</f>
        <v/>
      </c>
      <c r="F606" s="26"/>
      <c r="G606" s="26"/>
      <c r="H606" s="34" t="n">
        <f aca="false">IF(G606="Yes","",D606)</f>
        <v>0</v>
      </c>
      <c r="I606" s="26"/>
      <c r="J606" s="26"/>
    </row>
    <row r="607" customFormat="false" ht="15" hidden="false" customHeight="false" outlineLevel="0" collapsed="false">
      <c r="A607" s="28"/>
      <c r="B607" s="26"/>
      <c r="C607" s="26"/>
      <c r="D607" s="32"/>
      <c r="E607" s="33" t="str">
        <f aca="false">IF(F607="","",IF(OR(F607="HDFC Bank (INR)",F607="HDFC IOCL Credit Card (INR)",F607="HDFC Swiggy Credit Card (INR)",F607="Axis Airtel Credit Card (INR)"),"INR","GBP"))</f>
        <v/>
      </c>
      <c r="F607" s="26"/>
      <c r="G607" s="26"/>
      <c r="H607" s="34" t="n">
        <f aca="false">IF(G607="Yes","",D607)</f>
        <v>0</v>
      </c>
      <c r="I607" s="26"/>
      <c r="J607" s="26"/>
    </row>
    <row r="608" customFormat="false" ht="15" hidden="false" customHeight="false" outlineLevel="0" collapsed="false">
      <c r="A608" s="28"/>
      <c r="B608" s="26"/>
      <c r="C608" s="26"/>
      <c r="D608" s="32"/>
      <c r="E608" s="33" t="str">
        <f aca="false">IF(F608="","",IF(OR(F608="HDFC Bank (INR)",F608="HDFC IOCL Credit Card (INR)",F608="HDFC Swiggy Credit Card (INR)",F608="Axis Airtel Credit Card (INR)"),"INR","GBP"))</f>
        <v/>
      </c>
      <c r="F608" s="26"/>
      <c r="G608" s="26"/>
      <c r="H608" s="34" t="n">
        <f aca="false">IF(G608="Yes","",D608)</f>
        <v>0</v>
      </c>
      <c r="I608" s="26"/>
      <c r="J608" s="26"/>
    </row>
    <row r="609" customFormat="false" ht="15" hidden="false" customHeight="false" outlineLevel="0" collapsed="false">
      <c r="A609" s="28"/>
      <c r="B609" s="26"/>
      <c r="C609" s="26"/>
      <c r="D609" s="32"/>
      <c r="E609" s="33" t="str">
        <f aca="false">IF(F609="","",IF(OR(F609="HDFC Bank (INR)",F609="HDFC IOCL Credit Card (INR)",F609="HDFC Swiggy Credit Card (INR)",F609="Axis Airtel Credit Card (INR)"),"INR","GBP"))</f>
        <v/>
      </c>
      <c r="F609" s="26"/>
      <c r="G609" s="26"/>
      <c r="H609" s="34" t="n">
        <f aca="false">IF(G609="Yes","",D609)</f>
        <v>0</v>
      </c>
      <c r="I609" s="26"/>
      <c r="J609" s="26"/>
    </row>
    <row r="610" customFormat="false" ht="15" hidden="false" customHeight="false" outlineLevel="0" collapsed="false">
      <c r="A610" s="28"/>
      <c r="B610" s="26"/>
      <c r="C610" s="26"/>
      <c r="D610" s="32"/>
      <c r="E610" s="33" t="str">
        <f aca="false">IF(F610="","",IF(OR(F610="HDFC Bank (INR)",F610="HDFC IOCL Credit Card (INR)",F610="HDFC Swiggy Credit Card (INR)",F610="Axis Airtel Credit Card (INR)"),"INR","GBP"))</f>
        <v/>
      </c>
      <c r="F610" s="26"/>
      <c r="G610" s="26"/>
      <c r="H610" s="34" t="n">
        <f aca="false">IF(G610="Yes","",D610)</f>
        <v>0</v>
      </c>
      <c r="I610" s="26"/>
      <c r="J610" s="26"/>
    </row>
    <row r="611" customFormat="false" ht="15" hidden="false" customHeight="false" outlineLevel="0" collapsed="false">
      <c r="A611" s="28"/>
      <c r="B611" s="26"/>
      <c r="C611" s="26"/>
      <c r="D611" s="32"/>
      <c r="E611" s="33" t="str">
        <f aca="false">IF(F611="","",IF(OR(F611="HDFC Bank (INR)",F611="HDFC IOCL Credit Card (INR)",F611="HDFC Swiggy Credit Card (INR)",F611="Axis Airtel Credit Card (INR)"),"INR","GBP"))</f>
        <v/>
      </c>
      <c r="F611" s="26"/>
      <c r="G611" s="26"/>
      <c r="H611" s="34" t="n">
        <f aca="false">IF(G611="Yes","",D611)</f>
        <v>0</v>
      </c>
      <c r="I611" s="26"/>
      <c r="J611" s="26"/>
    </row>
    <row r="612" customFormat="false" ht="15" hidden="false" customHeight="false" outlineLevel="0" collapsed="false">
      <c r="A612" s="28"/>
      <c r="B612" s="26"/>
      <c r="C612" s="26"/>
      <c r="D612" s="32"/>
      <c r="E612" s="33" t="str">
        <f aca="false">IF(F612="","",IF(OR(F612="HDFC Bank (INR)",F612="HDFC IOCL Credit Card (INR)",F612="HDFC Swiggy Credit Card (INR)",F612="Axis Airtel Credit Card (INR)"),"INR","GBP"))</f>
        <v/>
      </c>
      <c r="F612" s="26"/>
      <c r="G612" s="26"/>
      <c r="H612" s="34" t="n">
        <f aca="false">IF(G612="Yes","",D612)</f>
        <v>0</v>
      </c>
      <c r="I612" s="26"/>
      <c r="J612" s="26"/>
    </row>
    <row r="613" customFormat="false" ht="15" hidden="false" customHeight="false" outlineLevel="0" collapsed="false">
      <c r="A613" s="28"/>
      <c r="B613" s="26"/>
      <c r="C613" s="26"/>
      <c r="D613" s="32"/>
      <c r="E613" s="33" t="str">
        <f aca="false">IF(F613="","",IF(OR(F613="HDFC Bank (INR)",F613="HDFC IOCL Credit Card (INR)",F613="HDFC Swiggy Credit Card (INR)",F613="Axis Airtel Credit Card (INR)"),"INR","GBP"))</f>
        <v/>
      </c>
      <c r="F613" s="26"/>
      <c r="G613" s="26"/>
      <c r="H613" s="34" t="n">
        <f aca="false">IF(G613="Yes","",D613)</f>
        <v>0</v>
      </c>
      <c r="I613" s="26"/>
      <c r="J613" s="26"/>
    </row>
    <row r="614" customFormat="false" ht="15" hidden="false" customHeight="false" outlineLevel="0" collapsed="false">
      <c r="A614" s="28"/>
      <c r="B614" s="26"/>
      <c r="C614" s="26"/>
      <c r="D614" s="32"/>
      <c r="E614" s="33" t="str">
        <f aca="false">IF(F614="","",IF(OR(F614="HDFC Bank (INR)",F614="HDFC IOCL Credit Card (INR)",F614="HDFC Swiggy Credit Card (INR)",F614="Axis Airtel Credit Card (INR)"),"INR","GBP"))</f>
        <v/>
      </c>
      <c r="F614" s="26"/>
      <c r="G614" s="26"/>
      <c r="H614" s="34" t="n">
        <f aca="false">IF(G614="Yes","",D614)</f>
        <v>0</v>
      </c>
      <c r="I614" s="26"/>
      <c r="J614" s="26"/>
    </row>
    <row r="615" customFormat="false" ht="15" hidden="false" customHeight="false" outlineLevel="0" collapsed="false">
      <c r="A615" s="28"/>
      <c r="B615" s="26"/>
      <c r="C615" s="26"/>
      <c r="D615" s="32"/>
      <c r="E615" s="33" t="str">
        <f aca="false">IF(F615="","",IF(OR(F615="HDFC Bank (INR)",F615="HDFC IOCL Credit Card (INR)",F615="HDFC Swiggy Credit Card (INR)",F615="Axis Airtel Credit Card (INR)"),"INR","GBP"))</f>
        <v/>
      </c>
      <c r="F615" s="26"/>
      <c r="G615" s="26"/>
      <c r="H615" s="34" t="n">
        <f aca="false">IF(G615="Yes","",D615)</f>
        <v>0</v>
      </c>
      <c r="I615" s="26"/>
      <c r="J615" s="26"/>
    </row>
    <row r="616" customFormat="false" ht="15" hidden="false" customHeight="false" outlineLevel="0" collapsed="false">
      <c r="A616" s="28"/>
      <c r="B616" s="26"/>
      <c r="C616" s="26"/>
      <c r="D616" s="32"/>
      <c r="E616" s="33" t="str">
        <f aca="false">IF(F616="","",IF(OR(F616="HDFC Bank (INR)",F616="HDFC IOCL Credit Card (INR)",F616="HDFC Swiggy Credit Card (INR)",F616="Axis Airtel Credit Card (INR)"),"INR","GBP"))</f>
        <v/>
      </c>
      <c r="F616" s="26"/>
      <c r="G616" s="26"/>
      <c r="H616" s="34" t="n">
        <f aca="false">IF(G616="Yes","",D616)</f>
        <v>0</v>
      </c>
      <c r="I616" s="26"/>
      <c r="J616" s="26"/>
    </row>
    <row r="617" customFormat="false" ht="15" hidden="false" customHeight="false" outlineLevel="0" collapsed="false">
      <c r="A617" s="28"/>
      <c r="B617" s="26"/>
      <c r="C617" s="26"/>
      <c r="D617" s="32"/>
      <c r="E617" s="33" t="str">
        <f aca="false">IF(F617="","",IF(OR(F617="HDFC Bank (INR)",F617="HDFC IOCL Credit Card (INR)",F617="HDFC Swiggy Credit Card (INR)",F617="Axis Airtel Credit Card (INR)"),"INR","GBP"))</f>
        <v/>
      </c>
      <c r="F617" s="26"/>
      <c r="G617" s="26"/>
      <c r="H617" s="34" t="n">
        <f aca="false">IF(G617="Yes","",D617)</f>
        <v>0</v>
      </c>
      <c r="I617" s="26"/>
      <c r="J617" s="26"/>
    </row>
    <row r="618" customFormat="false" ht="15" hidden="false" customHeight="false" outlineLevel="0" collapsed="false">
      <c r="A618" s="28"/>
      <c r="B618" s="26"/>
      <c r="C618" s="26"/>
      <c r="D618" s="32"/>
      <c r="E618" s="33" t="str">
        <f aca="false">IF(F618="","",IF(OR(F618="HDFC Bank (INR)",F618="HDFC IOCL Credit Card (INR)",F618="HDFC Swiggy Credit Card (INR)",F618="Axis Airtel Credit Card (INR)"),"INR","GBP"))</f>
        <v/>
      </c>
      <c r="F618" s="26"/>
      <c r="G618" s="26"/>
      <c r="H618" s="34" t="n">
        <f aca="false">IF(G618="Yes","",D618)</f>
        <v>0</v>
      </c>
      <c r="I618" s="26"/>
      <c r="J618" s="26"/>
    </row>
    <row r="619" customFormat="false" ht="15" hidden="false" customHeight="false" outlineLevel="0" collapsed="false">
      <c r="A619" s="28"/>
      <c r="B619" s="26"/>
      <c r="C619" s="26"/>
      <c r="D619" s="32"/>
      <c r="E619" s="33" t="str">
        <f aca="false">IF(F619="","",IF(OR(F619="HDFC Bank (INR)",F619="HDFC IOCL Credit Card (INR)",F619="HDFC Swiggy Credit Card (INR)",F619="Axis Airtel Credit Card (INR)"),"INR","GBP"))</f>
        <v/>
      </c>
      <c r="F619" s="26"/>
      <c r="G619" s="26"/>
      <c r="H619" s="34" t="n">
        <f aca="false">IF(G619="Yes","",D619)</f>
        <v>0</v>
      </c>
      <c r="I619" s="26"/>
      <c r="J619" s="26"/>
    </row>
    <row r="620" customFormat="false" ht="15" hidden="false" customHeight="false" outlineLevel="0" collapsed="false">
      <c r="A620" s="28"/>
      <c r="B620" s="26"/>
      <c r="C620" s="26"/>
      <c r="D620" s="32"/>
      <c r="E620" s="33" t="str">
        <f aca="false">IF(F620="","",IF(OR(F620="HDFC Bank (INR)",F620="HDFC IOCL Credit Card (INR)",F620="HDFC Swiggy Credit Card (INR)",F620="Axis Airtel Credit Card (INR)"),"INR","GBP"))</f>
        <v/>
      </c>
      <c r="F620" s="26"/>
      <c r="G620" s="26"/>
      <c r="H620" s="34" t="n">
        <f aca="false">IF(G620="Yes","",D620)</f>
        <v>0</v>
      </c>
      <c r="I620" s="26"/>
      <c r="J620" s="26"/>
    </row>
    <row r="621" customFormat="false" ht="15" hidden="false" customHeight="false" outlineLevel="0" collapsed="false">
      <c r="A621" s="28"/>
      <c r="B621" s="26"/>
      <c r="C621" s="26"/>
      <c r="D621" s="32"/>
      <c r="E621" s="33" t="str">
        <f aca="false">IF(F621="","",IF(OR(F621="HDFC Bank (INR)",F621="HDFC IOCL Credit Card (INR)",F621="HDFC Swiggy Credit Card (INR)",F621="Axis Airtel Credit Card (INR)"),"INR","GBP"))</f>
        <v/>
      </c>
      <c r="F621" s="26"/>
      <c r="G621" s="26"/>
      <c r="H621" s="34" t="n">
        <f aca="false">IF(G621="Yes","",D621)</f>
        <v>0</v>
      </c>
      <c r="I621" s="26"/>
      <c r="J621" s="26"/>
    </row>
    <row r="622" customFormat="false" ht="15" hidden="false" customHeight="false" outlineLevel="0" collapsed="false">
      <c r="A622" s="28"/>
      <c r="B622" s="26"/>
      <c r="C622" s="26"/>
      <c r="D622" s="32"/>
      <c r="E622" s="33" t="str">
        <f aca="false">IF(F622="","",IF(OR(F622="HDFC Bank (INR)",F622="HDFC IOCL Credit Card (INR)",F622="HDFC Swiggy Credit Card (INR)",F622="Axis Airtel Credit Card (INR)"),"INR","GBP"))</f>
        <v/>
      </c>
      <c r="F622" s="26"/>
      <c r="G622" s="26"/>
      <c r="H622" s="34" t="n">
        <f aca="false">IF(G622="Yes","",D622)</f>
        <v>0</v>
      </c>
      <c r="I622" s="26"/>
      <c r="J622" s="26"/>
    </row>
    <row r="623" customFormat="false" ht="15" hidden="false" customHeight="false" outlineLevel="0" collapsed="false">
      <c r="A623" s="28"/>
      <c r="B623" s="26"/>
      <c r="C623" s="26"/>
      <c r="D623" s="32"/>
      <c r="E623" s="33" t="str">
        <f aca="false">IF(F623="","",IF(OR(F623="HDFC Bank (INR)",F623="HDFC IOCL Credit Card (INR)",F623="HDFC Swiggy Credit Card (INR)",F623="Axis Airtel Credit Card (INR)"),"INR","GBP"))</f>
        <v/>
      </c>
      <c r="F623" s="26"/>
      <c r="G623" s="26"/>
      <c r="H623" s="34" t="n">
        <f aca="false">IF(G623="Yes","",D623)</f>
        <v>0</v>
      </c>
      <c r="I623" s="26"/>
      <c r="J623" s="26"/>
    </row>
    <row r="624" customFormat="false" ht="15" hidden="false" customHeight="false" outlineLevel="0" collapsed="false">
      <c r="A624" s="28"/>
      <c r="B624" s="26"/>
      <c r="C624" s="26"/>
      <c r="D624" s="32"/>
      <c r="E624" s="33" t="str">
        <f aca="false">IF(F624="","",IF(OR(F624="HDFC Bank (INR)",F624="HDFC IOCL Credit Card (INR)",F624="HDFC Swiggy Credit Card (INR)",F624="Axis Airtel Credit Card (INR)"),"INR","GBP"))</f>
        <v/>
      </c>
      <c r="F624" s="26"/>
      <c r="G624" s="26"/>
      <c r="H624" s="34" t="n">
        <f aca="false">IF(G624="Yes","",D624)</f>
        <v>0</v>
      </c>
      <c r="I624" s="26"/>
      <c r="J624" s="26"/>
    </row>
    <row r="625" customFormat="false" ht="15" hidden="false" customHeight="false" outlineLevel="0" collapsed="false">
      <c r="A625" s="28"/>
      <c r="B625" s="26"/>
      <c r="C625" s="26"/>
      <c r="D625" s="32"/>
      <c r="E625" s="33" t="str">
        <f aca="false">IF(F625="","",IF(OR(F625="HDFC Bank (INR)",F625="HDFC IOCL Credit Card (INR)",F625="HDFC Swiggy Credit Card (INR)",F625="Axis Airtel Credit Card (INR)"),"INR","GBP"))</f>
        <v/>
      </c>
      <c r="F625" s="26"/>
      <c r="G625" s="26"/>
      <c r="H625" s="34" t="n">
        <f aca="false">IF(G625="Yes","",D625)</f>
        <v>0</v>
      </c>
      <c r="I625" s="26"/>
      <c r="J625" s="26"/>
    </row>
    <row r="626" customFormat="false" ht="15" hidden="false" customHeight="false" outlineLevel="0" collapsed="false">
      <c r="A626" s="28"/>
      <c r="B626" s="26"/>
      <c r="C626" s="26"/>
      <c r="D626" s="32"/>
      <c r="E626" s="33" t="str">
        <f aca="false">IF(F626="","",IF(OR(F626="HDFC Bank (INR)",F626="HDFC IOCL Credit Card (INR)",F626="HDFC Swiggy Credit Card (INR)",F626="Axis Airtel Credit Card (INR)"),"INR","GBP"))</f>
        <v/>
      </c>
      <c r="F626" s="26"/>
      <c r="G626" s="26"/>
      <c r="H626" s="34" t="n">
        <f aca="false">IF(G626="Yes","",D626)</f>
        <v>0</v>
      </c>
      <c r="I626" s="26"/>
      <c r="J626" s="26"/>
    </row>
    <row r="627" customFormat="false" ht="15" hidden="false" customHeight="false" outlineLevel="0" collapsed="false">
      <c r="A627" s="28"/>
      <c r="B627" s="26"/>
      <c r="C627" s="26"/>
      <c r="D627" s="32"/>
      <c r="E627" s="33" t="str">
        <f aca="false">IF(F627="","",IF(OR(F627="HDFC Bank (INR)",F627="HDFC IOCL Credit Card (INR)",F627="HDFC Swiggy Credit Card (INR)",F627="Axis Airtel Credit Card (INR)"),"INR","GBP"))</f>
        <v/>
      </c>
      <c r="F627" s="26"/>
      <c r="G627" s="26"/>
      <c r="H627" s="34" t="n">
        <f aca="false">IF(G627="Yes","",D627)</f>
        <v>0</v>
      </c>
      <c r="I627" s="26"/>
      <c r="J627" s="26"/>
    </row>
    <row r="628" customFormat="false" ht="15" hidden="false" customHeight="false" outlineLevel="0" collapsed="false">
      <c r="A628" s="28"/>
      <c r="B628" s="26"/>
      <c r="C628" s="26"/>
      <c r="D628" s="32"/>
      <c r="E628" s="33" t="str">
        <f aca="false">IF(F628="","",IF(OR(F628="HDFC Bank (INR)",F628="HDFC IOCL Credit Card (INR)",F628="HDFC Swiggy Credit Card (INR)",F628="Axis Airtel Credit Card (INR)"),"INR","GBP"))</f>
        <v/>
      </c>
      <c r="F628" s="26"/>
      <c r="G628" s="26"/>
      <c r="H628" s="34" t="n">
        <f aca="false">IF(G628="Yes","",D628)</f>
        <v>0</v>
      </c>
      <c r="I628" s="26"/>
      <c r="J628" s="26"/>
    </row>
    <row r="629" customFormat="false" ht="15" hidden="false" customHeight="false" outlineLevel="0" collapsed="false">
      <c r="A629" s="28"/>
      <c r="B629" s="26"/>
      <c r="C629" s="26"/>
      <c r="D629" s="32"/>
      <c r="E629" s="33" t="str">
        <f aca="false">IF(F629="","",IF(OR(F629="HDFC Bank (INR)",F629="HDFC IOCL Credit Card (INR)",F629="HDFC Swiggy Credit Card (INR)",F629="Axis Airtel Credit Card (INR)"),"INR","GBP"))</f>
        <v/>
      </c>
      <c r="F629" s="26"/>
      <c r="G629" s="26"/>
      <c r="H629" s="34" t="n">
        <f aca="false">IF(G629="Yes","",D629)</f>
        <v>0</v>
      </c>
      <c r="I629" s="26"/>
      <c r="J629" s="26"/>
    </row>
    <row r="630" customFormat="false" ht="15" hidden="false" customHeight="false" outlineLevel="0" collapsed="false">
      <c r="A630" s="28"/>
      <c r="B630" s="26"/>
      <c r="C630" s="26"/>
      <c r="D630" s="32"/>
      <c r="E630" s="33" t="str">
        <f aca="false">IF(F630="","",IF(OR(F630="HDFC Bank (INR)",F630="HDFC IOCL Credit Card (INR)",F630="HDFC Swiggy Credit Card (INR)",F630="Axis Airtel Credit Card (INR)"),"INR","GBP"))</f>
        <v/>
      </c>
      <c r="F630" s="26"/>
      <c r="G630" s="26"/>
      <c r="H630" s="34" t="n">
        <f aca="false">IF(G630="Yes","",D630)</f>
        <v>0</v>
      </c>
      <c r="I630" s="26"/>
      <c r="J630" s="26"/>
    </row>
    <row r="631" customFormat="false" ht="15" hidden="false" customHeight="false" outlineLevel="0" collapsed="false">
      <c r="A631" s="28"/>
      <c r="B631" s="26"/>
      <c r="C631" s="26"/>
      <c r="D631" s="32"/>
      <c r="E631" s="33" t="str">
        <f aca="false">IF(F631="","",IF(OR(F631="HDFC Bank (INR)",F631="HDFC IOCL Credit Card (INR)",F631="HDFC Swiggy Credit Card (INR)",F631="Axis Airtel Credit Card (INR)"),"INR","GBP"))</f>
        <v/>
      </c>
      <c r="F631" s="26"/>
      <c r="G631" s="26"/>
      <c r="H631" s="34" t="n">
        <f aca="false">IF(G631="Yes","",D631)</f>
        <v>0</v>
      </c>
      <c r="I631" s="26"/>
      <c r="J631" s="26"/>
    </row>
    <row r="632" customFormat="false" ht="15" hidden="false" customHeight="false" outlineLevel="0" collapsed="false">
      <c r="A632" s="28"/>
      <c r="B632" s="26"/>
      <c r="C632" s="26"/>
      <c r="D632" s="32"/>
      <c r="E632" s="33" t="str">
        <f aca="false">IF(F632="","",IF(OR(F632="HDFC Bank (INR)",F632="HDFC IOCL Credit Card (INR)",F632="HDFC Swiggy Credit Card (INR)",F632="Axis Airtel Credit Card (INR)"),"INR","GBP"))</f>
        <v/>
      </c>
      <c r="F632" s="26"/>
      <c r="G632" s="26"/>
      <c r="H632" s="34" t="n">
        <f aca="false">IF(G632="Yes","",D632)</f>
        <v>0</v>
      </c>
      <c r="I632" s="26"/>
      <c r="J632" s="26"/>
    </row>
    <row r="633" customFormat="false" ht="15" hidden="false" customHeight="false" outlineLevel="0" collapsed="false">
      <c r="A633" s="28"/>
      <c r="B633" s="26"/>
      <c r="C633" s="26"/>
      <c r="D633" s="32"/>
      <c r="E633" s="33" t="str">
        <f aca="false">IF(F633="","",IF(OR(F633="HDFC Bank (INR)",F633="HDFC IOCL Credit Card (INR)",F633="HDFC Swiggy Credit Card (INR)",F633="Axis Airtel Credit Card (INR)"),"INR","GBP"))</f>
        <v/>
      </c>
      <c r="F633" s="26"/>
      <c r="G633" s="26"/>
      <c r="H633" s="34" t="n">
        <f aca="false">IF(G633="Yes","",D633)</f>
        <v>0</v>
      </c>
      <c r="I633" s="26"/>
      <c r="J633" s="26"/>
    </row>
    <row r="634" customFormat="false" ht="15" hidden="false" customHeight="false" outlineLevel="0" collapsed="false">
      <c r="A634" s="28"/>
      <c r="B634" s="26"/>
      <c r="C634" s="26"/>
      <c r="D634" s="32"/>
      <c r="E634" s="33" t="str">
        <f aca="false">IF(F634="","",IF(OR(F634="HDFC Bank (INR)",F634="HDFC IOCL Credit Card (INR)",F634="HDFC Swiggy Credit Card (INR)",F634="Axis Airtel Credit Card (INR)"),"INR","GBP"))</f>
        <v/>
      </c>
      <c r="F634" s="26"/>
      <c r="G634" s="26"/>
      <c r="H634" s="34" t="n">
        <f aca="false">IF(G634="Yes","",D634)</f>
        <v>0</v>
      </c>
      <c r="I634" s="26"/>
      <c r="J634" s="26"/>
    </row>
    <row r="635" customFormat="false" ht="15" hidden="false" customHeight="false" outlineLevel="0" collapsed="false">
      <c r="A635" s="28"/>
      <c r="B635" s="26"/>
      <c r="C635" s="26"/>
      <c r="D635" s="32"/>
      <c r="E635" s="33" t="str">
        <f aca="false">IF(F635="","",IF(OR(F635="HDFC Bank (INR)",F635="HDFC IOCL Credit Card (INR)",F635="HDFC Swiggy Credit Card (INR)",F635="Axis Airtel Credit Card (INR)"),"INR","GBP"))</f>
        <v/>
      </c>
      <c r="F635" s="26"/>
      <c r="G635" s="26"/>
      <c r="H635" s="34" t="n">
        <f aca="false">IF(G635="Yes","",D635)</f>
        <v>0</v>
      </c>
      <c r="I635" s="26"/>
      <c r="J635" s="26"/>
    </row>
    <row r="636" customFormat="false" ht="15" hidden="false" customHeight="false" outlineLevel="0" collapsed="false">
      <c r="A636" s="28"/>
      <c r="B636" s="26"/>
      <c r="C636" s="26"/>
      <c r="D636" s="32"/>
      <c r="E636" s="33" t="str">
        <f aca="false">IF(F636="","",IF(OR(F636="HDFC Bank (INR)",F636="HDFC IOCL Credit Card (INR)",F636="HDFC Swiggy Credit Card (INR)",F636="Axis Airtel Credit Card (INR)"),"INR","GBP"))</f>
        <v/>
      </c>
      <c r="F636" s="26"/>
      <c r="G636" s="26"/>
      <c r="H636" s="34" t="n">
        <f aca="false">IF(G636="Yes","",D636)</f>
        <v>0</v>
      </c>
      <c r="I636" s="26"/>
      <c r="J636" s="26"/>
    </row>
    <row r="637" customFormat="false" ht="15" hidden="false" customHeight="false" outlineLevel="0" collapsed="false">
      <c r="A637" s="28"/>
      <c r="B637" s="26"/>
      <c r="C637" s="26"/>
      <c r="D637" s="32"/>
      <c r="E637" s="33" t="str">
        <f aca="false">IF(F637="","",IF(OR(F637="HDFC Bank (INR)",F637="HDFC IOCL Credit Card (INR)",F637="HDFC Swiggy Credit Card (INR)",F637="Axis Airtel Credit Card (INR)"),"INR","GBP"))</f>
        <v/>
      </c>
      <c r="F637" s="26"/>
      <c r="G637" s="26"/>
      <c r="H637" s="34" t="n">
        <f aca="false">IF(G637="Yes","",D637)</f>
        <v>0</v>
      </c>
      <c r="I637" s="26"/>
      <c r="J637" s="26"/>
    </row>
    <row r="638" customFormat="false" ht="15" hidden="false" customHeight="false" outlineLevel="0" collapsed="false">
      <c r="A638" s="28"/>
      <c r="B638" s="26"/>
      <c r="C638" s="26"/>
      <c r="D638" s="32"/>
      <c r="E638" s="33" t="str">
        <f aca="false">IF(F638="","",IF(OR(F638="HDFC Bank (INR)",F638="HDFC IOCL Credit Card (INR)",F638="HDFC Swiggy Credit Card (INR)",F638="Axis Airtel Credit Card (INR)"),"INR","GBP"))</f>
        <v/>
      </c>
      <c r="F638" s="26"/>
      <c r="G638" s="26"/>
      <c r="H638" s="34" t="n">
        <f aca="false">IF(G638="Yes","",D638)</f>
        <v>0</v>
      </c>
      <c r="I638" s="26"/>
      <c r="J638" s="26"/>
    </row>
    <row r="639" customFormat="false" ht="15" hidden="false" customHeight="false" outlineLevel="0" collapsed="false">
      <c r="A639" s="28"/>
      <c r="B639" s="26"/>
      <c r="C639" s="26"/>
      <c r="D639" s="32"/>
      <c r="E639" s="33" t="str">
        <f aca="false">IF(F639="","",IF(OR(F639="HDFC Bank (INR)",F639="HDFC IOCL Credit Card (INR)",F639="HDFC Swiggy Credit Card (INR)",F639="Axis Airtel Credit Card (INR)"),"INR","GBP"))</f>
        <v/>
      </c>
      <c r="F639" s="26"/>
      <c r="G639" s="26"/>
      <c r="H639" s="34" t="n">
        <f aca="false">IF(G639="Yes","",D639)</f>
        <v>0</v>
      </c>
      <c r="I639" s="26"/>
      <c r="J639" s="26"/>
    </row>
    <row r="640" customFormat="false" ht="15" hidden="false" customHeight="false" outlineLevel="0" collapsed="false">
      <c r="A640" s="28"/>
      <c r="B640" s="26"/>
      <c r="C640" s="26"/>
      <c r="D640" s="32"/>
      <c r="E640" s="33" t="str">
        <f aca="false">IF(F640="","",IF(OR(F640="HDFC Bank (INR)",F640="HDFC IOCL Credit Card (INR)",F640="HDFC Swiggy Credit Card (INR)",F640="Axis Airtel Credit Card (INR)"),"INR","GBP"))</f>
        <v/>
      </c>
      <c r="F640" s="26"/>
      <c r="G640" s="26"/>
      <c r="H640" s="34" t="n">
        <f aca="false">IF(G640="Yes","",D640)</f>
        <v>0</v>
      </c>
      <c r="I640" s="26"/>
      <c r="J640" s="26"/>
    </row>
    <row r="641" customFormat="false" ht="15" hidden="false" customHeight="false" outlineLevel="0" collapsed="false">
      <c r="A641" s="28"/>
      <c r="B641" s="26"/>
      <c r="C641" s="26"/>
      <c r="D641" s="32"/>
      <c r="E641" s="33" t="str">
        <f aca="false">IF(F641="","",IF(OR(F641="HDFC Bank (INR)",F641="HDFC IOCL Credit Card (INR)",F641="HDFC Swiggy Credit Card (INR)",F641="Axis Airtel Credit Card (INR)"),"INR","GBP"))</f>
        <v/>
      </c>
      <c r="F641" s="26"/>
      <c r="G641" s="26"/>
      <c r="H641" s="34" t="n">
        <f aca="false">IF(G641="Yes","",D641)</f>
        <v>0</v>
      </c>
      <c r="I641" s="26"/>
      <c r="J641" s="26"/>
    </row>
    <row r="642" customFormat="false" ht="15" hidden="false" customHeight="false" outlineLevel="0" collapsed="false">
      <c r="A642" s="28"/>
      <c r="B642" s="26"/>
      <c r="C642" s="26"/>
      <c r="D642" s="32"/>
      <c r="E642" s="33" t="str">
        <f aca="false">IF(F642="","",IF(OR(F642="HDFC Bank (INR)",F642="HDFC IOCL Credit Card (INR)",F642="HDFC Swiggy Credit Card (INR)",F642="Axis Airtel Credit Card (INR)"),"INR","GBP"))</f>
        <v/>
      </c>
      <c r="F642" s="26"/>
      <c r="G642" s="26"/>
      <c r="H642" s="34" t="n">
        <f aca="false">IF(G642="Yes","",D642)</f>
        <v>0</v>
      </c>
      <c r="I642" s="26"/>
      <c r="J642" s="26"/>
    </row>
    <row r="643" customFormat="false" ht="15" hidden="false" customHeight="false" outlineLevel="0" collapsed="false">
      <c r="A643" s="28"/>
      <c r="B643" s="26"/>
      <c r="C643" s="26"/>
      <c r="D643" s="32"/>
      <c r="E643" s="33" t="str">
        <f aca="false">IF(F643="","",IF(OR(F643="HDFC Bank (INR)",F643="HDFC IOCL Credit Card (INR)",F643="HDFC Swiggy Credit Card (INR)",F643="Axis Airtel Credit Card (INR)"),"INR","GBP"))</f>
        <v/>
      </c>
      <c r="F643" s="26"/>
      <c r="G643" s="26"/>
      <c r="H643" s="34" t="n">
        <f aca="false">IF(G643="Yes","",D643)</f>
        <v>0</v>
      </c>
      <c r="I643" s="26"/>
      <c r="J643" s="26"/>
    </row>
    <row r="644" customFormat="false" ht="15" hidden="false" customHeight="false" outlineLevel="0" collapsed="false">
      <c r="A644" s="28"/>
      <c r="B644" s="26"/>
      <c r="C644" s="26"/>
      <c r="D644" s="32"/>
      <c r="E644" s="33" t="str">
        <f aca="false">IF(F644="","",IF(OR(F644="HDFC Bank (INR)",F644="HDFC IOCL Credit Card (INR)",F644="HDFC Swiggy Credit Card (INR)",F644="Axis Airtel Credit Card (INR)"),"INR","GBP"))</f>
        <v/>
      </c>
      <c r="F644" s="26"/>
      <c r="G644" s="26"/>
      <c r="H644" s="34" t="n">
        <f aca="false">IF(G644="Yes","",D644)</f>
        <v>0</v>
      </c>
      <c r="I644" s="26"/>
      <c r="J644" s="26"/>
    </row>
    <row r="645" customFormat="false" ht="15" hidden="false" customHeight="false" outlineLevel="0" collapsed="false">
      <c r="A645" s="28"/>
      <c r="B645" s="26"/>
      <c r="C645" s="26"/>
      <c r="D645" s="32"/>
      <c r="E645" s="33" t="str">
        <f aca="false">IF(F645="","",IF(OR(F645="HDFC Bank (INR)",F645="HDFC IOCL Credit Card (INR)",F645="HDFC Swiggy Credit Card (INR)",F645="Axis Airtel Credit Card (INR)"),"INR","GBP"))</f>
        <v/>
      </c>
      <c r="F645" s="26"/>
      <c r="G645" s="26"/>
      <c r="H645" s="34" t="n">
        <f aca="false">IF(G645="Yes","",D645)</f>
        <v>0</v>
      </c>
      <c r="I645" s="26"/>
      <c r="J645" s="26"/>
    </row>
    <row r="646" customFormat="false" ht="15" hidden="false" customHeight="false" outlineLevel="0" collapsed="false">
      <c r="A646" s="28"/>
      <c r="B646" s="26"/>
      <c r="C646" s="26"/>
      <c r="D646" s="32"/>
      <c r="E646" s="33" t="str">
        <f aca="false">IF(F646="","",IF(OR(F646="HDFC Bank (INR)",F646="HDFC IOCL Credit Card (INR)",F646="HDFC Swiggy Credit Card (INR)",F646="Axis Airtel Credit Card (INR)"),"INR","GBP"))</f>
        <v/>
      </c>
      <c r="F646" s="26"/>
      <c r="G646" s="26"/>
      <c r="H646" s="34" t="n">
        <f aca="false">IF(G646="Yes","",D646)</f>
        <v>0</v>
      </c>
      <c r="I646" s="26"/>
      <c r="J646" s="26"/>
    </row>
    <row r="647" customFormat="false" ht="15" hidden="false" customHeight="false" outlineLevel="0" collapsed="false">
      <c r="A647" s="28"/>
      <c r="B647" s="26"/>
      <c r="C647" s="26"/>
      <c r="D647" s="32"/>
      <c r="E647" s="33" t="str">
        <f aca="false">IF(F647="","",IF(OR(F647="HDFC Bank (INR)",F647="HDFC IOCL Credit Card (INR)",F647="HDFC Swiggy Credit Card (INR)",F647="Axis Airtel Credit Card (INR)"),"INR","GBP"))</f>
        <v/>
      </c>
      <c r="F647" s="26"/>
      <c r="G647" s="26"/>
      <c r="H647" s="34" t="n">
        <f aca="false">IF(G647="Yes","",D647)</f>
        <v>0</v>
      </c>
      <c r="I647" s="26"/>
      <c r="J647" s="26"/>
    </row>
    <row r="648" customFormat="false" ht="15" hidden="false" customHeight="false" outlineLevel="0" collapsed="false">
      <c r="A648" s="28"/>
      <c r="B648" s="26"/>
      <c r="C648" s="26"/>
      <c r="D648" s="32"/>
      <c r="E648" s="33" t="str">
        <f aca="false">IF(F648="","",IF(OR(F648="HDFC Bank (INR)",F648="HDFC IOCL Credit Card (INR)",F648="HDFC Swiggy Credit Card (INR)",F648="Axis Airtel Credit Card (INR)"),"INR","GBP"))</f>
        <v/>
      </c>
      <c r="F648" s="26"/>
      <c r="G648" s="26"/>
      <c r="H648" s="34" t="n">
        <f aca="false">IF(G648="Yes","",D648)</f>
        <v>0</v>
      </c>
      <c r="I648" s="26"/>
      <c r="J648" s="26"/>
    </row>
    <row r="649" customFormat="false" ht="15" hidden="false" customHeight="false" outlineLevel="0" collapsed="false">
      <c r="A649" s="28"/>
      <c r="B649" s="26"/>
      <c r="C649" s="26"/>
      <c r="D649" s="32"/>
      <c r="E649" s="33" t="str">
        <f aca="false">IF(F649="","",IF(OR(F649="HDFC Bank (INR)",F649="HDFC IOCL Credit Card (INR)",F649="HDFC Swiggy Credit Card (INR)",F649="Axis Airtel Credit Card (INR)"),"INR","GBP"))</f>
        <v/>
      </c>
      <c r="F649" s="26"/>
      <c r="G649" s="26"/>
      <c r="H649" s="34" t="n">
        <f aca="false">IF(G649="Yes","",D649)</f>
        <v>0</v>
      </c>
      <c r="I649" s="26"/>
      <c r="J649" s="26"/>
    </row>
    <row r="650" customFormat="false" ht="15" hidden="false" customHeight="false" outlineLevel="0" collapsed="false">
      <c r="A650" s="28"/>
      <c r="B650" s="26"/>
      <c r="C650" s="26"/>
      <c r="D650" s="32"/>
      <c r="E650" s="33" t="str">
        <f aca="false">IF(F650="","",IF(OR(F650="HDFC Bank (INR)",F650="HDFC IOCL Credit Card (INR)",F650="HDFC Swiggy Credit Card (INR)",F650="Axis Airtel Credit Card (INR)"),"INR","GBP"))</f>
        <v/>
      </c>
      <c r="F650" s="26"/>
      <c r="G650" s="26"/>
      <c r="H650" s="34" t="n">
        <f aca="false">IF(G650="Yes","",D650)</f>
        <v>0</v>
      </c>
      <c r="I650" s="26"/>
      <c r="J650" s="26"/>
    </row>
    <row r="651" customFormat="false" ht="15" hidden="false" customHeight="false" outlineLevel="0" collapsed="false">
      <c r="A651" s="28"/>
      <c r="B651" s="26"/>
      <c r="C651" s="26"/>
      <c r="D651" s="32"/>
      <c r="E651" s="33" t="str">
        <f aca="false">IF(F651="","",IF(OR(F651="HDFC Bank (INR)",F651="HDFC IOCL Credit Card (INR)",F651="HDFC Swiggy Credit Card (INR)",F651="Axis Airtel Credit Card (INR)"),"INR","GBP"))</f>
        <v/>
      </c>
      <c r="F651" s="26"/>
      <c r="G651" s="26"/>
      <c r="H651" s="34" t="n">
        <f aca="false">IF(G651="Yes","",D651)</f>
        <v>0</v>
      </c>
      <c r="I651" s="26"/>
      <c r="J651" s="26"/>
    </row>
    <row r="652" customFormat="false" ht="15" hidden="false" customHeight="false" outlineLevel="0" collapsed="false">
      <c r="A652" s="28"/>
      <c r="B652" s="26"/>
      <c r="C652" s="26"/>
      <c r="D652" s="32"/>
      <c r="E652" s="33" t="str">
        <f aca="false">IF(F652="","",IF(OR(F652="HDFC Bank (INR)",F652="HDFC IOCL Credit Card (INR)",F652="HDFC Swiggy Credit Card (INR)",F652="Axis Airtel Credit Card (INR)"),"INR","GBP"))</f>
        <v/>
      </c>
      <c r="F652" s="26"/>
      <c r="G652" s="26"/>
      <c r="H652" s="34" t="n">
        <f aca="false">IF(G652="Yes","",D652)</f>
        <v>0</v>
      </c>
      <c r="I652" s="26"/>
      <c r="J652" s="26"/>
    </row>
    <row r="653" customFormat="false" ht="15" hidden="false" customHeight="false" outlineLevel="0" collapsed="false">
      <c r="A653" s="28"/>
      <c r="B653" s="26"/>
      <c r="C653" s="26"/>
      <c r="D653" s="32"/>
      <c r="E653" s="33" t="str">
        <f aca="false">IF(F653="","",IF(OR(F653="HDFC Bank (INR)",F653="HDFC IOCL Credit Card (INR)",F653="HDFC Swiggy Credit Card (INR)",F653="Axis Airtel Credit Card (INR)"),"INR","GBP"))</f>
        <v/>
      </c>
      <c r="F653" s="26"/>
      <c r="G653" s="26"/>
      <c r="H653" s="34" t="n">
        <f aca="false">IF(G653="Yes","",D653)</f>
        <v>0</v>
      </c>
      <c r="I653" s="26"/>
      <c r="J653" s="26"/>
    </row>
    <row r="654" customFormat="false" ht="15" hidden="false" customHeight="false" outlineLevel="0" collapsed="false">
      <c r="A654" s="28"/>
      <c r="B654" s="26"/>
      <c r="C654" s="26"/>
      <c r="D654" s="32"/>
      <c r="E654" s="33" t="str">
        <f aca="false">IF(F654="","",IF(OR(F654="HDFC Bank (INR)",F654="HDFC IOCL Credit Card (INR)",F654="HDFC Swiggy Credit Card (INR)",F654="Axis Airtel Credit Card (INR)"),"INR","GBP"))</f>
        <v/>
      </c>
      <c r="F654" s="26"/>
      <c r="G654" s="26"/>
      <c r="H654" s="34" t="n">
        <f aca="false">IF(G654="Yes","",D654)</f>
        <v>0</v>
      </c>
      <c r="I654" s="26"/>
      <c r="J654" s="26"/>
    </row>
    <row r="655" customFormat="false" ht="15" hidden="false" customHeight="false" outlineLevel="0" collapsed="false">
      <c r="A655" s="28"/>
      <c r="B655" s="26"/>
      <c r="C655" s="26"/>
      <c r="D655" s="32"/>
      <c r="E655" s="33" t="str">
        <f aca="false">IF(F655="","",IF(OR(F655="HDFC Bank (INR)",F655="HDFC IOCL Credit Card (INR)",F655="HDFC Swiggy Credit Card (INR)",F655="Axis Airtel Credit Card (INR)"),"INR","GBP"))</f>
        <v/>
      </c>
      <c r="F655" s="26"/>
      <c r="G655" s="26"/>
      <c r="H655" s="34" t="n">
        <f aca="false">IF(G655="Yes","",D655)</f>
        <v>0</v>
      </c>
      <c r="I655" s="26"/>
      <c r="J655" s="26"/>
    </row>
    <row r="656" customFormat="false" ht="15" hidden="false" customHeight="false" outlineLevel="0" collapsed="false">
      <c r="A656" s="28"/>
      <c r="B656" s="26"/>
      <c r="C656" s="26"/>
      <c r="D656" s="32"/>
      <c r="E656" s="33" t="str">
        <f aca="false">IF(F656="","",IF(OR(F656="HDFC Bank (INR)",F656="HDFC IOCL Credit Card (INR)",F656="HDFC Swiggy Credit Card (INR)",F656="Axis Airtel Credit Card (INR)"),"INR","GBP"))</f>
        <v/>
      </c>
      <c r="F656" s="26"/>
      <c r="G656" s="26"/>
      <c r="H656" s="34" t="n">
        <f aca="false">IF(G656="Yes","",D656)</f>
        <v>0</v>
      </c>
      <c r="I656" s="26"/>
      <c r="J656" s="26"/>
    </row>
    <row r="657" customFormat="false" ht="15" hidden="false" customHeight="false" outlineLevel="0" collapsed="false">
      <c r="A657" s="28"/>
      <c r="B657" s="26"/>
      <c r="C657" s="26"/>
      <c r="D657" s="32"/>
      <c r="E657" s="33" t="str">
        <f aca="false">IF(F657="","",IF(OR(F657="HDFC Bank (INR)",F657="HDFC IOCL Credit Card (INR)",F657="HDFC Swiggy Credit Card (INR)",F657="Axis Airtel Credit Card (INR)"),"INR","GBP"))</f>
        <v/>
      </c>
      <c r="F657" s="26"/>
      <c r="G657" s="26"/>
      <c r="H657" s="34" t="n">
        <f aca="false">IF(G657="Yes","",D657)</f>
        <v>0</v>
      </c>
      <c r="I657" s="26"/>
      <c r="J657" s="26"/>
    </row>
    <row r="658" customFormat="false" ht="15" hidden="false" customHeight="false" outlineLevel="0" collapsed="false">
      <c r="A658" s="28"/>
      <c r="B658" s="26"/>
      <c r="C658" s="26"/>
      <c r="D658" s="32"/>
      <c r="E658" s="33" t="str">
        <f aca="false">IF(F658="","",IF(OR(F658="HDFC Bank (INR)",F658="HDFC IOCL Credit Card (INR)",F658="HDFC Swiggy Credit Card (INR)",F658="Axis Airtel Credit Card (INR)"),"INR","GBP"))</f>
        <v/>
      </c>
      <c r="F658" s="26"/>
      <c r="G658" s="26"/>
      <c r="H658" s="34" t="n">
        <f aca="false">IF(G658="Yes","",D658)</f>
        <v>0</v>
      </c>
      <c r="I658" s="26"/>
      <c r="J658" s="26"/>
    </row>
    <row r="659" customFormat="false" ht="15" hidden="false" customHeight="false" outlineLevel="0" collapsed="false">
      <c r="A659" s="28"/>
      <c r="B659" s="26"/>
      <c r="C659" s="26"/>
      <c r="D659" s="32"/>
      <c r="E659" s="33" t="str">
        <f aca="false">IF(F659="","",IF(OR(F659="HDFC Bank (INR)",F659="HDFC IOCL Credit Card (INR)",F659="HDFC Swiggy Credit Card (INR)",F659="Axis Airtel Credit Card (INR)"),"INR","GBP"))</f>
        <v/>
      </c>
      <c r="F659" s="26"/>
      <c r="G659" s="26"/>
      <c r="H659" s="34" t="n">
        <f aca="false">IF(G659="Yes","",D659)</f>
        <v>0</v>
      </c>
      <c r="I659" s="26"/>
      <c r="J659" s="26"/>
    </row>
    <row r="660" customFormat="false" ht="15" hidden="false" customHeight="false" outlineLevel="0" collapsed="false">
      <c r="A660" s="28"/>
      <c r="B660" s="26"/>
      <c r="C660" s="26"/>
      <c r="D660" s="32"/>
      <c r="E660" s="33" t="str">
        <f aca="false">IF(F660="","",IF(OR(F660="HDFC Bank (INR)",F660="HDFC IOCL Credit Card (INR)",F660="HDFC Swiggy Credit Card (INR)",F660="Axis Airtel Credit Card (INR)"),"INR","GBP"))</f>
        <v/>
      </c>
      <c r="F660" s="26"/>
      <c r="G660" s="26"/>
      <c r="H660" s="34" t="n">
        <f aca="false">IF(G660="Yes","",D660)</f>
        <v>0</v>
      </c>
      <c r="I660" s="26"/>
      <c r="J660" s="26"/>
    </row>
    <row r="661" customFormat="false" ht="15" hidden="false" customHeight="false" outlineLevel="0" collapsed="false">
      <c r="A661" s="28"/>
      <c r="B661" s="26"/>
      <c r="C661" s="26"/>
      <c r="D661" s="32"/>
      <c r="E661" s="33" t="str">
        <f aca="false">IF(F661="","",IF(OR(F661="HDFC Bank (INR)",F661="HDFC IOCL Credit Card (INR)",F661="HDFC Swiggy Credit Card (INR)",F661="Axis Airtel Credit Card (INR)"),"INR","GBP"))</f>
        <v/>
      </c>
      <c r="F661" s="26"/>
      <c r="G661" s="26"/>
      <c r="H661" s="34" t="n">
        <f aca="false">IF(G661="Yes","",D661)</f>
        <v>0</v>
      </c>
      <c r="I661" s="26"/>
      <c r="J661" s="26"/>
    </row>
    <row r="662" customFormat="false" ht="15" hidden="false" customHeight="false" outlineLevel="0" collapsed="false">
      <c r="A662" s="28"/>
      <c r="B662" s="26"/>
      <c r="C662" s="26"/>
      <c r="D662" s="32"/>
      <c r="E662" s="33" t="str">
        <f aca="false">IF(F662="","",IF(OR(F662="HDFC Bank (INR)",F662="HDFC IOCL Credit Card (INR)",F662="HDFC Swiggy Credit Card (INR)",F662="Axis Airtel Credit Card (INR)"),"INR","GBP"))</f>
        <v/>
      </c>
      <c r="F662" s="26"/>
      <c r="G662" s="26"/>
      <c r="H662" s="34" t="n">
        <f aca="false">IF(G662="Yes","",D662)</f>
        <v>0</v>
      </c>
      <c r="I662" s="26"/>
      <c r="J662" s="26"/>
    </row>
    <row r="663" customFormat="false" ht="15" hidden="false" customHeight="false" outlineLevel="0" collapsed="false">
      <c r="A663" s="28"/>
      <c r="B663" s="26"/>
      <c r="C663" s="26"/>
      <c r="D663" s="32"/>
      <c r="E663" s="33" t="str">
        <f aca="false">IF(F663="","",IF(OR(F663="HDFC Bank (INR)",F663="HDFC IOCL Credit Card (INR)",F663="HDFC Swiggy Credit Card (INR)",F663="Axis Airtel Credit Card (INR)"),"INR","GBP"))</f>
        <v/>
      </c>
      <c r="F663" s="26"/>
      <c r="G663" s="26"/>
      <c r="H663" s="34" t="n">
        <f aca="false">IF(G663="Yes","",D663)</f>
        <v>0</v>
      </c>
      <c r="I663" s="26"/>
      <c r="J663" s="26"/>
    </row>
    <row r="664" customFormat="false" ht="15" hidden="false" customHeight="false" outlineLevel="0" collapsed="false">
      <c r="A664" s="28"/>
      <c r="B664" s="26"/>
      <c r="C664" s="26"/>
      <c r="D664" s="32"/>
      <c r="E664" s="33" t="str">
        <f aca="false">IF(F664="","",IF(OR(F664="HDFC Bank (INR)",F664="HDFC IOCL Credit Card (INR)",F664="HDFC Swiggy Credit Card (INR)",F664="Axis Airtel Credit Card (INR)"),"INR","GBP"))</f>
        <v/>
      </c>
      <c r="F664" s="26"/>
      <c r="G664" s="26"/>
      <c r="H664" s="34" t="n">
        <f aca="false">IF(G664="Yes","",D664)</f>
        <v>0</v>
      </c>
      <c r="I664" s="26"/>
      <c r="J664" s="26"/>
    </row>
    <row r="665" customFormat="false" ht="15" hidden="false" customHeight="false" outlineLevel="0" collapsed="false">
      <c r="A665" s="28"/>
      <c r="B665" s="26"/>
      <c r="C665" s="26"/>
      <c r="D665" s="32"/>
      <c r="E665" s="33" t="str">
        <f aca="false">IF(F665="","",IF(OR(F665="HDFC Bank (INR)",F665="HDFC IOCL Credit Card (INR)",F665="HDFC Swiggy Credit Card (INR)",F665="Axis Airtel Credit Card (INR)"),"INR","GBP"))</f>
        <v/>
      </c>
      <c r="F665" s="26"/>
      <c r="G665" s="26"/>
      <c r="H665" s="34" t="n">
        <f aca="false">IF(G665="Yes","",D665)</f>
        <v>0</v>
      </c>
      <c r="I665" s="26"/>
      <c r="J665" s="26"/>
    </row>
    <row r="666" customFormat="false" ht="15" hidden="false" customHeight="false" outlineLevel="0" collapsed="false">
      <c r="A666" s="28"/>
      <c r="B666" s="26"/>
      <c r="C666" s="26"/>
      <c r="D666" s="32"/>
      <c r="E666" s="33" t="str">
        <f aca="false">IF(F666="","",IF(OR(F666="HDFC Bank (INR)",F666="HDFC IOCL Credit Card (INR)",F666="HDFC Swiggy Credit Card (INR)",F666="Axis Airtel Credit Card (INR)"),"INR","GBP"))</f>
        <v/>
      </c>
      <c r="F666" s="26"/>
      <c r="G666" s="26"/>
      <c r="H666" s="34" t="n">
        <f aca="false">IF(G666="Yes","",D666)</f>
        <v>0</v>
      </c>
      <c r="I666" s="26"/>
      <c r="J666" s="26"/>
    </row>
    <row r="667" customFormat="false" ht="15" hidden="false" customHeight="false" outlineLevel="0" collapsed="false">
      <c r="A667" s="28"/>
      <c r="B667" s="26"/>
      <c r="C667" s="26"/>
      <c r="D667" s="32"/>
      <c r="E667" s="33" t="str">
        <f aca="false">IF(F667="","",IF(OR(F667="HDFC Bank (INR)",F667="HDFC IOCL Credit Card (INR)",F667="HDFC Swiggy Credit Card (INR)",F667="Axis Airtel Credit Card (INR)"),"INR","GBP"))</f>
        <v/>
      </c>
      <c r="F667" s="26"/>
      <c r="G667" s="26"/>
      <c r="H667" s="34" t="n">
        <f aca="false">IF(G667="Yes","",D667)</f>
        <v>0</v>
      </c>
      <c r="I667" s="26"/>
      <c r="J667" s="26"/>
    </row>
    <row r="668" customFormat="false" ht="15" hidden="false" customHeight="false" outlineLevel="0" collapsed="false">
      <c r="A668" s="28"/>
      <c r="B668" s="26"/>
      <c r="C668" s="26"/>
      <c r="D668" s="32"/>
      <c r="E668" s="33" t="str">
        <f aca="false">IF(F668="","",IF(OR(F668="HDFC Bank (INR)",F668="HDFC IOCL Credit Card (INR)",F668="HDFC Swiggy Credit Card (INR)",F668="Axis Airtel Credit Card (INR)"),"INR","GBP"))</f>
        <v/>
      </c>
      <c r="F668" s="26"/>
      <c r="G668" s="26"/>
      <c r="H668" s="34" t="n">
        <f aca="false">IF(G668="Yes","",D668)</f>
        <v>0</v>
      </c>
      <c r="I668" s="26"/>
      <c r="J668" s="26"/>
    </row>
    <row r="669" customFormat="false" ht="15" hidden="false" customHeight="false" outlineLevel="0" collapsed="false">
      <c r="A669" s="28"/>
      <c r="B669" s="26"/>
      <c r="C669" s="26"/>
      <c r="D669" s="32"/>
      <c r="E669" s="33" t="str">
        <f aca="false">IF(F669="","",IF(OR(F669="HDFC Bank (INR)",F669="HDFC IOCL Credit Card (INR)",F669="HDFC Swiggy Credit Card (INR)",F669="Axis Airtel Credit Card (INR)"),"INR","GBP"))</f>
        <v/>
      </c>
      <c r="F669" s="26"/>
      <c r="G669" s="26"/>
      <c r="H669" s="34" t="n">
        <f aca="false">IF(G669="Yes","",D669)</f>
        <v>0</v>
      </c>
      <c r="I669" s="26"/>
      <c r="J669" s="26"/>
    </row>
    <row r="670" customFormat="false" ht="15" hidden="false" customHeight="false" outlineLevel="0" collapsed="false">
      <c r="A670" s="28"/>
      <c r="B670" s="26"/>
      <c r="C670" s="26"/>
      <c r="D670" s="32"/>
      <c r="E670" s="33" t="str">
        <f aca="false">IF(F670="","",IF(OR(F670="HDFC Bank (INR)",F670="HDFC IOCL Credit Card (INR)",F670="HDFC Swiggy Credit Card (INR)",F670="Axis Airtel Credit Card (INR)"),"INR","GBP"))</f>
        <v/>
      </c>
      <c r="F670" s="26"/>
      <c r="G670" s="26"/>
      <c r="H670" s="34" t="n">
        <f aca="false">IF(G670="Yes","",D670)</f>
        <v>0</v>
      </c>
      <c r="I670" s="26"/>
      <c r="J670" s="26"/>
    </row>
    <row r="671" customFormat="false" ht="15" hidden="false" customHeight="false" outlineLevel="0" collapsed="false">
      <c r="A671" s="28"/>
      <c r="B671" s="26"/>
      <c r="C671" s="26"/>
      <c r="D671" s="32"/>
      <c r="E671" s="33" t="str">
        <f aca="false">IF(F671="","",IF(OR(F671="HDFC Bank (INR)",F671="HDFC IOCL Credit Card (INR)",F671="HDFC Swiggy Credit Card (INR)",F671="Axis Airtel Credit Card (INR)"),"INR","GBP"))</f>
        <v/>
      </c>
      <c r="F671" s="26"/>
      <c r="G671" s="26"/>
      <c r="H671" s="34" t="n">
        <f aca="false">IF(G671="Yes","",D671)</f>
        <v>0</v>
      </c>
      <c r="I671" s="26"/>
      <c r="J671" s="26"/>
    </row>
    <row r="672" customFormat="false" ht="15" hidden="false" customHeight="false" outlineLevel="0" collapsed="false">
      <c r="A672" s="28"/>
      <c r="B672" s="26"/>
      <c r="C672" s="26"/>
      <c r="D672" s="32"/>
      <c r="E672" s="33" t="str">
        <f aca="false">IF(F672="","",IF(OR(F672="HDFC Bank (INR)",F672="HDFC IOCL Credit Card (INR)",F672="HDFC Swiggy Credit Card (INR)",F672="Axis Airtel Credit Card (INR)"),"INR","GBP"))</f>
        <v/>
      </c>
      <c r="F672" s="26"/>
      <c r="G672" s="26"/>
      <c r="H672" s="34" t="n">
        <f aca="false">IF(G672="Yes","",D672)</f>
        <v>0</v>
      </c>
      <c r="I672" s="26"/>
      <c r="J672" s="26"/>
    </row>
    <row r="673" customFormat="false" ht="15" hidden="false" customHeight="false" outlineLevel="0" collapsed="false">
      <c r="A673" s="28"/>
      <c r="B673" s="26"/>
      <c r="C673" s="26"/>
      <c r="D673" s="32"/>
      <c r="E673" s="33" t="str">
        <f aca="false">IF(F673="","",IF(OR(F673="HDFC Bank (INR)",F673="HDFC IOCL Credit Card (INR)",F673="HDFC Swiggy Credit Card (INR)",F673="Axis Airtel Credit Card (INR)"),"INR","GBP"))</f>
        <v/>
      </c>
      <c r="F673" s="26"/>
      <c r="G673" s="26"/>
      <c r="H673" s="34" t="n">
        <f aca="false">IF(G673="Yes","",D673)</f>
        <v>0</v>
      </c>
      <c r="I673" s="26"/>
      <c r="J673" s="26"/>
    </row>
    <row r="674" customFormat="false" ht="15" hidden="false" customHeight="false" outlineLevel="0" collapsed="false">
      <c r="A674" s="28"/>
      <c r="B674" s="26"/>
      <c r="C674" s="26"/>
      <c r="D674" s="32"/>
      <c r="E674" s="33" t="str">
        <f aca="false">IF(F674="","",IF(OR(F674="HDFC Bank (INR)",F674="HDFC IOCL Credit Card (INR)",F674="HDFC Swiggy Credit Card (INR)",F674="Axis Airtel Credit Card (INR)"),"INR","GBP"))</f>
        <v/>
      </c>
      <c r="F674" s="26"/>
      <c r="G674" s="26"/>
      <c r="H674" s="34" t="n">
        <f aca="false">IF(G674="Yes","",D674)</f>
        <v>0</v>
      </c>
      <c r="I674" s="26"/>
      <c r="J674" s="26"/>
    </row>
    <row r="675" customFormat="false" ht="15" hidden="false" customHeight="false" outlineLevel="0" collapsed="false">
      <c r="A675" s="28"/>
      <c r="B675" s="26"/>
      <c r="C675" s="26"/>
      <c r="D675" s="32"/>
      <c r="E675" s="33" t="str">
        <f aca="false">IF(F675="","",IF(OR(F675="HDFC Bank (INR)",F675="HDFC IOCL Credit Card (INR)",F675="HDFC Swiggy Credit Card (INR)",F675="Axis Airtel Credit Card (INR)"),"INR","GBP"))</f>
        <v/>
      </c>
      <c r="F675" s="26"/>
      <c r="G675" s="26"/>
      <c r="H675" s="34" t="n">
        <f aca="false">IF(G675="Yes","",D675)</f>
        <v>0</v>
      </c>
      <c r="I675" s="26"/>
      <c r="J675" s="26"/>
    </row>
    <row r="676" customFormat="false" ht="15" hidden="false" customHeight="false" outlineLevel="0" collapsed="false">
      <c r="A676" s="28"/>
      <c r="B676" s="26"/>
      <c r="C676" s="26"/>
      <c r="D676" s="32"/>
      <c r="E676" s="33" t="str">
        <f aca="false">IF(F676="","",IF(OR(F676="HDFC Bank (INR)",F676="HDFC IOCL Credit Card (INR)",F676="HDFC Swiggy Credit Card (INR)",F676="Axis Airtel Credit Card (INR)"),"INR","GBP"))</f>
        <v/>
      </c>
      <c r="F676" s="26"/>
      <c r="G676" s="26"/>
      <c r="H676" s="34" t="n">
        <f aca="false">IF(G676="Yes","",D676)</f>
        <v>0</v>
      </c>
      <c r="I676" s="26"/>
      <c r="J676" s="26"/>
    </row>
    <row r="677" customFormat="false" ht="15" hidden="false" customHeight="false" outlineLevel="0" collapsed="false">
      <c r="A677" s="28"/>
      <c r="B677" s="26"/>
      <c r="C677" s="26"/>
      <c r="D677" s="32"/>
      <c r="E677" s="33" t="str">
        <f aca="false">IF(F677="","",IF(OR(F677="HDFC Bank (INR)",F677="HDFC IOCL Credit Card (INR)",F677="HDFC Swiggy Credit Card (INR)",F677="Axis Airtel Credit Card (INR)"),"INR","GBP"))</f>
        <v/>
      </c>
      <c r="F677" s="26"/>
      <c r="G677" s="26"/>
      <c r="H677" s="34" t="n">
        <f aca="false">IF(G677="Yes","",D677)</f>
        <v>0</v>
      </c>
      <c r="I677" s="26"/>
      <c r="J677" s="26"/>
    </row>
    <row r="678" customFormat="false" ht="15" hidden="false" customHeight="false" outlineLevel="0" collapsed="false">
      <c r="A678" s="28"/>
      <c r="B678" s="26"/>
      <c r="C678" s="26"/>
      <c r="D678" s="32"/>
      <c r="E678" s="33" t="str">
        <f aca="false">IF(F678="","",IF(OR(F678="HDFC Bank (INR)",F678="HDFC IOCL Credit Card (INR)",F678="HDFC Swiggy Credit Card (INR)",F678="Axis Airtel Credit Card (INR)"),"INR","GBP"))</f>
        <v/>
      </c>
      <c r="F678" s="26"/>
      <c r="G678" s="26"/>
      <c r="H678" s="34" t="n">
        <f aca="false">IF(G678="Yes","",D678)</f>
        <v>0</v>
      </c>
      <c r="I678" s="26"/>
      <c r="J678" s="26"/>
    </row>
    <row r="679" customFormat="false" ht="15" hidden="false" customHeight="false" outlineLevel="0" collapsed="false">
      <c r="A679" s="28"/>
      <c r="B679" s="26"/>
      <c r="C679" s="26"/>
      <c r="D679" s="32"/>
      <c r="E679" s="33" t="str">
        <f aca="false">IF(F679="","",IF(OR(F679="HDFC Bank (INR)",F679="HDFC IOCL Credit Card (INR)",F679="HDFC Swiggy Credit Card (INR)",F679="Axis Airtel Credit Card (INR)"),"INR","GBP"))</f>
        <v/>
      </c>
      <c r="F679" s="26"/>
      <c r="G679" s="26"/>
      <c r="H679" s="34" t="n">
        <f aca="false">IF(G679="Yes","",D679)</f>
        <v>0</v>
      </c>
      <c r="I679" s="26"/>
      <c r="J679" s="26"/>
    </row>
    <row r="680" customFormat="false" ht="15" hidden="false" customHeight="false" outlineLevel="0" collapsed="false">
      <c r="A680" s="28"/>
      <c r="B680" s="26"/>
      <c r="C680" s="26"/>
      <c r="D680" s="32"/>
      <c r="E680" s="33" t="str">
        <f aca="false">IF(F680="","",IF(OR(F680="HDFC Bank (INR)",F680="HDFC IOCL Credit Card (INR)",F680="HDFC Swiggy Credit Card (INR)",F680="Axis Airtel Credit Card (INR)"),"INR","GBP"))</f>
        <v/>
      </c>
      <c r="F680" s="26"/>
      <c r="G680" s="26"/>
      <c r="H680" s="34" t="n">
        <f aca="false">IF(G680="Yes","",D680)</f>
        <v>0</v>
      </c>
      <c r="I680" s="26"/>
      <c r="J680" s="26"/>
    </row>
    <row r="681" customFormat="false" ht="15" hidden="false" customHeight="false" outlineLevel="0" collapsed="false">
      <c r="A681" s="28"/>
      <c r="B681" s="26"/>
      <c r="C681" s="26"/>
      <c r="D681" s="32"/>
      <c r="E681" s="33" t="str">
        <f aca="false">IF(F681="","",IF(OR(F681="HDFC Bank (INR)",F681="HDFC IOCL Credit Card (INR)",F681="HDFC Swiggy Credit Card (INR)",F681="Axis Airtel Credit Card (INR)"),"INR","GBP"))</f>
        <v/>
      </c>
      <c r="F681" s="26"/>
      <c r="G681" s="26"/>
      <c r="H681" s="34" t="n">
        <f aca="false">IF(G681="Yes","",D681)</f>
        <v>0</v>
      </c>
      <c r="I681" s="26"/>
      <c r="J681" s="26"/>
    </row>
    <row r="682" customFormat="false" ht="15" hidden="false" customHeight="false" outlineLevel="0" collapsed="false">
      <c r="A682" s="28"/>
      <c r="B682" s="26"/>
      <c r="C682" s="26"/>
      <c r="D682" s="32"/>
      <c r="E682" s="33" t="str">
        <f aca="false">IF(F682="","",IF(OR(F682="HDFC Bank (INR)",F682="HDFC IOCL Credit Card (INR)",F682="HDFC Swiggy Credit Card (INR)",F682="Axis Airtel Credit Card (INR)"),"INR","GBP"))</f>
        <v/>
      </c>
      <c r="F682" s="26"/>
      <c r="G682" s="26"/>
      <c r="H682" s="34" t="n">
        <f aca="false">IF(G682="Yes","",D682)</f>
        <v>0</v>
      </c>
      <c r="I682" s="26"/>
      <c r="J682" s="26"/>
    </row>
    <row r="683" customFormat="false" ht="15" hidden="false" customHeight="false" outlineLevel="0" collapsed="false">
      <c r="A683" s="28"/>
      <c r="B683" s="26"/>
      <c r="C683" s="26"/>
      <c r="D683" s="32"/>
      <c r="E683" s="33" t="str">
        <f aca="false">IF(F683="","",IF(OR(F683="HDFC Bank (INR)",F683="HDFC IOCL Credit Card (INR)",F683="HDFC Swiggy Credit Card (INR)",F683="Axis Airtel Credit Card (INR)"),"INR","GBP"))</f>
        <v/>
      </c>
      <c r="F683" s="26"/>
      <c r="G683" s="26"/>
      <c r="H683" s="34" t="n">
        <f aca="false">IF(G683="Yes","",D683)</f>
        <v>0</v>
      </c>
      <c r="I683" s="26"/>
      <c r="J683" s="26"/>
    </row>
    <row r="684" customFormat="false" ht="15" hidden="false" customHeight="false" outlineLevel="0" collapsed="false">
      <c r="A684" s="28"/>
      <c r="B684" s="26"/>
      <c r="C684" s="26"/>
      <c r="D684" s="32"/>
      <c r="E684" s="33" t="str">
        <f aca="false">IF(F684="","",IF(OR(F684="HDFC Bank (INR)",F684="HDFC IOCL Credit Card (INR)",F684="HDFC Swiggy Credit Card (INR)",F684="Axis Airtel Credit Card (INR)"),"INR","GBP"))</f>
        <v/>
      </c>
      <c r="F684" s="26"/>
      <c r="G684" s="26"/>
      <c r="H684" s="34" t="n">
        <f aca="false">IF(G684="Yes","",D684)</f>
        <v>0</v>
      </c>
      <c r="I684" s="26"/>
      <c r="J684" s="26"/>
    </row>
    <row r="685" customFormat="false" ht="15" hidden="false" customHeight="false" outlineLevel="0" collapsed="false">
      <c r="A685" s="28"/>
      <c r="B685" s="26"/>
      <c r="C685" s="26"/>
      <c r="D685" s="32"/>
      <c r="E685" s="33" t="str">
        <f aca="false">IF(F685="","",IF(OR(F685="HDFC Bank (INR)",F685="HDFC IOCL Credit Card (INR)",F685="HDFC Swiggy Credit Card (INR)",F685="Axis Airtel Credit Card (INR)"),"INR","GBP"))</f>
        <v/>
      </c>
      <c r="F685" s="26"/>
      <c r="G685" s="26"/>
      <c r="H685" s="34" t="n">
        <f aca="false">IF(G685="Yes","",D685)</f>
        <v>0</v>
      </c>
      <c r="I685" s="26"/>
      <c r="J685" s="26"/>
    </row>
    <row r="686" customFormat="false" ht="15" hidden="false" customHeight="false" outlineLevel="0" collapsed="false">
      <c r="A686" s="28"/>
      <c r="B686" s="26"/>
      <c r="C686" s="26"/>
      <c r="D686" s="32"/>
      <c r="E686" s="33" t="str">
        <f aca="false">IF(F686="","",IF(OR(F686="HDFC Bank (INR)",F686="HDFC IOCL Credit Card (INR)",F686="HDFC Swiggy Credit Card (INR)",F686="Axis Airtel Credit Card (INR)"),"INR","GBP"))</f>
        <v/>
      </c>
      <c r="F686" s="26"/>
      <c r="G686" s="26"/>
      <c r="H686" s="34" t="n">
        <f aca="false">IF(G686="Yes","",D686)</f>
        <v>0</v>
      </c>
      <c r="I686" s="26"/>
      <c r="J686" s="26"/>
    </row>
    <row r="687" customFormat="false" ht="15" hidden="false" customHeight="false" outlineLevel="0" collapsed="false">
      <c r="A687" s="28"/>
      <c r="B687" s="26"/>
      <c r="C687" s="26"/>
      <c r="D687" s="32"/>
      <c r="E687" s="33" t="str">
        <f aca="false">IF(F687="","",IF(OR(F687="HDFC Bank (INR)",F687="HDFC IOCL Credit Card (INR)",F687="HDFC Swiggy Credit Card (INR)",F687="Axis Airtel Credit Card (INR)"),"INR","GBP"))</f>
        <v/>
      </c>
      <c r="F687" s="26"/>
      <c r="G687" s="26"/>
      <c r="H687" s="34" t="n">
        <f aca="false">IF(G687="Yes","",D687)</f>
        <v>0</v>
      </c>
      <c r="I687" s="26"/>
      <c r="J687" s="26"/>
    </row>
    <row r="688" customFormat="false" ht="15" hidden="false" customHeight="false" outlineLevel="0" collapsed="false">
      <c r="A688" s="28"/>
      <c r="B688" s="26"/>
      <c r="C688" s="26"/>
      <c r="D688" s="32"/>
      <c r="E688" s="33" t="str">
        <f aca="false">IF(F688="","",IF(OR(F688="HDFC Bank (INR)",F688="HDFC IOCL Credit Card (INR)",F688="HDFC Swiggy Credit Card (INR)",F688="Axis Airtel Credit Card (INR)"),"INR","GBP"))</f>
        <v/>
      </c>
      <c r="F688" s="26"/>
      <c r="G688" s="26"/>
      <c r="H688" s="34" t="n">
        <f aca="false">IF(G688="Yes","",D688)</f>
        <v>0</v>
      </c>
      <c r="I688" s="26"/>
      <c r="J688" s="26"/>
    </row>
    <row r="689" customFormat="false" ht="15" hidden="false" customHeight="false" outlineLevel="0" collapsed="false">
      <c r="A689" s="28"/>
      <c r="B689" s="26"/>
      <c r="C689" s="26"/>
      <c r="D689" s="32"/>
      <c r="E689" s="33" t="str">
        <f aca="false">IF(F689="","",IF(OR(F689="HDFC Bank (INR)",F689="HDFC IOCL Credit Card (INR)",F689="HDFC Swiggy Credit Card (INR)",F689="Axis Airtel Credit Card (INR)"),"INR","GBP"))</f>
        <v/>
      </c>
      <c r="F689" s="26"/>
      <c r="G689" s="26"/>
      <c r="H689" s="34" t="n">
        <f aca="false">IF(G689="Yes","",D689)</f>
        <v>0</v>
      </c>
      <c r="I689" s="26"/>
      <c r="J689" s="26"/>
    </row>
    <row r="690" customFormat="false" ht="15" hidden="false" customHeight="false" outlineLevel="0" collapsed="false">
      <c r="A690" s="28"/>
      <c r="B690" s="26"/>
      <c r="C690" s="26"/>
      <c r="D690" s="32"/>
      <c r="E690" s="33" t="str">
        <f aca="false">IF(F690="","",IF(OR(F690="HDFC Bank (INR)",F690="HDFC IOCL Credit Card (INR)",F690="HDFC Swiggy Credit Card (INR)",F690="Axis Airtel Credit Card (INR)"),"INR","GBP"))</f>
        <v/>
      </c>
      <c r="F690" s="26"/>
      <c r="G690" s="26"/>
      <c r="H690" s="34" t="n">
        <f aca="false">IF(G690="Yes","",D690)</f>
        <v>0</v>
      </c>
      <c r="I690" s="26"/>
      <c r="J690" s="26"/>
    </row>
    <row r="691" customFormat="false" ht="15" hidden="false" customHeight="false" outlineLevel="0" collapsed="false">
      <c r="A691" s="28"/>
      <c r="B691" s="26"/>
      <c r="C691" s="26"/>
      <c r="D691" s="32"/>
      <c r="E691" s="33" t="str">
        <f aca="false">IF(F691="","",IF(OR(F691="HDFC Bank (INR)",F691="HDFC IOCL Credit Card (INR)",F691="HDFC Swiggy Credit Card (INR)",F691="Axis Airtel Credit Card (INR)"),"INR","GBP"))</f>
        <v/>
      </c>
      <c r="F691" s="26"/>
      <c r="G691" s="26"/>
      <c r="H691" s="34" t="n">
        <f aca="false">IF(G691="Yes","",D691)</f>
        <v>0</v>
      </c>
      <c r="I691" s="26"/>
      <c r="J691" s="26"/>
    </row>
    <row r="692" customFormat="false" ht="15" hidden="false" customHeight="false" outlineLevel="0" collapsed="false">
      <c r="A692" s="28"/>
      <c r="B692" s="26"/>
      <c r="C692" s="26"/>
      <c r="D692" s="32"/>
      <c r="E692" s="33" t="str">
        <f aca="false">IF(F692="","",IF(OR(F692="HDFC Bank (INR)",F692="HDFC IOCL Credit Card (INR)",F692="HDFC Swiggy Credit Card (INR)",F692="Axis Airtel Credit Card (INR)"),"INR","GBP"))</f>
        <v/>
      </c>
      <c r="F692" s="26"/>
      <c r="G692" s="26"/>
      <c r="H692" s="34" t="n">
        <f aca="false">IF(G692="Yes","",D692)</f>
        <v>0</v>
      </c>
      <c r="I692" s="26"/>
      <c r="J692" s="26"/>
    </row>
    <row r="693" customFormat="false" ht="15" hidden="false" customHeight="false" outlineLevel="0" collapsed="false">
      <c r="A693" s="28"/>
      <c r="B693" s="26"/>
      <c r="C693" s="26"/>
      <c r="D693" s="32"/>
      <c r="E693" s="33" t="str">
        <f aca="false">IF(F693="","",IF(OR(F693="HDFC Bank (INR)",F693="HDFC IOCL Credit Card (INR)",F693="HDFC Swiggy Credit Card (INR)",F693="Axis Airtel Credit Card (INR)"),"INR","GBP"))</f>
        <v/>
      </c>
      <c r="F693" s="26"/>
      <c r="G693" s="26"/>
      <c r="H693" s="34" t="n">
        <f aca="false">IF(G693="Yes","",D693)</f>
        <v>0</v>
      </c>
      <c r="I693" s="26"/>
      <c r="J693" s="26"/>
    </row>
    <row r="694" customFormat="false" ht="15" hidden="false" customHeight="false" outlineLevel="0" collapsed="false">
      <c r="A694" s="28"/>
      <c r="B694" s="26"/>
      <c r="C694" s="26"/>
      <c r="D694" s="32"/>
      <c r="E694" s="33" t="str">
        <f aca="false">IF(F694="","",IF(OR(F694="HDFC Bank (INR)",F694="HDFC IOCL Credit Card (INR)",F694="HDFC Swiggy Credit Card (INR)",F694="Axis Airtel Credit Card (INR)"),"INR","GBP"))</f>
        <v/>
      </c>
      <c r="F694" s="26"/>
      <c r="G694" s="26"/>
      <c r="H694" s="34" t="n">
        <f aca="false">IF(G694="Yes","",D694)</f>
        <v>0</v>
      </c>
      <c r="I694" s="26"/>
      <c r="J694" s="26"/>
    </row>
    <row r="695" customFormat="false" ht="15" hidden="false" customHeight="false" outlineLevel="0" collapsed="false">
      <c r="A695" s="28"/>
      <c r="B695" s="26"/>
      <c r="C695" s="26"/>
      <c r="D695" s="32"/>
      <c r="E695" s="33" t="str">
        <f aca="false">IF(F695="","",IF(OR(F695="HDFC Bank (INR)",F695="HDFC IOCL Credit Card (INR)",F695="HDFC Swiggy Credit Card (INR)",F695="Axis Airtel Credit Card (INR)"),"INR","GBP"))</f>
        <v/>
      </c>
      <c r="F695" s="26"/>
      <c r="G695" s="26"/>
      <c r="H695" s="34" t="n">
        <f aca="false">IF(G695="Yes","",D695)</f>
        <v>0</v>
      </c>
      <c r="I695" s="26"/>
      <c r="J695" s="26"/>
    </row>
    <row r="696" customFormat="false" ht="15" hidden="false" customHeight="false" outlineLevel="0" collapsed="false">
      <c r="A696" s="28"/>
      <c r="B696" s="26"/>
      <c r="C696" s="26"/>
      <c r="D696" s="32"/>
      <c r="E696" s="33" t="str">
        <f aca="false">IF(F696="","",IF(OR(F696="HDFC Bank (INR)",F696="HDFC IOCL Credit Card (INR)",F696="HDFC Swiggy Credit Card (INR)",F696="Axis Airtel Credit Card (INR)"),"INR","GBP"))</f>
        <v/>
      </c>
      <c r="F696" s="26"/>
      <c r="G696" s="26"/>
      <c r="H696" s="34" t="n">
        <f aca="false">IF(G696="Yes","",D696)</f>
        <v>0</v>
      </c>
      <c r="I696" s="26"/>
      <c r="J696" s="26"/>
    </row>
    <row r="697" customFormat="false" ht="15" hidden="false" customHeight="false" outlineLevel="0" collapsed="false">
      <c r="A697" s="28"/>
      <c r="B697" s="26"/>
      <c r="C697" s="26"/>
      <c r="D697" s="32"/>
      <c r="E697" s="33" t="str">
        <f aca="false">IF(F697="","",IF(OR(F697="HDFC Bank (INR)",F697="HDFC IOCL Credit Card (INR)",F697="HDFC Swiggy Credit Card (INR)",F697="Axis Airtel Credit Card (INR)"),"INR","GBP"))</f>
        <v/>
      </c>
      <c r="F697" s="26"/>
      <c r="G697" s="26"/>
      <c r="H697" s="34" t="n">
        <f aca="false">IF(G697="Yes","",D697)</f>
        <v>0</v>
      </c>
      <c r="I697" s="26"/>
      <c r="J697" s="26"/>
    </row>
    <row r="698" customFormat="false" ht="15" hidden="false" customHeight="false" outlineLevel="0" collapsed="false">
      <c r="A698" s="28"/>
      <c r="B698" s="26"/>
      <c r="C698" s="26"/>
      <c r="D698" s="32"/>
      <c r="E698" s="33" t="str">
        <f aca="false">IF(F698="","",IF(OR(F698="HDFC Bank (INR)",F698="HDFC IOCL Credit Card (INR)",F698="HDFC Swiggy Credit Card (INR)",F698="Axis Airtel Credit Card (INR)"),"INR","GBP"))</f>
        <v/>
      </c>
      <c r="F698" s="26"/>
      <c r="G698" s="26"/>
      <c r="H698" s="34" t="n">
        <f aca="false">IF(G698="Yes","",D698)</f>
        <v>0</v>
      </c>
      <c r="I698" s="26"/>
      <c r="J698" s="26"/>
    </row>
    <row r="699" customFormat="false" ht="15" hidden="false" customHeight="false" outlineLevel="0" collapsed="false">
      <c r="A699" s="28"/>
      <c r="B699" s="26"/>
      <c r="C699" s="26"/>
      <c r="D699" s="32"/>
      <c r="E699" s="33" t="str">
        <f aca="false">IF(F699="","",IF(OR(F699="HDFC Bank (INR)",F699="HDFC IOCL Credit Card (INR)",F699="HDFC Swiggy Credit Card (INR)",F699="Axis Airtel Credit Card (INR)"),"INR","GBP"))</f>
        <v/>
      </c>
      <c r="F699" s="26"/>
      <c r="G699" s="26"/>
      <c r="H699" s="34" t="n">
        <f aca="false">IF(G699="Yes","",D699)</f>
        <v>0</v>
      </c>
      <c r="I699" s="26"/>
      <c r="J699" s="26"/>
    </row>
    <row r="700" customFormat="false" ht="15" hidden="false" customHeight="false" outlineLevel="0" collapsed="false">
      <c r="A700" s="28"/>
      <c r="B700" s="26"/>
      <c r="C700" s="26"/>
      <c r="D700" s="32"/>
      <c r="E700" s="33" t="str">
        <f aca="false">IF(F700="","",IF(OR(F700="HDFC Bank (INR)",F700="HDFC IOCL Credit Card (INR)",F700="HDFC Swiggy Credit Card (INR)",F700="Axis Airtel Credit Card (INR)"),"INR","GBP"))</f>
        <v/>
      </c>
      <c r="F700" s="26"/>
      <c r="G700" s="26"/>
      <c r="H700" s="34" t="n">
        <f aca="false">IF(G700="Yes","",D700)</f>
        <v>0</v>
      </c>
      <c r="I700" s="26"/>
      <c r="J700" s="26"/>
    </row>
    <row r="701" customFormat="false" ht="15" hidden="false" customHeight="false" outlineLevel="0" collapsed="false">
      <c r="A701" s="28"/>
      <c r="B701" s="26"/>
      <c r="C701" s="26"/>
      <c r="D701" s="32"/>
      <c r="E701" s="33" t="str">
        <f aca="false">IF(F701="","",IF(OR(F701="HDFC Bank (INR)",F701="HDFC IOCL Credit Card (INR)",F701="HDFC Swiggy Credit Card (INR)",F701="Axis Airtel Credit Card (INR)"),"INR","GBP"))</f>
        <v/>
      </c>
      <c r="F701" s="26"/>
      <c r="G701" s="26"/>
      <c r="H701" s="34" t="n">
        <f aca="false">IF(G701="Yes","",D701)</f>
        <v>0</v>
      </c>
      <c r="I701" s="26"/>
      <c r="J701" s="26"/>
    </row>
    <row r="702" customFormat="false" ht="15" hidden="false" customHeight="false" outlineLevel="0" collapsed="false">
      <c r="A702" s="28"/>
      <c r="B702" s="26"/>
      <c r="C702" s="26"/>
      <c r="D702" s="32"/>
      <c r="E702" s="33" t="str">
        <f aca="false">IF(F702="","",IF(OR(F702="HDFC Bank (INR)",F702="HDFC IOCL Credit Card (INR)",F702="HDFC Swiggy Credit Card (INR)",F702="Axis Airtel Credit Card (INR)"),"INR","GBP"))</f>
        <v/>
      </c>
      <c r="F702" s="26"/>
      <c r="G702" s="26"/>
      <c r="H702" s="34" t="n">
        <f aca="false">IF(G702="Yes","",D702)</f>
        <v>0</v>
      </c>
      <c r="I702" s="26"/>
      <c r="J702" s="26"/>
    </row>
    <row r="703" customFormat="false" ht="15" hidden="false" customHeight="false" outlineLevel="0" collapsed="false">
      <c r="A703" s="28"/>
      <c r="B703" s="26"/>
      <c r="C703" s="26"/>
      <c r="D703" s="32"/>
      <c r="E703" s="33" t="str">
        <f aca="false">IF(F703="","",IF(OR(F703="HDFC Bank (INR)",F703="HDFC IOCL Credit Card (INR)",F703="HDFC Swiggy Credit Card (INR)",F703="Axis Airtel Credit Card (INR)"),"INR","GBP"))</f>
        <v/>
      </c>
      <c r="F703" s="26"/>
      <c r="G703" s="26"/>
      <c r="H703" s="34" t="n">
        <f aca="false">IF(G703="Yes","",D703)</f>
        <v>0</v>
      </c>
      <c r="I703" s="26"/>
      <c r="J703" s="26"/>
    </row>
    <row r="704" customFormat="false" ht="15" hidden="false" customHeight="false" outlineLevel="0" collapsed="false">
      <c r="A704" s="28"/>
      <c r="B704" s="26"/>
      <c r="C704" s="26"/>
      <c r="D704" s="32"/>
      <c r="E704" s="33" t="str">
        <f aca="false">IF(F704="","",IF(OR(F704="HDFC Bank (INR)",F704="HDFC IOCL Credit Card (INR)",F704="HDFC Swiggy Credit Card (INR)",F704="Axis Airtel Credit Card (INR)"),"INR","GBP"))</f>
        <v/>
      </c>
      <c r="F704" s="26"/>
      <c r="G704" s="26"/>
      <c r="H704" s="34" t="n">
        <f aca="false">IF(G704="Yes","",D704)</f>
        <v>0</v>
      </c>
      <c r="I704" s="26"/>
      <c r="J704" s="26"/>
    </row>
    <row r="705" customFormat="false" ht="15" hidden="false" customHeight="false" outlineLevel="0" collapsed="false">
      <c r="A705" s="28"/>
      <c r="B705" s="26"/>
      <c r="C705" s="26"/>
      <c r="D705" s="32"/>
      <c r="E705" s="33" t="str">
        <f aca="false">IF(F705="","",IF(OR(F705="HDFC Bank (INR)",F705="HDFC IOCL Credit Card (INR)",F705="HDFC Swiggy Credit Card (INR)",F705="Axis Airtel Credit Card (INR)"),"INR","GBP"))</f>
        <v/>
      </c>
      <c r="F705" s="26"/>
      <c r="G705" s="26"/>
      <c r="H705" s="34" t="n">
        <f aca="false">IF(G705="Yes","",D705)</f>
        <v>0</v>
      </c>
      <c r="I705" s="26"/>
      <c r="J705" s="26"/>
    </row>
    <row r="706" customFormat="false" ht="15" hidden="false" customHeight="false" outlineLevel="0" collapsed="false">
      <c r="A706" s="28"/>
      <c r="B706" s="26"/>
      <c r="C706" s="26"/>
      <c r="D706" s="32"/>
      <c r="E706" s="33" t="str">
        <f aca="false">IF(F706="","",IF(OR(F706="HDFC Bank (INR)",F706="HDFC IOCL Credit Card (INR)",F706="HDFC Swiggy Credit Card (INR)",F706="Axis Airtel Credit Card (INR)"),"INR","GBP"))</f>
        <v/>
      </c>
      <c r="F706" s="26"/>
      <c r="G706" s="26"/>
      <c r="H706" s="34" t="n">
        <f aca="false">IF(G706="Yes","",D706)</f>
        <v>0</v>
      </c>
      <c r="I706" s="26"/>
      <c r="J706" s="26"/>
    </row>
    <row r="707" customFormat="false" ht="15" hidden="false" customHeight="false" outlineLevel="0" collapsed="false">
      <c r="A707" s="28"/>
      <c r="B707" s="26"/>
      <c r="C707" s="26"/>
      <c r="D707" s="32"/>
      <c r="E707" s="33" t="str">
        <f aca="false">IF(F707="","",IF(OR(F707="HDFC Bank (INR)",F707="HDFC IOCL Credit Card (INR)",F707="HDFC Swiggy Credit Card (INR)",F707="Axis Airtel Credit Card (INR)"),"INR","GBP"))</f>
        <v/>
      </c>
      <c r="F707" s="26"/>
      <c r="G707" s="26"/>
      <c r="H707" s="34" t="n">
        <f aca="false">IF(G707="Yes","",D707)</f>
        <v>0</v>
      </c>
      <c r="I707" s="26"/>
      <c r="J707" s="26"/>
    </row>
    <row r="708" customFormat="false" ht="15" hidden="false" customHeight="false" outlineLevel="0" collapsed="false">
      <c r="A708" s="28"/>
      <c r="B708" s="26"/>
      <c r="C708" s="26"/>
      <c r="D708" s="32"/>
      <c r="E708" s="33" t="str">
        <f aca="false">IF(F708="","",IF(OR(F708="HDFC Bank (INR)",F708="HDFC IOCL Credit Card (INR)",F708="HDFC Swiggy Credit Card (INR)",F708="Axis Airtel Credit Card (INR)"),"INR","GBP"))</f>
        <v/>
      </c>
      <c r="F708" s="26"/>
      <c r="G708" s="26"/>
      <c r="H708" s="34" t="n">
        <f aca="false">IF(G708="Yes","",D708)</f>
        <v>0</v>
      </c>
      <c r="I708" s="26"/>
      <c r="J708" s="26"/>
    </row>
    <row r="709" customFormat="false" ht="15" hidden="false" customHeight="false" outlineLevel="0" collapsed="false">
      <c r="A709" s="28"/>
      <c r="B709" s="26"/>
      <c r="C709" s="26"/>
      <c r="D709" s="32"/>
      <c r="E709" s="33" t="str">
        <f aca="false">IF(F709="","",IF(OR(F709="HDFC Bank (INR)",F709="HDFC IOCL Credit Card (INR)",F709="HDFC Swiggy Credit Card (INR)",F709="Axis Airtel Credit Card (INR)"),"INR","GBP"))</f>
        <v/>
      </c>
      <c r="F709" s="26"/>
      <c r="G709" s="26"/>
      <c r="H709" s="34" t="n">
        <f aca="false">IF(G709="Yes","",D709)</f>
        <v>0</v>
      </c>
      <c r="I709" s="26"/>
      <c r="J709" s="26"/>
    </row>
    <row r="710" customFormat="false" ht="15" hidden="false" customHeight="false" outlineLevel="0" collapsed="false">
      <c r="A710" s="28"/>
      <c r="B710" s="26"/>
      <c r="C710" s="26"/>
      <c r="D710" s="32"/>
      <c r="E710" s="33" t="str">
        <f aca="false">IF(F710="","",IF(OR(F710="HDFC Bank (INR)",F710="HDFC IOCL Credit Card (INR)",F710="HDFC Swiggy Credit Card (INR)",F710="Axis Airtel Credit Card (INR)"),"INR","GBP"))</f>
        <v/>
      </c>
      <c r="F710" s="26"/>
      <c r="G710" s="26"/>
      <c r="H710" s="34" t="n">
        <f aca="false">IF(G710="Yes","",D710)</f>
        <v>0</v>
      </c>
      <c r="I710" s="26"/>
      <c r="J710" s="26"/>
    </row>
    <row r="711" customFormat="false" ht="15" hidden="false" customHeight="false" outlineLevel="0" collapsed="false">
      <c r="A711" s="28"/>
      <c r="B711" s="26"/>
      <c r="C711" s="26"/>
      <c r="D711" s="32"/>
      <c r="E711" s="33" t="str">
        <f aca="false">IF(F711="","",IF(OR(F711="HDFC Bank (INR)",F711="HDFC IOCL Credit Card (INR)",F711="HDFC Swiggy Credit Card (INR)",F711="Axis Airtel Credit Card (INR)"),"INR","GBP"))</f>
        <v/>
      </c>
      <c r="F711" s="26"/>
      <c r="G711" s="26"/>
      <c r="H711" s="34" t="n">
        <f aca="false">IF(G711="Yes","",D711)</f>
        <v>0</v>
      </c>
      <c r="I711" s="26"/>
      <c r="J711" s="26"/>
    </row>
    <row r="712" customFormat="false" ht="15" hidden="false" customHeight="false" outlineLevel="0" collapsed="false">
      <c r="A712" s="28"/>
      <c r="B712" s="26"/>
      <c r="C712" s="26"/>
      <c r="D712" s="32"/>
      <c r="E712" s="33" t="str">
        <f aca="false">IF(F712="","",IF(OR(F712="HDFC Bank (INR)",F712="HDFC IOCL Credit Card (INR)",F712="HDFC Swiggy Credit Card (INR)",F712="Axis Airtel Credit Card (INR)"),"INR","GBP"))</f>
        <v/>
      </c>
      <c r="F712" s="26"/>
      <c r="G712" s="26"/>
      <c r="H712" s="34" t="n">
        <f aca="false">IF(G712="Yes","",D712)</f>
        <v>0</v>
      </c>
      <c r="I712" s="26"/>
      <c r="J712" s="26"/>
    </row>
    <row r="713" customFormat="false" ht="15" hidden="false" customHeight="false" outlineLevel="0" collapsed="false">
      <c r="A713" s="28"/>
      <c r="B713" s="26"/>
      <c r="C713" s="26"/>
      <c r="D713" s="32"/>
      <c r="E713" s="33" t="str">
        <f aca="false">IF(F713="","",IF(OR(F713="HDFC Bank (INR)",F713="HDFC IOCL Credit Card (INR)",F713="HDFC Swiggy Credit Card (INR)",F713="Axis Airtel Credit Card (INR)"),"INR","GBP"))</f>
        <v/>
      </c>
      <c r="F713" s="26"/>
      <c r="G713" s="26"/>
      <c r="H713" s="34" t="n">
        <f aca="false">IF(G713="Yes","",D713)</f>
        <v>0</v>
      </c>
      <c r="I713" s="26"/>
      <c r="J713" s="26"/>
    </row>
    <row r="714" customFormat="false" ht="15" hidden="false" customHeight="false" outlineLevel="0" collapsed="false">
      <c r="A714" s="28"/>
      <c r="B714" s="26"/>
      <c r="C714" s="26"/>
      <c r="D714" s="32"/>
      <c r="E714" s="33" t="str">
        <f aca="false">IF(F714="","",IF(OR(F714="HDFC Bank (INR)",F714="HDFC IOCL Credit Card (INR)",F714="HDFC Swiggy Credit Card (INR)",F714="Axis Airtel Credit Card (INR)"),"INR","GBP"))</f>
        <v/>
      </c>
      <c r="F714" s="26"/>
      <c r="G714" s="26"/>
      <c r="H714" s="34" t="n">
        <f aca="false">IF(G714="Yes","",D714)</f>
        <v>0</v>
      </c>
      <c r="I714" s="26"/>
      <c r="J714" s="26"/>
    </row>
    <row r="715" customFormat="false" ht="15" hidden="false" customHeight="false" outlineLevel="0" collapsed="false">
      <c r="A715" s="28"/>
      <c r="B715" s="26"/>
      <c r="C715" s="26"/>
      <c r="D715" s="32"/>
      <c r="E715" s="33" t="str">
        <f aca="false">IF(F715="","",IF(OR(F715="HDFC Bank (INR)",F715="HDFC IOCL Credit Card (INR)",F715="HDFC Swiggy Credit Card (INR)",F715="Axis Airtel Credit Card (INR)"),"INR","GBP"))</f>
        <v/>
      </c>
      <c r="F715" s="26"/>
      <c r="G715" s="26"/>
      <c r="H715" s="34" t="n">
        <f aca="false">IF(G715="Yes","",D715)</f>
        <v>0</v>
      </c>
      <c r="I715" s="26"/>
      <c r="J715" s="26"/>
    </row>
    <row r="716" customFormat="false" ht="15" hidden="false" customHeight="false" outlineLevel="0" collapsed="false">
      <c r="A716" s="28"/>
      <c r="B716" s="26"/>
      <c r="C716" s="26"/>
      <c r="D716" s="32"/>
      <c r="E716" s="33" t="str">
        <f aca="false">IF(F716="","",IF(OR(F716="HDFC Bank (INR)",F716="HDFC IOCL Credit Card (INR)",F716="HDFC Swiggy Credit Card (INR)",F716="Axis Airtel Credit Card (INR)"),"INR","GBP"))</f>
        <v/>
      </c>
      <c r="F716" s="26"/>
      <c r="G716" s="26"/>
      <c r="H716" s="34" t="n">
        <f aca="false">IF(G716="Yes","",D716)</f>
        <v>0</v>
      </c>
      <c r="I716" s="26"/>
      <c r="J716" s="26"/>
    </row>
    <row r="717" customFormat="false" ht="15" hidden="false" customHeight="false" outlineLevel="0" collapsed="false">
      <c r="A717" s="28"/>
      <c r="B717" s="26"/>
      <c r="C717" s="26"/>
      <c r="D717" s="32"/>
      <c r="E717" s="33" t="str">
        <f aca="false">IF(F717="","",IF(OR(F717="HDFC Bank (INR)",F717="HDFC IOCL Credit Card (INR)",F717="HDFC Swiggy Credit Card (INR)",F717="Axis Airtel Credit Card (INR)"),"INR","GBP"))</f>
        <v/>
      </c>
      <c r="F717" s="26"/>
      <c r="G717" s="26"/>
      <c r="H717" s="34" t="n">
        <f aca="false">IF(G717="Yes","",D717)</f>
        <v>0</v>
      </c>
      <c r="I717" s="26"/>
      <c r="J717" s="26"/>
    </row>
    <row r="718" customFormat="false" ht="15" hidden="false" customHeight="false" outlineLevel="0" collapsed="false">
      <c r="A718" s="28"/>
      <c r="B718" s="26"/>
      <c r="C718" s="26"/>
      <c r="D718" s="32"/>
      <c r="E718" s="33" t="str">
        <f aca="false">IF(F718="","",IF(OR(F718="HDFC Bank (INR)",F718="HDFC IOCL Credit Card (INR)",F718="HDFC Swiggy Credit Card (INR)",F718="Axis Airtel Credit Card (INR)"),"INR","GBP"))</f>
        <v/>
      </c>
      <c r="F718" s="26"/>
      <c r="G718" s="26"/>
      <c r="H718" s="34" t="n">
        <f aca="false">IF(G718="Yes","",D718)</f>
        <v>0</v>
      </c>
      <c r="I718" s="26"/>
      <c r="J718" s="26"/>
    </row>
    <row r="719" customFormat="false" ht="15" hidden="false" customHeight="false" outlineLevel="0" collapsed="false">
      <c r="A719" s="28"/>
      <c r="B719" s="26"/>
      <c r="C719" s="26"/>
      <c r="D719" s="32"/>
      <c r="E719" s="33" t="str">
        <f aca="false">IF(F719="","",IF(OR(F719="HDFC Bank (INR)",F719="HDFC IOCL Credit Card (INR)",F719="HDFC Swiggy Credit Card (INR)",F719="Axis Airtel Credit Card (INR)"),"INR","GBP"))</f>
        <v/>
      </c>
      <c r="F719" s="26"/>
      <c r="G719" s="26"/>
      <c r="H719" s="34" t="n">
        <f aca="false">IF(G719="Yes","",D719)</f>
        <v>0</v>
      </c>
      <c r="I719" s="26"/>
      <c r="J719" s="26"/>
    </row>
    <row r="720" customFormat="false" ht="15" hidden="false" customHeight="false" outlineLevel="0" collapsed="false">
      <c r="A720" s="28"/>
      <c r="B720" s="26"/>
      <c r="C720" s="26"/>
      <c r="D720" s="32"/>
      <c r="E720" s="33" t="str">
        <f aca="false">IF(F720="","",IF(OR(F720="HDFC Bank (INR)",F720="HDFC IOCL Credit Card (INR)",F720="HDFC Swiggy Credit Card (INR)",F720="Axis Airtel Credit Card (INR)"),"INR","GBP"))</f>
        <v/>
      </c>
      <c r="F720" s="26"/>
      <c r="G720" s="26"/>
      <c r="H720" s="34" t="n">
        <f aca="false">IF(G720="Yes","",D720)</f>
        <v>0</v>
      </c>
      <c r="I720" s="26"/>
      <c r="J720" s="26"/>
    </row>
    <row r="721" customFormat="false" ht="15" hidden="false" customHeight="false" outlineLevel="0" collapsed="false">
      <c r="A721" s="28"/>
      <c r="B721" s="26"/>
      <c r="C721" s="26"/>
      <c r="D721" s="32"/>
      <c r="E721" s="33" t="str">
        <f aca="false">IF(F721="","",IF(OR(F721="HDFC Bank (INR)",F721="HDFC IOCL Credit Card (INR)",F721="HDFC Swiggy Credit Card (INR)",F721="Axis Airtel Credit Card (INR)"),"INR","GBP"))</f>
        <v/>
      </c>
      <c r="F721" s="26"/>
      <c r="G721" s="26"/>
      <c r="H721" s="34" t="n">
        <f aca="false">IF(G721="Yes","",D721)</f>
        <v>0</v>
      </c>
      <c r="I721" s="26"/>
      <c r="J721" s="26"/>
    </row>
    <row r="722" customFormat="false" ht="15" hidden="false" customHeight="false" outlineLevel="0" collapsed="false">
      <c r="A722" s="28"/>
      <c r="B722" s="26"/>
      <c r="C722" s="26"/>
      <c r="D722" s="32"/>
      <c r="E722" s="33" t="str">
        <f aca="false">IF(F722="","",IF(OR(F722="HDFC Bank (INR)",F722="HDFC IOCL Credit Card (INR)",F722="HDFC Swiggy Credit Card (INR)",F722="Axis Airtel Credit Card (INR)"),"INR","GBP"))</f>
        <v/>
      </c>
      <c r="F722" s="26"/>
      <c r="G722" s="26"/>
      <c r="H722" s="34" t="n">
        <f aca="false">IF(G722="Yes","",D722)</f>
        <v>0</v>
      </c>
      <c r="I722" s="26"/>
      <c r="J722" s="26"/>
    </row>
    <row r="723" customFormat="false" ht="15" hidden="false" customHeight="false" outlineLevel="0" collapsed="false">
      <c r="A723" s="28"/>
      <c r="B723" s="26"/>
      <c r="C723" s="26"/>
      <c r="D723" s="32"/>
      <c r="E723" s="33" t="str">
        <f aca="false">IF(F723="","",IF(OR(F723="HDFC Bank (INR)",F723="HDFC IOCL Credit Card (INR)",F723="HDFC Swiggy Credit Card (INR)",F723="Axis Airtel Credit Card (INR)"),"INR","GBP"))</f>
        <v/>
      </c>
      <c r="F723" s="26"/>
      <c r="G723" s="26"/>
      <c r="H723" s="34" t="n">
        <f aca="false">IF(G723="Yes","",D723)</f>
        <v>0</v>
      </c>
      <c r="I723" s="26"/>
      <c r="J723" s="26"/>
    </row>
    <row r="724" customFormat="false" ht="15" hidden="false" customHeight="false" outlineLevel="0" collapsed="false">
      <c r="A724" s="28"/>
      <c r="B724" s="26"/>
      <c r="C724" s="26"/>
      <c r="D724" s="32"/>
      <c r="E724" s="33" t="str">
        <f aca="false">IF(F724="","",IF(OR(F724="HDFC Bank (INR)",F724="HDFC IOCL Credit Card (INR)",F724="HDFC Swiggy Credit Card (INR)",F724="Axis Airtel Credit Card (INR)"),"INR","GBP"))</f>
        <v/>
      </c>
      <c r="F724" s="26"/>
      <c r="G724" s="26"/>
      <c r="H724" s="34" t="n">
        <f aca="false">IF(G724="Yes","",D724)</f>
        <v>0</v>
      </c>
      <c r="I724" s="26"/>
      <c r="J724" s="26"/>
    </row>
    <row r="725" customFormat="false" ht="15" hidden="false" customHeight="false" outlineLevel="0" collapsed="false">
      <c r="A725" s="28"/>
      <c r="B725" s="26"/>
      <c r="C725" s="26"/>
      <c r="D725" s="32"/>
      <c r="E725" s="33" t="str">
        <f aca="false">IF(F725="","",IF(OR(F725="HDFC Bank (INR)",F725="HDFC IOCL Credit Card (INR)",F725="HDFC Swiggy Credit Card (INR)",F725="Axis Airtel Credit Card (INR)"),"INR","GBP"))</f>
        <v/>
      </c>
      <c r="F725" s="26"/>
      <c r="G725" s="26"/>
      <c r="H725" s="34" t="n">
        <f aca="false">IF(G725="Yes","",D725)</f>
        <v>0</v>
      </c>
      <c r="I725" s="26"/>
      <c r="J725" s="26"/>
    </row>
    <row r="726" customFormat="false" ht="15" hidden="false" customHeight="false" outlineLevel="0" collapsed="false">
      <c r="A726" s="28"/>
      <c r="B726" s="26"/>
      <c r="C726" s="26"/>
      <c r="D726" s="32"/>
      <c r="E726" s="33" t="str">
        <f aca="false">IF(F726="","",IF(OR(F726="HDFC Bank (INR)",F726="HDFC IOCL Credit Card (INR)",F726="HDFC Swiggy Credit Card (INR)",F726="Axis Airtel Credit Card (INR)"),"INR","GBP"))</f>
        <v/>
      </c>
      <c r="F726" s="26"/>
      <c r="G726" s="26"/>
      <c r="H726" s="34" t="n">
        <f aca="false">IF(G726="Yes","",D726)</f>
        <v>0</v>
      </c>
      <c r="I726" s="26"/>
      <c r="J726" s="26"/>
    </row>
    <row r="727" customFormat="false" ht="15" hidden="false" customHeight="false" outlineLevel="0" collapsed="false">
      <c r="A727" s="28"/>
      <c r="B727" s="26"/>
      <c r="C727" s="26"/>
      <c r="D727" s="32"/>
      <c r="E727" s="33" t="str">
        <f aca="false">IF(F727="","",IF(OR(F727="HDFC Bank (INR)",F727="HDFC IOCL Credit Card (INR)",F727="HDFC Swiggy Credit Card (INR)",F727="Axis Airtel Credit Card (INR)"),"INR","GBP"))</f>
        <v/>
      </c>
      <c r="F727" s="26"/>
      <c r="G727" s="26"/>
      <c r="H727" s="34" t="n">
        <f aca="false">IF(G727="Yes","",D727)</f>
        <v>0</v>
      </c>
      <c r="I727" s="26"/>
      <c r="J727" s="26"/>
    </row>
    <row r="728" customFormat="false" ht="15" hidden="false" customHeight="false" outlineLevel="0" collapsed="false">
      <c r="A728" s="28"/>
      <c r="B728" s="26"/>
      <c r="C728" s="26"/>
      <c r="D728" s="32"/>
      <c r="E728" s="33" t="str">
        <f aca="false">IF(F728="","",IF(OR(F728="HDFC Bank (INR)",F728="HDFC IOCL Credit Card (INR)",F728="HDFC Swiggy Credit Card (INR)",F728="Axis Airtel Credit Card (INR)"),"INR","GBP"))</f>
        <v/>
      </c>
      <c r="F728" s="26"/>
      <c r="G728" s="26"/>
      <c r="H728" s="34" t="n">
        <f aca="false">IF(G728="Yes","",D728)</f>
        <v>0</v>
      </c>
      <c r="I728" s="26"/>
      <c r="J728" s="26"/>
    </row>
    <row r="729" customFormat="false" ht="15" hidden="false" customHeight="false" outlineLevel="0" collapsed="false">
      <c r="A729" s="28"/>
      <c r="B729" s="26"/>
      <c r="C729" s="26"/>
      <c r="D729" s="32"/>
      <c r="E729" s="33" t="str">
        <f aca="false">IF(F729="","",IF(OR(F729="HDFC Bank (INR)",F729="HDFC IOCL Credit Card (INR)",F729="HDFC Swiggy Credit Card (INR)",F729="Axis Airtel Credit Card (INR)"),"INR","GBP"))</f>
        <v/>
      </c>
      <c r="F729" s="26"/>
      <c r="G729" s="26"/>
      <c r="H729" s="34" t="n">
        <f aca="false">IF(G729="Yes","",D729)</f>
        <v>0</v>
      </c>
      <c r="I729" s="26"/>
      <c r="J729" s="26"/>
    </row>
    <row r="730" customFormat="false" ht="15" hidden="false" customHeight="false" outlineLevel="0" collapsed="false">
      <c r="A730" s="28"/>
      <c r="B730" s="26"/>
      <c r="C730" s="26"/>
      <c r="D730" s="32"/>
      <c r="E730" s="33" t="str">
        <f aca="false">IF(F730="","",IF(OR(F730="HDFC Bank (INR)",F730="HDFC IOCL Credit Card (INR)",F730="HDFC Swiggy Credit Card (INR)",F730="Axis Airtel Credit Card (INR)"),"INR","GBP"))</f>
        <v/>
      </c>
      <c r="F730" s="26"/>
      <c r="G730" s="26"/>
      <c r="H730" s="34" t="n">
        <f aca="false">IF(G730="Yes","",D730)</f>
        <v>0</v>
      </c>
      <c r="I730" s="26"/>
      <c r="J730" s="26"/>
    </row>
    <row r="731" customFormat="false" ht="15" hidden="false" customHeight="false" outlineLevel="0" collapsed="false">
      <c r="A731" s="28"/>
      <c r="B731" s="26"/>
      <c r="C731" s="26"/>
      <c r="D731" s="32"/>
      <c r="E731" s="33" t="str">
        <f aca="false">IF(F731="","",IF(OR(F731="HDFC Bank (INR)",F731="HDFC IOCL Credit Card (INR)",F731="HDFC Swiggy Credit Card (INR)",F731="Axis Airtel Credit Card (INR)"),"INR","GBP"))</f>
        <v/>
      </c>
      <c r="F731" s="26"/>
      <c r="G731" s="26"/>
      <c r="H731" s="34" t="n">
        <f aca="false">IF(G731="Yes","",D731)</f>
        <v>0</v>
      </c>
      <c r="I731" s="26"/>
      <c r="J731" s="26"/>
    </row>
    <row r="732" customFormat="false" ht="15" hidden="false" customHeight="false" outlineLevel="0" collapsed="false">
      <c r="A732" s="28"/>
      <c r="B732" s="26"/>
      <c r="C732" s="26"/>
      <c r="D732" s="32"/>
      <c r="E732" s="33" t="str">
        <f aca="false">IF(F732="","",IF(OR(F732="HDFC Bank (INR)",F732="HDFC IOCL Credit Card (INR)",F732="HDFC Swiggy Credit Card (INR)",F732="Axis Airtel Credit Card (INR)"),"INR","GBP"))</f>
        <v/>
      </c>
      <c r="F732" s="26"/>
      <c r="G732" s="26"/>
      <c r="H732" s="34" t="n">
        <f aca="false">IF(G732="Yes","",D732)</f>
        <v>0</v>
      </c>
      <c r="I732" s="26"/>
      <c r="J732" s="26"/>
    </row>
    <row r="733" customFormat="false" ht="15" hidden="false" customHeight="false" outlineLevel="0" collapsed="false">
      <c r="A733" s="28"/>
      <c r="B733" s="26"/>
      <c r="C733" s="26"/>
      <c r="D733" s="32"/>
      <c r="E733" s="33" t="str">
        <f aca="false">IF(F733="","",IF(OR(F733="HDFC Bank (INR)",F733="HDFC IOCL Credit Card (INR)",F733="HDFC Swiggy Credit Card (INR)",F733="Axis Airtel Credit Card (INR)"),"INR","GBP"))</f>
        <v/>
      </c>
      <c r="F733" s="26"/>
      <c r="G733" s="26"/>
      <c r="H733" s="34" t="n">
        <f aca="false">IF(G733="Yes","",D733)</f>
        <v>0</v>
      </c>
      <c r="I733" s="26"/>
      <c r="J733" s="26"/>
    </row>
    <row r="734" customFormat="false" ht="15" hidden="false" customHeight="false" outlineLevel="0" collapsed="false">
      <c r="A734" s="28"/>
      <c r="B734" s="26"/>
      <c r="C734" s="26"/>
      <c r="D734" s="32"/>
      <c r="E734" s="33" t="str">
        <f aca="false">IF(F734="","",IF(OR(F734="HDFC Bank (INR)",F734="HDFC IOCL Credit Card (INR)",F734="HDFC Swiggy Credit Card (INR)",F734="Axis Airtel Credit Card (INR)"),"INR","GBP"))</f>
        <v/>
      </c>
      <c r="F734" s="26"/>
      <c r="G734" s="26"/>
      <c r="H734" s="34" t="n">
        <f aca="false">IF(G734="Yes","",D734)</f>
        <v>0</v>
      </c>
      <c r="I734" s="26"/>
      <c r="J734" s="26"/>
    </row>
    <row r="735" customFormat="false" ht="15" hidden="false" customHeight="false" outlineLevel="0" collapsed="false">
      <c r="A735" s="28"/>
      <c r="B735" s="26"/>
      <c r="C735" s="26"/>
      <c r="D735" s="32"/>
      <c r="E735" s="33" t="str">
        <f aca="false">IF(F735="","",IF(OR(F735="HDFC Bank (INR)",F735="HDFC IOCL Credit Card (INR)",F735="HDFC Swiggy Credit Card (INR)",F735="Axis Airtel Credit Card (INR)"),"INR","GBP"))</f>
        <v/>
      </c>
      <c r="F735" s="26"/>
      <c r="G735" s="26"/>
      <c r="H735" s="34" t="n">
        <f aca="false">IF(G735="Yes","",D735)</f>
        <v>0</v>
      </c>
      <c r="I735" s="26"/>
      <c r="J735" s="26"/>
    </row>
    <row r="736" customFormat="false" ht="15" hidden="false" customHeight="false" outlineLevel="0" collapsed="false">
      <c r="A736" s="28"/>
      <c r="B736" s="26"/>
      <c r="C736" s="26"/>
      <c r="D736" s="32"/>
      <c r="E736" s="33" t="str">
        <f aca="false">IF(F736="","",IF(OR(F736="HDFC Bank (INR)",F736="HDFC IOCL Credit Card (INR)",F736="HDFC Swiggy Credit Card (INR)",F736="Axis Airtel Credit Card (INR)"),"INR","GBP"))</f>
        <v/>
      </c>
      <c r="F736" s="26"/>
      <c r="G736" s="26"/>
      <c r="H736" s="34" t="n">
        <f aca="false">IF(G736="Yes","",D736)</f>
        <v>0</v>
      </c>
      <c r="I736" s="26"/>
      <c r="J736" s="26"/>
    </row>
    <row r="737" customFormat="false" ht="15" hidden="false" customHeight="false" outlineLevel="0" collapsed="false">
      <c r="A737" s="28"/>
      <c r="B737" s="26"/>
      <c r="C737" s="26"/>
      <c r="D737" s="32"/>
      <c r="E737" s="33" t="str">
        <f aca="false">IF(F737="","",IF(OR(F737="HDFC Bank (INR)",F737="HDFC IOCL Credit Card (INR)",F737="HDFC Swiggy Credit Card (INR)",F737="Axis Airtel Credit Card (INR)"),"INR","GBP"))</f>
        <v/>
      </c>
      <c r="F737" s="26"/>
      <c r="G737" s="26"/>
      <c r="H737" s="34" t="n">
        <f aca="false">IF(G737="Yes","",D737)</f>
        <v>0</v>
      </c>
      <c r="I737" s="26"/>
      <c r="J737" s="26"/>
    </row>
    <row r="738" customFormat="false" ht="15" hidden="false" customHeight="false" outlineLevel="0" collapsed="false">
      <c r="A738" s="28"/>
      <c r="B738" s="26"/>
      <c r="C738" s="26"/>
      <c r="D738" s="32"/>
      <c r="E738" s="33" t="str">
        <f aca="false">IF(F738="","",IF(OR(F738="HDFC Bank (INR)",F738="HDFC IOCL Credit Card (INR)",F738="HDFC Swiggy Credit Card (INR)",F738="Axis Airtel Credit Card (INR)"),"INR","GBP"))</f>
        <v/>
      </c>
      <c r="F738" s="26"/>
      <c r="G738" s="26"/>
      <c r="H738" s="34" t="n">
        <f aca="false">IF(G738="Yes","",D738)</f>
        <v>0</v>
      </c>
      <c r="I738" s="26"/>
      <c r="J738" s="26"/>
    </row>
    <row r="739" customFormat="false" ht="15" hidden="false" customHeight="false" outlineLevel="0" collapsed="false">
      <c r="A739" s="28"/>
      <c r="B739" s="26"/>
      <c r="C739" s="26"/>
      <c r="D739" s="32"/>
      <c r="E739" s="33" t="str">
        <f aca="false">IF(F739="","",IF(OR(F739="HDFC Bank (INR)",F739="HDFC IOCL Credit Card (INR)",F739="HDFC Swiggy Credit Card (INR)",F739="Axis Airtel Credit Card (INR)"),"INR","GBP"))</f>
        <v/>
      </c>
      <c r="F739" s="26"/>
      <c r="G739" s="26"/>
      <c r="H739" s="34" t="n">
        <f aca="false">IF(G739="Yes","",D739)</f>
        <v>0</v>
      </c>
      <c r="I739" s="26"/>
      <c r="J739" s="26"/>
    </row>
    <row r="740" customFormat="false" ht="15" hidden="false" customHeight="false" outlineLevel="0" collapsed="false">
      <c r="A740" s="28"/>
      <c r="B740" s="26"/>
      <c r="C740" s="26"/>
      <c r="D740" s="32"/>
      <c r="E740" s="33" t="str">
        <f aca="false">IF(F740="","",IF(OR(F740="HDFC Bank (INR)",F740="HDFC IOCL Credit Card (INR)",F740="HDFC Swiggy Credit Card (INR)",F740="Axis Airtel Credit Card (INR)"),"INR","GBP"))</f>
        <v/>
      </c>
      <c r="F740" s="26"/>
      <c r="G740" s="26"/>
      <c r="H740" s="34" t="n">
        <f aca="false">IF(G740="Yes","",D740)</f>
        <v>0</v>
      </c>
      <c r="I740" s="26"/>
      <c r="J740" s="26"/>
    </row>
    <row r="741" customFormat="false" ht="15" hidden="false" customHeight="false" outlineLevel="0" collapsed="false">
      <c r="A741" s="28"/>
      <c r="B741" s="26"/>
      <c r="C741" s="26"/>
      <c r="D741" s="32"/>
      <c r="E741" s="33" t="str">
        <f aca="false">IF(F741="","",IF(OR(F741="HDFC Bank (INR)",F741="HDFC IOCL Credit Card (INR)",F741="HDFC Swiggy Credit Card (INR)",F741="Axis Airtel Credit Card (INR)"),"INR","GBP"))</f>
        <v/>
      </c>
      <c r="F741" s="26"/>
      <c r="G741" s="26"/>
      <c r="H741" s="34" t="n">
        <f aca="false">IF(G741="Yes","",D741)</f>
        <v>0</v>
      </c>
      <c r="I741" s="26"/>
      <c r="J741" s="26"/>
    </row>
    <row r="742" customFormat="false" ht="15" hidden="false" customHeight="false" outlineLevel="0" collapsed="false">
      <c r="A742" s="28"/>
      <c r="B742" s="26"/>
      <c r="C742" s="26"/>
      <c r="D742" s="32"/>
      <c r="E742" s="33" t="str">
        <f aca="false">IF(F742="","",IF(OR(F742="HDFC Bank (INR)",F742="HDFC IOCL Credit Card (INR)",F742="HDFC Swiggy Credit Card (INR)",F742="Axis Airtel Credit Card (INR)"),"INR","GBP"))</f>
        <v/>
      </c>
      <c r="F742" s="26"/>
      <c r="G742" s="26"/>
      <c r="H742" s="34" t="n">
        <f aca="false">IF(G742="Yes","",D742)</f>
        <v>0</v>
      </c>
      <c r="I742" s="26"/>
      <c r="J742" s="26"/>
    </row>
    <row r="743" customFormat="false" ht="15" hidden="false" customHeight="false" outlineLevel="0" collapsed="false">
      <c r="A743" s="28"/>
      <c r="B743" s="26"/>
      <c r="C743" s="26"/>
      <c r="D743" s="32"/>
      <c r="E743" s="33" t="str">
        <f aca="false">IF(F743="","",IF(OR(F743="HDFC Bank (INR)",F743="HDFC IOCL Credit Card (INR)",F743="HDFC Swiggy Credit Card (INR)",F743="Axis Airtel Credit Card (INR)"),"INR","GBP"))</f>
        <v/>
      </c>
      <c r="F743" s="26"/>
      <c r="G743" s="26"/>
      <c r="H743" s="34" t="n">
        <f aca="false">IF(G743="Yes","",D743)</f>
        <v>0</v>
      </c>
      <c r="I743" s="26"/>
      <c r="J743" s="26"/>
    </row>
    <row r="744" customFormat="false" ht="15" hidden="false" customHeight="false" outlineLevel="0" collapsed="false">
      <c r="A744" s="28"/>
      <c r="B744" s="26"/>
      <c r="C744" s="26"/>
      <c r="D744" s="32"/>
      <c r="E744" s="33" t="str">
        <f aca="false">IF(F744="","",IF(OR(F744="HDFC Bank (INR)",F744="HDFC IOCL Credit Card (INR)",F744="HDFC Swiggy Credit Card (INR)",F744="Axis Airtel Credit Card (INR)"),"INR","GBP"))</f>
        <v/>
      </c>
      <c r="F744" s="26"/>
      <c r="G744" s="26"/>
      <c r="H744" s="34" t="n">
        <f aca="false">IF(G744="Yes","",D744)</f>
        <v>0</v>
      </c>
      <c r="I744" s="26"/>
      <c r="J744" s="26"/>
    </row>
    <row r="745" customFormat="false" ht="15" hidden="false" customHeight="false" outlineLevel="0" collapsed="false">
      <c r="A745" s="28"/>
      <c r="B745" s="26"/>
      <c r="C745" s="26"/>
      <c r="D745" s="32"/>
      <c r="E745" s="33" t="str">
        <f aca="false">IF(F745="","",IF(OR(F745="HDFC Bank (INR)",F745="HDFC IOCL Credit Card (INR)",F745="HDFC Swiggy Credit Card (INR)",F745="Axis Airtel Credit Card (INR)"),"INR","GBP"))</f>
        <v/>
      </c>
      <c r="F745" s="26"/>
      <c r="G745" s="26"/>
      <c r="H745" s="34" t="n">
        <f aca="false">IF(G745="Yes","",D745)</f>
        <v>0</v>
      </c>
      <c r="I745" s="26"/>
      <c r="J745" s="26"/>
    </row>
    <row r="746" customFormat="false" ht="15" hidden="false" customHeight="false" outlineLevel="0" collapsed="false">
      <c r="A746" s="28"/>
      <c r="B746" s="26"/>
      <c r="C746" s="26"/>
      <c r="D746" s="32"/>
      <c r="E746" s="33" t="str">
        <f aca="false">IF(F746="","",IF(OR(F746="HDFC Bank (INR)",F746="HDFC IOCL Credit Card (INR)",F746="HDFC Swiggy Credit Card (INR)",F746="Axis Airtel Credit Card (INR)"),"INR","GBP"))</f>
        <v/>
      </c>
      <c r="F746" s="26"/>
      <c r="G746" s="26"/>
      <c r="H746" s="34" t="n">
        <f aca="false">IF(G746="Yes","",D746)</f>
        <v>0</v>
      </c>
      <c r="I746" s="26"/>
      <c r="J746" s="26"/>
    </row>
    <row r="747" customFormat="false" ht="15" hidden="false" customHeight="false" outlineLevel="0" collapsed="false">
      <c r="A747" s="28"/>
      <c r="B747" s="26"/>
      <c r="C747" s="26"/>
      <c r="D747" s="32"/>
      <c r="E747" s="33" t="str">
        <f aca="false">IF(F747="","",IF(OR(F747="HDFC Bank (INR)",F747="HDFC IOCL Credit Card (INR)",F747="HDFC Swiggy Credit Card (INR)",F747="Axis Airtel Credit Card (INR)"),"INR","GBP"))</f>
        <v/>
      </c>
      <c r="F747" s="26"/>
      <c r="G747" s="26"/>
      <c r="H747" s="34" t="n">
        <f aca="false">IF(G747="Yes","",D747)</f>
        <v>0</v>
      </c>
      <c r="I747" s="26"/>
      <c r="J747" s="26"/>
    </row>
    <row r="748" customFormat="false" ht="15" hidden="false" customHeight="false" outlineLevel="0" collapsed="false">
      <c r="A748" s="28"/>
      <c r="B748" s="26"/>
      <c r="C748" s="26"/>
      <c r="D748" s="32"/>
      <c r="E748" s="33" t="str">
        <f aca="false">IF(F748="","",IF(OR(F748="HDFC Bank (INR)",F748="HDFC IOCL Credit Card (INR)",F748="HDFC Swiggy Credit Card (INR)",F748="Axis Airtel Credit Card (INR)"),"INR","GBP"))</f>
        <v/>
      </c>
      <c r="F748" s="26"/>
      <c r="G748" s="26"/>
      <c r="H748" s="34" t="n">
        <f aca="false">IF(G748="Yes","",D748)</f>
        <v>0</v>
      </c>
      <c r="I748" s="26"/>
      <c r="J748" s="26"/>
    </row>
    <row r="749" customFormat="false" ht="15" hidden="false" customHeight="false" outlineLevel="0" collapsed="false">
      <c r="A749" s="28"/>
      <c r="B749" s="26"/>
      <c r="C749" s="26"/>
      <c r="D749" s="32"/>
      <c r="E749" s="33" t="str">
        <f aca="false">IF(F749="","",IF(OR(F749="HDFC Bank (INR)",F749="HDFC IOCL Credit Card (INR)",F749="HDFC Swiggy Credit Card (INR)",F749="Axis Airtel Credit Card (INR)"),"INR","GBP"))</f>
        <v/>
      </c>
      <c r="F749" s="26"/>
      <c r="G749" s="26"/>
      <c r="H749" s="34" t="n">
        <f aca="false">IF(G749="Yes","",D749)</f>
        <v>0</v>
      </c>
      <c r="I749" s="26"/>
      <c r="J749" s="26"/>
    </row>
    <row r="750" customFormat="false" ht="15" hidden="false" customHeight="false" outlineLevel="0" collapsed="false">
      <c r="A750" s="28"/>
      <c r="B750" s="26"/>
      <c r="C750" s="26"/>
      <c r="D750" s="32"/>
      <c r="E750" s="33" t="str">
        <f aca="false">IF(F750="","",IF(OR(F750="HDFC Bank (INR)",F750="HDFC IOCL Credit Card (INR)",F750="HDFC Swiggy Credit Card (INR)",F750="Axis Airtel Credit Card (INR)"),"INR","GBP"))</f>
        <v/>
      </c>
      <c r="F750" s="26"/>
      <c r="G750" s="26"/>
      <c r="H750" s="34" t="n">
        <f aca="false">IF(G750="Yes","",D750)</f>
        <v>0</v>
      </c>
      <c r="I750" s="26"/>
      <c r="J750" s="26"/>
    </row>
    <row r="751" customFormat="false" ht="15" hidden="false" customHeight="false" outlineLevel="0" collapsed="false">
      <c r="A751" s="28"/>
      <c r="B751" s="26"/>
      <c r="C751" s="26"/>
      <c r="D751" s="32"/>
      <c r="E751" s="33" t="str">
        <f aca="false">IF(F751="","",IF(OR(F751="HDFC Bank (INR)",F751="HDFC IOCL Credit Card (INR)",F751="HDFC Swiggy Credit Card (INR)",F751="Axis Airtel Credit Card (INR)"),"INR","GBP"))</f>
        <v/>
      </c>
      <c r="F751" s="26"/>
      <c r="G751" s="26"/>
      <c r="H751" s="34" t="n">
        <f aca="false">IF(G751="Yes","",D751)</f>
        <v>0</v>
      </c>
      <c r="I751" s="26"/>
      <c r="J751" s="26"/>
    </row>
    <row r="752" customFormat="false" ht="15" hidden="false" customHeight="false" outlineLevel="0" collapsed="false">
      <c r="A752" s="28"/>
      <c r="B752" s="26"/>
      <c r="C752" s="26"/>
      <c r="D752" s="32"/>
      <c r="E752" s="33" t="str">
        <f aca="false">IF(F752="","",IF(OR(F752="HDFC Bank (INR)",F752="HDFC IOCL Credit Card (INR)",F752="HDFC Swiggy Credit Card (INR)",F752="Axis Airtel Credit Card (INR)"),"INR","GBP"))</f>
        <v/>
      </c>
      <c r="F752" s="26"/>
      <c r="G752" s="26"/>
      <c r="H752" s="34" t="n">
        <f aca="false">IF(G752="Yes","",D752)</f>
        <v>0</v>
      </c>
      <c r="I752" s="26"/>
      <c r="J752" s="26"/>
    </row>
    <row r="753" customFormat="false" ht="15" hidden="false" customHeight="false" outlineLevel="0" collapsed="false">
      <c r="A753" s="28"/>
      <c r="B753" s="26"/>
      <c r="C753" s="26"/>
      <c r="D753" s="32"/>
      <c r="E753" s="33" t="str">
        <f aca="false">IF(F753="","",IF(OR(F753="HDFC Bank (INR)",F753="HDFC IOCL Credit Card (INR)",F753="HDFC Swiggy Credit Card (INR)",F753="Axis Airtel Credit Card (INR)"),"INR","GBP"))</f>
        <v/>
      </c>
      <c r="F753" s="26"/>
      <c r="G753" s="26"/>
      <c r="H753" s="34" t="n">
        <f aca="false">IF(G753="Yes","",D753)</f>
        <v>0</v>
      </c>
      <c r="I753" s="26"/>
      <c r="J753" s="26"/>
    </row>
    <row r="754" customFormat="false" ht="15" hidden="false" customHeight="false" outlineLevel="0" collapsed="false">
      <c r="A754" s="28"/>
      <c r="B754" s="26"/>
      <c r="C754" s="26"/>
      <c r="D754" s="32"/>
      <c r="E754" s="33" t="str">
        <f aca="false">IF(F754="","",IF(OR(F754="HDFC Bank (INR)",F754="HDFC IOCL Credit Card (INR)",F754="HDFC Swiggy Credit Card (INR)",F754="Axis Airtel Credit Card (INR)"),"INR","GBP"))</f>
        <v/>
      </c>
      <c r="F754" s="26"/>
      <c r="G754" s="26"/>
      <c r="H754" s="34" t="n">
        <f aca="false">IF(G754="Yes","",D754)</f>
        <v>0</v>
      </c>
      <c r="I754" s="26"/>
      <c r="J754" s="26"/>
    </row>
    <row r="755" customFormat="false" ht="15" hidden="false" customHeight="false" outlineLevel="0" collapsed="false">
      <c r="A755" s="28"/>
      <c r="B755" s="26"/>
      <c r="C755" s="26"/>
      <c r="D755" s="32"/>
      <c r="E755" s="33" t="str">
        <f aca="false">IF(F755="","",IF(OR(F755="HDFC Bank (INR)",F755="HDFC IOCL Credit Card (INR)",F755="HDFC Swiggy Credit Card (INR)",F755="Axis Airtel Credit Card (INR)"),"INR","GBP"))</f>
        <v/>
      </c>
      <c r="F755" s="26"/>
      <c r="G755" s="26"/>
      <c r="H755" s="34" t="n">
        <f aca="false">IF(G755="Yes","",D755)</f>
        <v>0</v>
      </c>
      <c r="I755" s="26"/>
      <c r="J755" s="26"/>
    </row>
    <row r="756" customFormat="false" ht="15" hidden="false" customHeight="false" outlineLevel="0" collapsed="false">
      <c r="A756" s="28"/>
      <c r="B756" s="26"/>
      <c r="C756" s="26"/>
      <c r="D756" s="32"/>
      <c r="E756" s="33" t="str">
        <f aca="false">IF(F756="","",IF(OR(F756="HDFC Bank (INR)",F756="HDFC IOCL Credit Card (INR)",F756="HDFC Swiggy Credit Card (INR)",F756="Axis Airtel Credit Card (INR)"),"INR","GBP"))</f>
        <v/>
      </c>
      <c r="F756" s="26"/>
      <c r="G756" s="26"/>
      <c r="H756" s="34" t="n">
        <f aca="false">IF(G756="Yes","",D756)</f>
        <v>0</v>
      </c>
      <c r="I756" s="26"/>
      <c r="J756" s="26"/>
    </row>
    <row r="757" customFormat="false" ht="15" hidden="false" customHeight="false" outlineLevel="0" collapsed="false">
      <c r="A757" s="28"/>
      <c r="B757" s="26"/>
      <c r="C757" s="26"/>
      <c r="D757" s="32"/>
      <c r="E757" s="33" t="str">
        <f aca="false">IF(F757="","",IF(OR(F757="HDFC Bank (INR)",F757="HDFC IOCL Credit Card (INR)",F757="HDFC Swiggy Credit Card (INR)",F757="Axis Airtel Credit Card (INR)"),"INR","GBP"))</f>
        <v/>
      </c>
      <c r="F757" s="26"/>
      <c r="G757" s="26"/>
      <c r="H757" s="34" t="n">
        <f aca="false">IF(G757="Yes","",D757)</f>
        <v>0</v>
      </c>
      <c r="I757" s="26"/>
      <c r="J757" s="26"/>
    </row>
    <row r="758" customFormat="false" ht="15" hidden="false" customHeight="false" outlineLevel="0" collapsed="false">
      <c r="A758" s="28"/>
      <c r="B758" s="26"/>
      <c r="C758" s="26"/>
      <c r="D758" s="32"/>
      <c r="E758" s="33" t="str">
        <f aca="false">IF(F758="","",IF(OR(F758="HDFC Bank (INR)",F758="HDFC IOCL Credit Card (INR)",F758="HDFC Swiggy Credit Card (INR)",F758="Axis Airtel Credit Card (INR)"),"INR","GBP"))</f>
        <v/>
      </c>
      <c r="F758" s="26"/>
      <c r="G758" s="26"/>
      <c r="H758" s="34" t="n">
        <f aca="false">IF(G758="Yes","",D758)</f>
        <v>0</v>
      </c>
      <c r="I758" s="26"/>
      <c r="J758" s="26"/>
    </row>
    <row r="759" customFormat="false" ht="15" hidden="false" customHeight="false" outlineLevel="0" collapsed="false">
      <c r="A759" s="28"/>
      <c r="B759" s="26"/>
      <c r="C759" s="26"/>
      <c r="D759" s="32"/>
      <c r="E759" s="33" t="str">
        <f aca="false">IF(F759="","",IF(OR(F759="HDFC Bank (INR)",F759="HDFC IOCL Credit Card (INR)",F759="HDFC Swiggy Credit Card (INR)",F759="Axis Airtel Credit Card (INR)"),"INR","GBP"))</f>
        <v/>
      </c>
      <c r="F759" s="26"/>
      <c r="G759" s="26"/>
      <c r="H759" s="34" t="n">
        <f aca="false">IF(G759="Yes","",D759)</f>
        <v>0</v>
      </c>
      <c r="I759" s="26"/>
      <c r="J759" s="26"/>
    </row>
    <row r="760" customFormat="false" ht="15" hidden="false" customHeight="false" outlineLevel="0" collapsed="false">
      <c r="A760" s="28"/>
      <c r="B760" s="26"/>
      <c r="C760" s="26"/>
      <c r="D760" s="32"/>
      <c r="E760" s="33" t="str">
        <f aca="false">IF(F760="","",IF(OR(F760="HDFC Bank (INR)",F760="HDFC IOCL Credit Card (INR)",F760="HDFC Swiggy Credit Card (INR)",F760="Axis Airtel Credit Card (INR)"),"INR","GBP"))</f>
        <v/>
      </c>
      <c r="F760" s="26"/>
      <c r="G760" s="26"/>
      <c r="H760" s="34" t="n">
        <f aca="false">IF(G760="Yes","",D760)</f>
        <v>0</v>
      </c>
      <c r="I760" s="26"/>
      <c r="J760" s="26"/>
    </row>
    <row r="761" customFormat="false" ht="15" hidden="false" customHeight="false" outlineLevel="0" collapsed="false">
      <c r="A761" s="28"/>
      <c r="B761" s="26"/>
      <c r="C761" s="26"/>
      <c r="D761" s="32"/>
      <c r="E761" s="33" t="str">
        <f aca="false">IF(F761="","",IF(OR(F761="HDFC Bank (INR)",F761="HDFC IOCL Credit Card (INR)",F761="HDFC Swiggy Credit Card (INR)",F761="Axis Airtel Credit Card (INR)"),"INR","GBP"))</f>
        <v/>
      </c>
      <c r="F761" s="26"/>
      <c r="G761" s="26"/>
      <c r="H761" s="34" t="n">
        <f aca="false">IF(G761="Yes","",D761)</f>
        <v>0</v>
      </c>
      <c r="I761" s="26"/>
      <c r="J761" s="26"/>
    </row>
    <row r="762" customFormat="false" ht="15" hidden="false" customHeight="false" outlineLevel="0" collapsed="false">
      <c r="A762" s="28"/>
      <c r="B762" s="26"/>
      <c r="C762" s="26"/>
      <c r="D762" s="32"/>
      <c r="E762" s="33" t="str">
        <f aca="false">IF(F762="","",IF(OR(F762="HDFC Bank (INR)",F762="HDFC IOCL Credit Card (INR)",F762="HDFC Swiggy Credit Card (INR)",F762="Axis Airtel Credit Card (INR)"),"INR","GBP"))</f>
        <v/>
      </c>
      <c r="F762" s="26"/>
      <c r="G762" s="26"/>
      <c r="H762" s="34" t="n">
        <f aca="false">IF(G762="Yes","",D762)</f>
        <v>0</v>
      </c>
      <c r="I762" s="26"/>
      <c r="J762" s="26"/>
    </row>
    <row r="763" customFormat="false" ht="15" hidden="false" customHeight="false" outlineLevel="0" collapsed="false">
      <c r="A763" s="28"/>
      <c r="B763" s="26"/>
      <c r="C763" s="26"/>
      <c r="D763" s="32"/>
      <c r="E763" s="33" t="str">
        <f aca="false">IF(F763="","",IF(OR(F763="HDFC Bank (INR)",F763="HDFC IOCL Credit Card (INR)",F763="HDFC Swiggy Credit Card (INR)",F763="Axis Airtel Credit Card (INR)"),"INR","GBP"))</f>
        <v/>
      </c>
      <c r="F763" s="26"/>
      <c r="G763" s="26"/>
      <c r="H763" s="34" t="n">
        <f aca="false">IF(G763="Yes","",D763)</f>
        <v>0</v>
      </c>
      <c r="I763" s="26"/>
      <c r="J763" s="26"/>
    </row>
    <row r="764" customFormat="false" ht="15" hidden="false" customHeight="false" outlineLevel="0" collapsed="false">
      <c r="A764" s="28"/>
      <c r="B764" s="26"/>
      <c r="C764" s="26"/>
      <c r="D764" s="32"/>
      <c r="E764" s="33" t="str">
        <f aca="false">IF(F764="","",IF(OR(F764="HDFC Bank (INR)",F764="HDFC IOCL Credit Card (INR)",F764="HDFC Swiggy Credit Card (INR)",F764="Axis Airtel Credit Card (INR)"),"INR","GBP"))</f>
        <v/>
      </c>
      <c r="F764" s="26"/>
      <c r="G764" s="26"/>
      <c r="H764" s="34" t="n">
        <f aca="false">IF(G764="Yes","",D764)</f>
        <v>0</v>
      </c>
      <c r="I764" s="26"/>
      <c r="J764" s="26"/>
    </row>
    <row r="765" customFormat="false" ht="15" hidden="false" customHeight="false" outlineLevel="0" collapsed="false">
      <c r="A765" s="28"/>
      <c r="B765" s="26"/>
      <c r="C765" s="26"/>
      <c r="D765" s="32"/>
      <c r="E765" s="33" t="str">
        <f aca="false">IF(F765="","",IF(OR(F765="HDFC Bank (INR)",F765="HDFC IOCL Credit Card (INR)",F765="HDFC Swiggy Credit Card (INR)",F765="Axis Airtel Credit Card (INR)"),"INR","GBP"))</f>
        <v/>
      </c>
      <c r="F765" s="26"/>
      <c r="G765" s="26"/>
      <c r="H765" s="34" t="n">
        <f aca="false">IF(G765="Yes","",D765)</f>
        <v>0</v>
      </c>
      <c r="I765" s="26"/>
      <c r="J765" s="26"/>
    </row>
    <row r="766" customFormat="false" ht="15" hidden="false" customHeight="false" outlineLevel="0" collapsed="false">
      <c r="A766" s="28"/>
      <c r="B766" s="26"/>
      <c r="C766" s="26"/>
      <c r="D766" s="32"/>
      <c r="E766" s="33" t="str">
        <f aca="false">IF(F766="","",IF(OR(F766="HDFC Bank (INR)",F766="HDFC IOCL Credit Card (INR)",F766="HDFC Swiggy Credit Card (INR)",F766="Axis Airtel Credit Card (INR)"),"INR","GBP"))</f>
        <v/>
      </c>
      <c r="F766" s="26"/>
      <c r="G766" s="26"/>
      <c r="H766" s="34" t="n">
        <f aca="false">IF(G766="Yes","",D766)</f>
        <v>0</v>
      </c>
      <c r="I766" s="26"/>
      <c r="J766" s="26"/>
    </row>
    <row r="767" customFormat="false" ht="15" hidden="false" customHeight="false" outlineLevel="0" collapsed="false">
      <c r="A767" s="28"/>
      <c r="B767" s="26"/>
      <c r="C767" s="26"/>
      <c r="D767" s="32"/>
      <c r="E767" s="33" t="str">
        <f aca="false">IF(F767="","",IF(OR(F767="HDFC Bank (INR)",F767="HDFC IOCL Credit Card (INR)",F767="HDFC Swiggy Credit Card (INR)",F767="Axis Airtel Credit Card (INR)"),"INR","GBP"))</f>
        <v/>
      </c>
      <c r="F767" s="26"/>
      <c r="G767" s="26"/>
      <c r="H767" s="34" t="n">
        <f aca="false">IF(G767="Yes","",D767)</f>
        <v>0</v>
      </c>
      <c r="I767" s="26"/>
      <c r="J767" s="26"/>
    </row>
    <row r="768" customFormat="false" ht="15" hidden="false" customHeight="false" outlineLevel="0" collapsed="false">
      <c r="A768" s="28"/>
      <c r="B768" s="26"/>
      <c r="C768" s="26"/>
      <c r="D768" s="32"/>
      <c r="E768" s="33" t="str">
        <f aca="false">IF(F768="","",IF(OR(F768="HDFC Bank (INR)",F768="HDFC IOCL Credit Card (INR)",F768="HDFC Swiggy Credit Card (INR)",F768="Axis Airtel Credit Card (INR)"),"INR","GBP"))</f>
        <v/>
      </c>
      <c r="F768" s="26"/>
      <c r="G768" s="26"/>
      <c r="H768" s="34" t="n">
        <f aca="false">IF(G768="Yes","",D768)</f>
        <v>0</v>
      </c>
      <c r="I768" s="26"/>
      <c r="J768" s="26"/>
    </row>
    <row r="769" customFormat="false" ht="15" hidden="false" customHeight="false" outlineLevel="0" collapsed="false">
      <c r="A769" s="28"/>
      <c r="B769" s="26"/>
      <c r="C769" s="26"/>
      <c r="D769" s="32"/>
      <c r="E769" s="33" t="str">
        <f aca="false">IF(F769="","",IF(OR(F769="HDFC Bank (INR)",F769="HDFC IOCL Credit Card (INR)",F769="HDFC Swiggy Credit Card (INR)",F769="Axis Airtel Credit Card (INR)"),"INR","GBP"))</f>
        <v/>
      </c>
      <c r="F769" s="26"/>
      <c r="G769" s="26"/>
      <c r="H769" s="34" t="n">
        <f aca="false">IF(G769="Yes","",D769)</f>
        <v>0</v>
      </c>
      <c r="I769" s="26"/>
      <c r="J769" s="26"/>
    </row>
    <row r="770" customFormat="false" ht="15" hidden="false" customHeight="false" outlineLevel="0" collapsed="false">
      <c r="A770" s="28"/>
      <c r="B770" s="26"/>
      <c r="C770" s="26"/>
      <c r="D770" s="32"/>
      <c r="E770" s="33" t="str">
        <f aca="false">IF(F770="","",IF(OR(F770="HDFC Bank (INR)",F770="HDFC IOCL Credit Card (INR)",F770="HDFC Swiggy Credit Card (INR)",F770="Axis Airtel Credit Card (INR)"),"INR","GBP"))</f>
        <v/>
      </c>
      <c r="F770" s="26"/>
      <c r="G770" s="26"/>
      <c r="H770" s="34" t="n">
        <f aca="false">IF(G770="Yes","",D770)</f>
        <v>0</v>
      </c>
      <c r="I770" s="26"/>
      <c r="J770" s="26"/>
    </row>
    <row r="771" customFormat="false" ht="15" hidden="false" customHeight="false" outlineLevel="0" collapsed="false">
      <c r="A771" s="28"/>
      <c r="B771" s="26"/>
      <c r="C771" s="26"/>
      <c r="D771" s="32"/>
      <c r="E771" s="33" t="str">
        <f aca="false">IF(F771="","",IF(OR(F771="HDFC Bank (INR)",F771="HDFC IOCL Credit Card (INR)",F771="HDFC Swiggy Credit Card (INR)",F771="Axis Airtel Credit Card (INR)"),"INR","GBP"))</f>
        <v/>
      </c>
      <c r="F771" s="26"/>
      <c r="G771" s="26"/>
      <c r="H771" s="34" t="n">
        <f aca="false">IF(G771="Yes","",D771)</f>
        <v>0</v>
      </c>
      <c r="I771" s="26"/>
      <c r="J771" s="26"/>
    </row>
    <row r="772" customFormat="false" ht="15" hidden="false" customHeight="false" outlineLevel="0" collapsed="false">
      <c r="A772" s="28"/>
      <c r="B772" s="26"/>
      <c r="C772" s="26"/>
      <c r="D772" s="32"/>
      <c r="E772" s="33" t="str">
        <f aca="false">IF(F772="","",IF(OR(F772="HDFC Bank (INR)",F772="HDFC IOCL Credit Card (INR)",F772="HDFC Swiggy Credit Card (INR)",F772="Axis Airtel Credit Card (INR)"),"INR","GBP"))</f>
        <v/>
      </c>
      <c r="F772" s="26"/>
      <c r="G772" s="26"/>
      <c r="H772" s="34" t="n">
        <f aca="false">IF(G772="Yes","",D772)</f>
        <v>0</v>
      </c>
      <c r="I772" s="26"/>
      <c r="J772" s="26"/>
    </row>
    <row r="773" customFormat="false" ht="15" hidden="false" customHeight="false" outlineLevel="0" collapsed="false">
      <c r="A773" s="28"/>
      <c r="B773" s="26"/>
      <c r="C773" s="26"/>
      <c r="D773" s="32"/>
      <c r="E773" s="33" t="str">
        <f aca="false">IF(F773="","",IF(OR(F773="HDFC Bank (INR)",F773="HDFC IOCL Credit Card (INR)",F773="HDFC Swiggy Credit Card (INR)",F773="Axis Airtel Credit Card (INR)"),"INR","GBP"))</f>
        <v/>
      </c>
      <c r="F773" s="26"/>
      <c r="G773" s="26"/>
      <c r="H773" s="34" t="n">
        <f aca="false">IF(G773="Yes","",D773)</f>
        <v>0</v>
      </c>
      <c r="I773" s="26"/>
      <c r="J773" s="26"/>
    </row>
    <row r="774" customFormat="false" ht="15" hidden="false" customHeight="false" outlineLevel="0" collapsed="false">
      <c r="A774" s="28"/>
      <c r="B774" s="26"/>
      <c r="C774" s="26"/>
      <c r="D774" s="32"/>
      <c r="E774" s="33" t="str">
        <f aca="false">IF(F774="","",IF(OR(F774="HDFC Bank (INR)",F774="HDFC IOCL Credit Card (INR)",F774="HDFC Swiggy Credit Card (INR)",F774="Axis Airtel Credit Card (INR)"),"INR","GBP"))</f>
        <v/>
      </c>
      <c r="F774" s="26"/>
      <c r="G774" s="26"/>
      <c r="H774" s="34" t="n">
        <f aca="false">IF(G774="Yes","",D774)</f>
        <v>0</v>
      </c>
      <c r="I774" s="26"/>
      <c r="J774" s="26"/>
    </row>
    <row r="775" customFormat="false" ht="15" hidden="false" customHeight="false" outlineLevel="0" collapsed="false">
      <c r="A775" s="28"/>
      <c r="B775" s="26"/>
      <c r="C775" s="26"/>
      <c r="D775" s="32"/>
      <c r="E775" s="33" t="str">
        <f aca="false">IF(F775="","",IF(OR(F775="HDFC Bank (INR)",F775="HDFC IOCL Credit Card (INR)",F775="HDFC Swiggy Credit Card (INR)",F775="Axis Airtel Credit Card (INR)"),"INR","GBP"))</f>
        <v/>
      </c>
      <c r="F775" s="26"/>
      <c r="G775" s="26"/>
      <c r="H775" s="34" t="n">
        <f aca="false">IF(G775="Yes","",D775)</f>
        <v>0</v>
      </c>
      <c r="I775" s="26"/>
      <c r="J775" s="26"/>
    </row>
    <row r="776" customFormat="false" ht="15" hidden="false" customHeight="false" outlineLevel="0" collapsed="false">
      <c r="A776" s="28"/>
      <c r="B776" s="26"/>
      <c r="C776" s="26"/>
      <c r="D776" s="32"/>
      <c r="E776" s="33" t="str">
        <f aca="false">IF(F776="","",IF(OR(F776="HDFC Bank (INR)",F776="HDFC IOCL Credit Card (INR)",F776="HDFC Swiggy Credit Card (INR)",F776="Axis Airtel Credit Card (INR)"),"INR","GBP"))</f>
        <v/>
      </c>
      <c r="F776" s="26"/>
      <c r="G776" s="26"/>
      <c r="H776" s="34" t="n">
        <f aca="false">IF(G776="Yes","",D776)</f>
        <v>0</v>
      </c>
      <c r="I776" s="26"/>
      <c r="J776" s="26"/>
    </row>
    <row r="777" customFormat="false" ht="15" hidden="false" customHeight="false" outlineLevel="0" collapsed="false">
      <c r="A777" s="28"/>
      <c r="B777" s="26"/>
      <c r="C777" s="26"/>
      <c r="D777" s="32"/>
      <c r="E777" s="33" t="str">
        <f aca="false">IF(F777="","",IF(OR(F777="HDFC Bank (INR)",F777="HDFC IOCL Credit Card (INR)",F777="HDFC Swiggy Credit Card (INR)",F777="Axis Airtel Credit Card (INR)"),"INR","GBP"))</f>
        <v/>
      </c>
      <c r="F777" s="26"/>
      <c r="G777" s="26"/>
      <c r="H777" s="34" t="n">
        <f aca="false">IF(G777="Yes","",D777)</f>
        <v>0</v>
      </c>
      <c r="I777" s="26"/>
      <c r="J777" s="26"/>
    </row>
    <row r="778" customFormat="false" ht="15" hidden="false" customHeight="false" outlineLevel="0" collapsed="false">
      <c r="A778" s="28"/>
      <c r="B778" s="26"/>
      <c r="C778" s="26"/>
      <c r="D778" s="32"/>
      <c r="E778" s="33" t="str">
        <f aca="false">IF(F778="","",IF(OR(F778="HDFC Bank (INR)",F778="HDFC IOCL Credit Card (INR)",F778="HDFC Swiggy Credit Card (INR)",F778="Axis Airtel Credit Card (INR)"),"INR","GBP"))</f>
        <v/>
      </c>
      <c r="F778" s="26"/>
      <c r="G778" s="26"/>
      <c r="H778" s="34" t="n">
        <f aca="false">IF(G778="Yes","",D778)</f>
        <v>0</v>
      </c>
      <c r="I778" s="26"/>
      <c r="J778" s="26"/>
    </row>
    <row r="779" customFormat="false" ht="15" hidden="false" customHeight="false" outlineLevel="0" collapsed="false">
      <c r="A779" s="28"/>
      <c r="B779" s="26"/>
      <c r="C779" s="26"/>
      <c r="D779" s="32"/>
      <c r="E779" s="33" t="str">
        <f aca="false">IF(F779="","",IF(OR(F779="HDFC Bank (INR)",F779="HDFC IOCL Credit Card (INR)",F779="HDFC Swiggy Credit Card (INR)",F779="Axis Airtel Credit Card (INR)"),"INR","GBP"))</f>
        <v/>
      </c>
      <c r="F779" s="26"/>
      <c r="G779" s="26"/>
      <c r="H779" s="34" t="n">
        <f aca="false">IF(G779="Yes","",D779)</f>
        <v>0</v>
      </c>
      <c r="I779" s="26"/>
      <c r="J779" s="26"/>
    </row>
    <row r="780" customFormat="false" ht="15" hidden="false" customHeight="false" outlineLevel="0" collapsed="false">
      <c r="A780" s="28"/>
      <c r="B780" s="26"/>
      <c r="C780" s="26"/>
      <c r="D780" s="32"/>
      <c r="E780" s="33" t="str">
        <f aca="false">IF(F780="","",IF(OR(F780="HDFC Bank (INR)",F780="HDFC IOCL Credit Card (INR)",F780="HDFC Swiggy Credit Card (INR)",F780="Axis Airtel Credit Card (INR)"),"INR","GBP"))</f>
        <v/>
      </c>
      <c r="F780" s="26"/>
      <c r="G780" s="26"/>
      <c r="H780" s="34" t="n">
        <f aca="false">IF(G780="Yes","",D780)</f>
        <v>0</v>
      </c>
      <c r="I780" s="26"/>
      <c r="J780" s="26"/>
    </row>
    <row r="781" customFormat="false" ht="15" hidden="false" customHeight="false" outlineLevel="0" collapsed="false">
      <c r="A781" s="28"/>
      <c r="B781" s="26"/>
      <c r="C781" s="26"/>
      <c r="D781" s="32"/>
      <c r="E781" s="33" t="str">
        <f aca="false">IF(F781="","",IF(OR(F781="HDFC Bank (INR)",F781="HDFC IOCL Credit Card (INR)",F781="HDFC Swiggy Credit Card (INR)",F781="Axis Airtel Credit Card (INR)"),"INR","GBP"))</f>
        <v/>
      </c>
      <c r="F781" s="26"/>
      <c r="G781" s="26"/>
      <c r="H781" s="34" t="n">
        <f aca="false">IF(G781="Yes","",D781)</f>
        <v>0</v>
      </c>
      <c r="I781" s="26"/>
      <c r="J781" s="26"/>
    </row>
    <row r="782" customFormat="false" ht="15" hidden="false" customHeight="false" outlineLevel="0" collapsed="false">
      <c r="A782" s="28"/>
      <c r="B782" s="26"/>
      <c r="C782" s="26"/>
      <c r="D782" s="32"/>
      <c r="E782" s="33" t="str">
        <f aca="false">IF(F782="","",IF(OR(F782="HDFC Bank (INR)",F782="HDFC IOCL Credit Card (INR)",F782="HDFC Swiggy Credit Card (INR)",F782="Axis Airtel Credit Card (INR)"),"INR","GBP"))</f>
        <v/>
      </c>
      <c r="F782" s="26"/>
      <c r="G782" s="26"/>
      <c r="H782" s="34" t="n">
        <f aca="false">IF(G782="Yes","",D782)</f>
        <v>0</v>
      </c>
      <c r="I782" s="26"/>
      <c r="J782" s="26"/>
    </row>
    <row r="783" customFormat="false" ht="15" hidden="false" customHeight="false" outlineLevel="0" collapsed="false">
      <c r="A783" s="28"/>
      <c r="B783" s="26"/>
      <c r="C783" s="26"/>
      <c r="D783" s="32"/>
      <c r="E783" s="33" t="str">
        <f aca="false">IF(F783="","",IF(OR(F783="HDFC Bank (INR)",F783="HDFC IOCL Credit Card (INR)",F783="HDFC Swiggy Credit Card (INR)",F783="Axis Airtel Credit Card (INR)"),"INR","GBP"))</f>
        <v/>
      </c>
      <c r="F783" s="26"/>
      <c r="G783" s="26"/>
      <c r="H783" s="34" t="n">
        <f aca="false">IF(G783="Yes","",D783)</f>
        <v>0</v>
      </c>
      <c r="I783" s="26"/>
      <c r="J783" s="26"/>
    </row>
    <row r="784" customFormat="false" ht="15" hidden="false" customHeight="false" outlineLevel="0" collapsed="false">
      <c r="A784" s="28"/>
      <c r="B784" s="26"/>
      <c r="C784" s="26"/>
      <c r="D784" s="32"/>
      <c r="E784" s="33" t="str">
        <f aca="false">IF(F784="","",IF(OR(F784="HDFC Bank (INR)",F784="HDFC IOCL Credit Card (INR)",F784="HDFC Swiggy Credit Card (INR)",F784="Axis Airtel Credit Card (INR)"),"INR","GBP"))</f>
        <v/>
      </c>
      <c r="F784" s="26"/>
      <c r="G784" s="26"/>
      <c r="H784" s="34" t="n">
        <f aca="false">IF(G784="Yes","",D784)</f>
        <v>0</v>
      </c>
      <c r="I784" s="26"/>
      <c r="J784" s="26"/>
    </row>
    <row r="785" customFormat="false" ht="15" hidden="false" customHeight="false" outlineLevel="0" collapsed="false">
      <c r="A785" s="28"/>
      <c r="B785" s="26"/>
      <c r="C785" s="26"/>
      <c r="D785" s="32"/>
      <c r="E785" s="33" t="str">
        <f aca="false">IF(F785="","",IF(OR(F785="HDFC Bank (INR)",F785="HDFC IOCL Credit Card (INR)",F785="HDFC Swiggy Credit Card (INR)",F785="Axis Airtel Credit Card (INR)"),"INR","GBP"))</f>
        <v/>
      </c>
      <c r="F785" s="26"/>
      <c r="G785" s="26"/>
      <c r="H785" s="34" t="n">
        <f aca="false">IF(G785="Yes","",D785)</f>
        <v>0</v>
      </c>
      <c r="I785" s="26"/>
      <c r="J785" s="26"/>
    </row>
    <row r="786" customFormat="false" ht="15" hidden="false" customHeight="false" outlineLevel="0" collapsed="false">
      <c r="A786" s="28"/>
      <c r="B786" s="26"/>
      <c r="C786" s="26"/>
      <c r="D786" s="32"/>
      <c r="E786" s="33" t="str">
        <f aca="false">IF(F786="","",IF(OR(F786="HDFC Bank (INR)",F786="HDFC IOCL Credit Card (INR)",F786="HDFC Swiggy Credit Card (INR)",F786="Axis Airtel Credit Card (INR)"),"INR","GBP"))</f>
        <v/>
      </c>
      <c r="F786" s="26"/>
      <c r="G786" s="26"/>
      <c r="H786" s="34" t="n">
        <f aca="false">IF(G786="Yes","",D786)</f>
        <v>0</v>
      </c>
      <c r="I786" s="26"/>
      <c r="J786" s="26"/>
    </row>
    <row r="787" customFormat="false" ht="15" hidden="false" customHeight="false" outlineLevel="0" collapsed="false">
      <c r="A787" s="28"/>
      <c r="B787" s="26"/>
      <c r="C787" s="26"/>
      <c r="D787" s="32"/>
      <c r="E787" s="33" t="str">
        <f aca="false">IF(F787="","",IF(OR(F787="HDFC Bank (INR)",F787="HDFC IOCL Credit Card (INR)",F787="HDFC Swiggy Credit Card (INR)",F787="Axis Airtel Credit Card (INR)"),"INR","GBP"))</f>
        <v/>
      </c>
      <c r="F787" s="26"/>
      <c r="G787" s="26"/>
      <c r="H787" s="34" t="n">
        <f aca="false">IF(G787="Yes","",D787)</f>
        <v>0</v>
      </c>
      <c r="I787" s="26"/>
      <c r="J787" s="26"/>
    </row>
    <row r="788" customFormat="false" ht="15" hidden="false" customHeight="false" outlineLevel="0" collapsed="false">
      <c r="A788" s="28"/>
      <c r="B788" s="26"/>
      <c r="C788" s="26"/>
      <c r="D788" s="32"/>
      <c r="E788" s="33" t="str">
        <f aca="false">IF(F788="","",IF(OR(F788="HDFC Bank (INR)",F788="HDFC IOCL Credit Card (INR)",F788="HDFC Swiggy Credit Card (INR)",F788="Axis Airtel Credit Card (INR)"),"INR","GBP"))</f>
        <v/>
      </c>
      <c r="F788" s="26"/>
      <c r="G788" s="26"/>
      <c r="H788" s="34" t="n">
        <f aca="false">IF(G788="Yes","",D788)</f>
        <v>0</v>
      </c>
      <c r="I788" s="26"/>
      <c r="J788" s="26"/>
    </row>
    <row r="789" customFormat="false" ht="15" hidden="false" customHeight="false" outlineLevel="0" collapsed="false">
      <c r="A789" s="28"/>
      <c r="B789" s="26"/>
      <c r="C789" s="26"/>
      <c r="D789" s="32"/>
      <c r="E789" s="33" t="str">
        <f aca="false">IF(F789="","",IF(OR(F789="HDFC Bank (INR)",F789="HDFC IOCL Credit Card (INR)",F789="HDFC Swiggy Credit Card (INR)",F789="Axis Airtel Credit Card (INR)"),"INR","GBP"))</f>
        <v/>
      </c>
      <c r="F789" s="26"/>
      <c r="G789" s="26"/>
      <c r="H789" s="34" t="n">
        <f aca="false">IF(G789="Yes","",D789)</f>
        <v>0</v>
      </c>
      <c r="I789" s="26"/>
      <c r="J789" s="26"/>
    </row>
    <row r="790" customFormat="false" ht="15" hidden="false" customHeight="false" outlineLevel="0" collapsed="false">
      <c r="A790" s="28"/>
      <c r="B790" s="26"/>
      <c r="C790" s="26"/>
      <c r="D790" s="32"/>
      <c r="E790" s="33" t="str">
        <f aca="false">IF(F790="","",IF(OR(F790="HDFC Bank (INR)",F790="HDFC IOCL Credit Card (INR)",F790="HDFC Swiggy Credit Card (INR)",F790="Axis Airtel Credit Card (INR)"),"INR","GBP"))</f>
        <v/>
      </c>
      <c r="F790" s="26"/>
      <c r="G790" s="26"/>
      <c r="H790" s="34" t="n">
        <f aca="false">IF(G790="Yes","",D790)</f>
        <v>0</v>
      </c>
      <c r="I790" s="26"/>
      <c r="J790" s="26"/>
    </row>
    <row r="791" customFormat="false" ht="15" hidden="false" customHeight="false" outlineLevel="0" collapsed="false">
      <c r="A791" s="28"/>
      <c r="B791" s="26"/>
      <c r="C791" s="26"/>
      <c r="D791" s="32"/>
      <c r="E791" s="33" t="str">
        <f aca="false">IF(F791="","",IF(OR(F791="HDFC Bank (INR)",F791="HDFC IOCL Credit Card (INR)",F791="HDFC Swiggy Credit Card (INR)",F791="Axis Airtel Credit Card (INR)"),"INR","GBP"))</f>
        <v/>
      </c>
      <c r="F791" s="26"/>
      <c r="G791" s="26"/>
      <c r="H791" s="34" t="n">
        <f aca="false">IF(G791="Yes","",D791)</f>
        <v>0</v>
      </c>
      <c r="I791" s="26"/>
      <c r="J791" s="26"/>
    </row>
    <row r="792" customFormat="false" ht="15" hidden="false" customHeight="false" outlineLevel="0" collapsed="false">
      <c r="A792" s="28"/>
      <c r="B792" s="26"/>
      <c r="C792" s="26"/>
      <c r="D792" s="32"/>
      <c r="E792" s="33" t="str">
        <f aca="false">IF(F792="","",IF(OR(F792="HDFC Bank (INR)",F792="HDFC IOCL Credit Card (INR)",F792="HDFC Swiggy Credit Card (INR)",F792="Axis Airtel Credit Card (INR)"),"INR","GBP"))</f>
        <v/>
      </c>
      <c r="F792" s="26"/>
      <c r="G792" s="26"/>
      <c r="H792" s="34" t="n">
        <f aca="false">IF(G792="Yes","",D792)</f>
        <v>0</v>
      </c>
      <c r="I792" s="26"/>
      <c r="J792" s="26"/>
    </row>
    <row r="793" customFormat="false" ht="15" hidden="false" customHeight="false" outlineLevel="0" collapsed="false">
      <c r="A793" s="28"/>
      <c r="B793" s="26"/>
      <c r="C793" s="26"/>
      <c r="D793" s="32"/>
      <c r="E793" s="33" t="str">
        <f aca="false">IF(F793="","",IF(OR(F793="HDFC Bank (INR)",F793="HDFC IOCL Credit Card (INR)",F793="HDFC Swiggy Credit Card (INR)",F793="Axis Airtel Credit Card (INR)"),"INR","GBP"))</f>
        <v/>
      </c>
      <c r="F793" s="26"/>
      <c r="G793" s="26"/>
      <c r="H793" s="34" t="n">
        <f aca="false">IF(G793="Yes","",D793)</f>
        <v>0</v>
      </c>
      <c r="I793" s="26"/>
      <c r="J793" s="26"/>
    </row>
    <row r="794" customFormat="false" ht="15" hidden="false" customHeight="false" outlineLevel="0" collapsed="false">
      <c r="A794" s="28"/>
      <c r="B794" s="26"/>
      <c r="C794" s="26"/>
      <c r="D794" s="32"/>
      <c r="E794" s="33" t="str">
        <f aca="false">IF(F794="","",IF(OR(F794="HDFC Bank (INR)",F794="HDFC IOCL Credit Card (INR)",F794="HDFC Swiggy Credit Card (INR)",F794="Axis Airtel Credit Card (INR)"),"INR","GBP"))</f>
        <v/>
      </c>
      <c r="F794" s="26"/>
      <c r="G794" s="26"/>
      <c r="H794" s="34" t="n">
        <f aca="false">IF(G794="Yes","",D794)</f>
        <v>0</v>
      </c>
      <c r="I794" s="26"/>
      <c r="J794" s="26"/>
    </row>
    <row r="795" customFormat="false" ht="15" hidden="false" customHeight="false" outlineLevel="0" collapsed="false">
      <c r="A795" s="28"/>
      <c r="B795" s="26"/>
      <c r="C795" s="26"/>
      <c r="D795" s="32"/>
      <c r="E795" s="33" t="str">
        <f aca="false">IF(F795="","",IF(OR(F795="HDFC Bank (INR)",F795="HDFC IOCL Credit Card (INR)",F795="HDFC Swiggy Credit Card (INR)",F795="Axis Airtel Credit Card (INR)"),"INR","GBP"))</f>
        <v/>
      </c>
      <c r="F795" s="26"/>
      <c r="G795" s="26"/>
      <c r="H795" s="34" t="n">
        <f aca="false">IF(G795="Yes","",D795)</f>
        <v>0</v>
      </c>
      <c r="I795" s="26"/>
      <c r="J795" s="26"/>
    </row>
    <row r="796" customFormat="false" ht="15" hidden="false" customHeight="false" outlineLevel="0" collapsed="false">
      <c r="A796" s="28"/>
      <c r="B796" s="26"/>
      <c r="C796" s="26"/>
      <c r="D796" s="32"/>
      <c r="E796" s="33" t="str">
        <f aca="false">IF(F796="","",IF(OR(F796="HDFC Bank (INR)",F796="HDFC IOCL Credit Card (INR)",F796="HDFC Swiggy Credit Card (INR)",F796="Axis Airtel Credit Card (INR)"),"INR","GBP"))</f>
        <v/>
      </c>
      <c r="F796" s="26"/>
      <c r="G796" s="26"/>
      <c r="H796" s="34" t="n">
        <f aca="false">IF(G796="Yes","",D796)</f>
        <v>0</v>
      </c>
      <c r="I796" s="26"/>
      <c r="J796" s="26"/>
    </row>
    <row r="797" customFormat="false" ht="15" hidden="false" customHeight="false" outlineLevel="0" collapsed="false">
      <c r="A797" s="28"/>
      <c r="B797" s="26"/>
      <c r="C797" s="26"/>
      <c r="D797" s="32"/>
      <c r="E797" s="33" t="str">
        <f aca="false">IF(F797="","",IF(OR(F797="HDFC Bank (INR)",F797="HDFC IOCL Credit Card (INR)",F797="HDFC Swiggy Credit Card (INR)",F797="Axis Airtel Credit Card (INR)"),"INR","GBP"))</f>
        <v/>
      </c>
      <c r="F797" s="26"/>
      <c r="G797" s="26"/>
      <c r="H797" s="34" t="n">
        <f aca="false">IF(G797="Yes","",D797)</f>
        <v>0</v>
      </c>
      <c r="I797" s="26"/>
      <c r="J797" s="26"/>
    </row>
    <row r="798" customFormat="false" ht="15" hidden="false" customHeight="false" outlineLevel="0" collapsed="false">
      <c r="A798" s="28"/>
      <c r="B798" s="26"/>
      <c r="C798" s="26"/>
      <c r="D798" s="32"/>
      <c r="E798" s="33" t="str">
        <f aca="false">IF(F798="","",IF(OR(F798="HDFC Bank (INR)",F798="HDFC IOCL Credit Card (INR)",F798="HDFC Swiggy Credit Card (INR)",F798="Axis Airtel Credit Card (INR)"),"INR","GBP"))</f>
        <v/>
      </c>
      <c r="F798" s="26"/>
      <c r="G798" s="26"/>
      <c r="H798" s="34" t="n">
        <f aca="false">IF(G798="Yes","",D798)</f>
        <v>0</v>
      </c>
      <c r="I798" s="26"/>
      <c r="J798" s="26"/>
    </row>
    <row r="799" customFormat="false" ht="15" hidden="false" customHeight="false" outlineLevel="0" collapsed="false">
      <c r="A799" s="28"/>
      <c r="B799" s="26"/>
      <c r="C799" s="26"/>
      <c r="D799" s="32"/>
      <c r="E799" s="33" t="str">
        <f aca="false">IF(F799="","",IF(OR(F799="HDFC Bank (INR)",F799="HDFC IOCL Credit Card (INR)",F799="HDFC Swiggy Credit Card (INR)",F799="Axis Airtel Credit Card (INR)"),"INR","GBP"))</f>
        <v/>
      </c>
      <c r="F799" s="26"/>
      <c r="G799" s="26"/>
      <c r="H799" s="34" t="n">
        <f aca="false">IF(G799="Yes","",D799)</f>
        <v>0</v>
      </c>
      <c r="I799" s="26"/>
      <c r="J799" s="26"/>
    </row>
    <row r="800" customFormat="false" ht="15" hidden="false" customHeight="false" outlineLevel="0" collapsed="false">
      <c r="A800" s="28"/>
      <c r="B800" s="26"/>
      <c r="C800" s="26"/>
      <c r="D800" s="32"/>
      <c r="E800" s="33" t="str">
        <f aca="false">IF(F800="","",IF(OR(F800="HDFC Bank (INR)",F800="HDFC IOCL Credit Card (INR)",F800="HDFC Swiggy Credit Card (INR)",F800="Axis Airtel Credit Card (INR)"),"INR","GBP"))</f>
        <v/>
      </c>
      <c r="F800" s="26"/>
      <c r="G800" s="26"/>
      <c r="H800" s="34" t="n">
        <f aca="false">IF(G800="Yes","",D800)</f>
        <v>0</v>
      </c>
      <c r="I800" s="26"/>
      <c r="J800" s="26"/>
    </row>
    <row r="801" customFormat="false" ht="15" hidden="false" customHeight="false" outlineLevel="0" collapsed="false">
      <c r="A801" s="28"/>
      <c r="B801" s="26"/>
      <c r="C801" s="26"/>
      <c r="D801" s="32"/>
      <c r="E801" s="33" t="str">
        <f aca="false">IF(F801="","",IF(OR(F801="HDFC Bank (INR)",F801="HDFC IOCL Credit Card (INR)",F801="HDFC Swiggy Credit Card (INR)",F801="Axis Airtel Credit Card (INR)"),"INR","GBP"))</f>
        <v/>
      </c>
      <c r="F801" s="26"/>
      <c r="G801" s="26"/>
      <c r="H801" s="34" t="n">
        <f aca="false">IF(G801="Yes","",D801)</f>
        <v>0</v>
      </c>
      <c r="I801" s="26"/>
      <c r="J801" s="26"/>
    </row>
    <row r="802" customFormat="false" ht="15" hidden="false" customHeight="false" outlineLevel="0" collapsed="false">
      <c r="A802" s="28"/>
      <c r="B802" s="26"/>
      <c r="C802" s="26"/>
      <c r="D802" s="32"/>
      <c r="E802" s="33" t="str">
        <f aca="false">IF(F802="","",IF(OR(F802="HDFC Bank (INR)",F802="HDFC IOCL Credit Card (INR)",F802="HDFC Swiggy Credit Card (INR)",F802="Axis Airtel Credit Card (INR)"),"INR","GBP"))</f>
        <v/>
      </c>
      <c r="F802" s="26"/>
      <c r="G802" s="26"/>
      <c r="H802" s="34" t="n">
        <f aca="false">IF(G802="Yes","",D802)</f>
        <v>0</v>
      </c>
      <c r="I802" s="26"/>
      <c r="J802" s="26"/>
    </row>
    <row r="803" customFormat="false" ht="15" hidden="false" customHeight="false" outlineLevel="0" collapsed="false">
      <c r="A803" s="28"/>
      <c r="B803" s="26"/>
      <c r="C803" s="26"/>
      <c r="D803" s="32"/>
      <c r="E803" s="33" t="str">
        <f aca="false">IF(F803="","",IF(OR(F803="HDFC Bank (INR)",F803="HDFC IOCL Credit Card (INR)",F803="HDFC Swiggy Credit Card (INR)",F803="Axis Airtel Credit Card (INR)"),"INR","GBP"))</f>
        <v/>
      </c>
      <c r="F803" s="26"/>
      <c r="G803" s="26"/>
      <c r="H803" s="34" t="n">
        <f aca="false">IF(G803="Yes","",D803)</f>
        <v>0</v>
      </c>
      <c r="I803" s="26"/>
      <c r="J803" s="26"/>
    </row>
    <row r="804" customFormat="false" ht="15" hidden="false" customHeight="false" outlineLevel="0" collapsed="false">
      <c r="A804" s="28"/>
      <c r="B804" s="26"/>
      <c r="C804" s="26"/>
      <c r="D804" s="32"/>
      <c r="E804" s="33" t="str">
        <f aca="false">IF(F804="","",IF(OR(F804="HDFC Bank (INR)",F804="HDFC IOCL Credit Card (INR)",F804="HDFC Swiggy Credit Card (INR)",F804="Axis Airtel Credit Card (INR)"),"INR","GBP"))</f>
        <v/>
      </c>
      <c r="F804" s="26"/>
      <c r="G804" s="26"/>
      <c r="H804" s="34" t="n">
        <f aca="false">IF(G804="Yes","",D804)</f>
        <v>0</v>
      </c>
      <c r="I804" s="26"/>
      <c r="J804" s="26"/>
    </row>
    <row r="805" customFormat="false" ht="15" hidden="false" customHeight="false" outlineLevel="0" collapsed="false">
      <c r="A805" s="28"/>
      <c r="B805" s="26"/>
      <c r="C805" s="26"/>
      <c r="D805" s="32"/>
      <c r="E805" s="33" t="str">
        <f aca="false">IF(F805="","",IF(OR(F805="HDFC Bank (INR)",F805="HDFC IOCL Credit Card (INR)",F805="HDFC Swiggy Credit Card (INR)",F805="Axis Airtel Credit Card (INR)"),"INR","GBP"))</f>
        <v/>
      </c>
      <c r="F805" s="26"/>
      <c r="G805" s="26"/>
      <c r="H805" s="34" t="n">
        <f aca="false">IF(G805="Yes","",D805)</f>
        <v>0</v>
      </c>
      <c r="I805" s="26"/>
      <c r="J805" s="26"/>
    </row>
    <row r="806" customFormat="false" ht="15" hidden="false" customHeight="false" outlineLevel="0" collapsed="false">
      <c r="A806" s="28"/>
      <c r="B806" s="26"/>
      <c r="C806" s="26"/>
      <c r="D806" s="32"/>
      <c r="E806" s="33" t="str">
        <f aca="false">IF(F806="","",IF(OR(F806="HDFC Bank (INR)",F806="HDFC IOCL Credit Card (INR)",F806="HDFC Swiggy Credit Card (INR)",F806="Axis Airtel Credit Card (INR)"),"INR","GBP"))</f>
        <v/>
      </c>
      <c r="F806" s="26"/>
      <c r="G806" s="26"/>
      <c r="H806" s="34" t="n">
        <f aca="false">IF(G806="Yes","",D806)</f>
        <v>0</v>
      </c>
      <c r="I806" s="26"/>
      <c r="J806" s="26"/>
    </row>
    <row r="807" customFormat="false" ht="15" hidden="false" customHeight="false" outlineLevel="0" collapsed="false">
      <c r="A807" s="28"/>
      <c r="B807" s="26"/>
      <c r="C807" s="26"/>
      <c r="D807" s="32"/>
      <c r="E807" s="33" t="str">
        <f aca="false">IF(F807="","",IF(OR(F807="HDFC Bank (INR)",F807="HDFC IOCL Credit Card (INR)",F807="HDFC Swiggy Credit Card (INR)",F807="Axis Airtel Credit Card (INR)"),"INR","GBP"))</f>
        <v/>
      </c>
      <c r="F807" s="26"/>
      <c r="G807" s="26"/>
      <c r="H807" s="34" t="n">
        <f aca="false">IF(G807="Yes","",D807)</f>
        <v>0</v>
      </c>
      <c r="I807" s="26"/>
      <c r="J807" s="26"/>
    </row>
    <row r="808" customFormat="false" ht="15" hidden="false" customHeight="false" outlineLevel="0" collapsed="false">
      <c r="A808" s="28"/>
      <c r="B808" s="26"/>
      <c r="C808" s="26"/>
      <c r="D808" s="32"/>
      <c r="E808" s="33" t="str">
        <f aca="false">IF(F808="","",IF(OR(F808="HDFC Bank (INR)",F808="HDFC IOCL Credit Card (INR)",F808="HDFC Swiggy Credit Card (INR)",F808="Axis Airtel Credit Card (INR)"),"INR","GBP"))</f>
        <v/>
      </c>
      <c r="F808" s="26"/>
      <c r="G808" s="26"/>
      <c r="H808" s="34" t="n">
        <f aca="false">IF(G808="Yes","",D808)</f>
        <v>0</v>
      </c>
      <c r="I808" s="26"/>
      <c r="J808" s="26"/>
    </row>
    <row r="809" customFormat="false" ht="15" hidden="false" customHeight="false" outlineLevel="0" collapsed="false">
      <c r="A809" s="28"/>
      <c r="B809" s="26"/>
      <c r="C809" s="26"/>
      <c r="D809" s="32"/>
      <c r="E809" s="33" t="str">
        <f aca="false">IF(F809="","",IF(OR(F809="HDFC Bank (INR)",F809="HDFC IOCL Credit Card (INR)",F809="HDFC Swiggy Credit Card (INR)",F809="Axis Airtel Credit Card (INR)"),"INR","GBP"))</f>
        <v/>
      </c>
      <c r="F809" s="26"/>
      <c r="G809" s="26"/>
      <c r="H809" s="34" t="n">
        <f aca="false">IF(G809="Yes","",D809)</f>
        <v>0</v>
      </c>
      <c r="I809" s="26"/>
      <c r="J809" s="26"/>
    </row>
    <row r="810" customFormat="false" ht="15" hidden="false" customHeight="false" outlineLevel="0" collapsed="false">
      <c r="A810" s="28"/>
      <c r="B810" s="26"/>
      <c r="C810" s="26"/>
      <c r="D810" s="32"/>
      <c r="E810" s="33" t="str">
        <f aca="false">IF(F810="","",IF(OR(F810="HDFC Bank (INR)",F810="HDFC IOCL Credit Card (INR)",F810="HDFC Swiggy Credit Card (INR)",F810="Axis Airtel Credit Card (INR)"),"INR","GBP"))</f>
        <v/>
      </c>
      <c r="F810" s="26"/>
      <c r="G810" s="26"/>
      <c r="H810" s="34" t="n">
        <f aca="false">IF(G810="Yes","",D810)</f>
        <v>0</v>
      </c>
      <c r="I810" s="26"/>
      <c r="J810" s="26"/>
    </row>
    <row r="811" customFormat="false" ht="15" hidden="false" customHeight="false" outlineLevel="0" collapsed="false">
      <c r="A811" s="28"/>
      <c r="B811" s="26"/>
      <c r="C811" s="26"/>
      <c r="D811" s="32"/>
      <c r="E811" s="33" t="str">
        <f aca="false">IF(F811="","",IF(OR(F811="HDFC Bank (INR)",F811="HDFC IOCL Credit Card (INR)",F811="HDFC Swiggy Credit Card (INR)",F811="Axis Airtel Credit Card (INR)"),"INR","GBP"))</f>
        <v/>
      </c>
      <c r="F811" s="26"/>
      <c r="G811" s="26"/>
      <c r="H811" s="34" t="n">
        <f aca="false">IF(G811="Yes","",D811)</f>
        <v>0</v>
      </c>
      <c r="I811" s="26"/>
      <c r="J811" s="26"/>
    </row>
    <row r="812" customFormat="false" ht="15" hidden="false" customHeight="false" outlineLevel="0" collapsed="false">
      <c r="A812" s="28"/>
      <c r="B812" s="26"/>
      <c r="C812" s="26"/>
      <c r="D812" s="32"/>
      <c r="E812" s="33" t="str">
        <f aca="false">IF(F812="","",IF(OR(F812="HDFC Bank (INR)",F812="HDFC IOCL Credit Card (INR)",F812="HDFC Swiggy Credit Card (INR)",F812="Axis Airtel Credit Card (INR)"),"INR","GBP"))</f>
        <v/>
      </c>
      <c r="F812" s="26"/>
      <c r="G812" s="26"/>
      <c r="H812" s="34" t="n">
        <f aca="false">IF(G812="Yes","",D812)</f>
        <v>0</v>
      </c>
      <c r="I812" s="26"/>
      <c r="J812" s="26"/>
    </row>
    <row r="813" customFormat="false" ht="15" hidden="false" customHeight="false" outlineLevel="0" collapsed="false">
      <c r="A813" s="28"/>
      <c r="B813" s="26"/>
      <c r="C813" s="26"/>
      <c r="D813" s="32"/>
      <c r="E813" s="33" t="str">
        <f aca="false">IF(F813="","",IF(OR(F813="HDFC Bank (INR)",F813="HDFC IOCL Credit Card (INR)",F813="HDFC Swiggy Credit Card (INR)",F813="Axis Airtel Credit Card (INR)"),"INR","GBP"))</f>
        <v/>
      </c>
      <c r="F813" s="26"/>
      <c r="G813" s="26"/>
      <c r="H813" s="34" t="n">
        <f aca="false">IF(G813="Yes","",D813)</f>
        <v>0</v>
      </c>
      <c r="I813" s="26"/>
      <c r="J813" s="26"/>
    </row>
    <row r="814" customFormat="false" ht="15" hidden="false" customHeight="false" outlineLevel="0" collapsed="false">
      <c r="A814" s="28"/>
      <c r="B814" s="26"/>
      <c r="C814" s="26"/>
      <c r="D814" s="32"/>
      <c r="E814" s="33" t="str">
        <f aca="false">IF(F814="","",IF(OR(F814="HDFC Bank (INR)",F814="HDFC IOCL Credit Card (INR)",F814="HDFC Swiggy Credit Card (INR)",F814="Axis Airtel Credit Card (INR)"),"INR","GBP"))</f>
        <v/>
      </c>
      <c r="F814" s="26"/>
      <c r="G814" s="26"/>
      <c r="H814" s="34" t="n">
        <f aca="false">IF(G814="Yes","",D814)</f>
        <v>0</v>
      </c>
      <c r="I814" s="26"/>
      <c r="J814" s="26"/>
    </row>
    <row r="815" customFormat="false" ht="15" hidden="false" customHeight="false" outlineLevel="0" collapsed="false">
      <c r="A815" s="28"/>
      <c r="B815" s="26"/>
      <c r="C815" s="26"/>
      <c r="D815" s="32"/>
      <c r="E815" s="33" t="str">
        <f aca="false">IF(F815="","",IF(OR(F815="HDFC Bank (INR)",F815="HDFC IOCL Credit Card (INR)",F815="HDFC Swiggy Credit Card (INR)",F815="Axis Airtel Credit Card (INR)"),"INR","GBP"))</f>
        <v/>
      </c>
      <c r="F815" s="26"/>
      <c r="G815" s="26"/>
      <c r="H815" s="34" t="n">
        <f aca="false">IF(G815="Yes","",D815)</f>
        <v>0</v>
      </c>
      <c r="I815" s="26"/>
      <c r="J815" s="26"/>
    </row>
    <row r="816" customFormat="false" ht="15" hidden="false" customHeight="false" outlineLevel="0" collapsed="false">
      <c r="A816" s="28"/>
      <c r="B816" s="26"/>
      <c r="C816" s="26"/>
      <c r="D816" s="32"/>
      <c r="E816" s="33" t="str">
        <f aca="false">IF(F816="","",IF(OR(F816="HDFC Bank (INR)",F816="HDFC IOCL Credit Card (INR)",F816="HDFC Swiggy Credit Card (INR)",F816="Axis Airtel Credit Card (INR)"),"INR","GBP"))</f>
        <v/>
      </c>
      <c r="F816" s="26"/>
      <c r="G816" s="26"/>
      <c r="H816" s="34" t="n">
        <f aca="false">IF(G816="Yes","",D816)</f>
        <v>0</v>
      </c>
      <c r="I816" s="26"/>
      <c r="J816" s="26"/>
    </row>
    <row r="817" customFormat="false" ht="15" hidden="false" customHeight="false" outlineLevel="0" collapsed="false">
      <c r="A817" s="28"/>
      <c r="B817" s="26"/>
      <c r="C817" s="26"/>
      <c r="D817" s="32"/>
      <c r="E817" s="33" t="str">
        <f aca="false">IF(F817="","",IF(OR(F817="HDFC Bank (INR)",F817="HDFC IOCL Credit Card (INR)",F817="HDFC Swiggy Credit Card (INR)",F817="Axis Airtel Credit Card (INR)"),"INR","GBP"))</f>
        <v/>
      </c>
      <c r="F817" s="26"/>
      <c r="G817" s="26"/>
      <c r="H817" s="34" t="n">
        <f aca="false">IF(G817="Yes","",D817)</f>
        <v>0</v>
      </c>
      <c r="I817" s="26"/>
      <c r="J817" s="26"/>
    </row>
    <row r="818" customFormat="false" ht="15" hidden="false" customHeight="false" outlineLevel="0" collapsed="false">
      <c r="A818" s="28"/>
      <c r="B818" s="26"/>
      <c r="C818" s="26"/>
      <c r="D818" s="32"/>
      <c r="E818" s="33" t="str">
        <f aca="false">IF(F818="","",IF(OR(F818="HDFC Bank (INR)",F818="HDFC IOCL Credit Card (INR)",F818="HDFC Swiggy Credit Card (INR)",F818="Axis Airtel Credit Card (INR)"),"INR","GBP"))</f>
        <v/>
      </c>
      <c r="F818" s="26"/>
      <c r="G818" s="26"/>
      <c r="H818" s="34" t="n">
        <f aca="false">IF(G818="Yes","",D818)</f>
        <v>0</v>
      </c>
      <c r="I818" s="26"/>
      <c r="J818" s="26"/>
    </row>
    <row r="819" customFormat="false" ht="15" hidden="false" customHeight="false" outlineLevel="0" collapsed="false">
      <c r="A819" s="28"/>
      <c r="B819" s="26"/>
      <c r="C819" s="26"/>
      <c r="D819" s="32"/>
      <c r="E819" s="33" t="str">
        <f aca="false">IF(F819="","",IF(OR(F819="HDFC Bank (INR)",F819="HDFC IOCL Credit Card (INR)",F819="HDFC Swiggy Credit Card (INR)",F819="Axis Airtel Credit Card (INR)"),"INR","GBP"))</f>
        <v/>
      </c>
      <c r="F819" s="26"/>
      <c r="G819" s="26"/>
      <c r="H819" s="34" t="n">
        <f aca="false">IF(G819="Yes","",D819)</f>
        <v>0</v>
      </c>
      <c r="I819" s="26"/>
      <c r="J819" s="26"/>
    </row>
    <row r="820" customFormat="false" ht="15" hidden="false" customHeight="false" outlineLevel="0" collapsed="false">
      <c r="A820" s="28"/>
      <c r="B820" s="26"/>
      <c r="C820" s="26"/>
      <c r="D820" s="32"/>
      <c r="E820" s="33" t="str">
        <f aca="false">IF(F820="","",IF(OR(F820="HDFC Bank (INR)",F820="HDFC IOCL Credit Card (INR)",F820="HDFC Swiggy Credit Card (INR)",F820="Axis Airtel Credit Card (INR)"),"INR","GBP"))</f>
        <v/>
      </c>
      <c r="F820" s="26"/>
      <c r="G820" s="26"/>
      <c r="H820" s="34" t="n">
        <f aca="false">IF(G820="Yes","",D820)</f>
        <v>0</v>
      </c>
      <c r="I820" s="26"/>
      <c r="J820" s="26"/>
    </row>
    <row r="821" customFormat="false" ht="15" hidden="false" customHeight="false" outlineLevel="0" collapsed="false">
      <c r="A821" s="28"/>
      <c r="B821" s="26"/>
      <c r="C821" s="26"/>
      <c r="D821" s="32"/>
      <c r="E821" s="33" t="str">
        <f aca="false">IF(F821="","",IF(OR(F821="HDFC Bank (INR)",F821="HDFC IOCL Credit Card (INR)",F821="HDFC Swiggy Credit Card (INR)",F821="Axis Airtel Credit Card (INR)"),"INR","GBP"))</f>
        <v/>
      </c>
      <c r="F821" s="26"/>
      <c r="G821" s="26"/>
      <c r="H821" s="34" t="n">
        <f aca="false">IF(G821="Yes","",D821)</f>
        <v>0</v>
      </c>
      <c r="I821" s="26"/>
      <c r="J821" s="26"/>
    </row>
    <row r="822" customFormat="false" ht="15" hidden="false" customHeight="false" outlineLevel="0" collapsed="false">
      <c r="A822" s="28"/>
      <c r="B822" s="26"/>
      <c r="C822" s="26"/>
      <c r="D822" s="32"/>
      <c r="E822" s="33" t="str">
        <f aca="false">IF(F822="","",IF(OR(F822="HDFC Bank (INR)",F822="HDFC IOCL Credit Card (INR)",F822="HDFC Swiggy Credit Card (INR)",F822="Axis Airtel Credit Card (INR)"),"INR","GBP"))</f>
        <v/>
      </c>
      <c r="F822" s="26"/>
      <c r="G822" s="26"/>
      <c r="H822" s="34" t="n">
        <f aca="false">IF(G822="Yes","",D822)</f>
        <v>0</v>
      </c>
      <c r="I822" s="26"/>
      <c r="J822" s="26"/>
    </row>
    <row r="823" customFormat="false" ht="15" hidden="false" customHeight="false" outlineLevel="0" collapsed="false">
      <c r="A823" s="28"/>
      <c r="B823" s="26"/>
      <c r="C823" s="26"/>
      <c r="D823" s="32"/>
      <c r="E823" s="33" t="str">
        <f aca="false">IF(F823="","",IF(OR(F823="HDFC Bank (INR)",F823="HDFC IOCL Credit Card (INR)",F823="HDFC Swiggy Credit Card (INR)",F823="Axis Airtel Credit Card (INR)"),"INR","GBP"))</f>
        <v/>
      </c>
      <c r="F823" s="26"/>
      <c r="G823" s="26"/>
      <c r="H823" s="34" t="n">
        <f aca="false">IF(G823="Yes","",D823)</f>
        <v>0</v>
      </c>
      <c r="I823" s="26"/>
      <c r="J823" s="26"/>
    </row>
    <row r="824" customFormat="false" ht="15" hidden="false" customHeight="false" outlineLevel="0" collapsed="false">
      <c r="A824" s="28"/>
      <c r="B824" s="26"/>
      <c r="C824" s="26"/>
      <c r="D824" s="32"/>
      <c r="E824" s="33" t="str">
        <f aca="false">IF(F824="","",IF(OR(F824="HDFC Bank (INR)",F824="HDFC IOCL Credit Card (INR)",F824="HDFC Swiggy Credit Card (INR)",F824="Axis Airtel Credit Card (INR)"),"INR","GBP"))</f>
        <v/>
      </c>
      <c r="F824" s="26"/>
      <c r="G824" s="26"/>
      <c r="H824" s="34" t="n">
        <f aca="false">IF(G824="Yes","",D824)</f>
        <v>0</v>
      </c>
      <c r="I824" s="26"/>
      <c r="J824" s="26"/>
    </row>
    <row r="825" customFormat="false" ht="15" hidden="false" customHeight="false" outlineLevel="0" collapsed="false">
      <c r="A825" s="28"/>
      <c r="B825" s="26"/>
      <c r="C825" s="26"/>
      <c r="D825" s="32"/>
      <c r="E825" s="33" t="str">
        <f aca="false">IF(F825="","",IF(OR(F825="HDFC Bank (INR)",F825="HDFC IOCL Credit Card (INR)",F825="HDFC Swiggy Credit Card (INR)",F825="Axis Airtel Credit Card (INR)"),"INR","GBP"))</f>
        <v/>
      </c>
      <c r="F825" s="26"/>
      <c r="G825" s="26"/>
      <c r="H825" s="34" t="n">
        <f aca="false">IF(G825="Yes","",D825)</f>
        <v>0</v>
      </c>
      <c r="I825" s="26"/>
      <c r="J825" s="26"/>
    </row>
    <row r="826" customFormat="false" ht="15" hidden="false" customHeight="false" outlineLevel="0" collapsed="false">
      <c r="A826" s="28"/>
      <c r="B826" s="26"/>
      <c r="C826" s="26"/>
      <c r="D826" s="32"/>
      <c r="E826" s="33" t="str">
        <f aca="false">IF(F826="","",IF(OR(F826="HDFC Bank (INR)",F826="HDFC IOCL Credit Card (INR)",F826="HDFC Swiggy Credit Card (INR)",F826="Axis Airtel Credit Card (INR)"),"INR","GBP"))</f>
        <v/>
      </c>
      <c r="F826" s="26"/>
      <c r="G826" s="26"/>
      <c r="H826" s="34" t="n">
        <f aca="false">IF(G826="Yes","",D826)</f>
        <v>0</v>
      </c>
      <c r="I826" s="26"/>
      <c r="J826" s="26"/>
    </row>
    <row r="827" customFormat="false" ht="15" hidden="false" customHeight="false" outlineLevel="0" collapsed="false">
      <c r="A827" s="28"/>
      <c r="B827" s="26"/>
      <c r="C827" s="26"/>
      <c r="D827" s="32"/>
      <c r="E827" s="33" t="str">
        <f aca="false">IF(F827="","",IF(OR(F827="HDFC Bank (INR)",F827="HDFC IOCL Credit Card (INR)",F827="HDFC Swiggy Credit Card (INR)",F827="Axis Airtel Credit Card (INR)"),"INR","GBP"))</f>
        <v/>
      </c>
      <c r="F827" s="26"/>
      <c r="G827" s="26"/>
      <c r="H827" s="34" t="n">
        <f aca="false">IF(G827="Yes","",D827)</f>
        <v>0</v>
      </c>
      <c r="I827" s="26"/>
      <c r="J827" s="26"/>
    </row>
    <row r="828" customFormat="false" ht="15" hidden="false" customHeight="false" outlineLevel="0" collapsed="false">
      <c r="A828" s="28"/>
      <c r="B828" s="26"/>
      <c r="C828" s="26"/>
      <c r="D828" s="32"/>
      <c r="E828" s="33" t="str">
        <f aca="false">IF(F828="","",IF(OR(F828="HDFC Bank (INR)",F828="HDFC IOCL Credit Card (INR)",F828="HDFC Swiggy Credit Card (INR)",F828="Axis Airtel Credit Card (INR)"),"INR","GBP"))</f>
        <v/>
      </c>
      <c r="F828" s="26"/>
      <c r="G828" s="26"/>
      <c r="H828" s="34" t="n">
        <f aca="false">IF(G828="Yes","",D828)</f>
        <v>0</v>
      </c>
      <c r="I828" s="26"/>
      <c r="J828" s="26"/>
    </row>
    <row r="829" customFormat="false" ht="15" hidden="false" customHeight="false" outlineLevel="0" collapsed="false">
      <c r="A829" s="28"/>
      <c r="B829" s="26"/>
      <c r="C829" s="26"/>
      <c r="D829" s="32"/>
      <c r="E829" s="33" t="str">
        <f aca="false">IF(F829="","",IF(OR(F829="HDFC Bank (INR)",F829="HDFC IOCL Credit Card (INR)",F829="HDFC Swiggy Credit Card (INR)",F829="Axis Airtel Credit Card (INR)"),"INR","GBP"))</f>
        <v/>
      </c>
      <c r="F829" s="26"/>
      <c r="G829" s="26"/>
      <c r="H829" s="34" t="n">
        <f aca="false">IF(G829="Yes","",D829)</f>
        <v>0</v>
      </c>
      <c r="I829" s="26"/>
      <c r="J829" s="26"/>
    </row>
    <row r="830" customFormat="false" ht="15" hidden="false" customHeight="false" outlineLevel="0" collapsed="false">
      <c r="A830" s="28"/>
      <c r="B830" s="26"/>
      <c r="C830" s="26"/>
      <c r="D830" s="32"/>
      <c r="E830" s="33" t="str">
        <f aca="false">IF(F830="","",IF(OR(F830="HDFC Bank (INR)",F830="HDFC IOCL Credit Card (INR)",F830="HDFC Swiggy Credit Card (INR)",F830="Axis Airtel Credit Card (INR)"),"INR","GBP"))</f>
        <v/>
      </c>
      <c r="F830" s="26"/>
      <c r="G830" s="26"/>
      <c r="H830" s="34" t="n">
        <f aca="false">IF(G830="Yes","",D830)</f>
        <v>0</v>
      </c>
      <c r="I830" s="26"/>
      <c r="J830" s="26"/>
    </row>
    <row r="831" customFormat="false" ht="15" hidden="false" customHeight="false" outlineLevel="0" collapsed="false">
      <c r="A831" s="28"/>
      <c r="B831" s="26"/>
      <c r="C831" s="26"/>
      <c r="D831" s="32"/>
      <c r="E831" s="33" t="str">
        <f aca="false">IF(F831="","",IF(OR(F831="HDFC Bank (INR)",F831="HDFC IOCL Credit Card (INR)",F831="HDFC Swiggy Credit Card (INR)",F831="Axis Airtel Credit Card (INR)"),"INR","GBP"))</f>
        <v/>
      </c>
      <c r="F831" s="26"/>
      <c r="G831" s="26"/>
      <c r="H831" s="34" t="n">
        <f aca="false">IF(G831="Yes","",D831)</f>
        <v>0</v>
      </c>
      <c r="I831" s="26"/>
      <c r="J831" s="26"/>
    </row>
    <row r="832" customFormat="false" ht="15" hidden="false" customHeight="false" outlineLevel="0" collapsed="false">
      <c r="A832" s="28"/>
      <c r="B832" s="26"/>
      <c r="C832" s="26"/>
      <c r="D832" s="32"/>
      <c r="E832" s="33" t="str">
        <f aca="false">IF(F832="","",IF(OR(F832="HDFC Bank (INR)",F832="HDFC IOCL Credit Card (INR)",F832="HDFC Swiggy Credit Card (INR)",F832="Axis Airtel Credit Card (INR)"),"INR","GBP"))</f>
        <v/>
      </c>
      <c r="F832" s="26"/>
      <c r="G832" s="26"/>
      <c r="H832" s="34" t="n">
        <f aca="false">IF(G832="Yes","",D832)</f>
        <v>0</v>
      </c>
      <c r="I832" s="26"/>
      <c r="J832" s="26"/>
    </row>
    <row r="833" customFormat="false" ht="15" hidden="false" customHeight="false" outlineLevel="0" collapsed="false">
      <c r="A833" s="28"/>
      <c r="B833" s="26"/>
      <c r="C833" s="26"/>
      <c r="D833" s="32"/>
      <c r="E833" s="33" t="str">
        <f aca="false">IF(F833="","",IF(OR(F833="HDFC Bank (INR)",F833="HDFC IOCL Credit Card (INR)",F833="HDFC Swiggy Credit Card (INR)",F833="Axis Airtel Credit Card (INR)"),"INR","GBP"))</f>
        <v/>
      </c>
      <c r="F833" s="26"/>
      <c r="G833" s="26"/>
      <c r="H833" s="34" t="n">
        <f aca="false">IF(G833="Yes","",D833)</f>
        <v>0</v>
      </c>
      <c r="I833" s="26"/>
      <c r="J833" s="26"/>
    </row>
    <row r="834" customFormat="false" ht="15" hidden="false" customHeight="false" outlineLevel="0" collapsed="false">
      <c r="A834" s="28"/>
      <c r="B834" s="26"/>
      <c r="C834" s="26"/>
      <c r="D834" s="32"/>
      <c r="E834" s="33" t="str">
        <f aca="false">IF(F834="","",IF(OR(F834="HDFC Bank (INR)",F834="HDFC IOCL Credit Card (INR)",F834="HDFC Swiggy Credit Card (INR)",F834="Axis Airtel Credit Card (INR)"),"INR","GBP"))</f>
        <v/>
      </c>
      <c r="F834" s="26"/>
      <c r="G834" s="26"/>
      <c r="H834" s="34" t="n">
        <f aca="false">IF(G834="Yes","",D834)</f>
        <v>0</v>
      </c>
      <c r="I834" s="26"/>
      <c r="J834" s="26"/>
    </row>
    <row r="835" customFormat="false" ht="15" hidden="false" customHeight="false" outlineLevel="0" collapsed="false">
      <c r="A835" s="28"/>
      <c r="B835" s="26"/>
      <c r="C835" s="26"/>
      <c r="D835" s="32"/>
      <c r="E835" s="33" t="str">
        <f aca="false">IF(F835="","",IF(OR(F835="HDFC Bank (INR)",F835="HDFC IOCL Credit Card (INR)",F835="HDFC Swiggy Credit Card (INR)",F835="Axis Airtel Credit Card (INR)"),"INR","GBP"))</f>
        <v/>
      </c>
      <c r="F835" s="26"/>
      <c r="G835" s="26"/>
      <c r="H835" s="34" t="n">
        <f aca="false">IF(G835="Yes","",D835)</f>
        <v>0</v>
      </c>
      <c r="I835" s="26"/>
      <c r="J835" s="26"/>
    </row>
    <row r="836" customFormat="false" ht="15" hidden="false" customHeight="false" outlineLevel="0" collapsed="false">
      <c r="A836" s="28"/>
      <c r="B836" s="26"/>
      <c r="C836" s="26"/>
      <c r="D836" s="32"/>
      <c r="E836" s="33" t="str">
        <f aca="false">IF(F836="","",IF(OR(F836="HDFC Bank (INR)",F836="HDFC IOCL Credit Card (INR)",F836="HDFC Swiggy Credit Card (INR)",F836="Axis Airtel Credit Card (INR)"),"INR","GBP"))</f>
        <v/>
      </c>
      <c r="F836" s="26"/>
      <c r="G836" s="26"/>
      <c r="H836" s="34" t="n">
        <f aca="false">IF(G836="Yes","",D836)</f>
        <v>0</v>
      </c>
      <c r="I836" s="26"/>
      <c r="J836" s="26"/>
    </row>
    <row r="837" customFormat="false" ht="15" hidden="false" customHeight="false" outlineLevel="0" collapsed="false">
      <c r="A837" s="28"/>
      <c r="B837" s="26"/>
      <c r="C837" s="26"/>
      <c r="D837" s="32"/>
      <c r="E837" s="33" t="str">
        <f aca="false">IF(F837="","",IF(OR(F837="HDFC Bank (INR)",F837="HDFC IOCL Credit Card (INR)",F837="HDFC Swiggy Credit Card (INR)",F837="Axis Airtel Credit Card (INR)"),"INR","GBP"))</f>
        <v/>
      </c>
      <c r="F837" s="26"/>
      <c r="G837" s="26"/>
      <c r="H837" s="34" t="n">
        <f aca="false">IF(G837="Yes","",D837)</f>
        <v>0</v>
      </c>
      <c r="I837" s="26"/>
      <c r="J837" s="26"/>
    </row>
    <row r="838" customFormat="false" ht="15" hidden="false" customHeight="false" outlineLevel="0" collapsed="false">
      <c r="A838" s="28"/>
      <c r="B838" s="26"/>
      <c r="C838" s="26"/>
      <c r="D838" s="32"/>
      <c r="E838" s="33" t="str">
        <f aca="false">IF(F838="","",IF(OR(F838="HDFC Bank (INR)",F838="HDFC IOCL Credit Card (INR)",F838="HDFC Swiggy Credit Card (INR)",F838="Axis Airtel Credit Card (INR)"),"INR","GBP"))</f>
        <v/>
      </c>
      <c r="F838" s="26"/>
      <c r="G838" s="26"/>
      <c r="H838" s="34" t="n">
        <f aca="false">IF(G838="Yes","",D838)</f>
        <v>0</v>
      </c>
      <c r="I838" s="26"/>
      <c r="J838" s="26"/>
    </row>
    <row r="839" customFormat="false" ht="15" hidden="false" customHeight="false" outlineLevel="0" collapsed="false">
      <c r="A839" s="28"/>
      <c r="B839" s="26"/>
      <c r="C839" s="26"/>
      <c r="D839" s="32"/>
      <c r="E839" s="33" t="str">
        <f aca="false">IF(F839="","",IF(OR(F839="HDFC Bank (INR)",F839="HDFC IOCL Credit Card (INR)",F839="HDFC Swiggy Credit Card (INR)",F839="Axis Airtel Credit Card (INR)"),"INR","GBP"))</f>
        <v/>
      </c>
      <c r="F839" s="26"/>
      <c r="G839" s="26"/>
      <c r="H839" s="34" t="n">
        <f aca="false">IF(G839="Yes","",D839)</f>
        <v>0</v>
      </c>
      <c r="I839" s="26"/>
      <c r="J839" s="26"/>
    </row>
    <row r="840" customFormat="false" ht="15" hidden="false" customHeight="false" outlineLevel="0" collapsed="false">
      <c r="A840" s="28"/>
      <c r="B840" s="26"/>
      <c r="C840" s="26"/>
      <c r="D840" s="32"/>
      <c r="E840" s="33" t="str">
        <f aca="false">IF(F840="","",IF(OR(F840="HDFC Bank (INR)",F840="HDFC IOCL Credit Card (INR)",F840="HDFC Swiggy Credit Card (INR)",F840="Axis Airtel Credit Card (INR)"),"INR","GBP"))</f>
        <v/>
      </c>
      <c r="F840" s="26"/>
      <c r="G840" s="26"/>
      <c r="H840" s="34" t="n">
        <f aca="false">IF(G840="Yes","",D840)</f>
        <v>0</v>
      </c>
      <c r="I840" s="26"/>
      <c r="J840" s="26"/>
    </row>
    <row r="841" customFormat="false" ht="15" hidden="false" customHeight="false" outlineLevel="0" collapsed="false">
      <c r="A841" s="28"/>
      <c r="B841" s="26"/>
      <c r="C841" s="26"/>
      <c r="D841" s="32"/>
      <c r="E841" s="33" t="str">
        <f aca="false">IF(F841="","",IF(OR(F841="HDFC Bank (INR)",F841="HDFC IOCL Credit Card (INR)",F841="HDFC Swiggy Credit Card (INR)",F841="Axis Airtel Credit Card (INR)"),"INR","GBP"))</f>
        <v/>
      </c>
      <c r="F841" s="26"/>
      <c r="G841" s="26"/>
      <c r="H841" s="34" t="n">
        <f aca="false">IF(G841="Yes","",D841)</f>
        <v>0</v>
      </c>
      <c r="I841" s="26"/>
      <c r="J841" s="26"/>
    </row>
    <row r="842" customFormat="false" ht="15" hidden="false" customHeight="false" outlineLevel="0" collapsed="false">
      <c r="A842" s="28"/>
      <c r="B842" s="26"/>
      <c r="C842" s="26"/>
      <c r="D842" s="32"/>
      <c r="E842" s="33" t="str">
        <f aca="false">IF(F842="","",IF(OR(F842="HDFC Bank (INR)",F842="HDFC IOCL Credit Card (INR)",F842="HDFC Swiggy Credit Card (INR)",F842="Axis Airtel Credit Card (INR)"),"INR","GBP"))</f>
        <v/>
      </c>
      <c r="F842" s="26"/>
      <c r="G842" s="26"/>
      <c r="H842" s="34" t="n">
        <f aca="false">IF(G842="Yes","",D842)</f>
        <v>0</v>
      </c>
      <c r="I842" s="26"/>
      <c r="J842" s="26"/>
    </row>
    <row r="843" customFormat="false" ht="15" hidden="false" customHeight="false" outlineLevel="0" collapsed="false">
      <c r="A843" s="28"/>
      <c r="B843" s="26"/>
      <c r="C843" s="26"/>
      <c r="D843" s="32"/>
      <c r="E843" s="33" t="str">
        <f aca="false">IF(F843="","",IF(OR(F843="HDFC Bank (INR)",F843="HDFC IOCL Credit Card (INR)",F843="HDFC Swiggy Credit Card (INR)",F843="Axis Airtel Credit Card (INR)"),"INR","GBP"))</f>
        <v/>
      </c>
      <c r="F843" s="26"/>
      <c r="G843" s="26"/>
      <c r="H843" s="34" t="n">
        <f aca="false">IF(G843="Yes","",D843)</f>
        <v>0</v>
      </c>
      <c r="I843" s="26"/>
      <c r="J843" s="26"/>
    </row>
    <row r="844" customFormat="false" ht="15" hidden="false" customHeight="false" outlineLevel="0" collapsed="false">
      <c r="A844" s="28"/>
      <c r="B844" s="26"/>
      <c r="C844" s="26"/>
      <c r="D844" s="32"/>
      <c r="E844" s="33" t="str">
        <f aca="false">IF(F844="","",IF(OR(F844="HDFC Bank (INR)",F844="HDFC IOCL Credit Card (INR)",F844="HDFC Swiggy Credit Card (INR)",F844="Axis Airtel Credit Card (INR)"),"INR","GBP"))</f>
        <v/>
      </c>
      <c r="F844" s="26"/>
      <c r="G844" s="26"/>
      <c r="H844" s="34" t="n">
        <f aca="false">IF(G844="Yes","",D844)</f>
        <v>0</v>
      </c>
      <c r="I844" s="26"/>
      <c r="J844" s="26"/>
    </row>
    <row r="845" customFormat="false" ht="15" hidden="false" customHeight="false" outlineLevel="0" collapsed="false">
      <c r="A845" s="28"/>
      <c r="B845" s="26"/>
      <c r="C845" s="26"/>
      <c r="D845" s="32"/>
      <c r="E845" s="33" t="str">
        <f aca="false">IF(F845="","",IF(OR(F845="HDFC Bank (INR)",F845="HDFC IOCL Credit Card (INR)",F845="HDFC Swiggy Credit Card (INR)",F845="Axis Airtel Credit Card (INR)"),"INR","GBP"))</f>
        <v/>
      </c>
      <c r="F845" s="26"/>
      <c r="G845" s="26"/>
      <c r="H845" s="34" t="n">
        <f aca="false">IF(G845="Yes","",D845)</f>
        <v>0</v>
      </c>
      <c r="I845" s="26"/>
      <c r="J845" s="26"/>
    </row>
    <row r="846" customFormat="false" ht="15" hidden="false" customHeight="false" outlineLevel="0" collapsed="false">
      <c r="A846" s="28"/>
      <c r="B846" s="26"/>
      <c r="C846" s="26"/>
      <c r="D846" s="32"/>
      <c r="E846" s="33" t="str">
        <f aca="false">IF(F846="","",IF(OR(F846="HDFC Bank (INR)",F846="HDFC IOCL Credit Card (INR)",F846="HDFC Swiggy Credit Card (INR)",F846="Axis Airtel Credit Card (INR)"),"INR","GBP"))</f>
        <v/>
      </c>
      <c r="F846" s="26"/>
      <c r="G846" s="26"/>
      <c r="H846" s="34" t="n">
        <f aca="false">IF(G846="Yes","",D846)</f>
        <v>0</v>
      </c>
      <c r="I846" s="26"/>
      <c r="J846" s="26"/>
    </row>
    <row r="847" customFormat="false" ht="15" hidden="false" customHeight="false" outlineLevel="0" collapsed="false">
      <c r="A847" s="28"/>
      <c r="B847" s="26"/>
      <c r="C847" s="26"/>
      <c r="D847" s="32"/>
      <c r="E847" s="33" t="str">
        <f aca="false">IF(F847="","",IF(OR(F847="HDFC Bank (INR)",F847="HDFC IOCL Credit Card (INR)",F847="HDFC Swiggy Credit Card (INR)",F847="Axis Airtel Credit Card (INR)"),"INR","GBP"))</f>
        <v/>
      </c>
      <c r="F847" s="26"/>
      <c r="G847" s="26"/>
      <c r="H847" s="34" t="n">
        <f aca="false">IF(G847="Yes","",D847)</f>
        <v>0</v>
      </c>
      <c r="I847" s="26"/>
      <c r="J847" s="26"/>
    </row>
    <row r="848" customFormat="false" ht="15" hidden="false" customHeight="false" outlineLevel="0" collapsed="false">
      <c r="A848" s="28"/>
      <c r="B848" s="26"/>
      <c r="C848" s="26"/>
      <c r="D848" s="32"/>
      <c r="E848" s="33" t="str">
        <f aca="false">IF(F848="","",IF(OR(F848="HDFC Bank (INR)",F848="HDFC IOCL Credit Card (INR)",F848="HDFC Swiggy Credit Card (INR)",F848="Axis Airtel Credit Card (INR)"),"INR","GBP"))</f>
        <v/>
      </c>
      <c r="F848" s="26"/>
      <c r="G848" s="26"/>
      <c r="H848" s="34" t="n">
        <f aca="false">IF(G848="Yes","",D848)</f>
        <v>0</v>
      </c>
      <c r="I848" s="26"/>
      <c r="J848" s="26"/>
    </row>
    <row r="849" customFormat="false" ht="15" hidden="false" customHeight="false" outlineLevel="0" collapsed="false">
      <c r="A849" s="28"/>
      <c r="B849" s="26"/>
      <c r="C849" s="26"/>
      <c r="D849" s="32"/>
      <c r="E849" s="33" t="str">
        <f aca="false">IF(F849="","",IF(OR(F849="HDFC Bank (INR)",F849="HDFC IOCL Credit Card (INR)",F849="HDFC Swiggy Credit Card (INR)",F849="Axis Airtel Credit Card (INR)"),"INR","GBP"))</f>
        <v/>
      </c>
      <c r="F849" s="26"/>
      <c r="G849" s="26"/>
      <c r="H849" s="34" t="n">
        <f aca="false">IF(G849="Yes","",D849)</f>
        <v>0</v>
      </c>
      <c r="I849" s="26"/>
      <c r="J849" s="26"/>
    </row>
    <row r="850" customFormat="false" ht="15" hidden="false" customHeight="false" outlineLevel="0" collapsed="false">
      <c r="A850" s="28"/>
      <c r="B850" s="26"/>
      <c r="C850" s="26"/>
      <c r="D850" s="32"/>
      <c r="E850" s="33" t="str">
        <f aca="false">IF(F850="","",IF(OR(F850="HDFC Bank (INR)",F850="HDFC IOCL Credit Card (INR)",F850="HDFC Swiggy Credit Card (INR)",F850="Axis Airtel Credit Card (INR)"),"INR","GBP"))</f>
        <v/>
      </c>
      <c r="F850" s="26"/>
      <c r="G850" s="26"/>
      <c r="H850" s="34" t="n">
        <f aca="false">IF(G850="Yes","",D850)</f>
        <v>0</v>
      </c>
      <c r="I850" s="26"/>
      <c r="J850" s="26"/>
    </row>
    <row r="851" customFormat="false" ht="15" hidden="false" customHeight="false" outlineLevel="0" collapsed="false">
      <c r="A851" s="28"/>
      <c r="B851" s="26"/>
      <c r="C851" s="26"/>
      <c r="D851" s="32"/>
      <c r="E851" s="33" t="str">
        <f aca="false">IF(F851="","",IF(OR(F851="HDFC Bank (INR)",F851="HDFC IOCL Credit Card (INR)",F851="HDFC Swiggy Credit Card (INR)",F851="Axis Airtel Credit Card (INR)"),"INR","GBP"))</f>
        <v/>
      </c>
      <c r="F851" s="26"/>
      <c r="G851" s="26"/>
      <c r="H851" s="34" t="n">
        <f aca="false">IF(G851="Yes","",D851)</f>
        <v>0</v>
      </c>
      <c r="I851" s="26"/>
      <c r="J851" s="26"/>
    </row>
    <row r="852" customFormat="false" ht="15" hidden="false" customHeight="false" outlineLevel="0" collapsed="false">
      <c r="A852" s="28"/>
      <c r="B852" s="26"/>
      <c r="C852" s="26"/>
      <c r="D852" s="32"/>
      <c r="E852" s="33" t="str">
        <f aca="false">IF(F852="","",IF(OR(F852="HDFC Bank (INR)",F852="HDFC IOCL Credit Card (INR)",F852="HDFC Swiggy Credit Card (INR)",F852="Axis Airtel Credit Card (INR)"),"INR","GBP"))</f>
        <v/>
      </c>
      <c r="F852" s="26"/>
      <c r="G852" s="26"/>
      <c r="H852" s="34" t="n">
        <f aca="false">IF(G852="Yes","",D852)</f>
        <v>0</v>
      </c>
      <c r="I852" s="26"/>
      <c r="J852" s="26"/>
    </row>
    <row r="853" customFormat="false" ht="15" hidden="false" customHeight="false" outlineLevel="0" collapsed="false">
      <c r="A853" s="28"/>
      <c r="B853" s="26"/>
      <c r="C853" s="26"/>
      <c r="D853" s="32"/>
      <c r="E853" s="33" t="str">
        <f aca="false">IF(F853="","",IF(OR(F853="HDFC Bank (INR)",F853="HDFC IOCL Credit Card (INR)",F853="HDFC Swiggy Credit Card (INR)",F853="Axis Airtel Credit Card (INR)"),"INR","GBP"))</f>
        <v/>
      </c>
      <c r="F853" s="26"/>
      <c r="G853" s="26"/>
      <c r="H853" s="34" t="n">
        <f aca="false">IF(G853="Yes","",D853)</f>
        <v>0</v>
      </c>
      <c r="I853" s="26"/>
      <c r="J853" s="26"/>
    </row>
    <row r="854" customFormat="false" ht="15" hidden="false" customHeight="false" outlineLevel="0" collapsed="false">
      <c r="A854" s="28"/>
      <c r="B854" s="26"/>
      <c r="C854" s="26"/>
      <c r="D854" s="32"/>
      <c r="E854" s="33" t="str">
        <f aca="false">IF(F854="","",IF(OR(F854="HDFC Bank (INR)",F854="HDFC IOCL Credit Card (INR)",F854="HDFC Swiggy Credit Card (INR)",F854="Axis Airtel Credit Card (INR)"),"INR","GBP"))</f>
        <v/>
      </c>
      <c r="F854" s="26"/>
      <c r="G854" s="26"/>
      <c r="H854" s="34" t="n">
        <f aca="false">IF(G854="Yes","",D854)</f>
        <v>0</v>
      </c>
      <c r="I854" s="26"/>
      <c r="J854" s="26"/>
    </row>
    <row r="855" customFormat="false" ht="15" hidden="false" customHeight="false" outlineLevel="0" collapsed="false">
      <c r="A855" s="28"/>
      <c r="B855" s="26"/>
      <c r="C855" s="26"/>
      <c r="D855" s="32"/>
      <c r="E855" s="33" t="str">
        <f aca="false">IF(F855="","",IF(OR(F855="HDFC Bank (INR)",F855="HDFC IOCL Credit Card (INR)",F855="HDFC Swiggy Credit Card (INR)",F855="Axis Airtel Credit Card (INR)"),"INR","GBP"))</f>
        <v/>
      </c>
      <c r="F855" s="26"/>
      <c r="G855" s="26"/>
      <c r="H855" s="34" t="n">
        <f aca="false">IF(G855="Yes","",D855)</f>
        <v>0</v>
      </c>
      <c r="I855" s="26"/>
      <c r="J855" s="26"/>
    </row>
    <row r="856" customFormat="false" ht="15" hidden="false" customHeight="false" outlineLevel="0" collapsed="false">
      <c r="A856" s="28"/>
      <c r="B856" s="26"/>
      <c r="C856" s="26"/>
      <c r="D856" s="32"/>
      <c r="E856" s="33" t="str">
        <f aca="false">IF(F856="","",IF(OR(F856="HDFC Bank (INR)",F856="HDFC IOCL Credit Card (INR)",F856="HDFC Swiggy Credit Card (INR)",F856="Axis Airtel Credit Card (INR)"),"INR","GBP"))</f>
        <v/>
      </c>
      <c r="F856" s="26"/>
      <c r="G856" s="26"/>
      <c r="H856" s="34" t="n">
        <f aca="false">IF(G856="Yes","",D856)</f>
        <v>0</v>
      </c>
      <c r="I856" s="26"/>
      <c r="J856" s="26"/>
    </row>
    <row r="857" customFormat="false" ht="15" hidden="false" customHeight="false" outlineLevel="0" collapsed="false">
      <c r="A857" s="28"/>
      <c r="B857" s="26"/>
      <c r="C857" s="26"/>
      <c r="D857" s="32"/>
      <c r="E857" s="33" t="str">
        <f aca="false">IF(F857="","",IF(OR(F857="HDFC Bank (INR)",F857="HDFC IOCL Credit Card (INR)",F857="HDFC Swiggy Credit Card (INR)",F857="Axis Airtel Credit Card (INR)"),"INR","GBP"))</f>
        <v/>
      </c>
      <c r="F857" s="26"/>
      <c r="G857" s="26"/>
      <c r="H857" s="34" t="n">
        <f aca="false">IF(G857="Yes","",D857)</f>
        <v>0</v>
      </c>
      <c r="I857" s="26"/>
      <c r="J857" s="26"/>
    </row>
    <row r="858" customFormat="false" ht="15" hidden="false" customHeight="false" outlineLevel="0" collapsed="false">
      <c r="A858" s="28"/>
      <c r="B858" s="26"/>
      <c r="C858" s="26"/>
      <c r="D858" s="32"/>
      <c r="E858" s="33" t="str">
        <f aca="false">IF(F858="","",IF(OR(F858="HDFC Bank (INR)",F858="HDFC IOCL Credit Card (INR)",F858="HDFC Swiggy Credit Card (INR)",F858="Axis Airtel Credit Card (INR)"),"INR","GBP"))</f>
        <v/>
      </c>
      <c r="F858" s="26"/>
      <c r="G858" s="26"/>
      <c r="H858" s="34" t="n">
        <f aca="false">IF(G858="Yes","",D858)</f>
        <v>0</v>
      </c>
      <c r="I858" s="26"/>
      <c r="J858" s="26"/>
    </row>
    <row r="859" customFormat="false" ht="15" hidden="false" customHeight="false" outlineLevel="0" collapsed="false">
      <c r="A859" s="28"/>
      <c r="B859" s="26"/>
      <c r="C859" s="26"/>
      <c r="D859" s="32"/>
      <c r="E859" s="33" t="str">
        <f aca="false">IF(F859="","",IF(OR(F859="HDFC Bank (INR)",F859="HDFC IOCL Credit Card (INR)",F859="HDFC Swiggy Credit Card (INR)",F859="Axis Airtel Credit Card (INR)"),"INR","GBP"))</f>
        <v/>
      </c>
      <c r="F859" s="26"/>
      <c r="G859" s="26"/>
      <c r="H859" s="34" t="n">
        <f aca="false">IF(G859="Yes","",D859)</f>
        <v>0</v>
      </c>
      <c r="I859" s="26"/>
      <c r="J859" s="26"/>
    </row>
    <row r="860" customFormat="false" ht="15" hidden="false" customHeight="false" outlineLevel="0" collapsed="false">
      <c r="A860" s="28"/>
      <c r="B860" s="26"/>
      <c r="C860" s="26"/>
      <c r="D860" s="32"/>
      <c r="E860" s="33" t="str">
        <f aca="false">IF(F860="","",IF(OR(F860="HDFC Bank (INR)",F860="HDFC IOCL Credit Card (INR)",F860="HDFC Swiggy Credit Card (INR)",F860="Axis Airtel Credit Card (INR)"),"INR","GBP"))</f>
        <v/>
      </c>
      <c r="F860" s="26"/>
      <c r="G860" s="26"/>
      <c r="H860" s="34" t="n">
        <f aca="false">IF(G860="Yes","",D860)</f>
        <v>0</v>
      </c>
      <c r="I860" s="26"/>
      <c r="J860" s="26"/>
    </row>
    <row r="861" customFormat="false" ht="15" hidden="false" customHeight="false" outlineLevel="0" collapsed="false">
      <c r="A861" s="28"/>
      <c r="B861" s="26"/>
      <c r="C861" s="26"/>
      <c r="D861" s="32"/>
      <c r="E861" s="33" t="str">
        <f aca="false">IF(F861="","",IF(OR(F861="HDFC Bank (INR)",F861="HDFC IOCL Credit Card (INR)",F861="HDFC Swiggy Credit Card (INR)",F861="Axis Airtel Credit Card (INR)"),"INR","GBP"))</f>
        <v/>
      </c>
      <c r="F861" s="26"/>
      <c r="G861" s="26"/>
      <c r="H861" s="34" t="n">
        <f aca="false">IF(G861="Yes","",D861)</f>
        <v>0</v>
      </c>
      <c r="I861" s="26"/>
      <c r="J861" s="26"/>
    </row>
    <row r="862" customFormat="false" ht="15" hidden="false" customHeight="false" outlineLevel="0" collapsed="false">
      <c r="A862" s="28"/>
      <c r="B862" s="26"/>
      <c r="C862" s="26"/>
      <c r="D862" s="32"/>
      <c r="E862" s="33" t="str">
        <f aca="false">IF(F862="","",IF(OR(F862="HDFC Bank (INR)",F862="HDFC IOCL Credit Card (INR)",F862="HDFC Swiggy Credit Card (INR)",F862="Axis Airtel Credit Card (INR)"),"INR","GBP"))</f>
        <v/>
      </c>
      <c r="F862" s="26"/>
      <c r="G862" s="26"/>
      <c r="H862" s="34" t="n">
        <f aca="false">IF(G862="Yes","",D862)</f>
        <v>0</v>
      </c>
      <c r="I862" s="26"/>
      <c r="J862" s="26"/>
    </row>
    <row r="863" customFormat="false" ht="15" hidden="false" customHeight="false" outlineLevel="0" collapsed="false">
      <c r="A863" s="28"/>
      <c r="B863" s="26"/>
      <c r="C863" s="26"/>
      <c r="D863" s="32"/>
      <c r="E863" s="33" t="str">
        <f aca="false">IF(F863="","",IF(OR(F863="HDFC Bank (INR)",F863="HDFC IOCL Credit Card (INR)",F863="HDFC Swiggy Credit Card (INR)",F863="Axis Airtel Credit Card (INR)"),"INR","GBP"))</f>
        <v/>
      </c>
      <c r="F863" s="26"/>
      <c r="G863" s="26"/>
      <c r="H863" s="34" t="n">
        <f aca="false">IF(G863="Yes","",D863)</f>
        <v>0</v>
      </c>
      <c r="I863" s="26"/>
      <c r="J863" s="26"/>
    </row>
    <row r="864" customFormat="false" ht="15" hidden="false" customHeight="false" outlineLevel="0" collapsed="false">
      <c r="A864" s="28"/>
      <c r="B864" s="26"/>
      <c r="C864" s="26"/>
      <c r="D864" s="32"/>
      <c r="E864" s="33" t="str">
        <f aca="false">IF(F864="","",IF(OR(F864="HDFC Bank (INR)",F864="HDFC IOCL Credit Card (INR)",F864="HDFC Swiggy Credit Card (INR)",F864="Axis Airtel Credit Card (INR)"),"INR","GBP"))</f>
        <v/>
      </c>
      <c r="F864" s="26"/>
      <c r="G864" s="26"/>
      <c r="H864" s="34" t="n">
        <f aca="false">IF(G864="Yes","",D864)</f>
        <v>0</v>
      </c>
      <c r="I864" s="26"/>
      <c r="J864" s="26"/>
    </row>
    <row r="865" customFormat="false" ht="15" hidden="false" customHeight="false" outlineLevel="0" collapsed="false">
      <c r="A865" s="28"/>
      <c r="B865" s="26"/>
      <c r="C865" s="26"/>
      <c r="D865" s="32"/>
      <c r="E865" s="33" t="str">
        <f aca="false">IF(F865="","",IF(OR(F865="HDFC Bank (INR)",F865="HDFC IOCL Credit Card (INR)",F865="HDFC Swiggy Credit Card (INR)",F865="Axis Airtel Credit Card (INR)"),"INR","GBP"))</f>
        <v/>
      </c>
      <c r="F865" s="26"/>
      <c r="G865" s="26"/>
      <c r="H865" s="34" t="n">
        <f aca="false">IF(G865="Yes","",D865)</f>
        <v>0</v>
      </c>
      <c r="I865" s="26"/>
      <c r="J865" s="26"/>
    </row>
    <row r="866" customFormat="false" ht="15" hidden="false" customHeight="false" outlineLevel="0" collapsed="false">
      <c r="A866" s="28"/>
      <c r="B866" s="26"/>
      <c r="C866" s="26"/>
      <c r="D866" s="32"/>
      <c r="E866" s="33" t="str">
        <f aca="false">IF(F866="","",IF(OR(F866="HDFC Bank (INR)",F866="HDFC IOCL Credit Card (INR)",F866="HDFC Swiggy Credit Card (INR)",F866="Axis Airtel Credit Card (INR)"),"INR","GBP"))</f>
        <v/>
      </c>
      <c r="F866" s="26"/>
      <c r="G866" s="26"/>
      <c r="H866" s="34" t="n">
        <f aca="false">IF(G866="Yes","",D866)</f>
        <v>0</v>
      </c>
      <c r="I866" s="26"/>
      <c r="J866" s="26"/>
    </row>
    <row r="867" customFormat="false" ht="15" hidden="false" customHeight="false" outlineLevel="0" collapsed="false">
      <c r="A867" s="28"/>
      <c r="B867" s="26"/>
      <c r="C867" s="26"/>
      <c r="D867" s="32"/>
      <c r="E867" s="33" t="str">
        <f aca="false">IF(F867="","",IF(OR(F867="HDFC Bank (INR)",F867="HDFC IOCL Credit Card (INR)",F867="HDFC Swiggy Credit Card (INR)",F867="Axis Airtel Credit Card (INR)"),"INR","GBP"))</f>
        <v/>
      </c>
      <c r="F867" s="26"/>
      <c r="G867" s="26"/>
      <c r="H867" s="34" t="n">
        <f aca="false">IF(G867="Yes","",D867)</f>
        <v>0</v>
      </c>
      <c r="I867" s="26"/>
      <c r="J867" s="26"/>
    </row>
    <row r="868" customFormat="false" ht="15" hidden="false" customHeight="false" outlineLevel="0" collapsed="false">
      <c r="A868" s="28"/>
      <c r="B868" s="26"/>
      <c r="C868" s="26"/>
      <c r="D868" s="32"/>
      <c r="E868" s="33" t="str">
        <f aca="false">IF(F868="","",IF(OR(F868="HDFC Bank (INR)",F868="HDFC IOCL Credit Card (INR)",F868="HDFC Swiggy Credit Card (INR)",F868="Axis Airtel Credit Card (INR)"),"INR","GBP"))</f>
        <v/>
      </c>
      <c r="F868" s="26"/>
      <c r="G868" s="26"/>
      <c r="H868" s="34" t="n">
        <f aca="false">IF(G868="Yes","",D868)</f>
        <v>0</v>
      </c>
      <c r="I868" s="26"/>
      <c r="J868" s="26"/>
    </row>
    <row r="869" customFormat="false" ht="15" hidden="false" customHeight="false" outlineLevel="0" collapsed="false">
      <c r="A869" s="28"/>
      <c r="B869" s="26"/>
      <c r="C869" s="26"/>
      <c r="D869" s="32"/>
      <c r="E869" s="33" t="str">
        <f aca="false">IF(F869="","",IF(OR(F869="HDFC Bank (INR)",F869="HDFC IOCL Credit Card (INR)",F869="HDFC Swiggy Credit Card (INR)",F869="Axis Airtel Credit Card (INR)"),"INR","GBP"))</f>
        <v/>
      </c>
      <c r="F869" s="26"/>
      <c r="G869" s="26"/>
      <c r="H869" s="34" t="n">
        <f aca="false">IF(G869="Yes","",D869)</f>
        <v>0</v>
      </c>
      <c r="I869" s="26"/>
      <c r="J869" s="26"/>
    </row>
    <row r="870" customFormat="false" ht="15" hidden="false" customHeight="false" outlineLevel="0" collapsed="false">
      <c r="A870" s="28"/>
      <c r="B870" s="26"/>
      <c r="C870" s="26"/>
      <c r="D870" s="32"/>
      <c r="E870" s="33" t="str">
        <f aca="false">IF(F870="","",IF(OR(F870="HDFC Bank (INR)",F870="HDFC IOCL Credit Card (INR)",F870="HDFC Swiggy Credit Card (INR)",F870="Axis Airtel Credit Card (INR)"),"INR","GBP"))</f>
        <v/>
      </c>
      <c r="F870" s="26"/>
      <c r="G870" s="26"/>
      <c r="H870" s="34" t="n">
        <f aca="false">IF(G870="Yes","",D870)</f>
        <v>0</v>
      </c>
      <c r="I870" s="26"/>
      <c r="J870" s="26"/>
    </row>
    <row r="871" customFormat="false" ht="15" hidden="false" customHeight="false" outlineLevel="0" collapsed="false">
      <c r="A871" s="28"/>
      <c r="B871" s="26"/>
      <c r="C871" s="26"/>
      <c r="D871" s="32"/>
      <c r="E871" s="33" t="str">
        <f aca="false">IF(F871="","",IF(OR(F871="HDFC Bank (INR)",F871="HDFC IOCL Credit Card (INR)",F871="HDFC Swiggy Credit Card (INR)",F871="Axis Airtel Credit Card (INR)"),"INR","GBP"))</f>
        <v/>
      </c>
      <c r="F871" s="26"/>
      <c r="G871" s="26"/>
      <c r="H871" s="34" t="n">
        <f aca="false">IF(G871="Yes","",D871)</f>
        <v>0</v>
      </c>
      <c r="I871" s="26"/>
      <c r="J871" s="26"/>
    </row>
    <row r="872" customFormat="false" ht="15" hidden="false" customHeight="false" outlineLevel="0" collapsed="false">
      <c r="A872" s="28"/>
      <c r="B872" s="26"/>
      <c r="C872" s="26"/>
      <c r="D872" s="32"/>
      <c r="E872" s="33" t="str">
        <f aca="false">IF(F872="","",IF(OR(F872="HDFC Bank (INR)",F872="HDFC IOCL Credit Card (INR)",F872="HDFC Swiggy Credit Card (INR)",F872="Axis Airtel Credit Card (INR)"),"INR","GBP"))</f>
        <v/>
      </c>
      <c r="F872" s="26"/>
      <c r="G872" s="26"/>
      <c r="H872" s="34" t="n">
        <f aca="false">IF(G872="Yes","",D872)</f>
        <v>0</v>
      </c>
      <c r="I872" s="26"/>
      <c r="J872" s="26"/>
    </row>
    <row r="873" customFormat="false" ht="15" hidden="false" customHeight="false" outlineLevel="0" collapsed="false">
      <c r="A873" s="28"/>
      <c r="B873" s="26"/>
      <c r="C873" s="26"/>
      <c r="D873" s="32"/>
      <c r="E873" s="33" t="str">
        <f aca="false">IF(F873="","",IF(OR(F873="HDFC Bank (INR)",F873="HDFC IOCL Credit Card (INR)",F873="HDFC Swiggy Credit Card (INR)",F873="Axis Airtel Credit Card (INR)"),"INR","GBP"))</f>
        <v/>
      </c>
      <c r="F873" s="26"/>
      <c r="G873" s="26"/>
      <c r="H873" s="34" t="n">
        <f aca="false">IF(G873="Yes","",D873)</f>
        <v>0</v>
      </c>
      <c r="I873" s="26"/>
      <c r="J873" s="26"/>
    </row>
    <row r="874" customFormat="false" ht="15" hidden="false" customHeight="false" outlineLevel="0" collapsed="false">
      <c r="A874" s="28"/>
      <c r="B874" s="26"/>
      <c r="C874" s="26"/>
      <c r="D874" s="32"/>
      <c r="E874" s="33" t="str">
        <f aca="false">IF(F874="","",IF(OR(F874="HDFC Bank (INR)",F874="HDFC IOCL Credit Card (INR)",F874="HDFC Swiggy Credit Card (INR)",F874="Axis Airtel Credit Card (INR)"),"INR","GBP"))</f>
        <v/>
      </c>
      <c r="F874" s="26"/>
      <c r="G874" s="26"/>
      <c r="H874" s="34" t="n">
        <f aca="false">IF(G874="Yes","",D874)</f>
        <v>0</v>
      </c>
      <c r="I874" s="26"/>
      <c r="J874" s="26"/>
    </row>
    <row r="875" customFormat="false" ht="15" hidden="false" customHeight="false" outlineLevel="0" collapsed="false">
      <c r="A875" s="28"/>
      <c r="B875" s="26"/>
      <c r="C875" s="26"/>
      <c r="D875" s="32"/>
      <c r="E875" s="33" t="str">
        <f aca="false">IF(F875="","",IF(OR(F875="HDFC Bank (INR)",F875="HDFC IOCL Credit Card (INR)",F875="HDFC Swiggy Credit Card (INR)",F875="Axis Airtel Credit Card (INR)"),"INR","GBP"))</f>
        <v/>
      </c>
      <c r="F875" s="26"/>
      <c r="G875" s="26"/>
      <c r="H875" s="34" t="n">
        <f aca="false">IF(G875="Yes","",D875)</f>
        <v>0</v>
      </c>
      <c r="I875" s="26"/>
      <c r="J875" s="26"/>
    </row>
    <row r="876" customFormat="false" ht="15" hidden="false" customHeight="false" outlineLevel="0" collapsed="false">
      <c r="A876" s="28"/>
      <c r="B876" s="26"/>
      <c r="C876" s="26"/>
      <c r="D876" s="32"/>
      <c r="E876" s="33" t="str">
        <f aca="false">IF(F876="","",IF(OR(F876="HDFC Bank (INR)",F876="HDFC IOCL Credit Card (INR)",F876="HDFC Swiggy Credit Card (INR)",F876="Axis Airtel Credit Card (INR)"),"INR","GBP"))</f>
        <v/>
      </c>
      <c r="F876" s="26"/>
      <c r="G876" s="26"/>
      <c r="H876" s="34" t="n">
        <f aca="false">IF(G876="Yes","",D876)</f>
        <v>0</v>
      </c>
      <c r="I876" s="26"/>
      <c r="J876" s="26"/>
    </row>
    <row r="877" customFormat="false" ht="15" hidden="false" customHeight="false" outlineLevel="0" collapsed="false">
      <c r="A877" s="28"/>
      <c r="B877" s="26"/>
      <c r="C877" s="26"/>
      <c r="D877" s="32"/>
      <c r="E877" s="33" t="str">
        <f aca="false">IF(F877="","",IF(OR(F877="HDFC Bank (INR)",F877="HDFC IOCL Credit Card (INR)",F877="HDFC Swiggy Credit Card (INR)",F877="Axis Airtel Credit Card (INR)"),"INR","GBP"))</f>
        <v/>
      </c>
      <c r="F877" s="26"/>
      <c r="G877" s="26"/>
      <c r="H877" s="34" t="n">
        <f aca="false">IF(G877="Yes","",D877)</f>
        <v>0</v>
      </c>
      <c r="I877" s="26"/>
      <c r="J877" s="26"/>
    </row>
    <row r="878" customFormat="false" ht="15" hidden="false" customHeight="false" outlineLevel="0" collapsed="false">
      <c r="A878" s="28"/>
      <c r="B878" s="26"/>
      <c r="C878" s="26"/>
      <c r="D878" s="32"/>
      <c r="E878" s="33" t="str">
        <f aca="false">IF(F878="","",IF(OR(F878="HDFC Bank (INR)",F878="HDFC IOCL Credit Card (INR)",F878="HDFC Swiggy Credit Card (INR)",F878="Axis Airtel Credit Card (INR)"),"INR","GBP"))</f>
        <v/>
      </c>
      <c r="F878" s="26"/>
      <c r="G878" s="26"/>
      <c r="H878" s="34" t="n">
        <f aca="false">IF(G878="Yes","",D878)</f>
        <v>0</v>
      </c>
      <c r="I878" s="26"/>
      <c r="J878" s="26"/>
    </row>
    <row r="879" customFormat="false" ht="15" hidden="false" customHeight="false" outlineLevel="0" collapsed="false">
      <c r="A879" s="28"/>
      <c r="B879" s="26"/>
      <c r="C879" s="26"/>
      <c r="D879" s="32"/>
      <c r="E879" s="33" t="str">
        <f aca="false">IF(F879="","",IF(OR(F879="HDFC Bank (INR)",F879="HDFC IOCL Credit Card (INR)",F879="HDFC Swiggy Credit Card (INR)",F879="Axis Airtel Credit Card (INR)"),"INR","GBP"))</f>
        <v/>
      </c>
      <c r="F879" s="26"/>
      <c r="G879" s="26"/>
      <c r="H879" s="34" t="n">
        <f aca="false">IF(G879="Yes","",D879)</f>
        <v>0</v>
      </c>
      <c r="I879" s="26"/>
      <c r="J879" s="26"/>
    </row>
    <row r="880" customFormat="false" ht="15" hidden="false" customHeight="false" outlineLevel="0" collapsed="false">
      <c r="A880" s="28"/>
      <c r="B880" s="26"/>
      <c r="C880" s="26"/>
      <c r="D880" s="32"/>
      <c r="E880" s="33" t="str">
        <f aca="false">IF(F880="","",IF(OR(F880="HDFC Bank (INR)",F880="HDFC IOCL Credit Card (INR)",F880="HDFC Swiggy Credit Card (INR)",F880="Axis Airtel Credit Card (INR)"),"INR","GBP"))</f>
        <v/>
      </c>
      <c r="F880" s="26"/>
      <c r="G880" s="26"/>
      <c r="H880" s="34" t="n">
        <f aca="false">IF(G880="Yes","",D880)</f>
        <v>0</v>
      </c>
      <c r="I880" s="26"/>
      <c r="J880" s="26"/>
    </row>
    <row r="881" customFormat="false" ht="15" hidden="false" customHeight="false" outlineLevel="0" collapsed="false">
      <c r="A881" s="28"/>
      <c r="B881" s="26"/>
      <c r="C881" s="26"/>
      <c r="D881" s="32"/>
      <c r="E881" s="33" t="str">
        <f aca="false">IF(F881="","",IF(OR(F881="HDFC Bank (INR)",F881="HDFC IOCL Credit Card (INR)",F881="HDFC Swiggy Credit Card (INR)",F881="Axis Airtel Credit Card (INR)"),"INR","GBP"))</f>
        <v/>
      </c>
      <c r="F881" s="26"/>
      <c r="G881" s="26"/>
      <c r="H881" s="34" t="n">
        <f aca="false">IF(G881="Yes","",D881)</f>
        <v>0</v>
      </c>
      <c r="I881" s="26"/>
      <c r="J881" s="26"/>
    </row>
    <row r="882" customFormat="false" ht="15" hidden="false" customHeight="false" outlineLevel="0" collapsed="false">
      <c r="A882" s="28"/>
      <c r="B882" s="26"/>
      <c r="C882" s="26"/>
      <c r="D882" s="32"/>
      <c r="E882" s="33" t="str">
        <f aca="false">IF(F882="","",IF(OR(F882="HDFC Bank (INR)",F882="HDFC IOCL Credit Card (INR)",F882="HDFC Swiggy Credit Card (INR)",F882="Axis Airtel Credit Card (INR)"),"INR","GBP"))</f>
        <v/>
      </c>
      <c r="F882" s="26"/>
      <c r="G882" s="26"/>
      <c r="H882" s="34" t="n">
        <f aca="false">IF(G882="Yes","",D882)</f>
        <v>0</v>
      </c>
      <c r="I882" s="26"/>
      <c r="J882" s="26"/>
    </row>
    <row r="883" customFormat="false" ht="15" hidden="false" customHeight="false" outlineLevel="0" collapsed="false">
      <c r="A883" s="28"/>
      <c r="B883" s="26"/>
      <c r="C883" s="26"/>
      <c r="D883" s="32"/>
      <c r="E883" s="33" t="str">
        <f aca="false">IF(F883="","",IF(OR(F883="HDFC Bank (INR)",F883="HDFC IOCL Credit Card (INR)",F883="HDFC Swiggy Credit Card (INR)",F883="Axis Airtel Credit Card (INR)"),"INR","GBP"))</f>
        <v/>
      </c>
      <c r="F883" s="26"/>
      <c r="G883" s="26"/>
      <c r="H883" s="34" t="n">
        <f aca="false">IF(G883="Yes","",D883)</f>
        <v>0</v>
      </c>
      <c r="I883" s="26"/>
      <c r="J883" s="26"/>
    </row>
    <row r="884" customFormat="false" ht="15" hidden="false" customHeight="false" outlineLevel="0" collapsed="false">
      <c r="A884" s="28"/>
      <c r="B884" s="26"/>
      <c r="C884" s="26"/>
      <c r="D884" s="32"/>
      <c r="E884" s="33" t="str">
        <f aca="false">IF(F884="","",IF(OR(F884="HDFC Bank (INR)",F884="HDFC IOCL Credit Card (INR)",F884="HDFC Swiggy Credit Card (INR)",F884="Axis Airtel Credit Card (INR)"),"INR","GBP"))</f>
        <v/>
      </c>
      <c r="F884" s="26"/>
      <c r="G884" s="26"/>
      <c r="H884" s="34" t="n">
        <f aca="false">IF(G884="Yes","",D884)</f>
        <v>0</v>
      </c>
      <c r="I884" s="26"/>
      <c r="J884" s="26"/>
    </row>
    <row r="885" customFormat="false" ht="15" hidden="false" customHeight="false" outlineLevel="0" collapsed="false">
      <c r="A885" s="28"/>
      <c r="B885" s="26"/>
      <c r="C885" s="26"/>
      <c r="D885" s="32"/>
      <c r="E885" s="33" t="str">
        <f aca="false">IF(F885="","",IF(OR(F885="HDFC Bank (INR)",F885="HDFC IOCL Credit Card (INR)",F885="HDFC Swiggy Credit Card (INR)",F885="Axis Airtel Credit Card (INR)"),"INR","GBP"))</f>
        <v/>
      </c>
      <c r="F885" s="26"/>
      <c r="G885" s="26"/>
      <c r="H885" s="34" t="n">
        <f aca="false">IF(G885="Yes","",D885)</f>
        <v>0</v>
      </c>
      <c r="I885" s="26"/>
      <c r="J885" s="26"/>
    </row>
    <row r="886" customFormat="false" ht="15" hidden="false" customHeight="false" outlineLevel="0" collapsed="false">
      <c r="A886" s="28"/>
      <c r="B886" s="26"/>
      <c r="C886" s="26"/>
      <c r="D886" s="32"/>
      <c r="E886" s="33" t="str">
        <f aca="false">IF(F886="","",IF(OR(F886="HDFC Bank (INR)",F886="HDFC IOCL Credit Card (INR)",F886="HDFC Swiggy Credit Card (INR)",F886="Axis Airtel Credit Card (INR)"),"INR","GBP"))</f>
        <v/>
      </c>
      <c r="F886" s="26"/>
      <c r="G886" s="26"/>
      <c r="H886" s="34" t="n">
        <f aca="false">IF(G886="Yes","",D886)</f>
        <v>0</v>
      </c>
      <c r="I886" s="26"/>
      <c r="J886" s="26"/>
    </row>
    <row r="887" customFormat="false" ht="15" hidden="false" customHeight="false" outlineLevel="0" collapsed="false">
      <c r="A887" s="28"/>
      <c r="B887" s="26"/>
      <c r="C887" s="26"/>
      <c r="D887" s="32"/>
      <c r="E887" s="33" t="str">
        <f aca="false">IF(F887="","",IF(OR(F887="HDFC Bank (INR)",F887="HDFC IOCL Credit Card (INR)",F887="HDFC Swiggy Credit Card (INR)",F887="Axis Airtel Credit Card (INR)"),"INR","GBP"))</f>
        <v/>
      </c>
      <c r="F887" s="26"/>
      <c r="G887" s="26"/>
      <c r="H887" s="34" t="n">
        <f aca="false">IF(G887="Yes","",D887)</f>
        <v>0</v>
      </c>
      <c r="I887" s="26"/>
      <c r="J887" s="26"/>
    </row>
    <row r="888" customFormat="false" ht="15" hidden="false" customHeight="false" outlineLevel="0" collapsed="false">
      <c r="A888" s="28"/>
      <c r="B888" s="26"/>
      <c r="C888" s="26"/>
      <c r="D888" s="32"/>
      <c r="E888" s="33" t="str">
        <f aca="false">IF(F888="","",IF(OR(F888="HDFC Bank (INR)",F888="HDFC IOCL Credit Card (INR)",F888="HDFC Swiggy Credit Card (INR)",F888="Axis Airtel Credit Card (INR)"),"INR","GBP"))</f>
        <v/>
      </c>
      <c r="F888" s="26"/>
      <c r="G888" s="26"/>
      <c r="H888" s="34" t="n">
        <f aca="false">IF(G888="Yes","",D888)</f>
        <v>0</v>
      </c>
      <c r="I888" s="26"/>
      <c r="J888" s="26"/>
    </row>
    <row r="889" customFormat="false" ht="15" hidden="false" customHeight="false" outlineLevel="0" collapsed="false">
      <c r="A889" s="28"/>
      <c r="B889" s="26"/>
      <c r="C889" s="26"/>
      <c r="D889" s="32"/>
      <c r="E889" s="33" t="str">
        <f aca="false">IF(F889="","",IF(OR(F889="HDFC Bank (INR)",F889="HDFC IOCL Credit Card (INR)",F889="HDFC Swiggy Credit Card (INR)",F889="Axis Airtel Credit Card (INR)"),"INR","GBP"))</f>
        <v/>
      </c>
      <c r="F889" s="26"/>
      <c r="G889" s="26"/>
      <c r="H889" s="34" t="n">
        <f aca="false">IF(G889="Yes","",D889)</f>
        <v>0</v>
      </c>
      <c r="I889" s="26"/>
      <c r="J889" s="26"/>
    </row>
    <row r="890" customFormat="false" ht="15" hidden="false" customHeight="false" outlineLevel="0" collapsed="false">
      <c r="A890" s="28"/>
      <c r="B890" s="26"/>
      <c r="C890" s="26"/>
      <c r="D890" s="32"/>
      <c r="E890" s="33" t="str">
        <f aca="false">IF(F890="","",IF(OR(F890="HDFC Bank (INR)",F890="HDFC IOCL Credit Card (INR)",F890="HDFC Swiggy Credit Card (INR)",F890="Axis Airtel Credit Card (INR)"),"INR","GBP"))</f>
        <v/>
      </c>
      <c r="F890" s="26"/>
      <c r="G890" s="26"/>
      <c r="H890" s="34" t="n">
        <f aca="false">IF(G890="Yes","",D890)</f>
        <v>0</v>
      </c>
      <c r="I890" s="26"/>
      <c r="J890" s="26"/>
    </row>
    <row r="891" customFormat="false" ht="15" hidden="false" customHeight="false" outlineLevel="0" collapsed="false">
      <c r="A891" s="28"/>
      <c r="B891" s="26"/>
      <c r="C891" s="26"/>
      <c r="D891" s="32"/>
      <c r="E891" s="33" t="str">
        <f aca="false">IF(F891="","",IF(OR(F891="HDFC Bank (INR)",F891="HDFC IOCL Credit Card (INR)",F891="HDFC Swiggy Credit Card (INR)",F891="Axis Airtel Credit Card (INR)"),"INR","GBP"))</f>
        <v/>
      </c>
      <c r="F891" s="26"/>
      <c r="G891" s="26"/>
      <c r="H891" s="34" t="n">
        <f aca="false">IF(G891="Yes","",D891)</f>
        <v>0</v>
      </c>
      <c r="I891" s="26"/>
      <c r="J891" s="26"/>
    </row>
    <row r="892" customFormat="false" ht="15" hidden="false" customHeight="false" outlineLevel="0" collapsed="false">
      <c r="A892" s="28"/>
      <c r="B892" s="26"/>
      <c r="C892" s="26"/>
      <c r="D892" s="32"/>
      <c r="E892" s="33" t="str">
        <f aca="false">IF(F892="","",IF(OR(F892="HDFC Bank (INR)",F892="HDFC IOCL Credit Card (INR)",F892="HDFC Swiggy Credit Card (INR)",F892="Axis Airtel Credit Card (INR)"),"INR","GBP"))</f>
        <v/>
      </c>
      <c r="F892" s="26"/>
      <c r="G892" s="26"/>
      <c r="H892" s="34" t="n">
        <f aca="false">IF(G892="Yes","",D892)</f>
        <v>0</v>
      </c>
      <c r="I892" s="26"/>
      <c r="J892" s="26"/>
    </row>
    <row r="893" customFormat="false" ht="15" hidden="false" customHeight="false" outlineLevel="0" collapsed="false">
      <c r="A893" s="28"/>
      <c r="B893" s="26"/>
      <c r="C893" s="26"/>
      <c r="D893" s="32"/>
      <c r="E893" s="33" t="str">
        <f aca="false">IF(F893="","",IF(OR(F893="HDFC Bank (INR)",F893="HDFC IOCL Credit Card (INR)",F893="HDFC Swiggy Credit Card (INR)",F893="Axis Airtel Credit Card (INR)"),"INR","GBP"))</f>
        <v/>
      </c>
      <c r="F893" s="26"/>
      <c r="G893" s="26"/>
      <c r="H893" s="34" t="n">
        <f aca="false">IF(G893="Yes","",D893)</f>
        <v>0</v>
      </c>
      <c r="I893" s="26"/>
      <c r="J893" s="26"/>
    </row>
    <row r="894" customFormat="false" ht="15" hidden="false" customHeight="false" outlineLevel="0" collapsed="false">
      <c r="A894" s="28"/>
      <c r="B894" s="26"/>
      <c r="C894" s="26"/>
      <c r="D894" s="32"/>
      <c r="E894" s="33" t="str">
        <f aca="false">IF(F894="","",IF(OR(F894="HDFC Bank (INR)",F894="HDFC IOCL Credit Card (INR)",F894="HDFC Swiggy Credit Card (INR)",F894="Axis Airtel Credit Card (INR)"),"INR","GBP"))</f>
        <v/>
      </c>
      <c r="F894" s="26"/>
      <c r="G894" s="26"/>
      <c r="H894" s="34" t="n">
        <f aca="false">IF(G894="Yes","",D894)</f>
        <v>0</v>
      </c>
      <c r="I894" s="26"/>
      <c r="J894" s="26"/>
    </row>
    <row r="895" customFormat="false" ht="15" hidden="false" customHeight="false" outlineLevel="0" collapsed="false">
      <c r="A895" s="28"/>
      <c r="B895" s="26"/>
      <c r="C895" s="26"/>
      <c r="D895" s="32"/>
      <c r="E895" s="33" t="str">
        <f aca="false">IF(F895="","",IF(OR(F895="HDFC Bank (INR)",F895="HDFC IOCL Credit Card (INR)",F895="HDFC Swiggy Credit Card (INR)",F895="Axis Airtel Credit Card (INR)"),"INR","GBP"))</f>
        <v/>
      </c>
      <c r="F895" s="26"/>
      <c r="G895" s="26"/>
      <c r="H895" s="34" t="n">
        <f aca="false">IF(G895="Yes","",D895)</f>
        <v>0</v>
      </c>
      <c r="I895" s="26"/>
      <c r="J895" s="26"/>
    </row>
    <row r="896" customFormat="false" ht="15" hidden="false" customHeight="false" outlineLevel="0" collapsed="false">
      <c r="A896" s="28"/>
      <c r="B896" s="26"/>
      <c r="C896" s="26"/>
      <c r="D896" s="32"/>
      <c r="E896" s="33" t="str">
        <f aca="false">IF(F896="","",IF(OR(F896="HDFC Bank (INR)",F896="HDFC IOCL Credit Card (INR)",F896="HDFC Swiggy Credit Card (INR)",F896="Axis Airtel Credit Card (INR)"),"INR","GBP"))</f>
        <v/>
      </c>
      <c r="F896" s="26"/>
      <c r="G896" s="26"/>
      <c r="H896" s="34" t="n">
        <f aca="false">IF(G896="Yes","",D896)</f>
        <v>0</v>
      </c>
      <c r="I896" s="26"/>
      <c r="J896" s="26"/>
    </row>
    <row r="897" customFormat="false" ht="15" hidden="false" customHeight="false" outlineLevel="0" collapsed="false">
      <c r="A897" s="28"/>
      <c r="B897" s="26"/>
      <c r="C897" s="26"/>
      <c r="D897" s="32"/>
      <c r="E897" s="33" t="str">
        <f aca="false">IF(F897="","",IF(OR(F897="HDFC Bank (INR)",F897="HDFC IOCL Credit Card (INR)",F897="HDFC Swiggy Credit Card (INR)",F897="Axis Airtel Credit Card (INR)"),"INR","GBP"))</f>
        <v/>
      </c>
      <c r="F897" s="26"/>
      <c r="G897" s="26"/>
      <c r="H897" s="34" t="n">
        <f aca="false">IF(G897="Yes","",D897)</f>
        <v>0</v>
      </c>
      <c r="I897" s="26"/>
      <c r="J897" s="26"/>
    </row>
    <row r="898" customFormat="false" ht="15" hidden="false" customHeight="false" outlineLevel="0" collapsed="false">
      <c r="A898" s="28"/>
      <c r="B898" s="26"/>
      <c r="C898" s="26"/>
      <c r="D898" s="32"/>
      <c r="E898" s="33" t="str">
        <f aca="false">IF(F898="","",IF(OR(F898="HDFC Bank (INR)",F898="HDFC IOCL Credit Card (INR)",F898="HDFC Swiggy Credit Card (INR)",F898="Axis Airtel Credit Card (INR)"),"INR","GBP"))</f>
        <v/>
      </c>
      <c r="F898" s="26"/>
      <c r="G898" s="26"/>
      <c r="H898" s="34" t="n">
        <f aca="false">IF(G898="Yes","",D898)</f>
        <v>0</v>
      </c>
      <c r="I898" s="26"/>
      <c r="J898" s="26"/>
    </row>
    <row r="899" customFormat="false" ht="15" hidden="false" customHeight="false" outlineLevel="0" collapsed="false">
      <c r="A899" s="28"/>
      <c r="B899" s="26"/>
      <c r="C899" s="26"/>
      <c r="D899" s="32"/>
      <c r="E899" s="33" t="str">
        <f aca="false">IF(F899="","",IF(OR(F899="HDFC Bank (INR)",F899="HDFC IOCL Credit Card (INR)",F899="HDFC Swiggy Credit Card (INR)",F899="Axis Airtel Credit Card (INR)"),"INR","GBP"))</f>
        <v/>
      </c>
      <c r="F899" s="26"/>
      <c r="G899" s="26"/>
      <c r="H899" s="34" t="n">
        <f aca="false">IF(G899="Yes","",D899)</f>
        <v>0</v>
      </c>
      <c r="I899" s="26"/>
      <c r="J899" s="26"/>
    </row>
    <row r="900" customFormat="false" ht="15" hidden="false" customHeight="false" outlineLevel="0" collapsed="false">
      <c r="A900" s="28"/>
      <c r="B900" s="26"/>
      <c r="C900" s="26"/>
      <c r="D900" s="32"/>
      <c r="E900" s="33" t="str">
        <f aca="false">IF(F900="","",IF(OR(F900="HDFC Bank (INR)",F900="HDFC IOCL Credit Card (INR)",F900="HDFC Swiggy Credit Card (INR)",F900="Axis Airtel Credit Card (INR)"),"INR","GBP"))</f>
        <v/>
      </c>
      <c r="F900" s="26"/>
      <c r="G900" s="26"/>
      <c r="H900" s="34" t="n">
        <f aca="false">IF(G900="Yes","",D900)</f>
        <v>0</v>
      </c>
      <c r="I900" s="26"/>
      <c r="J900" s="26"/>
    </row>
    <row r="901" customFormat="false" ht="15" hidden="false" customHeight="false" outlineLevel="0" collapsed="false">
      <c r="A901" s="28"/>
      <c r="B901" s="26"/>
      <c r="C901" s="26"/>
      <c r="D901" s="32"/>
      <c r="E901" s="33" t="str">
        <f aca="false">IF(F901="","",IF(OR(F901="HDFC Bank (INR)",F901="HDFC IOCL Credit Card (INR)",F901="HDFC Swiggy Credit Card (INR)",F901="Axis Airtel Credit Card (INR)"),"INR","GBP"))</f>
        <v/>
      </c>
      <c r="F901" s="26"/>
      <c r="G901" s="26"/>
      <c r="H901" s="34" t="n">
        <f aca="false">IF(G901="Yes","",D901)</f>
        <v>0</v>
      </c>
      <c r="I901" s="26"/>
      <c r="J901" s="26"/>
    </row>
    <row r="902" customFormat="false" ht="15" hidden="false" customHeight="false" outlineLevel="0" collapsed="false">
      <c r="A902" s="28"/>
      <c r="B902" s="26"/>
      <c r="C902" s="26"/>
      <c r="D902" s="32"/>
      <c r="E902" s="33" t="str">
        <f aca="false">IF(F902="","",IF(OR(F902="HDFC Bank (INR)",F902="HDFC IOCL Credit Card (INR)",F902="HDFC Swiggy Credit Card (INR)",F902="Axis Airtel Credit Card (INR)"),"INR","GBP"))</f>
        <v/>
      </c>
      <c r="F902" s="26"/>
      <c r="G902" s="26"/>
      <c r="H902" s="34" t="n">
        <f aca="false">IF(G902="Yes","",D902)</f>
        <v>0</v>
      </c>
      <c r="I902" s="26"/>
      <c r="J902" s="26"/>
    </row>
    <row r="903" customFormat="false" ht="15" hidden="false" customHeight="false" outlineLevel="0" collapsed="false">
      <c r="A903" s="28"/>
      <c r="B903" s="26"/>
      <c r="C903" s="26"/>
      <c r="D903" s="32"/>
      <c r="E903" s="33" t="str">
        <f aca="false">IF(F903="","",IF(OR(F903="HDFC Bank (INR)",F903="HDFC IOCL Credit Card (INR)",F903="HDFC Swiggy Credit Card (INR)",F903="Axis Airtel Credit Card (INR)"),"INR","GBP"))</f>
        <v/>
      </c>
      <c r="F903" s="26"/>
      <c r="G903" s="26"/>
      <c r="H903" s="34" t="n">
        <f aca="false">IF(G903="Yes","",D903)</f>
        <v>0</v>
      </c>
      <c r="I903" s="26"/>
      <c r="J903" s="26"/>
    </row>
    <row r="904" customFormat="false" ht="15" hidden="false" customHeight="false" outlineLevel="0" collapsed="false">
      <c r="A904" s="28"/>
      <c r="B904" s="26"/>
      <c r="C904" s="26"/>
      <c r="D904" s="32"/>
      <c r="E904" s="33" t="str">
        <f aca="false">IF(F904="","",IF(OR(F904="HDFC Bank (INR)",F904="HDFC IOCL Credit Card (INR)",F904="HDFC Swiggy Credit Card (INR)",F904="Axis Airtel Credit Card (INR)"),"INR","GBP"))</f>
        <v/>
      </c>
      <c r="F904" s="26"/>
      <c r="G904" s="26"/>
      <c r="H904" s="34" t="n">
        <f aca="false">IF(G904="Yes","",D904)</f>
        <v>0</v>
      </c>
      <c r="I904" s="26"/>
      <c r="J904" s="26"/>
    </row>
    <row r="905" customFormat="false" ht="15" hidden="false" customHeight="false" outlineLevel="0" collapsed="false">
      <c r="A905" s="28"/>
      <c r="B905" s="26"/>
      <c r="C905" s="26"/>
      <c r="D905" s="32"/>
      <c r="E905" s="33" t="str">
        <f aca="false">IF(F905="","",IF(OR(F905="HDFC Bank (INR)",F905="HDFC IOCL Credit Card (INR)",F905="HDFC Swiggy Credit Card (INR)",F905="Axis Airtel Credit Card (INR)"),"INR","GBP"))</f>
        <v/>
      </c>
      <c r="F905" s="26"/>
      <c r="G905" s="26"/>
      <c r="H905" s="34" t="n">
        <f aca="false">IF(G905="Yes","",D905)</f>
        <v>0</v>
      </c>
      <c r="I905" s="26"/>
      <c r="J905" s="26"/>
    </row>
    <row r="906" customFormat="false" ht="15" hidden="false" customHeight="false" outlineLevel="0" collapsed="false">
      <c r="A906" s="28"/>
      <c r="B906" s="26"/>
      <c r="C906" s="26"/>
      <c r="D906" s="32"/>
      <c r="E906" s="33" t="str">
        <f aca="false">IF(F906="","",IF(OR(F906="HDFC Bank (INR)",F906="HDFC IOCL Credit Card (INR)",F906="HDFC Swiggy Credit Card (INR)",F906="Axis Airtel Credit Card (INR)"),"INR","GBP"))</f>
        <v/>
      </c>
      <c r="F906" s="26"/>
      <c r="G906" s="26"/>
      <c r="H906" s="34" t="n">
        <f aca="false">IF(G906="Yes","",D906)</f>
        <v>0</v>
      </c>
      <c r="I906" s="26"/>
      <c r="J906" s="26"/>
    </row>
    <row r="907" customFormat="false" ht="15" hidden="false" customHeight="false" outlineLevel="0" collapsed="false">
      <c r="A907" s="28"/>
      <c r="B907" s="26"/>
      <c r="C907" s="26"/>
      <c r="D907" s="32"/>
      <c r="E907" s="33" t="str">
        <f aca="false">IF(F907="","",IF(OR(F907="HDFC Bank (INR)",F907="HDFC IOCL Credit Card (INR)",F907="HDFC Swiggy Credit Card (INR)",F907="Axis Airtel Credit Card (INR)"),"INR","GBP"))</f>
        <v/>
      </c>
      <c r="F907" s="26"/>
      <c r="G907" s="26"/>
      <c r="H907" s="34" t="n">
        <f aca="false">IF(G907="Yes","",D907)</f>
        <v>0</v>
      </c>
      <c r="I907" s="26"/>
      <c r="J907" s="26"/>
    </row>
    <row r="908" customFormat="false" ht="15" hidden="false" customHeight="false" outlineLevel="0" collapsed="false">
      <c r="A908" s="28"/>
      <c r="B908" s="26"/>
      <c r="C908" s="26"/>
      <c r="D908" s="32"/>
      <c r="E908" s="33" t="str">
        <f aca="false">IF(F908="","",IF(OR(F908="HDFC Bank (INR)",F908="HDFC IOCL Credit Card (INR)",F908="HDFC Swiggy Credit Card (INR)",F908="Axis Airtel Credit Card (INR)"),"INR","GBP"))</f>
        <v/>
      </c>
      <c r="F908" s="26"/>
      <c r="G908" s="26"/>
      <c r="H908" s="34" t="n">
        <f aca="false">IF(G908="Yes","",D908)</f>
        <v>0</v>
      </c>
      <c r="I908" s="26"/>
      <c r="J908" s="26"/>
    </row>
    <row r="909" customFormat="false" ht="15" hidden="false" customHeight="false" outlineLevel="0" collapsed="false">
      <c r="A909" s="28"/>
      <c r="B909" s="26"/>
      <c r="C909" s="26"/>
      <c r="D909" s="32"/>
      <c r="E909" s="33" t="str">
        <f aca="false">IF(F909="","",IF(OR(F909="HDFC Bank (INR)",F909="HDFC IOCL Credit Card (INR)",F909="HDFC Swiggy Credit Card (INR)",F909="Axis Airtel Credit Card (INR)"),"INR","GBP"))</f>
        <v/>
      </c>
      <c r="F909" s="26"/>
      <c r="G909" s="26"/>
      <c r="H909" s="34" t="n">
        <f aca="false">IF(G909="Yes","",D909)</f>
        <v>0</v>
      </c>
      <c r="I909" s="26"/>
      <c r="J909" s="26"/>
    </row>
    <row r="910" customFormat="false" ht="15" hidden="false" customHeight="false" outlineLevel="0" collapsed="false">
      <c r="A910" s="28"/>
      <c r="B910" s="26"/>
      <c r="C910" s="26"/>
      <c r="D910" s="32"/>
      <c r="E910" s="33" t="str">
        <f aca="false">IF(F910="","",IF(OR(F910="HDFC Bank (INR)",F910="HDFC IOCL Credit Card (INR)",F910="HDFC Swiggy Credit Card (INR)",F910="Axis Airtel Credit Card (INR)"),"INR","GBP"))</f>
        <v/>
      </c>
      <c r="F910" s="26"/>
      <c r="G910" s="26"/>
      <c r="H910" s="34" t="n">
        <f aca="false">IF(G910="Yes","",D910)</f>
        <v>0</v>
      </c>
      <c r="I910" s="26"/>
      <c r="J910" s="26"/>
    </row>
    <row r="911" customFormat="false" ht="15" hidden="false" customHeight="false" outlineLevel="0" collapsed="false">
      <c r="A911" s="28"/>
      <c r="B911" s="26"/>
      <c r="C911" s="26"/>
      <c r="D911" s="32"/>
      <c r="E911" s="33" t="str">
        <f aca="false">IF(F911="","",IF(OR(F911="HDFC Bank (INR)",F911="HDFC IOCL Credit Card (INR)",F911="HDFC Swiggy Credit Card (INR)",F911="Axis Airtel Credit Card (INR)"),"INR","GBP"))</f>
        <v/>
      </c>
      <c r="F911" s="26"/>
      <c r="G911" s="26"/>
      <c r="H911" s="34" t="n">
        <f aca="false">IF(G911="Yes","",D911)</f>
        <v>0</v>
      </c>
      <c r="I911" s="26"/>
      <c r="J911" s="26"/>
    </row>
    <row r="912" customFormat="false" ht="15" hidden="false" customHeight="false" outlineLevel="0" collapsed="false">
      <c r="A912" s="28"/>
      <c r="B912" s="26"/>
      <c r="C912" s="26"/>
      <c r="D912" s="32"/>
      <c r="E912" s="33" t="str">
        <f aca="false">IF(F912="","",IF(OR(F912="HDFC Bank (INR)",F912="HDFC IOCL Credit Card (INR)",F912="HDFC Swiggy Credit Card (INR)",F912="Axis Airtel Credit Card (INR)"),"INR","GBP"))</f>
        <v/>
      </c>
      <c r="F912" s="26"/>
      <c r="G912" s="26"/>
      <c r="H912" s="34" t="n">
        <f aca="false">IF(G912="Yes","",D912)</f>
        <v>0</v>
      </c>
      <c r="I912" s="26"/>
      <c r="J912" s="26"/>
    </row>
    <row r="913" customFormat="false" ht="15" hidden="false" customHeight="false" outlineLevel="0" collapsed="false">
      <c r="A913" s="28"/>
      <c r="B913" s="26"/>
      <c r="C913" s="26"/>
      <c r="D913" s="32"/>
      <c r="E913" s="33" t="str">
        <f aca="false">IF(F913="","",IF(OR(F913="HDFC Bank (INR)",F913="HDFC IOCL Credit Card (INR)",F913="HDFC Swiggy Credit Card (INR)",F913="Axis Airtel Credit Card (INR)"),"INR","GBP"))</f>
        <v/>
      </c>
      <c r="F913" s="26"/>
      <c r="G913" s="26"/>
      <c r="H913" s="34" t="n">
        <f aca="false">IF(G913="Yes","",D913)</f>
        <v>0</v>
      </c>
      <c r="I913" s="26"/>
      <c r="J913" s="26"/>
    </row>
    <row r="914" customFormat="false" ht="15" hidden="false" customHeight="false" outlineLevel="0" collapsed="false">
      <c r="A914" s="28"/>
      <c r="B914" s="26"/>
      <c r="C914" s="26"/>
      <c r="D914" s="32"/>
      <c r="E914" s="33" t="str">
        <f aca="false">IF(F914="","",IF(OR(F914="HDFC Bank (INR)",F914="HDFC IOCL Credit Card (INR)",F914="HDFC Swiggy Credit Card (INR)",F914="Axis Airtel Credit Card (INR)"),"INR","GBP"))</f>
        <v/>
      </c>
      <c r="F914" s="26"/>
      <c r="G914" s="26"/>
      <c r="H914" s="34" t="n">
        <f aca="false">IF(G914="Yes","",D914)</f>
        <v>0</v>
      </c>
      <c r="I914" s="26"/>
      <c r="J914" s="26"/>
    </row>
    <row r="915" customFormat="false" ht="15" hidden="false" customHeight="false" outlineLevel="0" collapsed="false">
      <c r="A915" s="28"/>
      <c r="B915" s="26"/>
      <c r="C915" s="26"/>
      <c r="D915" s="32"/>
      <c r="E915" s="33" t="str">
        <f aca="false">IF(F915="","",IF(OR(F915="HDFC Bank (INR)",F915="HDFC IOCL Credit Card (INR)",F915="HDFC Swiggy Credit Card (INR)",F915="Axis Airtel Credit Card (INR)"),"INR","GBP"))</f>
        <v/>
      </c>
      <c r="F915" s="26"/>
      <c r="G915" s="26"/>
      <c r="H915" s="34" t="n">
        <f aca="false">IF(G915="Yes","",D915)</f>
        <v>0</v>
      </c>
      <c r="I915" s="26"/>
      <c r="J915" s="26"/>
    </row>
    <row r="916" customFormat="false" ht="15" hidden="false" customHeight="false" outlineLevel="0" collapsed="false">
      <c r="A916" s="28"/>
      <c r="B916" s="26"/>
      <c r="C916" s="26"/>
      <c r="D916" s="32"/>
      <c r="E916" s="33" t="str">
        <f aca="false">IF(F916="","",IF(OR(F916="HDFC Bank (INR)",F916="HDFC IOCL Credit Card (INR)",F916="HDFC Swiggy Credit Card (INR)",F916="Axis Airtel Credit Card (INR)"),"INR","GBP"))</f>
        <v/>
      </c>
      <c r="F916" s="26"/>
      <c r="G916" s="26"/>
      <c r="H916" s="34" t="n">
        <f aca="false">IF(G916="Yes","",D916)</f>
        <v>0</v>
      </c>
      <c r="I916" s="26"/>
      <c r="J916" s="26"/>
    </row>
    <row r="917" customFormat="false" ht="15" hidden="false" customHeight="false" outlineLevel="0" collapsed="false">
      <c r="A917" s="28"/>
      <c r="B917" s="26"/>
      <c r="C917" s="26"/>
      <c r="D917" s="32"/>
      <c r="E917" s="33" t="str">
        <f aca="false">IF(F917="","",IF(OR(F917="HDFC Bank (INR)",F917="HDFC IOCL Credit Card (INR)",F917="HDFC Swiggy Credit Card (INR)",F917="Axis Airtel Credit Card (INR)"),"INR","GBP"))</f>
        <v/>
      </c>
      <c r="F917" s="26"/>
      <c r="G917" s="26"/>
      <c r="H917" s="34" t="n">
        <f aca="false">IF(G917="Yes","",D917)</f>
        <v>0</v>
      </c>
      <c r="I917" s="26"/>
      <c r="J917" s="26"/>
    </row>
    <row r="918" customFormat="false" ht="15" hidden="false" customHeight="false" outlineLevel="0" collapsed="false">
      <c r="A918" s="28"/>
      <c r="B918" s="26"/>
      <c r="C918" s="26"/>
      <c r="D918" s="32"/>
      <c r="E918" s="33" t="str">
        <f aca="false">IF(F918="","",IF(OR(F918="HDFC Bank (INR)",F918="HDFC IOCL Credit Card (INR)",F918="HDFC Swiggy Credit Card (INR)",F918="Axis Airtel Credit Card (INR)"),"INR","GBP"))</f>
        <v/>
      </c>
      <c r="F918" s="26"/>
      <c r="G918" s="26"/>
      <c r="H918" s="34" t="n">
        <f aca="false">IF(G918="Yes","",D918)</f>
        <v>0</v>
      </c>
      <c r="I918" s="26"/>
      <c r="J918" s="26"/>
    </row>
    <row r="919" customFormat="false" ht="15" hidden="false" customHeight="false" outlineLevel="0" collapsed="false">
      <c r="A919" s="28"/>
      <c r="B919" s="26"/>
      <c r="C919" s="26"/>
      <c r="D919" s="32"/>
      <c r="E919" s="33" t="str">
        <f aca="false">IF(F919="","",IF(OR(F919="HDFC Bank (INR)",F919="HDFC IOCL Credit Card (INR)",F919="HDFC Swiggy Credit Card (INR)",F919="Axis Airtel Credit Card (INR)"),"INR","GBP"))</f>
        <v/>
      </c>
      <c r="F919" s="26"/>
      <c r="G919" s="26"/>
      <c r="H919" s="34" t="n">
        <f aca="false">IF(G919="Yes","",D919)</f>
        <v>0</v>
      </c>
      <c r="I919" s="26"/>
      <c r="J919" s="26"/>
    </row>
    <row r="920" customFormat="false" ht="15" hidden="false" customHeight="false" outlineLevel="0" collapsed="false">
      <c r="A920" s="28"/>
      <c r="B920" s="26"/>
      <c r="C920" s="26"/>
      <c r="D920" s="32"/>
      <c r="E920" s="33" t="str">
        <f aca="false">IF(F920="","",IF(OR(F920="HDFC Bank (INR)",F920="HDFC IOCL Credit Card (INR)",F920="HDFC Swiggy Credit Card (INR)",F920="Axis Airtel Credit Card (INR)"),"INR","GBP"))</f>
        <v/>
      </c>
      <c r="F920" s="26"/>
      <c r="G920" s="26"/>
      <c r="H920" s="34" t="n">
        <f aca="false">IF(G920="Yes","",D920)</f>
        <v>0</v>
      </c>
      <c r="I920" s="26"/>
      <c r="J920" s="26"/>
    </row>
    <row r="921" customFormat="false" ht="15" hidden="false" customHeight="false" outlineLevel="0" collapsed="false">
      <c r="A921" s="28"/>
      <c r="B921" s="26"/>
      <c r="C921" s="26"/>
      <c r="D921" s="32"/>
      <c r="E921" s="33" t="str">
        <f aca="false">IF(F921="","",IF(OR(F921="HDFC Bank (INR)",F921="HDFC IOCL Credit Card (INR)",F921="HDFC Swiggy Credit Card (INR)",F921="Axis Airtel Credit Card (INR)"),"INR","GBP"))</f>
        <v/>
      </c>
      <c r="F921" s="26"/>
      <c r="G921" s="26"/>
      <c r="H921" s="34" t="n">
        <f aca="false">IF(G921="Yes","",D921)</f>
        <v>0</v>
      </c>
      <c r="I921" s="26"/>
      <c r="J921" s="26"/>
    </row>
    <row r="922" customFormat="false" ht="15" hidden="false" customHeight="false" outlineLevel="0" collapsed="false">
      <c r="A922" s="28"/>
      <c r="B922" s="26"/>
      <c r="C922" s="26"/>
      <c r="D922" s="32"/>
      <c r="E922" s="33" t="str">
        <f aca="false">IF(F922="","",IF(OR(F922="HDFC Bank (INR)",F922="HDFC IOCL Credit Card (INR)",F922="HDFC Swiggy Credit Card (INR)",F922="Axis Airtel Credit Card (INR)"),"INR","GBP"))</f>
        <v/>
      </c>
      <c r="F922" s="26"/>
      <c r="G922" s="26"/>
      <c r="H922" s="34" t="n">
        <f aca="false">IF(G922="Yes","",D922)</f>
        <v>0</v>
      </c>
      <c r="I922" s="26"/>
      <c r="J922" s="26"/>
    </row>
    <row r="923" customFormat="false" ht="15" hidden="false" customHeight="false" outlineLevel="0" collapsed="false">
      <c r="A923" s="28"/>
      <c r="B923" s="26"/>
      <c r="C923" s="26"/>
      <c r="D923" s="32"/>
      <c r="E923" s="33" t="str">
        <f aca="false">IF(F923="","",IF(OR(F923="HDFC Bank (INR)",F923="HDFC IOCL Credit Card (INR)",F923="HDFC Swiggy Credit Card (INR)",F923="Axis Airtel Credit Card (INR)"),"INR","GBP"))</f>
        <v/>
      </c>
      <c r="F923" s="26"/>
      <c r="G923" s="26"/>
      <c r="H923" s="34" t="n">
        <f aca="false">IF(G923="Yes","",D923)</f>
        <v>0</v>
      </c>
      <c r="I923" s="26"/>
      <c r="J923" s="26"/>
    </row>
    <row r="924" customFormat="false" ht="15" hidden="false" customHeight="false" outlineLevel="0" collapsed="false">
      <c r="A924" s="28"/>
      <c r="B924" s="26"/>
      <c r="C924" s="26"/>
      <c r="D924" s="32"/>
      <c r="E924" s="33" t="str">
        <f aca="false">IF(F924="","",IF(OR(F924="HDFC Bank (INR)",F924="HDFC IOCL Credit Card (INR)",F924="HDFC Swiggy Credit Card (INR)",F924="Axis Airtel Credit Card (INR)"),"INR","GBP"))</f>
        <v/>
      </c>
      <c r="F924" s="26"/>
      <c r="G924" s="26"/>
      <c r="H924" s="34" t="n">
        <f aca="false">IF(G924="Yes","",D924)</f>
        <v>0</v>
      </c>
      <c r="I924" s="26"/>
      <c r="J924" s="26"/>
    </row>
    <row r="925" customFormat="false" ht="15" hidden="false" customHeight="false" outlineLevel="0" collapsed="false">
      <c r="A925" s="28"/>
      <c r="B925" s="26"/>
      <c r="C925" s="26"/>
      <c r="D925" s="32"/>
      <c r="E925" s="33" t="str">
        <f aca="false">IF(F925="","",IF(OR(F925="HDFC Bank (INR)",F925="HDFC IOCL Credit Card (INR)",F925="HDFC Swiggy Credit Card (INR)",F925="Axis Airtel Credit Card (INR)"),"INR","GBP"))</f>
        <v/>
      </c>
      <c r="F925" s="26"/>
      <c r="G925" s="26"/>
      <c r="H925" s="34" t="n">
        <f aca="false">IF(G925="Yes","",D925)</f>
        <v>0</v>
      </c>
      <c r="I925" s="26"/>
      <c r="J925" s="26"/>
    </row>
    <row r="926" customFormat="false" ht="15" hidden="false" customHeight="false" outlineLevel="0" collapsed="false">
      <c r="A926" s="28"/>
      <c r="B926" s="26"/>
      <c r="C926" s="26"/>
      <c r="D926" s="32"/>
      <c r="E926" s="33" t="str">
        <f aca="false">IF(F926="","",IF(OR(F926="HDFC Bank (INR)",F926="HDFC IOCL Credit Card (INR)",F926="HDFC Swiggy Credit Card (INR)",F926="Axis Airtel Credit Card (INR)"),"INR","GBP"))</f>
        <v/>
      </c>
      <c r="F926" s="26"/>
      <c r="G926" s="26"/>
      <c r="H926" s="34" t="n">
        <f aca="false">IF(G926="Yes","",D926)</f>
        <v>0</v>
      </c>
      <c r="I926" s="26"/>
      <c r="J926" s="26"/>
    </row>
    <row r="927" customFormat="false" ht="15" hidden="false" customHeight="false" outlineLevel="0" collapsed="false">
      <c r="A927" s="28"/>
      <c r="B927" s="26"/>
      <c r="C927" s="26"/>
      <c r="D927" s="32"/>
      <c r="E927" s="33" t="str">
        <f aca="false">IF(F927="","",IF(OR(F927="HDFC Bank (INR)",F927="HDFC IOCL Credit Card (INR)",F927="HDFC Swiggy Credit Card (INR)",F927="Axis Airtel Credit Card (INR)"),"INR","GBP"))</f>
        <v/>
      </c>
      <c r="F927" s="26"/>
      <c r="G927" s="26"/>
      <c r="H927" s="34" t="n">
        <f aca="false">IF(G927="Yes","",D927)</f>
        <v>0</v>
      </c>
      <c r="I927" s="26"/>
      <c r="J927" s="26"/>
    </row>
    <row r="928" customFormat="false" ht="15" hidden="false" customHeight="false" outlineLevel="0" collapsed="false">
      <c r="A928" s="28"/>
      <c r="B928" s="26"/>
      <c r="C928" s="26"/>
      <c r="D928" s="32"/>
      <c r="E928" s="33" t="str">
        <f aca="false">IF(F928="","",IF(OR(F928="HDFC Bank (INR)",F928="HDFC IOCL Credit Card (INR)",F928="HDFC Swiggy Credit Card (INR)",F928="Axis Airtel Credit Card (INR)"),"INR","GBP"))</f>
        <v/>
      </c>
      <c r="F928" s="26"/>
      <c r="G928" s="26"/>
      <c r="H928" s="34" t="n">
        <f aca="false">IF(G928="Yes","",D928)</f>
        <v>0</v>
      </c>
      <c r="I928" s="26"/>
      <c r="J928" s="26"/>
    </row>
    <row r="929" customFormat="false" ht="15" hidden="false" customHeight="false" outlineLevel="0" collapsed="false">
      <c r="A929" s="28"/>
      <c r="B929" s="26"/>
      <c r="C929" s="26"/>
      <c r="D929" s="32"/>
      <c r="E929" s="33" t="str">
        <f aca="false">IF(F929="","",IF(OR(F929="HDFC Bank (INR)",F929="HDFC IOCL Credit Card (INR)",F929="HDFC Swiggy Credit Card (INR)",F929="Axis Airtel Credit Card (INR)"),"INR","GBP"))</f>
        <v/>
      </c>
      <c r="F929" s="26"/>
      <c r="G929" s="26"/>
      <c r="H929" s="34" t="n">
        <f aca="false">IF(G929="Yes","",D929)</f>
        <v>0</v>
      </c>
      <c r="I929" s="26"/>
      <c r="J929" s="26"/>
    </row>
    <row r="930" customFormat="false" ht="15" hidden="false" customHeight="false" outlineLevel="0" collapsed="false">
      <c r="A930" s="28"/>
      <c r="B930" s="26"/>
      <c r="C930" s="26"/>
      <c r="D930" s="32"/>
      <c r="E930" s="33" t="str">
        <f aca="false">IF(F930="","",IF(OR(F930="HDFC Bank (INR)",F930="HDFC IOCL Credit Card (INR)",F930="HDFC Swiggy Credit Card (INR)",F930="Axis Airtel Credit Card (INR)"),"INR","GBP"))</f>
        <v/>
      </c>
      <c r="F930" s="26"/>
      <c r="G930" s="26"/>
      <c r="H930" s="34" t="n">
        <f aca="false">IF(G930="Yes","",D930)</f>
        <v>0</v>
      </c>
      <c r="I930" s="26"/>
      <c r="J930" s="26"/>
    </row>
    <row r="931" customFormat="false" ht="15" hidden="false" customHeight="false" outlineLevel="0" collapsed="false">
      <c r="A931" s="28"/>
      <c r="B931" s="26"/>
      <c r="C931" s="26"/>
      <c r="D931" s="32"/>
      <c r="E931" s="33" t="str">
        <f aca="false">IF(F931="","",IF(OR(F931="HDFC Bank (INR)",F931="HDFC IOCL Credit Card (INR)",F931="HDFC Swiggy Credit Card (INR)",F931="Axis Airtel Credit Card (INR)"),"INR","GBP"))</f>
        <v/>
      </c>
      <c r="F931" s="26"/>
      <c r="G931" s="26"/>
      <c r="H931" s="34" t="n">
        <f aca="false">IF(G931="Yes","",D931)</f>
        <v>0</v>
      </c>
      <c r="I931" s="26"/>
      <c r="J931" s="26"/>
    </row>
    <row r="932" customFormat="false" ht="15" hidden="false" customHeight="false" outlineLevel="0" collapsed="false">
      <c r="A932" s="28"/>
      <c r="B932" s="26"/>
      <c r="C932" s="26"/>
      <c r="D932" s="32"/>
      <c r="E932" s="33" t="str">
        <f aca="false">IF(F932="","",IF(OR(F932="HDFC Bank (INR)",F932="HDFC IOCL Credit Card (INR)",F932="HDFC Swiggy Credit Card (INR)",F932="Axis Airtel Credit Card (INR)"),"INR","GBP"))</f>
        <v/>
      </c>
      <c r="F932" s="26"/>
      <c r="G932" s="26"/>
      <c r="H932" s="34" t="n">
        <f aca="false">IF(G932="Yes","",D932)</f>
        <v>0</v>
      </c>
      <c r="I932" s="26"/>
      <c r="J932" s="26"/>
    </row>
    <row r="933" customFormat="false" ht="15" hidden="false" customHeight="false" outlineLevel="0" collapsed="false">
      <c r="A933" s="28"/>
      <c r="B933" s="26"/>
      <c r="C933" s="26"/>
      <c r="D933" s="32"/>
      <c r="E933" s="33" t="str">
        <f aca="false">IF(F933="","",IF(OR(F933="HDFC Bank (INR)",F933="HDFC IOCL Credit Card (INR)",F933="HDFC Swiggy Credit Card (INR)",F933="Axis Airtel Credit Card (INR)"),"INR","GBP"))</f>
        <v/>
      </c>
      <c r="F933" s="26"/>
      <c r="G933" s="26"/>
      <c r="H933" s="34" t="n">
        <f aca="false">IF(G933="Yes","",D933)</f>
        <v>0</v>
      </c>
      <c r="I933" s="26"/>
      <c r="J933" s="26"/>
    </row>
    <row r="934" customFormat="false" ht="15" hidden="false" customHeight="false" outlineLevel="0" collapsed="false">
      <c r="A934" s="28"/>
      <c r="B934" s="26"/>
      <c r="C934" s="26"/>
      <c r="D934" s="32"/>
      <c r="E934" s="33" t="str">
        <f aca="false">IF(F934="","",IF(OR(F934="HDFC Bank (INR)",F934="HDFC IOCL Credit Card (INR)",F934="HDFC Swiggy Credit Card (INR)",F934="Axis Airtel Credit Card (INR)"),"INR","GBP"))</f>
        <v/>
      </c>
      <c r="F934" s="26"/>
      <c r="G934" s="26"/>
      <c r="H934" s="34" t="n">
        <f aca="false">IF(G934="Yes","",D934)</f>
        <v>0</v>
      </c>
      <c r="I934" s="26"/>
      <c r="J934" s="26"/>
    </row>
    <row r="935" customFormat="false" ht="15" hidden="false" customHeight="false" outlineLevel="0" collapsed="false">
      <c r="A935" s="28"/>
      <c r="B935" s="26"/>
      <c r="C935" s="26"/>
      <c r="D935" s="32"/>
      <c r="E935" s="33" t="str">
        <f aca="false">IF(F935="","",IF(OR(F935="HDFC Bank (INR)",F935="HDFC IOCL Credit Card (INR)",F935="HDFC Swiggy Credit Card (INR)",F935="Axis Airtel Credit Card (INR)"),"INR","GBP"))</f>
        <v/>
      </c>
      <c r="F935" s="26"/>
      <c r="G935" s="26"/>
      <c r="H935" s="34" t="n">
        <f aca="false">IF(G935="Yes","",D935)</f>
        <v>0</v>
      </c>
      <c r="I935" s="26"/>
      <c r="J935" s="26"/>
    </row>
    <row r="936" customFormat="false" ht="15" hidden="false" customHeight="false" outlineLevel="0" collapsed="false">
      <c r="A936" s="28"/>
      <c r="B936" s="26"/>
      <c r="C936" s="26"/>
      <c r="D936" s="32"/>
      <c r="E936" s="33" t="str">
        <f aca="false">IF(F936="","",IF(OR(F936="HDFC Bank (INR)",F936="HDFC IOCL Credit Card (INR)",F936="HDFC Swiggy Credit Card (INR)",F936="Axis Airtel Credit Card (INR)"),"INR","GBP"))</f>
        <v/>
      </c>
      <c r="F936" s="26"/>
      <c r="G936" s="26"/>
      <c r="H936" s="34" t="n">
        <f aca="false">IF(G936="Yes","",D936)</f>
        <v>0</v>
      </c>
      <c r="I936" s="26"/>
      <c r="J936" s="26"/>
    </row>
    <row r="937" customFormat="false" ht="15" hidden="false" customHeight="false" outlineLevel="0" collapsed="false">
      <c r="A937" s="28"/>
      <c r="B937" s="26"/>
      <c r="C937" s="26"/>
      <c r="D937" s="32"/>
      <c r="E937" s="33" t="str">
        <f aca="false">IF(F937="","",IF(OR(F937="HDFC Bank (INR)",F937="HDFC IOCL Credit Card (INR)",F937="HDFC Swiggy Credit Card (INR)",F937="Axis Airtel Credit Card (INR)"),"INR","GBP"))</f>
        <v/>
      </c>
      <c r="F937" s="26"/>
      <c r="G937" s="26"/>
      <c r="H937" s="34" t="n">
        <f aca="false">IF(G937="Yes","",D937)</f>
        <v>0</v>
      </c>
      <c r="I937" s="26"/>
      <c r="J937" s="26"/>
    </row>
    <row r="938" customFormat="false" ht="15" hidden="false" customHeight="false" outlineLevel="0" collapsed="false">
      <c r="A938" s="28"/>
      <c r="B938" s="26"/>
      <c r="C938" s="26"/>
      <c r="D938" s="32"/>
      <c r="E938" s="33" t="str">
        <f aca="false">IF(F938="","",IF(OR(F938="HDFC Bank (INR)",F938="HDFC IOCL Credit Card (INR)",F938="HDFC Swiggy Credit Card (INR)",F938="Axis Airtel Credit Card (INR)"),"INR","GBP"))</f>
        <v/>
      </c>
      <c r="F938" s="26"/>
      <c r="G938" s="26"/>
      <c r="H938" s="34" t="n">
        <f aca="false">IF(G938="Yes","",D938)</f>
        <v>0</v>
      </c>
      <c r="I938" s="26"/>
      <c r="J938" s="26"/>
    </row>
    <row r="939" customFormat="false" ht="15" hidden="false" customHeight="false" outlineLevel="0" collapsed="false">
      <c r="A939" s="28"/>
      <c r="B939" s="26"/>
      <c r="C939" s="26"/>
      <c r="D939" s="32"/>
      <c r="E939" s="33" t="str">
        <f aca="false">IF(F939="","",IF(OR(F939="HDFC Bank (INR)",F939="HDFC IOCL Credit Card (INR)",F939="HDFC Swiggy Credit Card (INR)",F939="Axis Airtel Credit Card (INR)"),"INR","GBP"))</f>
        <v/>
      </c>
      <c r="F939" s="26"/>
      <c r="G939" s="26"/>
      <c r="H939" s="34" t="n">
        <f aca="false">IF(G939="Yes","",D939)</f>
        <v>0</v>
      </c>
      <c r="I939" s="26"/>
      <c r="J939" s="26"/>
    </row>
    <row r="940" customFormat="false" ht="15" hidden="false" customHeight="false" outlineLevel="0" collapsed="false">
      <c r="A940" s="28"/>
      <c r="B940" s="26"/>
      <c r="C940" s="26"/>
      <c r="D940" s="32"/>
      <c r="E940" s="33" t="str">
        <f aca="false">IF(F940="","",IF(OR(F940="HDFC Bank (INR)",F940="HDFC IOCL Credit Card (INR)",F940="HDFC Swiggy Credit Card (INR)",F940="Axis Airtel Credit Card (INR)"),"INR","GBP"))</f>
        <v/>
      </c>
      <c r="F940" s="26"/>
      <c r="G940" s="26"/>
      <c r="H940" s="34" t="n">
        <f aca="false">IF(G940="Yes","",D940)</f>
        <v>0</v>
      </c>
      <c r="I940" s="26"/>
      <c r="J940" s="26"/>
    </row>
    <row r="941" customFormat="false" ht="15" hidden="false" customHeight="false" outlineLevel="0" collapsed="false">
      <c r="A941" s="28"/>
      <c r="B941" s="26"/>
      <c r="C941" s="26"/>
      <c r="D941" s="32"/>
      <c r="E941" s="33" t="str">
        <f aca="false">IF(F941="","",IF(OR(F941="HDFC Bank (INR)",F941="HDFC IOCL Credit Card (INR)",F941="HDFC Swiggy Credit Card (INR)",F941="Axis Airtel Credit Card (INR)"),"INR","GBP"))</f>
        <v/>
      </c>
      <c r="F941" s="26"/>
      <c r="G941" s="26"/>
      <c r="H941" s="34" t="n">
        <f aca="false">IF(G941="Yes","",D941)</f>
        <v>0</v>
      </c>
      <c r="I941" s="26"/>
      <c r="J941" s="26"/>
    </row>
    <row r="942" customFormat="false" ht="15" hidden="false" customHeight="false" outlineLevel="0" collapsed="false">
      <c r="A942" s="28"/>
      <c r="B942" s="26"/>
      <c r="C942" s="26"/>
      <c r="D942" s="32"/>
      <c r="E942" s="33" t="str">
        <f aca="false">IF(F942="","",IF(OR(F942="HDFC Bank (INR)",F942="HDFC IOCL Credit Card (INR)",F942="HDFC Swiggy Credit Card (INR)",F942="Axis Airtel Credit Card (INR)"),"INR","GBP"))</f>
        <v/>
      </c>
      <c r="F942" s="26"/>
      <c r="G942" s="26"/>
      <c r="H942" s="34" t="n">
        <f aca="false">IF(G942="Yes","",D942)</f>
        <v>0</v>
      </c>
      <c r="I942" s="26"/>
      <c r="J942" s="26"/>
    </row>
    <row r="943" customFormat="false" ht="15" hidden="false" customHeight="false" outlineLevel="0" collapsed="false">
      <c r="A943" s="28"/>
      <c r="B943" s="26"/>
      <c r="C943" s="26"/>
      <c r="D943" s="32"/>
      <c r="E943" s="33" t="str">
        <f aca="false">IF(F943="","",IF(OR(F943="HDFC Bank (INR)",F943="HDFC IOCL Credit Card (INR)",F943="HDFC Swiggy Credit Card (INR)",F943="Axis Airtel Credit Card (INR)"),"INR","GBP"))</f>
        <v/>
      </c>
      <c r="F943" s="26"/>
      <c r="G943" s="26"/>
      <c r="H943" s="34" t="n">
        <f aca="false">IF(G943="Yes","",D943)</f>
        <v>0</v>
      </c>
      <c r="I943" s="26"/>
      <c r="J943" s="26"/>
    </row>
    <row r="944" customFormat="false" ht="15" hidden="false" customHeight="false" outlineLevel="0" collapsed="false">
      <c r="A944" s="28"/>
      <c r="B944" s="26"/>
      <c r="C944" s="26"/>
      <c r="D944" s="32"/>
      <c r="E944" s="33" t="str">
        <f aca="false">IF(F944="","",IF(OR(F944="HDFC Bank (INR)",F944="HDFC IOCL Credit Card (INR)",F944="HDFC Swiggy Credit Card (INR)",F944="Axis Airtel Credit Card (INR)"),"INR","GBP"))</f>
        <v/>
      </c>
      <c r="F944" s="26"/>
      <c r="G944" s="26"/>
      <c r="H944" s="34" t="n">
        <f aca="false">IF(G944="Yes","",D944)</f>
        <v>0</v>
      </c>
      <c r="I944" s="26"/>
      <c r="J944" s="26"/>
    </row>
    <row r="945" customFormat="false" ht="15" hidden="false" customHeight="false" outlineLevel="0" collapsed="false">
      <c r="A945" s="28"/>
      <c r="B945" s="26"/>
      <c r="C945" s="26"/>
      <c r="D945" s="32"/>
      <c r="E945" s="33" t="str">
        <f aca="false">IF(F945="","",IF(OR(F945="HDFC Bank (INR)",F945="HDFC IOCL Credit Card (INR)",F945="HDFC Swiggy Credit Card (INR)",F945="Axis Airtel Credit Card (INR)"),"INR","GBP"))</f>
        <v/>
      </c>
      <c r="F945" s="26"/>
      <c r="G945" s="26"/>
      <c r="H945" s="34" t="n">
        <f aca="false">IF(G945="Yes","",D945)</f>
        <v>0</v>
      </c>
      <c r="I945" s="26"/>
      <c r="J945" s="26"/>
    </row>
    <row r="946" customFormat="false" ht="15" hidden="false" customHeight="false" outlineLevel="0" collapsed="false">
      <c r="A946" s="28"/>
      <c r="B946" s="26"/>
      <c r="C946" s="26"/>
      <c r="D946" s="32"/>
      <c r="E946" s="33" t="str">
        <f aca="false">IF(F946="","",IF(OR(F946="HDFC Bank (INR)",F946="HDFC IOCL Credit Card (INR)",F946="HDFC Swiggy Credit Card (INR)",F946="Axis Airtel Credit Card (INR)"),"INR","GBP"))</f>
        <v/>
      </c>
      <c r="F946" s="26"/>
      <c r="G946" s="26"/>
      <c r="H946" s="34" t="n">
        <f aca="false">IF(G946="Yes","",D946)</f>
        <v>0</v>
      </c>
      <c r="I946" s="26"/>
      <c r="J946" s="26"/>
    </row>
    <row r="947" customFormat="false" ht="15" hidden="false" customHeight="false" outlineLevel="0" collapsed="false">
      <c r="A947" s="28"/>
      <c r="B947" s="26"/>
      <c r="C947" s="26"/>
      <c r="D947" s="32"/>
      <c r="E947" s="33" t="str">
        <f aca="false">IF(F947="","",IF(OR(F947="HDFC Bank (INR)",F947="HDFC IOCL Credit Card (INR)",F947="HDFC Swiggy Credit Card (INR)",F947="Axis Airtel Credit Card (INR)"),"INR","GBP"))</f>
        <v/>
      </c>
      <c r="F947" s="26"/>
      <c r="G947" s="26"/>
      <c r="H947" s="34" t="n">
        <f aca="false">IF(G947="Yes","",D947)</f>
        <v>0</v>
      </c>
      <c r="I947" s="26"/>
      <c r="J947" s="26"/>
    </row>
    <row r="948" customFormat="false" ht="15" hidden="false" customHeight="false" outlineLevel="0" collapsed="false">
      <c r="A948" s="28"/>
      <c r="B948" s="26"/>
      <c r="C948" s="26"/>
      <c r="D948" s="32"/>
      <c r="E948" s="33" t="str">
        <f aca="false">IF(F948="","",IF(OR(F948="HDFC Bank (INR)",F948="HDFC IOCL Credit Card (INR)",F948="HDFC Swiggy Credit Card (INR)",F948="Axis Airtel Credit Card (INR)"),"INR","GBP"))</f>
        <v/>
      </c>
      <c r="F948" s="26"/>
      <c r="G948" s="26"/>
      <c r="H948" s="34" t="n">
        <f aca="false">IF(G948="Yes","",D948)</f>
        <v>0</v>
      </c>
      <c r="I948" s="26"/>
      <c r="J948" s="26"/>
    </row>
    <row r="949" customFormat="false" ht="15" hidden="false" customHeight="false" outlineLevel="0" collapsed="false">
      <c r="A949" s="28"/>
      <c r="B949" s="26"/>
      <c r="C949" s="26"/>
      <c r="D949" s="32"/>
      <c r="E949" s="33" t="str">
        <f aca="false">IF(F949="","",IF(OR(F949="HDFC Bank (INR)",F949="HDFC IOCL Credit Card (INR)",F949="HDFC Swiggy Credit Card (INR)",F949="Axis Airtel Credit Card (INR)"),"INR","GBP"))</f>
        <v/>
      </c>
      <c r="F949" s="26"/>
      <c r="G949" s="26"/>
      <c r="H949" s="34" t="n">
        <f aca="false">IF(G949="Yes","",D949)</f>
        <v>0</v>
      </c>
      <c r="I949" s="26"/>
      <c r="J949" s="26"/>
    </row>
    <row r="950" customFormat="false" ht="15" hidden="false" customHeight="false" outlineLevel="0" collapsed="false">
      <c r="A950" s="28"/>
      <c r="B950" s="26"/>
      <c r="C950" s="26"/>
      <c r="D950" s="32"/>
      <c r="E950" s="33" t="str">
        <f aca="false">IF(F950="","",IF(OR(F950="HDFC Bank (INR)",F950="HDFC IOCL Credit Card (INR)",F950="HDFC Swiggy Credit Card (INR)",F950="Axis Airtel Credit Card (INR)"),"INR","GBP"))</f>
        <v/>
      </c>
      <c r="F950" s="26"/>
      <c r="G950" s="26"/>
      <c r="H950" s="34" t="n">
        <f aca="false">IF(G950="Yes","",D950)</f>
        <v>0</v>
      </c>
      <c r="I950" s="26"/>
      <c r="J950" s="26"/>
    </row>
    <row r="951" customFormat="false" ht="15" hidden="false" customHeight="false" outlineLevel="0" collapsed="false">
      <c r="A951" s="28"/>
      <c r="B951" s="26"/>
      <c r="C951" s="26"/>
      <c r="D951" s="32"/>
      <c r="E951" s="33" t="str">
        <f aca="false">IF(F951="","",IF(OR(F951="HDFC Bank (INR)",F951="HDFC IOCL Credit Card (INR)",F951="HDFC Swiggy Credit Card (INR)",F951="Axis Airtel Credit Card (INR)"),"INR","GBP"))</f>
        <v/>
      </c>
      <c r="F951" s="26"/>
      <c r="G951" s="26"/>
      <c r="H951" s="34" t="n">
        <f aca="false">IF(G951="Yes","",D951)</f>
        <v>0</v>
      </c>
      <c r="I951" s="26"/>
      <c r="J951" s="26"/>
    </row>
    <row r="952" customFormat="false" ht="15" hidden="false" customHeight="false" outlineLevel="0" collapsed="false">
      <c r="A952" s="28"/>
      <c r="B952" s="26"/>
      <c r="C952" s="26"/>
      <c r="D952" s="32"/>
      <c r="E952" s="33" t="str">
        <f aca="false">IF(F952="","",IF(OR(F952="HDFC Bank (INR)",F952="HDFC IOCL Credit Card (INR)",F952="HDFC Swiggy Credit Card (INR)",F952="Axis Airtel Credit Card (INR)"),"INR","GBP"))</f>
        <v/>
      </c>
      <c r="F952" s="26"/>
      <c r="G952" s="26"/>
      <c r="H952" s="34" t="n">
        <f aca="false">IF(G952="Yes","",D952)</f>
        <v>0</v>
      </c>
      <c r="I952" s="26"/>
      <c r="J952" s="26"/>
    </row>
    <row r="953" customFormat="false" ht="15" hidden="false" customHeight="false" outlineLevel="0" collapsed="false">
      <c r="A953" s="28"/>
      <c r="B953" s="26"/>
      <c r="C953" s="26"/>
      <c r="D953" s="32"/>
      <c r="E953" s="33" t="str">
        <f aca="false">IF(F953="","",IF(OR(F953="HDFC Bank (INR)",F953="HDFC IOCL Credit Card (INR)",F953="HDFC Swiggy Credit Card (INR)",F953="Axis Airtel Credit Card (INR)"),"INR","GBP"))</f>
        <v/>
      </c>
      <c r="F953" s="26"/>
      <c r="G953" s="26"/>
      <c r="H953" s="34" t="n">
        <f aca="false">IF(G953="Yes","",D953)</f>
        <v>0</v>
      </c>
      <c r="I953" s="26"/>
      <c r="J953" s="26"/>
    </row>
    <row r="954" customFormat="false" ht="15" hidden="false" customHeight="false" outlineLevel="0" collapsed="false">
      <c r="A954" s="28"/>
      <c r="B954" s="26"/>
      <c r="C954" s="26"/>
      <c r="D954" s="32"/>
      <c r="E954" s="33" t="str">
        <f aca="false">IF(F954="","",IF(OR(F954="HDFC Bank (INR)",F954="HDFC IOCL Credit Card (INR)",F954="HDFC Swiggy Credit Card (INR)",F954="Axis Airtel Credit Card (INR)"),"INR","GBP"))</f>
        <v/>
      </c>
      <c r="F954" s="26"/>
      <c r="G954" s="26"/>
      <c r="H954" s="34" t="n">
        <f aca="false">IF(G954="Yes","",D954)</f>
        <v>0</v>
      </c>
      <c r="I954" s="26"/>
      <c r="J954" s="26"/>
    </row>
    <row r="955" customFormat="false" ht="15" hidden="false" customHeight="false" outlineLevel="0" collapsed="false">
      <c r="A955" s="28"/>
      <c r="B955" s="26"/>
      <c r="C955" s="26"/>
      <c r="D955" s="32"/>
      <c r="E955" s="33" t="str">
        <f aca="false">IF(F955="","",IF(OR(F955="HDFC Bank (INR)",F955="HDFC IOCL Credit Card (INR)",F955="HDFC Swiggy Credit Card (INR)",F955="Axis Airtel Credit Card (INR)"),"INR","GBP"))</f>
        <v/>
      </c>
      <c r="F955" s="26"/>
      <c r="G955" s="26"/>
      <c r="H955" s="34" t="n">
        <f aca="false">IF(G955="Yes","",D955)</f>
        <v>0</v>
      </c>
      <c r="I955" s="26"/>
      <c r="J955" s="26"/>
    </row>
    <row r="956" customFormat="false" ht="15" hidden="false" customHeight="false" outlineLevel="0" collapsed="false">
      <c r="A956" s="28"/>
      <c r="B956" s="26"/>
      <c r="C956" s="26"/>
      <c r="D956" s="32"/>
      <c r="E956" s="33" t="str">
        <f aca="false">IF(F956="","",IF(OR(F956="HDFC Bank (INR)",F956="HDFC IOCL Credit Card (INR)",F956="HDFC Swiggy Credit Card (INR)",F956="Axis Airtel Credit Card (INR)"),"INR","GBP"))</f>
        <v/>
      </c>
      <c r="F956" s="26"/>
      <c r="G956" s="26"/>
      <c r="H956" s="34" t="n">
        <f aca="false">IF(G956="Yes","",D956)</f>
        <v>0</v>
      </c>
      <c r="I956" s="26"/>
      <c r="J956" s="26"/>
    </row>
    <row r="957" customFormat="false" ht="15" hidden="false" customHeight="false" outlineLevel="0" collapsed="false">
      <c r="A957" s="28"/>
      <c r="B957" s="26"/>
      <c r="C957" s="26"/>
      <c r="D957" s="32"/>
      <c r="E957" s="33" t="str">
        <f aca="false">IF(F957="","",IF(OR(F957="HDFC Bank (INR)",F957="HDFC IOCL Credit Card (INR)",F957="HDFC Swiggy Credit Card (INR)",F957="Axis Airtel Credit Card (INR)"),"INR","GBP"))</f>
        <v/>
      </c>
      <c r="F957" s="26"/>
      <c r="G957" s="26"/>
      <c r="H957" s="34" t="n">
        <f aca="false">IF(G957="Yes","",D957)</f>
        <v>0</v>
      </c>
      <c r="I957" s="26"/>
      <c r="J957" s="26"/>
    </row>
    <row r="958" customFormat="false" ht="15" hidden="false" customHeight="false" outlineLevel="0" collapsed="false">
      <c r="A958" s="28"/>
      <c r="B958" s="26"/>
      <c r="C958" s="26"/>
      <c r="D958" s="32"/>
      <c r="E958" s="33" t="str">
        <f aca="false">IF(F958="","",IF(OR(F958="HDFC Bank (INR)",F958="HDFC IOCL Credit Card (INR)",F958="HDFC Swiggy Credit Card (INR)",F958="Axis Airtel Credit Card (INR)"),"INR","GBP"))</f>
        <v/>
      </c>
      <c r="F958" s="26"/>
      <c r="G958" s="26"/>
      <c r="H958" s="34" t="n">
        <f aca="false">IF(G958="Yes","",D958)</f>
        <v>0</v>
      </c>
      <c r="I958" s="26"/>
      <c r="J958" s="26"/>
    </row>
    <row r="959" customFormat="false" ht="15" hidden="false" customHeight="false" outlineLevel="0" collapsed="false">
      <c r="A959" s="28"/>
      <c r="B959" s="26"/>
      <c r="C959" s="26"/>
      <c r="D959" s="32"/>
      <c r="E959" s="33" t="str">
        <f aca="false">IF(F959="","",IF(OR(F959="HDFC Bank (INR)",F959="HDFC IOCL Credit Card (INR)",F959="HDFC Swiggy Credit Card (INR)",F959="Axis Airtel Credit Card (INR)"),"INR","GBP"))</f>
        <v/>
      </c>
      <c r="F959" s="26"/>
      <c r="G959" s="26"/>
      <c r="H959" s="34" t="n">
        <f aca="false">IF(G959="Yes","",D959)</f>
        <v>0</v>
      </c>
      <c r="I959" s="26"/>
      <c r="J959" s="26"/>
    </row>
    <row r="960" customFormat="false" ht="15" hidden="false" customHeight="false" outlineLevel="0" collapsed="false">
      <c r="A960" s="28"/>
      <c r="B960" s="26"/>
      <c r="C960" s="26"/>
      <c r="D960" s="32"/>
      <c r="E960" s="33" t="str">
        <f aca="false">IF(F960="","",IF(OR(F960="HDFC Bank (INR)",F960="HDFC IOCL Credit Card (INR)",F960="HDFC Swiggy Credit Card (INR)",F960="Axis Airtel Credit Card (INR)"),"INR","GBP"))</f>
        <v/>
      </c>
      <c r="F960" s="26"/>
      <c r="G960" s="26"/>
      <c r="H960" s="34" t="n">
        <f aca="false">IF(G960="Yes","",D960)</f>
        <v>0</v>
      </c>
      <c r="I960" s="26"/>
      <c r="J960" s="26"/>
    </row>
    <row r="961" customFormat="false" ht="15" hidden="false" customHeight="false" outlineLevel="0" collapsed="false">
      <c r="A961" s="28"/>
      <c r="B961" s="26"/>
      <c r="C961" s="26"/>
      <c r="D961" s="32"/>
      <c r="E961" s="33" t="str">
        <f aca="false">IF(F961="","",IF(OR(F961="HDFC Bank (INR)",F961="HDFC IOCL Credit Card (INR)",F961="HDFC Swiggy Credit Card (INR)",F961="Axis Airtel Credit Card (INR)"),"INR","GBP"))</f>
        <v/>
      </c>
      <c r="F961" s="26"/>
      <c r="G961" s="26"/>
      <c r="H961" s="34" t="n">
        <f aca="false">IF(G961="Yes","",D961)</f>
        <v>0</v>
      </c>
      <c r="I961" s="26"/>
      <c r="J961" s="26"/>
    </row>
    <row r="962" customFormat="false" ht="15" hidden="false" customHeight="false" outlineLevel="0" collapsed="false">
      <c r="A962" s="28"/>
      <c r="B962" s="26"/>
      <c r="C962" s="26"/>
      <c r="D962" s="32"/>
      <c r="E962" s="33" t="str">
        <f aca="false">IF(F962="","",IF(OR(F962="HDFC Bank (INR)",F962="HDFC IOCL Credit Card (INR)",F962="HDFC Swiggy Credit Card (INR)",F962="Axis Airtel Credit Card (INR)"),"INR","GBP"))</f>
        <v/>
      </c>
      <c r="F962" s="26"/>
      <c r="G962" s="26"/>
      <c r="H962" s="34" t="n">
        <f aca="false">IF(G962="Yes","",D962)</f>
        <v>0</v>
      </c>
      <c r="I962" s="26"/>
      <c r="J962" s="26"/>
    </row>
    <row r="963" customFormat="false" ht="15" hidden="false" customHeight="false" outlineLevel="0" collapsed="false">
      <c r="A963" s="28"/>
      <c r="B963" s="26"/>
      <c r="C963" s="26"/>
      <c r="D963" s="32"/>
      <c r="E963" s="33" t="str">
        <f aca="false">IF(F963="","",IF(OR(F963="HDFC Bank (INR)",F963="HDFC IOCL Credit Card (INR)",F963="HDFC Swiggy Credit Card (INR)",F963="Axis Airtel Credit Card (INR)"),"INR","GBP"))</f>
        <v/>
      </c>
      <c r="F963" s="26"/>
      <c r="G963" s="26"/>
      <c r="H963" s="34" t="n">
        <f aca="false">IF(G963="Yes","",D963)</f>
        <v>0</v>
      </c>
      <c r="I963" s="26"/>
      <c r="J963" s="26"/>
    </row>
    <row r="964" customFormat="false" ht="15" hidden="false" customHeight="false" outlineLevel="0" collapsed="false">
      <c r="A964" s="28"/>
      <c r="B964" s="26"/>
      <c r="C964" s="26"/>
      <c r="D964" s="32"/>
      <c r="E964" s="33" t="str">
        <f aca="false">IF(F964="","",IF(OR(F964="HDFC Bank (INR)",F964="HDFC IOCL Credit Card (INR)",F964="HDFC Swiggy Credit Card (INR)",F964="Axis Airtel Credit Card (INR)"),"INR","GBP"))</f>
        <v/>
      </c>
      <c r="F964" s="26"/>
      <c r="G964" s="26"/>
      <c r="H964" s="34" t="n">
        <f aca="false">IF(G964="Yes","",D964)</f>
        <v>0</v>
      </c>
      <c r="I964" s="26"/>
      <c r="J964" s="26"/>
    </row>
    <row r="965" customFormat="false" ht="15" hidden="false" customHeight="false" outlineLevel="0" collapsed="false">
      <c r="A965" s="28"/>
      <c r="B965" s="26"/>
      <c r="C965" s="26"/>
      <c r="D965" s="32"/>
      <c r="E965" s="33" t="str">
        <f aca="false">IF(F965="","",IF(OR(F965="HDFC Bank (INR)",F965="HDFC IOCL Credit Card (INR)",F965="HDFC Swiggy Credit Card (INR)",F965="Axis Airtel Credit Card (INR)"),"INR","GBP"))</f>
        <v/>
      </c>
      <c r="F965" s="26"/>
      <c r="G965" s="26"/>
      <c r="H965" s="34" t="n">
        <f aca="false">IF(G965="Yes","",D965)</f>
        <v>0</v>
      </c>
      <c r="I965" s="26"/>
      <c r="J965" s="26"/>
    </row>
    <row r="966" customFormat="false" ht="15" hidden="false" customHeight="false" outlineLevel="0" collapsed="false">
      <c r="A966" s="28"/>
      <c r="B966" s="26"/>
      <c r="C966" s="26"/>
      <c r="D966" s="32"/>
      <c r="E966" s="33" t="str">
        <f aca="false">IF(F966="","",IF(OR(F966="HDFC Bank (INR)",F966="HDFC IOCL Credit Card (INR)",F966="HDFC Swiggy Credit Card (INR)",F966="Axis Airtel Credit Card (INR)"),"INR","GBP"))</f>
        <v/>
      </c>
      <c r="F966" s="26"/>
      <c r="G966" s="26"/>
      <c r="H966" s="34" t="n">
        <f aca="false">IF(G966="Yes","",D966)</f>
        <v>0</v>
      </c>
      <c r="I966" s="26"/>
      <c r="J966" s="26"/>
    </row>
    <row r="967" customFormat="false" ht="15" hidden="false" customHeight="false" outlineLevel="0" collapsed="false">
      <c r="A967" s="28"/>
      <c r="B967" s="26"/>
      <c r="C967" s="26"/>
      <c r="D967" s="32"/>
      <c r="E967" s="33" t="str">
        <f aca="false">IF(F967="","",IF(OR(F967="HDFC Bank (INR)",F967="HDFC IOCL Credit Card (INR)",F967="HDFC Swiggy Credit Card (INR)",F967="Axis Airtel Credit Card (INR)"),"INR","GBP"))</f>
        <v/>
      </c>
      <c r="F967" s="26"/>
      <c r="G967" s="26"/>
      <c r="H967" s="34" t="n">
        <f aca="false">IF(G967="Yes","",D967)</f>
        <v>0</v>
      </c>
      <c r="I967" s="26"/>
      <c r="J967" s="26"/>
    </row>
    <row r="968" customFormat="false" ht="15" hidden="false" customHeight="false" outlineLevel="0" collapsed="false">
      <c r="A968" s="28"/>
      <c r="B968" s="26"/>
      <c r="C968" s="26"/>
      <c r="D968" s="32"/>
      <c r="E968" s="33" t="str">
        <f aca="false">IF(F968="","",IF(OR(F968="HDFC Bank (INR)",F968="HDFC IOCL Credit Card (INR)",F968="HDFC Swiggy Credit Card (INR)",F968="Axis Airtel Credit Card (INR)"),"INR","GBP"))</f>
        <v/>
      </c>
      <c r="F968" s="26"/>
      <c r="G968" s="26"/>
      <c r="H968" s="34" t="n">
        <f aca="false">IF(G968="Yes","",D968)</f>
        <v>0</v>
      </c>
      <c r="I968" s="26"/>
      <c r="J968" s="26"/>
    </row>
    <row r="969" customFormat="false" ht="15" hidden="false" customHeight="false" outlineLevel="0" collapsed="false">
      <c r="A969" s="28"/>
      <c r="B969" s="26"/>
      <c r="C969" s="26"/>
      <c r="D969" s="32"/>
      <c r="E969" s="33" t="str">
        <f aca="false">IF(F969="","",IF(OR(F969="HDFC Bank (INR)",F969="HDFC IOCL Credit Card (INR)",F969="HDFC Swiggy Credit Card (INR)",F969="Axis Airtel Credit Card (INR)"),"INR","GBP"))</f>
        <v/>
      </c>
      <c r="F969" s="26"/>
      <c r="G969" s="26"/>
      <c r="H969" s="34" t="n">
        <f aca="false">IF(G969="Yes","",D969)</f>
        <v>0</v>
      </c>
      <c r="I969" s="26"/>
      <c r="J969" s="26"/>
    </row>
    <row r="970" customFormat="false" ht="15" hidden="false" customHeight="false" outlineLevel="0" collapsed="false">
      <c r="A970" s="28"/>
      <c r="B970" s="26"/>
      <c r="C970" s="26"/>
      <c r="D970" s="32"/>
      <c r="E970" s="33" t="str">
        <f aca="false">IF(F970="","",IF(OR(F970="HDFC Bank (INR)",F970="HDFC IOCL Credit Card (INR)",F970="HDFC Swiggy Credit Card (INR)",F970="Axis Airtel Credit Card (INR)"),"INR","GBP"))</f>
        <v/>
      </c>
      <c r="F970" s="26"/>
      <c r="G970" s="26"/>
      <c r="H970" s="34" t="n">
        <f aca="false">IF(G970="Yes","",D970)</f>
        <v>0</v>
      </c>
      <c r="I970" s="26"/>
      <c r="J970" s="26"/>
    </row>
    <row r="971" customFormat="false" ht="15" hidden="false" customHeight="false" outlineLevel="0" collapsed="false">
      <c r="A971" s="28"/>
      <c r="B971" s="26"/>
      <c r="C971" s="26"/>
      <c r="D971" s="32"/>
      <c r="E971" s="33" t="str">
        <f aca="false">IF(F971="","",IF(OR(F971="HDFC Bank (INR)",F971="HDFC IOCL Credit Card (INR)",F971="HDFC Swiggy Credit Card (INR)",F971="Axis Airtel Credit Card (INR)"),"INR","GBP"))</f>
        <v/>
      </c>
      <c r="F971" s="26"/>
      <c r="G971" s="26"/>
      <c r="H971" s="34" t="n">
        <f aca="false">IF(G971="Yes","",D971)</f>
        <v>0</v>
      </c>
      <c r="I971" s="26"/>
      <c r="J971" s="26"/>
    </row>
    <row r="972" customFormat="false" ht="15" hidden="false" customHeight="false" outlineLevel="0" collapsed="false">
      <c r="A972" s="28"/>
      <c r="B972" s="26"/>
      <c r="C972" s="26"/>
      <c r="D972" s="32"/>
      <c r="E972" s="33" t="str">
        <f aca="false">IF(F972="","",IF(OR(F972="HDFC Bank (INR)",F972="HDFC IOCL Credit Card (INR)",F972="HDFC Swiggy Credit Card (INR)",F972="Axis Airtel Credit Card (INR)"),"INR","GBP"))</f>
        <v/>
      </c>
      <c r="F972" s="26"/>
      <c r="G972" s="26"/>
      <c r="H972" s="34" t="n">
        <f aca="false">IF(G972="Yes","",D972)</f>
        <v>0</v>
      </c>
      <c r="I972" s="26"/>
      <c r="J972" s="26"/>
    </row>
    <row r="973" customFormat="false" ht="15" hidden="false" customHeight="false" outlineLevel="0" collapsed="false">
      <c r="A973" s="28"/>
      <c r="B973" s="26"/>
      <c r="C973" s="26"/>
      <c r="D973" s="32"/>
      <c r="E973" s="33" t="str">
        <f aca="false">IF(F973="","",IF(OR(F973="HDFC Bank (INR)",F973="HDFC IOCL Credit Card (INR)",F973="HDFC Swiggy Credit Card (INR)",F973="Axis Airtel Credit Card (INR)"),"INR","GBP"))</f>
        <v/>
      </c>
      <c r="F973" s="26"/>
      <c r="G973" s="26"/>
      <c r="H973" s="34" t="n">
        <f aca="false">IF(G973="Yes","",D973)</f>
        <v>0</v>
      </c>
      <c r="I973" s="26"/>
      <c r="J973" s="26"/>
    </row>
    <row r="974" customFormat="false" ht="15" hidden="false" customHeight="false" outlineLevel="0" collapsed="false">
      <c r="A974" s="28"/>
      <c r="B974" s="26"/>
      <c r="C974" s="26"/>
      <c r="D974" s="32"/>
      <c r="E974" s="33" t="str">
        <f aca="false">IF(F974="","",IF(OR(F974="HDFC Bank (INR)",F974="HDFC IOCL Credit Card (INR)",F974="HDFC Swiggy Credit Card (INR)",F974="Axis Airtel Credit Card (INR)"),"INR","GBP"))</f>
        <v/>
      </c>
      <c r="F974" s="26"/>
      <c r="G974" s="26"/>
      <c r="H974" s="34" t="n">
        <f aca="false">IF(G974="Yes","",D974)</f>
        <v>0</v>
      </c>
      <c r="I974" s="26"/>
      <c r="J974" s="26"/>
    </row>
    <row r="975" customFormat="false" ht="15" hidden="false" customHeight="false" outlineLevel="0" collapsed="false">
      <c r="A975" s="28"/>
      <c r="B975" s="26"/>
      <c r="C975" s="26"/>
      <c r="D975" s="32"/>
      <c r="E975" s="33" t="str">
        <f aca="false">IF(F975="","",IF(OR(F975="HDFC Bank (INR)",F975="HDFC IOCL Credit Card (INR)",F975="HDFC Swiggy Credit Card (INR)",F975="Axis Airtel Credit Card (INR)"),"INR","GBP"))</f>
        <v/>
      </c>
      <c r="F975" s="26"/>
      <c r="G975" s="26"/>
      <c r="H975" s="34" t="n">
        <f aca="false">IF(G975="Yes","",D975)</f>
        <v>0</v>
      </c>
      <c r="I975" s="26"/>
      <c r="J975" s="26"/>
    </row>
    <row r="976" customFormat="false" ht="15" hidden="false" customHeight="false" outlineLevel="0" collapsed="false">
      <c r="A976" s="28"/>
      <c r="B976" s="26"/>
      <c r="C976" s="26"/>
      <c r="D976" s="32"/>
      <c r="E976" s="33" t="str">
        <f aca="false">IF(F976="","",IF(OR(F976="HDFC Bank (INR)",F976="HDFC IOCL Credit Card (INR)",F976="HDFC Swiggy Credit Card (INR)",F976="Axis Airtel Credit Card (INR)"),"INR","GBP"))</f>
        <v/>
      </c>
      <c r="F976" s="26"/>
      <c r="G976" s="26"/>
      <c r="H976" s="34" t="n">
        <f aca="false">IF(G976="Yes","",D976)</f>
        <v>0</v>
      </c>
      <c r="I976" s="26"/>
      <c r="J976" s="26"/>
    </row>
    <row r="977" customFormat="false" ht="15" hidden="false" customHeight="false" outlineLevel="0" collapsed="false">
      <c r="A977" s="28"/>
      <c r="B977" s="26"/>
      <c r="C977" s="26"/>
      <c r="D977" s="32"/>
      <c r="E977" s="33" t="str">
        <f aca="false">IF(F977="","",IF(OR(F977="HDFC Bank (INR)",F977="HDFC IOCL Credit Card (INR)",F977="HDFC Swiggy Credit Card (INR)",F977="Axis Airtel Credit Card (INR)"),"INR","GBP"))</f>
        <v/>
      </c>
      <c r="F977" s="26"/>
      <c r="G977" s="26"/>
      <c r="H977" s="34" t="n">
        <f aca="false">IF(G977="Yes","",D977)</f>
        <v>0</v>
      </c>
      <c r="I977" s="26"/>
      <c r="J977" s="26"/>
    </row>
    <row r="978" customFormat="false" ht="15" hidden="false" customHeight="false" outlineLevel="0" collapsed="false">
      <c r="A978" s="28"/>
      <c r="B978" s="26"/>
      <c r="C978" s="26"/>
      <c r="D978" s="32"/>
      <c r="E978" s="33" t="str">
        <f aca="false">IF(F978="","",IF(OR(F978="HDFC Bank (INR)",F978="HDFC IOCL Credit Card (INR)",F978="HDFC Swiggy Credit Card (INR)",F978="Axis Airtel Credit Card (INR)"),"INR","GBP"))</f>
        <v/>
      </c>
      <c r="F978" s="26"/>
      <c r="G978" s="26"/>
      <c r="H978" s="34" t="n">
        <f aca="false">IF(G978="Yes","",D978)</f>
        <v>0</v>
      </c>
      <c r="I978" s="26"/>
      <c r="J978" s="26"/>
    </row>
    <row r="979" customFormat="false" ht="15" hidden="false" customHeight="false" outlineLevel="0" collapsed="false">
      <c r="A979" s="28"/>
      <c r="B979" s="26"/>
      <c r="C979" s="26"/>
      <c r="D979" s="32"/>
      <c r="E979" s="33" t="str">
        <f aca="false">IF(F979="","",IF(OR(F979="HDFC Bank (INR)",F979="HDFC IOCL Credit Card (INR)",F979="HDFC Swiggy Credit Card (INR)",F979="Axis Airtel Credit Card (INR)"),"INR","GBP"))</f>
        <v/>
      </c>
      <c r="F979" s="26"/>
      <c r="G979" s="26"/>
      <c r="H979" s="34" t="n">
        <f aca="false">IF(G979="Yes","",D979)</f>
        <v>0</v>
      </c>
      <c r="I979" s="26"/>
      <c r="J979" s="26"/>
    </row>
    <row r="980" customFormat="false" ht="15" hidden="false" customHeight="false" outlineLevel="0" collapsed="false">
      <c r="A980" s="28"/>
      <c r="B980" s="26"/>
      <c r="C980" s="26"/>
      <c r="D980" s="32"/>
      <c r="E980" s="33" t="str">
        <f aca="false">IF(F980="","",IF(OR(F980="HDFC Bank (INR)",F980="HDFC IOCL Credit Card (INR)",F980="HDFC Swiggy Credit Card (INR)",F980="Axis Airtel Credit Card (INR)"),"INR","GBP"))</f>
        <v/>
      </c>
      <c r="F980" s="26"/>
      <c r="G980" s="26"/>
      <c r="H980" s="34" t="n">
        <f aca="false">IF(G980="Yes","",D980)</f>
        <v>0</v>
      </c>
      <c r="I980" s="26"/>
      <c r="J980" s="26"/>
    </row>
    <row r="981" customFormat="false" ht="15" hidden="false" customHeight="false" outlineLevel="0" collapsed="false">
      <c r="A981" s="28"/>
      <c r="B981" s="26"/>
      <c r="C981" s="26"/>
      <c r="D981" s="32"/>
      <c r="E981" s="33" t="str">
        <f aca="false">IF(F981="","",IF(OR(F981="HDFC Bank (INR)",F981="HDFC IOCL Credit Card (INR)",F981="HDFC Swiggy Credit Card (INR)",F981="Axis Airtel Credit Card (INR)"),"INR","GBP"))</f>
        <v/>
      </c>
      <c r="F981" s="26"/>
      <c r="G981" s="26"/>
      <c r="H981" s="34" t="n">
        <f aca="false">IF(G981="Yes","",D981)</f>
        <v>0</v>
      </c>
      <c r="I981" s="26"/>
      <c r="J981" s="26"/>
    </row>
    <row r="982" customFormat="false" ht="15" hidden="false" customHeight="false" outlineLevel="0" collapsed="false">
      <c r="A982" s="28"/>
      <c r="B982" s="26"/>
      <c r="C982" s="26"/>
      <c r="D982" s="32"/>
      <c r="E982" s="33" t="str">
        <f aca="false">IF(F982="","",IF(OR(F982="HDFC Bank (INR)",F982="HDFC IOCL Credit Card (INR)",F982="HDFC Swiggy Credit Card (INR)",F982="Axis Airtel Credit Card (INR)"),"INR","GBP"))</f>
        <v/>
      </c>
      <c r="F982" s="26"/>
      <c r="G982" s="26"/>
      <c r="H982" s="34" t="n">
        <f aca="false">IF(G982="Yes","",D982)</f>
        <v>0</v>
      </c>
      <c r="I982" s="26"/>
      <c r="J982" s="26"/>
    </row>
    <row r="983" customFormat="false" ht="15" hidden="false" customHeight="false" outlineLevel="0" collapsed="false">
      <c r="A983" s="28"/>
      <c r="B983" s="26"/>
      <c r="C983" s="26"/>
      <c r="D983" s="32"/>
      <c r="E983" s="33" t="str">
        <f aca="false">IF(F983="","",IF(OR(F983="HDFC Bank (INR)",F983="HDFC IOCL Credit Card (INR)",F983="HDFC Swiggy Credit Card (INR)",F983="Axis Airtel Credit Card (INR)"),"INR","GBP"))</f>
        <v/>
      </c>
      <c r="F983" s="26"/>
      <c r="G983" s="26"/>
      <c r="H983" s="34" t="n">
        <f aca="false">IF(G983="Yes","",D983)</f>
        <v>0</v>
      </c>
      <c r="I983" s="26"/>
      <c r="J983" s="26"/>
    </row>
    <row r="984" customFormat="false" ht="15" hidden="false" customHeight="false" outlineLevel="0" collapsed="false">
      <c r="A984" s="28"/>
      <c r="B984" s="26"/>
      <c r="C984" s="26"/>
      <c r="D984" s="32"/>
      <c r="E984" s="33" t="str">
        <f aca="false">IF(F984="","",IF(OR(F984="HDFC Bank (INR)",F984="HDFC IOCL Credit Card (INR)",F984="HDFC Swiggy Credit Card (INR)",F984="Axis Airtel Credit Card (INR)"),"INR","GBP"))</f>
        <v/>
      </c>
      <c r="F984" s="26"/>
      <c r="G984" s="26"/>
      <c r="H984" s="34" t="n">
        <f aca="false">IF(G984="Yes","",D984)</f>
        <v>0</v>
      </c>
      <c r="I984" s="26"/>
      <c r="J984" s="26"/>
    </row>
    <row r="985" customFormat="false" ht="15" hidden="false" customHeight="false" outlineLevel="0" collapsed="false">
      <c r="A985" s="28"/>
      <c r="B985" s="26"/>
      <c r="C985" s="26"/>
      <c r="D985" s="32"/>
      <c r="E985" s="33" t="str">
        <f aca="false">IF(F985="","",IF(OR(F985="HDFC Bank (INR)",F985="HDFC IOCL Credit Card (INR)",F985="HDFC Swiggy Credit Card (INR)",F985="Axis Airtel Credit Card (INR)"),"INR","GBP"))</f>
        <v/>
      </c>
      <c r="F985" s="26"/>
      <c r="G985" s="26"/>
      <c r="H985" s="34" t="n">
        <f aca="false">IF(G985="Yes","",D985)</f>
        <v>0</v>
      </c>
      <c r="I985" s="26"/>
      <c r="J985" s="26"/>
    </row>
    <row r="986" customFormat="false" ht="15" hidden="false" customHeight="false" outlineLevel="0" collapsed="false">
      <c r="A986" s="28"/>
      <c r="B986" s="26"/>
      <c r="C986" s="26"/>
      <c r="D986" s="32"/>
      <c r="E986" s="33" t="str">
        <f aca="false">IF(F986="","",IF(OR(F986="HDFC Bank (INR)",F986="HDFC IOCL Credit Card (INR)",F986="HDFC Swiggy Credit Card (INR)",F986="Axis Airtel Credit Card (INR)"),"INR","GBP"))</f>
        <v/>
      </c>
      <c r="F986" s="26"/>
      <c r="G986" s="26"/>
      <c r="H986" s="34" t="n">
        <f aca="false">IF(G986="Yes","",D986)</f>
        <v>0</v>
      </c>
      <c r="I986" s="26"/>
      <c r="J986" s="26"/>
    </row>
    <row r="987" customFormat="false" ht="15" hidden="false" customHeight="false" outlineLevel="0" collapsed="false">
      <c r="A987" s="28"/>
      <c r="B987" s="26"/>
      <c r="C987" s="26"/>
      <c r="D987" s="32"/>
      <c r="E987" s="33" t="str">
        <f aca="false">IF(F987="","",IF(OR(F987="HDFC Bank (INR)",F987="HDFC IOCL Credit Card (INR)",F987="HDFC Swiggy Credit Card (INR)",F987="Axis Airtel Credit Card (INR)"),"INR","GBP"))</f>
        <v/>
      </c>
      <c r="F987" s="26"/>
      <c r="G987" s="26"/>
      <c r="H987" s="34" t="n">
        <f aca="false">IF(G987="Yes","",D987)</f>
        <v>0</v>
      </c>
      <c r="I987" s="26"/>
      <c r="J987" s="26"/>
    </row>
    <row r="988" customFormat="false" ht="15" hidden="false" customHeight="false" outlineLevel="0" collapsed="false">
      <c r="A988" s="28"/>
      <c r="B988" s="26"/>
      <c r="C988" s="26"/>
      <c r="D988" s="32"/>
      <c r="E988" s="33" t="str">
        <f aca="false">IF(F988="","",IF(OR(F988="HDFC Bank (INR)",F988="HDFC IOCL Credit Card (INR)",F988="HDFC Swiggy Credit Card (INR)",F988="Axis Airtel Credit Card (INR)"),"INR","GBP"))</f>
        <v/>
      </c>
      <c r="F988" s="26"/>
      <c r="G988" s="26"/>
      <c r="H988" s="34" t="n">
        <f aca="false">IF(G988="Yes","",D988)</f>
        <v>0</v>
      </c>
      <c r="I988" s="26"/>
      <c r="J988" s="26"/>
    </row>
    <row r="989" customFormat="false" ht="15" hidden="false" customHeight="false" outlineLevel="0" collapsed="false">
      <c r="A989" s="28"/>
      <c r="B989" s="26"/>
      <c r="C989" s="26"/>
      <c r="D989" s="32"/>
      <c r="E989" s="33" t="str">
        <f aca="false">IF(F989="","",IF(OR(F989="HDFC Bank (INR)",F989="HDFC IOCL Credit Card (INR)",F989="HDFC Swiggy Credit Card (INR)",F989="Axis Airtel Credit Card (INR)"),"INR","GBP"))</f>
        <v/>
      </c>
      <c r="F989" s="26"/>
      <c r="G989" s="26"/>
      <c r="H989" s="34" t="n">
        <f aca="false">IF(G989="Yes","",D989)</f>
        <v>0</v>
      </c>
      <c r="I989" s="26"/>
      <c r="J989" s="26"/>
    </row>
    <row r="990" customFormat="false" ht="15" hidden="false" customHeight="false" outlineLevel="0" collapsed="false">
      <c r="A990" s="28"/>
      <c r="B990" s="26"/>
      <c r="C990" s="26"/>
      <c r="D990" s="32"/>
      <c r="E990" s="33" t="str">
        <f aca="false">IF(F990="","",IF(OR(F990="HDFC Bank (INR)",F990="HDFC IOCL Credit Card (INR)",F990="HDFC Swiggy Credit Card (INR)",F990="Axis Airtel Credit Card (INR)"),"INR","GBP"))</f>
        <v/>
      </c>
      <c r="F990" s="26"/>
      <c r="G990" s="26"/>
      <c r="H990" s="34" t="n">
        <f aca="false">IF(G990="Yes","",D990)</f>
        <v>0</v>
      </c>
      <c r="I990" s="26"/>
      <c r="J990" s="26"/>
    </row>
    <row r="991" customFormat="false" ht="15" hidden="false" customHeight="false" outlineLevel="0" collapsed="false">
      <c r="A991" s="28"/>
      <c r="B991" s="26"/>
      <c r="C991" s="26"/>
      <c r="D991" s="32"/>
      <c r="E991" s="33" t="str">
        <f aca="false">IF(F991="","",IF(OR(F991="HDFC Bank (INR)",F991="HDFC IOCL Credit Card (INR)",F991="HDFC Swiggy Credit Card (INR)",F991="Axis Airtel Credit Card (INR)"),"INR","GBP"))</f>
        <v/>
      </c>
      <c r="F991" s="26"/>
      <c r="G991" s="26"/>
      <c r="H991" s="34" t="n">
        <f aca="false">IF(G991="Yes","",D991)</f>
        <v>0</v>
      </c>
      <c r="I991" s="26"/>
      <c r="J991" s="26"/>
    </row>
    <row r="992" customFormat="false" ht="15" hidden="false" customHeight="false" outlineLevel="0" collapsed="false">
      <c r="A992" s="28"/>
      <c r="B992" s="26"/>
      <c r="C992" s="26"/>
      <c r="D992" s="32"/>
      <c r="E992" s="33" t="str">
        <f aca="false">IF(F992="","",IF(OR(F992="HDFC Bank (INR)",F992="HDFC IOCL Credit Card (INR)",F992="HDFC Swiggy Credit Card (INR)",F992="Axis Airtel Credit Card (INR)"),"INR","GBP"))</f>
        <v/>
      </c>
      <c r="F992" s="26"/>
      <c r="G992" s="26"/>
      <c r="H992" s="34" t="n">
        <f aca="false">IF(G992="Yes","",D992)</f>
        <v>0</v>
      </c>
      <c r="I992" s="26"/>
      <c r="J992" s="26"/>
    </row>
    <row r="993" customFormat="false" ht="15" hidden="false" customHeight="false" outlineLevel="0" collapsed="false">
      <c r="A993" s="28"/>
      <c r="B993" s="26"/>
      <c r="C993" s="26"/>
      <c r="D993" s="32"/>
      <c r="E993" s="33" t="str">
        <f aca="false">IF(F993="","",IF(OR(F993="HDFC Bank (INR)",F993="HDFC IOCL Credit Card (INR)",F993="HDFC Swiggy Credit Card (INR)",F993="Axis Airtel Credit Card (INR)"),"INR","GBP"))</f>
        <v/>
      </c>
      <c r="F993" s="26"/>
      <c r="G993" s="26"/>
      <c r="H993" s="34" t="n">
        <f aca="false">IF(G993="Yes","",D993)</f>
        <v>0</v>
      </c>
      <c r="I993" s="26"/>
      <c r="J993" s="26"/>
    </row>
    <row r="994" customFormat="false" ht="15" hidden="false" customHeight="false" outlineLevel="0" collapsed="false">
      <c r="A994" s="28"/>
      <c r="B994" s="26"/>
      <c r="C994" s="26"/>
      <c r="D994" s="32"/>
      <c r="E994" s="33" t="str">
        <f aca="false">IF(F994="","",IF(OR(F994="HDFC Bank (INR)",F994="HDFC IOCL Credit Card (INR)",F994="HDFC Swiggy Credit Card (INR)",F994="Axis Airtel Credit Card (INR)"),"INR","GBP"))</f>
        <v/>
      </c>
      <c r="F994" s="26"/>
      <c r="G994" s="26"/>
      <c r="H994" s="34" t="n">
        <f aca="false">IF(G994="Yes","",D994)</f>
        <v>0</v>
      </c>
      <c r="I994" s="26"/>
      <c r="J994" s="26"/>
    </row>
    <row r="995" customFormat="false" ht="15" hidden="false" customHeight="false" outlineLevel="0" collapsed="false">
      <c r="A995" s="28"/>
      <c r="B995" s="26"/>
      <c r="C995" s="26"/>
      <c r="D995" s="32"/>
      <c r="E995" s="33" t="str">
        <f aca="false">IF(F995="","",IF(OR(F995="HDFC Bank (INR)",F995="HDFC IOCL Credit Card (INR)",F995="HDFC Swiggy Credit Card (INR)",F995="Axis Airtel Credit Card (INR)"),"INR","GBP"))</f>
        <v/>
      </c>
      <c r="F995" s="26"/>
      <c r="G995" s="26"/>
      <c r="H995" s="34" t="n">
        <f aca="false">IF(G995="Yes","",D995)</f>
        <v>0</v>
      </c>
      <c r="I995" s="26"/>
      <c r="J995" s="26"/>
    </row>
    <row r="996" customFormat="false" ht="15" hidden="false" customHeight="false" outlineLevel="0" collapsed="false">
      <c r="A996" s="28"/>
      <c r="B996" s="26"/>
      <c r="C996" s="26"/>
      <c r="D996" s="32"/>
      <c r="E996" s="33" t="str">
        <f aca="false">IF(F996="","",IF(OR(F996="HDFC Bank (INR)",F996="HDFC IOCL Credit Card (INR)",F996="HDFC Swiggy Credit Card (INR)",F996="Axis Airtel Credit Card (INR)"),"INR","GBP"))</f>
        <v/>
      </c>
      <c r="F996" s="26"/>
      <c r="G996" s="26"/>
      <c r="H996" s="34" t="n">
        <f aca="false">IF(G996="Yes","",D996)</f>
        <v>0</v>
      </c>
      <c r="I996" s="26"/>
      <c r="J996" s="26"/>
    </row>
    <row r="997" customFormat="false" ht="15" hidden="false" customHeight="false" outlineLevel="0" collapsed="false">
      <c r="A997" s="28"/>
      <c r="B997" s="26"/>
      <c r="C997" s="26"/>
      <c r="D997" s="32"/>
      <c r="E997" s="33" t="str">
        <f aca="false">IF(F997="","",IF(OR(F997="HDFC Bank (INR)",F997="HDFC IOCL Credit Card (INR)",F997="HDFC Swiggy Credit Card (INR)",F997="Axis Airtel Credit Card (INR)"),"INR","GBP"))</f>
        <v/>
      </c>
      <c r="F997" s="26"/>
      <c r="G997" s="26"/>
      <c r="H997" s="34" t="n">
        <f aca="false">IF(G997="Yes","",D997)</f>
        <v>0</v>
      </c>
      <c r="I997" s="26"/>
      <c r="J997" s="26"/>
    </row>
    <row r="998" customFormat="false" ht="15" hidden="false" customHeight="false" outlineLevel="0" collapsed="false">
      <c r="A998" s="28"/>
      <c r="B998" s="26"/>
      <c r="C998" s="26"/>
      <c r="D998" s="32"/>
      <c r="E998" s="33" t="str">
        <f aca="false">IF(F998="","",IF(OR(F998="HDFC Bank (INR)",F998="HDFC IOCL Credit Card (INR)",F998="HDFC Swiggy Credit Card (INR)",F998="Axis Airtel Credit Card (INR)"),"INR","GBP"))</f>
        <v/>
      </c>
      <c r="F998" s="26"/>
      <c r="G998" s="26"/>
      <c r="H998" s="34" t="n">
        <f aca="false">IF(G998="Yes","",D998)</f>
        <v>0</v>
      </c>
      <c r="I998" s="26"/>
      <c r="J998" s="26"/>
    </row>
    <row r="999" customFormat="false" ht="15" hidden="false" customHeight="false" outlineLevel="0" collapsed="false">
      <c r="A999" s="28"/>
      <c r="B999" s="26"/>
      <c r="C999" s="26"/>
      <c r="D999" s="32"/>
      <c r="E999" s="33" t="str">
        <f aca="false">IF(F999="","",IF(OR(F999="HDFC Bank (INR)",F999="HDFC IOCL Credit Card (INR)",F999="HDFC Swiggy Credit Card (INR)",F999="Axis Airtel Credit Card (INR)"),"INR","GBP"))</f>
        <v/>
      </c>
      <c r="F999" s="26"/>
      <c r="G999" s="26"/>
      <c r="H999" s="34" t="n">
        <f aca="false">IF(G999="Yes","",D999)</f>
        <v>0</v>
      </c>
      <c r="I999" s="26"/>
      <c r="J999" s="26"/>
    </row>
    <row r="1000" customFormat="false" ht="15" hidden="false" customHeight="false" outlineLevel="0" collapsed="false">
      <c r="A1000" s="28"/>
      <c r="B1000" s="26"/>
      <c r="C1000" s="26"/>
      <c r="D1000" s="32"/>
      <c r="E1000" s="33" t="str">
        <f aca="false">IF(F1000="","",IF(OR(F1000="HDFC Bank (INR)",F1000="HDFC IOCL Credit Card (INR)",F1000="HDFC Swiggy Credit Card (INR)",F1000="Axis Airtel Credit Card (INR)"),"INR","GBP"))</f>
        <v/>
      </c>
      <c r="F1000" s="26"/>
      <c r="G1000" s="26"/>
      <c r="H1000" s="34" t="n">
        <f aca="false">IF(G1000="Yes","",D1000)</f>
        <v>0</v>
      </c>
      <c r="I1000" s="26"/>
      <c r="J1000" s="26"/>
    </row>
    <row r="1001" customFormat="false" ht="15" hidden="false" customHeight="false" outlineLevel="0" collapsed="false">
      <c r="A1001" s="28"/>
      <c r="B1001" s="26"/>
      <c r="C1001" s="26"/>
      <c r="D1001" s="32"/>
      <c r="E1001" s="33" t="str">
        <f aca="false">IF(F1001="","",IF(OR(F1001="HDFC Bank (INR)",F1001="HDFC IOCL Credit Card (INR)",F1001="HDFC Swiggy Credit Card (INR)",F1001="Axis Airtel Credit Card (INR)"),"INR","GBP"))</f>
        <v/>
      </c>
      <c r="F1001" s="26"/>
      <c r="G1001" s="26"/>
      <c r="H1001" s="34" t="n">
        <f aca="false">IF(G1001="Yes","",D1001)</f>
        <v>0</v>
      </c>
      <c r="I1001" s="26"/>
      <c r="J1001" s="26"/>
    </row>
    <row r="1002" customFormat="false" ht="15" hidden="false" customHeight="false" outlineLevel="0" collapsed="false">
      <c r="A1002" s="28"/>
      <c r="B1002" s="26"/>
      <c r="C1002" s="26"/>
      <c r="D1002" s="32"/>
      <c r="E1002" s="33" t="str">
        <f aca="false">IF(F1002="","",IF(OR(F1002="HDFC Bank (INR)",F1002="HDFC IOCL Credit Card (INR)",F1002="HDFC Swiggy Credit Card (INR)",F1002="Axis Airtel Credit Card (INR)"),"INR","GBP"))</f>
        <v/>
      </c>
      <c r="F1002" s="26"/>
      <c r="G1002" s="26"/>
      <c r="H1002" s="34" t="n">
        <f aca="false">IF(G1002="Yes","",D1002)</f>
        <v>0</v>
      </c>
      <c r="I1002" s="26"/>
      <c r="J1002" s="26"/>
    </row>
  </sheetData>
  <mergeCells count="1">
    <mergeCell ref="A1:J1"/>
  </mergeCells>
  <dataValidations count="4">
    <dataValidation allowBlank="true" errorStyle="stop" operator="between" showDropDown="false" showErrorMessage="false" showInputMessage="false" sqref="C3:C1002" type="list">
      <formula1>"Rent,Transport,Travel,Shopping,Electronics,Subscriptions,Bills,Entertainment,Food and Drinks,Groceries,Others,Gifts,Donations,Investments"</formula1>
      <formula2>0</formula2>
    </dataValidation>
    <dataValidation allowBlank="true" errorStyle="stop" operator="between" showDropDown="false" showErrorMessage="false" showInputMessage="false" sqref="F3:F1002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(GBP),HDFC "</formula1>
      <formula2>0</formula2>
    </dataValidation>
    <dataValidation allowBlank="true" errorStyle="stop" operator="between" showDropDown="false" showErrorMessage="false" showInputMessage="false" sqref="G3:G1002" type="list">
      <formula1>"Yes,No"</formula1>
      <formula2>0</formula2>
    </dataValidation>
    <dataValidation allowBlank="true" errorStyle="stop" operator="between" showDropDown="false" showErrorMessage="false" showInputMessage="false" sqref="I3:I100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G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5" t="s">
        <v>98</v>
      </c>
      <c r="B2" s="35" t="s">
        <v>99</v>
      </c>
      <c r="C2" s="35" t="s">
        <v>100</v>
      </c>
      <c r="D2" s="35" t="s">
        <v>59</v>
      </c>
      <c r="E2" s="35" t="s">
        <v>101</v>
      </c>
      <c r="F2" s="35" t="s">
        <v>102</v>
      </c>
      <c r="G2" s="35" t="s">
        <v>103</v>
      </c>
    </row>
    <row r="3" customFormat="false" ht="15" hidden="false" customHeight="false" outlineLevel="0" collapsed="false">
      <c r="A3" s="28"/>
      <c r="B3" s="26"/>
      <c r="C3" s="32"/>
      <c r="D3" s="33" t="str">
        <f aca="false">IF(E3="","",IF(E3="HDFC Bank (INR)","INR","GBP"))</f>
        <v/>
      </c>
      <c r="E3" s="26"/>
      <c r="F3" s="28"/>
      <c r="G3" s="28"/>
    </row>
    <row r="4" customFormat="false" ht="15" hidden="false" customHeight="false" outlineLevel="0" collapsed="false">
      <c r="A4" s="28"/>
      <c r="B4" s="26"/>
      <c r="C4" s="32"/>
      <c r="D4" s="33" t="str">
        <f aca="false">IF(E4="","",IF(E4="HDFC Bank (INR)","INR","GBP"))</f>
        <v/>
      </c>
      <c r="E4" s="26"/>
      <c r="F4" s="28"/>
      <c r="G4" s="28"/>
    </row>
    <row r="5" customFormat="false" ht="15" hidden="false" customHeight="false" outlineLevel="0" collapsed="false">
      <c r="A5" s="28"/>
      <c r="B5" s="26"/>
      <c r="C5" s="32"/>
      <c r="D5" s="33" t="str">
        <f aca="false">IF(E5="","",IF(E5="HDFC Bank (INR)","INR","GBP"))</f>
        <v/>
      </c>
      <c r="E5" s="26"/>
      <c r="F5" s="28"/>
      <c r="G5" s="28"/>
    </row>
    <row r="6" customFormat="false" ht="15" hidden="false" customHeight="false" outlineLevel="0" collapsed="false">
      <c r="A6" s="28"/>
      <c r="B6" s="26"/>
      <c r="C6" s="32"/>
      <c r="D6" s="33" t="str">
        <f aca="false">IF(E6="","",IF(E6="HDFC Bank (INR)","INR","GBP"))</f>
        <v/>
      </c>
      <c r="E6" s="26"/>
      <c r="F6" s="28"/>
      <c r="G6" s="28"/>
    </row>
    <row r="7" customFormat="false" ht="15" hidden="false" customHeight="false" outlineLevel="0" collapsed="false">
      <c r="A7" s="28"/>
      <c r="B7" s="26"/>
      <c r="C7" s="32"/>
      <c r="D7" s="33" t="str">
        <f aca="false">IF(E7="","",IF(E7="HDFC Bank (INR)","INR","GBP"))</f>
        <v/>
      </c>
      <c r="E7" s="26"/>
      <c r="F7" s="28"/>
      <c r="G7" s="28"/>
    </row>
    <row r="8" customFormat="false" ht="15" hidden="false" customHeight="false" outlineLevel="0" collapsed="false">
      <c r="A8" s="28"/>
      <c r="B8" s="26"/>
      <c r="C8" s="32"/>
      <c r="D8" s="33" t="str">
        <f aca="false">IF(E8="","",IF(E8="HDFC Bank (INR)","INR","GBP"))</f>
        <v/>
      </c>
      <c r="E8" s="26"/>
      <c r="F8" s="28"/>
      <c r="G8" s="28"/>
    </row>
    <row r="9" customFormat="false" ht="15" hidden="false" customHeight="false" outlineLevel="0" collapsed="false">
      <c r="A9" s="28"/>
      <c r="B9" s="26"/>
      <c r="C9" s="32"/>
      <c r="D9" s="33" t="str">
        <f aca="false">IF(E9="","",IF(E9="HDFC Bank (INR)","INR","GBP"))</f>
        <v/>
      </c>
      <c r="E9" s="26"/>
      <c r="F9" s="28"/>
      <c r="G9" s="28"/>
    </row>
    <row r="10" customFormat="false" ht="15" hidden="false" customHeight="false" outlineLevel="0" collapsed="false">
      <c r="A10" s="28"/>
      <c r="B10" s="26"/>
      <c r="C10" s="32"/>
      <c r="D10" s="33" t="str">
        <f aca="false">IF(E10="","",IF(E10="HDFC Bank (INR)","INR","GBP"))</f>
        <v/>
      </c>
      <c r="E10" s="26"/>
      <c r="F10" s="28"/>
      <c r="G10" s="28"/>
    </row>
    <row r="11" customFormat="false" ht="15" hidden="false" customHeight="false" outlineLevel="0" collapsed="false">
      <c r="A11" s="28"/>
      <c r="B11" s="26"/>
      <c r="C11" s="32"/>
      <c r="D11" s="33" t="str">
        <f aca="false">IF(E11="","",IF(E11="HDFC Bank (INR)","INR","GBP"))</f>
        <v/>
      </c>
      <c r="E11" s="26"/>
      <c r="F11" s="28"/>
      <c r="G11" s="28"/>
    </row>
    <row r="12" customFormat="false" ht="15" hidden="false" customHeight="false" outlineLevel="0" collapsed="false">
      <c r="A12" s="28"/>
      <c r="B12" s="26"/>
      <c r="C12" s="32"/>
      <c r="D12" s="33" t="str">
        <f aca="false">IF(E12="","",IF(E12="HDFC Bank (INR)","INR","GBP"))</f>
        <v/>
      </c>
      <c r="E12" s="26"/>
      <c r="F12" s="28"/>
      <c r="G12" s="28"/>
    </row>
    <row r="13" customFormat="false" ht="15" hidden="false" customHeight="false" outlineLevel="0" collapsed="false">
      <c r="A13" s="28"/>
      <c r="B13" s="26"/>
      <c r="C13" s="32"/>
      <c r="D13" s="33" t="str">
        <f aca="false">IF(E13="","",IF(E13="HDFC Bank (INR)","INR","GBP"))</f>
        <v/>
      </c>
      <c r="E13" s="26"/>
      <c r="F13" s="28"/>
      <c r="G13" s="28"/>
    </row>
    <row r="14" customFormat="false" ht="15" hidden="false" customHeight="false" outlineLevel="0" collapsed="false">
      <c r="A14" s="28"/>
      <c r="B14" s="26"/>
      <c r="C14" s="32"/>
      <c r="D14" s="33" t="str">
        <f aca="false">IF(E14="","",IF(E14="HDFC Bank (INR)","INR","GBP"))</f>
        <v/>
      </c>
      <c r="E14" s="26"/>
      <c r="F14" s="28"/>
      <c r="G14" s="28"/>
    </row>
    <row r="15" customFormat="false" ht="15" hidden="false" customHeight="false" outlineLevel="0" collapsed="false">
      <c r="A15" s="28"/>
      <c r="B15" s="26"/>
      <c r="C15" s="32"/>
      <c r="D15" s="33" t="str">
        <f aca="false">IF(E15="","",IF(E15="HDFC Bank (INR)","INR","GBP"))</f>
        <v/>
      </c>
      <c r="E15" s="26"/>
      <c r="F15" s="28"/>
      <c r="G15" s="28"/>
    </row>
    <row r="16" customFormat="false" ht="15" hidden="false" customHeight="false" outlineLevel="0" collapsed="false">
      <c r="A16" s="28"/>
      <c r="B16" s="26"/>
      <c r="C16" s="32"/>
      <c r="D16" s="33" t="str">
        <f aca="false">IF(E16="","",IF(E16="HDFC Bank (INR)","INR","GBP"))</f>
        <v/>
      </c>
      <c r="E16" s="26"/>
      <c r="F16" s="28"/>
      <c r="G16" s="28"/>
    </row>
    <row r="17" customFormat="false" ht="15" hidden="false" customHeight="false" outlineLevel="0" collapsed="false">
      <c r="A17" s="28"/>
      <c r="B17" s="26"/>
      <c r="C17" s="32"/>
      <c r="D17" s="33" t="str">
        <f aca="false">IF(E17="","",IF(E17="HDFC Bank (INR)","INR","GBP"))</f>
        <v/>
      </c>
      <c r="E17" s="26"/>
      <c r="F17" s="28"/>
      <c r="G17" s="28"/>
    </row>
    <row r="18" customFormat="false" ht="15" hidden="false" customHeight="false" outlineLevel="0" collapsed="false">
      <c r="A18" s="28"/>
      <c r="B18" s="26"/>
      <c r="C18" s="32"/>
      <c r="D18" s="33" t="str">
        <f aca="false">IF(E18="","",IF(E18="HDFC Bank (INR)","INR","GBP"))</f>
        <v/>
      </c>
      <c r="E18" s="26"/>
      <c r="F18" s="28"/>
      <c r="G18" s="28"/>
    </row>
    <row r="19" customFormat="false" ht="15" hidden="false" customHeight="false" outlineLevel="0" collapsed="false">
      <c r="A19" s="28"/>
      <c r="B19" s="26"/>
      <c r="C19" s="32"/>
      <c r="D19" s="33" t="str">
        <f aca="false">IF(E19="","",IF(E19="HDFC Bank (INR)","INR","GBP"))</f>
        <v/>
      </c>
      <c r="E19" s="26"/>
      <c r="F19" s="28"/>
      <c r="G19" s="28"/>
    </row>
    <row r="20" customFormat="false" ht="15" hidden="false" customHeight="false" outlineLevel="0" collapsed="false">
      <c r="A20" s="28"/>
      <c r="B20" s="26"/>
      <c r="C20" s="32"/>
      <c r="D20" s="33" t="str">
        <f aca="false">IF(E20="","",IF(E20="HDFC Bank (INR)","INR","GBP"))</f>
        <v/>
      </c>
      <c r="E20" s="26"/>
      <c r="F20" s="28"/>
      <c r="G20" s="28"/>
    </row>
    <row r="21" customFormat="false" ht="15" hidden="false" customHeight="false" outlineLevel="0" collapsed="false">
      <c r="A21" s="28"/>
      <c r="B21" s="26"/>
      <c r="C21" s="32"/>
      <c r="D21" s="33" t="str">
        <f aca="false">IF(E21="","",IF(E21="HDFC Bank (INR)","INR","GBP"))</f>
        <v/>
      </c>
      <c r="E21" s="26"/>
      <c r="F21" s="28"/>
      <c r="G21" s="28"/>
    </row>
    <row r="22" customFormat="false" ht="15" hidden="false" customHeight="false" outlineLevel="0" collapsed="false">
      <c r="A22" s="28"/>
      <c r="B22" s="26"/>
      <c r="C22" s="32"/>
      <c r="D22" s="33" t="str">
        <f aca="false">IF(E22="","",IF(E22="HDFC Bank (INR)","INR","GBP"))</f>
        <v/>
      </c>
      <c r="E22" s="26"/>
      <c r="F22" s="28"/>
      <c r="G22" s="28"/>
    </row>
    <row r="23" customFormat="false" ht="15" hidden="false" customHeight="false" outlineLevel="0" collapsed="false">
      <c r="A23" s="28"/>
      <c r="B23" s="26"/>
      <c r="C23" s="32"/>
      <c r="D23" s="33" t="str">
        <f aca="false">IF(E23="","",IF(E23="HDFC Bank (INR)","INR","GBP"))</f>
        <v/>
      </c>
      <c r="E23" s="26"/>
      <c r="F23" s="28"/>
      <c r="G23" s="28"/>
    </row>
    <row r="24" customFormat="false" ht="15" hidden="false" customHeight="false" outlineLevel="0" collapsed="false">
      <c r="A24" s="28"/>
      <c r="B24" s="26"/>
      <c r="C24" s="32"/>
      <c r="D24" s="33" t="str">
        <f aca="false">IF(E24="","",IF(E24="HDFC Bank (INR)","INR","GBP"))</f>
        <v/>
      </c>
      <c r="E24" s="26"/>
      <c r="F24" s="28"/>
      <c r="G24" s="28"/>
    </row>
    <row r="25" customFormat="false" ht="15" hidden="false" customHeight="false" outlineLevel="0" collapsed="false">
      <c r="A25" s="28"/>
      <c r="B25" s="26"/>
      <c r="C25" s="32"/>
      <c r="D25" s="33" t="str">
        <f aca="false">IF(E25="","",IF(E25="HDFC Bank (INR)","INR","GBP"))</f>
        <v/>
      </c>
      <c r="E25" s="26"/>
      <c r="F25" s="28"/>
      <c r="G25" s="28"/>
    </row>
    <row r="26" customFormat="false" ht="15" hidden="false" customHeight="false" outlineLevel="0" collapsed="false">
      <c r="A26" s="28"/>
      <c r="B26" s="26"/>
      <c r="C26" s="32"/>
      <c r="D26" s="33" t="str">
        <f aca="false">IF(E26="","",IF(E26="HDFC Bank (INR)","INR","GBP"))</f>
        <v/>
      </c>
      <c r="E26" s="26"/>
      <c r="F26" s="28"/>
      <c r="G26" s="28"/>
    </row>
    <row r="27" customFormat="false" ht="15" hidden="false" customHeight="false" outlineLevel="0" collapsed="false">
      <c r="A27" s="28"/>
      <c r="B27" s="26"/>
      <c r="C27" s="32"/>
      <c r="D27" s="33" t="str">
        <f aca="false">IF(E27="","",IF(E27="HDFC Bank (INR)","INR","GBP"))</f>
        <v/>
      </c>
      <c r="E27" s="26"/>
      <c r="F27" s="28"/>
      <c r="G27" s="28"/>
    </row>
    <row r="28" customFormat="false" ht="15" hidden="false" customHeight="false" outlineLevel="0" collapsed="false">
      <c r="A28" s="28"/>
      <c r="B28" s="26"/>
      <c r="C28" s="32"/>
      <c r="D28" s="33" t="str">
        <f aca="false">IF(E28="","",IF(E28="HDFC Bank (INR)","INR","GBP"))</f>
        <v/>
      </c>
      <c r="E28" s="26"/>
      <c r="F28" s="28"/>
      <c r="G28" s="28"/>
    </row>
    <row r="29" customFormat="false" ht="15" hidden="false" customHeight="false" outlineLevel="0" collapsed="false">
      <c r="A29" s="28"/>
      <c r="B29" s="26"/>
      <c r="C29" s="32"/>
      <c r="D29" s="33" t="str">
        <f aca="false">IF(E29="","",IF(E29="HDFC Bank (INR)","INR","GBP"))</f>
        <v/>
      </c>
      <c r="E29" s="26"/>
      <c r="F29" s="28"/>
      <c r="G29" s="28"/>
    </row>
    <row r="30" customFormat="false" ht="15" hidden="false" customHeight="false" outlineLevel="0" collapsed="false">
      <c r="A30" s="28"/>
      <c r="B30" s="26"/>
      <c r="C30" s="32"/>
      <c r="D30" s="33" t="str">
        <f aca="false">IF(E30="","",IF(E30="HDFC Bank (INR)","INR","GBP"))</f>
        <v/>
      </c>
      <c r="E30" s="26"/>
      <c r="F30" s="28"/>
      <c r="G30" s="28"/>
    </row>
    <row r="31" customFormat="false" ht="15" hidden="false" customHeight="false" outlineLevel="0" collapsed="false">
      <c r="A31" s="28"/>
      <c r="B31" s="26"/>
      <c r="C31" s="32"/>
      <c r="D31" s="33" t="str">
        <f aca="false">IF(E31="","",IF(E31="HDFC Bank (INR)","INR","GBP"))</f>
        <v/>
      </c>
      <c r="E31" s="26"/>
      <c r="F31" s="28"/>
      <c r="G31" s="28"/>
    </row>
    <row r="32" customFormat="false" ht="15" hidden="false" customHeight="false" outlineLevel="0" collapsed="false">
      <c r="A32" s="28"/>
      <c r="B32" s="26"/>
      <c r="C32" s="32"/>
      <c r="D32" s="33" t="str">
        <f aca="false">IF(E32="","",IF(E32="HDFC Bank (INR)","INR","GBP"))</f>
        <v/>
      </c>
      <c r="E32" s="26"/>
      <c r="F32" s="28"/>
      <c r="G32" s="28"/>
    </row>
    <row r="33" customFormat="false" ht="15" hidden="false" customHeight="false" outlineLevel="0" collapsed="false">
      <c r="A33" s="28"/>
      <c r="B33" s="26"/>
      <c r="C33" s="32"/>
      <c r="D33" s="33" t="str">
        <f aca="false">IF(E33="","",IF(E33="HDFC Bank (INR)","INR","GBP"))</f>
        <v/>
      </c>
      <c r="E33" s="26"/>
      <c r="F33" s="28"/>
      <c r="G33" s="28"/>
    </row>
    <row r="34" customFormat="false" ht="15" hidden="false" customHeight="false" outlineLevel="0" collapsed="false">
      <c r="A34" s="28"/>
      <c r="B34" s="26"/>
      <c r="C34" s="32"/>
      <c r="D34" s="33" t="str">
        <f aca="false">IF(E34="","",IF(E34="HDFC Bank (INR)","INR","GBP"))</f>
        <v/>
      </c>
      <c r="E34" s="26"/>
      <c r="F34" s="28"/>
      <c r="G34" s="28"/>
    </row>
    <row r="35" customFormat="false" ht="15" hidden="false" customHeight="false" outlineLevel="0" collapsed="false">
      <c r="A35" s="28"/>
      <c r="B35" s="26"/>
      <c r="C35" s="32"/>
      <c r="D35" s="33" t="str">
        <f aca="false">IF(E35="","",IF(E35="HDFC Bank (INR)","INR","GBP"))</f>
        <v/>
      </c>
      <c r="E35" s="26"/>
      <c r="F35" s="28"/>
      <c r="G35" s="28"/>
    </row>
    <row r="36" customFormat="false" ht="15" hidden="false" customHeight="false" outlineLevel="0" collapsed="false">
      <c r="A36" s="28"/>
      <c r="B36" s="26"/>
      <c r="C36" s="32"/>
      <c r="D36" s="33" t="str">
        <f aca="false">IF(E36="","",IF(E36="HDFC Bank (INR)","INR","GBP"))</f>
        <v/>
      </c>
      <c r="E36" s="26"/>
      <c r="F36" s="28"/>
      <c r="G36" s="28"/>
    </row>
    <row r="37" customFormat="false" ht="15" hidden="false" customHeight="false" outlineLevel="0" collapsed="false">
      <c r="A37" s="28"/>
      <c r="B37" s="26"/>
      <c r="C37" s="32"/>
      <c r="D37" s="33" t="str">
        <f aca="false">IF(E37="","",IF(E37="HDFC Bank (INR)","INR","GBP"))</f>
        <v/>
      </c>
      <c r="E37" s="26"/>
      <c r="F37" s="28"/>
      <c r="G37" s="28"/>
    </row>
    <row r="38" customFormat="false" ht="15" hidden="false" customHeight="false" outlineLevel="0" collapsed="false">
      <c r="A38" s="28"/>
      <c r="B38" s="26"/>
      <c r="C38" s="32"/>
      <c r="D38" s="33" t="str">
        <f aca="false">IF(E38="","",IF(E38="HDFC Bank (INR)","INR","GBP"))</f>
        <v/>
      </c>
      <c r="E38" s="26"/>
      <c r="F38" s="28"/>
      <c r="G38" s="28"/>
    </row>
    <row r="39" customFormat="false" ht="15" hidden="false" customHeight="false" outlineLevel="0" collapsed="false">
      <c r="A39" s="28"/>
      <c r="B39" s="26"/>
      <c r="C39" s="32"/>
      <c r="D39" s="33" t="str">
        <f aca="false">IF(E39="","",IF(E39="HDFC Bank (INR)","INR","GBP"))</f>
        <v/>
      </c>
      <c r="E39" s="26"/>
      <c r="F39" s="28"/>
      <c r="G39" s="28"/>
    </row>
    <row r="40" customFormat="false" ht="15" hidden="false" customHeight="false" outlineLevel="0" collapsed="false">
      <c r="A40" s="28"/>
      <c r="B40" s="26"/>
      <c r="C40" s="32"/>
      <c r="D40" s="33" t="str">
        <f aca="false">IF(E40="","",IF(E40="HDFC Bank (INR)","INR","GBP"))</f>
        <v/>
      </c>
      <c r="E40" s="26"/>
      <c r="F40" s="28"/>
      <c r="G40" s="28"/>
    </row>
    <row r="41" customFormat="false" ht="15" hidden="false" customHeight="false" outlineLevel="0" collapsed="false">
      <c r="A41" s="28"/>
      <c r="B41" s="26"/>
      <c r="C41" s="32"/>
      <c r="D41" s="33" t="str">
        <f aca="false">IF(E41="","",IF(E41="HDFC Bank (INR)","INR","GBP"))</f>
        <v/>
      </c>
      <c r="E41" s="26"/>
      <c r="F41" s="28"/>
      <c r="G41" s="28"/>
    </row>
    <row r="42" customFormat="false" ht="15" hidden="false" customHeight="false" outlineLevel="0" collapsed="false">
      <c r="A42" s="28"/>
      <c r="B42" s="26"/>
      <c r="C42" s="32"/>
      <c r="D42" s="33" t="str">
        <f aca="false">IF(E42="","",IF(E42="HDFC Bank (INR)","INR","GBP"))</f>
        <v/>
      </c>
      <c r="E42" s="26"/>
      <c r="F42" s="28"/>
      <c r="G42" s="28"/>
    </row>
    <row r="43" customFormat="false" ht="15" hidden="false" customHeight="false" outlineLevel="0" collapsed="false">
      <c r="A43" s="28"/>
      <c r="B43" s="26"/>
      <c r="C43" s="32"/>
      <c r="D43" s="33" t="str">
        <f aca="false">IF(E43="","",IF(E43="HDFC Bank (INR)","INR","GBP"))</f>
        <v/>
      </c>
      <c r="E43" s="26"/>
      <c r="F43" s="28"/>
      <c r="G43" s="28"/>
    </row>
    <row r="44" customFormat="false" ht="15" hidden="false" customHeight="false" outlineLevel="0" collapsed="false">
      <c r="A44" s="28"/>
      <c r="B44" s="26"/>
      <c r="C44" s="32"/>
      <c r="D44" s="33" t="str">
        <f aca="false">IF(E44="","",IF(E44="HDFC Bank (INR)","INR","GBP"))</f>
        <v/>
      </c>
      <c r="E44" s="26"/>
      <c r="F44" s="28"/>
      <c r="G44" s="28"/>
    </row>
    <row r="45" customFormat="false" ht="15" hidden="false" customHeight="false" outlineLevel="0" collapsed="false">
      <c r="A45" s="28"/>
      <c r="B45" s="26"/>
      <c r="C45" s="32"/>
      <c r="D45" s="33" t="str">
        <f aca="false">IF(E45="","",IF(E45="HDFC Bank (INR)","INR","GBP"))</f>
        <v/>
      </c>
      <c r="E45" s="26"/>
      <c r="F45" s="28"/>
      <c r="G45" s="28"/>
    </row>
    <row r="46" customFormat="false" ht="15" hidden="false" customHeight="false" outlineLevel="0" collapsed="false">
      <c r="A46" s="28"/>
      <c r="B46" s="26"/>
      <c r="C46" s="32"/>
      <c r="D46" s="33" t="str">
        <f aca="false">IF(E46="","",IF(E46="HDFC Bank (INR)","INR","GBP"))</f>
        <v/>
      </c>
      <c r="E46" s="26"/>
      <c r="F46" s="28"/>
      <c r="G46" s="28"/>
    </row>
    <row r="47" customFormat="false" ht="15" hidden="false" customHeight="false" outlineLevel="0" collapsed="false">
      <c r="A47" s="28"/>
      <c r="B47" s="26"/>
      <c r="C47" s="32"/>
      <c r="D47" s="33" t="str">
        <f aca="false">IF(E47="","",IF(E47="HDFC Bank (INR)","INR","GBP"))</f>
        <v/>
      </c>
      <c r="E47" s="26"/>
      <c r="F47" s="28"/>
      <c r="G47" s="28"/>
    </row>
    <row r="48" customFormat="false" ht="15" hidden="false" customHeight="false" outlineLevel="0" collapsed="false">
      <c r="A48" s="28"/>
      <c r="B48" s="26"/>
      <c r="C48" s="32"/>
      <c r="D48" s="33" t="str">
        <f aca="false">IF(E48="","",IF(E48="HDFC Bank (INR)","INR","GBP"))</f>
        <v/>
      </c>
      <c r="E48" s="26"/>
      <c r="F48" s="28"/>
      <c r="G48" s="28"/>
    </row>
    <row r="49" customFormat="false" ht="15" hidden="false" customHeight="false" outlineLevel="0" collapsed="false">
      <c r="A49" s="28"/>
      <c r="B49" s="26"/>
      <c r="C49" s="32"/>
      <c r="D49" s="33" t="str">
        <f aca="false">IF(E49="","",IF(E49="HDFC Bank (INR)","INR","GBP"))</f>
        <v/>
      </c>
      <c r="E49" s="26"/>
      <c r="F49" s="28"/>
      <c r="G49" s="28"/>
    </row>
    <row r="50" customFormat="false" ht="15" hidden="false" customHeight="false" outlineLevel="0" collapsed="false">
      <c r="A50" s="28"/>
      <c r="B50" s="26"/>
      <c r="C50" s="32"/>
      <c r="D50" s="33" t="str">
        <f aca="false">IF(E50="","",IF(E50="HDFC Bank (INR)","INR","GBP"))</f>
        <v/>
      </c>
      <c r="E50" s="26"/>
      <c r="F50" s="28"/>
      <c r="G50" s="28"/>
    </row>
    <row r="51" customFormat="false" ht="15" hidden="false" customHeight="false" outlineLevel="0" collapsed="false">
      <c r="A51" s="28"/>
      <c r="B51" s="26"/>
      <c r="C51" s="32"/>
      <c r="D51" s="33" t="str">
        <f aca="false">IF(E51="","",IF(E51="HDFC Bank (INR)","INR","GBP"))</f>
        <v/>
      </c>
      <c r="E51" s="26"/>
      <c r="F51" s="28"/>
      <c r="G51" s="28"/>
    </row>
    <row r="52" customFormat="false" ht="15" hidden="false" customHeight="false" outlineLevel="0" collapsed="false">
      <c r="A52" s="28"/>
      <c r="B52" s="26"/>
      <c r="C52" s="32"/>
      <c r="D52" s="33" t="str">
        <f aca="false">IF(E52="","",IF(E52="HDFC Bank (INR)","INR","GBP"))</f>
        <v/>
      </c>
      <c r="E52" s="26"/>
      <c r="F52" s="28"/>
      <c r="G52" s="28"/>
    </row>
    <row r="53" customFormat="false" ht="15" hidden="false" customHeight="false" outlineLevel="0" collapsed="false">
      <c r="A53" s="28"/>
      <c r="B53" s="26"/>
      <c r="C53" s="32"/>
      <c r="D53" s="33" t="str">
        <f aca="false">IF(E53="","",IF(E53="HDFC Bank (INR)","INR","GBP"))</f>
        <v/>
      </c>
      <c r="E53" s="26"/>
      <c r="F53" s="28"/>
      <c r="G53" s="28"/>
    </row>
    <row r="54" customFormat="false" ht="15" hidden="false" customHeight="false" outlineLevel="0" collapsed="false">
      <c r="A54" s="28"/>
      <c r="B54" s="26"/>
      <c r="C54" s="32"/>
      <c r="D54" s="33" t="str">
        <f aca="false">IF(E54="","",IF(E54="HDFC Bank (INR)","INR","GBP"))</f>
        <v/>
      </c>
      <c r="E54" s="26"/>
      <c r="F54" s="28"/>
      <c r="G54" s="28"/>
    </row>
    <row r="55" customFormat="false" ht="15" hidden="false" customHeight="false" outlineLevel="0" collapsed="false">
      <c r="A55" s="28"/>
      <c r="B55" s="26"/>
      <c r="C55" s="32"/>
      <c r="D55" s="33" t="str">
        <f aca="false">IF(E55="","",IF(E55="HDFC Bank (INR)","INR","GBP"))</f>
        <v/>
      </c>
      <c r="E55" s="26"/>
      <c r="F55" s="28"/>
      <c r="G55" s="28"/>
    </row>
    <row r="56" customFormat="false" ht="15" hidden="false" customHeight="false" outlineLevel="0" collapsed="false">
      <c r="A56" s="28"/>
      <c r="B56" s="26"/>
      <c r="C56" s="32"/>
      <c r="D56" s="33" t="str">
        <f aca="false">IF(E56="","",IF(E56="HDFC Bank (INR)","INR","GBP"))</f>
        <v/>
      </c>
      <c r="E56" s="26"/>
      <c r="F56" s="28"/>
      <c r="G56" s="28"/>
    </row>
    <row r="57" customFormat="false" ht="15" hidden="false" customHeight="false" outlineLevel="0" collapsed="false">
      <c r="A57" s="28"/>
      <c r="B57" s="26"/>
      <c r="C57" s="32"/>
      <c r="D57" s="33" t="str">
        <f aca="false">IF(E57="","",IF(E57="HDFC Bank (INR)","INR","GBP"))</f>
        <v/>
      </c>
      <c r="E57" s="26"/>
      <c r="F57" s="28"/>
      <c r="G57" s="28"/>
    </row>
    <row r="58" customFormat="false" ht="15" hidden="false" customHeight="false" outlineLevel="0" collapsed="false">
      <c r="A58" s="28"/>
      <c r="B58" s="26"/>
      <c r="C58" s="32"/>
      <c r="D58" s="33" t="str">
        <f aca="false">IF(E58="","",IF(E58="HDFC Bank (INR)","INR","GBP"))</f>
        <v/>
      </c>
      <c r="E58" s="26"/>
      <c r="F58" s="28"/>
      <c r="G58" s="28"/>
    </row>
    <row r="59" customFormat="false" ht="15" hidden="false" customHeight="false" outlineLevel="0" collapsed="false">
      <c r="A59" s="28"/>
      <c r="B59" s="26"/>
      <c r="C59" s="32"/>
      <c r="D59" s="33" t="str">
        <f aca="false">IF(E59="","",IF(E59="HDFC Bank (INR)","INR","GBP"))</f>
        <v/>
      </c>
      <c r="E59" s="26"/>
      <c r="F59" s="28"/>
      <c r="G59" s="28"/>
    </row>
    <row r="60" customFormat="false" ht="15" hidden="false" customHeight="false" outlineLevel="0" collapsed="false">
      <c r="A60" s="28"/>
      <c r="B60" s="26"/>
      <c r="C60" s="32"/>
      <c r="D60" s="33" t="str">
        <f aca="false">IF(E60="","",IF(E60="HDFC Bank (INR)","INR","GBP"))</f>
        <v/>
      </c>
      <c r="E60" s="26"/>
      <c r="F60" s="28"/>
      <c r="G60" s="28"/>
    </row>
    <row r="61" customFormat="false" ht="15" hidden="false" customHeight="false" outlineLevel="0" collapsed="false">
      <c r="A61" s="28"/>
      <c r="B61" s="26"/>
      <c r="C61" s="32"/>
      <c r="D61" s="33" t="str">
        <f aca="false">IF(E61="","",IF(E61="HDFC Bank (INR)","INR","GBP"))</f>
        <v/>
      </c>
      <c r="E61" s="26"/>
      <c r="F61" s="28"/>
      <c r="G61" s="28"/>
    </row>
    <row r="62" customFormat="false" ht="15" hidden="false" customHeight="false" outlineLevel="0" collapsed="false">
      <c r="A62" s="28"/>
      <c r="B62" s="26"/>
      <c r="C62" s="32"/>
      <c r="D62" s="33" t="str">
        <f aca="false">IF(E62="","",IF(E62="HDFC Bank (INR)","INR","GBP"))</f>
        <v/>
      </c>
      <c r="E62" s="26"/>
      <c r="F62" s="28"/>
      <c r="G62" s="28"/>
    </row>
    <row r="63" customFormat="false" ht="15" hidden="false" customHeight="false" outlineLevel="0" collapsed="false">
      <c r="A63" s="28"/>
      <c r="B63" s="26"/>
      <c r="C63" s="32"/>
      <c r="D63" s="33" t="str">
        <f aca="false">IF(E63="","",IF(E63="HDFC Bank (INR)","INR","GBP"))</f>
        <v/>
      </c>
      <c r="E63" s="26"/>
      <c r="F63" s="28"/>
      <c r="G63" s="28"/>
    </row>
    <row r="64" customFormat="false" ht="15" hidden="false" customHeight="false" outlineLevel="0" collapsed="false">
      <c r="A64" s="28"/>
      <c r="B64" s="26"/>
      <c r="C64" s="32"/>
      <c r="D64" s="33" t="str">
        <f aca="false">IF(E64="","",IF(E64="HDFC Bank (INR)","INR","GBP"))</f>
        <v/>
      </c>
      <c r="E64" s="26"/>
      <c r="F64" s="28"/>
      <c r="G64" s="28"/>
    </row>
    <row r="65" customFormat="false" ht="15" hidden="false" customHeight="false" outlineLevel="0" collapsed="false">
      <c r="A65" s="28"/>
      <c r="B65" s="26"/>
      <c r="C65" s="32"/>
      <c r="D65" s="33" t="str">
        <f aca="false">IF(E65="","",IF(E65="HDFC Bank (INR)","INR","GBP"))</f>
        <v/>
      </c>
      <c r="E65" s="26"/>
      <c r="F65" s="28"/>
      <c r="G65" s="28"/>
    </row>
    <row r="66" customFormat="false" ht="15" hidden="false" customHeight="false" outlineLevel="0" collapsed="false">
      <c r="A66" s="28"/>
      <c r="B66" s="26"/>
      <c r="C66" s="32"/>
      <c r="D66" s="33" t="str">
        <f aca="false">IF(E66="","",IF(E66="HDFC Bank (INR)","INR","GBP"))</f>
        <v/>
      </c>
      <c r="E66" s="26"/>
      <c r="F66" s="28"/>
      <c r="G66" s="28"/>
    </row>
    <row r="67" customFormat="false" ht="15" hidden="false" customHeight="false" outlineLevel="0" collapsed="false">
      <c r="A67" s="28"/>
      <c r="B67" s="26"/>
      <c r="C67" s="32"/>
      <c r="D67" s="33" t="str">
        <f aca="false">IF(E67="","",IF(E67="HDFC Bank (INR)","INR","GBP"))</f>
        <v/>
      </c>
      <c r="E67" s="26"/>
      <c r="F67" s="28"/>
      <c r="G67" s="28"/>
    </row>
    <row r="68" customFormat="false" ht="15" hidden="false" customHeight="false" outlineLevel="0" collapsed="false">
      <c r="A68" s="28"/>
      <c r="B68" s="26"/>
      <c r="C68" s="32"/>
      <c r="D68" s="33" t="str">
        <f aca="false">IF(E68="","",IF(E68="HDFC Bank (INR)","INR","GBP"))</f>
        <v/>
      </c>
      <c r="E68" s="26"/>
      <c r="F68" s="28"/>
      <c r="G68" s="28"/>
    </row>
    <row r="69" customFormat="false" ht="15" hidden="false" customHeight="false" outlineLevel="0" collapsed="false">
      <c r="A69" s="28"/>
      <c r="B69" s="26"/>
      <c r="C69" s="32"/>
      <c r="D69" s="33" t="str">
        <f aca="false">IF(E69="","",IF(E69="HDFC Bank (INR)","INR","GBP"))</f>
        <v/>
      </c>
      <c r="E69" s="26"/>
      <c r="F69" s="28"/>
      <c r="G69" s="28"/>
    </row>
    <row r="70" customFormat="false" ht="15" hidden="false" customHeight="false" outlineLevel="0" collapsed="false">
      <c r="A70" s="28"/>
      <c r="B70" s="26"/>
      <c r="C70" s="32"/>
      <c r="D70" s="33" t="str">
        <f aca="false">IF(E70="","",IF(E70="HDFC Bank (INR)","INR","GBP"))</f>
        <v/>
      </c>
      <c r="E70" s="26"/>
      <c r="F70" s="28"/>
      <c r="G70" s="28"/>
    </row>
    <row r="71" customFormat="false" ht="15" hidden="false" customHeight="false" outlineLevel="0" collapsed="false">
      <c r="A71" s="28"/>
      <c r="B71" s="26"/>
      <c r="C71" s="32"/>
      <c r="D71" s="33" t="str">
        <f aca="false">IF(E71="","",IF(E71="HDFC Bank (INR)","INR","GBP"))</f>
        <v/>
      </c>
      <c r="E71" s="26"/>
      <c r="F71" s="28"/>
      <c r="G71" s="28"/>
    </row>
    <row r="72" customFormat="false" ht="15" hidden="false" customHeight="false" outlineLevel="0" collapsed="false">
      <c r="A72" s="28"/>
      <c r="B72" s="26"/>
      <c r="C72" s="32"/>
      <c r="D72" s="33" t="str">
        <f aca="false">IF(E72="","",IF(E72="HDFC Bank (INR)","INR","GBP"))</f>
        <v/>
      </c>
      <c r="E72" s="26"/>
      <c r="F72" s="28"/>
      <c r="G72" s="28"/>
    </row>
    <row r="73" customFormat="false" ht="15" hidden="false" customHeight="false" outlineLevel="0" collapsed="false">
      <c r="A73" s="28"/>
      <c r="B73" s="26"/>
      <c r="C73" s="32"/>
      <c r="D73" s="33" t="str">
        <f aca="false">IF(E73="","",IF(E73="HDFC Bank (INR)","INR","GBP"))</f>
        <v/>
      </c>
      <c r="E73" s="26"/>
      <c r="F73" s="28"/>
      <c r="G73" s="28"/>
    </row>
    <row r="74" customFormat="false" ht="15" hidden="false" customHeight="false" outlineLevel="0" collapsed="false">
      <c r="A74" s="28"/>
      <c r="B74" s="26"/>
      <c r="C74" s="32"/>
      <c r="D74" s="33" t="str">
        <f aca="false">IF(E74="","",IF(E74="HDFC Bank (INR)","INR","GBP"))</f>
        <v/>
      </c>
      <c r="E74" s="26"/>
      <c r="F74" s="28"/>
      <c r="G74" s="28"/>
    </row>
    <row r="75" customFormat="false" ht="15" hidden="false" customHeight="false" outlineLevel="0" collapsed="false">
      <c r="A75" s="28"/>
      <c r="B75" s="26"/>
      <c r="C75" s="32"/>
      <c r="D75" s="33" t="str">
        <f aca="false">IF(E75="","",IF(E75="HDFC Bank (INR)","INR","GBP"))</f>
        <v/>
      </c>
      <c r="E75" s="26"/>
      <c r="F75" s="28"/>
      <c r="G75" s="28"/>
    </row>
    <row r="76" customFormat="false" ht="15" hidden="false" customHeight="false" outlineLevel="0" collapsed="false">
      <c r="A76" s="28"/>
      <c r="B76" s="26"/>
      <c r="C76" s="32"/>
      <c r="D76" s="33" t="str">
        <f aca="false">IF(E76="","",IF(E76="HDFC Bank (INR)","INR","GBP"))</f>
        <v/>
      </c>
      <c r="E76" s="26"/>
      <c r="F76" s="28"/>
      <c r="G76" s="28"/>
    </row>
    <row r="77" customFormat="false" ht="15" hidden="false" customHeight="false" outlineLevel="0" collapsed="false">
      <c r="A77" s="28"/>
      <c r="B77" s="26"/>
      <c r="C77" s="32"/>
      <c r="D77" s="33" t="str">
        <f aca="false">IF(E77="","",IF(E77="HDFC Bank (INR)","INR","GBP"))</f>
        <v/>
      </c>
      <c r="E77" s="26"/>
      <c r="F77" s="28"/>
      <c r="G77" s="28"/>
    </row>
    <row r="78" customFormat="false" ht="15" hidden="false" customHeight="false" outlineLevel="0" collapsed="false">
      <c r="A78" s="28"/>
      <c r="B78" s="26"/>
      <c r="C78" s="32"/>
      <c r="D78" s="33" t="str">
        <f aca="false">IF(E78="","",IF(E78="HDFC Bank (INR)","INR","GBP"))</f>
        <v/>
      </c>
      <c r="E78" s="26"/>
      <c r="F78" s="28"/>
      <c r="G78" s="28"/>
    </row>
    <row r="79" customFormat="false" ht="15" hidden="false" customHeight="false" outlineLevel="0" collapsed="false">
      <c r="A79" s="28"/>
      <c r="B79" s="26"/>
      <c r="C79" s="32"/>
      <c r="D79" s="33" t="str">
        <f aca="false">IF(E79="","",IF(E79="HDFC Bank (INR)","INR","GBP"))</f>
        <v/>
      </c>
      <c r="E79" s="26"/>
      <c r="F79" s="28"/>
      <c r="G79" s="28"/>
    </row>
    <row r="80" customFormat="false" ht="15" hidden="false" customHeight="false" outlineLevel="0" collapsed="false">
      <c r="A80" s="28"/>
      <c r="B80" s="26"/>
      <c r="C80" s="32"/>
      <c r="D80" s="33" t="str">
        <f aca="false">IF(E80="","",IF(E80="HDFC Bank (INR)","INR","GBP"))</f>
        <v/>
      </c>
      <c r="E80" s="26"/>
      <c r="F80" s="28"/>
      <c r="G80" s="28"/>
    </row>
    <row r="81" customFormat="false" ht="15" hidden="false" customHeight="false" outlineLevel="0" collapsed="false">
      <c r="A81" s="28"/>
      <c r="B81" s="26"/>
      <c r="C81" s="32"/>
      <c r="D81" s="33" t="str">
        <f aca="false">IF(E81="","",IF(E81="HDFC Bank (INR)","INR","GBP"))</f>
        <v/>
      </c>
      <c r="E81" s="26"/>
      <c r="F81" s="28"/>
      <c r="G81" s="28"/>
    </row>
    <row r="82" customFormat="false" ht="15" hidden="false" customHeight="false" outlineLevel="0" collapsed="false">
      <c r="A82" s="28"/>
      <c r="B82" s="26"/>
      <c r="C82" s="32"/>
      <c r="D82" s="33" t="str">
        <f aca="false">IF(E82="","",IF(E82="HDFC Bank (INR)","INR","GBP"))</f>
        <v/>
      </c>
      <c r="E82" s="26"/>
      <c r="F82" s="28"/>
      <c r="G82" s="28"/>
    </row>
    <row r="83" customFormat="false" ht="15" hidden="false" customHeight="false" outlineLevel="0" collapsed="false">
      <c r="A83" s="28"/>
      <c r="B83" s="26"/>
      <c r="C83" s="32"/>
      <c r="D83" s="33" t="str">
        <f aca="false">IF(E83="","",IF(E83="HDFC Bank (INR)","INR","GBP"))</f>
        <v/>
      </c>
      <c r="E83" s="26"/>
      <c r="F83" s="28"/>
      <c r="G83" s="28"/>
    </row>
    <row r="84" customFormat="false" ht="15" hidden="false" customHeight="false" outlineLevel="0" collapsed="false">
      <c r="A84" s="28"/>
      <c r="B84" s="26"/>
      <c r="C84" s="32"/>
      <c r="D84" s="33" t="str">
        <f aca="false">IF(E84="","",IF(E84="HDFC Bank (INR)","INR","GBP"))</f>
        <v/>
      </c>
      <c r="E84" s="26"/>
      <c r="F84" s="28"/>
      <c r="G84" s="28"/>
    </row>
    <row r="85" customFormat="false" ht="15" hidden="false" customHeight="false" outlineLevel="0" collapsed="false">
      <c r="A85" s="28"/>
      <c r="B85" s="26"/>
      <c r="C85" s="32"/>
      <c r="D85" s="33" t="str">
        <f aca="false">IF(E85="","",IF(E85="HDFC Bank (INR)","INR","GBP"))</f>
        <v/>
      </c>
      <c r="E85" s="26"/>
      <c r="F85" s="28"/>
      <c r="G85" s="28"/>
    </row>
    <row r="86" customFormat="false" ht="15" hidden="false" customHeight="false" outlineLevel="0" collapsed="false">
      <c r="A86" s="28"/>
      <c r="B86" s="26"/>
      <c r="C86" s="32"/>
      <c r="D86" s="33" t="str">
        <f aca="false">IF(E86="","",IF(E86="HDFC Bank (INR)","INR","GBP"))</f>
        <v/>
      </c>
      <c r="E86" s="26"/>
      <c r="F86" s="28"/>
      <c r="G86" s="28"/>
    </row>
    <row r="87" customFormat="false" ht="15" hidden="false" customHeight="false" outlineLevel="0" collapsed="false">
      <c r="A87" s="28"/>
      <c r="B87" s="26"/>
      <c r="C87" s="32"/>
      <c r="D87" s="33" t="str">
        <f aca="false">IF(E87="","",IF(E87="HDFC Bank (INR)","INR","GBP"))</f>
        <v/>
      </c>
      <c r="E87" s="26"/>
      <c r="F87" s="28"/>
      <c r="G87" s="28"/>
    </row>
    <row r="88" customFormat="false" ht="15" hidden="false" customHeight="false" outlineLevel="0" collapsed="false">
      <c r="A88" s="28"/>
      <c r="B88" s="26"/>
      <c r="C88" s="32"/>
      <c r="D88" s="33" t="str">
        <f aca="false">IF(E88="","",IF(E88="HDFC Bank (INR)","INR","GBP"))</f>
        <v/>
      </c>
      <c r="E88" s="26"/>
      <c r="F88" s="28"/>
      <c r="G88" s="28"/>
    </row>
    <row r="89" customFormat="false" ht="15" hidden="false" customHeight="false" outlineLevel="0" collapsed="false">
      <c r="A89" s="28"/>
      <c r="B89" s="26"/>
      <c r="C89" s="32"/>
      <c r="D89" s="33" t="str">
        <f aca="false">IF(E89="","",IF(E89="HDFC Bank (INR)","INR","GBP"))</f>
        <v/>
      </c>
      <c r="E89" s="26"/>
      <c r="F89" s="28"/>
      <c r="G89" s="28"/>
    </row>
    <row r="90" customFormat="false" ht="15" hidden="false" customHeight="false" outlineLevel="0" collapsed="false">
      <c r="A90" s="28"/>
      <c r="B90" s="26"/>
      <c r="C90" s="32"/>
      <c r="D90" s="33" t="str">
        <f aca="false">IF(E90="","",IF(E90="HDFC Bank (INR)","INR","GBP"))</f>
        <v/>
      </c>
      <c r="E90" s="26"/>
      <c r="F90" s="28"/>
      <c r="G90" s="28"/>
    </row>
    <row r="91" customFormat="false" ht="15" hidden="false" customHeight="false" outlineLevel="0" collapsed="false">
      <c r="A91" s="28"/>
      <c r="B91" s="26"/>
      <c r="C91" s="32"/>
      <c r="D91" s="33" t="str">
        <f aca="false">IF(E91="","",IF(E91="HDFC Bank (INR)","INR","GBP"))</f>
        <v/>
      </c>
      <c r="E91" s="26"/>
      <c r="F91" s="28"/>
      <c r="G91" s="28"/>
    </row>
    <row r="92" customFormat="false" ht="15" hidden="false" customHeight="false" outlineLevel="0" collapsed="false">
      <c r="A92" s="28"/>
      <c r="B92" s="26"/>
      <c r="C92" s="32"/>
      <c r="D92" s="33" t="str">
        <f aca="false">IF(E92="","",IF(E92="HDFC Bank (INR)","INR","GBP"))</f>
        <v/>
      </c>
      <c r="E92" s="26"/>
      <c r="F92" s="28"/>
      <c r="G92" s="28"/>
    </row>
    <row r="93" customFormat="false" ht="15" hidden="false" customHeight="false" outlineLevel="0" collapsed="false">
      <c r="A93" s="28"/>
      <c r="B93" s="26"/>
      <c r="C93" s="32"/>
      <c r="D93" s="33" t="str">
        <f aca="false">IF(E93="","",IF(E93="HDFC Bank (INR)","INR","GBP"))</f>
        <v/>
      </c>
      <c r="E93" s="26"/>
      <c r="F93" s="28"/>
      <c r="G93" s="28"/>
    </row>
    <row r="94" customFormat="false" ht="15" hidden="false" customHeight="false" outlineLevel="0" collapsed="false">
      <c r="A94" s="28"/>
      <c r="B94" s="26"/>
      <c r="C94" s="32"/>
      <c r="D94" s="33" t="str">
        <f aca="false">IF(E94="","",IF(E94="HDFC Bank (INR)","INR","GBP"))</f>
        <v/>
      </c>
      <c r="E94" s="26"/>
      <c r="F94" s="28"/>
      <c r="G94" s="28"/>
    </row>
    <row r="95" customFormat="false" ht="15" hidden="false" customHeight="false" outlineLevel="0" collapsed="false">
      <c r="A95" s="28"/>
      <c r="B95" s="26"/>
      <c r="C95" s="32"/>
      <c r="D95" s="33" t="str">
        <f aca="false">IF(E95="","",IF(E95="HDFC Bank (INR)","INR","GBP"))</f>
        <v/>
      </c>
      <c r="E95" s="26"/>
      <c r="F95" s="28"/>
      <c r="G95" s="28"/>
    </row>
    <row r="96" customFormat="false" ht="15" hidden="false" customHeight="false" outlineLevel="0" collapsed="false">
      <c r="A96" s="28"/>
      <c r="B96" s="26"/>
      <c r="C96" s="32"/>
      <c r="D96" s="33" t="str">
        <f aca="false">IF(E96="","",IF(E96="HDFC Bank (INR)","INR","GBP"))</f>
        <v/>
      </c>
      <c r="E96" s="26"/>
      <c r="F96" s="28"/>
      <c r="G96" s="28"/>
    </row>
    <row r="97" customFormat="false" ht="15" hidden="false" customHeight="false" outlineLevel="0" collapsed="false">
      <c r="A97" s="28"/>
      <c r="B97" s="26"/>
      <c r="C97" s="32"/>
      <c r="D97" s="33" t="str">
        <f aca="false">IF(E97="","",IF(E97="HDFC Bank (INR)","INR","GBP"))</f>
        <v/>
      </c>
      <c r="E97" s="26"/>
      <c r="F97" s="28"/>
      <c r="G97" s="28"/>
    </row>
    <row r="98" customFormat="false" ht="15" hidden="false" customHeight="false" outlineLevel="0" collapsed="false">
      <c r="A98" s="28"/>
      <c r="B98" s="26"/>
      <c r="C98" s="32"/>
      <c r="D98" s="33" t="str">
        <f aca="false">IF(E98="","",IF(E98="HDFC Bank (INR)","INR","GBP"))</f>
        <v/>
      </c>
      <c r="E98" s="26"/>
      <c r="F98" s="28"/>
      <c r="G98" s="28"/>
    </row>
    <row r="99" customFormat="false" ht="15" hidden="false" customHeight="false" outlineLevel="0" collapsed="false">
      <c r="A99" s="28"/>
      <c r="B99" s="26"/>
      <c r="C99" s="32"/>
      <c r="D99" s="33" t="str">
        <f aca="false">IF(E99="","",IF(E99="HDFC Bank (INR)","INR","GBP"))</f>
        <v/>
      </c>
      <c r="E99" s="26"/>
      <c r="F99" s="28"/>
      <c r="G99" s="28"/>
    </row>
    <row r="100" customFormat="false" ht="15" hidden="false" customHeight="false" outlineLevel="0" collapsed="false">
      <c r="A100" s="28"/>
      <c r="B100" s="26"/>
      <c r="C100" s="32"/>
      <c r="D100" s="33" t="str">
        <f aca="false">IF(E100="","",IF(E100="HDFC Bank (INR)","INR","GBP"))</f>
        <v/>
      </c>
      <c r="E100" s="26"/>
      <c r="F100" s="28"/>
      <c r="G100" s="28"/>
    </row>
    <row r="101" customFormat="false" ht="15" hidden="false" customHeight="false" outlineLevel="0" collapsed="false">
      <c r="A101" s="28"/>
      <c r="B101" s="26"/>
      <c r="C101" s="32"/>
      <c r="D101" s="33" t="str">
        <f aca="false">IF(E101="","",IF(E101="HDFC Bank (INR)","INR","GBP"))</f>
        <v/>
      </c>
      <c r="E101" s="26"/>
      <c r="F101" s="28"/>
      <c r="G101" s="28"/>
    </row>
    <row r="102" customFormat="false" ht="15" hidden="false" customHeight="false" outlineLevel="0" collapsed="false">
      <c r="A102" s="28"/>
      <c r="B102" s="26"/>
      <c r="C102" s="32"/>
      <c r="D102" s="33" t="str">
        <f aca="false">IF(E102="","",IF(E102="HDFC Bank (INR)","INR","GBP"))</f>
        <v/>
      </c>
      <c r="E102" s="26"/>
      <c r="F102" s="28"/>
      <c r="G102" s="28"/>
    </row>
    <row r="103" customFormat="false" ht="15" hidden="false" customHeight="false" outlineLevel="0" collapsed="false">
      <c r="A103" s="28"/>
      <c r="B103" s="26"/>
      <c r="C103" s="32"/>
      <c r="D103" s="33" t="str">
        <f aca="false">IF(E103="","",IF(E103="HDFC Bank (INR)","INR","GBP"))</f>
        <v/>
      </c>
      <c r="E103" s="26"/>
      <c r="F103" s="28"/>
      <c r="G103" s="28"/>
    </row>
    <row r="104" customFormat="false" ht="15" hidden="false" customHeight="false" outlineLevel="0" collapsed="false">
      <c r="A104" s="28"/>
      <c r="B104" s="26"/>
      <c r="C104" s="32"/>
      <c r="D104" s="33" t="str">
        <f aca="false">IF(E104="","",IF(E104="HDFC Bank (INR)","INR","GBP"))</f>
        <v/>
      </c>
      <c r="E104" s="26"/>
      <c r="F104" s="28"/>
      <c r="G104" s="28"/>
    </row>
    <row r="105" customFormat="false" ht="15" hidden="false" customHeight="false" outlineLevel="0" collapsed="false">
      <c r="A105" s="28"/>
      <c r="B105" s="26"/>
      <c r="C105" s="32"/>
      <c r="D105" s="33" t="str">
        <f aca="false">IF(E105="","",IF(E105="HDFC Bank (INR)","INR","GBP"))</f>
        <v/>
      </c>
      <c r="E105" s="26"/>
      <c r="F105" s="28"/>
      <c r="G105" s="28"/>
    </row>
    <row r="106" customFormat="false" ht="15" hidden="false" customHeight="false" outlineLevel="0" collapsed="false">
      <c r="A106" s="28"/>
      <c r="B106" s="26"/>
      <c r="C106" s="32"/>
      <c r="D106" s="33" t="str">
        <f aca="false">IF(E106="","",IF(E106="HDFC Bank (INR)","INR","GBP"))</f>
        <v/>
      </c>
      <c r="E106" s="26"/>
      <c r="F106" s="28"/>
      <c r="G106" s="28"/>
    </row>
    <row r="107" customFormat="false" ht="15" hidden="false" customHeight="false" outlineLevel="0" collapsed="false">
      <c r="A107" s="28"/>
      <c r="B107" s="26"/>
      <c r="C107" s="32"/>
      <c r="D107" s="33" t="str">
        <f aca="false">IF(E107="","",IF(E107="HDFC Bank (INR)","INR","GBP"))</f>
        <v/>
      </c>
      <c r="E107" s="26"/>
      <c r="F107" s="28"/>
      <c r="G107" s="28"/>
    </row>
    <row r="108" customFormat="false" ht="15" hidden="false" customHeight="false" outlineLevel="0" collapsed="false">
      <c r="A108" s="28"/>
      <c r="B108" s="26"/>
      <c r="C108" s="32"/>
      <c r="D108" s="33" t="str">
        <f aca="false">IF(E108="","",IF(E108="HDFC Bank (INR)","INR","GBP"))</f>
        <v/>
      </c>
      <c r="E108" s="26"/>
      <c r="F108" s="28"/>
      <c r="G108" s="28"/>
    </row>
    <row r="109" customFormat="false" ht="15" hidden="false" customHeight="false" outlineLevel="0" collapsed="false">
      <c r="A109" s="28"/>
      <c r="B109" s="26"/>
      <c r="C109" s="32"/>
      <c r="D109" s="33" t="str">
        <f aca="false">IF(E109="","",IF(E109="HDFC Bank (INR)","INR","GBP"))</f>
        <v/>
      </c>
      <c r="E109" s="26"/>
      <c r="F109" s="28"/>
      <c r="G109" s="28"/>
    </row>
    <row r="110" customFormat="false" ht="15" hidden="false" customHeight="false" outlineLevel="0" collapsed="false">
      <c r="A110" s="28"/>
      <c r="B110" s="26"/>
      <c r="C110" s="32"/>
      <c r="D110" s="33" t="str">
        <f aca="false">IF(E110="","",IF(E110="HDFC Bank (INR)","INR","GBP"))</f>
        <v/>
      </c>
      <c r="E110" s="26"/>
      <c r="F110" s="28"/>
      <c r="G110" s="28"/>
    </row>
    <row r="111" customFormat="false" ht="15" hidden="false" customHeight="false" outlineLevel="0" collapsed="false">
      <c r="A111" s="28"/>
      <c r="B111" s="26"/>
      <c r="C111" s="32"/>
      <c r="D111" s="33" t="str">
        <f aca="false">IF(E111="","",IF(E111="HDFC Bank (INR)","INR","GBP"))</f>
        <v/>
      </c>
      <c r="E111" s="26"/>
      <c r="F111" s="28"/>
      <c r="G111" s="28"/>
    </row>
    <row r="112" customFormat="false" ht="15" hidden="false" customHeight="false" outlineLevel="0" collapsed="false">
      <c r="A112" s="28"/>
      <c r="B112" s="26"/>
      <c r="C112" s="32"/>
      <c r="D112" s="33" t="str">
        <f aca="false">IF(E112="","",IF(E112="HDFC Bank (INR)","INR","GBP"))</f>
        <v/>
      </c>
      <c r="E112" s="26"/>
      <c r="F112" s="28"/>
      <c r="G112" s="28"/>
    </row>
    <row r="113" customFormat="false" ht="15" hidden="false" customHeight="false" outlineLevel="0" collapsed="false">
      <c r="A113" s="28"/>
      <c r="B113" s="26"/>
      <c r="C113" s="32"/>
      <c r="D113" s="33" t="str">
        <f aca="false">IF(E113="","",IF(E113="HDFC Bank (INR)","INR","GBP"))</f>
        <v/>
      </c>
      <c r="E113" s="26"/>
      <c r="F113" s="28"/>
      <c r="G113" s="28"/>
    </row>
    <row r="114" customFormat="false" ht="15" hidden="false" customHeight="false" outlineLevel="0" collapsed="false">
      <c r="A114" s="28"/>
      <c r="B114" s="26"/>
      <c r="C114" s="32"/>
      <c r="D114" s="33" t="str">
        <f aca="false">IF(E114="","",IF(E114="HDFC Bank (INR)","INR","GBP"))</f>
        <v/>
      </c>
      <c r="E114" s="26"/>
      <c r="F114" s="28"/>
      <c r="G114" s="28"/>
    </row>
    <row r="115" customFormat="false" ht="15" hidden="false" customHeight="false" outlineLevel="0" collapsed="false">
      <c r="A115" s="28"/>
      <c r="B115" s="26"/>
      <c r="C115" s="32"/>
      <c r="D115" s="33" t="str">
        <f aca="false">IF(E115="","",IF(E115="HDFC Bank (INR)","INR","GBP"))</f>
        <v/>
      </c>
      <c r="E115" s="26"/>
      <c r="F115" s="28"/>
      <c r="G115" s="28"/>
    </row>
    <row r="116" customFormat="false" ht="15" hidden="false" customHeight="false" outlineLevel="0" collapsed="false">
      <c r="A116" s="28"/>
      <c r="B116" s="26"/>
      <c r="C116" s="32"/>
      <c r="D116" s="33" t="str">
        <f aca="false">IF(E116="","",IF(E116="HDFC Bank (INR)","INR","GBP"))</f>
        <v/>
      </c>
      <c r="E116" s="26"/>
      <c r="F116" s="28"/>
      <c r="G116" s="28"/>
    </row>
    <row r="117" customFormat="false" ht="15" hidden="false" customHeight="false" outlineLevel="0" collapsed="false">
      <c r="A117" s="28"/>
      <c r="B117" s="26"/>
      <c r="C117" s="32"/>
      <c r="D117" s="33" t="str">
        <f aca="false">IF(E117="","",IF(E117="HDFC Bank (INR)","INR","GBP"))</f>
        <v/>
      </c>
      <c r="E117" s="26"/>
      <c r="F117" s="28"/>
      <c r="G117" s="28"/>
    </row>
    <row r="118" customFormat="false" ht="15" hidden="false" customHeight="false" outlineLevel="0" collapsed="false">
      <c r="A118" s="28"/>
      <c r="B118" s="26"/>
      <c r="C118" s="32"/>
      <c r="D118" s="33" t="str">
        <f aca="false">IF(E118="","",IF(E118="HDFC Bank (INR)","INR","GBP"))</f>
        <v/>
      </c>
      <c r="E118" s="26"/>
      <c r="F118" s="28"/>
      <c r="G118" s="28"/>
    </row>
    <row r="119" customFormat="false" ht="15" hidden="false" customHeight="false" outlineLevel="0" collapsed="false">
      <c r="A119" s="28"/>
      <c r="B119" s="26"/>
      <c r="C119" s="32"/>
      <c r="D119" s="33" t="str">
        <f aca="false">IF(E119="","",IF(E119="HDFC Bank (INR)","INR","GBP"))</f>
        <v/>
      </c>
      <c r="E119" s="26"/>
      <c r="F119" s="28"/>
      <c r="G119" s="28"/>
    </row>
    <row r="120" customFormat="false" ht="15" hidden="false" customHeight="false" outlineLevel="0" collapsed="false">
      <c r="A120" s="28"/>
      <c r="B120" s="26"/>
      <c r="C120" s="32"/>
      <c r="D120" s="33" t="str">
        <f aca="false">IF(E120="","",IF(E120="HDFC Bank (INR)","INR","GBP"))</f>
        <v/>
      </c>
      <c r="E120" s="26"/>
      <c r="F120" s="28"/>
      <c r="G120" s="28"/>
    </row>
    <row r="121" customFormat="false" ht="15" hidden="false" customHeight="false" outlineLevel="0" collapsed="false">
      <c r="A121" s="28"/>
      <c r="B121" s="26"/>
      <c r="C121" s="32"/>
      <c r="D121" s="33" t="str">
        <f aca="false">IF(E121="","",IF(E121="HDFC Bank (INR)","INR","GBP"))</f>
        <v/>
      </c>
      <c r="E121" s="26"/>
      <c r="F121" s="28"/>
      <c r="G121" s="28"/>
    </row>
    <row r="122" customFormat="false" ht="15" hidden="false" customHeight="false" outlineLevel="0" collapsed="false">
      <c r="A122" s="28"/>
      <c r="B122" s="26"/>
      <c r="C122" s="32"/>
      <c r="D122" s="33" t="str">
        <f aca="false">IF(E122="","",IF(E122="HDFC Bank (INR)","INR","GBP"))</f>
        <v/>
      </c>
      <c r="E122" s="26"/>
      <c r="F122" s="28"/>
      <c r="G122" s="28"/>
    </row>
    <row r="123" customFormat="false" ht="15" hidden="false" customHeight="false" outlineLevel="0" collapsed="false">
      <c r="A123" s="28"/>
      <c r="B123" s="26"/>
      <c r="C123" s="32"/>
      <c r="D123" s="33" t="str">
        <f aca="false">IF(E123="","",IF(E123="HDFC Bank (INR)","INR","GBP"))</f>
        <v/>
      </c>
      <c r="E123" s="26"/>
      <c r="F123" s="28"/>
      <c r="G123" s="28"/>
    </row>
    <row r="124" customFormat="false" ht="15" hidden="false" customHeight="false" outlineLevel="0" collapsed="false">
      <c r="A124" s="28"/>
      <c r="B124" s="26"/>
      <c r="C124" s="32"/>
      <c r="D124" s="33" t="str">
        <f aca="false">IF(E124="","",IF(E124="HDFC Bank (INR)","INR","GBP"))</f>
        <v/>
      </c>
      <c r="E124" s="26"/>
      <c r="F124" s="28"/>
      <c r="G124" s="28"/>
    </row>
    <row r="125" customFormat="false" ht="15" hidden="false" customHeight="false" outlineLevel="0" collapsed="false">
      <c r="A125" s="28"/>
      <c r="B125" s="26"/>
      <c r="C125" s="32"/>
      <c r="D125" s="33" t="str">
        <f aca="false">IF(E125="","",IF(E125="HDFC Bank (INR)","INR","GBP"))</f>
        <v/>
      </c>
      <c r="E125" s="26"/>
      <c r="F125" s="28"/>
      <c r="G125" s="28"/>
    </row>
    <row r="126" customFormat="false" ht="15" hidden="false" customHeight="false" outlineLevel="0" collapsed="false">
      <c r="A126" s="28"/>
      <c r="B126" s="26"/>
      <c r="C126" s="32"/>
      <c r="D126" s="33" t="str">
        <f aca="false">IF(E126="","",IF(E126="HDFC Bank (INR)","INR","GBP"))</f>
        <v/>
      </c>
      <c r="E126" s="26"/>
      <c r="F126" s="28"/>
      <c r="G126" s="28"/>
    </row>
    <row r="127" customFormat="false" ht="15" hidden="false" customHeight="false" outlineLevel="0" collapsed="false">
      <c r="A127" s="28"/>
      <c r="B127" s="26"/>
      <c r="C127" s="32"/>
      <c r="D127" s="33" t="str">
        <f aca="false">IF(E127="","",IF(E127="HDFC Bank (INR)","INR","GBP"))</f>
        <v/>
      </c>
      <c r="E127" s="26"/>
      <c r="F127" s="28"/>
      <c r="G127" s="28"/>
    </row>
    <row r="128" customFormat="false" ht="15" hidden="false" customHeight="false" outlineLevel="0" collapsed="false">
      <c r="A128" s="28"/>
      <c r="B128" s="26"/>
      <c r="C128" s="32"/>
      <c r="D128" s="33" t="str">
        <f aca="false">IF(E128="","",IF(E128="HDFC Bank (INR)","INR","GBP"))</f>
        <v/>
      </c>
      <c r="E128" s="26"/>
      <c r="F128" s="28"/>
      <c r="G128" s="28"/>
    </row>
    <row r="129" customFormat="false" ht="15" hidden="false" customHeight="false" outlineLevel="0" collapsed="false">
      <c r="A129" s="28"/>
      <c r="B129" s="26"/>
      <c r="C129" s="32"/>
      <c r="D129" s="33" t="str">
        <f aca="false">IF(E129="","",IF(E129="HDFC Bank (INR)","INR","GBP"))</f>
        <v/>
      </c>
      <c r="E129" s="26"/>
      <c r="F129" s="28"/>
      <c r="G129" s="28"/>
    </row>
    <row r="130" customFormat="false" ht="15" hidden="false" customHeight="false" outlineLevel="0" collapsed="false">
      <c r="A130" s="28"/>
      <c r="B130" s="26"/>
      <c r="C130" s="32"/>
      <c r="D130" s="33" t="str">
        <f aca="false">IF(E130="","",IF(E130="HDFC Bank (INR)","INR","GBP"))</f>
        <v/>
      </c>
      <c r="E130" s="26"/>
      <c r="F130" s="28"/>
      <c r="G130" s="28"/>
    </row>
    <row r="131" customFormat="false" ht="15" hidden="false" customHeight="false" outlineLevel="0" collapsed="false">
      <c r="A131" s="28"/>
      <c r="B131" s="26"/>
      <c r="C131" s="32"/>
      <c r="D131" s="33" t="str">
        <f aca="false">IF(E131="","",IF(E131="HDFC Bank (INR)","INR","GBP"))</f>
        <v/>
      </c>
      <c r="E131" s="26"/>
      <c r="F131" s="28"/>
      <c r="G131" s="28"/>
    </row>
    <row r="132" customFormat="false" ht="15" hidden="false" customHeight="false" outlineLevel="0" collapsed="false">
      <c r="A132" s="28"/>
      <c r="B132" s="26"/>
      <c r="C132" s="32"/>
      <c r="D132" s="33" t="str">
        <f aca="false">IF(E132="","",IF(E132="HDFC Bank (INR)","INR","GBP"))</f>
        <v/>
      </c>
      <c r="E132" s="26"/>
      <c r="F132" s="28"/>
      <c r="G132" s="28"/>
    </row>
    <row r="133" customFormat="false" ht="15" hidden="false" customHeight="false" outlineLevel="0" collapsed="false">
      <c r="A133" s="28"/>
      <c r="B133" s="26"/>
      <c r="C133" s="32"/>
      <c r="D133" s="33" t="str">
        <f aca="false">IF(E133="","",IF(E133="HDFC Bank (INR)","INR","GBP"))</f>
        <v/>
      </c>
      <c r="E133" s="26"/>
      <c r="F133" s="28"/>
      <c r="G133" s="28"/>
    </row>
    <row r="134" customFormat="false" ht="15" hidden="false" customHeight="false" outlineLevel="0" collapsed="false">
      <c r="A134" s="28"/>
      <c r="B134" s="26"/>
      <c r="C134" s="32"/>
      <c r="D134" s="33" t="str">
        <f aca="false">IF(E134="","",IF(E134="HDFC Bank (INR)","INR","GBP"))</f>
        <v/>
      </c>
      <c r="E134" s="26"/>
      <c r="F134" s="28"/>
      <c r="G134" s="28"/>
    </row>
    <row r="135" customFormat="false" ht="15" hidden="false" customHeight="false" outlineLevel="0" collapsed="false">
      <c r="A135" s="28"/>
      <c r="B135" s="26"/>
      <c r="C135" s="32"/>
      <c r="D135" s="33" t="str">
        <f aca="false">IF(E135="","",IF(E135="HDFC Bank (INR)","INR","GBP"))</f>
        <v/>
      </c>
      <c r="E135" s="26"/>
      <c r="F135" s="28"/>
      <c r="G135" s="28"/>
    </row>
    <row r="136" customFormat="false" ht="15" hidden="false" customHeight="false" outlineLevel="0" collapsed="false">
      <c r="A136" s="28"/>
      <c r="B136" s="26"/>
      <c r="C136" s="32"/>
      <c r="D136" s="33" t="str">
        <f aca="false">IF(E136="","",IF(E136="HDFC Bank (INR)","INR","GBP"))</f>
        <v/>
      </c>
      <c r="E136" s="26"/>
      <c r="F136" s="28"/>
      <c r="G136" s="28"/>
    </row>
    <row r="137" customFormat="false" ht="15" hidden="false" customHeight="false" outlineLevel="0" collapsed="false">
      <c r="A137" s="28"/>
      <c r="B137" s="26"/>
      <c r="C137" s="32"/>
      <c r="D137" s="33" t="str">
        <f aca="false">IF(E137="","",IF(E137="HDFC Bank (INR)","INR","GBP"))</f>
        <v/>
      </c>
      <c r="E137" s="26"/>
      <c r="F137" s="28"/>
      <c r="G137" s="28"/>
    </row>
    <row r="138" customFormat="false" ht="15" hidden="false" customHeight="false" outlineLevel="0" collapsed="false">
      <c r="A138" s="28"/>
      <c r="B138" s="26"/>
      <c r="C138" s="32"/>
      <c r="D138" s="33" t="str">
        <f aca="false">IF(E138="","",IF(E138="HDFC Bank (INR)","INR","GBP"))</f>
        <v/>
      </c>
      <c r="E138" s="26"/>
      <c r="F138" s="28"/>
      <c r="G138" s="28"/>
    </row>
    <row r="139" customFormat="false" ht="15" hidden="false" customHeight="false" outlineLevel="0" collapsed="false">
      <c r="A139" s="28"/>
      <c r="B139" s="26"/>
      <c r="C139" s="32"/>
      <c r="D139" s="33" t="str">
        <f aca="false">IF(E139="","",IF(E139="HDFC Bank (INR)","INR","GBP"))</f>
        <v/>
      </c>
      <c r="E139" s="26"/>
      <c r="F139" s="28"/>
      <c r="G139" s="28"/>
    </row>
    <row r="140" customFormat="false" ht="15" hidden="false" customHeight="false" outlineLevel="0" collapsed="false">
      <c r="A140" s="28"/>
      <c r="B140" s="26"/>
      <c r="C140" s="32"/>
      <c r="D140" s="33" t="str">
        <f aca="false">IF(E140="","",IF(E140="HDFC Bank (INR)","INR","GBP"))</f>
        <v/>
      </c>
      <c r="E140" s="26"/>
      <c r="F140" s="28"/>
      <c r="G140" s="28"/>
    </row>
    <row r="141" customFormat="false" ht="15" hidden="false" customHeight="false" outlineLevel="0" collapsed="false">
      <c r="A141" s="28"/>
      <c r="B141" s="26"/>
      <c r="C141" s="32"/>
      <c r="D141" s="33" t="str">
        <f aca="false">IF(E141="","",IF(E141="HDFC Bank (INR)","INR","GBP"))</f>
        <v/>
      </c>
      <c r="E141" s="26"/>
      <c r="F141" s="28"/>
      <c r="G141" s="28"/>
    </row>
    <row r="142" customFormat="false" ht="15" hidden="false" customHeight="false" outlineLevel="0" collapsed="false">
      <c r="A142" s="28"/>
      <c r="B142" s="26"/>
      <c r="C142" s="32"/>
      <c r="D142" s="33" t="str">
        <f aca="false">IF(E142="","",IF(E142="HDFC Bank (INR)","INR","GBP"))</f>
        <v/>
      </c>
      <c r="E142" s="26"/>
      <c r="F142" s="28"/>
      <c r="G142" s="28"/>
    </row>
    <row r="143" customFormat="false" ht="15" hidden="false" customHeight="false" outlineLevel="0" collapsed="false">
      <c r="A143" s="28"/>
      <c r="B143" s="26"/>
      <c r="C143" s="32"/>
      <c r="D143" s="33" t="str">
        <f aca="false">IF(E143="","",IF(E143="HDFC Bank (INR)","INR","GBP"))</f>
        <v/>
      </c>
      <c r="E143" s="26"/>
      <c r="F143" s="28"/>
      <c r="G143" s="28"/>
    </row>
    <row r="144" customFormat="false" ht="15" hidden="false" customHeight="false" outlineLevel="0" collapsed="false">
      <c r="A144" s="28"/>
      <c r="B144" s="26"/>
      <c r="C144" s="32"/>
      <c r="D144" s="33" t="str">
        <f aca="false">IF(E144="","",IF(E144="HDFC Bank (INR)","INR","GBP"))</f>
        <v/>
      </c>
      <c r="E144" s="26"/>
      <c r="F144" s="28"/>
      <c r="G144" s="28"/>
    </row>
    <row r="145" customFormat="false" ht="15" hidden="false" customHeight="false" outlineLevel="0" collapsed="false">
      <c r="A145" s="28"/>
      <c r="B145" s="26"/>
      <c r="C145" s="32"/>
      <c r="D145" s="33" t="str">
        <f aca="false">IF(E145="","",IF(E145="HDFC Bank (INR)","INR","GBP"))</f>
        <v/>
      </c>
      <c r="E145" s="26"/>
      <c r="F145" s="28"/>
      <c r="G145" s="28"/>
    </row>
    <row r="146" customFormat="false" ht="15" hidden="false" customHeight="false" outlineLevel="0" collapsed="false">
      <c r="A146" s="28"/>
      <c r="B146" s="26"/>
      <c r="C146" s="32"/>
      <c r="D146" s="33" t="str">
        <f aca="false">IF(E146="","",IF(E146="HDFC Bank (INR)","INR","GBP"))</f>
        <v/>
      </c>
      <c r="E146" s="26"/>
      <c r="F146" s="28"/>
      <c r="G146" s="28"/>
    </row>
    <row r="147" customFormat="false" ht="15" hidden="false" customHeight="false" outlineLevel="0" collapsed="false">
      <c r="A147" s="28"/>
      <c r="B147" s="26"/>
      <c r="C147" s="32"/>
      <c r="D147" s="33" t="str">
        <f aca="false">IF(E147="","",IF(E147="HDFC Bank (INR)","INR","GBP"))</f>
        <v/>
      </c>
      <c r="E147" s="26"/>
      <c r="F147" s="28"/>
      <c r="G147" s="28"/>
    </row>
    <row r="148" customFormat="false" ht="15" hidden="false" customHeight="false" outlineLevel="0" collapsed="false">
      <c r="A148" s="28"/>
      <c r="B148" s="26"/>
      <c r="C148" s="32"/>
      <c r="D148" s="33" t="str">
        <f aca="false">IF(E148="","",IF(E148="HDFC Bank (INR)","INR","GBP"))</f>
        <v/>
      </c>
      <c r="E148" s="26"/>
      <c r="F148" s="28"/>
      <c r="G148" s="28"/>
    </row>
    <row r="149" customFormat="false" ht="15" hidden="false" customHeight="false" outlineLevel="0" collapsed="false">
      <c r="A149" s="28"/>
      <c r="B149" s="26"/>
      <c r="C149" s="32"/>
      <c r="D149" s="33" t="str">
        <f aca="false">IF(E149="","",IF(E149="HDFC Bank (INR)","INR","GBP"))</f>
        <v/>
      </c>
      <c r="E149" s="26"/>
      <c r="F149" s="28"/>
      <c r="G149" s="28"/>
    </row>
    <row r="150" customFormat="false" ht="15" hidden="false" customHeight="false" outlineLevel="0" collapsed="false">
      <c r="A150" s="28"/>
      <c r="B150" s="26"/>
      <c r="C150" s="32"/>
      <c r="D150" s="33" t="str">
        <f aca="false">IF(E150="","",IF(E150="HDFC Bank (INR)","INR","GBP"))</f>
        <v/>
      </c>
      <c r="E150" s="26"/>
      <c r="F150" s="28"/>
      <c r="G150" s="28"/>
    </row>
    <row r="151" customFormat="false" ht="15" hidden="false" customHeight="false" outlineLevel="0" collapsed="false">
      <c r="A151" s="28"/>
      <c r="B151" s="26"/>
      <c r="C151" s="32"/>
      <c r="D151" s="33" t="str">
        <f aca="false">IF(E151="","",IF(E151="HDFC Bank (INR)","INR","GBP"))</f>
        <v/>
      </c>
      <c r="E151" s="26"/>
      <c r="F151" s="28"/>
      <c r="G151" s="28"/>
    </row>
    <row r="152" customFormat="false" ht="15" hidden="false" customHeight="false" outlineLevel="0" collapsed="false">
      <c r="A152" s="28"/>
      <c r="B152" s="26"/>
      <c r="C152" s="32"/>
      <c r="D152" s="33" t="str">
        <f aca="false">IF(E152="","",IF(E152="HDFC Bank (INR)","INR","GBP"))</f>
        <v/>
      </c>
      <c r="E152" s="26"/>
      <c r="F152" s="28"/>
      <c r="G152" s="28"/>
    </row>
    <row r="153" customFormat="false" ht="15" hidden="false" customHeight="false" outlineLevel="0" collapsed="false">
      <c r="A153" s="28"/>
      <c r="B153" s="26"/>
      <c r="C153" s="32"/>
      <c r="D153" s="33" t="str">
        <f aca="false">IF(E153="","",IF(E153="HDFC Bank (INR)","INR","GBP"))</f>
        <v/>
      </c>
      <c r="E153" s="26"/>
      <c r="F153" s="28"/>
      <c r="G153" s="28"/>
    </row>
    <row r="154" customFormat="false" ht="15" hidden="false" customHeight="false" outlineLevel="0" collapsed="false">
      <c r="A154" s="28"/>
      <c r="B154" s="26"/>
      <c r="C154" s="32"/>
      <c r="D154" s="33" t="str">
        <f aca="false">IF(E154="","",IF(E154="HDFC Bank (INR)","INR","GBP"))</f>
        <v/>
      </c>
      <c r="E154" s="26"/>
      <c r="F154" s="28"/>
      <c r="G154" s="28"/>
    </row>
    <row r="155" customFormat="false" ht="15" hidden="false" customHeight="false" outlineLevel="0" collapsed="false">
      <c r="A155" s="28"/>
      <c r="B155" s="26"/>
      <c r="C155" s="32"/>
      <c r="D155" s="33" t="str">
        <f aca="false">IF(E155="","",IF(E155="HDFC Bank (INR)","INR","GBP"))</f>
        <v/>
      </c>
      <c r="E155" s="26"/>
      <c r="F155" s="28"/>
      <c r="G155" s="28"/>
    </row>
    <row r="156" customFormat="false" ht="15" hidden="false" customHeight="false" outlineLevel="0" collapsed="false">
      <c r="A156" s="28"/>
      <c r="B156" s="26"/>
      <c r="C156" s="32"/>
      <c r="D156" s="33" t="str">
        <f aca="false">IF(E156="","",IF(E156="HDFC Bank (INR)","INR","GBP"))</f>
        <v/>
      </c>
      <c r="E156" s="26"/>
      <c r="F156" s="28"/>
      <c r="G156" s="28"/>
    </row>
    <row r="157" customFormat="false" ht="15" hidden="false" customHeight="false" outlineLevel="0" collapsed="false">
      <c r="A157" s="28"/>
      <c r="B157" s="26"/>
      <c r="C157" s="32"/>
      <c r="D157" s="33" t="str">
        <f aca="false">IF(E157="","",IF(E157="HDFC Bank (INR)","INR","GBP"))</f>
        <v/>
      </c>
      <c r="E157" s="26"/>
      <c r="F157" s="28"/>
      <c r="G157" s="28"/>
    </row>
    <row r="158" customFormat="false" ht="15" hidden="false" customHeight="false" outlineLevel="0" collapsed="false">
      <c r="A158" s="28"/>
      <c r="B158" s="26"/>
      <c r="C158" s="32"/>
      <c r="D158" s="33" t="str">
        <f aca="false">IF(E158="","",IF(E158="HDFC Bank (INR)","INR","GBP"))</f>
        <v/>
      </c>
      <c r="E158" s="26"/>
      <c r="F158" s="28"/>
      <c r="G158" s="28"/>
    </row>
    <row r="159" customFormat="false" ht="15" hidden="false" customHeight="false" outlineLevel="0" collapsed="false">
      <c r="A159" s="28"/>
      <c r="B159" s="26"/>
      <c r="C159" s="32"/>
      <c r="D159" s="33" t="str">
        <f aca="false">IF(E159="","",IF(E159="HDFC Bank (INR)","INR","GBP"))</f>
        <v/>
      </c>
      <c r="E159" s="26"/>
      <c r="F159" s="28"/>
      <c r="G159" s="28"/>
    </row>
    <row r="160" customFormat="false" ht="15" hidden="false" customHeight="false" outlineLevel="0" collapsed="false">
      <c r="A160" s="28"/>
      <c r="B160" s="26"/>
      <c r="C160" s="32"/>
      <c r="D160" s="33" t="str">
        <f aca="false">IF(E160="","",IF(E160="HDFC Bank (INR)","INR","GBP"))</f>
        <v/>
      </c>
      <c r="E160" s="26"/>
      <c r="F160" s="28"/>
      <c r="G160" s="28"/>
    </row>
    <row r="161" customFormat="false" ht="15" hidden="false" customHeight="false" outlineLevel="0" collapsed="false">
      <c r="A161" s="28"/>
      <c r="B161" s="26"/>
      <c r="C161" s="32"/>
      <c r="D161" s="33" t="str">
        <f aca="false">IF(E161="","",IF(E161="HDFC Bank (INR)","INR","GBP"))</f>
        <v/>
      </c>
      <c r="E161" s="26"/>
      <c r="F161" s="28"/>
      <c r="G161" s="28"/>
    </row>
    <row r="162" customFormat="false" ht="15" hidden="false" customHeight="false" outlineLevel="0" collapsed="false">
      <c r="A162" s="28"/>
      <c r="B162" s="26"/>
      <c r="C162" s="32"/>
      <c r="D162" s="33" t="str">
        <f aca="false">IF(E162="","",IF(E162="HDFC Bank (INR)","INR","GBP"))</f>
        <v/>
      </c>
      <c r="E162" s="26"/>
      <c r="F162" s="28"/>
      <c r="G162" s="28"/>
    </row>
    <row r="163" customFormat="false" ht="15" hidden="false" customHeight="false" outlineLevel="0" collapsed="false">
      <c r="A163" s="28"/>
      <c r="B163" s="26"/>
      <c r="C163" s="32"/>
      <c r="D163" s="33" t="str">
        <f aca="false">IF(E163="","",IF(E163="HDFC Bank (INR)","INR","GBP"))</f>
        <v/>
      </c>
      <c r="E163" s="26"/>
      <c r="F163" s="28"/>
      <c r="G163" s="28"/>
    </row>
    <row r="164" customFormat="false" ht="15" hidden="false" customHeight="false" outlineLevel="0" collapsed="false">
      <c r="A164" s="28"/>
      <c r="B164" s="26"/>
      <c r="C164" s="32"/>
      <c r="D164" s="33" t="str">
        <f aca="false">IF(E164="","",IF(E164="HDFC Bank (INR)","INR","GBP"))</f>
        <v/>
      </c>
      <c r="E164" s="26"/>
      <c r="F164" s="28"/>
      <c r="G164" s="28"/>
    </row>
    <row r="165" customFormat="false" ht="15" hidden="false" customHeight="false" outlineLevel="0" collapsed="false">
      <c r="A165" s="28"/>
      <c r="B165" s="26"/>
      <c r="C165" s="32"/>
      <c r="D165" s="33" t="str">
        <f aca="false">IF(E165="","",IF(E165="HDFC Bank (INR)","INR","GBP"))</f>
        <v/>
      </c>
      <c r="E165" s="26"/>
      <c r="F165" s="28"/>
      <c r="G165" s="28"/>
    </row>
    <row r="166" customFormat="false" ht="15" hidden="false" customHeight="false" outlineLevel="0" collapsed="false">
      <c r="A166" s="28"/>
      <c r="B166" s="26"/>
      <c r="C166" s="32"/>
      <c r="D166" s="33" t="str">
        <f aca="false">IF(E166="","",IF(E166="HDFC Bank (INR)","INR","GBP"))</f>
        <v/>
      </c>
      <c r="E166" s="26"/>
      <c r="F166" s="28"/>
      <c r="G166" s="28"/>
    </row>
    <row r="167" customFormat="false" ht="15" hidden="false" customHeight="false" outlineLevel="0" collapsed="false">
      <c r="A167" s="28"/>
      <c r="B167" s="26"/>
      <c r="C167" s="32"/>
      <c r="D167" s="33" t="str">
        <f aca="false">IF(E167="","",IF(E167="HDFC Bank (INR)","INR","GBP"))</f>
        <v/>
      </c>
      <c r="E167" s="26"/>
      <c r="F167" s="28"/>
      <c r="G167" s="28"/>
    </row>
    <row r="168" customFormat="false" ht="15" hidden="false" customHeight="false" outlineLevel="0" collapsed="false">
      <c r="A168" s="28"/>
      <c r="B168" s="26"/>
      <c r="C168" s="32"/>
      <c r="D168" s="33" t="str">
        <f aca="false">IF(E168="","",IF(E168="HDFC Bank (INR)","INR","GBP"))</f>
        <v/>
      </c>
      <c r="E168" s="26"/>
      <c r="F168" s="28"/>
      <c r="G168" s="28"/>
    </row>
    <row r="169" customFormat="false" ht="15" hidden="false" customHeight="false" outlineLevel="0" collapsed="false">
      <c r="A169" s="28"/>
      <c r="B169" s="26"/>
      <c r="C169" s="32"/>
      <c r="D169" s="33" t="str">
        <f aca="false">IF(E169="","",IF(E169="HDFC Bank (INR)","INR","GBP"))</f>
        <v/>
      </c>
      <c r="E169" s="26"/>
      <c r="F169" s="28"/>
      <c r="G169" s="28"/>
    </row>
    <row r="170" customFormat="false" ht="15" hidden="false" customHeight="false" outlineLevel="0" collapsed="false">
      <c r="A170" s="28"/>
      <c r="B170" s="26"/>
      <c r="C170" s="32"/>
      <c r="D170" s="33" t="str">
        <f aca="false">IF(E170="","",IF(E170="HDFC Bank (INR)","INR","GBP"))</f>
        <v/>
      </c>
      <c r="E170" s="26"/>
      <c r="F170" s="28"/>
      <c r="G170" s="28"/>
    </row>
    <row r="171" customFormat="false" ht="15" hidden="false" customHeight="false" outlineLevel="0" collapsed="false">
      <c r="A171" s="28"/>
      <c r="B171" s="26"/>
      <c r="C171" s="32"/>
      <c r="D171" s="33" t="str">
        <f aca="false">IF(E171="","",IF(E171="HDFC Bank (INR)","INR","GBP"))</f>
        <v/>
      </c>
      <c r="E171" s="26"/>
      <c r="F171" s="28"/>
      <c r="G171" s="28"/>
    </row>
    <row r="172" customFormat="false" ht="15" hidden="false" customHeight="false" outlineLevel="0" collapsed="false">
      <c r="A172" s="28"/>
      <c r="B172" s="26"/>
      <c r="C172" s="32"/>
      <c r="D172" s="33" t="str">
        <f aca="false">IF(E172="","",IF(E172="HDFC Bank (INR)","INR","GBP"))</f>
        <v/>
      </c>
      <c r="E172" s="26"/>
      <c r="F172" s="28"/>
      <c r="G172" s="28"/>
    </row>
    <row r="173" customFormat="false" ht="15" hidden="false" customHeight="false" outlineLevel="0" collapsed="false">
      <c r="A173" s="28"/>
      <c r="B173" s="26"/>
      <c r="C173" s="32"/>
      <c r="D173" s="33" t="str">
        <f aca="false">IF(E173="","",IF(E173="HDFC Bank (INR)","INR","GBP"))</f>
        <v/>
      </c>
      <c r="E173" s="26"/>
      <c r="F173" s="28"/>
      <c r="G173" s="28"/>
    </row>
    <row r="174" customFormat="false" ht="15" hidden="false" customHeight="false" outlineLevel="0" collapsed="false">
      <c r="A174" s="28"/>
      <c r="B174" s="26"/>
      <c r="C174" s="32"/>
      <c r="D174" s="33" t="str">
        <f aca="false">IF(E174="","",IF(E174="HDFC Bank (INR)","INR","GBP"))</f>
        <v/>
      </c>
      <c r="E174" s="26"/>
      <c r="F174" s="28"/>
      <c r="G174" s="28"/>
    </row>
    <row r="175" customFormat="false" ht="15" hidden="false" customHeight="false" outlineLevel="0" collapsed="false">
      <c r="A175" s="28"/>
      <c r="B175" s="26"/>
      <c r="C175" s="32"/>
      <c r="D175" s="33" t="str">
        <f aca="false">IF(E175="","",IF(E175="HDFC Bank (INR)","INR","GBP"))</f>
        <v/>
      </c>
      <c r="E175" s="26"/>
      <c r="F175" s="28"/>
      <c r="G175" s="28"/>
    </row>
    <row r="176" customFormat="false" ht="15" hidden="false" customHeight="false" outlineLevel="0" collapsed="false">
      <c r="A176" s="28"/>
      <c r="B176" s="26"/>
      <c r="C176" s="32"/>
      <c r="D176" s="33" t="str">
        <f aca="false">IF(E176="","",IF(E176="HDFC Bank (INR)","INR","GBP"))</f>
        <v/>
      </c>
      <c r="E176" s="26"/>
      <c r="F176" s="28"/>
      <c r="G176" s="28"/>
    </row>
    <row r="177" customFormat="false" ht="15" hidden="false" customHeight="false" outlineLevel="0" collapsed="false">
      <c r="A177" s="28"/>
      <c r="B177" s="26"/>
      <c r="C177" s="32"/>
      <c r="D177" s="33" t="str">
        <f aca="false">IF(E177="","",IF(E177="HDFC Bank (INR)","INR","GBP"))</f>
        <v/>
      </c>
      <c r="E177" s="26"/>
      <c r="F177" s="28"/>
      <c r="G177" s="28"/>
    </row>
    <row r="178" customFormat="false" ht="15" hidden="false" customHeight="false" outlineLevel="0" collapsed="false">
      <c r="A178" s="28"/>
      <c r="B178" s="26"/>
      <c r="C178" s="32"/>
      <c r="D178" s="33" t="str">
        <f aca="false">IF(E178="","",IF(E178="HDFC Bank (INR)","INR","GBP"))</f>
        <v/>
      </c>
      <c r="E178" s="26"/>
      <c r="F178" s="28"/>
      <c r="G178" s="28"/>
    </row>
    <row r="179" customFormat="false" ht="15" hidden="false" customHeight="false" outlineLevel="0" collapsed="false">
      <c r="A179" s="28"/>
      <c r="B179" s="26"/>
      <c r="C179" s="32"/>
      <c r="D179" s="33" t="str">
        <f aca="false">IF(E179="","",IF(E179="HDFC Bank (INR)","INR","GBP"))</f>
        <v/>
      </c>
      <c r="E179" s="26"/>
      <c r="F179" s="28"/>
      <c r="G179" s="28"/>
    </row>
    <row r="180" customFormat="false" ht="15" hidden="false" customHeight="false" outlineLevel="0" collapsed="false">
      <c r="A180" s="28"/>
      <c r="B180" s="26"/>
      <c r="C180" s="32"/>
      <c r="D180" s="33" t="str">
        <f aca="false">IF(E180="","",IF(E180="HDFC Bank (INR)","INR","GBP"))</f>
        <v/>
      </c>
      <c r="E180" s="26"/>
      <c r="F180" s="28"/>
      <c r="G180" s="28"/>
    </row>
    <row r="181" customFormat="false" ht="15" hidden="false" customHeight="false" outlineLevel="0" collapsed="false">
      <c r="A181" s="28"/>
      <c r="B181" s="26"/>
      <c r="C181" s="32"/>
      <c r="D181" s="33" t="str">
        <f aca="false">IF(E181="","",IF(E181="HDFC Bank (INR)","INR","GBP"))</f>
        <v/>
      </c>
      <c r="E181" s="26"/>
      <c r="F181" s="28"/>
      <c r="G181" s="28"/>
    </row>
    <row r="182" customFormat="false" ht="15" hidden="false" customHeight="false" outlineLevel="0" collapsed="false">
      <c r="A182" s="28"/>
      <c r="B182" s="26"/>
      <c r="C182" s="32"/>
      <c r="D182" s="33" t="str">
        <f aca="false">IF(E182="","",IF(E182="HDFC Bank (INR)","INR","GBP"))</f>
        <v/>
      </c>
      <c r="E182" s="26"/>
      <c r="F182" s="28"/>
      <c r="G182" s="28"/>
    </row>
    <row r="183" customFormat="false" ht="15" hidden="false" customHeight="false" outlineLevel="0" collapsed="false">
      <c r="A183" s="28"/>
      <c r="B183" s="26"/>
      <c r="C183" s="32"/>
      <c r="D183" s="33" t="str">
        <f aca="false">IF(E183="","",IF(E183="HDFC Bank (INR)","INR","GBP"))</f>
        <v/>
      </c>
      <c r="E183" s="26"/>
      <c r="F183" s="28"/>
      <c r="G183" s="28"/>
    </row>
    <row r="184" customFormat="false" ht="15" hidden="false" customHeight="false" outlineLevel="0" collapsed="false">
      <c r="A184" s="28"/>
      <c r="B184" s="26"/>
      <c r="C184" s="32"/>
      <c r="D184" s="33" t="str">
        <f aca="false">IF(E184="","",IF(E184="HDFC Bank (INR)","INR","GBP"))</f>
        <v/>
      </c>
      <c r="E184" s="26"/>
      <c r="F184" s="28"/>
      <c r="G184" s="28"/>
    </row>
    <row r="185" customFormat="false" ht="15" hidden="false" customHeight="false" outlineLevel="0" collapsed="false">
      <c r="A185" s="28"/>
      <c r="B185" s="26"/>
      <c r="C185" s="32"/>
      <c r="D185" s="33" t="str">
        <f aca="false">IF(E185="","",IF(E185="HDFC Bank (INR)","INR","GBP"))</f>
        <v/>
      </c>
      <c r="E185" s="26"/>
      <c r="F185" s="28"/>
      <c r="G185" s="28"/>
    </row>
    <row r="186" customFormat="false" ht="15" hidden="false" customHeight="false" outlineLevel="0" collapsed="false">
      <c r="A186" s="28"/>
      <c r="B186" s="26"/>
      <c r="C186" s="32"/>
      <c r="D186" s="33" t="str">
        <f aca="false">IF(E186="","",IF(E186="HDFC Bank (INR)","INR","GBP"))</f>
        <v/>
      </c>
      <c r="E186" s="26"/>
      <c r="F186" s="28"/>
      <c r="G186" s="28"/>
    </row>
    <row r="187" customFormat="false" ht="15" hidden="false" customHeight="false" outlineLevel="0" collapsed="false">
      <c r="A187" s="28"/>
      <c r="B187" s="26"/>
      <c r="C187" s="32"/>
      <c r="D187" s="33" t="str">
        <f aca="false">IF(E187="","",IF(E187="HDFC Bank (INR)","INR","GBP"))</f>
        <v/>
      </c>
      <c r="E187" s="26"/>
      <c r="F187" s="28"/>
      <c r="G187" s="28"/>
    </row>
    <row r="188" customFormat="false" ht="15" hidden="false" customHeight="false" outlineLevel="0" collapsed="false">
      <c r="A188" s="28"/>
      <c r="B188" s="26"/>
      <c r="C188" s="32"/>
      <c r="D188" s="33" t="str">
        <f aca="false">IF(E188="","",IF(E188="HDFC Bank (INR)","INR","GBP"))</f>
        <v/>
      </c>
      <c r="E188" s="26"/>
      <c r="F188" s="28"/>
      <c r="G188" s="28"/>
    </row>
    <row r="189" customFormat="false" ht="15" hidden="false" customHeight="false" outlineLevel="0" collapsed="false">
      <c r="A189" s="28"/>
      <c r="B189" s="26"/>
      <c r="C189" s="32"/>
      <c r="D189" s="33" t="str">
        <f aca="false">IF(E189="","",IF(E189="HDFC Bank (INR)","INR","GBP"))</f>
        <v/>
      </c>
      <c r="E189" s="26"/>
      <c r="F189" s="28"/>
      <c r="G189" s="28"/>
    </row>
    <row r="190" customFormat="false" ht="15" hidden="false" customHeight="false" outlineLevel="0" collapsed="false">
      <c r="A190" s="28"/>
      <c r="B190" s="26"/>
      <c r="C190" s="32"/>
      <c r="D190" s="33" t="str">
        <f aca="false">IF(E190="","",IF(E190="HDFC Bank (INR)","INR","GBP"))</f>
        <v/>
      </c>
      <c r="E190" s="26"/>
      <c r="F190" s="28"/>
      <c r="G190" s="28"/>
    </row>
    <row r="191" customFormat="false" ht="15" hidden="false" customHeight="false" outlineLevel="0" collapsed="false">
      <c r="A191" s="28"/>
      <c r="B191" s="26"/>
      <c r="C191" s="32"/>
      <c r="D191" s="33" t="str">
        <f aca="false">IF(E191="","",IF(E191="HDFC Bank (INR)","INR","GBP"))</f>
        <v/>
      </c>
      <c r="E191" s="26"/>
      <c r="F191" s="28"/>
      <c r="G191" s="28"/>
    </row>
    <row r="192" customFormat="false" ht="15" hidden="false" customHeight="false" outlineLevel="0" collapsed="false">
      <c r="A192" s="28"/>
      <c r="B192" s="26"/>
      <c r="C192" s="32"/>
      <c r="D192" s="33" t="str">
        <f aca="false">IF(E192="","",IF(E192="HDFC Bank (INR)","INR","GBP"))</f>
        <v/>
      </c>
      <c r="E192" s="26"/>
      <c r="F192" s="28"/>
      <c r="G192" s="28"/>
    </row>
    <row r="193" customFormat="false" ht="15" hidden="false" customHeight="false" outlineLevel="0" collapsed="false">
      <c r="A193" s="28"/>
      <c r="B193" s="26"/>
      <c r="C193" s="32"/>
      <c r="D193" s="33" t="str">
        <f aca="false">IF(E193="","",IF(E193="HDFC Bank (INR)","INR","GBP"))</f>
        <v/>
      </c>
      <c r="E193" s="26"/>
      <c r="F193" s="28"/>
      <c r="G193" s="28"/>
    </row>
    <row r="194" customFormat="false" ht="15" hidden="false" customHeight="false" outlineLevel="0" collapsed="false">
      <c r="A194" s="28"/>
      <c r="B194" s="26"/>
      <c r="C194" s="32"/>
      <c r="D194" s="33" t="str">
        <f aca="false">IF(E194="","",IF(E194="HDFC Bank (INR)","INR","GBP"))</f>
        <v/>
      </c>
      <c r="E194" s="26"/>
      <c r="F194" s="28"/>
      <c r="G194" s="28"/>
    </row>
    <row r="195" customFormat="false" ht="15" hidden="false" customHeight="false" outlineLevel="0" collapsed="false">
      <c r="A195" s="28"/>
      <c r="B195" s="26"/>
      <c r="C195" s="32"/>
      <c r="D195" s="33" t="str">
        <f aca="false">IF(E195="","",IF(E195="HDFC Bank (INR)","INR","GBP"))</f>
        <v/>
      </c>
      <c r="E195" s="26"/>
      <c r="F195" s="28"/>
      <c r="G195" s="28"/>
    </row>
    <row r="196" customFormat="false" ht="15" hidden="false" customHeight="false" outlineLevel="0" collapsed="false">
      <c r="A196" s="28"/>
      <c r="B196" s="26"/>
      <c r="C196" s="32"/>
      <c r="D196" s="33" t="str">
        <f aca="false">IF(E196="","",IF(E196="HDFC Bank (INR)","INR","GBP"))</f>
        <v/>
      </c>
      <c r="E196" s="26"/>
      <c r="F196" s="28"/>
      <c r="G196" s="28"/>
    </row>
    <row r="197" customFormat="false" ht="15" hidden="false" customHeight="false" outlineLevel="0" collapsed="false">
      <c r="A197" s="28"/>
      <c r="B197" s="26"/>
      <c r="C197" s="32"/>
      <c r="D197" s="33" t="str">
        <f aca="false">IF(E197="","",IF(E197="HDFC Bank (INR)","INR","GBP"))</f>
        <v/>
      </c>
      <c r="E197" s="26"/>
      <c r="F197" s="28"/>
      <c r="G197" s="28"/>
    </row>
    <row r="198" customFormat="false" ht="15" hidden="false" customHeight="false" outlineLevel="0" collapsed="false">
      <c r="A198" s="28"/>
      <c r="B198" s="26"/>
      <c r="C198" s="32"/>
      <c r="D198" s="33" t="str">
        <f aca="false">IF(E198="","",IF(E198="HDFC Bank (INR)","INR","GBP"))</f>
        <v/>
      </c>
      <c r="E198" s="26"/>
      <c r="F198" s="28"/>
      <c r="G198" s="28"/>
    </row>
    <row r="199" customFormat="false" ht="15" hidden="false" customHeight="false" outlineLevel="0" collapsed="false">
      <c r="A199" s="28"/>
      <c r="B199" s="26"/>
      <c r="C199" s="32"/>
      <c r="D199" s="33" t="str">
        <f aca="false">IF(E199="","",IF(E199="HDFC Bank (INR)","INR","GBP"))</f>
        <v/>
      </c>
      <c r="E199" s="26"/>
      <c r="F199" s="28"/>
      <c r="G199" s="28"/>
    </row>
    <row r="200" customFormat="false" ht="15" hidden="false" customHeight="false" outlineLevel="0" collapsed="false">
      <c r="A200" s="28"/>
      <c r="B200" s="26"/>
      <c r="C200" s="32"/>
      <c r="D200" s="33" t="str">
        <f aca="false">IF(E200="","",IF(E200="HDFC Bank (INR)","INR","GBP"))</f>
        <v/>
      </c>
      <c r="E200" s="26"/>
      <c r="F200" s="28"/>
      <c r="G200" s="28"/>
    </row>
    <row r="201" customFormat="false" ht="15" hidden="false" customHeight="false" outlineLevel="0" collapsed="false">
      <c r="A201" s="28"/>
      <c r="B201" s="26"/>
      <c r="C201" s="32"/>
      <c r="D201" s="33" t="str">
        <f aca="false">IF(E201="","",IF(E201="HDFC Bank (INR)","INR","GBP"))</f>
        <v/>
      </c>
      <c r="E201" s="26"/>
      <c r="F201" s="28"/>
      <c r="G201" s="28"/>
    </row>
    <row r="202" customFormat="false" ht="15" hidden="false" customHeight="false" outlineLevel="0" collapsed="false">
      <c r="A202" s="28"/>
      <c r="B202" s="26"/>
      <c r="C202" s="32"/>
      <c r="D202" s="33" t="str">
        <f aca="false">IF(E202="","",IF(E202="HDFC Bank (INR)","INR","GBP"))</f>
        <v/>
      </c>
      <c r="E202" s="26"/>
      <c r="F202" s="28"/>
      <c r="G202" s="28"/>
    </row>
    <row r="203" customFormat="false" ht="15" hidden="false" customHeight="false" outlineLevel="0" collapsed="false">
      <c r="A203" s="28"/>
      <c r="B203" s="26"/>
      <c r="C203" s="32"/>
      <c r="D203" s="33" t="str">
        <f aca="false">IF(E203="","",IF(E203="HDFC Bank (INR)","INR","GBP"))</f>
        <v/>
      </c>
      <c r="E203" s="26"/>
      <c r="F203" s="28"/>
      <c r="G203" s="28"/>
    </row>
    <row r="204" customFormat="false" ht="15" hidden="false" customHeight="false" outlineLevel="0" collapsed="false">
      <c r="A204" s="28"/>
      <c r="B204" s="26"/>
      <c r="C204" s="32"/>
      <c r="D204" s="33" t="str">
        <f aca="false">IF(E204="","",IF(E204="HDFC Bank (INR)","INR","GBP"))</f>
        <v/>
      </c>
      <c r="E204" s="26"/>
      <c r="F204" s="28"/>
      <c r="G204" s="28"/>
    </row>
    <row r="205" customFormat="false" ht="15" hidden="false" customHeight="false" outlineLevel="0" collapsed="false">
      <c r="A205" s="28"/>
      <c r="B205" s="26"/>
      <c r="C205" s="32"/>
      <c r="D205" s="33" t="str">
        <f aca="false">IF(E205="","",IF(E205="HDFC Bank (INR)","INR","GBP"))</f>
        <v/>
      </c>
      <c r="E205" s="26"/>
      <c r="F205" s="28"/>
      <c r="G205" s="28"/>
    </row>
    <row r="206" customFormat="false" ht="15" hidden="false" customHeight="false" outlineLevel="0" collapsed="false">
      <c r="A206" s="28"/>
      <c r="B206" s="26"/>
      <c r="C206" s="32"/>
      <c r="D206" s="33" t="str">
        <f aca="false">IF(E206="","",IF(E206="HDFC Bank (INR)","INR","GBP"))</f>
        <v/>
      </c>
      <c r="E206" s="26"/>
      <c r="F206" s="28"/>
      <c r="G206" s="28"/>
    </row>
    <row r="207" customFormat="false" ht="15" hidden="false" customHeight="false" outlineLevel="0" collapsed="false">
      <c r="A207" s="28"/>
      <c r="B207" s="26"/>
      <c r="C207" s="32"/>
      <c r="D207" s="33" t="str">
        <f aca="false">IF(E207="","",IF(E207="HDFC Bank (INR)","INR","GBP"))</f>
        <v/>
      </c>
      <c r="E207" s="26"/>
      <c r="F207" s="28"/>
      <c r="G207" s="28"/>
    </row>
    <row r="208" customFormat="false" ht="15" hidden="false" customHeight="false" outlineLevel="0" collapsed="false">
      <c r="A208" s="28"/>
      <c r="B208" s="26"/>
      <c r="C208" s="32"/>
      <c r="D208" s="33" t="str">
        <f aca="false">IF(E208="","",IF(E208="HDFC Bank (INR)","INR","GBP"))</f>
        <v/>
      </c>
      <c r="E208" s="26"/>
      <c r="F208" s="28"/>
      <c r="G208" s="28"/>
    </row>
    <row r="209" customFormat="false" ht="15" hidden="false" customHeight="false" outlineLevel="0" collapsed="false">
      <c r="A209" s="28"/>
      <c r="B209" s="26"/>
      <c r="C209" s="32"/>
      <c r="D209" s="33" t="str">
        <f aca="false">IF(E209="","",IF(E209="HDFC Bank (INR)","INR","GBP"))</f>
        <v/>
      </c>
      <c r="E209" s="26"/>
      <c r="F209" s="28"/>
      <c r="G209" s="28"/>
    </row>
    <row r="210" customFormat="false" ht="15" hidden="false" customHeight="false" outlineLevel="0" collapsed="false">
      <c r="A210" s="28"/>
      <c r="B210" s="26"/>
      <c r="C210" s="32"/>
      <c r="D210" s="33" t="str">
        <f aca="false">IF(E210="","",IF(E210="HDFC Bank (INR)","INR","GBP"))</f>
        <v/>
      </c>
      <c r="E210" s="26"/>
      <c r="F210" s="28"/>
      <c r="G210" s="28"/>
    </row>
    <row r="211" customFormat="false" ht="15" hidden="false" customHeight="false" outlineLevel="0" collapsed="false">
      <c r="A211" s="28"/>
      <c r="B211" s="26"/>
      <c r="C211" s="32"/>
      <c r="D211" s="33" t="str">
        <f aca="false">IF(E211="","",IF(E211="HDFC Bank (INR)","INR","GBP"))</f>
        <v/>
      </c>
      <c r="E211" s="26"/>
      <c r="F211" s="28"/>
      <c r="G211" s="28"/>
    </row>
    <row r="212" customFormat="false" ht="15" hidden="false" customHeight="false" outlineLevel="0" collapsed="false">
      <c r="A212" s="28"/>
      <c r="B212" s="26"/>
      <c r="C212" s="32"/>
      <c r="D212" s="33" t="str">
        <f aca="false">IF(E212="","",IF(E212="HDFC Bank (INR)","INR","GBP"))</f>
        <v/>
      </c>
      <c r="E212" s="26"/>
      <c r="F212" s="28"/>
      <c r="G212" s="28"/>
    </row>
    <row r="213" customFormat="false" ht="15" hidden="false" customHeight="false" outlineLevel="0" collapsed="false">
      <c r="A213" s="28"/>
      <c r="B213" s="26"/>
      <c r="C213" s="32"/>
      <c r="D213" s="33" t="str">
        <f aca="false">IF(E213="","",IF(E213="HDFC Bank (INR)","INR","GBP"))</f>
        <v/>
      </c>
      <c r="E213" s="26"/>
      <c r="F213" s="28"/>
      <c r="G213" s="28"/>
    </row>
    <row r="214" customFormat="false" ht="15" hidden="false" customHeight="false" outlineLevel="0" collapsed="false">
      <c r="A214" s="28"/>
      <c r="B214" s="26"/>
      <c r="C214" s="32"/>
      <c r="D214" s="33" t="str">
        <f aca="false">IF(E214="","",IF(E214="HDFC Bank (INR)","INR","GBP"))</f>
        <v/>
      </c>
      <c r="E214" s="26"/>
      <c r="F214" s="28"/>
      <c r="G214" s="28"/>
    </row>
    <row r="215" customFormat="false" ht="15" hidden="false" customHeight="false" outlineLevel="0" collapsed="false">
      <c r="A215" s="28"/>
      <c r="B215" s="26"/>
      <c r="C215" s="32"/>
      <c r="D215" s="33" t="str">
        <f aca="false">IF(E215="","",IF(E215="HDFC Bank (INR)","INR","GBP"))</f>
        <v/>
      </c>
      <c r="E215" s="26"/>
      <c r="F215" s="28"/>
      <c r="G215" s="28"/>
    </row>
    <row r="216" customFormat="false" ht="15" hidden="false" customHeight="false" outlineLevel="0" collapsed="false">
      <c r="A216" s="28"/>
      <c r="B216" s="26"/>
      <c r="C216" s="32"/>
      <c r="D216" s="33" t="str">
        <f aca="false">IF(E216="","",IF(E216="HDFC Bank (INR)","INR","GBP"))</f>
        <v/>
      </c>
      <c r="E216" s="26"/>
      <c r="F216" s="28"/>
      <c r="G216" s="28"/>
    </row>
    <row r="217" customFormat="false" ht="15" hidden="false" customHeight="false" outlineLevel="0" collapsed="false">
      <c r="A217" s="28"/>
      <c r="B217" s="26"/>
      <c r="C217" s="32"/>
      <c r="D217" s="33" t="str">
        <f aca="false">IF(E217="","",IF(E217="HDFC Bank (INR)","INR","GBP"))</f>
        <v/>
      </c>
      <c r="E217" s="26"/>
      <c r="F217" s="28"/>
      <c r="G217" s="28"/>
    </row>
    <row r="218" customFormat="false" ht="15" hidden="false" customHeight="false" outlineLevel="0" collapsed="false">
      <c r="A218" s="28"/>
      <c r="B218" s="26"/>
      <c r="C218" s="32"/>
      <c r="D218" s="33" t="str">
        <f aca="false">IF(E218="","",IF(E218="HDFC Bank (INR)","INR","GBP"))</f>
        <v/>
      </c>
      <c r="E218" s="26"/>
      <c r="F218" s="28"/>
      <c r="G218" s="28"/>
    </row>
    <row r="219" customFormat="false" ht="15" hidden="false" customHeight="false" outlineLevel="0" collapsed="false">
      <c r="A219" s="28"/>
      <c r="B219" s="26"/>
      <c r="C219" s="32"/>
      <c r="D219" s="33" t="str">
        <f aca="false">IF(E219="","",IF(E219="HDFC Bank (INR)","INR","GBP"))</f>
        <v/>
      </c>
      <c r="E219" s="26"/>
      <c r="F219" s="28"/>
      <c r="G219" s="28"/>
    </row>
    <row r="220" customFormat="false" ht="15" hidden="false" customHeight="false" outlineLevel="0" collapsed="false">
      <c r="A220" s="28"/>
      <c r="B220" s="26"/>
      <c r="C220" s="32"/>
      <c r="D220" s="33" t="str">
        <f aca="false">IF(E220="","",IF(E220="HDFC Bank (INR)","INR","GBP"))</f>
        <v/>
      </c>
      <c r="E220" s="26"/>
      <c r="F220" s="28"/>
      <c r="G220" s="28"/>
    </row>
    <row r="221" customFormat="false" ht="15" hidden="false" customHeight="false" outlineLevel="0" collapsed="false">
      <c r="A221" s="28"/>
      <c r="B221" s="26"/>
      <c r="C221" s="32"/>
      <c r="D221" s="33" t="str">
        <f aca="false">IF(E221="","",IF(E221="HDFC Bank (INR)","INR","GBP"))</f>
        <v/>
      </c>
      <c r="E221" s="26"/>
      <c r="F221" s="28"/>
      <c r="G221" s="28"/>
    </row>
    <row r="222" customFormat="false" ht="15" hidden="false" customHeight="false" outlineLevel="0" collapsed="false">
      <c r="A222" s="28"/>
      <c r="B222" s="26"/>
      <c r="C222" s="32"/>
      <c r="D222" s="33" t="str">
        <f aca="false">IF(E222="","",IF(E222="HDFC Bank (INR)","INR","GBP"))</f>
        <v/>
      </c>
      <c r="E222" s="26"/>
      <c r="F222" s="28"/>
      <c r="G222" s="28"/>
    </row>
    <row r="223" customFormat="false" ht="15" hidden="false" customHeight="false" outlineLevel="0" collapsed="false">
      <c r="A223" s="28"/>
      <c r="B223" s="26"/>
      <c r="C223" s="32"/>
      <c r="D223" s="33" t="str">
        <f aca="false">IF(E223="","",IF(E223="HDFC Bank (INR)","INR","GBP"))</f>
        <v/>
      </c>
      <c r="E223" s="26"/>
      <c r="F223" s="28"/>
      <c r="G223" s="28"/>
    </row>
    <row r="224" customFormat="false" ht="15" hidden="false" customHeight="false" outlineLevel="0" collapsed="false">
      <c r="A224" s="28"/>
      <c r="B224" s="26"/>
      <c r="C224" s="32"/>
      <c r="D224" s="33" t="str">
        <f aca="false">IF(E224="","",IF(E224="HDFC Bank (INR)","INR","GBP"))</f>
        <v/>
      </c>
      <c r="E224" s="26"/>
      <c r="F224" s="28"/>
      <c r="G224" s="28"/>
    </row>
    <row r="225" customFormat="false" ht="15" hidden="false" customHeight="false" outlineLevel="0" collapsed="false">
      <c r="A225" s="28"/>
      <c r="B225" s="26"/>
      <c r="C225" s="32"/>
      <c r="D225" s="33" t="str">
        <f aca="false">IF(E225="","",IF(E225="HDFC Bank (INR)","INR","GBP"))</f>
        <v/>
      </c>
      <c r="E225" s="26"/>
      <c r="F225" s="28"/>
      <c r="G225" s="28"/>
    </row>
    <row r="226" customFormat="false" ht="15" hidden="false" customHeight="false" outlineLevel="0" collapsed="false">
      <c r="A226" s="28"/>
      <c r="B226" s="26"/>
      <c r="C226" s="32"/>
      <c r="D226" s="33" t="str">
        <f aca="false">IF(E226="","",IF(E226="HDFC Bank (INR)","INR","GBP"))</f>
        <v/>
      </c>
      <c r="E226" s="26"/>
      <c r="F226" s="28"/>
      <c r="G226" s="28"/>
    </row>
    <row r="227" customFormat="false" ht="15" hidden="false" customHeight="false" outlineLevel="0" collapsed="false">
      <c r="A227" s="28"/>
      <c r="B227" s="26"/>
      <c r="C227" s="32"/>
      <c r="D227" s="33" t="str">
        <f aca="false">IF(E227="","",IF(E227="HDFC Bank (INR)","INR","GBP"))</f>
        <v/>
      </c>
      <c r="E227" s="26"/>
      <c r="F227" s="28"/>
      <c r="G227" s="28"/>
    </row>
    <row r="228" customFormat="false" ht="15" hidden="false" customHeight="false" outlineLevel="0" collapsed="false">
      <c r="A228" s="28"/>
      <c r="B228" s="26"/>
      <c r="C228" s="32"/>
      <c r="D228" s="33" t="str">
        <f aca="false">IF(E228="","",IF(E228="HDFC Bank (INR)","INR","GBP"))</f>
        <v/>
      </c>
      <c r="E228" s="26"/>
      <c r="F228" s="28"/>
      <c r="G228" s="28"/>
    </row>
    <row r="229" customFormat="false" ht="15" hidden="false" customHeight="false" outlineLevel="0" collapsed="false">
      <c r="A229" s="28"/>
      <c r="B229" s="26"/>
      <c r="C229" s="32"/>
      <c r="D229" s="33" t="str">
        <f aca="false">IF(E229="","",IF(E229="HDFC Bank (INR)","INR","GBP"))</f>
        <v/>
      </c>
      <c r="E229" s="26"/>
      <c r="F229" s="28"/>
      <c r="G229" s="28"/>
    </row>
    <row r="230" customFormat="false" ht="15" hidden="false" customHeight="false" outlineLevel="0" collapsed="false">
      <c r="A230" s="28"/>
      <c r="B230" s="26"/>
      <c r="C230" s="32"/>
      <c r="D230" s="33" t="str">
        <f aca="false">IF(E230="","",IF(E230="HDFC Bank (INR)","INR","GBP"))</f>
        <v/>
      </c>
      <c r="E230" s="26"/>
      <c r="F230" s="28"/>
      <c r="G230" s="28"/>
    </row>
    <row r="231" customFormat="false" ht="15" hidden="false" customHeight="false" outlineLevel="0" collapsed="false">
      <c r="A231" s="28"/>
      <c r="B231" s="26"/>
      <c r="C231" s="32"/>
      <c r="D231" s="33" t="str">
        <f aca="false">IF(E231="","",IF(E231="HDFC Bank (INR)","INR","GBP"))</f>
        <v/>
      </c>
      <c r="E231" s="26"/>
      <c r="F231" s="28"/>
      <c r="G231" s="28"/>
    </row>
    <row r="232" customFormat="false" ht="15" hidden="false" customHeight="false" outlineLevel="0" collapsed="false">
      <c r="A232" s="28"/>
      <c r="B232" s="26"/>
      <c r="C232" s="32"/>
      <c r="D232" s="33" t="str">
        <f aca="false">IF(E232="","",IF(E232="HDFC Bank (INR)","INR","GBP"))</f>
        <v/>
      </c>
      <c r="E232" s="26"/>
      <c r="F232" s="28"/>
      <c r="G232" s="28"/>
    </row>
    <row r="233" customFormat="false" ht="15" hidden="false" customHeight="false" outlineLevel="0" collapsed="false">
      <c r="A233" s="28"/>
      <c r="B233" s="26"/>
      <c r="C233" s="32"/>
      <c r="D233" s="33" t="str">
        <f aca="false">IF(E233="","",IF(E233="HDFC Bank (INR)","INR","GBP"))</f>
        <v/>
      </c>
      <c r="E233" s="26"/>
      <c r="F233" s="28"/>
      <c r="G233" s="28"/>
    </row>
    <row r="234" customFormat="false" ht="15" hidden="false" customHeight="false" outlineLevel="0" collapsed="false">
      <c r="A234" s="28"/>
      <c r="B234" s="26"/>
      <c r="C234" s="32"/>
      <c r="D234" s="33" t="str">
        <f aca="false">IF(E234="","",IF(E234="HDFC Bank (INR)","INR","GBP"))</f>
        <v/>
      </c>
      <c r="E234" s="26"/>
      <c r="F234" s="28"/>
      <c r="G234" s="28"/>
    </row>
    <row r="235" customFormat="false" ht="15" hidden="false" customHeight="false" outlineLevel="0" collapsed="false">
      <c r="A235" s="28"/>
      <c r="B235" s="26"/>
      <c r="C235" s="32"/>
      <c r="D235" s="33" t="str">
        <f aca="false">IF(E235="","",IF(E235="HDFC Bank (INR)","INR","GBP"))</f>
        <v/>
      </c>
      <c r="E235" s="26"/>
      <c r="F235" s="28"/>
      <c r="G235" s="28"/>
    </row>
    <row r="236" customFormat="false" ht="15" hidden="false" customHeight="false" outlineLevel="0" collapsed="false">
      <c r="A236" s="28"/>
      <c r="B236" s="26"/>
      <c r="C236" s="32"/>
      <c r="D236" s="33" t="str">
        <f aca="false">IF(E236="","",IF(E236="HDFC Bank (INR)","INR","GBP"))</f>
        <v/>
      </c>
      <c r="E236" s="26"/>
      <c r="F236" s="28"/>
      <c r="G236" s="28"/>
    </row>
    <row r="237" customFormat="false" ht="15" hidden="false" customHeight="false" outlineLevel="0" collapsed="false">
      <c r="A237" s="28"/>
      <c r="B237" s="26"/>
      <c r="C237" s="32"/>
      <c r="D237" s="33" t="str">
        <f aca="false">IF(E237="","",IF(E237="HDFC Bank (INR)","INR","GBP"))</f>
        <v/>
      </c>
      <c r="E237" s="26"/>
      <c r="F237" s="28"/>
      <c r="G237" s="28"/>
    </row>
    <row r="238" customFormat="false" ht="15" hidden="false" customHeight="false" outlineLevel="0" collapsed="false">
      <c r="A238" s="28"/>
      <c r="B238" s="26"/>
      <c r="C238" s="32"/>
      <c r="D238" s="33" t="str">
        <f aca="false">IF(E238="","",IF(E238="HDFC Bank (INR)","INR","GBP"))</f>
        <v/>
      </c>
      <c r="E238" s="26"/>
      <c r="F238" s="28"/>
      <c r="G238" s="28"/>
    </row>
    <row r="239" customFormat="false" ht="15" hidden="false" customHeight="false" outlineLevel="0" collapsed="false">
      <c r="A239" s="28"/>
      <c r="B239" s="26"/>
      <c r="C239" s="32"/>
      <c r="D239" s="33" t="str">
        <f aca="false">IF(E239="","",IF(E239="HDFC Bank (INR)","INR","GBP"))</f>
        <v/>
      </c>
      <c r="E239" s="26"/>
      <c r="F239" s="28"/>
      <c r="G239" s="28"/>
    </row>
    <row r="240" customFormat="false" ht="15" hidden="false" customHeight="false" outlineLevel="0" collapsed="false">
      <c r="A240" s="28"/>
      <c r="B240" s="26"/>
      <c r="C240" s="32"/>
      <c r="D240" s="33" t="str">
        <f aca="false">IF(E240="","",IF(E240="HDFC Bank (INR)","INR","GBP"))</f>
        <v/>
      </c>
      <c r="E240" s="26"/>
      <c r="F240" s="28"/>
      <c r="G240" s="28"/>
    </row>
    <row r="241" customFormat="false" ht="15" hidden="false" customHeight="false" outlineLevel="0" collapsed="false">
      <c r="A241" s="28"/>
      <c r="B241" s="26"/>
      <c r="C241" s="32"/>
      <c r="D241" s="33" t="str">
        <f aca="false">IF(E241="","",IF(E241="HDFC Bank (INR)","INR","GBP"))</f>
        <v/>
      </c>
      <c r="E241" s="26"/>
      <c r="F241" s="28"/>
      <c r="G241" s="28"/>
    </row>
    <row r="242" customFormat="false" ht="15" hidden="false" customHeight="false" outlineLevel="0" collapsed="false">
      <c r="A242" s="28"/>
      <c r="B242" s="26"/>
      <c r="C242" s="32"/>
      <c r="D242" s="33" t="str">
        <f aca="false">IF(E242="","",IF(E242="HDFC Bank (INR)","INR","GBP"))</f>
        <v/>
      </c>
      <c r="E242" s="26"/>
      <c r="F242" s="28"/>
      <c r="G242" s="28"/>
    </row>
    <row r="243" customFormat="false" ht="15" hidden="false" customHeight="false" outlineLevel="0" collapsed="false">
      <c r="A243" s="28"/>
      <c r="B243" s="26"/>
      <c r="C243" s="32"/>
      <c r="D243" s="33" t="str">
        <f aca="false">IF(E243="","",IF(E243="HDFC Bank (INR)","INR","GBP"))</f>
        <v/>
      </c>
      <c r="E243" s="26"/>
      <c r="F243" s="28"/>
      <c r="G243" s="28"/>
    </row>
    <row r="244" customFormat="false" ht="15" hidden="false" customHeight="false" outlineLevel="0" collapsed="false">
      <c r="A244" s="28"/>
      <c r="B244" s="26"/>
      <c r="C244" s="32"/>
      <c r="D244" s="33" t="str">
        <f aca="false">IF(E244="","",IF(E244="HDFC Bank (INR)","INR","GBP"))</f>
        <v/>
      </c>
      <c r="E244" s="26"/>
      <c r="F244" s="28"/>
      <c r="G244" s="28"/>
    </row>
    <row r="245" customFormat="false" ht="15" hidden="false" customHeight="false" outlineLevel="0" collapsed="false">
      <c r="A245" s="28"/>
      <c r="B245" s="26"/>
      <c r="C245" s="32"/>
      <c r="D245" s="33" t="str">
        <f aca="false">IF(E245="","",IF(E245="HDFC Bank (INR)","INR","GBP"))</f>
        <v/>
      </c>
      <c r="E245" s="26"/>
      <c r="F245" s="28"/>
      <c r="G245" s="28"/>
    </row>
    <row r="246" customFormat="false" ht="15" hidden="false" customHeight="false" outlineLevel="0" collapsed="false">
      <c r="A246" s="28"/>
      <c r="B246" s="26"/>
      <c r="C246" s="32"/>
      <c r="D246" s="33" t="str">
        <f aca="false">IF(E246="","",IF(E246="HDFC Bank (INR)","INR","GBP"))</f>
        <v/>
      </c>
      <c r="E246" s="26"/>
      <c r="F246" s="28"/>
      <c r="G246" s="28"/>
    </row>
    <row r="247" customFormat="false" ht="15" hidden="false" customHeight="false" outlineLevel="0" collapsed="false">
      <c r="A247" s="28"/>
      <c r="B247" s="26"/>
      <c r="C247" s="32"/>
      <c r="D247" s="33" t="str">
        <f aca="false">IF(E247="","",IF(E247="HDFC Bank (INR)","INR","GBP"))</f>
        <v/>
      </c>
      <c r="E247" s="26"/>
      <c r="F247" s="28"/>
      <c r="G247" s="28"/>
    </row>
    <row r="248" customFormat="false" ht="15" hidden="false" customHeight="false" outlineLevel="0" collapsed="false">
      <c r="A248" s="28"/>
      <c r="B248" s="26"/>
      <c r="C248" s="32"/>
      <c r="D248" s="33" t="str">
        <f aca="false">IF(E248="","",IF(E248="HDFC Bank (INR)","INR","GBP"))</f>
        <v/>
      </c>
      <c r="E248" s="26"/>
      <c r="F248" s="28"/>
      <c r="G248" s="28"/>
    </row>
    <row r="249" customFormat="false" ht="15" hidden="false" customHeight="false" outlineLevel="0" collapsed="false">
      <c r="A249" s="28"/>
      <c r="B249" s="26"/>
      <c r="C249" s="32"/>
      <c r="D249" s="33" t="str">
        <f aca="false">IF(E249="","",IF(E249="HDFC Bank (INR)","INR","GBP"))</f>
        <v/>
      </c>
      <c r="E249" s="26"/>
      <c r="F249" s="28"/>
      <c r="G249" s="28"/>
    </row>
    <row r="250" customFormat="false" ht="15" hidden="false" customHeight="false" outlineLevel="0" collapsed="false">
      <c r="A250" s="28"/>
      <c r="B250" s="26"/>
      <c r="C250" s="32"/>
      <c r="D250" s="33" t="str">
        <f aca="false">IF(E250="","",IF(E250="HDFC Bank (INR)","INR","GBP"))</f>
        <v/>
      </c>
      <c r="E250" s="26"/>
      <c r="F250" s="28"/>
      <c r="G250" s="28"/>
    </row>
    <row r="251" customFormat="false" ht="15" hidden="false" customHeight="false" outlineLevel="0" collapsed="false">
      <c r="A251" s="28"/>
      <c r="B251" s="26"/>
      <c r="C251" s="32"/>
      <c r="D251" s="33" t="str">
        <f aca="false">IF(E251="","",IF(E251="HDFC Bank (INR)","INR","GBP"))</f>
        <v/>
      </c>
      <c r="E251" s="26"/>
      <c r="F251" s="28"/>
      <c r="G251" s="28"/>
    </row>
    <row r="252" customFormat="false" ht="15" hidden="false" customHeight="false" outlineLevel="0" collapsed="false">
      <c r="A252" s="28"/>
      <c r="B252" s="26"/>
      <c r="C252" s="32"/>
      <c r="D252" s="33" t="str">
        <f aca="false">IF(E252="","",IF(E252="HDFC Bank (INR)","INR","GBP"))</f>
        <v/>
      </c>
      <c r="E252" s="26"/>
      <c r="F252" s="28"/>
      <c r="G252" s="28"/>
    </row>
    <row r="253" customFormat="false" ht="15" hidden="false" customHeight="false" outlineLevel="0" collapsed="false">
      <c r="A253" s="28"/>
      <c r="B253" s="26"/>
      <c r="C253" s="32"/>
      <c r="D253" s="33" t="str">
        <f aca="false">IF(E253="","",IF(E253="HDFC Bank (INR)","INR","GBP"))</f>
        <v/>
      </c>
      <c r="E253" s="26"/>
      <c r="F253" s="28"/>
      <c r="G253" s="28"/>
    </row>
    <row r="254" customFormat="false" ht="15" hidden="false" customHeight="false" outlineLevel="0" collapsed="false">
      <c r="A254" s="28"/>
      <c r="B254" s="26"/>
      <c r="C254" s="32"/>
      <c r="D254" s="33" t="str">
        <f aca="false">IF(E254="","",IF(E254="HDFC Bank (INR)","INR","GBP"))</f>
        <v/>
      </c>
      <c r="E254" s="26"/>
      <c r="F254" s="28"/>
      <c r="G254" s="28"/>
    </row>
    <row r="255" customFormat="false" ht="15" hidden="false" customHeight="false" outlineLevel="0" collapsed="false">
      <c r="A255" s="28"/>
      <c r="B255" s="26"/>
      <c r="C255" s="32"/>
      <c r="D255" s="33" t="str">
        <f aca="false">IF(E255="","",IF(E255="HDFC Bank (INR)","INR","GBP"))</f>
        <v/>
      </c>
      <c r="E255" s="26"/>
      <c r="F255" s="28"/>
      <c r="G255" s="28"/>
    </row>
    <row r="256" customFormat="false" ht="15" hidden="false" customHeight="false" outlineLevel="0" collapsed="false">
      <c r="A256" s="28"/>
      <c r="B256" s="26"/>
      <c r="C256" s="32"/>
      <c r="D256" s="33" t="str">
        <f aca="false">IF(E256="","",IF(E256="HDFC Bank (INR)","INR","GBP"))</f>
        <v/>
      </c>
      <c r="E256" s="26"/>
      <c r="F256" s="28"/>
      <c r="G256" s="28"/>
    </row>
    <row r="257" customFormat="false" ht="15" hidden="false" customHeight="false" outlineLevel="0" collapsed="false">
      <c r="A257" s="28"/>
      <c r="B257" s="26"/>
      <c r="C257" s="32"/>
      <c r="D257" s="33" t="str">
        <f aca="false">IF(E257="","",IF(E257="HDFC Bank (INR)","INR","GBP"))</f>
        <v/>
      </c>
      <c r="E257" s="26"/>
      <c r="F257" s="28"/>
      <c r="G257" s="28"/>
    </row>
    <row r="258" customFormat="false" ht="15" hidden="false" customHeight="false" outlineLevel="0" collapsed="false">
      <c r="A258" s="28"/>
      <c r="B258" s="26"/>
      <c r="C258" s="32"/>
      <c r="D258" s="33" t="str">
        <f aca="false">IF(E258="","",IF(E258="HDFC Bank (INR)","INR","GBP"))</f>
        <v/>
      </c>
      <c r="E258" s="26"/>
      <c r="F258" s="28"/>
      <c r="G258" s="28"/>
    </row>
    <row r="259" customFormat="false" ht="15" hidden="false" customHeight="false" outlineLevel="0" collapsed="false">
      <c r="A259" s="28"/>
      <c r="B259" s="26"/>
      <c r="C259" s="32"/>
      <c r="D259" s="33" t="str">
        <f aca="false">IF(E259="","",IF(E259="HDFC Bank (INR)","INR","GBP"))</f>
        <v/>
      </c>
      <c r="E259" s="26"/>
      <c r="F259" s="28"/>
      <c r="G259" s="28"/>
    </row>
    <row r="260" customFormat="false" ht="15" hidden="false" customHeight="false" outlineLevel="0" collapsed="false">
      <c r="A260" s="28"/>
      <c r="B260" s="26"/>
      <c r="C260" s="32"/>
      <c r="D260" s="33" t="str">
        <f aca="false">IF(E260="","",IF(E260="HDFC Bank (INR)","INR","GBP"))</f>
        <v/>
      </c>
      <c r="E260" s="26"/>
      <c r="F260" s="28"/>
      <c r="G260" s="28"/>
    </row>
    <row r="261" customFormat="false" ht="15" hidden="false" customHeight="false" outlineLevel="0" collapsed="false">
      <c r="A261" s="28"/>
      <c r="B261" s="26"/>
      <c r="C261" s="32"/>
      <c r="D261" s="33" t="str">
        <f aca="false">IF(E261="","",IF(E261="HDFC Bank (INR)","INR","GBP"))</f>
        <v/>
      </c>
      <c r="E261" s="26"/>
      <c r="F261" s="28"/>
      <c r="G261" s="28"/>
    </row>
    <row r="262" customFormat="false" ht="15" hidden="false" customHeight="false" outlineLevel="0" collapsed="false">
      <c r="A262" s="28"/>
      <c r="B262" s="26"/>
      <c r="C262" s="32"/>
      <c r="D262" s="33" t="str">
        <f aca="false">IF(E262="","",IF(E262="HDFC Bank (INR)","INR","GBP"))</f>
        <v/>
      </c>
      <c r="E262" s="26"/>
      <c r="F262" s="28"/>
      <c r="G262" s="28"/>
    </row>
    <row r="263" customFormat="false" ht="15" hidden="false" customHeight="false" outlineLevel="0" collapsed="false">
      <c r="A263" s="28"/>
      <c r="B263" s="26"/>
      <c r="C263" s="32"/>
      <c r="D263" s="33" t="str">
        <f aca="false">IF(E263="","",IF(E263="HDFC Bank (INR)","INR","GBP"))</f>
        <v/>
      </c>
      <c r="E263" s="26"/>
      <c r="F263" s="28"/>
      <c r="G263" s="28"/>
    </row>
    <row r="264" customFormat="false" ht="15" hidden="false" customHeight="false" outlineLevel="0" collapsed="false">
      <c r="A264" s="28"/>
      <c r="B264" s="26"/>
      <c r="C264" s="32"/>
      <c r="D264" s="33" t="str">
        <f aca="false">IF(E264="","",IF(E264="HDFC Bank (INR)","INR","GBP"))</f>
        <v/>
      </c>
      <c r="E264" s="26"/>
      <c r="F264" s="28"/>
      <c r="G264" s="28"/>
    </row>
    <row r="265" customFormat="false" ht="15" hidden="false" customHeight="false" outlineLevel="0" collapsed="false">
      <c r="A265" s="28"/>
      <c r="B265" s="26"/>
      <c r="C265" s="32"/>
      <c r="D265" s="33" t="str">
        <f aca="false">IF(E265="","",IF(E265="HDFC Bank (INR)","INR","GBP"))</f>
        <v/>
      </c>
      <c r="E265" s="26"/>
      <c r="F265" s="28"/>
      <c r="G265" s="28"/>
    </row>
    <row r="266" customFormat="false" ht="15" hidden="false" customHeight="false" outlineLevel="0" collapsed="false">
      <c r="A266" s="28"/>
      <c r="B266" s="26"/>
      <c r="C266" s="32"/>
      <c r="D266" s="33" t="str">
        <f aca="false">IF(E266="","",IF(E266="HDFC Bank (INR)","INR","GBP"))</f>
        <v/>
      </c>
      <c r="E266" s="26"/>
      <c r="F266" s="28"/>
      <c r="G266" s="28"/>
    </row>
    <row r="267" customFormat="false" ht="15" hidden="false" customHeight="false" outlineLevel="0" collapsed="false">
      <c r="A267" s="28"/>
      <c r="B267" s="26"/>
      <c r="C267" s="32"/>
      <c r="D267" s="33" t="str">
        <f aca="false">IF(E267="","",IF(E267="HDFC Bank (INR)","INR","GBP"))</f>
        <v/>
      </c>
      <c r="E267" s="26"/>
      <c r="F267" s="28"/>
      <c r="G267" s="28"/>
    </row>
    <row r="268" customFormat="false" ht="15" hidden="false" customHeight="false" outlineLevel="0" collapsed="false">
      <c r="A268" s="28"/>
      <c r="B268" s="26"/>
      <c r="C268" s="32"/>
      <c r="D268" s="33" t="str">
        <f aca="false">IF(E268="","",IF(E268="HDFC Bank (INR)","INR","GBP"))</f>
        <v/>
      </c>
      <c r="E268" s="26"/>
      <c r="F268" s="28"/>
      <c r="G268" s="28"/>
    </row>
    <row r="269" customFormat="false" ht="15" hidden="false" customHeight="false" outlineLevel="0" collapsed="false">
      <c r="A269" s="28"/>
      <c r="B269" s="26"/>
      <c r="C269" s="32"/>
      <c r="D269" s="33" t="str">
        <f aca="false">IF(E269="","",IF(E269="HDFC Bank (INR)","INR","GBP"))</f>
        <v/>
      </c>
      <c r="E269" s="26"/>
      <c r="F269" s="28"/>
      <c r="G269" s="28"/>
    </row>
    <row r="270" customFormat="false" ht="15" hidden="false" customHeight="false" outlineLevel="0" collapsed="false">
      <c r="A270" s="28"/>
      <c r="B270" s="26"/>
      <c r="C270" s="32"/>
      <c r="D270" s="33" t="str">
        <f aca="false">IF(E270="","",IF(E270="HDFC Bank (INR)","INR","GBP"))</f>
        <v/>
      </c>
      <c r="E270" s="26"/>
      <c r="F270" s="28"/>
      <c r="G270" s="28"/>
    </row>
    <row r="271" customFormat="false" ht="15" hidden="false" customHeight="false" outlineLevel="0" collapsed="false">
      <c r="A271" s="28"/>
      <c r="B271" s="26"/>
      <c r="C271" s="32"/>
      <c r="D271" s="33" t="str">
        <f aca="false">IF(E271="","",IF(E271="HDFC Bank (INR)","INR","GBP"))</f>
        <v/>
      </c>
      <c r="E271" s="26"/>
      <c r="F271" s="28"/>
      <c r="G271" s="28"/>
    </row>
    <row r="272" customFormat="false" ht="15" hidden="false" customHeight="false" outlineLevel="0" collapsed="false">
      <c r="A272" s="28"/>
      <c r="B272" s="26"/>
      <c r="C272" s="32"/>
      <c r="D272" s="33" t="str">
        <f aca="false">IF(E272="","",IF(E272="HDFC Bank (INR)","INR","GBP"))</f>
        <v/>
      </c>
      <c r="E272" s="26"/>
      <c r="F272" s="28"/>
      <c r="G272" s="28"/>
    </row>
    <row r="273" customFormat="false" ht="15" hidden="false" customHeight="false" outlineLevel="0" collapsed="false">
      <c r="A273" s="28"/>
      <c r="B273" s="26"/>
      <c r="C273" s="32"/>
      <c r="D273" s="33" t="str">
        <f aca="false">IF(E273="","",IF(E273="HDFC Bank (INR)","INR","GBP"))</f>
        <v/>
      </c>
      <c r="E273" s="26"/>
      <c r="F273" s="28"/>
      <c r="G273" s="28"/>
    </row>
    <row r="274" customFormat="false" ht="15" hidden="false" customHeight="false" outlineLevel="0" collapsed="false">
      <c r="A274" s="28"/>
      <c r="B274" s="26"/>
      <c r="C274" s="32"/>
      <c r="D274" s="33" t="str">
        <f aca="false">IF(E274="","",IF(E274="HDFC Bank (INR)","INR","GBP"))</f>
        <v/>
      </c>
      <c r="E274" s="26"/>
      <c r="F274" s="28"/>
      <c r="G274" s="28"/>
    </row>
    <row r="275" customFormat="false" ht="15" hidden="false" customHeight="false" outlineLevel="0" collapsed="false">
      <c r="A275" s="28"/>
      <c r="B275" s="26"/>
      <c r="C275" s="32"/>
      <c r="D275" s="33" t="str">
        <f aca="false">IF(E275="","",IF(E275="HDFC Bank (INR)","INR","GBP"))</f>
        <v/>
      </c>
      <c r="E275" s="26"/>
      <c r="F275" s="28"/>
      <c r="G275" s="28"/>
    </row>
    <row r="276" customFormat="false" ht="15" hidden="false" customHeight="false" outlineLevel="0" collapsed="false">
      <c r="A276" s="28"/>
      <c r="B276" s="26"/>
      <c r="C276" s="32"/>
      <c r="D276" s="33" t="str">
        <f aca="false">IF(E276="","",IF(E276="HDFC Bank (INR)","INR","GBP"))</f>
        <v/>
      </c>
      <c r="E276" s="26"/>
      <c r="F276" s="28"/>
      <c r="G276" s="28"/>
    </row>
    <row r="277" customFormat="false" ht="15" hidden="false" customHeight="false" outlineLevel="0" collapsed="false">
      <c r="A277" s="28"/>
      <c r="B277" s="26"/>
      <c r="C277" s="32"/>
      <c r="D277" s="33" t="str">
        <f aca="false">IF(E277="","",IF(E277="HDFC Bank (INR)","INR","GBP"))</f>
        <v/>
      </c>
      <c r="E277" s="26"/>
      <c r="F277" s="28"/>
      <c r="G277" s="28"/>
    </row>
    <row r="278" customFormat="false" ht="15" hidden="false" customHeight="false" outlineLevel="0" collapsed="false">
      <c r="A278" s="28"/>
      <c r="B278" s="26"/>
      <c r="C278" s="32"/>
      <c r="D278" s="33" t="str">
        <f aca="false">IF(E278="","",IF(E278="HDFC Bank (INR)","INR","GBP"))</f>
        <v/>
      </c>
      <c r="E278" s="26"/>
      <c r="F278" s="28"/>
      <c r="G278" s="28"/>
    </row>
    <row r="279" customFormat="false" ht="15" hidden="false" customHeight="false" outlineLevel="0" collapsed="false">
      <c r="A279" s="28"/>
      <c r="B279" s="26"/>
      <c r="C279" s="32"/>
      <c r="D279" s="33" t="str">
        <f aca="false">IF(E279="","",IF(E279="HDFC Bank (INR)","INR","GBP"))</f>
        <v/>
      </c>
      <c r="E279" s="26"/>
      <c r="F279" s="28"/>
      <c r="G279" s="28"/>
    </row>
    <row r="280" customFormat="false" ht="15" hidden="false" customHeight="false" outlineLevel="0" collapsed="false">
      <c r="A280" s="28"/>
      <c r="B280" s="26"/>
      <c r="C280" s="32"/>
      <c r="D280" s="33" t="str">
        <f aca="false">IF(E280="","",IF(E280="HDFC Bank (INR)","INR","GBP"))</f>
        <v/>
      </c>
      <c r="E280" s="26"/>
      <c r="F280" s="28"/>
      <c r="G280" s="28"/>
    </row>
    <row r="281" customFormat="false" ht="15" hidden="false" customHeight="false" outlineLevel="0" collapsed="false">
      <c r="A281" s="28"/>
      <c r="B281" s="26"/>
      <c r="C281" s="32"/>
      <c r="D281" s="33" t="str">
        <f aca="false">IF(E281="","",IF(E281="HDFC Bank (INR)","INR","GBP"))</f>
        <v/>
      </c>
      <c r="E281" s="26"/>
      <c r="F281" s="28"/>
      <c r="G281" s="28"/>
    </row>
    <row r="282" customFormat="false" ht="15" hidden="false" customHeight="false" outlineLevel="0" collapsed="false">
      <c r="A282" s="28"/>
      <c r="B282" s="26"/>
      <c r="C282" s="32"/>
      <c r="D282" s="33" t="str">
        <f aca="false">IF(E282="","",IF(E282="HDFC Bank (INR)","INR","GBP"))</f>
        <v/>
      </c>
      <c r="E282" s="26"/>
      <c r="F282" s="28"/>
      <c r="G282" s="28"/>
    </row>
    <row r="283" customFormat="false" ht="15" hidden="false" customHeight="false" outlineLevel="0" collapsed="false">
      <c r="A283" s="28"/>
      <c r="B283" s="26"/>
      <c r="C283" s="32"/>
      <c r="D283" s="33" t="str">
        <f aca="false">IF(E283="","",IF(E283="HDFC Bank (INR)","INR","GBP"))</f>
        <v/>
      </c>
      <c r="E283" s="26"/>
      <c r="F283" s="28"/>
      <c r="G283" s="28"/>
    </row>
    <row r="284" customFormat="false" ht="15" hidden="false" customHeight="false" outlineLevel="0" collapsed="false">
      <c r="A284" s="28"/>
      <c r="B284" s="26"/>
      <c r="C284" s="32"/>
      <c r="D284" s="33" t="str">
        <f aca="false">IF(E284="","",IF(E284="HDFC Bank (INR)","INR","GBP"))</f>
        <v/>
      </c>
      <c r="E284" s="26"/>
      <c r="F284" s="28"/>
      <c r="G284" s="28"/>
    </row>
    <row r="285" customFormat="false" ht="15" hidden="false" customHeight="false" outlineLevel="0" collapsed="false">
      <c r="A285" s="28"/>
      <c r="B285" s="26"/>
      <c r="C285" s="32"/>
      <c r="D285" s="33" t="str">
        <f aca="false">IF(E285="","",IF(E285="HDFC Bank (INR)","INR","GBP"))</f>
        <v/>
      </c>
      <c r="E285" s="26"/>
      <c r="F285" s="28"/>
      <c r="G285" s="28"/>
    </row>
    <row r="286" customFormat="false" ht="15" hidden="false" customHeight="false" outlineLevel="0" collapsed="false">
      <c r="A286" s="28"/>
      <c r="B286" s="26"/>
      <c r="C286" s="32"/>
      <c r="D286" s="33" t="str">
        <f aca="false">IF(E286="","",IF(E286="HDFC Bank (INR)","INR","GBP"))</f>
        <v/>
      </c>
      <c r="E286" s="26"/>
      <c r="F286" s="28"/>
      <c r="G286" s="28"/>
    </row>
    <row r="287" customFormat="false" ht="15" hidden="false" customHeight="false" outlineLevel="0" collapsed="false">
      <c r="A287" s="28"/>
      <c r="B287" s="26"/>
      <c r="C287" s="32"/>
      <c r="D287" s="33" t="str">
        <f aca="false">IF(E287="","",IF(E287="HDFC Bank (INR)","INR","GBP"))</f>
        <v/>
      </c>
      <c r="E287" s="26"/>
      <c r="F287" s="28"/>
      <c r="G287" s="28"/>
    </row>
    <row r="288" customFormat="false" ht="15" hidden="false" customHeight="false" outlineLevel="0" collapsed="false">
      <c r="A288" s="28"/>
      <c r="B288" s="26"/>
      <c r="C288" s="32"/>
      <c r="D288" s="33" t="str">
        <f aca="false">IF(E288="","",IF(E288="HDFC Bank (INR)","INR","GBP"))</f>
        <v/>
      </c>
      <c r="E288" s="26"/>
      <c r="F288" s="28"/>
      <c r="G288" s="28"/>
    </row>
    <row r="289" customFormat="false" ht="15" hidden="false" customHeight="false" outlineLevel="0" collapsed="false">
      <c r="A289" s="28"/>
      <c r="B289" s="26"/>
      <c r="C289" s="32"/>
      <c r="D289" s="33" t="str">
        <f aca="false">IF(E289="","",IF(E289="HDFC Bank (INR)","INR","GBP"))</f>
        <v/>
      </c>
      <c r="E289" s="26"/>
      <c r="F289" s="28"/>
      <c r="G289" s="28"/>
    </row>
    <row r="290" customFormat="false" ht="15" hidden="false" customHeight="false" outlineLevel="0" collapsed="false">
      <c r="A290" s="28"/>
      <c r="B290" s="26"/>
      <c r="C290" s="32"/>
      <c r="D290" s="33" t="str">
        <f aca="false">IF(E290="","",IF(E290="HDFC Bank (INR)","INR","GBP"))</f>
        <v/>
      </c>
      <c r="E290" s="26"/>
      <c r="F290" s="28"/>
      <c r="G290" s="28"/>
    </row>
    <row r="291" customFormat="false" ht="15" hidden="false" customHeight="false" outlineLevel="0" collapsed="false">
      <c r="A291" s="28"/>
      <c r="B291" s="26"/>
      <c r="C291" s="32"/>
      <c r="D291" s="33" t="str">
        <f aca="false">IF(E291="","",IF(E291="HDFC Bank (INR)","INR","GBP"))</f>
        <v/>
      </c>
      <c r="E291" s="26"/>
      <c r="F291" s="28"/>
      <c r="G291" s="28"/>
    </row>
    <row r="292" customFormat="false" ht="15" hidden="false" customHeight="false" outlineLevel="0" collapsed="false">
      <c r="A292" s="28"/>
      <c r="B292" s="26"/>
      <c r="C292" s="32"/>
      <c r="D292" s="33" t="str">
        <f aca="false">IF(E292="","",IF(E292="HDFC Bank (INR)","INR","GBP"))</f>
        <v/>
      </c>
      <c r="E292" s="26"/>
      <c r="F292" s="28"/>
      <c r="G292" s="28"/>
    </row>
    <row r="293" customFormat="false" ht="15" hidden="false" customHeight="false" outlineLevel="0" collapsed="false">
      <c r="A293" s="28"/>
      <c r="B293" s="26"/>
      <c r="C293" s="32"/>
      <c r="D293" s="33" t="str">
        <f aca="false">IF(E293="","",IF(E293="HDFC Bank (INR)","INR","GBP"))</f>
        <v/>
      </c>
      <c r="E293" s="26"/>
      <c r="F293" s="28"/>
      <c r="G293" s="28"/>
    </row>
    <row r="294" customFormat="false" ht="15" hidden="false" customHeight="false" outlineLevel="0" collapsed="false">
      <c r="A294" s="28"/>
      <c r="B294" s="26"/>
      <c r="C294" s="32"/>
      <c r="D294" s="33" t="str">
        <f aca="false">IF(E294="","",IF(E294="HDFC Bank (INR)","INR","GBP"))</f>
        <v/>
      </c>
      <c r="E294" s="26"/>
      <c r="F294" s="28"/>
      <c r="G294" s="28"/>
    </row>
    <row r="295" customFormat="false" ht="15" hidden="false" customHeight="false" outlineLevel="0" collapsed="false">
      <c r="A295" s="28"/>
      <c r="B295" s="26"/>
      <c r="C295" s="32"/>
      <c r="D295" s="33" t="str">
        <f aca="false">IF(E295="","",IF(E295="HDFC Bank (INR)","INR","GBP"))</f>
        <v/>
      </c>
      <c r="E295" s="26"/>
      <c r="F295" s="28"/>
      <c r="G295" s="28"/>
    </row>
    <row r="296" customFormat="false" ht="15" hidden="false" customHeight="false" outlineLevel="0" collapsed="false">
      <c r="A296" s="28"/>
      <c r="B296" s="26"/>
      <c r="C296" s="32"/>
      <c r="D296" s="33" t="str">
        <f aca="false">IF(E296="","",IF(E296="HDFC Bank (INR)","INR","GBP"))</f>
        <v/>
      </c>
      <c r="E296" s="26"/>
      <c r="F296" s="28"/>
      <c r="G296" s="28"/>
    </row>
    <row r="297" customFormat="false" ht="15" hidden="false" customHeight="false" outlineLevel="0" collapsed="false">
      <c r="A297" s="28"/>
      <c r="B297" s="26"/>
      <c r="C297" s="32"/>
      <c r="D297" s="33" t="str">
        <f aca="false">IF(E297="","",IF(E297="HDFC Bank (INR)","INR","GBP"))</f>
        <v/>
      </c>
      <c r="E297" s="26"/>
      <c r="F297" s="28"/>
      <c r="G297" s="28"/>
    </row>
    <row r="298" customFormat="false" ht="15" hidden="false" customHeight="false" outlineLevel="0" collapsed="false">
      <c r="A298" s="28"/>
      <c r="B298" s="26"/>
      <c r="C298" s="32"/>
      <c r="D298" s="33" t="str">
        <f aca="false">IF(E298="","",IF(E298="HDFC Bank (INR)","INR","GBP"))</f>
        <v/>
      </c>
      <c r="E298" s="26"/>
      <c r="F298" s="28"/>
      <c r="G298" s="28"/>
    </row>
    <row r="299" customFormat="false" ht="15" hidden="false" customHeight="false" outlineLevel="0" collapsed="false">
      <c r="A299" s="28"/>
      <c r="B299" s="26"/>
      <c r="C299" s="32"/>
      <c r="D299" s="33" t="str">
        <f aca="false">IF(E299="","",IF(E299="HDFC Bank (INR)","INR","GBP"))</f>
        <v/>
      </c>
      <c r="E299" s="26"/>
      <c r="F299" s="28"/>
      <c r="G299" s="28"/>
    </row>
    <row r="300" customFormat="false" ht="15" hidden="false" customHeight="false" outlineLevel="0" collapsed="false">
      <c r="A300" s="28"/>
      <c r="B300" s="26"/>
      <c r="C300" s="32"/>
      <c r="D300" s="33" t="str">
        <f aca="false">IF(E300="","",IF(E300="HDFC Bank (INR)","INR","GBP"))</f>
        <v/>
      </c>
      <c r="E300" s="26"/>
      <c r="F300" s="28"/>
      <c r="G300" s="28"/>
    </row>
    <row r="301" customFormat="false" ht="15" hidden="false" customHeight="false" outlineLevel="0" collapsed="false">
      <c r="A301" s="28"/>
      <c r="B301" s="26"/>
      <c r="C301" s="32"/>
      <c r="D301" s="33" t="str">
        <f aca="false">IF(E301="","",IF(E301="HDFC Bank (INR)","INR","GBP"))</f>
        <v/>
      </c>
      <c r="E301" s="26"/>
      <c r="F301" s="28"/>
      <c r="G301" s="28"/>
    </row>
    <row r="302" customFormat="false" ht="15" hidden="false" customHeight="false" outlineLevel="0" collapsed="false">
      <c r="A302" s="28"/>
      <c r="B302" s="26"/>
      <c r="C302" s="32"/>
      <c r="D302" s="33" t="str">
        <f aca="false">IF(E302="","",IF(E302="HDFC Bank (INR)","INR","GBP"))</f>
        <v/>
      </c>
      <c r="E302" s="26"/>
      <c r="F302" s="28"/>
      <c r="G302" s="28"/>
    </row>
    <row r="303" customFormat="false" ht="15" hidden="false" customHeight="false" outlineLevel="0" collapsed="false">
      <c r="A303" s="28"/>
      <c r="B303" s="26"/>
      <c r="C303" s="32"/>
      <c r="D303" s="33" t="str">
        <f aca="false">IF(E303="","",IF(E303="HDFC Bank (INR)","INR","GBP"))</f>
        <v/>
      </c>
      <c r="E303" s="26"/>
      <c r="F303" s="28"/>
      <c r="G303" s="28"/>
    </row>
    <row r="304" customFormat="false" ht="15" hidden="false" customHeight="false" outlineLevel="0" collapsed="false">
      <c r="A304" s="28"/>
      <c r="B304" s="26"/>
      <c r="C304" s="32"/>
      <c r="D304" s="33" t="str">
        <f aca="false">IF(E304="","",IF(E304="HDFC Bank (INR)","INR","GBP"))</f>
        <v/>
      </c>
      <c r="E304" s="26"/>
      <c r="F304" s="28"/>
      <c r="G304" s="28"/>
    </row>
    <row r="305" customFormat="false" ht="15" hidden="false" customHeight="false" outlineLevel="0" collapsed="false">
      <c r="A305" s="28"/>
      <c r="B305" s="26"/>
      <c r="C305" s="32"/>
      <c r="D305" s="33" t="str">
        <f aca="false">IF(E305="","",IF(E305="HDFC Bank (INR)","INR","GBP"))</f>
        <v/>
      </c>
      <c r="E305" s="26"/>
      <c r="F305" s="28"/>
      <c r="G305" s="28"/>
    </row>
    <row r="306" customFormat="false" ht="15" hidden="false" customHeight="false" outlineLevel="0" collapsed="false">
      <c r="A306" s="28"/>
      <c r="B306" s="26"/>
      <c r="C306" s="32"/>
      <c r="D306" s="33" t="str">
        <f aca="false">IF(E306="","",IF(E306="HDFC Bank (INR)","INR","GBP"))</f>
        <v/>
      </c>
      <c r="E306" s="26"/>
      <c r="F306" s="28"/>
      <c r="G306" s="28"/>
    </row>
    <row r="307" customFormat="false" ht="15" hidden="false" customHeight="false" outlineLevel="0" collapsed="false">
      <c r="A307" s="28"/>
      <c r="B307" s="26"/>
      <c r="C307" s="32"/>
      <c r="D307" s="33" t="str">
        <f aca="false">IF(E307="","",IF(E307="HDFC Bank (INR)","INR","GBP"))</f>
        <v/>
      </c>
      <c r="E307" s="26"/>
      <c r="F307" s="28"/>
      <c r="G307" s="28"/>
    </row>
    <row r="308" customFormat="false" ht="15" hidden="false" customHeight="false" outlineLevel="0" collapsed="false">
      <c r="A308" s="28"/>
      <c r="B308" s="26"/>
      <c r="C308" s="32"/>
      <c r="D308" s="33" t="str">
        <f aca="false">IF(E308="","",IF(E308="HDFC Bank (INR)","INR","GBP"))</f>
        <v/>
      </c>
      <c r="E308" s="26"/>
      <c r="F308" s="28"/>
      <c r="G308" s="28"/>
    </row>
    <row r="309" customFormat="false" ht="15" hidden="false" customHeight="false" outlineLevel="0" collapsed="false">
      <c r="A309" s="28"/>
      <c r="B309" s="26"/>
      <c r="C309" s="32"/>
      <c r="D309" s="33" t="str">
        <f aca="false">IF(E309="","",IF(E309="HDFC Bank (INR)","INR","GBP"))</f>
        <v/>
      </c>
      <c r="E309" s="26"/>
      <c r="F309" s="28"/>
      <c r="G309" s="28"/>
    </row>
    <row r="310" customFormat="false" ht="15" hidden="false" customHeight="false" outlineLevel="0" collapsed="false">
      <c r="A310" s="28"/>
      <c r="B310" s="26"/>
      <c r="C310" s="32"/>
      <c r="D310" s="33" t="str">
        <f aca="false">IF(E310="","",IF(E310="HDFC Bank (INR)","INR","GBP"))</f>
        <v/>
      </c>
      <c r="E310" s="26"/>
      <c r="F310" s="28"/>
      <c r="G310" s="28"/>
    </row>
    <row r="311" customFormat="false" ht="15" hidden="false" customHeight="false" outlineLevel="0" collapsed="false">
      <c r="A311" s="28"/>
      <c r="B311" s="26"/>
      <c r="C311" s="32"/>
      <c r="D311" s="33" t="str">
        <f aca="false">IF(E311="","",IF(E311="HDFC Bank (INR)","INR","GBP"))</f>
        <v/>
      </c>
      <c r="E311" s="26"/>
      <c r="F311" s="28"/>
      <c r="G311" s="28"/>
    </row>
    <row r="312" customFormat="false" ht="15" hidden="false" customHeight="false" outlineLevel="0" collapsed="false">
      <c r="A312" s="28"/>
      <c r="B312" s="26"/>
      <c r="C312" s="32"/>
      <c r="D312" s="33" t="str">
        <f aca="false">IF(E312="","",IF(E312="HDFC Bank (INR)","INR","GBP"))</f>
        <v/>
      </c>
      <c r="E312" s="26"/>
      <c r="F312" s="28"/>
      <c r="G312" s="28"/>
    </row>
    <row r="313" customFormat="false" ht="15" hidden="false" customHeight="false" outlineLevel="0" collapsed="false">
      <c r="A313" s="28"/>
      <c r="B313" s="26"/>
      <c r="C313" s="32"/>
      <c r="D313" s="33" t="str">
        <f aca="false">IF(E313="","",IF(E313="HDFC Bank (INR)","INR","GBP"))</f>
        <v/>
      </c>
      <c r="E313" s="26"/>
      <c r="F313" s="28"/>
      <c r="G313" s="28"/>
    </row>
    <row r="314" customFormat="false" ht="15" hidden="false" customHeight="false" outlineLevel="0" collapsed="false">
      <c r="A314" s="28"/>
      <c r="B314" s="26"/>
      <c r="C314" s="32"/>
      <c r="D314" s="33" t="str">
        <f aca="false">IF(E314="","",IF(E314="HDFC Bank (INR)","INR","GBP"))</f>
        <v/>
      </c>
      <c r="E314" s="26"/>
      <c r="F314" s="28"/>
      <c r="G314" s="28"/>
    </row>
    <row r="315" customFormat="false" ht="15" hidden="false" customHeight="false" outlineLevel="0" collapsed="false">
      <c r="A315" s="28"/>
      <c r="B315" s="26"/>
      <c r="C315" s="32"/>
      <c r="D315" s="33" t="str">
        <f aca="false">IF(E315="","",IF(E315="HDFC Bank (INR)","INR","GBP"))</f>
        <v/>
      </c>
      <c r="E315" s="26"/>
      <c r="F315" s="28"/>
      <c r="G315" s="28"/>
    </row>
    <row r="316" customFormat="false" ht="15" hidden="false" customHeight="false" outlineLevel="0" collapsed="false">
      <c r="A316" s="28"/>
      <c r="B316" s="26"/>
      <c r="C316" s="32"/>
      <c r="D316" s="33" t="str">
        <f aca="false">IF(E316="","",IF(E316="HDFC Bank (INR)","INR","GBP"))</f>
        <v/>
      </c>
      <c r="E316" s="26"/>
      <c r="F316" s="28"/>
      <c r="G316" s="28"/>
    </row>
    <row r="317" customFormat="false" ht="15" hidden="false" customHeight="false" outlineLevel="0" collapsed="false">
      <c r="A317" s="28"/>
      <c r="B317" s="26"/>
      <c r="C317" s="32"/>
      <c r="D317" s="33" t="str">
        <f aca="false">IF(E317="","",IF(E317="HDFC Bank (INR)","INR","GBP"))</f>
        <v/>
      </c>
      <c r="E317" s="26"/>
      <c r="F317" s="28"/>
      <c r="G317" s="28"/>
    </row>
    <row r="318" customFormat="false" ht="15" hidden="false" customHeight="false" outlineLevel="0" collapsed="false">
      <c r="A318" s="28"/>
      <c r="B318" s="26"/>
      <c r="C318" s="32"/>
      <c r="D318" s="33" t="str">
        <f aca="false">IF(E318="","",IF(E318="HDFC Bank (INR)","INR","GBP"))</f>
        <v/>
      </c>
      <c r="E318" s="26"/>
      <c r="F318" s="28"/>
      <c r="G318" s="28"/>
    </row>
    <row r="319" customFormat="false" ht="15" hidden="false" customHeight="false" outlineLevel="0" collapsed="false">
      <c r="A319" s="28"/>
      <c r="B319" s="26"/>
      <c r="C319" s="32"/>
      <c r="D319" s="33" t="str">
        <f aca="false">IF(E319="","",IF(E319="HDFC Bank (INR)","INR","GBP"))</f>
        <v/>
      </c>
      <c r="E319" s="26"/>
      <c r="F319" s="28"/>
      <c r="G319" s="28"/>
    </row>
    <row r="320" customFormat="false" ht="15" hidden="false" customHeight="false" outlineLevel="0" collapsed="false">
      <c r="A320" s="28"/>
      <c r="B320" s="26"/>
      <c r="C320" s="32"/>
      <c r="D320" s="33" t="str">
        <f aca="false">IF(E320="","",IF(E320="HDFC Bank (INR)","INR","GBP"))</f>
        <v/>
      </c>
      <c r="E320" s="26"/>
      <c r="F320" s="28"/>
      <c r="G320" s="28"/>
    </row>
    <row r="321" customFormat="false" ht="15" hidden="false" customHeight="false" outlineLevel="0" collapsed="false">
      <c r="A321" s="28"/>
      <c r="B321" s="26"/>
      <c r="C321" s="32"/>
      <c r="D321" s="33" t="str">
        <f aca="false">IF(E321="","",IF(E321="HDFC Bank (INR)","INR","GBP"))</f>
        <v/>
      </c>
      <c r="E321" s="26"/>
      <c r="F321" s="28"/>
      <c r="G321" s="28"/>
    </row>
    <row r="322" customFormat="false" ht="15" hidden="false" customHeight="false" outlineLevel="0" collapsed="false">
      <c r="A322" s="28"/>
      <c r="B322" s="26"/>
      <c r="C322" s="32"/>
      <c r="D322" s="33" t="str">
        <f aca="false">IF(E322="","",IF(E322="HDFC Bank (INR)","INR","GBP"))</f>
        <v/>
      </c>
      <c r="E322" s="26"/>
      <c r="F322" s="28"/>
      <c r="G322" s="28"/>
    </row>
    <row r="323" customFormat="false" ht="15" hidden="false" customHeight="false" outlineLevel="0" collapsed="false">
      <c r="A323" s="28"/>
      <c r="B323" s="26"/>
      <c r="C323" s="32"/>
      <c r="D323" s="33" t="str">
        <f aca="false">IF(E323="","",IF(E323="HDFC Bank (INR)","INR","GBP"))</f>
        <v/>
      </c>
      <c r="E323" s="26"/>
      <c r="F323" s="28"/>
      <c r="G323" s="28"/>
    </row>
    <row r="324" customFormat="false" ht="15" hidden="false" customHeight="false" outlineLevel="0" collapsed="false">
      <c r="A324" s="28"/>
      <c r="B324" s="26"/>
      <c r="C324" s="32"/>
      <c r="D324" s="33" t="str">
        <f aca="false">IF(E324="","",IF(E324="HDFC Bank (INR)","INR","GBP"))</f>
        <v/>
      </c>
      <c r="E324" s="26"/>
      <c r="F324" s="28"/>
      <c r="G324" s="28"/>
    </row>
    <row r="325" customFormat="false" ht="15" hidden="false" customHeight="false" outlineLevel="0" collapsed="false">
      <c r="A325" s="28"/>
      <c r="B325" s="26"/>
      <c r="C325" s="32"/>
      <c r="D325" s="33" t="str">
        <f aca="false">IF(E325="","",IF(E325="HDFC Bank (INR)","INR","GBP"))</f>
        <v/>
      </c>
      <c r="E325" s="26"/>
      <c r="F325" s="28"/>
      <c r="G325" s="28"/>
    </row>
    <row r="326" customFormat="false" ht="15" hidden="false" customHeight="false" outlineLevel="0" collapsed="false">
      <c r="A326" s="28"/>
      <c r="B326" s="26"/>
      <c r="C326" s="32"/>
      <c r="D326" s="33" t="str">
        <f aca="false">IF(E326="","",IF(E326="HDFC Bank (INR)","INR","GBP"))</f>
        <v/>
      </c>
      <c r="E326" s="26"/>
      <c r="F326" s="28"/>
      <c r="G326" s="28"/>
    </row>
    <row r="327" customFormat="false" ht="15" hidden="false" customHeight="false" outlineLevel="0" collapsed="false">
      <c r="A327" s="28"/>
      <c r="B327" s="26"/>
      <c r="C327" s="32"/>
      <c r="D327" s="33" t="str">
        <f aca="false">IF(E327="","",IF(E327="HDFC Bank (INR)","INR","GBP"))</f>
        <v/>
      </c>
      <c r="E327" s="26"/>
      <c r="F327" s="28"/>
      <c r="G327" s="28"/>
    </row>
    <row r="328" customFormat="false" ht="15" hidden="false" customHeight="false" outlineLevel="0" collapsed="false">
      <c r="A328" s="28"/>
      <c r="B328" s="26"/>
      <c r="C328" s="32"/>
      <c r="D328" s="33" t="str">
        <f aca="false">IF(E328="","",IF(E328="HDFC Bank (INR)","INR","GBP"))</f>
        <v/>
      </c>
      <c r="E328" s="26"/>
      <c r="F328" s="28"/>
      <c r="G328" s="28"/>
    </row>
    <row r="329" customFormat="false" ht="15" hidden="false" customHeight="false" outlineLevel="0" collapsed="false">
      <c r="A329" s="28"/>
      <c r="B329" s="26"/>
      <c r="C329" s="32"/>
      <c r="D329" s="33" t="str">
        <f aca="false">IF(E329="","",IF(E329="HDFC Bank (INR)","INR","GBP"))</f>
        <v/>
      </c>
      <c r="E329" s="26"/>
      <c r="F329" s="28"/>
      <c r="G329" s="28"/>
    </row>
    <row r="330" customFormat="false" ht="15" hidden="false" customHeight="false" outlineLevel="0" collapsed="false">
      <c r="A330" s="28"/>
      <c r="B330" s="26"/>
      <c r="C330" s="32"/>
      <c r="D330" s="33" t="str">
        <f aca="false">IF(E330="","",IF(E330="HDFC Bank (INR)","INR","GBP"))</f>
        <v/>
      </c>
      <c r="E330" s="26"/>
      <c r="F330" s="28"/>
      <c r="G330" s="28"/>
    </row>
    <row r="331" customFormat="false" ht="15" hidden="false" customHeight="false" outlineLevel="0" collapsed="false">
      <c r="A331" s="28"/>
      <c r="B331" s="26"/>
      <c r="C331" s="32"/>
      <c r="D331" s="33" t="str">
        <f aca="false">IF(E331="","",IF(E331="HDFC Bank (INR)","INR","GBP"))</f>
        <v/>
      </c>
      <c r="E331" s="26"/>
      <c r="F331" s="28"/>
      <c r="G331" s="28"/>
    </row>
    <row r="332" customFormat="false" ht="15" hidden="false" customHeight="false" outlineLevel="0" collapsed="false">
      <c r="A332" s="28"/>
      <c r="B332" s="26"/>
      <c r="C332" s="32"/>
      <c r="D332" s="33" t="str">
        <f aca="false">IF(E332="","",IF(E332="HDFC Bank (INR)","INR","GBP"))</f>
        <v/>
      </c>
      <c r="E332" s="26"/>
      <c r="F332" s="28"/>
      <c r="G332" s="28"/>
    </row>
    <row r="333" customFormat="false" ht="15" hidden="false" customHeight="false" outlineLevel="0" collapsed="false">
      <c r="A333" s="28"/>
      <c r="B333" s="26"/>
      <c r="C333" s="32"/>
      <c r="D333" s="33" t="str">
        <f aca="false">IF(E333="","",IF(E333="HDFC Bank (INR)","INR","GBP"))</f>
        <v/>
      </c>
      <c r="E333" s="26"/>
      <c r="F333" s="28"/>
      <c r="G333" s="28"/>
    </row>
    <row r="334" customFormat="false" ht="15" hidden="false" customHeight="false" outlineLevel="0" collapsed="false">
      <c r="A334" s="28"/>
      <c r="B334" s="26"/>
      <c r="C334" s="32"/>
      <c r="D334" s="33" t="str">
        <f aca="false">IF(E334="","",IF(E334="HDFC Bank (INR)","INR","GBP"))</f>
        <v/>
      </c>
      <c r="E334" s="26"/>
      <c r="F334" s="28"/>
      <c r="G334" s="28"/>
    </row>
    <row r="335" customFormat="false" ht="15" hidden="false" customHeight="false" outlineLevel="0" collapsed="false">
      <c r="A335" s="28"/>
      <c r="B335" s="26"/>
      <c r="C335" s="32"/>
      <c r="D335" s="33" t="str">
        <f aca="false">IF(E335="","",IF(E335="HDFC Bank (INR)","INR","GBP"))</f>
        <v/>
      </c>
      <c r="E335" s="26"/>
      <c r="F335" s="28"/>
      <c r="G335" s="28"/>
    </row>
    <row r="336" customFormat="false" ht="15" hidden="false" customHeight="false" outlineLevel="0" collapsed="false">
      <c r="A336" s="28"/>
      <c r="B336" s="26"/>
      <c r="C336" s="32"/>
      <c r="D336" s="33" t="str">
        <f aca="false">IF(E336="","",IF(E336="HDFC Bank (INR)","INR","GBP"))</f>
        <v/>
      </c>
      <c r="E336" s="26"/>
      <c r="F336" s="28"/>
      <c r="G336" s="28"/>
    </row>
    <row r="337" customFormat="false" ht="15" hidden="false" customHeight="false" outlineLevel="0" collapsed="false">
      <c r="A337" s="28"/>
      <c r="B337" s="26"/>
      <c r="C337" s="32"/>
      <c r="D337" s="33" t="str">
        <f aca="false">IF(E337="","",IF(E337="HDFC Bank (INR)","INR","GBP"))</f>
        <v/>
      </c>
      <c r="E337" s="26"/>
      <c r="F337" s="28"/>
      <c r="G337" s="28"/>
    </row>
    <row r="338" customFormat="false" ht="15" hidden="false" customHeight="false" outlineLevel="0" collapsed="false">
      <c r="A338" s="28"/>
      <c r="B338" s="26"/>
      <c r="C338" s="32"/>
      <c r="D338" s="33" t="str">
        <f aca="false">IF(E338="","",IF(E338="HDFC Bank (INR)","INR","GBP"))</f>
        <v/>
      </c>
      <c r="E338" s="26"/>
      <c r="F338" s="28"/>
      <c r="G338" s="28"/>
    </row>
    <row r="339" customFormat="false" ht="15" hidden="false" customHeight="false" outlineLevel="0" collapsed="false">
      <c r="A339" s="28"/>
      <c r="B339" s="26"/>
      <c r="C339" s="32"/>
      <c r="D339" s="33" t="str">
        <f aca="false">IF(E339="","",IF(E339="HDFC Bank (INR)","INR","GBP"))</f>
        <v/>
      </c>
      <c r="E339" s="26"/>
      <c r="F339" s="28"/>
      <c r="G339" s="28"/>
    </row>
    <row r="340" customFormat="false" ht="15" hidden="false" customHeight="false" outlineLevel="0" collapsed="false">
      <c r="A340" s="28"/>
      <c r="B340" s="26"/>
      <c r="C340" s="32"/>
      <c r="D340" s="33" t="str">
        <f aca="false">IF(E340="","",IF(E340="HDFC Bank (INR)","INR","GBP"))</f>
        <v/>
      </c>
      <c r="E340" s="26"/>
      <c r="F340" s="28"/>
      <c r="G340" s="28"/>
    </row>
    <row r="341" customFormat="false" ht="15" hidden="false" customHeight="false" outlineLevel="0" collapsed="false">
      <c r="A341" s="28"/>
      <c r="B341" s="26"/>
      <c r="C341" s="32"/>
      <c r="D341" s="33" t="str">
        <f aca="false">IF(E341="","",IF(E341="HDFC Bank (INR)","INR","GBP"))</f>
        <v/>
      </c>
      <c r="E341" s="26"/>
      <c r="F341" s="28"/>
      <c r="G341" s="28"/>
    </row>
    <row r="342" customFormat="false" ht="15" hidden="false" customHeight="false" outlineLevel="0" collapsed="false">
      <c r="A342" s="28"/>
      <c r="B342" s="26"/>
      <c r="C342" s="32"/>
      <c r="D342" s="33" t="str">
        <f aca="false">IF(E342="","",IF(E342="HDFC Bank (INR)","INR","GBP"))</f>
        <v/>
      </c>
      <c r="E342" s="26"/>
      <c r="F342" s="28"/>
      <c r="G342" s="28"/>
    </row>
    <row r="343" customFormat="false" ht="15" hidden="false" customHeight="false" outlineLevel="0" collapsed="false">
      <c r="A343" s="28"/>
      <c r="B343" s="26"/>
      <c r="C343" s="32"/>
      <c r="D343" s="33" t="str">
        <f aca="false">IF(E343="","",IF(E343="HDFC Bank (INR)","INR","GBP"))</f>
        <v/>
      </c>
      <c r="E343" s="26"/>
      <c r="F343" s="28"/>
      <c r="G343" s="28"/>
    </row>
    <row r="344" customFormat="false" ht="15" hidden="false" customHeight="false" outlineLevel="0" collapsed="false">
      <c r="A344" s="28"/>
      <c r="B344" s="26"/>
      <c r="C344" s="32"/>
      <c r="D344" s="33" t="str">
        <f aca="false">IF(E344="","",IF(E344="HDFC Bank (INR)","INR","GBP"))</f>
        <v/>
      </c>
      <c r="E344" s="26"/>
      <c r="F344" s="28"/>
      <c r="G344" s="28"/>
    </row>
    <row r="345" customFormat="false" ht="15" hidden="false" customHeight="false" outlineLevel="0" collapsed="false">
      <c r="A345" s="28"/>
      <c r="B345" s="26"/>
      <c r="C345" s="32"/>
      <c r="D345" s="33" t="str">
        <f aca="false">IF(E345="","",IF(E345="HDFC Bank (INR)","INR","GBP"))</f>
        <v/>
      </c>
      <c r="E345" s="26"/>
      <c r="F345" s="28"/>
      <c r="G345" s="28"/>
    </row>
    <row r="346" customFormat="false" ht="15" hidden="false" customHeight="false" outlineLevel="0" collapsed="false">
      <c r="A346" s="28"/>
      <c r="B346" s="26"/>
      <c r="C346" s="32"/>
      <c r="D346" s="33" t="str">
        <f aca="false">IF(E346="","",IF(E346="HDFC Bank (INR)","INR","GBP"))</f>
        <v/>
      </c>
      <c r="E346" s="26"/>
      <c r="F346" s="28"/>
      <c r="G346" s="28"/>
    </row>
    <row r="347" customFormat="false" ht="15" hidden="false" customHeight="false" outlineLevel="0" collapsed="false">
      <c r="A347" s="28"/>
      <c r="B347" s="26"/>
      <c r="C347" s="32"/>
      <c r="D347" s="33" t="str">
        <f aca="false">IF(E347="","",IF(E347="HDFC Bank (INR)","INR","GBP"))</f>
        <v/>
      </c>
      <c r="E347" s="26"/>
      <c r="F347" s="28"/>
      <c r="G347" s="28"/>
    </row>
    <row r="348" customFormat="false" ht="15" hidden="false" customHeight="false" outlineLevel="0" collapsed="false">
      <c r="A348" s="28"/>
      <c r="B348" s="26"/>
      <c r="C348" s="32"/>
      <c r="D348" s="33" t="str">
        <f aca="false">IF(E348="","",IF(E348="HDFC Bank (INR)","INR","GBP"))</f>
        <v/>
      </c>
      <c r="E348" s="26"/>
      <c r="F348" s="28"/>
      <c r="G348" s="28"/>
    </row>
    <row r="349" customFormat="false" ht="15" hidden="false" customHeight="false" outlineLevel="0" collapsed="false">
      <c r="A349" s="28"/>
      <c r="B349" s="26"/>
      <c r="C349" s="32"/>
      <c r="D349" s="33" t="str">
        <f aca="false">IF(E349="","",IF(E349="HDFC Bank (INR)","INR","GBP"))</f>
        <v/>
      </c>
      <c r="E349" s="26"/>
      <c r="F349" s="28"/>
      <c r="G349" s="28"/>
    </row>
    <row r="350" customFormat="false" ht="15" hidden="false" customHeight="false" outlineLevel="0" collapsed="false">
      <c r="A350" s="28"/>
      <c r="B350" s="26"/>
      <c r="C350" s="32"/>
      <c r="D350" s="33" t="str">
        <f aca="false">IF(E350="","",IF(E350="HDFC Bank (INR)","INR","GBP"))</f>
        <v/>
      </c>
      <c r="E350" s="26"/>
      <c r="F350" s="28"/>
      <c r="G350" s="28"/>
    </row>
    <row r="351" customFormat="false" ht="15" hidden="false" customHeight="false" outlineLevel="0" collapsed="false">
      <c r="A351" s="28"/>
      <c r="B351" s="26"/>
      <c r="C351" s="32"/>
      <c r="D351" s="33" t="str">
        <f aca="false">IF(E351="","",IF(E351="HDFC Bank (INR)","INR","GBP"))</f>
        <v/>
      </c>
      <c r="E351" s="26"/>
      <c r="F351" s="28"/>
      <c r="G351" s="28"/>
    </row>
    <row r="352" customFormat="false" ht="15" hidden="false" customHeight="false" outlineLevel="0" collapsed="false">
      <c r="A352" s="28"/>
      <c r="B352" s="26"/>
      <c r="C352" s="32"/>
      <c r="D352" s="33" t="str">
        <f aca="false">IF(E352="","",IF(E352="HDFC Bank (INR)","INR","GBP"))</f>
        <v/>
      </c>
      <c r="E352" s="26"/>
      <c r="F352" s="28"/>
      <c r="G352" s="28"/>
    </row>
    <row r="353" customFormat="false" ht="15" hidden="false" customHeight="false" outlineLevel="0" collapsed="false">
      <c r="A353" s="28"/>
      <c r="B353" s="26"/>
      <c r="C353" s="32"/>
      <c r="D353" s="33" t="str">
        <f aca="false">IF(E353="","",IF(E353="HDFC Bank (INR)","INR","GBP"))</f>
        <v/>
      </c>
      <c r="E353" s="26"/>
      <c r="F353" s="28"/>
      <c r="G353" s="28"/>
    </row>
    <row r="354" customFormat="false" ht="15" hidden="false" customHeight="false" outlineLevel="0" collapsed="false">
      <c r="A354" s="28"/>
      <c r="B354" s="26"/>
      <c r="C354" s="32"/>
      <c r="D354" s="33" t="str">
        <f aca="false">IF(E354="","",IF(E354="HDFC Bank (INR)","INR","GBP"))</f>
        <v/>
      </c>
      <c r="E354" s="26"/>
      <c r="F354" s="28"/>
      <c r="G354" s="28"/>
    </row>
    <row r="355" customFormat="false" ht="15" hidden="false" customHeight="false" outlineLevel="0" collapsed="false">
      <c r="A355" s="28"/>
      <c r="B355" s="26"/>
      <c r="C355" s="32"/>
      <c r="D355" s="33" t="str">
        <f aca="false">IF(E355="","",IF(E355="HDFC Bank (INR)","INR","GBP"))</f>
        <v/>
      </c>
      <c r="E355" s="26"/>
      <c r="F355" s="28"/>
      <c r="G355" s="28"/>
    </row>
    <row r="356" customFormat="false" ht="15" hidden="false" customHeight="false" outlineLevel="0" collapsed="false">
      <c r="A356" s="28"/>
      <c r="B356" s="26"/>
      <c r="C356" s="32"/>
      <c r="D356" s="33" t="str">
        <f aca="false">IF(E356="","",IF(E356="HDFC Bank (INR)","INR","GBP"))</f>
        <v/>
      </c>
      <c r="E356" s="26"/>
      <c r="F356" s="28"/>
      <c r="G356" s="28"/>
    </row>
    <row r="357" customFormat="false" ht="15" hidden="false" customHeight="false" outlineLevel="0" collapsed="false">
      <c r="A357" s="28"/>
      <c r="B357" s="26"/>
      <c r="C357" s="32"/>
      <c r="D357" s="33" t="str">
        <f aca="false">IF(E357="","",IF(E357="HDFC Bank (INR)","INR","GBP"))</f>
        <v/>
      </c>
      <c r="E357" s="26"/>
      <c r="F357" s="28"/>
      <c r="G357" s="28"/>
    </row>
    <row r="358" customFormat="false" ht="15" hidden="false" customHeight="false" outlineLevel="0" collapsed="false">
      <c r="A358" s="28"/>
      <c r="B358" s="26"/>
      <c r="C358" s="32"/>
      <c r="D358" s="33" t="str">
        <f aca="false">IF(E358="","",IF(E358="HDFC Bank (INR)","INR","GBP"))</f>
        <v/>
      </c>
      <c r="E358" s="26"/>
      <c r="F358" s="28"/>
      <c r="G358" s="28"/>
    </row>
    <row r="359" customFormat="false" ht="15" hidden="false" customHeight="false" outlineLevel="0" collapsed="false">
      <c r="A359" s="28"/>
      <c r="B359" s="26"/>
      <c r="C359" s="32"/>
      <c r="D359" s="33" t="str">
        <f aca="false">IF(E359="","",IF(E359="HDFC Bank (INR)","INR","GBP"))</f>
        <v/>
      </c>
      <c r="E359" s="26"/>
      <c r="F359" s="28"/>
      <c r="G359" s="28"/>
    </row>
    <row r="360" customFormat="false" ht="15" hidden="false" customHeight="false" outlineLevel="0" collapsed="false">
      <c r="A360" s="28"/>
      <c r="B360" s="26"/>
      <c r="C360" s="32"/>
      <c r="D360" s="33" t="str">
        <f aca="false">IF(E360="","",IF(E360="HDFC Bank (INR)","INR","GBP"))</f>
        <v/>
      </c>
      <c r="E360" s="26"/>
      <c r="F360" s="28"/>
      <c r="G360" s="28"/>
    </row>
    <row r="361" customFormat="false" ht="15" hidden="false" customHeight="false" outlineLevel="0" collapsed="false">
      <c r="A361" s="28"/>
      <c r="B361" s="26"/>
      <c r="C361" s="32"/>
      <c r="D361" s="33" t="str">
        <f aca="false">IF(E361="","",IF(E361="HDFC Bank (INR)","INR","GBP"))</f>
        <v/>
      </c>
      <c r="E361" s="26"/>
      <c r="F361" s="28"/>
      <c r="G361" s="28"/>
    </row>
    <row r="362" customFormat="false" ht="15" hidden="false" customHeight="false" outlineLevel="0" collapsed="false">
      <c r="A362" s="28"/>
      <c r="B362" s="26"/>
      <c r="C362" s="32"/>
      <c r="D362" s="33" t="str">
        <f aca="false">IF(E362="","",IF(E362="HDFC Bank (INR)","INR","GBP"))</f>
        <v/>
      </c>
      <c r="E362" s="26"/>
      <c r="F362" s="28"/>
      <c r="G362" s="28"/>
    </row>
    <row r="363" customFormat="false" ht="15" hidden="false" customHeight="false" outlineLevel="0" collapsed="false">
      <c r="A363" s="28"/>
      <c r="B363" s="26"/>
      <c r="C363" s="32"/>
      <c r="D363" s="33" t="str">
        <f aca="false">IF(E363="","",IF(E363="HDFC Bank (INR)","INR","GBP"))</f>
        <v/>
      </c>
      <c r="E363" s="26"/>
      <c r="F363" s="28"/>
      <c r="G363" s="28"/>
    </row>
    <row r="364" customFormat="false" ht="15" hidden="false" customHeight="false" outlineLevel="0" collapsed="false">
      <c r="A364" s="28"/>
      <c r="B364" s="26"/>
      <c r="C364" s="32"/>
      <c r="D364" s="33" t="str">
        <f aca="false">IF(E364="","",IF(E364="HDFC Bank (INR)","INR","GBP"))</f>
        <v/>
      </c>
      <c r="E364" s="26"/>
      <c r="F364" s="28"/>
      <c r="G364" s="28"/>
    </row>
    <row r="365" customFormat="false" ht="15" hidden="false" customHeight="false" outlineLevel="0" collapsed="false">
      <c r="A365" s="28"/>
      <c r="B365" s="26"/>
      <c r="C365" s="32"/>
      <c r="D365" s="33" t="str">
        <f aca="false">IF(E365="","",IF(E365="HDFC Bank (INR)","INR","GBP"))</f>
        <v/>
      </c>
      <c r="E365" s="26"/>
      <c r="F365" s="28"/>
      <c r="G365" s="28"/>
    </row>
    <row r="366" customFormat="false" ht="15" hidden="false" customHeight="false" outlineLevel="0" collapsed="false">
      <c r="A366" s="28"/>
      <c r="B366" s="26"/>
      <c r="C366" s="32"/>
      <c r="D366" s="33" t="str">
        <f aca="false">IF(E366="","",IF(E366="HDFC Bank (INR)","INR","GBP"))</f>
        <v/>
      </c>
      <c r="E366" s="26"/>
      <c r="F366" s="28"/>
      <c r="G366" s="28"/>
    </row>
    <row r="367" customFormat="false" ht="15" hidden="false" customHeight="false" outlineLevel="0" collapsed="false">
      <c r="A367" s="28"/>
      <c r="B367" s="26"/>
      <c r="C367" s="32"/>
      <c r="D367" s="33" t="str">
        <f aca="false">IF(E367="","",IF(E367="HDFC Bank (INR)","INR","GBP"))</f>
        <v/>
      </c>
      <c r="E367" s="26"/>
      <c r="F367" s="28"/>
      <c r="G367" s="28"/>
    </row>
    <row r="368" customFormat="false" ht="15" hidden="false" customHeight="false" outlineLevel="0" collapsed="false">
      <c r="A368" s="28"/>
      <c r="B368" s="26"/>
      <c r="C368" s="32"/>
      <c r="D368" s="33" t="str">
        <f aca="false">IF(E368="","",IF(E368="HDFC Bank (INR)","INR","GBP"))</f>
        <v/>
      </c>
      <c r="E368" s="26"/>
      <c r="F368" s="28"/>
      <c r="G368" s="28"/>
    </row>
    <row r="369" customFormat="false" ht="15" hidden="false" customHeight="false" outlineLevel="0" collapsed="false">
      <c r="A369" s="28"/>
      <c r="B369" s="26"/>
      <c r="C369" s="32"/>
      <c r="D369" s="33" t="str">
        <f aca="false">IF(E369="","",IF(E369="HDFC Bank (INR)","INR","GBP"))</f>
        <v/>
      </c>
      <c r="E369" s="26"/>
      <c r="F369" s="28"/>
      <c r="G369" s="28"/>
    </row>
    <row r="370" customFormat="false" ht="15" hidden="false" customHeight="false" outlineLevel="0" collapsed="false">
      <c r="A370" s="28"/>
      <c r="B370" s="26"/>
      <c r="C370" s="32"/>
      <c r="D370" s="33" t="str">
        <f aca="false">IF(E370="","",IF(E370="HDFC Bank (INR)","INR","GBP"))</f>
        <v/>
      </c>
      <c r="E370" s="26"/>
      <c r="F370" s="28"/>
      <c r="G370" s="28"/>
    </row>
    <row r="371" customFormat="false" ht="15" hidden="false" customHeight="false" outlineLevel="0" collapsed="false">
      <c r="A371" s="28"/>
      <c r="B371" s="26"/>
      <c r="C371" s="32"/>
      <c r="D371" s="33" t="str">
        <f aca="false">IF(E371="","",IF(E371="HDFC Bank (INR)","INR","GBP"))</f>
        <v/>
      </c>
      <c r="E371" s="26"/>
      <c r="F371" s="28"/>
      <c r="G371" s="28"/>
    </row>
    <row r="372" customFormat="false" ht="15" hidden="false" customHeight="false" outlineLevel="0" collapsed="false">
      <c r="A372" s="28"/>
      <c r="B372" s="26"/>
      <c r="C372" s="32"/>
      <c r="D372" s="33" t="str">
        <f aca="false">IF(E372="","",IF(E372="HDFC Bank (INR)","INR","GBP"))</f>
        <v/>
      </c>
      <c r="E372" s="26"/>
      <c r="F372" s="28"/>
      <c r="G372" s="28"/>
    </row>
    <row r="373" customFormat="false" ht="15" hidden="false" customHeight="false" outlineLevel="0" collapsed="false">
      <c r="A373" s="28"/>
      <c r="B373" s="26"/>
      <c r="C373" s="32"/>
      <c r="D373" s="33" t="str">
        <f aca="false">IF(E373="","",IF(E373="HDFC Bank (INR)","INR","GBP"))</f>
        <v/>
      </c>
      <c r="E373" s="26"/>
      <c r="F373" s="28"/>
      <c r="G373" s="28"/>
    </row>
    <row r="374" customFormat="false" ht="15" hidden="false" customHeight="false" outlineLevel="0" collapsed="false">
      <c r="A374" s="28"/>
      <c r="B374" s="26"/>
      <c r="C374" s="32"/>
      <c r="D374" s="33" t="str">
        <f aca="false">IF(E374="","",IF(E374="HDFC Bank (INR)","INR","GBP"))</f>
        <v/>
      </c>
      <c r="E374" s="26"/>
      <c r="F374" s="28"/>
      <c r="G374" s="28"/>
    </row>
    <row r="375" customFormat="false" ht="15" hidden="false" customHeight="false" outlineLevel="0" collapsed="false">
      <c r="A375" s="28"/>
      <c r="B375" s="26"/>
      <c r="C375" s="32"/>
      <c r="D375" s="33" t="str">
        <f aca="false">IF(E375="","",IF(E375="HDFC Bank (INR)","INR","GBP"))</f>
        <v/>
      </c>
      <c r="E375" s="26"/>
      <c r="F375" s="28"/>
      <c r="G375" s="28"/>
    </row>
    <row r="376" customFormat="false" ht="15" hidden="false" customHeight="false" outlineLevel="0" collapsed="false">
      <c r="A376" s="28"/>
      <c r="B376" s="26"/>
      <c r="C376" s="32"/>
      <c r="D376" s="33" t="str">
        <f aca="false">IF(E376="","",IF(E376="HDFC Bank (INR)","INR","GBP"))</f>
        <v/>
      </c>
      <c r="E376" s="26"/>
      <c r="F376" s="28"/>
      <c r="G376" s="28"/>
    </row>
    <row r="377" customFormat="false" ht="15" hidden="false" customHeight="false" outlineLevel="0" collapsed="false">
      <c r="A377" s="28"/>
      <c r="B377" s="26"/>
      <c r="C377" s="32"/>
      <c r="D377" s="33" t="str">
        <f aca="false">IF(E377="","",IF(E377="HDFC Bank (INR)","INR","GBP"))</f>
        <v/>
      </c>
      <c r="E377" s="26"/>
      <c r="F377" s="28"/>
      <c r="G377" s="28"/>
    </row>
    <row r="378" customFormat="false" ht="15" hidden="false" customHeight="false" outlineLevel="0" collapsed="false">
      <c r="A378" s="28"/>
      <c r="B378" s="26"/>
      <c r="C378" s="32"/>
      <c r="D378" s="33" t="str">
        <f aca="false">IF(E378="","",IF(E378="HDFC Bank (INR)","INR","GBP"))</f>
        <v/>
      </c>
      <c r="E378" s="26"/>
      <c r="F378" s="28"/>
      <c r="G378" s="28"/>
    </row>
    <row r="379" customFormat="false" ht="15" hidden="false" customHeight="false" outlineLevel="0" collapsed="false">
      <c r="A379" s="28"/>
      <c r="B379" s="26"/>
      <c r="C379" s="32"/>
      <c r="D379" s="33" t="str">
        <f aca="false">IF(E379="","",IF(E379="HDFC Bank (INR)","INR","GBP"))</f>
        <v/>
      </c>
      <c r="E379" s="26"/>
      <c r="F379" s="28"/>
      <c r="G379" s="28"/>
    </row>
    <row r="380" customFormat="false" ht="15" hidden="false" customHeight="false" outlineLevel="0" collapsed="false">
      <c r="A380" s="28"/>
      <c r="B380" s="26"/>
      <c r="C380" s="32"/>
      <c r="D380" s="33" t="str">
        <f aca="false">IF(E380="","",IF(E380="HDFC Bank (INR)","INR","GBP"))</f>
        <v/>
      </c>
      <c r="E380" s="26"/>
      <c r="F380" s="28"/>
      <c r="G380" s="28"/>
    </row>
    <row r="381" customFormat="false" ht="15" hidden="false" customHeight="false" outlineLevel="0" collapsed="false">
      <c r="A381" s="28"/>
      <c r="B381" s="26"/>
      <c r="C381" s="32"/>
      <c r="D381" s="33" t="str">
        <f aca="false">IF(E381="","",IF(E381="HDFC Bank (INR)","INR","GBP"))</f>
        <v/>
      </c>
      <c r="E381" s="26"/>
      <c r="F381" s="28"/>
      <c r="G381" s="28"/>
    </row>
    <row r="382" customFormat="false" ht="15" hidden="false" customHeight="false" outlineLevel="0" collapsed="false">
      <c r="A382" s="28"/>
      <c r="B382" s="26"/>
      <c r="C382" s="32"/>
      <c r="D382" s="33" t="str">
        <f aca="false">IF(E382="","",IF(E382="HDFC Bank (INR)","INR","GBP"))</f>
        <v/>
      </c>
      <c r="E382" s="26"/>
      <c r="F382" s="28"/>
      <c r="G382" s="28"/>
    </row>
    <row r="383" customFormat="false" ht="15" hidden="false" customHeight="false" outlineLevel="0" collapsed="false">
      <c r="A383" s="28"/>
      <c r="B383" s="26"/>
      <c r="C383" s="32"/>
      <c r="D383" s="33" t="str">
        <f aca="false">IF(E383="","",IF(E383="HDFC Bank (INR)","INR","GBP"))</f>
        <v/>
      </c>
      <c r="E383" s="26"/>
      <c r="F383" s="28"/>
      <c r="G383" s="28"/>
    </row>
    <row r="384" customFormat="false" ht="15" hidden="false" customHeight="false" outlineLevel="0" collapsed="false">
      <c r="A384" s="28"/>
      <c r="B384" s="26"/>
      <c r="C384" s="32"/>
      <c r="D384" s="33" t="str">
        <f aca="false">IF(E384="","",IF(E384="HDFC Bank (INR)","INR","GBP"))</f>
        <v/>
      </c>
      <c r="E384" s="26"/>
      <c r="F384" s="28"/>
      <c r="G384" s="28"/>
    </row>
    <row r="385" customFormat="false" ht="15" hidden="false" customHeight="false" outlineLevel="0" collapsed="false">
      <c r="A385" s="28"/>
      <c r="B385" s="26"/>
      <c r="C385" s="32"/>
      <c r="D385" s="33" t="str">
        <f aca="false">IF(E385="","",IF(E385="HDFC Bank (INR)","INR","GBP"))</f>
        <v/>
      </c>
      <c r="E385" s="26"/>
      <c r="F385" s="28"/>
      <c r="G385" s="28"/>
    </row>
    <row r="386" customFormat="false" ht="15" hidden="false" customHeight="false" outlineLevel="0" collapsed="false">
      <c r="A386" s="28"/>
      <c r="B386" s="26"/>
      <c r="C386" s="32"/>
      <c r="D386" s="33" t="str">
        <f aca="false">IF(E386="","",IF(E386="HDFC Bank (INR)","INR","GBP"))</f>
        <v/>
      </c>
      <c r="E386" s="26"/>
      <c r="F386" s="28"/>
      <c r="G386" s="28"/>
    </row>
    <row r="387" customFormat="false" ht="15" hidden="false" customHeight="false" outlineLevel="0" collapsed="false">
      <c r="A387" s="28"/>
      <c r="B387" s="26"/>
      <c r="C387" s="32"/>
      <c r="D387" s="33" t="str">
        <f aca="false">IF(E387="","",IF(E387="HDFC Bank (INR)","INR","GBP"))</f>
        <v/>
      </c>
      <c r="E387" s="26"/>
      <c r="F387" s="28"/>
      <c r="G387" s="28"/>
    </row>
    <row r="388" customFormat="false" ht="15" hidden="false" customHeight="false" outlineLevel="0" collapsed="false">
      <c r="A388" s="28"/>
      <c r="B388" s="26"/>
      <c r="C388" s="32"/>
      <c r="D388" s="33" t="str">
        <f aca="false">IF(E388="","",IF(E388="HDFC Bank (INR)","INR","GBP"))</f>
        <v/>
      </c>
      <c r="E388" s="26"/>
      <c r="F388" s="28"/>
      <c r="G388" s="28"/>
    </row>
    <row r="389" customFormat="false" ht="15" hidden="false" customHeight="false" outlineLevel="0" collapsed="false">
      <c r="A389" s="28"/>
      <c r="B389" s="26"/>
      <c r="C389" s="32"/>
      <c r="D389" s="33" t="str">
        <f aca="false">IF(E389="","",IF(E389="HDFC Bank (INR)","INR","GBP"))</f>
        <v/>
      </c>
      <c r="E389" s="26"/>
      <c r="F389" s="28"/>
      <c r="G389" s="28"/>
    </row>
    <row r="390" customFormat="false" ht="15" hidden="false" customHeight="false" outlineLevel="0" collapsed="false">
      <c r="A390" s="28"/>
      <c r="B390" s="26"/>
      <c r="C390" s="32"/>
      <c r="D390" s="33" t="str">
        <f aca="false">IF(E390="","",IF(E390="HDFC Bank (INR)","INR","GBP"))</f>
        <v/>
      </c>
      <c r="E390" s="26"/>
      <c r="F390" s="28"/>
      <c r="G390" s="28"/>
    </row>
    <row r="391" customFormat="false" ht="15" hidden="false" customHeight="false" outlineLevel="0" collapsed="false">
      <c r="A391" s="28"/>
      <c r="B391" s="26"/>
      <c r="C391" s="32"/>
      <c r="D391" s="33" t="str">
        <f aca="false">IF(E391="","",IF(E391="HDFC Bank (INR)","INR","GBP"))</f>
        <v/>
      </c>
      <c r="E391" s="26"/>
      <c r="F391" s="28"/>
      <c r="G391" s="28"/>
    </row>
    <row r="392" customFormat="false" ht="15" hidden="false" customHeight="false" outlineLevel="0" collapsed="false">
      <c r="A392" s="28"/>
      <c r="B392" s="26"/>
      <c r="C392" s="32"/>
      <c r="D392" s="33" t="str">
        <f aca="false">IF(E392="","",IF(E392="HDFC Bank (INR)","INR","GBP"))</f>
        <v/>
      </c>
      <c r="E392" s="26"/>
      <c r="F392" s="28"/>
      <c r="G392" s="28"/>
    </row>
    <row r="393" customFormat="false" ht="15" hidden="false" customHeight="false" outlineLevel="0" collapsed="false">
      <c r="A393" s="28"/>
      <c r="B393" s="26"/>
      <c r="C393" s="32"/>
      <c r="D393" s="33" t="str">
        <f aca="false">IF(E393="","",IF(E393="HDFC Bank (INR)","INR","GBP"))</f>
        <v/>
      </c>
      <c r="E393" s="26"/>
      <c r="F393" s="28"/>
      <c r="G393" s="28"/>
    </row>
    <row r="394" customFormat="false" ht="15" hidden="false" customHeight="false" outlineLevel="0" collapsed="false">
      <c r="A394" s="28"/>
      <c r="B394" s="26"/>
      <c r="C394" s="32"/>
      <c r="D394" s="33" t="str">
        <f aca="false">IF(E394="","",IF(E394="HDFC Bank (INR)","INR","GBP"))</f>
        <v/>
      </c>
      <c r="E394" s="26"/>
      <c r="F394" s="28"/>
      <c r="G394" s="28"/>
    </row>
    <row r="395" customFormat="false" ht="15" hidden="false" customHeight="false" outlineLevel="0" collapsed="false">
      <c r="A395" s="28"/>
      <c r="B395" s="26"/>
      <c r="C395" s="32"/>
      <c r="D395" s="33" t="str">
        <f aca="false">IF(E395="","",IF(E395="HDFC Bank (INR)","INR","GBP"))</f>
        <v/>
      </c>
      <c r="E395" s="26"/>
      <c r="F395" s="28"/>
      <c r="G395" s="28"/>
    </row>
    <row r="396" customFormat="false" ht="15" hidden="false" customHeight="false" outlineLevel="0" collapsed="false">
      <c r="A396" s="28"/>
      <c r="B396" s="26"/>
      <c r="C396" s="32"/>
      <c r="D396" s="33" t="str">
        <f aca="false">IF(E396="","",IF(E396="HDFC Bank (INR)","INR","GBP"))</f>
        <v/>
      </c>
      <c r="E396" s="26"/>
      <c r="F396" s="28"/>
      <c r="G396" s="28"/>
    </row>
    <row r="397" customFormat="false" ht="15" hidden="false" customHeight="false" outlineLevel="0" collapsed="false">
      <c r="A397" s="28"/>
      <c r="B397" s="26"/>
      <c r="C397" s="32"/>
      <c r="D397" s="33" t="str">
        <f aca="false">IF(E397="","",IF(E397="HDFC Bank (INR)","INR","GBP"))</f>
        <v/>
      </c>
      <c r="E397" s="26"/>
      <c r="F397" s="28"/>
      <c r="G397" s="28"/>
    </row>
    <row r="398" customFormat="false" ht="15" hidden="false" customHeight="false" outlineLevel="0" collapsed="false">
      <c r="A398" s="28"/>
      <c r="B398" s="26"/>
      <c r="C398" s="32"/>
      <c r="D398" s="33" t="str">
        <f aca="false">IF(E398="","",IF(E398="HDFC Bank (INR)","INR","GBP"))</f>
        <v/>
      </c>
      <c r="E398" s="26"/>
      <c r="F398" s="28"/>
      <c r="G398" s="28"/>
    </row>
    <row r="399" customFormat="false" ht="15" hidden="false" customHeight="false" outlineLevel="0" collapsed="false">
      <c r="A399" s="28"/>
      <c r="B399" s="26"/>
      <c r="C399" s="32"/>
      <c r="D399" s="33" t="str">
        <f aca="false">IF(E399="","",IF(E399="HDFC Bank (INR)","INR","GBP"))</f>
        <v/>
      </c>
      <c r="E399" s="26"/>
      <c r="F399" s="28"/>
      <c r="G399" s="28"/>
    </row>
    <row r="400" customFormat="false" ht="15" hidden="false" customHeight="false" outlineLevel="0" collapsed="false">
      <c r="A400" s="28"/>
      <c r="B400" s="26"/>
      <c r="C400" s="32"/>
      <c r="D400" s="33" t="str">
        <f aca="false">IF(E400="","",IF(E400="HDFC Bank (INR)","INR","GBP"))</f>
        <v/>
      </c>
      <c r="E400" s="26"/>
      <c r="F400" s="28"/>
      <c r="G400" s="28"/>
    </row>
    <row r="401" customFormat="false" ht="15" hidden="false" customHeight="false" outlineLevel="0" collapsed="false">
      <c r="A401" s="28"/>
      <c r="B401" s="26"/>
      <c r="C401" s="32"/>
      <c r="D401" s="33" t="str">
        <f aca="false">IF(E401="","",IF(E401="HDFC Bank (INR)","INR","GBP"))</f>
        <v/>
      </c>
      <c r="E401" s="26"/>
      <c r="F401" s="28"/>
      <c r="G401" s="28"/>
    </row>
    <row r="402" customFormat="false" ht="15" hidden="false" customHeight="false" outlineLevel="0" collapsed="false">
      <c r="A402" s="28"/>
      <c r="B402" s="26"/>
      <c r="C402" s="32"/>
      <c r="D402" s="33" t="str">
        <f aca="false">IF(E402="","",IF(E402="HDFC Bank (INR)","INR","GBP"))</f>
        <v/>
      </c>
      <c r="E402" s="26"/>
      <c r="F402" s="28"/>
      <c r="G402" s="28"/>
    </row>
    <row r="403" customFormat="false" ht="15" hidden="false" customHeight="false" outlineLevel="0" collapsed="false">
      <c r="A403" s="28"/>
      <c r="B403" s="26"/>
      <c r="C403" s="32"/>
      <c r="D403" s="33" t="str">
        <f aca="false">IF(E403="","",IF(E403="HDFC Bank (INR)","INR","GBP"))</f>
        <v/>
      </c>
      <c r="E403" s="26"/>
      <c r="F403" s="28"/>
      <c r="G403" s="28"/>
    </row>
    <row r="404" customFormat="false" ht="15" hidden="false" customHeight="false" outlineLevel="0" collapsed="false">
      <c r="A404" s="28"/>
      <c r="B404" s="26"/>
      <c r="C404" s="32"/>
      <c r="D404" s="33" t="str">
        <f aca="false">IF(E404="","",IF(E404="HDFC Bank (INR)","INR","GBP"))</f>
        <v/>
      </c>
      <c r="E404" s="26"/>
      <c r="F404" s="28"/>
      <c r="G404" s="28"/>
    </row>
    <row r="405" customFormat="false" ht="15" hidden="false" customHeight="false" outlineLevel="0" collapsed="false">
      <c r="A405" s="28"/>
      <c r="B405" s="26"/>
      <c r="C405" s="32"/>
      <c r="D405" s="33" t="str">
        <f aca="false">IF(E405="","",IF(E405="HDFC Bank (INR)","INR","GBP"))</f>
        <v/>
      </c>
      <c r="E405" s="26"/>
      <c r="F405" s="28"/>
      <c r="G405" s="28"/>
    </row>
    <row r="406" customFormat="false" ht="15" hidden="false" customHeight="false" outlineLevel="0" collapsed="false">
      <c r="A406" s="28"/>
      <c r="B406" s="26"/>
      <c r="C406" s="32"/>
      <c r="D406" s="33" t="str">
        <f aca="false">IF(E406="","",IF(E406="HDFC Bank (INR)","INR","GBP"))</f>
        <v/>
      </c>
      <c r="E406" s="26"/>
      <c r="F406" s="28"/>
      <c r="G406" s="28"/>
    </row>
    <row r="407" customFormat="false" ht="15" hidden="false" customHeight="false" outlineLevel="0" collapsed="false">
      <c r="A407" s="28"/>
      <c r="B407" s="26"/>
      <c r="C407" s="32"/>
      <c r="D407" s="33" t="str">
        <f aca="false">IF(E407="","",IF(E407="HDFC Bank (INR)","INR","GBP"))</f>
        <v/>
      </c>
      <c r="E407" s="26"/>
      <c r="F407" s="28"/>
      <c r="G407" s="28"/>
    </row>
    <row r="408" customFormat="false" ht="15" hidden="false" customHeight="false" outlineLevel="0" collapsed="false">
      <c r="A408" s="28"/>
      <c r="B408" s="26"/>
      <c r="C408" s="32"/>
      <c r="D408" s="33" t="str">
        <f aca="false">IF(E408="","",IF(E408="HDFC Bank (INR)","INR","GBP"))</f>
        <v/>
      </c>
      <c r="E408" s="26"/>
      <c r="F408" s="28"/>
      <c r="G408" s="28"/>
    </row>
    <row r="409" customFormat="false" ht="15" hidden="false" customHeight="false" outlineLevel="0" collapsed="false">
      <c r="A409" s="28"/>
      <c r="B409" s="26"/>
      <c r="C409" s="32"/>
      <c r="D409" s="33" t="str">
        <f aca="false">IF(E409="","",IF(E409="HDFC Bank (INR)","INR","GBP"))</f>
        <v/>
      </c>
      <c r="E409" s="26"/>
      <c r="F409" s="28"/>
      <c r="G409" s="28"/>
    </row>
    <row r="410" customFormat="false" ht="15" hidden="false" customHeight="false" outlineLevel="0" collapsed="false">
      <c r="A410" s="28"/>
      <c r="B410" s="26"/>
      <c r="C410" s="32"/>
      <c r="D410" s="33" t="str">
        <f aca="false">IF(E410="","",IF(E410="HDFC Bank (INR)","INR","GBP"))</f>
        <v/>
      </c>
      <c r="E410" s="26"/>
      <c r="F410" s="28"/>
      <c r="G410" s="28"/>
    </row>
    <row r="411" customFormat="false" ht="15" hidden="false" customHeight="false" outlineLevel="0" collapsed="false">
      <c r="A411" s="28"/>
      <c r="B411" s="26"/>
      <c r="C411" s="32"/>
      <c r="D411" s="33" t="str">
        <f aca="false">IF(E411="","",IF(E411="HDFC Bank (INR)","INR","GBP"))</f>
        <v/>
      </c>
      <c r="E411" s="26"/>
      <c r="F411" s="28"/>
      <c r="G411" s="28"/>
    </row>
    <row r="412" customFormat="false" ht="15" hidden="false" customHeight="false" outlineLevel="0" collapsed="false">
      <c r="A412" s="28"/>
      <c r="B412" s="26"/>
      <c r="C412" s="32"/>
      <c r="D412" s="33" t="str">
        <f aca="false">IF(E412="","",IF(E412="HDFC Bank (INR)","INR","GBP"))</f>
        <v/>
      </c>
      <c r="E412" s="26"/>
      <c r="F412" s="28"/>
      <c r="G412" s="28"/>
    </row>
    <row r="413" customFormat="false" ht="15" hidden="false" customHeight="false" outlineLevel="0" collapsed="false">
      <c r="A413" s="28"/>
      <c r="B413" s="26"/>
      <c r="C413" s="32"/>
      <c r="D413" s="33" t="str">
        <f aca="false">IF(E413="","",IF(E413="HDFC Bank (INR)","INR","GBP"))</f>
        <v/>
      </c>
      <c r="E413" s="26"/>
      <c r="F413" s="28"/>
      <c r="G413" s="28"/>
    </row>
    <row r="414" customFormat="false" ht="15" hidden="false" customHeight="false" outlineLevel="0" collapsed="false">
      <c r="A414" s="28"/>
      <c r="B414" s="26"/>
      <c r="C414" s="32"/>
      <c r="D414" s="33" t="str">
        <f aca="false">IF(E414="","",IF(E414="HDFC Bank (INR)","INR","GBP"))</f>
        <v/>
      </c>
      <c r="E414" s="26"/>
      <c r="F414" s="28"/>
      <c r="G414" s="28"/>
    </row>
    <row r="415" customFormat="false" ht="15" hidden="false" customHeight="false" outlineLevel="0" collapsed="false">
      <c r="A415" s="28"/>
      <c r="B415" s="26"/>
      <c r="C415" s="32"/>
      <c r="D415" s="33" t="str">
        <f aca="false">IF(E415="","",IF(E415="HDFC Bank (INR)","INR","GBP"))</f>
        <v/>
      </c>
      <c r="E415" s="26"/>
      <c r="F415" s="28"/>
      <c r="G415" s="28"/>
    </row>
    <row r="416" customFormat="false" ht="15" hidden="false" customHeight="false" outlineLevel="0" collapsed="false">
      <c r="A416" s="28"/>
      <c r="B416" s="26"/>
      <c r="C416" s="32"/>
      <c r="D416" s="33" t="str">
        <f aca="false">IF(E416="","",IF(E416="HDFC Bank (INR)","INR","GBP"))</f>
        <v/>
      </c>
      <c r="E416" s="26"/>
      <c r="F416" s="28"/>
      <c r="G416" s="28"/>
    </row>
    <row r="417" customFormat="false" ht="15" hidden="false" customHeight="false" outlineLevel="0" collapsed="false">
      <c r="A417" s="28"/>
      <c r="B417" s="26"/>
      <c r="C417" s="32"/>
      <c r="D417" s="33" t="str">
        <f aca="false">IF(E417="","",IF(E417="HDFC Bank (INR)","INR","GBP"))</f>
        <v/>
      </c>
      <c r="E417" s="26"/>
      <c r="F417" s="28"/>
      <c r="G417" s="28"/>
    </row>
    <row r="418" customFormat="false" ht="15" hidden="false" customHeight="false" outlineLevel="0" collapsed="false">
      <c r="A418" s="28"/>
      <c r="B418" s="26"/>
      <c r="C418" s="32"/>
      <c r="D418" s="33" t="str">
        <f aca="false">IF(E418="","",IF(E418="HDFC Bank (INR)","INR","GBP"))</f>
        <v/>
      </c>
      <c r="E418" s="26"/>
      <c r="F418" s="28"/>
      <c r="G418" s="28"/>
    </row>
    <row r="419" customFormat="false" ht="15" hidden="false" customHeight="false" outlineLevel="0" collapsed="false">
      <c r="A419" s="28"/>
      <c r="B419" s="26"/>
      <c r="C419" s="32"/>
      <c r="D419" s="33" t="str">
        <f aca="false">IF(E419="","",IF(E419="HDFC Bank (INR)","INR","GBP"))</f>
        <v/>
      </c>
      <c r="E419" s="26"/>
      <c r="F419" s="28"/>
      <c r="G419" s="28"/>
    </row>
    <row r="420" customFormat="false" ht="15" hidden="false" customHeight="false" outlineLevel="0" collapsed="false">
      <c r="A420" s="28"/>
      <c r="B420" s="26"/>
      <c r="C420" s="32"/>
      <c r="D420" s="33" t="str">
        <f aca="false">IF(E420="","",IF(E420="HDFC Bank (INR)","INR","GBP"))</f>
        <v/>
      </c>
      <c r="E420" s="26"/>
      <c r="F420" s="28"/>
      <c r="G420" s="28"/>
    </row>
    <row r="421" customFormat="false" ht="15" hidden="false" customHeight="false" outlineLevel="0" collapsed="false">
      <c r="A421" s="28"/>
      <c r="B421" s="26"/>
      <c r="C421" s="32"/>
      <c r="D421" s="33" t="str">
        <f aca="false">IF(E421="","",IF(E421="HDFC Bank (INR)","INR","GBP"))</f>
        <v/>
      </c>
      <c r="E421" s="26"/>
      <c r="F421" s="28"/>
      <c r="G421" s="28"/>
    </row>
    <row r="422" customFormat="false" ht="15" hidden="false" customHeight="false" outlineLevel="0" collapsed="false">
      <c r="A422" s="28"/>
      <c r="B422" s="26"/>
      <c r="C422" s="32"/>
      <c r="D422" s="33" t="str">
        <f aca="false">IF(E422="","",IF(E422="HDFC Bank (INR)","INR","GBP"))</f>
        <v/>
      </c>
      <c r="E422" s="26"/>
      <c r="F422" s="28"/>
      <c r="G422" s="28"/>
    </row>
    <row r="423" customFormat="false" ht="15" hidden="false" customHeight="false" outlineLevel="0" collapsed="false">
      <c r="A423" s="28"/>
      <c r="B423" s="26"/>
      <c r="C423" s="32"/>
      <c r="D423" s="33" t="str">
        <f aca="false">IF(E423="","",IF(E423="HDFC Bank (INR)","INR","GBP"))</f>
        <v/>
      </c>
      <c r="E423" s="26"/>
      <c r="F423" s="28"/>
      <c r="G423" s="28"/>
    </row>
    <row r="424" customFormat="false" ht="15" hidden="false" customHeight="false" outlineLevel="0" collapsed="false">
      <c r="A424" s="28"/>
      <c r="B424" s="26"/>
      <c r="C424" s="32"/>
      <c r="D424" s="33" t="str">
        <f aca="false">IF(E424="","",IF(E424="HDFC Bank (INR)","INR","GBP"))</f>
        <v/>
      </c>
      <c r="E424" s="26"/>
      <c r="F424" s="28"/>
      <c r="G424" s="28"/>
    </row>
    <row r="425" customFormat="false" ht="15" hidden="false" customHeight="false" outlineLevel="0" collapsed="false">
      <c r="A425" s="28"/>
      <c r="B425" s="26"/>
      <c r="C425" s="32"/>
      <c r="D425" s="33" t="str">
        <f aca="false">IF(E425="","",IF(E425="HDFC Bank (INR)","INR","GBP"))</f>
        <v/>
      </c>
      <c r="E425" s="26"/>
      <c r="F425" s="28"/>
      <c r="G425" s="28"/>
    </row>
    <row r="426" customFormat="false" ht="15" hidden="false" customHeight="false" outlineLevel="0" collapsed="false">
      <c r="A426" s="28"/>
      <c r="B426" s="26"/>
      <c r="C426" s="32"/>
      <c r="D426" s="33" t="str">
        <f aca="false">IF(E426="","",IF(E426="HDFC Bank (INR)","INR","GBP"))</f>
        <v/>
      </c>
      <c r="E426" s="26"/>
      <c r="F426" s="28"/>
      <c r="G426" s="28"/>
    </row>
    <row r="427" customFormat="false" ht="15" hidden="false" customHeight="false" outlineLevel="0" collapsed="false">
      <c r="A427" s="28"/>
      <c r="B427" s="26"/>
      <c r="C427" s="32"/>
      <c r="D427" s="33" t="str">
        <f aca="false">IF(E427="","",IF(E427="HDFC Bank (INR)","INR","GBP"))</f>
        <v/>
      </c>
      <c r="E427" s="26"/>
      <c r="F427" s="28"/>
      <c r="G427" s="28"/>
    </row>
    <row r="428" customFormat="false" ht="15" hidden="false" customHeight="false" outlineLevel="0" collapsed="false">
      <c r="A428" s="28"/>
      <c r="B428" s="26"/>
      <c r="C428" s="32"/>
      <c r="D428" s="33" t="str">
        <f aca="false">IF(E428="","",IF(E428="HDFC Bank (INR)","INR","GBP"))</f>
        <v/>
      </c>
      <c r="E428" s="26"/>
      <c r="F428" s="28"/>
      <c r="G428" s="28"/>
    </row>
    <row r="429" customFormat="false" ht="15" hidden="false" customHeight="false" outlineLevel="0" collapsed="false">
      <c r="A429" s="28"/>
      <c r="B429" s="26"/>
      <c r="C429" s="32"/>
      <c r="D429" s="33" t="str">
        <f aca="false">IF(E429="","",IF(E429="HDFC Bank (INR)","INR","GBP"))</f>
        <v/>
      </c>
      <c r="E429" s="26"/>
      <c r="F429" s="28"/>
      <c r="G429" s="28"/>
    </row>
    <row r="430" customFormat="false" ht="15" hidden="false" customHeight="false" outlineLevel="0" collapsed="false">
      <c r="A430" s="28"/>
      <c r="B430" s="26"/>
      <c r="C430" s="32"/>
      <c r="D430" s="33" t="str">
        <f aca="false">IF(E430="","",IF(E430="HDFC Bank (INR)","INR","GBP"))</f>
        <v/>
      </c>
      <c r="E430" s="26"/>
      <c r="F430" s="28"/>
      <c r="G430" s="28"/>
    </row>
    <row r="431" customFormat="false" ht="15" hidden="false" customHeight="false" outlineLevel="0" collapsed="false">
      <c r="A431" s="28"/>
      <c r="B431" s="26"/>
      <c r="C431" s="32"/>
      <c r="D431" s="33" t="str">
        <f aca="false">IF(E431="","",IF(E431="HDFC Bank (INR)","INR","GBP"))</f>
        <v/>
      </c>
      <c r="E431" s="26"/>
      <c r="F431" s="28"/>
      <c r="G431" s="28"/>
    </row>
    <row r="432" customFormat="false" ht="15" hidden="false" customHeight="false" outlineLevel="0" collapsed="false">
      <c r="A432" s="28"/>
      <c r="B432" s="26"/>
      <c r="C432" s="32"/>
      <c r="D432" s="33" t="str">
        <f aca="false">IF(E432="","",IF(E432="HDFC Bank (INR)","INR","GBP"))</f>
        <v/>
      </c>
      <c r="E432" s="26"/>
      <c r="F432" s="28"/>
      <c r="G432" s="28"/>
    </row>
    <row r="433" customFormat="false" ht="15" hidden="false" customHeight="false" outlineLevel="0" collapsed="false">
      <c r="A433" s="28"/>
      <c r="B433" s="26"/>
      <c r="C433" s="32"/>
      <c r="D433" s="33" t="str">
        <f aca="false">IF(E433="","",IF(E433="HDFC Bank (INR)","INR","GBP"))</f>
        <v/>
      </c>
      <c r="E433" s="26"/>
      <c r="F433" s="28"/>
      <c r="G433" s="28"/>
    </row>
    <row r="434" customFormat="false" ht="15" hidden="false" customHeight="false" outlineLevel="0" collapsed="false">
      <c r="A434" s="28"/>
      <c r="B434" s="26"/>
      <c r="C434" s="32"/>
      <c r="D434" s="33" t="str">
        <f aca="false">IF(E434="","",IF(E434="HDFC Bank (INR)","INR","GBP"))</f>
        <v/>
      </c>
      <c r="E434" s="26"/>
      <c r="F434" s="28"/>
      <c r="G434" s="28"/>
    </row>
    <row r="435" customFormat="false" ht="15" hidden="false" customHeight="false" outlineLevel="0" collapsed="false">
      <c r="A435" s="28"/>
      <c r="B435" s="26"/>
      <c r="C435" s="32"/>
      <c r="D435" s="33" t="str">
        <f aca="false">IF(E435="","",IF(E435="HDFC Bank (INR)","INR","GBP"))</f>
        <v/>
      </c>
      <c r="E435" s="26"/>
      <c r="F435" s="28"/>
      <c r="G435" s="28"/>
    </row>
    <row r="436" customFormat="false" ht="15" hidden="false" customHeight="false" outlineLevel="0" collapsed="false">
      <c r="A436" s="28"/>
      <c r="B436" s="26"/>
      <c r="C436" s="32"/>
      <c r="D436" s="33" t="str">
        <f aca="false">IF(E436="","",IF(E436="HDFC Bank (INR)","INR","GBP"))</f>
        <v/>
      </c>
      <c r="E436" s="26"/>
      <c r="F436" s="28"/>
      <c r="G436" s="28"/>
    </row>
    <row r="437" customFormat="false" ht="15" hidden="false" customHeight="false" outlineLevel="0" collapsed="false">
      <c r="A437" s="28"/>
      <c r="B437" s="26"/>
      <c r="C437" s="32"/>
      <c r="D437" s="33" t="str">
        <f aca="false">IF(E437="","",IF(E437="HDFC Bank (INR)","INR","GBP"))</f>
        <v/>
      </c>
      <c r="E437" s="26"/>
      <c r="F437" s="28"/>
      <c r="G437" s="28"/>
    </row>
    <row r="438" customFormat="false" ht="15" hidden="false" customHeight="false" outlineLevel="0" collapsed="false">
      <c r="A438" s="28"/>
      <c r="B438" s="26"/>
      <c r="C438" s="32"/>
      <c r="D438" s="33" t="str">
        <f aca="false">IF(E438="","",IF(E438="HDFC Bank (INR)","INR","GBP"))</f>
        <v/>
      </c>
      <c r="E438" s="26"/>
      <c r="F438" s="28"/>
      <c r="G438" s="28"/>
    </row>
    <row r="439" customFormat="false" ht="15" hidden="false" customHeight="false" outlineLevel="0" collapsed="false">
      <c r="A439" s="28"/>
      <c r="B439" s="26"/>
      <c r="C439" s="32"/>
      <c r="D439" s="33" t="str">
        <f aca="false">IF(E439="","",IF(E439="HDFC Bank (INR)","INR","GBP"))</f>
        <v/>
      </c>
      <c r="E439" s="26"/>
      <c r="F439" s="28"/>
      <c r="G439" s="28"/>
    </row>
    <row r="440" customFormat="false" ht="15" hidden="false" customHeight="false" outlineLevel="0" collapsed="false">
      <c r="A440" s="28"/>
      <c r="B440" s="26"/>
      <c r="C440" s="32"/>
      <c r="D440" s="33" t="str">
        <f aca="false">IF(E440="","",IF(E440="HDFC Bank (INR)","INR","GBP"))</f>
        <v/>
      </c>
      <c r="E440" s="26"/>
      <c r="F440" s="28"/>
      <c r="G440" s="28"/>
    </row>
    <row r="441" customFormat="false" ht="15" hidden="false" customHeight="false" outlineLevel="0" collapsed="false">
      <c r="A441" s="28"/>
      <c r="B441" s="26"/>
      <c r="C441" s="32"/>
      <c r="D441" s="33" t="str">
        <f aca="false">IF(E441="","",IF(E441="HDFC Bank (INR)","INR","GBP"))</f>
        <v/>
      </c>
      <c r="E441" s="26"/>
      <c r="F441" s="28"/>
      <c r="G441" s="28"/>
    </row>
    <row r="442" customFormat="false" ht="15" hidden="false" customHeight="false" outlineLevel="0" collapsed="false">
      <c r="A442" s="28"/>
      <c r="B442" s="26"/>
      <c r="C442" s="32"/>
      <c r="D442" s="33" t="str">
        <f aca="false">IF(E442="","",IF(E442="HDFC Bank (INR)","INR","GBP"))</f>
        <v/>
      </c>
      <c r="E442" s="26"/>
      <c r="F442" s="28"/>
      <c r="G442" s="28"/>
    </row>
    <row r="443" customFormat="false" ht="15" hidden="false" customHeight="false" outlineLevel="0" collapsed="false">
      <c r="A443" s="28"/>
      <c r="B443" s="26"/>
      <c r="C443" s="32"/>
      <c r="D443" s="33" t="str">
        <f aca="false">IF(E443="","",IF(E443="HDFC Bank (INR)","INR","GBP"))</f>
        <v/>
      </c>
      <c r="E443" s="26"/>
      <c r="F443" s="28"/>
      <c r="G443" s="28"/>
    </row>
    <row r="444" customFormat="false" ht="15" hidden="false" customHeight="false" outlineLevel="0" collapsed="false">
      <c r="A444" s="28"/>
      <c r="B444" s="26"/>
      <c r="C444" s="32"/>
      <c r="D444" s="33" t="str">
        <f aca="false">IF(E444="","",IF(E444="HDFC Bank (INR)","INR","GBP"))</f>
        <v/>
      </c>
      <c r="E444" s="26"/>
      <c r="F444" s="28"/>
      <c r="G444" s="28"/>
    </row>
    <row r="445" customFormat="false" ht="15" hidden="false" customHeight="false" outlineLevel="0" collapsed="false">
      <c r="A445" s="28"/>
      <c r="B445" s="26"/>
      <c r="C445" s="32"/>
      <c r="D445" s="33" t="str">
        <f aca="false">IF(E445="","",IF(E445="HDFC Bank (INR)","INR","GBP"))</f>
        <v/>
      </c>
      <c r="E445" s="26"/>
      <c r="F445" s="28"/>
      <c r="G445" s="28"/>
    </row>
    <row r="446" customFormat="false" ht="15" hidden="false" customHeight="false" outlineLevel="0" collapsed="false">
      <c r="A446" s="28"/>
      <c r="B446" s="26"/>
      <c r="C446" s="32"/>
      <c r="D446" s="33" t="str">
        <f aca="false">IF(E446="","",IF(E446="HDFC Bank (INR)","INR","GBP"))</f>
        <v/>
      </c>
      <c r="E446" s="26"/>
      <c r="F446" s="28"/>
      <c r="G446" s="28"/>
    </row>
    <row r="447" customFormat="false" ht="15" hidden="false" customHeight="false" outlineLevel="0" collapsed="false">
      <c r="A447" s="28"/>
      <c r="B447" s="26"/>
      <c r="C447" s="32"/>
      <c r="D447" s="33" t="str">
        <f aca="false">IF(E447="","",IF(E447="HDFC Bank (INR)","INR","GBP"))</f>
        <v/>
      </c>
      <c r="E447" s="26"/>
      <c r="F447" s="28"/>
      <c r="G447" s="28"/>
    </row>
    <row r="448" customFormat="false" ht="15" hidden="false" customHeight="false" outlineLevel="0" collapsed="false">
      <c r="A448" s="28"/>
      <c r="B448" s="26"/>
      <c r="C448" s="32"/>
      <c r="D448" s="33" t="str">
        <f aca="false">IF(E448="","",IF(E448="HDFC Bank (INR)","INR","GBP"))</f>
        <v/>
      </c>
      <c r="E448" s="26"/>
      <c r="F448" s="28"/>
      <c r="G448" s="28"/>
    </row>
    <row r="449" customFormat="false" ht="15" hidden="false" customHeight="false" outlineLevel="0" collapsed="false">
      <c r="A449" s="28"/>
      <c r="B449" s="26"/>
      <c r="C449" s="32"/>
      <c r="D449" s="33" t="str">
        <f aca="false">IF(E449="","",IF(E449="HDFC Bank (INR)","INR","GBP"))</f>
        <v/>
      </c>
      <c r="E449" s="26"/>
      <c r="F449" s="28"/>
      <c r="G449" s="28"/>
    </row>
    <row r="450" customFormat="false" ht="15" hidden="false" customHeight="false" outlineLevel="0" collapsed="false">
      <c r="A450" s="28"/>
      <c r="B450" s="26"/>
      <c r="C450" s="32"/>
      <c r="D450" s="33" t="str">
        <f aca="false">IF(E450="","",IF(E450="HDFC Bank (INR)","INR","GBP"))</f>
        <v/>
      </c>
      <c r="E450" s="26"/>
      <c r="F450" s="28"/>
      <c r="G450" s="28"/>
    </row>
    <row r="451" customFormat="false" ht="15" hidden="false" customHeight="false" outlineLevel="0" collapsed="false">
      <c r="A451" s="28"/>
      <c r="B451" s="26"/>
      <c r="C451" s="32"/>
      <c r="D451" s="33" t="str">
        <f aca="false">IF(E451="","",IF(E451="HDFC Bank (INR)","INR","GBP"))</f>
        <v/>
      </c>
      <c r="E451" s="26"/>
      <c r="F451" s="28"/>
      <c r="G451" s="28"/>
    </row>
    <row r="452" customFormat="false" ht="15" hidden="false" customHeight="false" outlineLevel="0" collapsed="false">
      <c r="A452" s="28"/>
      <c r="B452" s="26"/>
      <c r="C452" s="32"/>
      <c r="D452" s="33" t="str">
        <f aca="false">IF(E452="","",IF(E452="HDFC Bank (INR)","INR","GBP"))</f>
        <v/>
      </c>
      <c r="E452" s="26"/>
      <c r="F452" s="28"/>
      <c r="G452" s="28"/>
    </row>
    <row r="453" customFormat="false" ht="15" hidden="false" customHeight="false" outlineLevel="0" collapsed="false">
      <c r="A453" s="28"/>
      <c r="B453" s="26"/>
      <c r="C453" s="32"/>
      <c r="D453" s="33" t="str">
        <f aca="false">IF(E453="","",IF(E453="HDFC Bank (INR)","INR","GBP"))</f>
        <v/>
      </c>
      <c r="E453" s="26"/>
      <c r="F453" s="28"/>
      <c r="G453" s="28"/>
    </row>
    <row r="454" customFormat="false" ht="15" hidden="false" customHeight="false" outlineLevel="0" collapsed="false">
      <c r="A454" s="28"/>
      <c r="B454" s="26"/>
      <c r="C454" s="32"/>
      <c r="D454" s="33" t="str">
        <f aca="false">IF(E454="","",IF(E454="HDFC Bank (INR)","INR","GBP"))</f>
        <v/>
      </c>
      <c r="E454" s="26"/>
      <c r="F454" s="28"/>
      <c r="G454" s="28"/>
    </row>
    <row r="455" customFormat="false" ht="15" hidden="false" customHeight="false" outlineLevel="0" collapsed="false">
      <c r="A455" s="28"/>
      <c r="B455" s="26"/>
      <c r="C455" s="32"/>
      <c r="D455" s="33" t="str">
        <f aca="false">IF(E455="","",IF(E455="HDFC Bank (INR)","INR","GBP"))</f>
        <v/>
      </c>
      <c r="E455" s="26"/>
      <c r="F455" s="28"/>
      <c r="G455" s="28"/>
    </row>
    <row r="456" customFormat="false" ht="15" hidden="false" customHeight="false" outlineLevel="0" collapsed="false">
      <c r="A456" s="28"/>
      <c r="B456" s="26"/>
      <c r="C456" s="32"/>
      <c r="D456" s="33" t="str">
        <f aca="false">IF(E456="","",IF(E456="HDFC Bank (INR)","INR","GBP"))</f>
        <v/>
      </c>
      <c r="E456" s="26"/>
      <c r="F456" s="28"/>
      <c r="G456" s="28"/>
    </row>
    <row r="457" customFormat="false" ht="15" hidden="false" customHeight="false" outlineLevel="0" collapsed="false">
      <c r="A457" s="28"/>
      <c r="B457" s="26"/>
      <c r="C457" s="32"/>
      <c r="D457" s="33" t="str">
        <f aca="false">IF(E457="","",IF(E457="HDFC Bank (INR)","INR","GBP"))</f>
        <v/>
      </c>
      <c r="E457" s="26"/>
      <c r="F457" s="28"/>
      <c r="G457" s="28"/>
    </row>
    <row r="458" customFormat="false" ht="15" hidden="false" customHeight="false" outlineLevel="0" collapsed="false">
      <c r="A458" s="28"/>
      <c r="B458" s="26"/>
      <c r="C458" s="32"/>
      <c r="D458" s="33" t="str">
        <f aca="false">IF(E458="","",IF(E458="HDFC Bank (INR)","INR","GBP"))</f>
        <v/>
      </c>
      <c r="E458" s="26"/>
      <c r="F458" s="28"/>
      <c r="G458" s="28"/>
    </row>
    <row r="459" customFormat="false" ht="15" hidden="false" customHeight="false" outlineLevel="0" collapsed="false">
      <c r="A459" s="28"/>
      <c r="B459" s="26"/>
      <c r="C459" s="32"/>
      <c r="D459" s="33" t="str">
        <f aca="false">IF(E459="","",IF(E459="HDFC Bank (INR)","INR","GBP"))</f>
        <v/>
      </c>
      <c r="E459" s="26"/>
      <c r="F459" s="28"/>
      <c r="G459" s="28"/>
    </row>
    <row r="460" customFormat="false" ht="15" hidden="false" customHeight="false" outlineLevel="0" collapsed="false">
      <c r="A460" s="28"/>
      <c r="B460" s="26"/>
      <c r="C460" s="32"/>
      <c r="D460" s="33" t="str">
        <f aca="false">IF(E460="","",IF(E460="HDFC Bank (INR)","INR","GBP"))</f>
        <v/>
      </c>
      <c r="E460" s="26"/>
      <c r="F460" s="28"/>
      <c r="G460" s="28"/>
    </row>
    <row r="461" customFormat="false" ht="15" hidden="false" customHeight="false" outlineLevel="0" collapsed="false">
      <c r="A461" s="28"/>
      <c r="B461" s="26"/>
      <c r="C461" s="32"/>
      <c r="D461" s="33" t="str">
        <f aca="false">IF(E461="","",IF(E461="HDFC Bank (INR)","INR","GBP"))</f>
        <v/>
      </c>
      <c r="E461" s="26"/>
      <c r="F461" s="28"/>
      <c r="G461" s="28"/>
    </row>
    <row r="462" customFormat="false" ht="15" hidden="false" customHeight="false" outlineLevel="0" collapsed="false">
      <c r="A462" s="28"/>
      <c r="B462" s="26"/>
      <c r="C462" s="32"/>
      <c r="D462" s="33" t="str">
        <f aca="false">IF(E462="","",IF(E462="HDFC Bank (INR)","INR","GBP"))</f>
        <v/>
      </c>
      <c r="E462" s="26"/>
      <c r="F462" s="28"/>
      <c r="G462" s="28"/>
    </row>
    <row r="463" customFormat="false" ht="15" hidden="false" customHeight="false" outlineLevel="0" collapsed="false">
      <c r="A463" s="28"/>
      <c r="B463" s="26"/>
      <c r="C463" s="32"/>
      <c r="D463" s="33" t="str">
        <f aca="false">IF(E463="","",IF(E463="HDFC Bank (INR)","INR","GBP"))</f>
        <v/>
      </c>
      <c r="E463" s="26"/>
      <c r="F463" s="28"/>
      <c r="G463" s="28"/>
    </row>
    <row r="464" customFormat="false" ht="15" hidden="false" customHeight="false" outlineLevel="0" collapsed="false">
      <c r="A464" s="28"/>
      <c r="B464" s="26"/>
      <c r="C464" s="32"/>
      <c r="D464" s="33" t="str">
        <f aca="false">IF(E464="","",IF(E464="HDFC Bank (INR)","INR","GBP"))</f>
        <v/>
      </c>
      <c r="E464" s="26"/>
      <c r="F464" s="28"/>
      <c r="G464" s="28"/>
    </row>
    <row r="465" customFormat="false" ht="15" hidden="false" customHeight="false" outlineLevel="0" collapsed="false">
      <c r="A465" s="28"/>
      <c r="B465" s="26"/>
      <c r="C465" s="32"/>
      <c r="D465" s="33" t="str">
        <f aca="false">IF(E465="","",IF(E465="HDFC Bank (INR)","INR","GBP"))</f>
        <v/>
      </c>
      <c r="E465" s="26"/>
      <c r="F465" s="28"/>
      <c r="G465" s="28"/>
    </row>
    <row r="466" customFormat="false" ht="15" hidden="false" customHeight="false" outlineLevel="0" collapsed="false">
      <c r="A466" s="28"/>
      <c r="B466" s="26"/>
      <c r="C466" s="32"/>
      <c r="D466" s="33" t="str">
        <f aca="false">IF(E466="","",IF(E466="HDFC Bank (INR)","INR","GBP"))</f>
        <v/>
      </c>
      <c r="E466" s="26"/>
      <c r="F466" s="28"/>
      <c r="G466" s="28"/>
    </row>
    <row r="467" customFormat="false" ht="15" hidden="false" customHeight="false" outlineLevel="0" collapsed="false">
      <c r="A467" s="28"/>
      <c r="B467" s="26"/>
      <c r="C467" s="32"/>
      <c r="D467" s="33" t="str">
        <f aca="false">IF(E467="","",IF(E467="HDFC Bank (INR)","INR","GBP"))</f>
        <v/>
      </c>
      <c r="E467" s="26"/>
      <c r="F467" s="28"/>
      <c r="G467" s="28"/>
    </row>
    <row r="468" customFormat="false" ht="15" hidden="false" customHeight="false" outlineLevel="0" collapsed="false">
      <c r="A468" s="28"/>
      <c r="B468" s="26"/>
      <c r="C468" s="32"/>
      <c r="D468" s="33" t="str">
        <f aca="false">IF(E468="","",IF(E468="HDFC Bank (INR)","INR","GBP"))</f>
        <v/>
      </c>
      <c r="E468" s="26"/>
      <c r="F468" s="28"/>
      <c r="G468" s="28"/>
    </row>
    <row r="469" customFormat="false" ht="15" hidden="false" customHeight="false" outlineLevel="0" collapsed="false">
      <c r="A469" s="28"/>
      <c r="B469" s="26"/>
      <c r="C469" s="32"/>
      <c r="D469" s="33" t="str">
        <f aca="false">IF(E469="","",IF(E469="HDFC Bank (INR)","INR","GBP"))</f>
        <v/>
      </c>
      <c r="E469" s="26"/>
      <c r="F469" s="28"/>
      <c r="G469" s="28"/>
    </row>
    <row r="470" customFormat="false" ht="15" hidden="false" customHeight="false" outlineLevel="0" collapsed="false">
      <c r="A470" s="28"/>
      <c r="B470" s="26"/>
      <c r="C470" s="32"/>
      <c r="D470" s="33" t="str">
        <f aca="false">IF(E470="","",IF(E470="HDFC Bank (INR)","INR","GBP"))</f>
        <v/>
      </c>
      <c r="E470" s="26"/>
      <c r="F470" s="28"/>
      <c r="G470" s="28"/>
    </row>
    <row r="471" customFormat="false" ht="15" hidden="false" customHeight="false" outlineLevel="0" collapsed="false">
      <c r="A471" s="28"/>
      <c r="B471" s="26"/>
      <c r="C471" s="32"/>
      <c r="D471" s="33" t="str">
        <f aca="false">IF(E471="","",IF(E471="HDFC Bank (INR)","INR","GBP"))</f>
        <v/>
      </c>
      <c r="E471" s="26"/>
      <c r="F471" s="28"/>
      <c r="G471" s="28"/>
    </row>
    <row r="472" customFormat="false" ht="15" hidden="false" customHeight="false" outlineLevel="0" collapsed="false">
      <c r="A472" s="28"/>
      <c r="B472" s="26"/>
      <c r="C472" s="32"/>
      <c r="D472" s="33" t="str">
        <f aca="false">IF(E472="","",IF(E472="HDFC Bank (INR)","INR","GBP"))</f>
        <v/>
      </c>
      <c r="E472" s="26"/>
      <c r="F472" s="28"/>
      <c r="G472" s="28"/>
    </row>
    <row r="473" customFormat="false" ht="15" hidden="false" customHeight="false" outlineLevel="0" collapsed="false">
      <c r="A473" s="28"/>
      <c r="B473" s="26"/>
      <c r="C473" s="32"/>
      <c r="D473" s="33" t="str">
        <f aca="false">IF(E473="","",IF(E473="HDFC Bank (INR)","INR","GBP"))</f>
        <v/>
      </c>
      <c r="E473" s="26"/>
      <c r="F473" s="28"/>
      <c r="G473" s="28"/>
    </row>
    <row r="474" customFormat="false" ht="15" hidden="false" customHeight="false" outlineLevel="0" collapsed="false">
      <c r="A474" s="28"/>
      <c r="B474" s="26"/>
      <c r="C474" s="32"/>
      <c r="D474" s="33" t="str">
        <f aca="false">IF(E474="","",IF(E474="HDFC Bank (INR)","INR","GBP"))</f>
        <v/>
      </c>
      <c r="E474" s="26"/>
      <c r="F474" s="28"/>
      <c r="G474" s="28"/>
    </row>
    <row r="475" customFormat="false" ht="15" hidden="false" customHeight="false" outlineLevel="0" collapsed="false">
      <c r="A475" s="28"/>
      <c r="B475" s="26"/>
      <c r="C475" s="32"/>
      <c r="D475" s="33" t="str">
        <f aca="false">IF(E475="","",IF(E475="HDFC Bank (INR)","INR","GBP"))</f>
        <v/>
      </c>
      <c r="E475" s="26"/>
      <c r="F475" s="28"/>
      <c r="G475" s="28"/>
    </row>
    <row r="476" customFormat="false" ht="15" hidden="false" customHeight="false" outlineLevel="0" collapsed="false">
      <c r="A476" s="28"/>
      <c r="B476" s="26"/>
      <c r="C476" s="32"/>
      <c r="D476" s="33" t="str">
        <f aca="false">IF(E476="","",IF(E476="HDFC Bank (INR)","INR","GBP"))</f>
        <v/>
      </c>
      <c r="E476" s="26"/>
      <c r="F476" s="28"/>
      <c r="G476" s="28"/>
    </row>
    <row r="477" customFormat="false" ht="15" hidden="false" customHeight="false" outlineLevel="0" collapsed="false">
      <c r="A477" s="28"/>
      <c r="B477" s="26"/>
      <c r="C477" s="32"/>
      <c r="D477" s="33" t="str">
        <f aca="false">IF(E477="","",IF(E477="HDFC Bank (INR)","INR","GBP"))</f>
        <v/>
      </c>
      <c r="E477" s="26"/>
      <c r="F477" s="28"/>
      <c r="G477" s="28"/>
    </row>
    <row r="478" customFormat="false" ht="15" hidden="false" customHeight="false" outlineLevel="0" collapsed="false">
      <c r="A478" s="28"/>
      <c r="B478" s="26"/>
      <c r="C478" s="32"/>
      <c r="D478" s="33" t="str">
        <f aca="false">IF(E478="","",IF(E478="HDFC Bank (INR)","INR","GBP"))</f>
        <v/>
      </c>
      <c r="E478" s="26"/>
      <c r="F478" s="28"/>
      <c r="G478" s="28"/>
    </row>
    <row r="479" customFormat="false" ht="15" hidden="false" customHeight="false" outlineLevel="0" collapsed="false">
      <c r="A479" s="28"/>
      <c r="B479" s="26"/>
      <c r="C479" s="32"/>
      <c r="D479" s="33" t="str">
        <f aca="false">IF(E479="","",IF(E479="HDFC Bank (INR)","INR","GBP"))</f>
        <v/>
      </c>
      <c r="E479" s="26"/>
      <c r="F479" s="28"/>
      <c r="G479" s="28"/>
    </row>
    <row r="480" customFormat="false" ht="15" hidden="false" customHeight="false" outlineLevel="0" collapsed="false">
      <c r="A480" s="28"/>
      <c r="B480" s="26"/>
      <c r="C480" s="32"/>
      <c r="D480" s="33" t="str">
        <f aca="false">IF(E480="","",IF(E480="HDFC Bank (INR)","INR","GBP"))</f>
        <v/>
      </c>
      <c r="E480" s="26"/>
      <c r="F480" s="28"/>
      <c r="G480" s="28"/>
    </row>
    <row r="481" customFormat="false" ht="15" hidden="false" customHeight="false" outlineLevel="0" collapsed="false">
      <c r="A481" s="28"/>
      <c r="B481" s="26"/>
      <c r="C481" s="32"/>
      <c r="D481" s="33" t="str">
        <f aca="false">IF(E481="","",IF(E481="HDFC Bank (INR)","INR","GBP"))</f>
        <v/>
      </c>
      <c r="E481" s="26"/>
      <c r="F481" s="28"/>
      <c r="G481" s="28"/>
    </row>
    <row r="482" customFormat="false" ht="15" hidden="false" customHeight="false" outlineLevel="0" collapsed="false">
      <c r="A482" s="28"/>
      <c r="B482" s="26"/>
      <c r="C482" s="32"/>
      <c r="D482" s="33" t="str">
        <f aca="false">IF(E482="","",IF(E482="HDFC Bank (INR)","INR","GBP"))</f>
        <v/>
      </c>
      <c r="E482" s="26"/>
      <c r="F482" s="28"/>
      <c r="G482" s="28"/>
    </row>
    <row r="483" customFormat="false" ht="15" hidden="false" customHeight="false" outlineLevel="0" collapsed="false">
      <c r="A483" s="28"/>
      <c r="B483" s="26"/>
      <c r="C483" s="32"/>
      <c r="D483" s="33" t="str">
        <f aca="false">IF(E483="","",IF(E483="HDFC Bank (INR)","INR","GBP"))</f>
        <v/>
      </c>
      <c r="E483" s="26"/>
      <c r="F483" s="28"/>
      <c r="G483" s="28"/>
    </row>
    <row r="484" customFormat="false" ht="15" hidden="false" customHeight="false" outlineLevel="0" collapsed="false">
      <c r="A484" s="28"/>
      <c r="B484" s="26"/>
      <c r="C484" s="32"/>
      <c r="D484" s="33" t="str">
        <f aca="false">IF(E484="","",IF(E484="HDFC Bank (INR)","INR","GBP"))</f>
        <v/>
      </c>
      <c r="E484" s="26"/>
      <c r="F484" s="28"/>
      <c r="G484" s="28"/>
    </row>
    <row r="485" customFormat="false" ht="15" hidden="false" customHeight="false" outlineLevel="0" collapsed="false">
      <c r="A485" s="28"/>
      <c r="B485" s="26"/>
      <c r="C485" s="32"/>
      <c r="D485" s="33" t="str">
        <f aca="false">IF(E485="","",IF(E485="HDFC Bank (INR)","INR","GBP"))</f>
        <v/>
      </c>
      <c r="E485" s="26"/>
      <c r="F485" s="28"/>
      <c r="G485" s="28"/>
    </row>
    <row r="486" customFormat="false" ht="15" hidden="false" customHeight="false" outlineLevel="0" collapsed="false">
      <c r="A486" s="28"/>
      <c r="B486" s="26"/>
      <c r="C486" s="32"/>
      <c r="D486" s="33" t="str">
        <f aca="false">IF(E486="","",IF(E486="HDFC Bank (INR)","INR","GBP"))</f>
        <v/>
      </c>
      <c r="E486" s="26"/>
      <c r="F486" s="28"/>
      <c r="G486" s="28"/>
    </row>
    <row r="487" customFormat="false" ht="15" hidden="false" customHeight="false" outlineLevel="0" collapsed="false">
      <c r="A487" s="28"/>
      <c r="B487" s="26"/>
      <c r="C487" s="32"/>
      <c r="D487" s="33" t="str">
        <f aca="false">IF(E487="","",IF(E487="HDFC Bank (INR)","INR","GBP"))</f>
        <v/>
      </c>
      <c r="E487" s="26"/>
      <c r="F487" s="28"/>
      <c r="G487" s="28"/>
    </row>
    <row r="488" customFormat="false" ht="15" hidden="false" customHeight="false" outlineLevel="0" collapsed="false">
      <c r="A488" s="28"/>
      <c r="B488" s="26"/>
      <c r="C488" s="32"/>
      <c r="D488" s="33" t="str">
        <f aca="false">IF(E488="","",IF(E488="HDFC Bank (INR)","INR","GBP"))</f>
        <v/>
      </c>
      <c r="E488" s="26"/>
      <c r="F488" s="28"/>
      <c r="G488" s="28"/>
    </row>
    <row r="489" customFormat="false" ht="15" hidden="false" customHeight="false" outlineLevel="0" collapsed="false">
      <c r="A489" s="28"/>
      <c r="B489" s="26"/>
      <c r="C489" s="32"/>
      <c r="D489" s="33" t="str">
        <f aca="false">IF(E489="","",IF(E489="HDFC Bank (INR)","INR","GBP"))</f>
        <v/>
      </c>
      <c r="E489" s="26"/>
      <c r="F489" s="28"/>
      <c r="G489" s="28"/>
    </row>
    <row r="490" customFormat="false" ht="15" hidden="false" customHeight="false" outlineLevel="0" collapsed="false">
      <c r="A490" s="28"/>
      <c r="B490" s="26"/>
      <c r="C490" s="32"/>
      <c r="D490" s="33" t="str">
        <f aca="false">IF(E490="","",IF(E490="HDFC Bank (INR)","INR","GBP"))</f>
        <v/>
      </c>
      <c r="E490" s="26"/>
      <c r="F490" s="28"/>
      <c r="G490" s="28"/>
    </row>
    <row r="491" customFormat="false" ht="15" hidden="false" customHeight="false" outlineLevel="0" collapsed="false">
      <c r="A491" s="28"/>
      <c r="B491" s="26"/>
      <c r="C491" s="32"/>
      <c r="D491" s="33" t="str">
        <f aca="false">IF(E491="","",IF(E491="HDFC Bank (INR)","INR","GBP"))</f>
        <v/>
      </c>
      <c r="E491" s="26"/>
      <c r="F491" s="28"/>
      <c r="G491" s="28"/>
    </row>
    <row r="492" customFormat="false" ht="15" hidden="false" customHeight="false" outlineLevel="0" collapsed="false">
      <c r="A492" s="28"/>
      <c r="B492" s="26"/>
      <c r="C492" s="32"/>
      <c r="D492" s="33" t="str">
        <f aca="false">IF(E492="","",IF(E492="HDFC Bank (INR)","INR","GBP"))</f>
        <v/>
      </c>
      <c r="E492" s="26"/>
      <c r="F492" s="28"/>
      <c r="G492" s="28"/>
    </row>
    <row r="493" customFormat="false" ht="15" hidden="false" customHeight="false" outlineLevel="0" collapsed="false">
      <c r="A493" s="28"/>
      <c r="B493" s="26"/>
      <c r="C493" s="32"/>
      <c r="D493" s="33" t="str">
        <f aca="false">IF(E493="","",IF(E493="HDFC Bank (INR)","INR","GBP"))</f>
        <v/>
      </c>
      <c r="E493" s="26"/>
      <c r="F493" s="28"/>
      <c r="G493" s="28"/>
    </row>
    <row r="494" customFormat="false" ht="15" hidden="false" customHeight="false" outlineLevel="0" collapsed="false">
      <c r="A494" s="28"/>
      <c r="B494" s="26"/>
      <c r="C494" s="32"/>
      <c r="D494" s="33" t="str">
        <f aca="false">IF(E494="","",IF(E494="HDFC Bank (INR)","INR","GBP"))</f>
        <v/>
      </c>
      <c r="E494" s="26"/>
      <c r="F494" s="28"/>
      <c r="G494" s="28"/>
    </row>
    <row r="495" customFormat="false" ht="15" hidden="false" customHeight="false" outlineLevel="0" collapsed="false">
      <c r="A495" s="28"/>
      <c r="B495" s="26"/>
      <c r="C495" s="32"/>
      <c r="D495" s="33" t="str">
        <f aca="false">IF(E495="","",IF(E495="HDFC Bank (INR)","INR","GBP"))</f>
        <v/>
      </c>
      <c r="E495" s="26"/>
      <c r="F495" s="28"/>
      <c r="G495" s="28"/>
    </row>
    <row r="496" customFormat="false" ht="15" hidden="false" customHeight="false" outlineLevel="0" collapsed="false">
      <c r="A496" s="28"/>
      <c r="B496" s="26"/>
      <c r="C496" s="32"/>
      <c r="D496" s="33" t="str">
        <f aca="false">IF(E496="","",IF(E496="HDFC Bank (INR)","INR","GBP"))</f>
        <v/>
      </c>
      <c r="E496" s="26"/>
      <c r="F496" s="28"/>
      <c r="G496" s="28"/>
    </row>
    <row r="497" customFormat="false" ht="15" hidden="false" customHeight="false" outlineLevel="0" collapsed="false">
      <c r="A497" s="28"/>
      <c r="B497" s="26"/>
      <c r="C497" s="32"/>
      <c r="D497" s="33" t="str">
        <f aca="false">IF(E497="","",IF(E497="HDFC Bank (INR)","INR","GBP"))</f>
        <v/>
      </c>
      <c r="E497" s="26"/>
      <c r="F497" s="28"/>
      <c r="G497" s="28"/>
    </row>
    <row r="498" customFormat="false" ht="15" hidden="false" customHeight="false" outlineLevel="0" collapsed="false">
      <c r="A498" s="28"/>
      <c r="B498" s="26"/>
      <c r="C498" s="32"/>
      <c r="D498" s="33" t="str">
        <f aca="false">IF(E498="","",IF(E498="HDFC Bank (INR)","INR","GBP"))</f>
        <v/>
      </c>
      <c r="E498" s="26"/>
      <c r="F498" s="28"/>
      <c r="G498" s="28"/>
    </row>
    <row r="499" customFormat="false" ht="15" hidden="false" customHeight="false" outlineLevel="0" collapsed="false">
      <c r="A499" s="28"/>
      <c r="B499" s="26"/>
      <c r="C499" s="32"/>
      <c r="D499" s="33" t="str">
        <f aca="false">IF(E499="","",IF(E499="HDFC Bank (INR)","INR","GBP"))</f>
        <v/>
      </c>
      <c r="E499" s="26"/>
      <c r="F499" s="28"/>
      <c r="G499" s="28"/>
    </row>
    <row r="500" customFormat="false" ht="15" hidden="false" customHeight="false" outlineLevel="0" collapsed="false">
      <c r="A500" s="28"/>
      <c r="B500" s="26"/>
      <c r="C500" s="32"/>
      <c r="D500" s="33" t="str">
        <f aca="false">IF(E500="","",IF(E500="HDFC Bank (INR)","INR","GBP"))</f>
        <v/>
      </c>
      <c r="E500" s="26"/>
      <c r="F500" s="28"/>
      <c r="G500" s="28"/>
    </row>
    <row r="501" customFormat="false" ht="15" hidden="false" customHeight="false" outlineLevel="0" collapsed="false">
      <c r="A501" s="28"/>
      <c r="B501" s="26"/>
      <c r="C501" s="32"/>
      <c r="D501" s="33" t="str">
        <f aca="false">IF(E501="","",IF(E501="HDFC Bank (INR)","INR","GBP"))</f>
        <v/>
      </c>
      <c r="E501" s="26"/>
      <c r="F501" s="28"/>
      <c r="G501" s="28"/>
    </row>
    <row r="502" customFormat="false" ht="15" hidden="false" customHeight="false" outlineLevel="0" collapsed="false">
      <c r="A502" s="28"/>
      <c r="B502" s="26"/>
      <c r="C502" s="32"/>
      <c r="D502" s="33" t="str">
        <f aca="false">IF(E502="","",IF(E502="HDFC Bank (INR)","INR","GBP"))</f>
        <v/>
      </c>
      <c r="E502" s="26"/>
      <c r="F502" s="28"/>
      <c r="G502" s="28"/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B3:B502" type="list">
      <formula1>"Kolumba Carnaby,Gaia Pulses LTD,Tips and Extras,Family and Friends"</formula1>
      <formula2>0</formula2>
    </dataValidation>
    <dataValidation allowBlank="true" errorStyle="stop" operator="between" showDropDown="false" showErrorMessage="false" showInputMessage="false" sqref="E3:E502" type="list">
      <formula1>"Lloyds Bank (GBP),HSBC Bank (GBP),Barclays Bank (GBP),Halifax Bank (GBP),Klarna Pay (GBP),Splitwise (GBP),Oyster Travel Card (GBP),HDFC Bank (INR)"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3" style="0" width="38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104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6" t="s">
        <v>89</v>
      </c>
      <c r="B2" s="36" t="s">
        <v>3</v>
      </c>
      <c r="C2" s="36" t="s">
        <v>105</v>
      </c>
      <c r="D2" s="36" t="s">
        <v>106</v>
      </c>
      <c r="E2" s="36" t="s">
        <v>100</v>
      </c>
      <c r="F2" s="36" t="s">
        <v>65</v>
      </c>
    </row>
    <row r="3" customFormat="false" ht="15" hidden="false" customHeight="false" outlineLevel="0" collapsed="false">
      <c r="A3" s="37"/>
      <c r="B3" s="38"/>
      <c r="C3" s="38"/>
      <c r="D3" s="38"/>
      <c r="E3" s="39"/>
      <c r="F3" s="38"/>
    </row>
    <row r="4" customFormat="false" ht="15" hidden="false" customHeight="false" outlineLevel="0" collapsed="false">
      <c r="A4" s="37"/>
      <c r="B4" s="38"/>
      <c r="C4" s="38"/>
      <c r="D4" s="38"/>
      <c r="E4" s="39"/>
      <c r="F4" s="38"/>
    </row>
    <row r="5" customFormat="false" ht="15" hidden="false" customHeight="false" outlineLevel="0" collapsed="false">
      <c r="A5" s="37"/>
      <c r="B5" s="38"/>
      <c r="C5" s="38"/>
      <c r="D5" s="38"/>
      <c r="E5" s="39"/>
      <c r="F5" s="38"/>
    </row>
    <row r="6" customFormat="false" ht="15" hidden="false" customHeight="false" outlineLevel="0" collapsed="false">
      <c r="A6" s="37"/>
      <c r="B6" s="38"/>
      <c r="C6" s="38"/>
      <c r="D6" s="38"/>
      <c r="E6" s="39"/>
      <c r="F6" s="38"/>
    </row>
    <row r="7" customFormat="false" ht="15" hidden="false" customHeight="false" outlineLevel="0" collapsed="false">
      <c r="A7" s="37"/>
      <c r="B7" s="38"/>
      <c r="C7" s="38"/>
      <c r="D7" s="38"/>
      <c r="E7" s="39"/>
      <c r="F7" s="38"/>
    </row>
    <row r="8" customFormat="false" ht="15" hidden="false" customHeight="false" outlineLevel="0" collapsed="false">
      <c r="A8" s="37"/>
      <c r="B8" s="38"/>
      <c r="C8" s="38"/>
      <c r="D8" s="38"/>
      <c r="E8" s="39"/>
      <c r="F8" s="38"/>
    </row>
    <row r="9" customFormat="false" ht="15" hidden="false" customHeight="false" outlineLevel="0" collapsed="false">
      <c r="A9" s="37"/>
      <c r="B9" s="38"/>
      <c r="C9" s="38"/>
      <c r="D9" s="38"/>
      <c r="E9" s="39"/>
      <c r="F9" s="38"/>
    </row>
    <row r="10" customFormat="false" ht="15" hidden="false" customHeight="false" outlineLevel="0" collapsed="false">
      <c r="A10" s="37"/>
      <c r="B10" s="38"/>
      <c r="C10" s="38"/>
      <c r="D10" s="38"/>
      <c r="E10" s="39"/>
      <c r="F10" s="38"/>
    </row>
    <row r="11" customFormat="false" ht="15" hidden="false" customHeight="false" outlineLevel="0" collapsed="false">
      <c r="A11" s="37"/>
      <c r="B11" s="38"/>
      <c r="C11" s="38"/>
      <c r="D11" s="38"/>
      <c r="E11" s="39"/>
      <c r="F11" s="38"/>
    </row>
    <row r="12" customFormat="false" ht="15" hidden="false" customHeight="false" outlineLevel="0" collapsed="false">
      <c r="A12" s="37"/>
      <c r="B12" s="38"/>
      <c r="C12" s="38"/>
      <c r="D12" s="38"/>
      <c r="E12" s="39"/>
      <c r="F12" s="38"/>
    </row>
    <row r="13" customFormat="false" ht="15" hidden="false" customHeight="false" outlineLevel="0" collapsed="false">
      <c r="A13" s="37"/>
      <c r="B13" s="38"/>
      <c r="C13" s="38"/>
      <c r="D13" s="38"/>
      <c r="E13" s="39"/>
      <c r="F13" s="38"/>
    </row>
    <row r="14" customFormat="false" ht="15" hidden="false" customHeight="false" outlineLevel="0" collapsed="false">
      <c r="A14" s="37"/>
      <c r="B14" s="38"/>
      <c r="C14" s="38"/>
      <c r="D14" s="38"/>
      <c r="E14" s="39"/>
      <c r="F14" s="38"/>
    </row>
    <row r="15" customFormat="false" ht="15" hidden="false" customHeight="false" outlineLevel="0" collapsed="false">
      <c r="A15" s="37"/>
      <c r="B15" s="38"/>
      <c r="C15" s="38"/>
      <c r="D15" s="38"/>
      <c r="E15" s="39"/>
      <c r="F15" s="38"/>
    </row>
    <row r="16" customFormat="false" ht="15" hidden="false" customHeight="false" outlineLevel="0" collapsed="false">
      <c r="A16" s="37"/>
      <c r="B16" s="38"/>
      <c r="C16" s="38"/>
      <c r="D16" s="38"/>
      <c r="E16" s="39"/>
      <c r="F16" s="38"/>
    </row>
    <row r="17" customFormat="false" ht="15" hidden="false" customHeight="false" outlineLevel="0" collapsed="false">
      <c r="A17" s="37"/>
      <c r="B17" s="38"/>
      <c r="C17" s="38"/>
      <c r="D17" s="38"/>
      <c r="E17" s="39"/>
      <c r="F17" s="38"/>
    </row>
    <row r="18" customFormat="false" ht="15" hidden="false" customHeight="false" outlineLevel="0" collapsed="false">
      <c r="A18" s="37"/>
      <c r="B18" s="38"/>
      <c r="C18" s="38"/>
      <c r="D18" s="38"/>
      <c r="E18" s="39"/>
      <c r="F18" s="38"/>
    </row>
    <row r="19" customFormat="false" ht="15" hidden="false" customHeight="false" outlineLevel="0" collapsed="false">
      <c r="A19" s="37"/>
      <c r="B19" s="38"/>
      <c r="C19" s="38"/>
      <c r="D19" s="38"/>
      <c r="E19" s="39"/>
      <c r="F19" s="38"/>
    </row>
    <row r="20" customFormat="false" ht="15" hidden="false" customHeight="false" outlineLevel="0" collapsed="false">
      <c r="A20" s="37"/>
      <c r="B20" s="38"/>
      <c r="C20" s="38"/>
      <c r="D20" s="38"/>
      <c r="E20" s="39"/>
      <c r="F20" s="38"/>
    </row>
    <row r="21" customFormat="false" ht="15" hidden="false" customHeight="false" outlineLevel="0" collapsed="false">
      <c r="A21" s="37"/>
      <c r="B21" s="38"/>
      <c r="C21" s="38"/>
      <c r="D21" s="38"/>
      <c r="E21" s="39"/>
      <c r="F21" s="38"/>
    </row>
    <row r="22" customFormat="false" ht="15" hidden="false" customHeight="false" outlineLevel="0" collapsed="false">
      <c r="A22" s="37"/>
      <c r="B22" s="38"/>
      <c r="C22" s="38"/>
      <c r="D22" s="38"/>
      <c r="E22" s="39"/>
      <c r="F22" s="38"/>
    </row>
    <row r="23" customFormat="false" ht="15" hidden="false" customHeight="false" outlineLevel="0" collapsed="false">
      <c r="A23" s="37"/>
      <c r="B23" s="38"/>
      <c r="C23" s="38"/>
      <c r="D23" s="38"/>
      <c r="E23" s="39"/>
      <c r="F23" s="38"/>
    </row>
    <row r="24" customFormat="false" ht="15" hidden="false" customHeight="false" outlineLevel="0" collapsed="false">
      <c r="A24" s="37"/>
      <c r="B24" s="38"/>
      <c r="C24" s="38"/>
      <c r="D24" s="38"/>
      <c r="E24" s="39"/>
      <c r="F24" s="38"/>
    </row>
    <row r="25" customFormat="false" ht="15" hidden="false" customHeight="false" outlineLevel="0" collapsed="false">
      <c r="A25" s="37"/>
      <c r="B25" s="38"/>
      <c r="C25" s="38"/>
      <c r="D25" s="38"/>
      <c r="E25" s="39"/>
      <c r="F25" s="38"/>
    </row>
    <row r="26" customFormat="false" ht="15" hidden="false" customHeight="false" outlineLevel="0" collapsed="false">
      <c r="A26" s="37"/>
      <c r="B26" s="38"/>
      <c r="C26" s="38"/>
      <c r="D26" s="38"/>
      <c r="E26" s="39"/>
      <c r="F26" s="38"/>
    </row>
    <row r="27" customFormat="false" ht="15" hidden="false" customHeight="false" outlineLevel="0" collapsed="false">
      <c r="A27" s="37"/>
      <c r="B27" s="38"/>
      <c r="C27" s="38"/>
      <c r="D27" s="38"/>
      <c r="E27" s="39"/>
      <c r="F27" s="38"/>
    </row>
    <row r="28" customFormat="false" ht="15" hidden="false" customHeight="false" outlineLevel="0" collapsed="false">
      <c r="A28" s="37"/>
      <c r="B28" s="38"/>
      <c r="C28" s="38"/>
      <c r="D28" s="38"/>
      <c r="E28" s="39"/>
      <c r="F28" s="38"/>
    </row>
    <row r="29" customFormat="false" ht="15" hidden="false" customHeight="false" outlineLevel="0" collapsed="false">
      <c r="A29" s="37"/>
      <c r="B29" s="38"/>
      <c r="C29" s="38"/>
      <c r="D29" s="38"/>
      <c r="E29" s="39"/>
      <c r="F29" s="38"/>
    </row>
    <row r="30" customFormat="false" ht="15" hidden="false" customHeight="false" outlineLevel="0" collapsed="false">
      <c r="A30" s="37"/>
      <c r="B30" s="38"/>
      <c r="C30" s="38"/>
      <c r="D30" s="38"/>
      <c r="E30" s="39"/>
      <c r="F30" s="38"/>
    </row>
    <row r="31" customFormat="false" ht="15" hidden="false" customHeight="false" outlineLevel="0" collapsed="false">
      <c r="A31" s="37"/>
      <c r="B31" s="38"/>
      <c r="C31" s="38"/>
      <c r="D31" s="38"/>
      <c r="E31" s="39"/>
      <c r="F31" s="38"/>
    </row>
    <row r="32" customFormat="false" ht="15" hidden="false" customHeight="false" outlineLevel="0" collapsed="false">
      <c r="A32" s="37"/>
      <c r="B32" s="38"/>
      <c r="C32" s="38"/>
      <c r="D32" s="38"/>
      <c r="E32" s="39"/>
      <c r="F32" s="38"/>
    </row>
    <row r="33" customFormat="false" ht="15" hidden="false" customHeight="false" outlineLevel="0" collapsed="false">
      <c r="A33" s="37"/>
      <c r="B33" s="38"/>
      <c r="C33" s="38"/>
      <c r="D33" s="38"/>
      <c r="E33" s="39"/>
      <c r="F33" s="38"/>
    </row>
    <row r="34" customFormat="false" ht="15" hidden="false" customHeight="false" outlineLevel="0" collapsed="false">
      <c r="A34" s="37"/>
      <c r="B34" s="38"/>
      <c r="C34" s="38"/>
      <c r="D34" s="38"/>
      <c r="E34" s="39"/>
      <c r="F34" s="38"/>
    </row>
    <row r="35" customFormat="false" ht="15" hidden="false" customHeight="false" outlineLevel="0" collapsed="false">
      <c r="A35" s="37"/>
      <c r="B35" s="38"/>
      <c r="C35" s="38"/>
      <c r="D35" s="38"/>
      <c r="E35" s="39"/>
      <c r="F35" s="38"/>
    </row>
    <row r="36" customFormat="false" ht="15" hidden="false" customHeight="false" outlineLevel="0" collapsed="false">
      <c r="A36" s="37"/>
      <c r="B36" s="38"/>
      <c r="C36" s="38"/>
      <c r="D36" s="38"/>
      <c r="E36" s="39"/>
      <c r="F36" s="38"/>
    </row>
    <row r="37" customFormat="false" ht="15" hidden="false" customHeight="false" outlineLevel="0" collapsed="false">
      <c r="A37" s="37"/>
      <c r="B37" s="38"/>
      <c r="C37" s="38"/>
      <c r="D37" s="38"/>
      <c r="E37" s="39"/>
      <c r="F37" s="38"/>
    </row>
    <row r="38" customFormat="false" ht="15" hidden="false" customHeight="false" outlineLevel="0" collapsed="false">
      <c r="A38" s="37"/>
      <c r="B38" s="38"/>
      <c r="C38" s="38"/>
      <c r="D38" s="38"/>
      <c r="E38" s="39"/>
      <c r="F38" s="38"/>
    </row>
    <row r="39" customFormat="false" ht="15" hidden="false" customHeight="false" outlineLevel="0" collapsed="false">
      <c r="A39" s="37"/>
      <c r="B39" s="38"/>
      <c r="C39" s="38"/>
      <c r="D39" s="38"/>
      <c r="E39" s="39"/>
      <c r="F39" s="38"/>
    </row>
    <row r="40" customFormat="false" ht="15" hidden="false" customHeight="false" outlineLevel="0" collapsed="false">
      <c r="A40" s="37"/>
      <c r="B40" s="38"/>
      <c r="C40" s="38"/>
      <c r="D40" s="38"/>
      <c r="E40" s="39"/>
      <c r="F40" s="38"/>
    </row>
    <row r="41" customFormat="false" ht="15" hidden="false" customHeight="false" outlineLevel="0" collapsed="false">
      <c r="A41" s="37"/>
      <c r="B41" s="38"/>
      <c r="C41" s="38"/>
      <c r="D41" s="38"/>
      <c r="E41" s="39"/>
      <c r="F41" s="38"/>
    </row>
    <row r="42" customFormat="false" ht="15" hidden="false" customHeight="false" outlineLevel="0" collapsed="false">
      <c r="A42" s="37"/>
      <c r="B42" s="38"/>
      <c r="C42" s="38"/>
      <c r="D42" s="38"/>
      <c r="E42" s="39"/>
      <c r="F42" s="38"/>
    </row>
    <row r="43" customFormat="false" ht="15" hidden="false" customHeight="false" outlineLevel="0" collapsed="false">
      <c r="A43" s="37"/>
      <c r="B43" s="38"/>
      <c r="C43" s="38"/>
      <c r="D43" s="38"/>
      <c r="E43" s="39"/>
      <c r="F43" s="38"/>
    </row>
    <row r="44" customFormat="false" ht="15" hidden="false" customHeight="false" outlineLevel="0" collapsed="false">
      <c r="A44" s="37"/>
      <c r="B44" s="38"/>
      <c r="C44" s="38"/>
      <c r="D44" s="38"/>
      <c r="E44" s="39"/>
      <c r="F44" s="38"/>
    </row>
    <row r="45" customFormat="false" ht="15" hidden="false" customHeight="false" outlineLevel="0" collapsed="false">
      <c r="A45" s="37"/>
      <c r="B45" s="38"/>
      <c r="C45" s="38"/>
      <c r="D45" s="38"/>
      <c r="E45" s="39"/>
      <c r="F45" s="38"/>
    </row>
    <row r="46" customFormat="false" ht="15" hidden="false" customHeight="false" outlineLevel="0" collapsed="false">
      <c r="A46" s="37"/>
      <c r="B46" s="38"/>
      <c r="C46" s="38"/>
      <c r="D46" s="38"/>
      <c r="E46" s="39"/>
      <c r="F46" s="38"/>
    </row>
    <row r="47" customFormat="false" ht="15" hidden="false" customHeight="false" outlineLevel="0" collapsed="false">
      <c r="A47" s="37"/>
      <c r="B47" s="38"/>
      <c r="C47" s="38"/>
      <c r="D47" s="38"/>
      <c r="E47" s="39"/>
      <c r="F47" s="38"/>
    </row>
    <row r="48" customFormat="false" ht="15" hidden="false" customHeight="false" outlineLevel="0" collapsed="false">
      <c r="A48" s="37"/>
      <c r="B48" s="38"/>
      <c r="C48" s="38"/>
      <c r="D48" s="38"/>
      <c r="E48" s="39"/>
      <c r="F48" s="38"/>
    </row>
    <row r="49" customFormat="false" ht="15" hidden="false" customHeight="false" outlineLevel="0" collapsed="false">
      <c r="A49" s="37"/>
      <c r="B49" s="38"/>
      <c r="C49" s="38"/>
      <c r="D49" s="38"/>
      <c r="E49" s="39"/>
      <c r="F49" s="38"/>
    </row>
    <row r="50" customFormat="false" ht="15" hidden="false" customHeight="false" outlineLevel="0" collapsed="false">
      <c r="A50" s="37"/>
      <c r="B50" s="38"/>
      <c r="C50" s="38"/>
      <c r="D50" s="38"/>
      <c r="E50" s="39"/>
      <c r="F50" s="38"/>
    </row>
    <row r="51" customFormat="false" ht="15" hidden="false" customHeight="false" outlineLevel="0" collapsed="false">
      <c r="A51" s="37"/>
      <c r="B51" s="38"/>
      <c r="C51" s="38"/>
      <c r="D51" s="38"/>
      <c r="E51" s="39"/>
      <c r="F51" s="38"/>
    </row>
    <row r="52" customFormat="false" ht="15" hidden="false" customHeight="false" outlineLevel="0" collapsed="false">
      <c r="A52" s="37"/>
      <c r="B52" s="38"/>
      <c r="C52" s="38"/>
      <c r="D52" s="38"/>
      <c r="E52" s="39"/>
      <c r="F52" s="38"/>
    </row>
    <row r="53" customFormat="false" ht="15" hidden="false" customHeight="false" outlineLevel="0" collapsed="false">
      <c r="A53" s="37"/>
      <c r="B53" s="38"/>
      <c r="C53" s="38"/>
      <c r="D53" s="38"/>
      <c r="E53" s="39"/>
      <c r="F53" s="38"/>
    </row>
    <row r="54" customFormat="false" ht="15" hidden="false" customHeight="false" outlineLevel="0" collapsed="false">
      <c r="A54" s="37"/>
      <c r="B54" s="38"/>
      <c r="C54" s="38"/>
      <c r="D54" s="38"/>
      <c r="E54" s="39"/>
      <c r="F54" s="38"/>
    </row>
    <row r="55" customFormat="false" ht="15" hidden="false" customHeight="false" outlineLevel="0" collapsed="false">
      <c r="A55" s="37"/>
      <c r="B55" s="38"/>
      <c r="C55" s="38"/>
      <c r="D55" s="38"/>
      <c r="E55" s="39"/>
      <c r="F55" s="38"/>
    </row>
    <row r="56" customFormat="false" ht="15" hidden="false" customHeight="false" outlineLevel="0" collapsed="false">
      <c r="A56" s="37"/>
      <c r="B56" s="38"/>
      <c r="C56" s="38"/>
      <c r="D56" s="38"/>
      <c r="E56" s="39"/>
      <c r="F56" s="38"/>
    </row>
    <row r="57" customFormat="false" ht="15" hidden="false" customHeight="false" outlineLevel="0" collapsed="false">
      <c r="A57" s="37"/>
      <c r="B57" s="38"/>
      <c r="C57" s="38"/>
      <c r="D57" s="38"/>
      <c r="E57" s="39"/>
      <c r="F57" s="38"/>
    </row>
    <row r="58" customFormat="false" ht="15" hidden="false" customHeight="false" outlineLevel="0" collapsed="false">
      <c r="A58" s="37"/>
      <c r="B58" s="38"/>
      <c r="C58" s="38"/>
      <c r="D58" s="38"/>
      <c r="E58" s="39"/>
      <c r="F58" s="38"/>
    </row>
    <row r="59" customFormat="false" ht="15" hidden="false" customHeight="false" outlineLevel="0" collapsed="false">
      <c r="A59" s="37"/>
      <c r="B59" s="38"/>
      <c r="C59" s="38"/>
      <c r="D59" s="38"/>
      <c r="E59" s="39"/>
      <c r="F59" s="38"/>
    </row>
    <row r="60" customFormat="false" ht="15" hidden="false" customHeight="false" outlineLevel="0" collapsed="false">
      <c r="A60" s="37"/>
      <c r="B60" s="38"/>
      <c r="C60" s="38"/>
      <c r="D60" s="38"/>
      <c r="E60" s="39"/>
      <c r="F60" s="38"/>
    </row>
    <row r="61" customFormat="false" ht="15" hidden="false" customHeight="false" outlineLevel="0" collapsed="false">
      <c r="A61" s="37"/>
      <c r="B61" s="38"/>
      <c r="C61" s="38"/>
      <c r="D61" s="38"/>
      <c r="E61" s="39"/>
      <c r="F61" s="38"/>
    </row>
    <row r="62" customFormat="false" ht="15" hidden="false" customHeight="false" outlineLevel="0" collapsed="false">
      <c r="A62" s="37"/>
      <c r="B62" s="38"/>
      <c r="C62" s="38"/>
      <c r="D62" s="38"/>
      <c r="E62" s="39"/>
      <c r="F62" s="38"/>
    </row>
    <row r="63" customFormat="false" ht="15" hidden="false" customHeight="false" outlineLevel="0" collapsed="false">
      <c r="A63" s="37"/>
      <c r="B63" s="38"/>
      <c r="C63" s="38"/>
      <c r="D63" s="38"/>
      <c r="E63" s="39"/>
      <c r="F63" s="38"/>
    </row>
    <row r="64" customFormat="false" ht="15" hidden="false" customHeight="false" outlineLevel="0" collapsed="false">
      <c r="A64" s="37"/>
      <c r="B64" s="38"/>
      <c r="C64" s="38"/>
      <c r="D64" s="38"/>
      <c r="E64" s="39"/>
      <c r="F64" s="38"/>
    </row>
    <row r="65" customFormat="false" ht="15" hidden="false" customHeight="false" outlineLevel="0" collapsed="false">
      <c r="A65" s="37"/>
      <c r="B65" s="38"/>
      <c r="C65" s="38"/>
      <c r="D65" s="38"/>
      <c r="E65" s="39"/>
      <c r="F65" s="38"/>
    </row>
    <row r="66" customFormat="false" ht="15" hidden="false" customHeight="false" outlineLevel="0" collapsed="false">
      <c r="A66" s="37"/>
      <c r="B66" s="38"/>
      <c r="C66" s="38"/>
      <c r="D66" s="38"/>
      <c r="E66" s="39"/>
      <c r="F66" s="38"/>
    </row>
    <row r="67" customFormat="false" ht="15" hidden="false" customHeight="false" outlineLevel="0" collapsed="false">
      <c r="A67" s="37"/>
      <c r="B67" s="38"/>
      <c r="C67" s="38"/>
      <c r="D67" s="38"/>
      <c r="E67" s="39"/>
      <c r="F67" s="38"/>
    </row>
    <row r="68" customFormat="false" ht="15" hidden="false" customHeight="false" outlineLevel="0" collapsed="false">
      <c r="A68" s="37"/>
      <c r="B68" s="38"/>
      <c r="C68" s="38"/>
      <c r="D68" s="38"/>
      <c r="E68" s="39"/>
      <c r="F68" s="38"/>
    </row>
    <row r="69" customFormat="false" ht="15" hidden="false" customHeight="false" outlineLevel="0" collapsed="false">
      <c r="A69" s="37"/>
      <c r="B69" s="38"/>
      <c r="C69" s="38"/>
      <c r="D69" s="38"/>
      <c r="E69" s="39"/>
      <c r="F69" s="38"/>
    </row>
    <row r="70" customFormat="false" ht="15" hidden="false" customHeight="false" outlineLevel="0" collapsed="false">
      <c r="A70" s="37"/>
      <c r="B70" s="38"/>
      <c r="C70" s="38"/>
      <c r="D70" s="38"/>
      <c r="E70" s="39"/>
      <c r="F70" s="38"/>
    </row>
    <row r="71" customFormat="false" ht="15" hidden="false" customHeight="false" outlineLevel="0" collapsed="false">
      <c r="A71" s="37"/>
      <c r="B71" s="38"/>
      <c r="C71" s="38"/>
      <c r="D71" s="38"/>
      <c r="E71" s="39"/>
      <c r="F71" s="38"/>
    </row>
    <row r="72" customFormat="false" ht="15" hidden="false" customHeight="false" outlineLevel="0" collapsed="false">
      <c r="A72" s="37"/>
      <c r="B72" s="38"/>
      <c r="C72" s="38"/>
      <c r="D72" s="38"/>
      <c r="E72" s="39"/>
      <c r="F72" s="38"/>
    </row>
    <row r="73" customFormat="false" ht="15" hidden="false" customHeight="false" outlineLevel="0" collapsed="false">
      <c r="A73" s="37"/>
      <c r="B73" s="38"/>
      <c r="C73" s="38"/>
      <c r="D73" s="38"/>
      <c r="E73" s="39"/>
      <c r="F73" s="38"/>
    </row>
    <row r="74" customFormat="false" ht="15" hidden="false" customHeight="false" outlineLevel="0" collapsed="false">
      <c r="A74" s="37"/>
      <c r="B74" s="38"/>
      <c r="C74" s="38"/>
      <c r="D74" s="38"/>
      <c r="E74" s="39"/>
      <c r="F74" s="38"/>
    </row>
    <row r="75" customFormat="false" ht="15" hidden="false" customHeight="false" outlineLevel="0" collapsed="false">
      <c r="A75" s="37"/>
      <c r="B75" s="38"/>
      <c r="C75" s="38"/>
      <c r="D75" s="38"/>
      <c r="E75" s="39"/>
      <c r="F75" s="38"/>
    </row>
    <row r="76" customFormat="false" ht="15" hidden="false" customHeight="false" outlineLevel="0" collapsed="false">
      <c r="A76" s="37"/>
      <c r="B76" s="38"/>
      <c r="C76" s="38"/>
      <c r="D76" s="38"/>
      <c r="E76" s="39"/>
      <c r="F76" s="38"/>
    </row>
    <row r="77" customFormat="false" ht="15" hidden="false" customHeight="false" outlineLevel="0" collapsed="false">
      <c r="A77" s="37"/>
      <c r="B77" s="38"/>
      <c r="C77" s="38"/>
      <c r="D77" s="38"/>
      <c r="E77" s="39"/>
      <c r="F77" s="38"/>
    </row>
    <row r="78" customFormat="false" ht="15" hidden="false" customHeight="false" outlineLevel="0" collapsed="false">
      <c r="A78" s="37"/>
      <c r="B78" s="38"/>
      <c r="C78" s="38"/>
      <c r="D78" s="38"/>
      <c r="E78" s="39"/>
      <c r="F78" s="38"/>
    </row>
    <row r="79" customFormat="false" ht="15" hidden="false" customHeight="false" outlineLevel="0" collapsed="false">
      <c r="A79" s="37"/>
      <c r="B79" s="38"/>
      <c r="C79" s="38"/>
      <c r="D79" s="38"/>
      <c r="E79" s="39"/>
      <c r="F79" s="38"/>
    </row>
    <row r="80" customFormat="false" ht="15" hidden="false" customHeight="false" outlineLevel="0" collapsed="false">
      <c r="A80" s="37"/>
      <c r="B80" s="38"/>
      <c r="C80" s="38"/>
      <c r="D80" s="38"/>
      <c r="E80" s="39"/>
      <c r="F80" s="38"/>
    </row>
    <row r="81" customFormat="false" ht="15" hidden="false" customHeight="false" outlineLevel="0" collapsed="false">
      <c r="A81" s="37"/>
      <c r="B81" s="38"/>
      <c r="C81" s="38"/>
      <c r="D81" s="38"/>
      <c r="E81" s="39"/>
      <c r="F81" s="38"/>
    </row>
    <row r="82" customFormat="false" ht="15" hidden="false" customHeight="false" outlineLevel="0" collapsed="false">
      <c r="A82" s="37"/>
      <c r="B82" s="38"/>
      <c r="C82" s="38"/>
      <c r="D82" s="38"/>
      <c r="E82" s="39"/>
      <c r="F82" s="38"/>
    </row>
    <row r="83" customFormat="false" ht="15" hidden="false" customHeight="false" outlineLevel="0" collapsed="false">
      <c r="A83" s="37"/>
      <c r="B83" s="38"/>
      <c r="C83" s="38"/>
      <c r="D83" s="38"/>
      <c r="E83" s="39"/>
      <c r="F83" s="38"/>
    </row>
    <row r="84" customFormat="false" ht="15" hidden="false" customHeight="false" outlineLevel="0" collapsed="false">
      <c r="A84" s="37"/>
      <c r="B84" s="38"/>
      <c r="C84" s="38"/>
      <c r="D84" s="38"/>
      <c r="E84" s="39"/>
      <c r="F84" s="38"/>
    </row>
    <row r="85" customFormat="false" ht="15" hidden="false" customHeight="false" outlineLevel="0" collapsed="false">
      <c r="A85" s="37"/>
      <c r="B85" s="38"/>
      <c r="C85" s="38"/>
      <c r="D85" s="38"/>
      <c r="E85" s="39"/>
      <c r="F85" s="38"/>
    </row>
    <row r="86" customFormat="false" ht="15" hidden="false" customHeight="false" outlineLevel="0" collapsed="false">
      <c r="A86" s="37"/>
      <c r="B86" s="38"/>
      <c r="C86" s="38"/>
      <c r="D86" s="38"/>
      <c r="E86" s="39"/>
      <c r="F86" s="38"/>
    </row>
    <row r="87" customFormat="false" ht="15" hidden="false" customHeight="false" outlineLevel="0" collapsed="false">
      <c r="A87" s="37"/>
      <c r="B87" s="38"/>
      <c r="C87" s="38"/>
      <c r="D87" s="38"/>
      <c r="E87" s="39"/>
      <c r="F87" s="38"/>
    </row>
    <row r="88" customFormat="false" ht="15" hidden="false" customHeight="false" outlineLevel="0" collapsed="false">
      <c r="A88" s="37"/>
      <c r="B88" s="38"/>
      <c r="C88" s="38"/>
      <c r="D88" s="38"/>
      <c r="E88" s="39"/>
      <c r="F88" s="38"/>
    </row>
    <row r="89" customFormat="false" ht="15" hidden="false" customHeight="false" outlineLevel="0" collapsed="false">
      <c r="A89" s="37"/>
      <c r="B89" s="38"/>
      <c r="C89" s="38"/>
      <c r="D89" s="38"/>
      <c r="E89" s="39"/>
      <c r="F89" s="38"/>
    </row>
    <row r="90" customFormat="false" ht="15" hidden="false" customHeight="false" outlineLevel="0" collapsed="false">
      <c r="A90" s="37"/>
      <c r="B90" s="38"/>
      <c r="C90" s="38"/>
      <c r="D90" s="38"/>
      <c r="E90" s="39"/>
      <c r="F90" s="38"/>
    </row>
    <row r="91" customFormat="false" ht="15" hidden="false" customHeight="false" outlineLevel="0" collapsed="false">
      <c r="A91" s="37"/>
      <c r="B91" s="38"/>
      <c r="C91" s="38"/>
      <c r="D91" s="38"/>
      <c r="E91" s="39"/>
      <c r="F91" s="38"/>
    </row>
    <row r="92" customFormat="false" ht="15" hidden="false" customHeight="false" outlineLevel="0" collapsed="false">
      <c r="A92" s="37"/>
      <c r="B92" s="38"/>
      <c r="C92" s="38"/>
      <c r="D92" s="38"/>
      <c r="E92" s="39"/>
      <c r="F92" s="38"/>
    </row>
    <row r="93" customFormat="false" ht="15" hidden="false" customHeight="false" outlineLevel="0" collapsed="false">
      <c r="A93" s="37"/>
      <c r="B93" s="38"/>
      <c r="C93" s="38"/>
      <c r="D93" s="38"/>
      <c r="E93" s="39"/>
      <c r="F93" s="38"/>
    </row>
    <row r="94" customFormat="false" ht="15" hidden="false" customHeight="false" outlineLevel="0" collapsed="false">
      <c r="A94" s="37"/>
      <c r="B94" s="38"/>
      <c r="C94" s="38"/>
      <c r="D94" s="38"/>
      <c r="E94" s="39"/>
      <c r="F94" s="38"/>
    </row>
    <row r="95" customFormat="false" ht="15" hidden="false" customHeight="false" outlineLevel="0" collapsed="false">
      <c r="A95" s="37"/>
      <c r="B95" s="38"/>
      <c r="C95" s="38"/>
      <c r="D95" s="38"/>
      <c r="E95" s="39"/>
      <c r="F95" s="38"/>
    </row>
    <row r="96" customFormat="false" ht="15" hidden="false" customHeight="false" outlineLevel="0" collapsed="false">
      <c r="A96" s="37"/>
      <c r="B96" s="38"/>
      <c r="C96" s="38"/>
      <c r="D96" s="38"/>
      <c r="E96" s="39"/>
      <c r="F96" s="38"/>
    </row>
    <row r="97" customFormat="false" ht="15" hidden="false" customHeight="false" outlineLevel="0" collapsed="false">
      <c r="A97" s="37"/>
      <c r="B97" s="38"/>
      <c r="C97" s="38"/>
      <c r="D97" s="38"/>
      <c r="E97" s="39"/>
      <c r="F97" s="38"/>
    </row>
    <row r="98" customFormat="false" ht="15" hidden="false" customHeight="false" outlineLevel="0" collapsed="false">
      <c r="A98" s="37"/>
      <c r="B98" s="38"/>
      <c r="C98" s="38"/>
      <c r="D98" s="38"/>
      <c r="E98" s="39"/>
      <c r="F98" s="38"/>
    </row>
    <row r="99" customFormat="false" ht="15" hidden="false" customHeight="false" outlineLevel="0" collapsed="false">
      <c r="A99" s="37"/>
      <c r="B99" s="38"/>
      <c r="C99" s="38"/>
      <c r="D99" s="38"/>
      <c r="E99" s="39"/>
      <c r="F99" s="38"/>
    </row>
    <row r="100" customFormat="false" ht="15" hidden="false" customHeight="false" outlineLevel="0" collapsed="false">
      <c r="A100" s="37"/>
      <c r="B100" s="38"/>
      <c r="C100" s="38"/>
      <c r="D100" s="38"/>
      <c r="E100" s="39"/>
      <c r="F100" s="38"/>
    </row>
    <row r="101" customFormat="false" ht="15" hidden="false" customHeight="false" outlineLevel="0" collapsed="false">
      <c r="A101" s="37"/>
      <c r="B101" s="38"/>
      <c r="C101" s="38"/>
      <c r="D101" s="38"/>
      <c r="E101" s="39"/>
      <c r="F101" s="38"/>
    </row>
    <row r="102" customFormat="false" ht="15" hidden="false" customHeight="false" outlineLevel="0" collapsed="false">
      <c r="A102" s="37"/>
      <c r="B102" s="38"/>
      <c r="C102" s="38"/>
      <c r="D102" s="38"/>
      <c r="E102" s="39"/>
      <c r="F102" s="38"/>
    </row>
    <row r="103" customFormat="false" ht="15" hidden="false" customHeight="false" outlineLevel="0" collapsed="false">
      <c r="A103" s="37"/>
      <c r="B103" s="38"/>
      <c r="C103" s="38"/>
      <c r="D103" s="38"/>
      <c r="E103" s="39"/>
      <c r="F103" s="38"/>
    </row>
    <row r="104" customFormat="false" ht="15" hidden="false" customHeight="false" outlineLevel="0" collapsed="false">
      <c r="A104" s="37"/>
      <c r="B104" s="38"/>
      <c r="C104" s="38"/>
      <c r="D104" s="38"/>
      <c r="E104" s="39"/>
      <c r="F104" s="38"/>
    </row>
    <row r="105" customFormat="false" ht="15" hidden="false" customHeight="false" outlineLevel="0" collapsed="false">
      <c r="A105" s="37"/>
      <c r="B105" s="38"/>
      <c r="C105" s="38"/>
      <c r="D105" s="38"/>
      <c r="E105" s="39"/>
      <c r="F105" s="38"/>
    </row>
    <row r="106" customFormat="false" ht="15" hidden="false" customHeight="false" outlineLevel="0" collapsed="false">
      <c r="A106" s="37"/>
      <c r="B106" s="38"/>
      <c r="C106" s="38"/>
      <c r="D106" s="38"/>
      <c r="E106" s="39"/>
      <c r="F106" s="38"/>
    </row>
    <row r="107" customFormat="false" ht="15" hidden="false" customHeight="false" outlineLevel="0" collapsed="false">
      <c r="A107" s="37"/>
      <c r="B107" s="38"/>
      <c r="C107" s="38"/>
      <c r="D107" s="38"/>
      <c r="E107" s="39"/>
      <c r="F107" s="38"/>
    </row>
    <row r="108" customFormat="false" ht="15" hidden="false" customHeight="false" outlineLevel="0" collapsed="false">
      <c r="A108" s="37"/>
      <c r="B108" s="38"/>
      <c r="C108" s="38"/>
      <c r="D108" s="38"/>
      <c r="E108" s="39"/>
      <c r="F108" s="38"/>
    </row>
    <row r="109" customFormat="false" ht="15" hidden="false" customHeight="false" outlineLevel="0" collapsed="false">
      <c r="A109" s="37"/>
      <c r="B109" s="38"/>
      <c r="C109" s="38"/>
      <c r="D109" s="38"/>
      <c r="E109" s="39"/>
      <c r="F109" s="38"/>
    </row>
    <row r="110" customFormat="false" ht="15" hidden="false" customHeight="false" outlineLevel="0" collapsed="false">
      <c r="A110" s="37"/>
      <c r="B110" s="38"/>
      <c r="C110" s="38"/>
      <c r="D110" s="38"/>
      <c r="E110" s="39"/>
      <c r="F110" s="38"/>
    </row>
    <row r="111" customFormat="false" ht="15" hidden="false" customHeight="false" outlineLevel="0" collapsed="false">
      <c r="A111" s="37"/>
      <c r="B111" s="38"/>
      <c r="C111" s="38"/>
      <c r="D111" s="38"/>
      <c r="E111" s="39"/>
      <c r="F111" s="38"/>
    </row>
    <row r="112" customFormat="false" ht="15" hidden="false" customHeight="false" outlineLevel="0" collapsed="false">
      <c r="A112" s="37"/>
      <c r="B112" s="38"/>
      <c r="C112" s="38"/>
      <c r="D112" s="38"/>
      <c r="E112" s="39"/>
      <c r="F112" s="38"/>
    </row>
    <row r="113" customFormat="false" ht="15" hidden="false" customHeight="false" outlineLevel="0" collapsed="false">
      <c r="A113" s="37"/>
      <c r="B113" s="38"/>
      <c r="C113" s="38"/>
      <c r="D113" s="38"/>
      <c r="E113" s="39"/>
      <c r="F113" s="38"/>
    </row>
    <row r="114" customFormat="false" ht="15" hidden="false" customHeight="false" outlineLevel="0" collapsed="false">
      <c r="A114" s="37"/>
      <c r="B114" s="38"/>
      <c r="C114" s="38"/>
      <c r="D114" s="38"/>
      <c r="E114" s="39"/>
      <c r="F114" s="38"/>
    </row>
    <row r="115" customFormat="false" ht="15" hidden="false" customHeight="false" outlineLevel="0" collapsed="false">
      <c r="A115" s="37"/>
      <c r="B115" s="38"/>
      <c r="C115" s="38"/>
      <c r="D115" s="38"/>
      <c r="E115" s="39"/>
      <c r="F115" s="38"/>
    </row>
    <row r="116" customFormat="false" ht="15" hidden="false" customHeight="false" outlineLevel="0" collapsed="false">
      <c r="A116" s="37"/>
      <c r="B116" s="38"/>
      <c r="C116" s="38"/>
      <c r="D116" s="38"/>
      <c r="E116" s="39"/>
      <c r="F116" s="38"/>
    </row>
    <row r="117" customFormat="false" ht="15" hidden="false" customHeight="false" outlineLevel="0" collapsed="false">
      <c r="A117" s="37"/>
      <c r="B117" s="38"/>
      <c r="C117" s="38"/>
      <c r="D117" s="38"/>
      <c r="E117" s="39"/>
      <c r="F117" s="38"/>
    </row>
    <row r="118" customFormat="false" ht="15" hidden="false" customHeight="false" outlineLevel="0" collapsed="false">
      <c r="A118" s="37"/>
      <c r="B118" s="38"/>
      <c r="C118" s="38"/>
      <c r="D118" s="38"/>
      <c r="E118" s="39"/>
      <c r="F118" s="38"/>
    </row>
    <row r="119" customFormat="false" ht="15" hidden="false" customHeight="false" outlineLevel="0" collapsed="false">
      <c r="A119" s="37"/>
      <c r="B119" s="38"/>
      <c r="C119" s="38"/>
      <c r="D119" s="38"/>
      <c r="E119" s="39"/>
      <c r="F119" s="38"/>
    </row>
    <row r="120" customFormat="false" ht="15" hidden="false" customHeight="false" outlineLevel="0" collapsed="false">
      <c r="A120" s="37"/>
      <c r="B120" s="38"/>
      <c r="C120" s="38"/>
      <c r="D120" s="38"/>
      <c r="E120" s="39"/>
      <c r="F120" s="38"/>
    </row>
    <row r="121" customFormat="false" ht="15" hidden="false" customHeight="false" outlineLevel="0" collapsed="false">
      <c r="A121" s="37"/>
      <c r="B121" s="38"/>
      <c r="C121" s="38"/>
      <c r="D121" s="38"/>
      <c r="E121" s="39"/>
      <c r="F121" s="38"/>
    </row>
    <row r="122" customFormat="false" ht="15" hidden="false" customHeight="false" outlineLevel="0" collapsed="false">
      <c r="A122" s="37"/>
      <c r="B122" s="38"/>
      <c r="C122" s="38"/>
      <c r="D122" s="38"/>
      <c r="E122" s="39"/>
      <c r="F122" s="38"/>
    </row>
    <row r="123" customFormat="false" ht="15" hidden="false" customHeight="false" outlineLevel="0" collapsed="false">
      <c r="A123" s="37"/>
      <c r="B123" s="38"/>
      <c r="C123" s="38"/>
      <c r="D123" s="38"/>
      <c r="E123" s="39"/>
      <c r="F123" s="38"/>
    </row>
    <row r="124" customFormat="false" ht="15" hidden="false" customHeight="false" outlineLevel="0" collapsed="false">
      <c r="A124" s="37"/>
      <c r="B124" s="38"/>
      <c r="C124" s="38"/>
      <c r="D124" s="38"/>
      <c r="E124" s="39"/>
      <c r="F124" s="38"/>
    </row>
    <row r="125" customFormat="false" ht="15" hidden="false" customHeight="false" outlineLevel="0" collapsed="false">
      <c r="A125" s="37"/>
      <c r="B125" s="38"/>
      <c r="C125" s="38"/>
      <c r="D125" s="38"/>
      <c r="E125" s="39"/>
      <c r="F125" s="38"/>
    </row>
    <row r="126" customFormat="false" ht="15" hidden="false" customHeight="false" outlineLevel="0" collapsed="false">
      <c r="A126" s="37"/>
      <c r="B126" s="38"/>
      <c r="C126" s="38"/>
      <c r="D126" s="38"/>
      <c r="E126" s="39"/>
      <c r="F126" s="38"/>
    </row>
    <row r="127" customFormat="false" ht="15" hidden="false" customHeight="false" outlineLevel="0" collapsed="false">
      <c r="A127" s="37"/>
      <c r="B127" s="38"/>
      <c r="C127" s="38"/>
      <c r="D127" s="38"/>
      <c r="E127" s="39"/>
      <c r="F127" s="38"/>
    </row>
    <row r="128" customFormat="false" ht="15" hidden="false" customHeight="false" outlineLevel="0" collapsed="false">
      <c r="A128" s="37"/>
      <c r="B128" s="38"/>
      <c r="C128" s="38"/>
      <c r="D128" s="38"/>
      <c r="E128" s="39"/>
      <c r="F128" s="38"/>
    </row>
    <row r="129" customFormat="false" ht="15" hidden="false" customHeight="false" outlineLevel="0" collapsed="false">
      <c r="A129" s="37"/>
      <c r="B129" s="38"/>
      <c r="C129" s="38"/>
      <c r="D129" s="38"/>
      <c r="E129" s="39"/>
      <c r="F129" s="38"/>
    </row>
    <row r="130" customFormat="false" ht="15" hidden="false" customHeight="false" outlineLevel="0" collapsed="false">
      <c r="A130" s="37"/>
      <c r="B130" s="38"/>
      <c r="C130" s="38"/>
      <c r="D130" s="38"/>
      <c r="E130" s="39"/>
      <c r="F130" s="38"/>
    </row>
    <row r="131" customFormat="false" ht="15" hidden="false" customHeight="false" outlineLevel="0" collapsed="false">
      <c r="A131" s="37"/>
      <c r="B131" s="38"/>
      <c r="C131" s="38"/>
      <c r="D131" s="38"/>
      <c r="E131" s="39"/>
      <c r="F131" s="38"/>
    </row>
    <row r="132" customFormat="false" ht="15" hidden="false" customHeight="false" outlineLevel="0" collapsed="false">
      <c r="A132" s="37"/>
      <c r="B132" s="38"/>
      <c r="C132" s="38"/>
      <c r="D132" s="38"/>
      <c r="E132" s="39"/>
      <c r="F132" s="38"/>
    </row>
    <row r="133" customFormat="false" ht="15" hidden="false" customHeight="false" outlineLevel="0" collapsed="false">
      <c r="A133" s="37"/>
      <c r="B133" s="38"/>
      <c r="C133" s="38"/>
      <c r="D133" s="38"/>
      <c r="E133" s="39"/>
      <c r="F133" s="38"/>
    </row>
    <row r="134" customFormat="false" ht="15" hidden="false" customHeight="false" outlineLevel="0" collapsed="false">
      <c r="A134" s="37"/>
      <c r="B134" s="38"/>
      <c r="C134" s="38"/>
      <c r="D134" s="38"/>
      <c r="E134" s="39"/>
      <c r="F134" s="38"/>
    </row>
    <row r="135" customFormat="false" ht="15" hidden="false" customHeight="false" outlineLevel="0" collapsed="false">
      <c r="A135" s="37"/>
      <c r="B135" s="38"/>
      <c r="C135" s="38"/>
      <c r="D135" s="38"/>
      <c r="E135" s="39"/>
      <c r="F135" s="38"/>
    </row>
    <row r="136" customFormat="false" ht="15" hidden="false" customHeight="false" outlineLevel="0" collapsed="false">
      <c r="A136" s="37"/>
      <c r="B136" s="38"/>
      <c r="C136" s="38"/>
      <c r="D136" s="38"/>
      <c r="E136" s="39"/>
      <c r="F136" s="38"/>
    </row>
    <row r="137" customFormat="false" ht="15" hidden="false" customHeight="false" outlineLevel="0" collapsed="false">
      <c r="A137" s="37"/>
      <c r="B137" s="38"/>
      <c r="C137" s="38"/>
      <c r="D137" s="38"/>
      <c r="E137" s="39"/>
      <c r="F137" s="38"/>
    </row>
    <row r="138" customFormat="false" ht="15" hidden="false" customHeight="false" outlineLevel="0" collapsed="false">
      <c r="A138" s="37"/>
      <c r="B138" s="38"/>
      <c r="C138" s="38"/>
      <c r="D138" s="38"/>
      <c r="E138" s="39"/>
      <c r="F138" s="38"/>
    </row>
    <row r="139" customFormat="false" ht="15" hidden="false" customHeight="false" outlineLevel="0" collapsed="false">
      <c r="A139" s="37"/>
      <c r="B139" s="38"/>
      <c r="C139" s="38"/>
      <c r="D139" s="38"/>
      <c r="E139" s="39"/>
      <c r="F139" s="38"/>
    </row>
    <row r="140" customFormat="false" ht="15" hidden="false" customHeight="false" outlineLevel="0" collapsed="false">
      <c r="A140" s="37"/>
      <c r="B140" s="38"/>
      <c r="C140" s="38"/>
      <c r="D140" s="38"/>
      <c r="E140" s="39"/>
      <c r="F140" s="38"/>
    </row>
    <row r="141" customFormat="false" ht="15" hidden="false" customHeight="false" outlineLevel="0" collapsed="false">
      <c r="A141" s="37"/>
      <c r="B141" s="38"/>
      <c r="C141" s="38"/>
      <c r="D141" s="38"/>
      <c r="E141" s="39"/>
      <c r="F141" s="38"/>
    </row>
    <row r="142" customFormat="false" ht="15" hidden="false" customHeight="false" outlineLevel="0" collapsed="false">
      <c r="A142" s="37"/>
      <c r="B142" s="38"/>
      <c r="C142" s="38"/>
      <c r="D142" s="38"/>
      <c r="E142" s="39"/>
      <c r="F142" s="38"/>
    </row>
    <row r="143" customFormat="false" ht="15" hidden="false" customHeight="false" outlineLevel="0" collapsed="false">
      <c r="A143" s="37"/>
      <c r="B143" s="38"/>
      <c r="C143" s="38"/>
      <c r="D143" s="38"/>
      <c r="E143" s="39"/>
      <c r="F143" s="38"/>
    </row>
    <row r="144" customFormat="false" ht="15" hidden="false" customHeight="false" outlineLevel="0" collapsed="false">
      <c r="A144" s="37"/>
      <c r="B144" s="38"/>
      <c r="C144" s="38"/>
      <c r="D144" s="38"/>
      <c r="E144" s="39"/>
      <c r="F144" s="38"/>
    </row>
    <row r="145" customFormat="false" ht="15" hidden="false" customHeight="false" outlineLevel="0" collapsed="false">
      <c r="A145" s="37"/>
      <c r="B145" s="38"/>
      <c r="C145" s="38"/>
      <c r="D145" s="38"/>
      <c r="E145" s="39"/>
      <c r="F145" s="38"/>
    </row>
    <row r="146" customFormat="false" ht="15" hidden="false" customHeight="false" outlineLevel="0" collapsed="false">
      <c r="A146" s="37"/>
      <c r="B146" s="38"/>
      <c r="C146" s="38"/>
      <c r="D146" s="38"/>
      <c r="E146" s="39"/>
      <c r="F146" s="38"/>
    </row>
    <row r="147" customFormat="false" ht="15" hidden="false" customHeight="false" outlineLevel="0" collapsed="false">
      <c r="A147" s="37"/>
      <c r="B147" s="38"/>
      <c r="C147" s="38"/>
      <c r="D147" s="38"/>
      <c r="E147" s="39"/>
      <c r="F147" s="38"/>
    </row>
    <row r="148" customFormat="false" ht="15" hidden="false" customHeight="false" outlineLevel="0" collapsed="false">
      <c r="A148" s="37"/>
      <c r="B148" s="38"/>
      <c r="C148" s="38"/>
      <c r="D148" s="38"/>
      <c r="E148" s="39"/>
      <c r="F148" s="38"/>
    </row>
    <row r="149" customFormat="false" ht="15" hidden="false" customHeight="false" outlineLevel="0" collapsed="false">
      <c r="A149" s="37"/>
      <c r="B149" s="38"/>
      <c r="C149" s="38"/>
      <c r="D149" s="38"/>
      <c r="E149" s="39"/>
      <c r="F149" s="38"/>
    </row>
    <row r="150" customFormat="false" ht="15" hidden="false" customHeight="false" outlineLevel="0" collapsed="false">
      <c r="A150" s="37"/>
      <c r="B150" s="38"/>
      <c r="C150" s="38"/>
      <c r="D150" s="38"/>
      <c r="E150" s="39"/>
      <c r="F150" s="38"/>
    </row>
    <row r="151" customFormat="false" ht="15" hidden="false" customHeight="false" outlineLevel="0" collapsed="false">
      <c r="A151" s="37"/>
      <c r="B151" s="38"/>
      <c r="C151" s="38"/>
      <c r="D151" s="38"/>
      <c r="E151" s="39"/>
      <c r="F151" s="38"/>
    </row>
    <row r="152" customFormat="false" ht="15" hidden="false" customHeight="false" outlineLevel="0" collapsed="false">
      <c r="A152" s="37"/>
      <c r="B152" s="38"/>
      <c r="C152" s="38"/>
      <c r="D152" s="38"/>
      <c r="E152" s="39"/>
      <c r="F152" s="38"/>
    </row>
    <row r="153" customFormat="false" ht="15" hidden="false" customHeight="false" outlineLevel="0" collapsed="false">
      <c r="A153" s="37"/>
      <c r="B153" s="38"/>
      <c r="C153" s="38"/>
      <c r="D153" s="38"/>
      <c r="E153" s="39"/>
      <c r="F153" s="38"/>
    </row>
    <row r="154" customFormat="false" ht="15" hidden="false" customHeight="false" outlineLevel="0" collapsed="false">
      <c r="A154" s="37"/>
      <c r="B154" s="38"/>
      <c r="C154" s="38"/>
      <c r="D154" s="38"/>
      <c r="E154" s="39"/>
      <c r="F154" s="38"/>
    </row>
    <row r="155" customFormat="false" ht="15" hidden="false" customHeight="false" outlineLevel="0" collapsed="false">
      <c r="A155" s="37"/>
      <c r="B155" s="38"/>
      <c r="C155" s="38"/>
      <c r="D155" s="38"/>
      <c r="E155" s="39"/>
      <c r="F155" s="38"/>
    </row>
    <row r="156" customFormat="false" ht="15" hidden="false" customHeight="false" outlineLevel="0" collapsed="false">
      <c r="A156" s="37"/>
      <c r="B156" s="38"/>
      <c r="C156" s="38"/>
      <c r="D156" s="38"/>
      <c r="E156" s="39"/>
      <c r="F156" s="38"/>
    </row>
    <row r="157" customFormat="false" ht="15" hidden="false" customHeight="false" outlineLevel="0" collapsed="false">
      <c r="A157" s="37"/>
      <c r="B157" s="38"/>
      <c r="C157" s="38"/>
      <c r="D157" s="38"/>
      <c r="E157" s="39"/>
      <c r="F157" s="38"/>
    </row>
    <row r="158" customFormat="false" ht="15" hidden="false" customHeight="false" outlineLevel="0" collapsed="false">
      <c r="A158" s="37"/>
      <c r="B158" s="38"/>
      <c r="C158" s="38"/>
      <c r="D158" s="38"/>
      <c r="E158" s="39"/>
      <c r="F158" s="38"/>
    </row>
    <row r="159" customFormat="false" ht="15" hidden="false" customHeight="false" outlineLevel="0" collapsed="false">
      <c r="A159" s="37"/>
      <c r="B159" s="38"/>
      <c r="C159" s="38"/>
      <c r="D159" s="38"/>
      <c r="E159" s="39"/>
      <c r="F159" s="38"/>
    </row>
    <row r="160" customFormat="false" ht="15" hidden="false" customHeight="false" outlineLevel="0" collapsed="false">
      <c r="A160" s="37"/>
      <c r="B160" s="38"/>
      <c r="C160" s="38"/>
      <c r="D160" s="38"/>
      <c r="E160" s="39"/>
      <c r="F160" s="38"/>
    </row>
    <row r="161" customFormat="false" ht="15" hidden="false" customHeight="false" outlineLevel="0" collapsed="false">
      <c r="A161" s="37"/>
      <c r="B161" s="38"/>
      <c r="C161" s="38"/>
      <c r="D161" s="38"/>
      <c r="E161" s="39"/>
      <c r="F161" s="38"/>
    </row>
    <row r="162" customFormat="false" ht="15" hidden="false" customHeight="false" outlineLevel="0" collapsed="false">
      <c r="A162" s="37"/>
      <c r="B162" s="38"/>
      <c r="C162" s="38"/>
      <c r="D162" s="38"/>
      <c r="E162" s="39"/>
      <c r="F162" s="38"/>
    </row>
    <row r="163" customFormat="false" ht="15" hidden="false" customHeight="false" outlineLevel="0" collapsed="false">
      <c r="A163" s="37"/>
      <c r="B163" s="38"/>
      <c r="C163" s="38"/>
      <c r="D163" s="38"/>
      <c r="E163" s="39"/>
      <c r="F163" s="38"/>
    </row>
    <row r="164" customFormat="false" ht="15" hidden="false" customHeight="false" outlineLevel="0" collapsed="false">
      <c r="A164" s="37"/>
      <c r="B164" s="38"/>
      <c r="C164" s="38"/>
      <c r="D164" s="38"/>
      <c r="E164" s="39"/>
      <c r="F164" s="38"/>
    </row>
    <row r="165" customFormat="false" ht="15" hidden="false" customHeight="false" outlineLevel="0" collapsed="false">
      <c r="A165" s="37"/>
      <c r="B165" s="38"/>
      <c r="C165" s="38"/>
      <c r="D165" s="38"/>
      <c r="E165" s="39"/>
      <c r="F165" s="38"/>
    </row>
    <row r="166" customFormat="false" ht="15" hidden="false" customHeight="false" outlineLevel="0" collapsed="false">
      <c r="A166" s="37"/>
      <c r="B166" s="38"/>
      <c r="C166" s="38"/>
      <c r="D166" s="38"/>
      <c r="E166" s="39"/>
      <c r="F166" s="38"/>
    </row>
    <row r="167" customFormat="false" ht="15" hidden="false" customHeight="false" outlineLevel="0" collapsed="false">
      <c r="A167" s="37"/>
      <c r="B167" s="38"/>
      <c r="C167" s="38"/>
      <c r="D167" s="38"/>
      <c r="E167" s="39"/>
      <c r="F167" s="38"/>
    </row>
    <row r="168" customFormat="false" ht="15" hidden="false" customHeight="false" outlineLevel="0" collapsed="false">
      <c r="A168" s="37"/>
      <c r="B168" s="38"/>
      <c r="C168" s="38"/>
      <c r="D168" s="38"/>
      <c r="E168" s="39"/>
      <c r="F168" s="38"/>
    </row>
    <row r="169" customFormat="false" ht="15" hidden="false" customHeight="false" outlineLevel="0" collapsed="false">
      <c r="A169" s="37"/>
      <c r="B169" s="38"/>
      <c r="C169" s="38"/>
      <c r="D169" s="38"/>
      <c r="E169" s="39"/>
      <c r="F169" s="38"/>
    </row>
    <row r="170" customFormat="false" ht="15" hidden="false" customHeight="false" outlineLevel="0" collapsed="false">
      <c r="A170" s="37"/>
      <c r="B170" s="38"/>
      <c r="C170" s="38"/>
      <c r="D170" s="38"/>
      <c r="E170" s="39"/>
      <c r="F170" s="38"/>
    </row>
    <row r="171" customFormat="false" ht="15" hidden="false" customHeight="false" outlineLevel="0" collapsed="false">
      <c r="A171" s="37"/>
      <c r="B171" s="38"/>
      <c r="C171" s="38"/>
      <c r="D171" s="38"/>
      <c r="E171" s="39"/>
      <c r="F171" s="38"/>
    </row>
    <row r="172" customFormat="false" ht="15" hidden="false" customHeight="false" outlineLevel="0" collapsed="false">
      <c r="A172" s="37"/>
      <c r="B172" s="38"/>
      <c r="C172" s="38"/>
      <c r="D172" s="38"/>
      <c r="E172" s="39"/>
      <c r="F172" s="38"/>
    </row>
    <row r="173" customFormat="false" ht="15" hidden="false" customHeight="false" outlineLevel="0" collapsed="false">
      <c r="A173" s="37"/>
      <c r="B173" s="38"/>
      <c r="C173" s="38"/>
      <c r="D173" s="38"/>
      <c r="E173" s="39"/>
      <c r="F173" s="38"/>
    </row>
    <row r="174" customFormat="false" ht="15" hidden="false" customHeight="false" outlineLevel="0" collapsed="false">
      <c r="A174" s="37"/>
      <c r="B174" s="38"/>
      <c r="C174" s="38"/>
      <c r="D174" s="38"/>
      <c r="E174" s="39"/>
      <c r="F174" s="38"/>
    </row>
    <row r="175" customFormat="false" ht="15" hidden="false" customHeight="false" outlineLevel="0" collapsed="false">
      <c r="A175" s="37"/>
      <c r="B175" s="38"/>
      <c r="C175" s="38"/>
      <c r="D175" s="38"/>
      <c r="E175" s="39"/>
      <c r="F175" s="38"/>
    </row>
    <row r="176" customFormat="false" ht="15" hidden="false" customHeight="false" outlineLevel="0" collapsed="false">
      <c r="A176" s="37"/>
      <c r="B176" s="38"/>
      <c r="C176" s="38"/>
      <c r="D176" s="38"/>
      <c r="E176" s="39"/>
      <c r="F176" s="38"/>
    </row>
    <row r="177" customFormat="false" ht="15" hidden="false" customHeight="false" outlineLevel="0" collapsed="false">
      <c r="A177" s="37"/>
      <c r="B177" s="38"/>
      <c r="C177" s="38"/>
      <c r="D177" s="38"/>
      <c r="E177" s="39"/>
      <c r="F177" s="38"/>
    </row>
    <row r="178" customFormat="false" ht="15" hidden="false" customHeight="false" outlineLevel="0" collapsed="false">
      <c r="A178" s="37"/>
      <c r="B178" s="38"/>
      <c r="C178" s="38"/>
      <c r="D178" s="38"/>
      <c r="E178" s="39"/>
      <c r="F178" s="38"/>
    </row>
    <row r="179" customFormat="false" ht="15" hidden="false" customHeight="false" outlineLevel="0" collapsed="false">
      <c r="A179" s="37"/>
      <c r="B179" s="38"/>
      <c r="C179" s="38"/>
      <c r="D179" s="38"/>
      <c r="E179" s="39"/>
      <c r="F179" s="38"/>
    </row>
    <row r="180" customFormat="false" ht="15" hidden="false" customHeight="false" outlineLevel="0" collapsed="false">
      <c r="A180" s="37"/>
      <c r="B180" s="38"/>
      <c r="C180" s="38"/>
      <c r="D180" s="38"/>
      <c r="E180" s="39"/>
      <c r="F180" s="38"/>
    </row>
    <row r="181" customFormat="false" ht="15" hidden="false" customHeight="false" outlineLevel="0" collapsed="false">
      <c r="A181" s="37"/>
      <c r="B181" s="38"/>
      <c r="C181" s="38"/>
      <c r="D181" s="38"/>
      <c r="E181" s="39"/>
      <c r="F181" s="38"/>
    </row>
    <row r="182" customFormat="false" ht="15" hidden="false" customHeight="false" outlineLevel="0" collapsed="false">
      <c r="A182" s="37"/>
      <c r="B182" s="38"/>
      <c r="C182" s="38"/>
      <c r="D182" s="38"/>
      <c r="E182" s="39"/>
      <c r="F182" s="38"/>
    </row>
    <row r="183" customFormat="false" ht="15" hidden="false" customHeight="false" outlineLevel="0" collapsed="false">
      <c r="A183" s="37"/>
      <c r="B183" s="38"/>
      <c r="C183" s="38"/>
      <c r="D183" s="38"/>
      <c r="E183" s="39"/>
      <c r="F183" s="38"/>
    </row>
    <row r="184" customFormat="false" ht="15" hidden="false" customHeight="false" outlineLevel="0" collapsed="false">
      <c r="A184" s="37"/>
      <c r="B184" s="38"/>
      <c r="C184" s="38"/>
      <c r="D184" s="38"/>
      <c r="E184" s="39"/>
      <c r="F184" s="38"/>
    </row>
    <row r="185" customFormat="false" ht="15" hidden="false" customHeight="false" outlineLevel="0" collapsed="false">
      <c r="A185" s="37"/>
      <c r="B185" s="38"/>
      <c r="C185" s="38"/>
      <c r="D185" s="38"/>
      <c r="E185" s="39"/>
      <c r="F185" s="38"/>
    </row>
    <row r="186" customFormat="false" ht="15" hidden="false" customHeight="false" outlineLevel="0" collapsed="false">
      <c r="A186" s="37"/>
      <c r="B186" s="38"/>
      <c r="C186" s="38"/>
      <c r="D186" s="38"/>
      <c r="E186" s="39"/>
      <c r="F186" s="38"/>
    </row>
    <row r="187" customFormat="false" ht="15" hidden="false" customHeight="false" outlineLevel="0" collapsed="false">
      <c r="A187" s="37"/>
      <c r="B187" s="38"/>
      <c r="C187" s="38"/>
      <c r="D187" s="38"/>
      <c r="E187" s="39"/>
      <c r="F187" s="38"/>
    </row>
    <row r="188" customFormat="false" ht="15" hidden="false" customHeight="false" outlineLevel="0" collapsed="false">
      <c r="A188" s="37"/>
      <c r="B188" s="38"/>
      <c r="C188" s="38"/>
      <c r="D188" s="38"/>
      <c r="E188" s="39"/>
      <c r="F188" s="38"/>
    </row>
    <row r="189" customFormat="false" ht="15" hidden="false" customHeight="false" outlineLevel="0" collapsed="false">
      <c r="A189" s="37"/>
      <c r="B189" s="38"/>
      <c r="C189" s="38"/>
      <c r="D189" s="38"/>
      <c r="E189" s="39"/>
      <c r="F189" s="38"/>
    </row>
    <row r="190" customFormat="false" ht="15" hidden="false" customHeight="false" outlineLevel="0" collapsed="false">
      <c r="A190" s="37"/>
      <c r="B190" s="38"/>
      <c r="C190" s="38"/>
      <c r="D190" s="38"/>
      <c r="E190" s="39"/>
      <c r="F190" s="38"/>
    </row>
    <row r="191" customFormat="false" ht="15" hidden="false" customHeight="false" outlineLevel="0" collapsed="false">
      <c r="A191" s="37"/>
      <c r="B191" s="38"/>
      <c r="C191" s="38"/>
      <c r="D191" s="38"/>
      <c r="E191" s="39"/>
      <c r="F191" s="38"/>
    </row>
    <row r="192" customFormat="false" ht="15" hidden="false" customHeight="false" outlineLevel="0" collapsed="false">
      <c r="A192" s="37"/>
      <c r="B192" s="38"/>
      <c r="C192" s="38"/>
      <c r="D192" s="38"/>
      <c r="E192" s="39"/>
      <c r="F192" s="38"/>
    </row>
    <row r="193" customFormat="false" ht="15" hidden="false" customHeight="false" outlineLevel="0" collapsed="false">
      <c r="A193" s="37"/>
      <c r="B193" s="38"/>
      <c r="C193" s="38"/>
      <c r="D193" s="38"/>
      <c r="E193" s="39"/>
      <c r="F193" s="38"/>
    </row>
    <row r="194" customFormat="false" ht="15" hidden="false" customHeight="false" outlineLevel="0" collapsed="false">
      <c r="A194" s="37"/>
      <c r="B194" s="38"/>
      <c r="C194" s="38"/>
      <c r="D194" s="38"/>
      <c r="E194" s="39"/>
      <c r="F194" s="38"/>
    </row>
    <row r="195" customFormat="false" ht="15" hidden="false" customHeight="false" outlineLevel="0" collapsed="false">
      <c r="A195" s="37"/>
      <c r="B195" s="38"/>
      <c r="C195" s="38"/>
      <c r="D195" s="38"/>
      <c r="E195" s="39"/>
      <c r="F195" s="38"/>
    </row>
    <row r="196" customFormat="false" ht="15" hidden="false" customHeight="false" outlineLevel="0" collapsed="false">
      <c r="A196" s="37"/>
      <c r="B196" s="38"/>
      <c r="C196" s="38"/>
      <c r="D196" s="38"/>
      <c r="E196" s="39"/>
      <c r="F196" s="38"/>
    </row>
    <row r="197" customFormat="false" ht="15" hidden="false" customHeight="false" outlineLevel="0" collapsed="false">
      <c r="A197" s="37"/>
      <c r="B197" s="38"/>
      <c r="C197" s="38"/>
      <c r="D197" s="38"/>
      <c r="E197" s="39"/>
      <c r="F197" s="38"/>
    </row>
    <row r="198" customFormat="false" ht="15" hidden="false" customHeight="false" outlineLevel="0" collapsed="false">
      <c r="A198" s="37"/>
      <c r="B198" s="38"/>
      <c r="C198" s="38"/>
      <c r="D198" s="38"/>
      <c r="E198" s="39"/>
      <c r="F198" s="38"/>
    </row>
    <row r="199" customFormat="false" ht="15" hidden="false" customHeight="false" outlineLevel="0" collapsed="false">
      <c r="A199" s="37"/>
      <c r="B199" s="38"/>
      <c r="C199" s="38"/>
      <c r="D199" s="38"/>
      <c r="E199" s="39"/>
      <c r="F199" s="38"/>
    </row>
    <row r="200" customFormat="false" ht="15" hidden="false" customHeight="false" outlineLevel="0" collapsed="false">
      <c r="A200" s="37"/>
      <c r="B200" s="38"/>
      <c r="C200" s="38"/>
      <c r="D200" s="38"/>
      <c r="E200" s="39"/>
      <c r="F200" s="38"/>
    </row>
    <row r="201" customFormat="false" ht="15" hidden="false" customHeight="false" outlineLevel="0" collapsed="false">
      <c r="A201" s="37"/>
      <c r="B201" s="38"/>
      <c r="C201" s="38"/>
      <c r="D201" s="38"/>
      <c r="E201" s="39"/>
      <c r="F201" s="38"/>
    </row>
    <row r="202" customFormat="false" ht="15" hidden="false" customHeight="false" outlineLevel="0" collapsed="false">
      <c r="A202" s="37"/>
      <c r="B202" s="38"/>
      <c r="C202" s="38"/>
      <c r="D202" s="38"/>
      <c r="E202" s="39"/>
      <c r="F202" s="38"/>
    </row>
    <row r="203" customFormat="false" ht="15" hidden="false" customHeight="false" outlineLevel="0" collapsed="false">
      <c r="A203" s="37"/>
      <c r="B203" s="38"/>
      <c r="C203" s="38"/>
      <c r="D203" s="38"/>
      <c r="E203" s="39"/>
      <c r="F203" s="38"/>
    </row>
    <row r="204" customFormat="false" ht="15" hidden="false" customHeight="false" outlineLevel="0" collapsed="false">
      <c r="A204" s="37"/>
      <c r="B204" s="38"/>
      <c r="C204" s="38"/>
      <c r="D204" s="38"/>
      <c r="E204" s="39"/>
      <c r="F204" s="38"/>
    </row>
    <row r="205" customFormat="false" ht="15" hidden="false" customHeight="false" outlineLevel="0" collapsed="false">
      <c r="A205" s="37"/>
      <c r="B205" s="38"/>
      <c r="C205" s="38"/>
      <c r="D205" s="38"/>
      <c r="E205" s="39"/>
      <c r="F205" s="38"/>
    </row>
    <row r="206" customFormat="false" ht="15" hidden="false" customHeight="false" outlineLevel="0" collapsed="false">
      <c r="A206" s="37"/>
      <c r="B206" s="38"/>
      <c r="C206" s="38"/>
      <c r="D206" s="38"/>
      <c r="E206" s="39"/>
      <c r="F206" s="38"/>
    </row>
    <row r="207" customFormat="false" ht="15" hidden="false" customHeight="false" outlineLevel="0" collapsed="false">
      <c r="A207" s="37"/>
      <c r="B207" s="38"/>
      <c r="C207" s="38"/>
      <c r="D207" s="38"/>
      <c r="E207" s="39"/>
      <c r="F207" s="38"/>
    </row>
    <row r="208" customFormat="false" ht="15" hidden="false" customHeight="false" outlineLevel="0" collapsed="false">
      <c r="A208" s="37"/>
      <c r="B208" s="38"/>
      <c r="C208" s="38"/>
      <c r="D208" s="38"/>
      <c r="E208" s="39"/>
      <c r="F208" s="38"/>
    </row>
    <row r="209" customFormat="false" ht="15" hidden="false" customHeight="false" outlineLevel="0" collapsed="false">
      <c r="A209" s="37"/>
      <c r="B209" s="38"/>
      <c r="C209" s="38"/>
      <c r="D209" s="38"/>
      <c r="E209" s="39"/>
      <c r="F209" s="38"/>
    </row>
    <row r="210" customFormat="false" ht="15" hidden="false" customHeight="false" outlineLevel="0" collapsed="false">
      <c r="A210" s="37"/>
      <c r="B210" s="38"/>
      <c r="C210" s="38"/>
      <c r="D210" s="38"/>
      <c r="E210" s="39"/>
      <c r="F210" s="38"/>
    </row>
    <row r="211" customFormat="false" ht="15" hidden="false" customHeight="false" outlineLevel="0" collapsed="false">
      <c r="A211" s="37"/>
      <c r="B211" s="38"/>
      <c r="C211" s="38"/>
      <c r="D211" s="38"/>
      <c r="E211" s="39"/>
      <c r="F211" s="38"/>
    </row>
    <row r="212" customFormat="false" ht="15" hidden="false" customHeight="false" outlineLevel="0" collapsed="false">
      <c r="A212" s="37"/>
      <c r="B212" s="38"/>
      <c r="C212" s="38"/>
      <c r="D212" s="38"/>
      <c r="E212" s="39"/>
      <c r="F212" s="38"/>
    </row>
    <row r="213" customFormat="false" ht="15" hidden="false" customHeight="false" outlineLevel="0" collapsed="false">
      <c r="A213" s="37"/>
      <c r="B213" s="38"/>
      <c r="C213" s="38"/>
      <c r="D213" s="38"/>
      <c r="E213" s="39"/>
      <c r="F213" s="38"/>
    </row>
    <row r="214" customFormat="false" ht="15" hidden="false" customHeight="false" outlineLevel="0" collapsed="false">
      <c r="A214" s="37"/>
      <c r="B214" s="38"/>
      <c r="C214" s="38"/>
      <c r="D214" s="38"/>
      <c r="E214" s="39"/>
      <c r="F214" s="38"/>
    </row>
    <row r="215" customFormat="false" ht="15" hidden="false" customHeight="false" outlineLevel="0" collapsed="false">
      <c r="A215" s="37"/>
      <c r="B215" s="38"/>
      <c r="C215" s="38"/>
      <c r="D215" s="38"/>
      <c r="E215" s="39"/>
      <c r="F215" s="38"/>
    </row>
    <row r="216" customFormat="false" ht="15" hidden="false" customHeight="false" outlineLevel="0" collapsed="false">
      <c r="A216" s="37"/>
      <c r="B216" s="38"/>
      <c r="C216" s="38"/>
      <c r="D216" s="38"/>
      <c r="E216" s="39"/>
      <c r="F216" s="38"/>
    </row>
    <row r="217" customFormat="false" ht="15" hidden="false" customHeight="false" outlineLevel="0" collapsed="false">
      <c r="A217" s="37"/>
      <c r="B217" s="38"/>
      <c r="C217" s="38"/>
      <c r="D217" s="38"/>
      <c r="E217" s="39"/>
      <c r="F217" s="38"/>
    </row>
    <row r="218" customFormat="false" ht="15" hidden="false" customHeight="false" outlineLevel="0" collapsed="false">
      <c r="A218" s="37"/>
      <c r="B218" s="38"/>
      <c r="C218" s="38"/>
      <c r="D218" s="38"/>
      <c r="E218" s="39"/>
      <c r="F218" s="38"/>
    </row>
    <row r="219" customFormat="false" ht="15" hidden="false" customHeight="false" outlineLevel="0" collapsed="false">
      <c r="A219" s="37"/>
      <c r="B219" s="38"/>
      <c r="C219" s="38"/>
      <c r="D219" s="38"/>
      <c r="E219" s="39"/>
      <c r="F219" s="38"/>
    </row>
    <row r="220" customFormat="false" ht="15" hidden="false" customHeight="false" outlineLevel="0" collapsed="false">
      <c r="A220" s="37"/>
      <c r="B220" s="38"/>
      <c r="C220" s="38"/>
      <c r="D220" s="38"/>
      <c r="E220" s="39"/>
      <c r="F220" s="38"/>
    </row>
    <row r="221" customFormat="false" ht="15" hidden="false" customHeight="false" outlineLevel="0" collapsed="false">
      <c r="A221" s="37"/>
      <c r="B221" s="38"/>
      <c r="C221" s="38"/>
      <c r="D221" s="38"/>
      <c r="E221" s="39"/>
      <c r="F221" s="38"/>
    </row>
    <row r="222" customFormat="false" ht="15" hidden="false" customHeight="false" outlineLevel="0" collapsed="false">
      <c r="A222" s="37"/>
      <c r="B222" s="38"/>
      <c r="C222" s="38"/>
      <c r="D222" s="38"/>
      <c r="E222" s="39"/>
      <c r="F222" s="38"/>
    </row>
    <row r="223" customFormat="false" ht="15" hidden="false" customHeight="false" outlineLevel="0" collapsed="false">
      <c r="A223" s="37"/>
      <c r="B223" s="38"/>
      <c r="C223" s="38"/>
      <c r="D223" s="38"/>
      <c r="E223" s="39"/>
      <c r="F223" s="38"/>
    </row>
    <row r="224" customFormat="false" ht="15" hidden="false" customHeight="false" outlineLevel="0" collapsed="false">
      <c r="A224" s="37"/>
      <c r="B224" s="38"/>
      <c r="C224" s="38"/>
      <c r="D224" s="38"/>
      <c r="E224" s="39"/>
      <c r="F224" s="38"/>
    </row>
    <row r="225" customFormat="false" ht="15" hidden="false" customHeight="false" outlineLevel="0" collapsed="false">
      <c r="A225" s="37"/>
      <c r="B225" s="38"/>
      <c r="C225" s="38"/>
      <c r="D225" s="38"/>
      <c r="E225" s="39"/>
      <c r="F225" s="38"/>
    </row>
    <row r="226" customFormat="false" ht="15" hidden="false" customHeight="false" outlineLevel="0" collapsed="false">
      <c r="A226" s="37"/>
      <c r="B226" s="38"/>
      <c r="C226" s="38"/>
      <c r="D226" s="38"/>
      <c r="E226" s="39"/>
      <c r="F226" s="38"/>
    </row>
    <row r="227" customFormat="false" ht="15" hidden="false" customHeight="false" outlineLevel="0" collapsed="false">
      <c r="A227" s="37"/>
      <c r="B227" s="38"/>
      <c r="C227" s="38"/>
      <c r="D227" s="38"/>
      <c r="E227" s="39"/>
      <c r="F227" s="38"/>
    </row>
    <row r="228" customFormat="false" ht="15" hidden="false" customHeight="false" outlineLevel="0" collapsed="false">
      <c r="A228" s="37"/>
      <c r="B228" s="38"/>
      <c r="C228" s="38"/>
      <c r="D228" s="38"/>
      <c r="E228" s="39"/>
      <c r="F228" s="38"/>
    </row>
    <row r="229" customFormat="false" ht="15" hidden="false" customHeight="false" outlineLevel="0" collapsed="false">
      <c r="A229" s="37"/>
      <c r="B229" s="38"/>
      <c r="C229" s="38"/>
      <c r="D229" s="38"/>
      <c r="E229" s="39"/>
      <c r="F229" s="38"/>
    </row>
    <row r="230" customFormat="false" ht="15" hidden="false" customHeight="false" outlineLevel="0" collapsed="false">
      <c r="A230" s="37"/>
      <c r="B230" s="38"/>
      <c r="C230" s="38"/>
      <c r="D230" s="38"/>
      <c r="E230" s="39"/>
      <c r="F230" s="38"/>
    </row>
    <row r="231" customFormat="false" ht="15" hidden="false" customHeight="false" outlineLevel="0" collapsed="false">
      <c r="A231" s="37"/>
      <c r="B231" s="38"/>
      <c r="C231" s="38"/>
      <c r="D231" s="38"/>
      <c r="E231" s="39"/>
      <c r="F231" s="38"/>
    </row>
    <row r="232" customFormat="false" ht="15" hidden="false" customHeight="false" outlineLevel="0" collapsed="false">
      <c r="A232" s="37"/>
      <c r="B232" s="38"/>
      <c r="C232" s="38"/>
      <c r="D232" s="38"/>
      <c r="E232" s="39"/>
      <c r="F232" s="38"/>
    </row>
    <row r="233" customFormat="false" ht="15" hidden="false" customHeight="false" outlineLevel="0" collapsed="false">
      <c r="A233" s="37"/>
      <c r="B233" s="38"/>
      <c r="C233" s="38"/>
      <c r="D233" s="38"/>
      <c r="E233" s="39"/>
      <c r="F233" s="38"/>
    </row>
    <row r="234" customFormat="false" ht="15" hidden="false" customHeight="false" outlineLevel="0" collapsed="false">
      <c r="A234" s="37"/>
      <c r="B234" s="38"/>
      <c r="C234" s="38"/>
      <c r="D234" s="38"/>
      <c r="E234" s="39"/>
      <c r="F234" s="38"/>
    </row>
    <row r="235" customFormat="false" ht="15" hidden="false" customHeight="false" outlineLevel="0" collapsed="false">
      <c r="A235" s="37"/>
      <c r="B235" s="38"/>
      <c r="C235" s="38"/>
      <c r="D235" s="38"/>
      <c r="E235" s="39"/>
      <c r="F235" s="38"/>
    </row>
    <row r="236" customFormat="false" ht="15" hidden="false" customHeight="false" outlineLevel="0" collapsed="false">
      <c r="A236" s="37"/>
      <c r="B236" s="38"/>
      <c r="C236" s="38"/>
      <c r="D236" s="38"/>
      <c r="E236" s="39"/>
      <c r="F236" s="38"/>
    </row>
    <row r="237" customFormat="false" ht="15" hidden="false" customHeight="false" outlineLevel="0" collapsed="false">
      <c r="A237" s="37"/>
      <c r="B237" s="38"/>
      <c r="C237" s="38"/>
      <c r="D237" s="38"/>
      <c r="E237" s="39"/>
      <c r="F237" s="38"/>
    </row>
    <row r="238" customFormat="false" ht="15" hidden="false" customHeight="false" outlineLevel="0" collapsed="false">
      <c r="A238" s="37"/>
      <c r="B238" s="38"/>
      <c r="C238" s="38"/>
      <c r="D238" s="38"/>
      <c r="E238" s="39"/>
      <c r="F238" s="38"/>
    </row>
    <row r="239" customFormat="false" ht="15" hidden="false" customHeight="false" outlineLevel="0" collapsed="false">
      <c r="A239" s="37"/>
      <c r="B239" s="38"/>
      <c r="C239" s="38"/>
      <c r="D239" s="38"/>
      <c r="E239" s="39"/>
      <c r="F239" s="38"/>
    </row>
    <row r="240" customFormat="false" ht="15" hidden="false" customHeight="false" outlineLevel="0" collapsed="false">
      <c r="A240" s="37"/>
      <c r="B240" s="38"/>
      <c r="C240" s="38"/>
      <c r="D240" s="38"/>
      <c r="E240" s="39"/>
      <c r="F240" s="38"/>
    </row>
    <row r="241" customFormat="false" ht="15" hidden="false" customHeight="false" outlineLevel="0" collapsed="false">
      <c r="A241" s="37"/>
      <c r="B241" s="38"/>
      <c r="C241" s="38"/>
      <c r="D241" s="38"/>
      <c r="E241" s="39"/>
      <c r="F241" s="38"/>
    </row>
    <row r="242" customFormat="false" ht="15" hidden="false" customHeight="false" outlineLevel="0" collapsed="false">
      <c r="A242" s="37"/>
      <c r="B242" s="38"/>
      <c r="C242" s="38"/>
      <c r="D242" s="38"/>
      <c r="E242" s="39"/>
      <c r="F242" s="38"/>
    </row>
    <row r="243" customFormat="false" ht="15" hidden="false" customHeight="false" outlineLevel="0" collapsed="false">
      <c r="A243" s="37"/>
      <c r="B243" s="38"/>
      <c r="C243" s="38"/>
      <c r="D243" s="38"/>
      <c r="E243" s="39"/>
      <c r="F243" s="38"/>
    </row>
    <row r="244" customFormat="false" ht="15" hidden="false" customHeight="false" outlineLevel="0" collapsed="false">
      <c r="A244" s="37"/>
      <c r="B244" s="38"/>
      <c r="C244" s="38"/>
      <c r="D244" s="38"/>
      <c r="E244" s="39"/>
      <c r="F244" s="38"/>
    </row>
    <row r="245" customFormat="false" ht="15" hidden="false" customHeight="false" outlineLevel="0" collapsed="false">
      <c r="A245" s="37"/>
      <c r="B245" s="38"/>
      <c r="C245" s="38"/>
      <c r="D245" s="38"/>
      <c r="E245" s="39"/>
      <c r="F245" s="38"/>
    </row>
    <row r="246" customFormat="false" ht="15" hidden="false" customHeight="false" outlineLevel="0" collapsed="false">
      <c r="A246" s="37"/>
      <c r="B246" s="38"/>
      <c r="C246" s="38"/>
      <c r="D246" s="38"/>
      <c r="E246" s="39"/>
      <c r="F246" s="38"/>
    </row>
    <row r="247" customFormat="false" ht="15" hidden="false" customHeight="false" outlineLevel="0" collapsed="false">
      <c r="A247" s="37"/>
      <c r="B247" s="38"/>
      <c r="C247" s="38"/>
      <c r="D247" s="38"/>
      <c r="E247" s="39"/>
      <c r="F247" s="38"/>
    </row>
    <row r="248" customFormat="false" ht="15" hidden="false" customHeight="false" outlineLevel="0" collapsed="false">
      <c r="A248" s="37"/>
      <c r="B248" s="38"/>
      <c r="C248" s="38"/>
      <c r="D248" s="38"/>
      <c r="E248" s="39"/>
      <c r="F248" s="38"/>
    </row>
    <row r="249" customFormat="false" ht="15" hidden="false" customHeight="false" outlineLevel="0" collapsed="false">
      <c r="A249" s="37"/>
      <c r="B249" s="38"/>
      <c r="C249" s="38"/>
      <c r="D249" s="38"/>
      <c r="E249" s="39"/>
      <c r="F249" s="38"/>
    </row>
    <row r="250" customFormat="false" ht="15" hidden="false" customHeight="false" outlineLevel="0" collapsed="false">
      <c r="A250" s="37"/>
      <c r="B250" s="38"/>
      <c r="C250" s="38"/>
      <c r="D250" s="38"/>
      <c r="E250" s="39"/>
      <c r="F250" s="38"/>
    </row>
    <row r="251" customFormat="false" ht="15" hidden="false" customHeight="false" outlineLevel="0" collapsed="false">
      <c r="A251" s="37"/>
      <c r="B251" s="38"/>
      <c r="C251" s="38"/>
      <c r="D251" s="38"/>
      <c r="E251" s="39"/>
      <c r="F251" s="38"/>
    </row>
    <row r="252" customFormat="false" ht="15" hidden="false" customHeight="false" outlineLevel="0" collapsed="false">
      <c r="A252" s="37"/>
      <c r="B252" s="38"/>
      <c r="C252" s="38"/>
      <c r="D252" s="38"/>
      <c r="E252" s="39"/>
      <c r="F252" s="38"/>
    </row>
    <row r="253" customFormat="false" ht="15" hidden="false" customHeight="false" outlineLevel="0" collapsed="false">
      <c r="A253" s="37"/>
      <c r="B253" s="38"/>
      <c r="C253" s="38"/>
      <c r="D253" s="38"/>
      <c r="E253" s="39"/>
      <c r="F253" s="38"/>
    </row>
    <row r="254" customFormat="false" ht="15" hidden="false" customHeight="false" outlineLevel="0" collapsed="false">
      <c r="A254" s="37"/>
      <c r="B254" s="38"/>
      <c r="C254" s="38"/>
      <c r="D254" s="38"/>
      <c r="E254" s="39"/>
      <c r="F254" s="38"/>
    </row>
    <row r="255" customFormat="false" ht="15" hidden="false" customHeight="false" outlineLevel="0" collapsed="false">
      <c r="A255" s="37"/>
      <c r="B255" s="38"/>
      <c r="C255" s="38"/>
      <c r="D255" s="38"/>
      <c r="E255" s="39"/>
      <c r="F255" s="38"/>
    </row>
    <row r="256" customFormat="false" ht="15" hidden="false" customHeight="false" outlineLevel="0" collapsed="false">
      <c r="A256" s="37"/>
      <c r="B256" s="38"/>
      <c r="C256" s="38"/>
      <c r="D256" s="38"/>
      <c r="E256" s="39"/>
      <c r="F256" s="38"/>
    </row>
    <row r="257" customFormat="false" ht="15" hidden="false" customHeight="false" outlineLevel="0" collapsed="false">
      <c r="A257" s="37"/>
      <c r="B257" s="38"/>
      <c r="C257" s="38"/>
      <c r="D257" s="38"/>
      <c r="E257" s="39"/>
      <c r="F257" s="38"/>
    </row>
    <row r="258" customFormat="false" ht="15" hidden="false" customHeight="false" outlineLevel="0" collapsed="false">
      <c r="A258" s="37"/>
      <c r="B258" s="38"/>
      <c r="C258" s="38"/>
      <c r="D258" s="38"/>
      <c r="E258" s="39"/>
      <c r="F258" s="38"/>
    </row>
    <row r="259" customFormat="false" ht="15" hidden="false" customHeight="false" outlineLevel="0" collapsed="false">
      <c r="A259" s="37"/>
      <c r="B259" s="38"/>
      <c r="C259" s="38"/>
      <c r="D259" s="38"/>
      <c r="E259" s="39"/>
      <c r="F259" s="38"/>
    </row>
    <row r="260" customFormat="false" ht="15" hidden="false" customHeight="false" outlineLevel="0" collapsed="false">
      <c r="A260" s="37"/>
      <c r="B260" s="38"/>
      <c r="C260" s="38"/>
      <c r="D260" s="38"/>
      <c r="E260" s="39"/>
      <c r="F260" s="38"/>
    </row>
    <row r="261" customFormat="false" ht="15" hidden="false" customHeight="false" outlineLevel="0" collapsed="false">
      <c r="A261" s="37"/>
      <c r="B261" s="38"/>
      <c r="C261" s="38"/>
      <c r="D261" s="38"/>
      <c r="E261" s="39"/>
      <c r="F261" s="38"/>
    </row>
    <row r="262" customFormat="false" ht="15" hidden="false" customHeight="false" outlineLevel="0" collapsed="false">
      <c r="A262" s="37"/>
      <c r="B262" s="38"/>
      <c r="C262" s="38"/>
      <c r="D262" s="38"/>
      <c r="E262" s="39"/>
      <c r="F262" s="38"/>
    </row>
    <row r="263" customFormat="false" ht="15" hidden="false" customHeight="false" outlineLevel="0" collapsed="false">
      <c r="A263" s="37"/>
      <c r="B263" s="38"/>
      <c r="C263" s="38"/>
      <c r="D263" s="38"/>
      <c r="E263" s="39"/>
      <c r="F263" s="38"/>
    </row>
    <row r="264" customFormat="false" ht="15" hidden="false" customHeight="false" outlineLevel="0" collapsed="false">
      <c r="A264" s="37"/>
      <c r="B264" s="38"/>
      <c r="C264" s="38"/>
      <c r="D264" s="38"/>
      <c r="E264" s="39"/>
      <c r="F264" s="38"/>
    </row>
    <row r="265" customFormat="false" ht="15" hidden="false" customHeight="false" outlineLevel="0" collapsed="false">
      <c r="A265" s="37"/>
      <c r="B265" s="38"/>
      <c r="C265" s="38"/>
      <c r="D265" s="38"/>
      <c r="E265" s="39"/>
      <c r="F265" s="38"/>
    </row>
    <row r="266" customFormat="false" ht="15" hidden="false" customHeight="false" outlineLevel="0" collapsed="false">
      <c r="A266" s="37"/>
      <c r="B266" s="38"/>
      <c r="C266" s="38"/>
      <c r="D266" s="38"/>
      <c r="E266" s="39"/>
      <c r="F266" s="38"/>
    </row>
    <row r="267" customFormat="false" ht="15" hidden="false" customHeight="false" outlineLevel="0" collapsed="false">
      <c r="A267" s="37"/>
      <c r="B267" s="38"/>
      <c r="C267" s="38"/>
      <c r="D267" s="38"/>
      <c r="E267" s="39"/>
      <c r="F267" s="38"/>
    </row>
    <row r="268" customFormat="false" ht="15" hidden="false" customHeight="false" outlineLevel="0" collapsed="false">
      <c r="A268" s="37"/>
      <c r="B268" s="38"/>
      <c r="C268" s="38"/>
      <c r="D268" s="38"/>
      <c r="E268" s="39"/>
      <c r="F268" s="38"/>
    </row>
    <row r="269" customFormat="false" ht="15" hidden="false" customHeight="false" outlineLevel="0" collapsed="false">
      <c r="A269" s="37"/>
      <c r="B269" s="38"/>
      <c r="C269" s="38"/>
      <c r="D269" s="38"/>
      <c r="E269" s="39"/>
      <c r="F269" s="38"/>
    </row>
    <row r="270" customFormat="false" ht="15" hidden="false" customHeight="false" outlineLevel="0" collapsed="false">
      <c r="A270" s="37"/>
      <c r="B270" s="38"/>
      <c r="C270" s="38"/>
      <c r="D270" s="38"/>
      <c r="E270" s="39"/>
      <c r="F270" s="38"/>
    </row>
    <row r="271" customFormat="false" ht="15" hidden="false" customHeight="false" outlineLevel="0" collapsed="false">
      <c r="A271" s="37"/>
      <c r="B271" s="38"/>
      <c r="C271" s="38"/>
      <c r="D271" s="38"/>
      <c r="E271" s="39"/>
      <c r="F271" s="38"/>
    </row>
    <row r="272" customFormat="false" ht="15" hidden="false" customHeight="false" outlineLevel="0" collapsed="false">
      <c r="A272" s="37"/>
      <c r="B272" s="38"/>
      <c r="C272" s="38"/>
      <c r="D272" s="38"/>
      <c r="E272" s="39"/>
      <c r="F272" s="38"/>
    </row>
    <row r="273" customFormat="false" ht="15" hidden="false" customHeight="false" outlineLevel="0" collapsed="false">
      <c r="A273" s="37"/>
      <c r="B273" s="38"/>
      <c r="C273" s="38"/>
      <c r="D273" s="38"/>
      <c r="E273" s="39"/>
      <c r="F273" s="38"/>
    </row>
    <row r="274" customFormat="false" ht="15" hidden="false" customHeight="false" outlineLevel="0" collapsed="false">
      <c r="A274" s="37"/>
      <c r="B274" s="38"/>
      <c r="C274" s="38"/>
      <c r="D274" s="38"/>
      <c r="E274" s="39"/>
      <c r="F274" s="38"/>
    </row>
    <row r="275" customFormat="false" ht="15" hidden="false" customHeight="false" outlineLevel="0" collapsed="false">
      <c r="A275" s="37"/>
      <c r="B275" s="38"/>
      <c r="C275" s="38"/>
      <c r="D275" s="38"/>
      <c r="E275" s="39"/>
      <c r="F275" s="38"/>
    </row>
    <row r="276" customFormat="false" ht="15" hidden="false" customHeight="false" outlineLevel="0" collapsed="false">
      <c r="A276" s="37"/>
      <c r="B276" s="38"/>
      <c r="C276" s="38"/>
      <c r="D276" s="38"/>
      <c r="E276" s="39"/>
      <c r="F276" s="38"/>
    </row>
    <row r="277" customFormat="false" ht="15" hidden="false" customHeight="false" outlineLevel="0" collapsed="false">
      <c r="A277" s="37"/>
      <c r="B277" s="38"/>
      <c r="C277" s="38"/>
      <c r="D277" s="38"/>
      <c r="E277" s="39"/>
      <c r="F277" s="38"/>
    </row>
    <row r="278" customFormat="false" ht="15" hidden="false" customHeight="false" outlineLevel="0" collapsed="false">
      <c r="A278" s="37"/>
      <c r="B278" s="38"/>
      <c r="C278" s="38"/>
      <c r="D278" s="38"/>
      <c r="E278" s="39"/>
      <c r="F278" s="38"/>
    </row>
    <row r="279" customFormat="false" ht="15" hidden="false" customHeight="false" outlineLevel="0" collapsed="false">
      <c r="A279" s="37"/>
      <c r="B279" s="38"/>
      <c r="C279" s="38"/>
      <c r="D279" s="38"/>
      <c r="E279" s="39"/>
      <c r="F279" s="38"/>
    </row>
    <row r="280" customFormat="false" ht="15" hidden="false" customHeight="false" outlineLevel="0" collapsed="false">
      <c r="A280" s="37"/>
      <c r="B280" s="38"/>
      <c r="C280" s="38"/>
      <c r="D280" s="38"/>
      <c r="E280" s="39"/>
      <c r="F280" s="38"/>
    </row>
    <row r="281" customFormat="false" ht="15" hidden="false" customHeight="false" outlineLevel="0" collapsed="false">
      <c r="A281" s="37"/>
      <c r="B281" s="38"/>
      <c r="C281" s="38"/>
      <c r="D281" s="38"/>
      <c r="E281" s="39"/>
      <c r="F281" s="38"/>
    </row>
    <row r="282" customFormat="false" ht="15" hidden="false" customHeight="false" outlineLevel="0" collapsed="false">
      <c r="A282" s="37"/>
      <c r="B282" s="38"/>
      <c r="C282" s="38"/>
      <c r="D282" s="38"/>
      <c r="E282" s="39"/>
      <c r="F282" s="38"/>
    </row>
    <row r="283" customFormat="false" ht="15" hidden="false" customHeight="false" outlineLevel="0" collapsed="false">
      <c r="A283" s="37"/>
      <c r="B283" s="38"/>
      <c r="C283" s="38"/>
      <c r="D283" s="38"/>
      <c r="E283" s="39"/>
      <c r="F283" s="38"/>
    </row>
    <row r="284" customFormat="false" ht="15" hidden="false" customHeight="false" outlineLevel="0" collapsed="false">
      <c r="A284" s="37"/>
      <c r="B284" s="38"/>
      <c r="C284" s="38"/>
      <c r="D284" s="38"/>
      <c r="E284" s="39"/>
      <c r="F284" s="38"/>
    </row>
    <row r="285" customFormat="false" ht="15" hidden="false" customHeight="false" outlineLevel="0" collapsed="false">
      <c r="A285" s="37"/>
      <c r="B285" s="38"/>
      <c r="C285" s="38"/>
      <c r="D285" s="38"/>
      <c r="E285" s="39"/>
      <c r="F285" s="38"/>
    </row>
    <row r="286" customFormat="false" ht="15" hidden="false" customHeight="false" outlineLevel="0" collapsed="false">
      <c r="A286" s="37"/>
      <c r="B286" s="38"/>
      <c r="C286" s="38"/>
      <c r="D286" s="38"/>
      <c r="E286" s="39"/>
      <c r="F286" s="38"/>
    </row>
    <row r="287" customFormat="false" ht="15" hidden="false" customHeight="false" outlineLevel="0" collapsed="false">
      <c r="A287" s="37"/>
      <c r="B287" s="38"/>
      <c r="C287" s="38"/>
      <c r="D287" s="38"/>
      <c r="E287" s="39"/>
      <c r="F287" s="38"/>
    </row>
    <row r="288" customFormat="false" ht="15" hidden="false" customHeight="false" outlineLevel="0" collapsed="false">
      <c r="A288" s="37"/>
      <c r="B288" s="38"/>
      <c r="C288" s="38"/>
      <c r="D288" s="38"/>
      <c r="E288" s="39"/>
      <c r="F288" s="38"/>
    </row>
    <row r="289" customFormat="false" ht="15" hidden="false" customHeight="false" outlineLevel="0" collapsed="false">
      <c r="A289" s="37"/>
      <c r="B289" s="38"/>
      <c r="C289" s="38"/>
      <c r="D289" s="38"/>
      <c r="E289" s="39"/>
      <c r="F289" s="38"/>
    </row>
    <row r="290" customFormat="false" ht="15" hidden="false" customHeight="false" outlineLevel="0" collapsed="false">
      <c r="A290" s="37"/>
      <c r="B290" s="38"/>
      <c r="C290" s="38"/>
      <c r="D290" s="38"/>
      <c r="E290" s="39"/>
      <c r="F290" s="38"/>
    </row>
    <row r="291" customFormat="false" ht="15" hidden="false" customHeight="false" outlineLevel="0" collapsed="false">
      <c r="A291" s="37"/>
      <c r="B291" s="38"/>
      <c r="C291" s="38"/>
      <c r="D291" s="38"/>
      <c r="E291" s="39"/>
      <c r="F291" s="38"/>
    </row>
    <row r="292" customFormat="false" ht="15" hidden="false" customHeight="false" outlineLevel="0" collapsed="false">
      <c r="A292" s="37"/>
      <c r="B292" s="38"/>
      <c r="C292" s="38"/>
      <c r="D292" s="38"/>
      <c r="E292" s="39"/>
      <c r="F292" s="38"/>
    </row>
    <row r="293" customFormat="false" ht="15" hidden="false" customHeight="false" outlineLevel="0" collapsed="false">
      <c r="A293" s="37"/>
      <c r="B293" s="38"/>
      <c r="C293" s="38"/>
      <c r="D293" s="38"/>
      <c r="E293" s="39"/>
      <c r="F293" s="38"/>
    </row>
    <row r="294" customFormat="false" ht="15" hidden="false" customHeight="false" outlineLevel="0" collapsed="false">
      <c r="A294" s="37"/>
      <c r="B294" s="38"/>
      <c r="C294" s="38"/>
      <c r="D294" s="38"/>
      <c r="E294" s="39"/>
      <c r="F294" s="38"/>
    </row>
    <row r="295" customFormat="false" ht="15" hidden="false" customHeight="false" outlineLevel="0" collapsed="false">
      <c r="A295" s="37"/>
      <c r="B295" s="38"/>
      <c r="C295" s="38"/>
      <c r="D295" s="38"/>
      <c r="E295" s="39"/>
      <c r="F295" s="38"/>
    </row>
    <row r="296" customFormat="false" ht="15" hidden="false" customHeight="false" outlineLevel="0" collapsed="false">
      <c r="A296" s="37"/>
      <c r="B296" s="38"/>
      <c r="C296" s="38"/>
      <c r="D296" s="38"/>
      <c r="E296" s="39"/>
      <c r="F296" s="38"/>
    </row>
    <row r="297" customFormat="false" ht="15" hidden="false" customHeight="false" outlineLevel="0" collapsed="false">
      <c r="A297" s="37"/>
      <c r="B297" s="38"/>
      <c r="C297" s="38"/>
      <c r="D297" s="38"/>
      <c r="E297" s="39"/>
      <c r="F297" s="38"/>
    </row>
    <row r="298" customFormat="false" ht="15" hidden="false" customHeight="false" outlineLevel="0" collapsed="false">
      <c r="A298" s="37"/>
      <c r="B298" s="38"/>
      <c r="C298" s="38"/>
      <c r="D298" s="38"/>
      <c r="E298" s="39"/>
      <c r="F298" s="38"/>
    </row>
    <row r="299" customFormat="false" ht="15" hidden="false" customHeight="false" outlineLevel="0" collapsed="false">
      <c r="A299" s="37"/>
      <c r="B299" s="38"/>
      <c r="C299" s="38"/>
      <c r="D299" s="38"/>
      <c r="E299" s="39"/>
      <c r="F299" s="38"/>
    </row>
    <row r="300" customFormat="false" ht="15" hidden="false" customHeight="false" outlineLevel="0" collapsed="false">
      <c r="A300" s="37"/>
      <c r="B300" s="38"/>
      <c r="C300" s="38"/>
      <c r="D300" s="38"/>
      <c r="E300" s="39"/>
      <c r="F300" s="38"/>
    </row>
    <row r="301" customFormat="false" ht="15" hidden="false" customHeight="false" outlineLevel="0" collapsed="false">
      <c r="A301" s="37"/>
      <c r="B301" s="38"/>
      <c r="C301" s="38"/>
      <c r="D301" s="38"/>
      <c r="E301" s="39"/>
      <c r="F301" s="38"/>
    </row>
    <row r="302" customFormat="false" ht="15" hidden="false" customHeight="false" outlineLevel="0" collapsed="false">
      <c r="A302" s="37"/>
      <c r="B302" s="38"/>
      <c r="C302" s="38"/>
      <c r="D302" s="38"/>
      <c r="E302" s="39"/>
      <c r="F302" s="38"/>
    </row>
    <row r="303" customFormat="false" ht="15" hidden="false" customHeight="false" outlineLevel="0" collapsed="false">
      <c r="A303" s="37"/>
      <c r="B303" s="38"/>
      <c r="C303" s="38"/>
      <c r="D303" s="38"/>
      <c r="E303" s="39"/>
      <c r="F303" s="38"/>
    </row>
    <row r="304" customFormat="false" ht="15" hidden="false" customHeight="false" outlineLevel="0" collapsed="false">
      <c r="A304" s="37"/>
      <c r="B304" s="38"/>
      <c r="C304" s="38"/>
      <c r="D304" s="38"/>
      <c r="E304" s="39"/>
      <c r="F304" s="38"/>
    </row>
    <row r="305" customFormat="false" ht="15" hidden="false" customHeight="false" outlineLevel="0" collapsed="false">
      <c r="A305" s="37"/>
      <c r="B305" s="38"/>
      <c r="C305" s="38"/>
      <c r="D305" s="38"/>
      <c r="E305" s="39"/>
      <c r="F305" s="38"/>
    </row>
    <row r="306" customFormat="false" ht="15" hidden="false" customHeight="false" outlineLevel="0" collapsed="false">
      <c r="A306" s="37"/>
      <c r="B306" s="38"/>
      <c r="C306" s="38"/>
      <c r="D306" s="38"/>
      <c r="E306" s="39"/>
      <c r="F306" s="38"/>
    </row>
    <row r="307" customFormat="false" ht="15" hidden="false" customHeight="false" outlineLevel="0" collapsed="false">
      <c r="A307" s="37"/>
      <c r="B307" s="38"/>
      <c r="C307" s="38"/>
      <c r="D307" s="38"/>
      <c r="E307" s="39"/>
      <c r="F307" s="38"/>
    </row>
    <row r="308" customFormat="false" ht="15" hidden="false" customHeight="false" outlineLevel="0" collapsed="false">
      <c r="A308" s="37"/>
      <c r="B308" s="38"/>
      <c r="C308" s="38"/>
      <c r="D308" s="38"/>
      <c r="E308" s="39"/>
      <c r="F308" s="38"/>
    </row>
    <row r="309" customFormat="false" ht="15" hidden="false" customHeight="false" outlineLevel="0" collapsed="false">
      <c r="A309" s="37"/>
      <c r="B309" s="38"/>
      <c r="C309" s="38"/>
      <c r="D309" s="38"/>
      <c r="E309" s="39"/>
      <c r="F309" s="38"/>
    </row>
    <row r="310" customFormat="false" ht="15" hidden="false" customHeight="false" outlineLevel="0" collapsed="false">
      <c r="A310" s="37"/>
      <c r="B310" s="38"/>
      <c r="C310" s="38"/>
      <c r="D310" s="38"/>
      <c r="E310" s="39"/>
      <c r="F310" s="38"/>
    </row>
    <row r="311" customFormat="false" ht="15" hidden="false" customHeight="false" outlineLevel="0" collapsed="false">
      <c r="A311" s="37"/>
      <c r="B311" s="38"/>
      <c r="C311" s="38"/>
      <c r="D311" s="38"/>
      <c r="E311" s="39"/>
      <c r="F311" s="38"/>
    </row>
    <row r="312" customFormat="false" ht="15" hidden="false" customHeight="false" outlineLevel="0" collapsed="false">
      <c r="A312" s="37"/>
      <c r="B312" s="38"/>
      <c r="C312" s="38"/>
      <c r="D312" s="38"/>
      <c r="E312" s="39"/>
      <c r="F312" s="38"/>
    </row>
    <row r="313" customFormat="false" ht="15" hidden="false" customHeight="false" outlineLevel="0" collapsed="false">
      <c r="A313" s="37"/>
      <c r="B313" s="38"/>
      <c r="C313" s="38"/>
      <c r="D313" s="38"/>
      <c r="E313" s="39"/>
      <c r="F313" s="38"/>
    </row>
    <row r="314" customFormat="false" ht="15" hidden="false" customHeight="false" outlineLevel="0" collapsed="false">
      <c r="A314" s="37"/>
      <c r="B314" s="38"/>
      <c r="C314" s="38"/>
      <c r="D314" s="38"/>
      <c r="E314" s="39"/>
      <c r="F314" s="38"/>
    </row>
    <row r="315" customFormat="false" ht="15" hidden="false" customHeight="false" outlineLevel="0" collapsed="false">
      <c r="A315" s="37"/>
      <c r="B315" s="38"/>
      <c r="C315" s="38"/>
      <c r="D315" s="38"/>
      <c r="E315" s="39"/>
      <c r="F315" s="38"/>
    </row>
    <row r="316" customFormat="false" ht="15" hidden="false" customHeight="false" outlineLevel="0" collapsed="false">
      <c r="A316" s="37"/>
      <c r="B316" s="38"/>
      <c r="C316" s="38"/>
      <c r="D316" s="38"/>
      <c r="E316" s="39"/>
      <c r="F316" s="38"/>
    </row>
    <row r="317" customFormat="false" ht="15" hidden="false" customHeight="false" outlineLevel="0" collapsed="false">
      <c r="A317" s="37"/>
      <c r="B317" s="38"/>
      <c r="C317" s="38"/>
      <c r="D317" s="38"/>
      <c r="E317" s="39"/>
      <c r="F317" s="38"/>
    </row>
    <row r="318" customFormat="false" ht="15" hidden="false" customHeight="false" outlineLevel="0" collapsed="false">
      <c r="A318" s="37"/>
      <c r="B318" s="38"/>
      <c r="C318" s="38"/>
      <c r="D318" s="38"/>
      <c r="E318" s="39"/>
      <c r="F318" s="38"/>
    </row>
    <row r="319" customFormat="false" ht="15" hidden="false" customHeight="false" outlineLevel="0" collapsed="false">
      <c r="A319" s="37"/>
      <c r="B319" s="38"/>
      <c r="C319" s="38"/>
      <c r="D319" s="38"/>
      <c r="E319" s="39"/>
      <c r="F319" s="38"/>
    </row>
    <row r="320" customFormat="false" ht="15" hidden="false" customHeight="false" outlineLevel="0" collapsed="false">
      <c r="A320" s="37"/>
      <c r="B320" s="38"/>
      <c r="C320" s="38"/>
      <c r="D320" s="38"/>
      <c r="E320" s="39"/>
      <c r="F320" s="38"/>
    </row>
    <row r="321" customFormat="false" ht="15" hidden="false" customHeight="false" outlineLevel="0" collapsed="false">
      <c r="A321" s="37"/>
      <c r="B321" s="38"/>
      <c r="C321" s="38"/>
      <c r="D321" s="38"/>
      <c r="E321" s="39"/>
      <c r="F321" s="38"/>
    </row>
    <row r="322" customFormat="false" ht="15" hidden="false" customHeight="false" outlineLevel="0" collapsed="false">
      <c r="A322" s="37"/>
      <c r="B322" s="38"/>
      <c r="C322" s="38"/>
      <c r="D322" s="38"/>
      <c r="E322" s="39"/>
      <c r="F322" s="38"/>
    </row>
    <row r="323" customFormat="false" ht="15" hidden="false" customHeight="false" outlineLevel="0" collapsed="false">
      <c r="A323" s="37"/>
      <c r="B323" s="38"/>
      <c r="C323" s="38"/>
      <c r="D323" s="38"/>
      <c r="E323" s="39"/>
      <c r="F323" s="38"/>
    </row>
    <row r="324" customFormat="false" ht="15" hidden="false" customHeight="false" outlineLevel="0" collapsed="false">
      <c r="A324" s="37"/>
      <c r="B324" s="38"/>
      <c r="C324" s="38"/>
      <c r="D324" s="38"/>
      <c r="E324" s="39"/>
      <c r="F324" s="38"/>
    </row>
    <row r="325" customFormat="false" ht="15" hidden="false" customHeight="false" outlineLevel="0" collapsed="false">
      <c r="A325" s="37"/>
      <c r="B325" s="38"/>
      <c r="C325" s="38"/>
      <c r="D325" s="38"/>
      <c r="E325" s="39"/>
      <c r="F325" s="38"/>
    </row>
    <row r="326" customFormat="false" ht="15" hidden="false" customHeight="false" outlineLevel="0" collapsed="false">
      <c r="A326" s="37"/>
      <c r="B326" s="38"/>
      <c r="C326" s="38"/>
      <c r="D326" s="38"/>
      <c r="E326" s="39"/>
      <c r="F326" s="38"/>
    </row>
    <row r="327" customFormat="false" ht="15" hidden="false" customHeight="false" outlineLevel="0" collapsed="false">
      <c r="A327" s="37"/>
      <c r="B327" s="38"/>
      <c r="C327" s="38"/>
      <c r="D327" s="38"/>
      <c r="E327" s="39"/>
      <c r="F327" s="38"/>
    </row>
    <row r="328" customFormat="false" ht="15" hidden="false" customHeight="false" outlineLevel="0" collapsed="false">
      <c r="A328" s="37"/>
      <c r="B328" s="38"/>
      <c r="C328" s="38"/>
      <c r="D328" s="38"/>
      <c r="E328" s="39"/>
      <c r="F328" s="38"/>
    </row>
    <row r="329" customFormat="false" ht="15" hidden="false" customHeight="false" outlineLevel="0" collapsed="false">
      <c r="A329" s="37"/>
      <c r="B329" s="38"/>
      <c r="C329" s="38"/>
      <c r="D329" s="38"/>
      <c r="E329" s="39"/>
      <c r="F329" s="38"/>
    </row>
    <row r="330" customFormat="false" ht="15" hidden="false" customHeight="false" outlineLevel="0" collapsed="false">
      <c r="A330" s="37"/>
      <c r="B330" s="38"/>
      <c r="C330" s="38"/>
      <c r="D330" s="38"/>
      <c r="E330" s="39"/>
      <c r="F330" s="38"/>
    </row>
    <row r="331" customFormat="false" ht="15" hidden="false" customHeight="false" outlineLevel="0" collapsed="false">
      <c r="A331" s="37"/>
      <c r="B331" s="38"/>
      <c r="C331" s="38"/>
      <c r="D331" s="38"/>
      <c r="E331" s="39"/>
      <c r="F331" s="38"/>
    </row>
    <row r="332" customFormat="false" ht="15" hidden="false" customHeight="false" outlineLevel="0" collapsed="false">
      <c r="A332" s="37"/>
      <c r="B332" s="38"/>
      <c r="C332" s="38"/>
      <c r="D332" s="38"/>
      <c r="E332" s="39"/>
      <c r="F332" s="38"/>
    </row>
    <row r="333" customFormat="false" ht="15" hidden="false" customHeight="false" outlineLevel="0" collapsed="false">
      <c r="A333" s="37"/>
      <c r="B333" s="38"/>
      <c r="C333" s="38"/>
      <c r="D333" s="38"/>
      <c r="E333" s="39"/>
      <c r="F333" s="38"/>
    </row>
    <row r="334" customFormat="false" ht="15" hidden="false" customHeight="false" outlineLevel="0" collapsed="false">
      <c r="A334" s="37"/>
      <c r="B334" s="38"/>
      <c r="C334" s="38"/>
      <c r="D334" s="38"/>
      <c r="E334" s="39"/>
      <c r="F334" s="38"/>
    </row>
    <row r="335" customFormat="false" ht="15" hidden="false" customHeight="false" outlineLevel="0" collapsed="false">
      <c r="A335" s="37"/>
      <c r="B335" s="38"/>
      <c r="C335" s="38"/>
      <c r="D335" s="38"/>
      <c r="E335" s="39"/>
      <c r="F335" s="38"/>
    </row>
    <row r="336" customFormat="false" ht="15" hidden="false" customHeight="false" outlineLevel="0" collapsed="false">
      <c r="A336" s="37"/>
      <c r="B336" s="38"/>
      <c r="C336" s="38"/>
      <c r="D336" s="38"/>
      <c r="E336" s="39"/>
      <c r="F336" s="38"/>
    </row>
    <row r="337" customFormat="false" ht="15" hidden="false" customHeight="false" outlineLevel="0" collapsed="false">
      <c r="A337" s="37"/>
      <c r="B337" s="38"/>
      <c r="C337" s="38"/>
      <c r="D337" s="38"/>
      <c r="E337" s="39"/>
      <c r="F337" s="38"/>
    </row>
    <row r="338" customFormat="false" ht="15" hidden="false" customHeight="false" outlineLevel="0" collapsed="false">
      <c r="A338" s="37"/>
      <c r="B338" s="38"/>
      <c r="C338" s="38"/>
      <c r="D338" s="38"/>
      <c r="E338" s="39"/>
      <c r="F338" s="38"/>
    </row>
    <row r="339" customFormat="false" ht="15" hidden="false" customHeight="false" outlineLevel="0" collapsed="false">
      <c r="A339" s="37"/>
      <c r="B339" s="38"/>
      <c r="C339" s="38"/>
      <c r="D339" s="38"/>
      <c r="E339" s="39"/>
      <c r="F339" s="38"/>
    </row>
    <row r="340" customFormat="false" ht="15" hidden="false" customHeight="false" outlineLevel="0" collapsed="false">
      <c r="A340" s="37"/>
      <c r="B340" s="38"/>
      <c r="C340" s="38"/>
      <c r="D340" s="38"/>
      <c r="E340" s="39"/>
      <c r="F340" s="38"/>
    </row>
    <row r="341" customFormat="false" ht="15" hidden="false" customHeight="false" outlineLevel="0" collapsed="false">
      <c r="A341" s="37"/>
      <c r="B341" s="38"/>
      <c r="C341" s="38"/>
      <c r="D341" s="38"/>
      <c r="E341" s="39"/>
      <c r="F341" s="38"/>
    </row>
    <row r="342" customFormat="false" ht="15" hidden="false" customHeight="false" outlineLevel="0" collapsed="false">
      <c r="A342" s="37"/>
      <c r="B342" s="38"/>
      <c r="C342" s="38"/>
      <c r="D342" s="38"/>
      <c r="E342" s="39"/>
      <c r="F342" s="38"/>
    </row>
    <row r="343" customFormat="false" ht="15" hidden="false" customHeight="false" outlineLevel="0" collapsed="false">
      <c r="A343" s="37"/>
      <c r="B343" s="38"/>
      <c r="C343" s="38"/>
      <c r="D343" s="38"/>
      <c r="E343" s="39"/>
      <c r="F343" s="38"/>
    </row>
    <row r="344" customFormat="false" ht="15" hidden="false" customHeight="false" outlineLevel="0" collapsed="false">
      <c r="A344" s="37"/>
      <c r="B344" s="38"/>
      <c r="C344" s="38"/>
      <c r="D344" s="38"/>
      <c r="E344" s="39"/>
      <c r="F344" s="38"/>
    </row>
    <row r="345" customFormat="false" ht="15" hidden="false" customHeight="false" outlineLevel="0" collapsed="false">
      <c r="A345" s="37"/>
      <c r="B345" s="38"/>
      <c r="C345" s="38"/>
      <c r="D345" s="38"/>
      <c r="E345" s="39"/>
      <c r="F345" s="38"/>
    </row>
    <row r="346" customFormat="false" ht="15" hidden="false" customHeight="false" outlineLevel="0" collapsed="false">
      <c r="A346" s="37"/>
      <c r="B346" s="38"/>
      <c r="C346" s="38"/>
      <c r="D346" s="38"/>
      <c r="E346" s="39"/>
      <c r="F346" s="38"/>
    </row>
    <row r="347" customFormat="false" ht="15" hidden="false" customHeight="false" outlineLevel="0" collapsed="false">
      <c r="A347" s="37"/>
      <c r="B347" s="38"/>
      <c r="C347" s="38"/>
      <c r="D347" s="38"/>
      <c r="E347" s="39"/>
      <c r="F347" s="38"/>
    </row>
    <row r="348" customFormat="false" ht="15" hidden="false" customHeight="false" outlineLevel="0" collapsed="false">
      <c r="A348" s="37"/>
      <c r="B348" s="38"/>
      <c r="C348" s="38"/>
      <c r="D348" s="38"/>
      <c r="E348" s="39"/>
      <c r="F348" s="38"/>
    </row>
    <row r="349" customFormat="false" ht="15" hidden="false" customHeight="false" outlineLevel="0" collapsed="false">
      <c r="A349" s="37"/>
      <c r="B349" s="38"/>
      <c r="C349" s="38"/>
      <c r="D349" s="38"/>
      <c r="E349" s="39"/>
      <c r="F349" s="38"/>
    </row>
    <row r="350" customFormat="false" ht="15" hidden="false" customHeight="false" outlineLevel="0" collapsed="false">
      <c r="A350" s="37"/>
      <c r="B350" s="38"/>
      <c r="C350" s="38"/>
      <c r="D350" s="38"/>
      <c r="E350" s="39"/>
      <c r="F350" s="38"/>
    </row>
    <row r="351" customFormat="false" ht="15" hidden="false" customHeight="false" outlineLevel="0" collapsed="false">
      <c r="A351" s="37"/>
      <c r="B351" s="38"/>
      <c r="C351" s="38"/>
      <c r="D351" s="38"/>
      <c r="E351" s="39"/>
      <c r="F351" s="38"/>
    </row>
    <row r="352" customFormat="false" ht="15" hidden="false" customHeight="false" outlineLevel="0" collapsed="false">
      <c r="A352" s="37"/>
      <c r="B352" s="38"/>
      <c r="C352" s="38"/>
      <c r="D352" s="38"/>
      <c r="E352" s="39"/>
      <c r="F352" s="38"/>
    </row>
    <row r="353" customFormat="false" ht="15" hidden="false" customHeight="false" outlineLevel="0" collapsed="false">
      <c r="A353" s="37"/>
      <c r="B353" s="38"/>
      <c r="C353" s="38"/>
      <c r="D353" s="38"/>
      <c r="E353" s="39"/>
      <c r="F353" s="38"/>
    </row>
    <row r="354" customFormat="false" ht="15" hidden="false" customHeight="false" outlineLevel="0" collapsed="false">
      <c r="A354" s="37"/>
      <c r="B354" s="38"/>
      <c r="C354" s="38"/>
      <c r="D354" s="38"/>
      <c r="E354" s="39"/>
      <c r="F354" s="38"/>
    </row>
    <row r="355" customFormat="false" ht="15" hidden="false" customHeight="false" outlineLevel="0" collapsed="false">
      <c r="A355" s="37"/>
      <c r="B355" s="38"/>
      <c r="C355" s="38"/>
      <c r="D355" s="38"/>
      <c r="E355" s="39"/>
      <c r="F355" s="38"/>
    </row>
    <row r="356" customFormat="false" ht="15" hidden="false" customHeight="false" outlineLevel="0" collapsed="false">
      <c r="A356" s="37"/>
      <c r="B356" s="38"/>
      <c r="C356" s="38"/>
      <c r="D356" s="38"/>
      <c r="E356" s="39"/>
      <c r="F356" s="38"/>
    </row>
    <row r="357" customFormat="false" ht="15" hidden="false" customHeight="false" outlineLevel="0" collapsed="false">
      <c r="A357" s="37"/>
      <c r="B357" s="38"/>
      <c r="C357" s="38"/>
      <c r="D357" s="38"/>
      <c r="E357" s="39"/>
      <c r="F357" s="38"/>
    </row>
    <row r="358" customFormat="false" ht="15" hidden="false" customHeight="false" outlineLevel="0" collapsed="false">
      <c r="A358" s="37"/>
      <c r="B358" s="38"/>
      <c r="C358" s="38"/>
      <c r="D358" s="38"/>
      <c r="E358" s="39"/>
      <c r="F358" s="38"/>
    </row>
    <row r="359" customFormat="false" ht="15" hidden="false" customHeight="false" outlineLevel="0" collapsed="false">
      <c r="A359" s="37"/>
      <c r="B359" s="38"/>
      <c r="C359" s="38"/>
      <c r="D359" s="38"/>
      <c r="E359" s="39"/>
      <c r="F359" s="38"/>
    </row>
    <row r="360" customFormat="false" ht="15" hidden="false" customHeight="false" outlineLevel="0" collapsed="false">
      <c r="A360" s="37"/>
      <c r="B360" s="38"/>
      <c r="C360" s="38"/>
      <c r="D360" s="38"/>
      <c r="E360" s="39"/>
      <c r="F360" s="38"/>
    </row>
    <row r="361" customFormat="false" ht="15" hidden="false" customHeight="false" outlineLevel="0" collapsed="false">
      <c r="A361" s="37"/>
      <c r="B361" s="38"/>
      <c r="C361" s="38"/>
      <c r="D361" s="38"/>
      <c r="E361" s="39"/>
      <c r="F361" s="38"/>
    </row>
    <row r="362" customFormat="false" ht="15" hidden="false" customHeight="false" outlineLevel="0" collapsed="false">
      <c r="A362" s="37"/>
      <c r="B362" s="38"/>
      <c r="C362" s="38"/>
      <c r="D362" s="38"/>
      <c r="E362" s="39"/>
      <c r="F362" s="38"/>
    </row>
    <row r="363" customFormat="false" ht="15" hidden="false" customHeight="false" outlineLevel="0" collapsed="false">
      <c r="A363" s="37"/>
      <c r="B363" s="38"/>
      <c r="C363" s="38"/>
      <c r="D363" s="38"/>
      <c r="E363" s="39"/>
      <c r="F363" s="38"/>
    </row>
    <row r="364" customFormat="false" ht="15" hidden="false" customHeight="false" outlineLevel="0" collapsed="false">
      <c r="A364" s="37"/>
      <c r="B364" s="38"/>
      <c r="C364" s="38"/>
      <c r="D364" s="38"/>
      <c r="E364" s="39"/>
      <c r="F364" s="38"/>
    </row>
    <row r="365" customFormat="false" ht="15" hidden="false" customHeight="false" outlineLevel="0" collapsed="false">
      <c r="A365" s="37"/>
      <c r="B365" s="38"/>
      <c r="C365" s="38"/>
      <c r="D365" s="38"/>
      <c r="E365" s="39"/>
      <c r="F365" s="38"/>
    </row>
    <row r="366" customFormat="false" ht="15" hidden="false" customHeight="false" outlineLevel="0" collapsed="false">
      <c r="A366" s="37"/>
      <c r="B366" s="38"/>
      <c r="C366" s="38"/>
      <c r="D366" s="38"/>
      <c r="E366" s="39"/>
      <c r="F366" s="38"/>
    </row>
    <row r="367" customFormat="false" ht="15" hidden="false" customHeight="false" outlineLevel="0" collapsed="false">
      <c r="A367" s="37"/>
      <c r="B367" s="38"/>
      <c r="C367" s="38"/>
      <c r="D367" s="38"/>
      <c r="E367" s="39"/>
      <c r="F367" s="38"/>
    </row>
    <row r="368" customFormat="false" ht="15" hidden="false" customHeight="false" outlineLevel="0" collapsed="false">
      <c r="A368" s="37"/>
      <c r="B368" s="38"/>
      <c r="C368" s="38"/>
      <c r="D368" s="38"/>
      <c r="E368" s="39"/>
      <c r="F368" s="38"/>
    </row>
    <row r="369" customFormat="false" ht="15" hidden="false" customHeight="false" outlineLevel="0" collapsed="false">
      <c r="A369" s="37"/>
      <c r="B369" s="38"/>
      <c r="C369" s="38"/>
      <c r="D369" s="38"/>
      <c r="E369" s="39"/>
      <c r="F369" s="38"/>
    </row>
    <row r="370" customFormat="false" ht="15" hidden="false" customHeight="false" outlineLevel="0" collapsed="false">
      <c r="A370" s="37"/>
      <c r="B370" s="38"/>
      <c r="C370" s="38"/>
      <c r="D370" s="38"/>
      <c r="E370" s="39"/>
      <c r="F370" s="38"/>
    </row>
    <row r="371" customFormat="false" ht="15" hidden="false" customHeight="false" outlineLevel="0" collapsed="false">
      <c r="A371" s="37"/>
      <c r="B371" s="38"/>
      <c r="C371" s="38"/>
      <c r="D371" s="38"/>
      <c r="E371" s="39"/>
      <c r="F371" s="38"/>
    </row>
    <row r="372" customFormat="false" ht="15" hidden="false" customHeight="false" outlineLevel="0" collapsed="false">
      <c r="A372" s="37"/>
      <c r="B372" s="38"/>
      <c r="C372" s="38"/>
      <c r="D372" s="38"/>
      <c r="E372" s="39"/>
      <c r="F372" s="38"/>
    </row>
    <row r="373" customFormat="false" ht="15" hidden="false" customHeight="false" outlineLevel="0" collapsed="false">
      <c r="A373" s="37"/>
      <c r="B373" s="38"/>
      <c r="C373" s="38"/>
      <c r="D373" s="38"/>
      <c r="E373" s="39"/>
      <c r="F373" s="38"/>
    </row>
    <row r="374" customFormat="false" ht="15" hidden="false" customHeight="false" outlineLevel="0" collapsed="false">
      <c r="A374" s="37"/>
      <c r="B374" s="38"/>
      <c r="C374" s="38"/>
      <c r="D374" s="38"/>
      <c r="E374" s="39"/>
      <c r="F374" s="38"/>
    </row>
    <row r="375" customFormat="false" ht="15" hidden="false" customHeight="false" outlineLevel="0" collapsed="false">
      <c r="A375" s="37"/>
      <c r="B375" s="38"/>
      <c r="C375" s="38"/>
      <c r="D375" s="38"/>
      <c r="E375" s="39"/>
      <c r="F375" s="38"/>
    </row>
    <row r="376" customFormat="false" ht="15" hidden="false" customHeight="false" outlineLevel="0" collapsed="false">
      <c r="A376" s="37"/>
      <c r="B376" s="38"/>
      <c r="C376" s="38"/>
      <c r="D376" s="38"/>
      <c r="E376" s="39"/>
      <c r="F376" s="38"/>
    </row>
    <row r="377" customFormat="false" ht="15" hidden="false" customHeight="false" outlineLevel="0" collapsed="false">
      <c r="A377" s="37"/>
      <c r="B377" s="38"/>
      <c r="C377" s="38"/>
      <c r="D377" s="38"/>
      <c r="E377" s="39"/>
      <c r="F377" s="38"/>
    </row>
    <row r="378" customFormat="false" ht="15" hidden="false" customHeight="false" outlineLevel="0" collapsed="false">
      <c r="A378" s="37"/>
      <c r="B378" s="38"/>
      <c r="C378" s="38"/>
      <c r="D378" s="38"/>
      <c r="E378" s="39"/>
      <c r="F378" s="38"/>
    </row>
    <row r="379" customFormat="false" ht="15" hidden="false" customHeight="false" outlineLevel="0" collapsed="false">
      <c r="A379" s="37"/>
      <c r="B379" s="38"/>
      <c r="C379" s="38"/>
      <c r="D379" s="38"/>
      <c r="E379" s="39"/>
      <c r="F379" s="38"/>
    </row>
    <row r="380" customFormat="false" ht="15" hidden="false" customHeight="false" outlineLevel="0" collapsed="false">
      <c r="A380" s="37"/>
      <c r="B380" s="38"/>
      <c r="C380" s="38"/>
      <c r="D380" s="38"/>
      <c r="E380" s="39"/>
      <c r="F380" s="38"/>
    </row>
    <row r="381" customFormat="false" ht="15" hidden="false" customHeight="false" outlineLevel="0" collapsed="false">
      <c r="A381" s="37"/>
      <c r="B381" s="38"/>
      <c r="C381" s="38"/>
      <c r="D381" s="38"/>
      <c r="E381" s="39"/>
      <c r="F381" s="38"/>
    </row>
    <row r="382" customFormat="false" ht="15" hidden="false" customHeight="false" outlineLevel="0" collapsed="false">
      <c r="A382" s="37"/>
      <c r="B382" s="38"/>
      <c r="C382" s="38"/>
      <c r="D382" s="38"/>
      <c r="E382" s="39"/>
      <c r="F382" s="38"/>
    </row>
    <row r="383" customFormat="false" ht="15" hidden="false" customHeight="false" outlineLevel="0" collapsed="false">
      <c r="A383" s="37"/>
      <c r="B383" s="38"/>
      <c r="C383" s="38"/>
      <c r="D383" s="38"/>
      <c r="E383" s="39"/>
      <c r="F383" s="38"/>
    </row>
    <row r="384" customFormat="false" ht="15" hidden="false" customHeight="false" outlineLevel="0" collapsed="false">
      <c r="A384" s="37"/>
      <c r="B384" s="38"/>
      <c r="C384" s="38"/>
      <c r="D384" s="38"/>
      <c r="E384" s="39"/>
      <c r="F384" s="38"/>
    </row>
    <row r="385" customFormat="false" ht="15" hidden="false" customHeight="false" outlineLevel="0" collapsed="false">
      <c r="A385" s="37"/>
      <c r="B385" s="38"/>
      <c r="C385" s="38"/>
      <c r="D385" s="38"/>
      <c r="E385" s="39"/>
      <c r="F385" s="38"/>
    </row>
    <row r="386" customFormat="false" ht="15" hidden="false" customHeight="false" outlineLevel="0" collapsed="false">
      <c r="A386" s="37"/>
      <c r="B386" s="38"/>
      <c r="C386" s="38"/>
      <c r="D386" s="38"/>
      <c r="E386" s="39"/>
      <c r="F386" s="38"/>
    </row>
    <row r="387" customFormat="false" ht="15" hidden="false" customHeight="false" outlineLevel="0" collapsed="false">
      <c r="A387" s="37"/>
      <c r="B387" s="38"/>
      <c r="C387" s="38"/>
      <c r="D387" s="38"/>
      <c r="E387" s="39"/>
      <c r="F387" s="38"/>
    </row>
    <row r="388" customFormat="false" ht="15" hidden="false" customHeight="false" outlineLevel="0" collapsed="false">
      <c r="A388" s="37"/>
      <c r="B388" s="38"/>
      <c r="C388" s="38"/>
      <c r="D388" s="38"/>
      <c r="E388" s="39"/>
      <c r="F388" s="38"/>
    </row>
    <row r="389" customFormat="false" ht="15" hidden="false" customHeight="false" outlineLevel="0" collapsed="false">
      <c r="A389" s="37"/>
      <c r="B389" s="38"/>
      <c r="C389" s="38"/>
      <c r="D389" s="38"/>
      <c r="E389" s="39"/>
      <c r="F389" s="38"/>
    </row>
    <row r="390" customFormat="false" ht="15" hidden="false" customHeight="false" outlineLevel="0" collapsed="false">
      <c r="A390" s="37"/>
      <c r="B390" s="38"/>
      <c r="C390" s="38"/>
      <c r="D390" s="38"/>
      <c r="E390" s="39"/>
      <c r="F390" s="38"/>
    </row>
    <row r="391" customFormat="false" ht="15" hidden="false" customHeight="false" outlineLevel="0" collapsed="false">
      <c r="A391" s="37"/>
      <c r="B391" s="38"/>
      <c r="C391" s="38"/>
      <c r="D391" s="38"/>
      <c r="E391" s="39"/>
      <c r="F391" s="38"/>
    </row>
    <row r="392" customFormat="false" ht="15" hidden="false" customHeight="false" outlineLevel="0" collapsed="false">
      <c r="A392" s="37"/>
      <c r="B392" s="38"/>
      <c r="C392" s="38"/>
      <c r="D392" s="38"/>
      <c r="E392" s="39"/>
      <c r="F392" s="38"/>
    </row>
    <row r="393" customFormat="false" ht="15" hidden="false" customHeight="false" outlineLevel="0" collapsed="false">
      <c r="A393" s="37"/>
      <c r="B393" s="38"/>
      <c r="C393" s="38"/>
      <c r="D393" s="38"/>
      <c r="E393" s="39"/>
      <c r="F393" s="38"/>
    </row>
    <row r="394" customFormat="false" ht="15" hidden="false" customHeight="false" outlineLevel="0" collapsed="false">
      <c r="A394" s="37"/>
      <c r="B394" s="38"/>
      <c r="C394" s="38"/>
      <c r="D394" s="38"/>
      <c r="E394" s="39"/>
      <c r="F394" s="38"/>
    </row>
    <row r="395" customFormat="false" ht="15" hidden="false" customHeight="false" outlineLevel="0" collapsed="false">
      <c r="A395" s="37"/>
      <c r="B395" s="38"/>
      <c r="C395" s="38"/>
      <c r="D395" s="38"/>
      <c r="E395" s="39"/>
      <c r="F395" s="38"/>
    </row>
    <row r="396" customFormat="false" ht="15" hidden="false" customHeight="false" outlineLevel="0" collapsed="false">
      <c r="A396" s="37"/>
      <c r="B396" s="38"/>
      <c r="C396" s="38"/>
      <c r="D396" s="38"/>
      <c r="E396" s="39"/>
      <c r="F396" s="38"/>
    </row>
    <row r="397" customFormat="false" ht="15" hidden="false" customHeight="false" outlineLevel="0" collapsed="false">
      <c r="A397" s="37"/>
      <c r="B397" s="38"/>
      <c r="C397" s="38"/>
      <c r="D397" s="38"/>
      <c r="E397" s="39"/>
      <c r="F397" s="38"/>
    </row>
    <row r="398" customFormat="false" ht="15" hidden="false" customHeight="false" outlineLevel="0" collapsed="false">
      <c r="A398" s="37"/>
      <c r="B398" s="38"/>
      <c r="C398" s="38"/>
      <c r="D398" s="38"/>
      <c r="E398" s="39"/>
      <c r="F398" s="38"/>
    </row>
    <row r="399" customFormat="false" ht="15" hidden="false" customHeight="false" outlineLevel="0" collapsed="false">
      <c r="A399" s="37"/>
      <c r="B399" s="38"/>
      <c r="C399" s="38"/>
      <c r="D399" s="38"/>
      <c r="E399" s="39"/>
      <c r="F399" s="38"/>
    </row>
    <row r="400" customFormat="false" ht="15" hidden="false" customHeight="false" outlineLevel="0" collapsed="false">
      <c r="A400" s="37"/>
      <c r="B400" s="38"/>
      <c r="C400" s="38"/>
      <c r="D400" s="38"/>
      <c r="E400" s="39"/>
      <c r="F400" s="38"/>
    </row>
    <row r="401" customFormat="false" ht="15" hidden="false" customHeight="false" outlineLevel="0" collapsed="false">
      <c r="A401" s="37"/>
      <c r="B401" s="38"/>
      <c r="C401" s="38"/>
      <c r="D401" s="38"/>
      <c r="E401" s="39"/>
      <c r="F401" s="38"/>
    </row>
    <row r="402" customFormat="false" ht="15" hidden="false" customHeight="false" outlineLevel="0" collapsed="false">
      <c r="A402" s="37"/>
      <c r="B402" s="38"/>
      <c r="C402" s="38"/>
      <c r="D402" s="38"/>
      <c r="E402" s="39"/>
      <c r="F402" s="38"/>
    </row>
    <row r="403" customFormat="false" ht="15" hidden="false" customHeight="false" outlineLevel="0" collapsed="false">
      <c r="A403" s="37"/>
      <c r="B403" s="38"/>
      <c r="C403" s="38"/>
      <c r="D403" s="38"/>
      <c r="E403" s="39"/>
      <c r="F403" s="38"/>
    </row>
    <row r="404" customFormat="false" ht="15" hidden="false" customHeight="false" outlineLevel="0" collapsed="false">
      <c r="A404" s="37"/>
      <c r="B404" s="38"/>
      <c r="C404" s="38"/>
      <c r="D404" s="38"/>
      <c r="E404" s="39"/>
      <c r="F404" s="38"/>
    </row>
    <row r="405" customFormat="false" ht="15" hidden="false" customHeight="false" outlineLevel="0" collapsed="false">
      <c r="A405" s="37"/>
      <c r="B405" s="38"/>
      <c r="C405" s="38"/>
      <c r="D405" s="38"/>
      <c r="E405" s="39"/>
      <c r="F405" s="38"/>
    </row>
    <row r="406" customFormat="false" ht="15" hidden="false" customHeight="false" outlineLevel="0" collapsed="false">
      <c r="A406" s="37"/>
      <c r="B406" s="38"/>
      <c r="C406" s="38"/>
      <c r="D406" s="38"/>
      <c r="E406" s="39"/>
      <c r="F406" s="38"/>
    </row>
    <row r="407" customFormat="false" ht="15" hidden="false" customHeight="false" outlineLevel="0" collapsed="false">
      <c r="A407" s="37"/>
      <c r="B407" s="38"/>
      <c r="C407" s="38"/>
      <c r="D407" s="38"/>
      <c r="E407" s="39"/>
      <c r="F407" s="38"/>
    </row>
    <row r="408" customFormat="false" ht="15" hidden="false" customHeight="false" outlineLevel="0" collapsed="false">
      <c r="A408" s="37"/>
      <c r="B408" s="38"/>
      <c r="C408" s="38"/>
      <c r="D408" s="38"/>
      <c r="E408" s="39"/>
      <c r="F408" s="38"/>
    </row>
    <row r="409" customFormat="false" ht="15" hidden="false" customHeight="false" outlineLevel="0" collapsed="false">
      <c r="A409" s="37"/>
      <c r="B409" s="38"/>
      <c r="C409" s="38"/>
      <c r="D409" s="38"/>
      <c r="E409" s="39"/>
      <c r="F409" s="38"/>
    </row>
    <row r="410" customFormat="false" ht="15" hidden="false" customHeight="false" outlineLevel="0" collapsed="false">
      <c r="A410" s="37"/>
      <c r="B410" s="38"/>
      <c r="C410" s="38"/>
      <c r="D410" s="38"/>
      <c r="E410" s="39"/>
      <c r="F410" s="38"/>
    </row>
    <row r="411" customFormat="false" ht="15" hidden="false" customHeight="false" outlineLevel="0" collapsed="false">
      <c r="A411" s="37"/>
      <c r="B411" s="38"/>
      <c r="C411" s="38"/>
      <c r="D411" s="38"/>
      <c r="E411" s="39"/>
      <c r="F411" s="38"/>
    </row>
    <row r="412" customFormat="false" ht="15" hidden="false" customHeight="false" outlineLevel="0" collapsed="false">
      <c r="A412" s="37"/>
      <c r="B412" s="38"/>
      <c r="C412" s="38"/>
      <c r="D412" s="38"/>
      <c r="E412" s="39"/>
      <c r="F412" s="38"/>
    </row>
    <row r="413" customFormat="false" ht="15" hidden="false" customHeight="false" outlineLevel="0" collapsed="false">
      <c r="A413" s="37"/>
      <c r="B413" s="38"/>
      <c r="C413" s="38"/>
      <c r="D413" s="38"/>
      <c r="E413" s="39"/>
      <c r="F413" s="38"/>
    </row>
    <row r="414" customFormat="false" ht="15" hidden="false" customHeight="false" outlineLevel="0" collapsed="false">
      <c r="A414" s="37"/>
      <c r="B414" s="38"/>
      <c r="C414" s="38"/>
      <c r="D414" s="38"/>
      <c r="E414" s="39"/>
      <c r="F414" s="38"/>
    </row>
    <row r="415" customFormat="false" ht="15" hidden="false" customHeight="false" outlineLevel="0" collapsed="false">
      <c r="A415" s="37"/>
      <c r="B415" s="38"/>
      <c r="C415" s="38"/>
      <c r="D415" s="38"/>
      <c r="E415" s="39"/>
      <c r="F415" s="38"/>
    </row>
    <row r="416" customFormat="false" ht="15" hidden="false" customHeight="false" outlineLevel="0" collapsed="false">
      <c r="A416" s="37"/>
      <c r="B416" s="38"/>
      <c r="C416" s="38"/>
      <c r="D416" s="38"/>
      <c r="E416" s="39"/>
      <c r="F416" s="38"/>
    </row>
    <row r="417" customFormat="false" ht="15" hidden="false" customHeight="false" outlineLevel="0" collapsed="false">
      <c r="A417" s="37"/>
      <c r="B417" s="38"/>
      <c r="C417" s="38"/>
      <c r="D417" s="38"/>
      <c r="E417" s="39"/>
      <c r="F417" s="38"/>
    </row>
    <row r="418" customFormat="false" ht="15" hidden="false" customHeight="false" outlineLevel="0" collapsed="false">
      <c r="A418" s="37"/>
      <c r="B418" s="38"/>
      <c r="C418" s="38"/>
      <c r="D418" s="38"/>
      <c r="E418" s="39"/>
      <c r="F418" s="38"/>
    </row>
    <row r="419" customFormat="false" ht="15" hidden="false" customHeight="false" outlineLevel="0" collapsed="false">
      <c r="A419" s="37"/>
      <c r="B419" s="38"/>
      <c r="C419" s="38"/>
      <c r="D419" s="38"/>
      <c r="E419" s="39"/>
      <c r="F419" s="38"/>
    </row>
    <row r="420" customFormat="false" ht="15" hidden="false" customHeight="false" outlineLevel="0" collapsed="false">
      <c r="A420" s="37"/>
      <c r="B420" s="38"/>
      <c r="C420" s="38"/>
      <c r="D420" s="38"/>
      <c r="E420" s="39"/>
      <c r="F420" s="38"/>
    </row>
    <row r="421" customFormat="false" ht="15" hidden="false" customHeight="false" outlineLevel="0" collapsed="false">
      <c r="A421" s="37"/>
      <c r="B421" s="38"/>
      <c r="C421" s="38"/>
      <c r="D421" s="38"/>
      <c r="E421" s="39"/>
      <c r="F421" s="38"/>
    </row>
    <row r="422" customFormat="false" ht="15" hidden="false" customHeight="false" outlineLevel="0" collapsed="false">
      <c r="A422" s="37"/>
      <c r="B422" s="38"/>
      <c r="C422" s="38"/>
      <c r="D422" s="38"/>
      <c r="E422" s="39"/>
      <c r="F422" s="38"/>
    </row>
    <row r="423" customFormat="false" ht="15" hidden="false" customHeight="false" outlineLevel="0" collapsed="false">
      <c r="A423" s="37"/>
      <c r="B423" s="38"/>
      <c r="C423" s="38"/>
      <c r="D423" s="38"/>
      <c r="E423" s="39"/>
      <c r="F423" s="38"/>
    </row>
    <row r="424" customFormat="false" ht="15" hidden="false" customHeight="false" outlineLevel="0" collapsed="false">
      <c r="A424" s="37"/>
      <c r="B424" s="38"/>
      <c r="C424" s="38"/>
      <c r="D424" s="38"/>
      <c r="E424" s="39"/>
      <c r="F424" s="38"/>
    </row>
    <row r="425" customFormat="false" ht="15" hidden="false" customHeight="false" outlineLevel="0" collapsed="false">
      <c r="A425" s="37"/>
      <c r="B425" s="38"/>
      <c r="C425" s="38"/>
      <c r="D425" s="38"/>
      <c r="E425" s="39"/>
      <c r="F425" s="38"/>
    </row>
    <row r="426" customFormat="false" ht="15" hidden="false" customHeight="false" outlineLevel="0" collapsed="false">
      <c r="A426" s="37"/>
      <c r="B426" s="38"/>
      <c r="C426" s="38"/>
      <c r="D426" s="38"/>
      <c r="E426" s="39"/>
      <c r="F426" s="38"/>
    </row>
    <row r="427" customFormat="false" ht="15" hidden="false" customHeight="false" outlineLevel="0" collapsed="false">
      <c r="A427" s="37"/>
      <c r="B427" s="38"/>
      <c r="C427" s="38"/>
      <c r="D427" s="38"/>
      <c r="E427" s="39"/>
      <c r="F427" s="38"/>
    </row>
    <row r="428" customFormat="false" ht="15" hidden="false" customHeight="false" outlineLevel="0" collapsed="false">
      <c r="A428" s="37"/>
      <c r="B428" s="38"/>
      <c r="C428" s="38"/>
      <c r="D428" s="38"/>
      <c r="E428" s="39"/>
      <c r="F428" s="38"/>
    </row>
    <row r="429" customFormat="false" ht="15" hidden="false" customHeight="false" outlineLevel="0" collapsed="false">
      <c r="A429" s="37"/>
      <c r="B429" s="38"/>
      <c r="C429" s="38"/>
      <c r="D429" s="38"/>
      <c r="E429" s="39"/>
      <c r="F429" s="38"/>
    </row>
    <row r="430" customFormat="false" ht="15" hidden="false" customHeight="false" outlineLevel="0" collapsed="false">
      <c r="A430" s="37"/>
      <c r="B430" s="38"/>
      <c r="C430" s="38"/>
      <c r="D430" s="38"/>
      <c r="E430" s="39"/>
      <c r="F430" s="38"/>
    </row>
    <row r="431" customFormat="false" ht="15" hidden="false" customHeight="false" outlineLevel="0" collapsed="false">
      <c r="A431" s="37"/>
      <c r="B431" s="38"/>
      <c r="C431" s="38"/>
      <c r="D431" s="38"/>
      <c r="E431" s="39"/>
      <c r="F431" s="38"/>
    </row>
    <row r="432" customFormat="false" ht="15" hidden="false" customHeight="false" outlineLevel="0" collapsed="false">
      <c r="A432" s="37"/>
      <c r="B432" s="38"/>
      <c r="C432" s="38"/>
      <c r="D432" s="38"/>
      <c r="E432" s="39"/>
      <c r="F432" s="38"/>
    </row>
    <row r="433" customFormat="false" ht="15" hidden="false" customHeight="false" outlineLevel="0" collapsed="false">
      <c r="A433" s="37"/>
      <c r="B433" s="38"/>
      <c r="C433" s="38"/>
      <c r="D433" s="38"/>
      <c r="E433" s="39"/>
      <c r="F433" s="38"/>
    </row>
    <row r="434" customFormat="false" ht="15" hidden="false" customHeight="false" outlineLevel="0" collapsed="false">
      <c r="A434" s="37"/>
      <c r="B434" s="38"/>
      <c r="C434" s="38"/>
      <c r="D434" s="38"/>
      <c r="E434" s="39"/>
      <c r="F434" s="38"/>
    </row>
    <row r="435" customFormat="false" ht="15" hidden="false" customHeight="false" outlineLevel="0" collapsed="false">
      <c r="A435" s="37"/>
      <c r="B435" s="38"/>
      <c r="C435" s="38"/>
      <c r="D435" s="38"/>
      <c r="E435" s="39"/>
      <c r="F435" s="38"/>
    </row>
    <row r="436" customFormat="false" ht="15" hidden="false" customHeight="false" outlineLevel="0" collapsed="false">
      <c r="A436" s="37"/>
      <c r="B436" s="38"/>
      <c r="C436" s="38"/>
      <c r="D436" s="38"/>
      <c r="E436" s="39"/>
      <c r="F436" s="38"/>
    </row>
    <row r="437" customFormat="false" ht="15" hidden="false" customHeight="false" outlineLevel="0" collapsed="false">
      <c r="A437" s="37"/>
      <c r="B437" s="38"/>
      <c r="C437" s="38"/>
      <c r="D437" s="38"/>
      <c r="E437" s="39"/>
      <c r="F437" s="38"/>
    </row>
    <row r="438" customFormat="false" ht="15" hidden="false" customHeight="false" outlineLevel="0" collapsed="false">
      <c r="A438" s="37"/>
      <c r="B438" s="38"/>
      <c r="C438" s="38"/>
      <c r="D438" s="38"/>
      <c r="E438" s="39"/>
      <c r="F438" s="38"/>
    </row>
    <row r="439" customFormat="false" ht="15" hidden="false" customHeight="false" outlineLevel="0" collapsed="false">
      <c r="A439" s="37"/>
      <c r="B439" s="38"/>
      <c r="C439" s="38"/>
      <c r="D439" s="38"/>
      <c r="E439" s="39"/>
      <c r="F439" s="38"/>
    </row>
    <row r="440" customFormat="false" ht="15" hidden="false" customHeight="false" outlineLevel="0" collapsed="false">
      <c r="A440" s="37"/>
      <c r="B440" s="38"/>
      <c r="C440" s="38"/>
      <c r="D440" s="38"/>
      <c r="E440" s="39"/>
      <c r="F440" s="38"/>
    </row>
    <row r="441" customFormat="false" ht="15" hidden="false" customHeight="false" outlineLevel="0" collapsed="false">
      <c r="A441" s="37"/>
      <c r="B441" s="38"/>
      <c r="C441" s="38"/>
      <c r="D441" s="38"/>
      <c r="E441" s="39"/>
      <c r="F441" s="38"/>
    </row>
    <row r="442" customFormat="false" ht="15" hidden="false" customHeight="false" outlineLevel="0" collapsed="false">
      <c r="A442" s="37"/>
      <c r="B442" s="38"/>
      <c r="C442" s="38"/>
      <c r="D442" s="38"/>
      <c r="E442" s="39"/>
      <c r="F442" s="38"/>
    </row>
    <row r="443" customFormat="false" ht="15" hidden="false" customHeight="false" outlineLevel="0" collapsed="false">
      <c r="A443" s="37"/>
      <c r="B443" s="38"/>
      <c r="C443" s="38"/>
      <c r="D443" s="38"/>
      <c r="E443" s="39"/>
      <c r="F443" s="38"/>
    </row>
    <row r="444" customFormat="false" ht="15" hidden="false" customHeight="false" outlineLevel="0" collapsed="false">
      <c r="A444" s="37"/>
      <c r="B444" s="38"/>
      <c r="C444" s="38"/>
      <c r="D444" s="38"/>
      <c r="E444" s="39"/>
      <c r="F444" s="38"/>
    </row>
    <row r="445" customFormat="false" ht="15" hidden="false" customHeight="false" outlineLevel="0" collapsed="false">
      <c r="A445" s="37"/>
      <c r="B445" s="38"/>
      <c r="C445" s="38"/>
      <c r="D445" s="38"/>
      <c r="E445" s="39"/>
      <c r="F445" s="38"/>
    </row>
    <row r="446" customFormat="false" ht="15" hidden="false" customHeight="false" outlineLevel="0" collapsed="false">
      <c r="A446" s="37"/>
      <c r="B446" s="38"/>
      <c r="C446" s="38"/>
      <c r="D446" s="38"/>
      <c r="E446" s="39"/>
      <c r="F446" s="38"/>
    </row>
    <row r="447" customFormat="false" ht="15" hidden="false" customHeight="false" outlineLevel="0" collapsed="false">
      <c r="A447" s="37"/>
      <c r="B447" s="38"/>
      <c r="C447" s="38"/>
      <c r="D447" s="38"/>
      <c r="E447" s="39"/>
      <c r="F447" s="38"/>
    </row>
    <row r="448" customFormat="false" ht="15" hidden="false" customHeight="false" outlineLevel="0" collapsed="false">
      <c r="A448" s="37"/>
      <c r="B448" s="38"/>
      <c r="C448" s="38"/>
      <c r="D448" s="38"/>
      <c r="E448" s="39"/>
      <c r="F448" s="38"/>
    </row>
    <row r="449" customFormat="false" ht="15" hidden="false" customHeight="false" outlineLevel="0" collapsed="false">
      <c r="A449" s="37"/>
      <c r="B449" s="38"/>
      <c r="C449" s="38"/>
      <c r="D449" s="38"/>
      <c r="E449" s="39"/>
      <c r="F449" s="38"/>
    </row>
    <row r="450" customFormat="false" ht="15" hidden="false" customHeight="false" outlineLevel="0" collapsed="false">
      <c r="A450" s="37"/>
      <c r="B450" s="38"/>
      <c r="C450" s="38"/>
      <c r="D450" s="38"/>
      <c r="E450" s="39"/>
      <c r="F450" s="38"/>
    </row>
    <row r="451" customFormat="false" ht="15" hidden="false" customHeight="false" outlineLevel="0" collapsed="false">
      <c r="A451" s="37"/>
      <c r="B451" s="38"/>
      <c r="C451" s="38"/>
      <c r="D451" s="38"/>
      <c r="E451" s="39"/>
      <c r="F451" s="38"/>
    </row>
    <row r="452" customFormat="false" ht="15" hidden="false" customHeight="false" outlineLevel="0" collapsed="false">
      <c r="A452" s="37"/>
      <c r="B452" s="38"/>
      <c r="C452" s="38"/>
      <c r="D452" s="38"/>
      <c r="E452" s="39"/>
      <c r="F452" s="38"/>
    </row>
    <row r="453" customFormat="false" ht="15" hidden="false" customHeight="false" outlineLevel="0" collapsed="false">
      <c r="A453" s="37"/>
      <c r="B453" s="38"/>
      <c r="C453" s="38"/>
      <c r="D453" s="38"/>
      <c r="E453" s="39"/>
      <c r="F453" s="38"/>
    </row>
    <row r="454" customFormat="false" ht="15" hidden="false" customHeight="false" outlineLevel="0" collapsed="false">
      <c r="A454" s="37"/>
      <c r="B454" s="38"/>
      <c r="C454" s="38"/>
      <c r="D454" s="38"/>
      <c r="E454" s="39"/>
      <c r="F454" s="38"/>
    </row>
    <row r="455" customFormat="false" ht="15" hidden="false" customHeight="false" outlineLevel="0" collapsed="false">
      <c r="A455" s="37"/>
      <c r="B455" s="38"/>
      <c r="C455" s="38"/>
      <c r="D455" s="38"/>
      <c r="E455" s="39"/>
      <c r="F455" s="38"/>
    </row>
    <row r="456" customFormat="false" ht="15" hidden="false" customHeight="false" outlineLevel="0" collapsed="false">
      <c r="A456" s="37"/>
      <c r="B456" s="38"/>
      <c r="C456" s="38"/>
      <c r="D456" s="38"/>
      <c r="E456" s="39"/>
      <c r="F456" s="38"/>
    </row>
    <row r="457" customFormat="false" ht="15" hidden="false" customHeight="false" outlineLevel="0" collapsed="false">
      <c r="A457" s="37"/>
      <c r="B457" s="38"/>
      <c r="C457" s="38"/>
      <c r="D457" s="38"/>
      <c r="E457" s="39"/>
      <c r="F457" s="38"/>
    </row>
    <row r="458" customFormat="false" ht="15" hidden="false" customHeight="false" outlineLevel="0" collapsed="false">
      <c r="A458" s="37"/>
      <c r="B458" s="38"/>
      <c r="C458" s="38"/>
      <c r="D458" s="38"/>
      <c r="E458" s="39"/>
      <c r="F458" s="38"/>
    </row>
    <row r="459" customFormat="false" ht="15" hidden="false" customHeight="false" outlineLevel="0" collapsed="false">
      <c r="A459" s="37"/>
      <c r="B459" s="38"/>
      <c r="C459" s="38"/>
      <c r="D459" s="38"/>
      <c r="E459" s="39"/>
      <c r="F459" s="38"/>
    </row>
    <row r="460" customFormat="false" ht="15" hidden="false" customHeight="false" outlineLevel="0" collapsed="false">
      <c r="A460" s="37"/>
      <c r="B460" s="38"/>
      <c r="C460" s="38"/>
      <c r="D460" s="38"/>
      <c r="E460" s="39"/>
      <c r="F460" s="38"/>
    </row>
    <row r="461" customFormat="false" ht="15" hidden="false" customHeight="false" outlineLevel="0" collapsed="false">
      <c r="A461" s="37"/>
      <c r="B461" s="38"/>
      <c r="C461" s="38"/>
      <c r="D461" s="38"/>
      <c r="E461" s="39"/>
      <c r="F461" s="38"/>
    </row>
    <row r="462" customFormat="false" ht="15" hidden="false" customHeight="false" outlineLevel="0" collapsed="false">
      <c r="A462" s="37"/>
      <c r="B462" s="38"/>
      <c r="C462" s="38"/>
      <c r="D462" s="38"/>
      <c r="E462" s="39"/>
      <c r="F462" s="38"/>
    </row>
    <row r="463" customFormat="false" ht="15" hidden="false" customHeight="false" outlineLevel="0" collapsed="false">
      <c r="A463" s="37"/>
      <c r="B463" s="38"/>
      <c r="C463" s="38"/>
      <c r="D463" s="38"/>
      <c r="E463" s="39"/>
      <c r="F463" s="38"/>
    </row>
    <row r="464" customFormat="false" ht="15" hidden="false" customHeight="false" outlineLevel="0" collapsed="false">
      <c r="A464" s="37"/>
      <c r="B464" s="38"/>
      <c r="C464" s="38"/>
      <c r="D464" s="38"/>
      <c r="E464" s="39"/>
      <c r="F464" s="38"/>
    </row>
    <row r="465" customFormat="false" ht="15" hidden="false" customHeight="false" outlineLevel="0" collapsed="false">
      <c r="A465" s="37"/>
      <c r="B465" s="38"/>
      <c r="C465" s="38"/>
      <c r="D465" s="38"/>
      <c r="E465" s="39"/>
      <c r="F465" s="38"/>
    </row>
    <row r="466" customFormat="false" ht="15" hidden="false" customHeight="false" outlineLevel="0" collapsed="false">
      <c r="A466" s="37"/>
      <c r="B466" s="38"/>
      <c r="C466" s="38"/>
      <c r="D466" s="38"/>
      <c r="E466" s="39"/>
      <c r="F466" s="38"/>
    </row>
    <row r="467" customFormat="false" ht="15" hidden="false" customHeight="false" outlineLevel="0" collapsed="false">
      <c r="A467" s="37"/>
      <c r="B467" s="38"/>
      <c r="C467" s="38"/>
      <c r="D467" s="38"/>
      <c r="E467" s="39"/>
      <c r="F467" s="38"/>
    </row>
    <row r="468" customFormat="false" ht="15" hidden="false" customHeight="false" outlineLevel="0" collapsed="false">
      <c r="A468" s="37"/>
      <c r="B468" s="38"/>
      <c r="C468" s="38"/>
      <c r="D468" s="38"/>
      <c r="E468" s="39"/>
      <c r="F468" s="38"/>
    </row>
    <row r="469" customFormat="false" ht="15" hidden="false" customHeight="false" outlineLevel="0" collapsed="false">
      <c r="A469" s="37"/>
      <c r="B469" s="38"/>
      <c r="C469" s="38"/>
      <c r="D469" s="38"/>
      <c r="E469" s="39"/>
      <c r="F469" s="38"/>
    </row>
    <row r="470" customFormat="false" ht="15" hidden="false" customHeight="false" outlineLevel="0" collapsed="false">
      <c r="A470" s="37"/>
      <c r="B470" s="38"/>
      <c r="C470" s="38"/>
      <c r="D470" s="38"/>
      <c r="E470" s="39"/>
      <c r="F470" s="38"/>
    </row>
    <row r="471" customFormat="false" ht="15" hidden="false" customHeight="false" outlineLevel="0" collapsed="false">
      <c r="A471" s="37"/>
      <c r="B471" s="38"/>
      <c r="C471" s="38"/>
      <c r="D471" s="38"/>
      <c r="E471" s="39"/>
      <c r="F471" s="38"/>
    </row>
    <row r="472" customFormat="false" ht="15" hidden="false" customHeight="false" outlineLevel="0" collapsed="false">
      <c r="A472" s="37"/>
      <c r="B472" s="38"/>
      <c r="C472" s="38"/>
      <c r="D472" s="38"/>
      <c r="E472" s="39"/>
      <c r="F472" s="38"/>
    </row>
    <row r="473" customFormat="false" ht="15" hidden="false" customHeight="false" outlineLevel="0" collapsed="false">
      <c r="A473" s="37"/>
      <c r="B473" s="38"/>
      <c r="C473" s="38"/>
      <c r="D473" s="38"/>
      <c r="E473" s="39"/>
      <c r="F473" s="38"/>
    </row>
    <row r="474" customFormat="false" ht="15" hidden="false" customHeight="false" outlineLevel="0" collapsed="false">
      <c r="A474" s="37"/>
      <c r="B474" s="38"/>
      <c r="C474" s="38"/>
      <c r="D474" s="38"/>
      <c r="E474" s="39"/>
      <c r="F474" s="38"/>
    </row>
    <row r="475" customFormat="false" ht="15" hidden="false" customHeight="false" outlineLevel="0" collapsed="false">
      <c r="A475" s="37"/>
      <c r="B475" s="38"/>
      <c r="C475" s="38"/>
      <c r="D475" s="38"/>
      <c r="E475" s="39"/>
      <c r="F475" s="38"/>
    </row>
    <row r="476" customFormat="false" ht="15" hidden="false" customHeight="false" outlineLevel="0" collapsed="false">
      <c r="A476" s="37"/>
      <c r="B476" s="38"/>
      <c r="C476" s="38"/>
      <c r="D476" s="38"/>
      <c r="E476" s="39"/>
      <c r="F476" s="38"/>
    </row>
    <row r="477" customFormat="false" ht="15" hidden="false" customHeight="false" outlineLevel="0" collapsed="false">
      <c r="A477" s="37"/>
      <c r="B477" s="38"/>
      <c r="C477" s="38"/>
      <c r="D477" s="38"/>
      <c r="E477" s="39"/>
      <c r="F477" s="38"/>
    </row>
    <row r="478" customFormat="false" ht="15" hidden="false" customHeight="false" outlineLevel="0" collapsed="false">
      <c r="A478" s="37"/>
      <c r="B478" s="38"/>
      <c r="C478" s="38"/>
      <c r="D478" s="38"/>
      <c r="E478" s="39"/>
      <c r="F478" s="38"/>
    </row>
    <row r="479" customFormat="false" ht="15" hidden="false" customHeight="false" outlineLevel="0" collapsed="false">
      <c r="A479" s="37"/>
      <c r="B479" s="38"/>
      <c r="C479" s="38"/>
      <c r="D479" s="38"/>
      <c r="E479" s="39"/>
      <c r="F479" s="38"/>
    </row>
    <row r="480" customFormat="false" ht="15" hidden="false" customHeight="false" outlineLevel="0" collapsed="false">
      <c r="A480" s="37"/>
      <c r="B480" s="38"/>
      <c r="C480" s="38"/>
      <c r="D480" s="38"/>
      <c r="E480" s="39"/>
      <c r="F480" s="38"/>
    </row>
    <row r="481" customFormat="false" ht="15" hidden="false" customHeight="false" outlineLevel="0" collapsed="false">
      <c r="A481" s="37"/>
      <c r="B481" s="38"/>
      <c r="C481" s="38"/>
      <c r="D481" s="38"/>
      <c r="E481" s="39"/>
      <c r="F481" s="38"/>
    </row>
    <row r="482" customFormat="false" ht="15" hidden="false" customHeight="false" outlineLevel="0" collapsed="false">
      <c r="A482" s="37"/>
      <c r="B482" s="38"/>
      <c r="C482" s="38"/>
      <c r="D482" s="38"/>
      <c r="E482" s="39"/>
      <c r="F482" s="38"/>
    </row>
    <row r="483" customFormat="false" ht="15" hidden="false" customHeight="false" outlineLevel="0" collapsed="false">
      <c r="A483" s="37"/>
      <c r="B483" s="38"/>
      <c r="C483" s="38"/>
      <c r="D483" s="38"/>
      <c r="E483" s="39"/>
      <c r="F483" s="38"/>
    </row>
    <row r="484" customFormat="false" ht="15" hidden="false" customHeight="false" outlineLevel="0" collapsed="false">
      <c r="A484" s="37"/>
      <c r="B484" s="38"/>
      <c r="C484" s="38"/>
      <c r="D484" s="38"/>
      <c r="E484" s="39"/>
      <c r="F484" s="38"/>
    </row>
    <row r="485" customFormat="false" ht="15" hidden="false" customHeight="false" outlineLevel="0" collapsed="false">
      <c r="A485" s="37"/>
      <c r="B485" s="38"/>
      <c r="C485" s="38"/>
      <c r="D485" s="38"/>
      <c r="E485" s="39"/>
      <c r="F485" s="38"/>
    </row>
    <row r="486" customFormat="false" ht="15" hidden="false" customHeight="false" outlineLevel="0" collapsed="false">
      <c r="A486" s="37"/>
      <c r="B486" s="38"/>
      <c r="C486" s="38"/>
      <c r="D486" s="38"/>
      <c r="E486" s="39"/>
      <c r="F486" s="38"/>
    </row>
    <row r="487" customFormat="false" ht="15" hidden="false" customHeight="false" outlineLevel="0" collapsed="false">
      <c r="A487" s="37"/>
      <c r="B487" s="38"/>
      <c r="C487" s="38"/>
      <c r="D487" s="38"/>
      <c r="E487" s="39"/>
      <c r="F487" s="38"/>
    </row>
    <row r="488" customFormat="false" ht="15" hidden="false" customHeight="false" outlineLevel="0" collapsed="false">
      <c r="A488" s="37"/>
      <c r="B488" s="38"/>
      <c r="C488" s="38"/>
      <c r="D488" s="38"/>
      <c r="E488" s="39"/>
      <c r="F488" s="38"/>
    </row>
    <row r="489" customFormat="false" ht="15" hidden="false" customHeight="false" outlineLevel="0" collapsed="false">
      <c r="A489" s="37"/>
      <c r="B489" s="38"/>
      <c r="C489" s="38"/>
      <c r="D489" s="38"/>
      <c r="E489" s="39"/>
      <c r="F489" s="38"/>
    </row>
    <row r="490" customFormat="false" ht="15" hidden="false" customHeight="false" outlineLevel="0" collapsed="false">
      <c r="A490" s="37"/>
      <c r="B490" s="38"/>
      <c r="C490" s="38"/>
      <c r="D490" s="38"/>
      <c r="E490" s="39"/>
      <c r="F490" s="38"/>
    </row>
    <row r="491" customFormat="false" ht="15" hidden="false" customHeight="false" outlineLevel="0" collapsed="false">
      <c r="A491" s="37"/>
      <c r="B491" s="38"/>
      <c r="C491" s="38"/>
      <c r="D491" s="38"/>
      <c r="E491" s="39"/>
      <c r="F491" s="38"/>
    </row>
    <row r="492" customFormat="false" ht="15" hidden="false" customHeight="false" outlineLevel="0" collapsed="false">
      <c r="A492" s="37"/>
      <c r="B492" s="38"/>
      <c r="C492" s="38"/>
      <c r="D492" s="38"/>
      <c r="E492" s="39"/>
      <c r="F492" s="38"/>
    </row>
    <row r="493" customFormat="false" ht="15" hidden="false" customHeight="false" outlineLevel="0" collapsed="false">
      <c r="A493" s="37"/>
      <c r="B493" s="38"/>
      <c r="C493" s="38"/>
      <c r="D493" s="38"/>
      <c r="E493" s="39"/>
      <c r="F493" s="38"/>
    </row>
    <row r="494" customFormat="false" ht="15" hidden="false" customHeight="false" outlineLevel="0" collapsed="false">
      <c r="A494" s="37"/>
      <c r="B494" s="38"/>
      <c r="C494" s="38"/>
      <c r="D494" s="38"/>
      <c r="E494" s="39"/>
      <c r="F494" s="38"/>
    </row>
    <row r="495" customFormat="false" ht="15" hidden="false" customHeight="false" outlineLevel="0" collapsed="false">
      <c r="A495" s="37"/>
      <c r="B495" s="38"/>
      <c r="C495" s="38"/>
      <c r="D495" s="38"/>
      <c r="E495" s="39"/>
      <c r="F495" s="38"/>
    </row>
    <row r="496" customFormat="false" ht="15" hidden="false" customHeight="false" outlineLevel="0" collapsed="false">
      <c r="A496" s="37"/>
      <c r="B496" s="38"/>
      <c r="C496" s="38"/>
      <c r="D496" s="38"/>
      <c r="E496" s="39"/>
      <c r="F496" s="38"/>
    </row>
    <row r="497" customFormat="false" ht="15" hidden="false" customHeight="false" outlineLevel="0" collapsed="false">
      <c r="A497" s="37"/>
      <c r="B497" s="38"/>
      <c r="C497" s="38"/>
      <c r="D497" s="38"/>
      <c r="E497" s="39"/>
      <c r="F497" s="38"/>
    </row>
    <row r="498" customFormat="false" ht="15" hidden="false" customHeight="false" outlineLevel="0" collapsed="false">
      <c r="A498" s="37"/>
      <c r="B498" s="38"/>
      <c r="C498" s="38"/>
      <c r="D498" s="38"/>
      <c r="E498" s="39"/>
      <c r="F498" s="38"/>
    </row>
    <row r="499" customFormat="false" ht="15" hidden="false" customHeight="false" outlineLevel="0" collapsed="false">
      <c r="A499" s="37"/>
      <c r="B499" s="38"/>
      <c r="C499" s="38"/>
      <c r="D499" s="38"/>
      <c r="E499" s="39"/>
      <c r="F499" s="38"/>
    </row>
    <row r="500" customFormat="false" ht="15" hidden="false" customHeight="false" outlineLevel="0" collapsed="false">
      <c r="A500" s="37"/>
      <c r="B500" s="38"/>
      <c r="C500" s="38"/>
      <c r="D500" s="38"/>
      <c r="E500" s="39"/>
      <c r="F500" s="38"/>
    </row>
    <row r="501" customFormat="false" ht="15" hidden="false" customHeight="false" outlineLevel="0" collapsed="false">
      <c r="A501" s="37"/>
      <c r="B501" s="38"/>
      <c r="C501" s="38"/>
      <c r="D501" s="38"/>
      <c r="E501" s="39"/>
      <c r="F501" s="38"/>
    </row>
    <row r="502" customFormat="false" ht="15" hidden="false" customHeight="false" outlineLevel="0" collapsed="false">
      <c r="A502" s="37"/>
      <c r="B502" s="38"/>
      <c r="C502" s="38"/>
      <c r="D502" s="38"/>
      <c r="E502" s="39"/>
      <c r="F502" s="38"/>
    </row>
  </sheetData>
  <mergeCells count="1">
    <mergeCell ref="A1:F1"/>
  </mergeCells>
  <dataValidations count="2">
    <dataValidation allowBlank="true" errorStyle="stop" operator="between" showDropDown="false" showErrorMessage="false" showInputMessage="false" sqref="C3:C502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(GBP),HDFC "</formula1>
      <formula2>0</formula2>
    </dataValidation>
    <dataValidation allowBlank="true" errorStyle="stop" operator="between" showDropDown="false" showErrorMessage="false" showInputMessage="false" sqref="D3:D502" type="list">
      <formula1>"Lloyds Bank (GBP),HSBC Bank (GBP),Barclays Bank (GBP),Halifax Bank (GBP),Klarna Pay (GBP),Capitol One Credit Card (GBP),HSBC Rewards Credit Card (GBP),Barclays Rewards Credit Card (GBP),Klarna Pay Later (GBP),Splitwise (GBP),Oyster Travel Card (GBP),HDFC 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6" min="5" style="0" width="16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40" t="s">
        <v>108</v>
      </c>
      <c r="B2" s="40" t="s">
        <v>109</v>
      </c>
      <c r="C2" s="40" t="s">
        <v>59</v>
      </c>
      <c r="D2" s="40" t="s">
        <v>62</v>
      </c>
      <c r="E2" s="40" t="s">
        <v>110</v>
      </c>
      <c r="F2" s="40" t="s">
        <v>111</v>
      </c>
      <c r="G2" s="40" t="s">
        <v>112</v>
      </c>
    </row>
    <row r="3" customFormat="false" ht="15" hidden="false" customHeight="false" outlineLevel="0" collapsed="false">
      <c r="A3" s="3" t="s">
        <v>66</v>
      </c>
      <c r="B3" s="5" t="s">
        <v>67</v>
      </c>
      <c r="C3" s="5" t="s">
        <v>11</v>
      </c>
      <c r="D3" s="27"/>
      <c r="E3" s="41" t="n">
        <f aca="false">SUMIFS(Income!C$3:C$502,Income!E$3:E$502,A3)+SUMIFS(Transfers!E$3:E$502,Transfers!C$3:C$502,A3)</f>
        <v>0</v>
      </c>
      <c r="F3" s="41" t="n">
        <f aca="false">SUMIFS(Expenses!D$3:D$1002,Expenses!F$3:F$1002,A3)+SUMIFS(Transfers!E$3:E$502,Transfers!D$3:D$502,A3)</f>
        <v>0</v>
      </c>
      <c r="G3" s="42" t="n">
        <f aca="false">D3+E3-F3</f>
        <v>0</v>
      </c>
    </row>
    <row r="4" customFormat="false" ht="15" hidden="false" customHeight="false" outlineLevel="0" collapsed="false">
      <c r="A4" s="29" t="s">
        <v>69</v>
      </c>
      <c r="B4" s="30" t="s">
        <v>67</v>
      </c>
      <c r="C4" s="30" t="s">
        <v>11</v>
      </c>
      <c r="D4" s="27"/>
      <c r="E4" s="43" t="n">
        <f aca="false">SUMIFS(Income!C$3:C$502,Income!E$3:E$502,A4)+SUMIFS(Transfers!E$3:E$502,Transfers!C$3:C$502,A4)</f>
        <v>0</v>
      </c>
      <c r="F4" s="43" t="n">
        <f aca="false">SUMIFS(Expenses!D$3:D$1002,Expenses!F$3:F$1002,A4)+SUMIFS(Transfers!E$3:E$502,Transfers!D$3:D$502,A4)</f>
        <v>0</v>
      </c>
      <c r="G4" s="44" t="n">
        <f aca="false">D4+E4-F4</f>
        <v>0</v>
      </c>
    </row>
    <row r="5" customFormat="false" ht="15" hidden="false" customHeight="false" outlineLevel="0" collapsed="false">
      <c r="A5" s="3" t="s">
        <v>70</v>
      </c>
      <c r="B5" s="5" t="s">
        <v>67</v>
      </c>
      <c r="C5" s="5" t="s">
        <v>11</v>
      </c>
      <c r="D5" s="27"/>
      <c r="E5" s="41" t="n">
        <f aca="false">SUMIFS(Income!C$3:C$502,Income!E$3:E$502,A5)+SUMIFS(Transfers!E$3:E$502,Transfers!C$3:C$502,A5)</f>
        <v>0</v>
      </c>
      <c r="F5" s="41" t="n">
        <f aca="false">SUMIFS(Expenses!D$3:D$1002,Expenses!F$3:F$1002,A5)+SUMIFS(Transfers!E$3:E$502,Transfers!D$3:D$502,A5)</f>
        <v>0</v>
      </c>
      <c r="G5" s="42" t="n">
        <f aca="false">D5+E5-F5</f>
        <v>0</v>
      </c>
    </row>
    <row r="6" customFormat="false" ht="15" hidden="false" customHeight="false" outlineLevel="0" collapsed="false">
      <c r="A6" s="29" t="s">
        <v>71</v>
      </c>
      <c r="B6" s="30" t="s">
        <v>67</v>
      </c>
      <c r="C6" s="30" t="s">
        <v>11</v>
      </c>
      <c r="D6" s="27"/>
      <c r="E6" s="43" t="n">
        <f aca="false">SUMIFS(Income!C$3:C$502,Income!E$3:E$502,A6)+SUMIFS(Transfers!E$3:E$502,Transfers!C$3:C$502,A6)</f>
        <v>0</v>
      </c>
      <c r="F6" s="43" t="n">
        <f aca="false">SUMIFS(Expenses!D$3:D$1002,Expenses!F$3:F$1002,A6)+SUMIFS(Transfers!E$3:E$502,Transfers!D$3:D$502,A6)</f>
        <v>0</v>
      </c>
      <c r="G6" s="44" t="n">
        <f aca="false">D6+E6-F6</f>
        <v>0</v>
      </c>
    </row>
    <row r="7" customFormat="false" ht="15" hidden="false" customHeight="false" outlineLevel="0" collapsed="false">
      <c r="A7" s="3" t="s">
        <v>72</v>
      </c>
      <c r="B7" s="5" t="s">
        <v>73</v>
      </c>
      <c r="C7" s="5" t="s">
        <v>11</v>
      </c>
      <c r="D7" s="27"/>
      <c r="E7" s="41" t="n">
        <f aca="false">SUMIFS(Income!C$3:C$502,Income!E$3:E$502,A7)+SUMIFS(Transfers!E$3:E$502,Transfers!C$3:C$502,A7)</f>
        <v>0</v>
      </c>
      <c r="F7" s="41" t="n">
        <f aca="false">SUMIFS(Expenses!D$3:D$1002,Expenses!F$3:F$1002,A7)+SUMIFS(Transfers!E$3:E$502,Transfers!D$3:D$502,A7)</f>
        <v>0</v>
      </c>
      <c r="G7" s="42" t="n">
        <f aca="false">D7-F7+E7</f>
        <v>0</v>
      </c>
    </row>
    <row r="8" customFormat="false" ht="15" hidden="false" customHeight="false" outlineLevel="0" collapsed="false">
      <c r="A8" s="29" t="s">
        <v>74</v>
      </c>
      <c r="B8" s="30" t="s">
        <v>75</v>
      </c>
      <c r="C8" s="30" t="s">
        <v>11</v>
      </c>
      <c r="D8" s="27"/>
      <c r="E8" s="43" t="n">
        <f aca="false">SUMIFS(Income!C$3:C$502,Income!E$3:E$502,A8)+SUMIFS(Transfers!E$3:E$502,Transfers!C$3:C$502,A8)</f>
        <v>0</v>
      </c>
      <c r="F8" s="43" t="n">
        <f aca="false">SUMIFS(Expenses!D$3:D$1002,Expenses!F$3:F$1002,A8)+SUMIFS(Transfers!E$3:E$502,Transfers!D$3:D$502,A8)</f>
        <v>0</v>
      </c>
      <c r="G8" s="44" t="n">
        <f aca="false">D8-F8+E8</f>
        <v>0</v>
      </c>
    </row>
    <row r="9" customFormat="false" ht="15" hidden="false" customHeight="false" outlineLevel="0" collapsed="false">
      <c r="A9" s="3" t="s">
        <v>76</v>
      </c>
      <c r="B9" s="5" t="s">
        <v>75</v>
      </c>
      <c r="C9" s="5" t="s">
        <v>11</v>
      </c>
      <c r="D9" s="27"/>
      <c r="E9" s="41" t="n">
        <f aca="false">SUMIFS(Income!C$3:C$502,Income!E$3:E$502,A9)+SUMIFS(Transfers!E$3:E$502,Transfers!C$3:C$502,A9)</f>
        <v>0</v>
      </c>
      <c r="F9" s="41" t="n">
        <f aca="false">SUMIFS(Expenses!D$3:D$1002,Expenses!F$3:F$1002,A9)+SUMIFS(Transfers!E$3:E$502,Transfers!D$3:D$502,A9)</f>
        <v>0</v>
      </c>
      <c r="G9" s="42" t="n">
        <f aca="false">D9-F9+E9</f>
        <v>0</v>
      </c>
    </row>
    <row r="10" customFormat="false" ht="15" hidden="false" customHeight="false" outlineLevel="0" collapsed="false">
      <c r="A10" s="29" t="s">
        <v>77</v>
      </c>
      <c r="B10" s="30" t="s">
        <v>75</v>
      </c>
      <c r="C10" s="30" t="s">
        <v>11</v>
      </c>
      <c r="D10" s="27"/>
      <c r="E10" s="43" t="n">
        <f aca="false">SUMIFS(Income!C$3:C$502,Income!E$3:E$502,A10)+SUMIFS(Transfers!E$3:E$502,Transfers!C$3:C$502,A10)</f>
        <v>0</v>
      </c>
      <c r="F10" s="43" t="n">
        <f aca="false">SUMIFS(Expenses!D$3:D$1002,Expenses!F$3:F$1002,A10)+SUMIFS(Transfers!E$3:E$502,Transfers!D$3:D$502,A10)</f>
        <v>0</v>
      </c>
      <c r="G10" s="44" t="n">
        <f aca="false">D10-F10+E10</f>
        <v>0</v>
      </c>
    </row>
    <row r="11" customFormat="false" ht="15" hidden="false" customHeight="false" outlineLevel="0" collapsed="false">
      <c r="A11" s="3" t="s">
        <v>78</v>
      </c>
      <c r="B11" s="5" t="s">
        <v>75</v>
      </c>
      <c r="C11" s="5" t="s">
        <v>11</v>
      </c>
      <c r="D11" s="27"/>
      <c r="E11" s="41" t="n">
        <f aca="false">SUMIFS(Income!C$3:C$502,Income!E$3:E$502,A11)+SUMIFS(Transfers!E$3:E$502,Transfers!C$3:C$502,A11)</f>
        <v>0</v>
      </c>
      <c r="F11" s="41" t="n">
        <f aca="false">SUMIFS(Expenses!D$3:D$1002,Expenses!F$3:F$1002,A11)+SUMIFS(Transfers!E$3:E$502,Transfers!D$3:D$502,A11)</f>
        <v>0</v>
      </c>
      <c r="G11" s="42" t="n">
        <f aca="false">D11-F11+E11</f>
        <v>0</v>
      </c>
    </row>
    <row r="12" customFormat="false" ht="15" hidden="false" customHeight="false" outlineLevel="0" collapsed="false">
      <c r="A12" s="29" t="s">
        <v>79</v>
      </c>
      <c r="B12" s="30" t="s">
        <v>80</v>
      </c>
      <c r="C12" s="30" t="s">
        <v>11</v>
      </c>
      <c r="D12" s="27"/>
      <c r="E12" s="43" t="n">
        <f aca="false">SUMPRODUCT((Expenses!G$3:G$1002="Yes")*(Expenses!D$3:D$1002-Expenses!H$3:H$1002))+SUMIFS(Transfers!E$3:E$502,Transfers!C$3:C$502,A12)</f>
        <v>0</v>
      </c>
      <c r="F12" s="43" t="n">
        <f aca="false">SUMIFS(Expenses!D$3:D$1002,Expenses!F$3:F$1002,A12)+SUMIFS(Transfers!E$3:E$502,Transfers!D$3:D$502,A12)</f>
        <v>0</v>
      </c>
      <c r="G12" s="44" t="n">
        <f aca="false">D12+E12-F12</f>
        <v>0</v>
      </c>
    </row>
    <row r="13" customFormat="false" ht="15" hidden="false" customHeight="false" outlineLevel="0" collapsed="false">
      <c r="A13" s="3" t="s">
        <v>81</v>
      </c>
      <c r="B13" s="5" t="s">
        <v>82</v>
      </c>
      <c r="C13" s="5" t="s">
        <v>11</v>
      </c>
      <c r="D13" s="27"/>
      <c r="E13" s="41" t="n">
        <f aca="false">SUMIFS(Income!C$3:C$502,Income!E$3:E$502,A13)+SUMIFS(Transfers!E$3:E$502,Transfers!C$3:C$502,A13)</f>
        <v>0</v>
      </c>
      <c r="F13" s="41" t="n">
        <f aca="false">SUMIFS(Expenses!D$3:D$1002,Expenses!F$3:F$1002,A13)+SUMIFS(Transfers!E$3:E$502,Transfers!D$3:D$502,A13)</f>
        <v>0</v>
      </c>
      <c r="G13" s="42" t="n">
        <f aca="false">D13+E13-F13</f>
        <v>0</v>
      </c>
    </row>
    <row r="14" customFormat="false" ht="15" hidden="false" customHeight="false" outlineLevel="0" collapsed="false">
      <c r="A14" s="29" t="s">
        <v>83</v>
      </c>
      <c r="B14" s="30" t="s">
        <v>67</v>
      </c>
      <c r="C14" s="30" t="s">
        <v>84</v>
      </c>
      <c r="D14" s="27"/>
      <c r="E14" s="43" t="n">
        <f aca="false">SUMIFS(Income!C$3:C$502,Income!E$3:E$502,A14)+SUMIFS(Transfers!E$3:E$502,Transfers!C$3:C$502,A14)</f>
        <v>0</v>
      </c>
      <c r="F14" s="43" t="n">
        <f aca="false">SUMIFS(Expenses!D$3:D$1002,Expenses!F$3:F$1002,A14)+SUMIFS(Transfers!E$3:E$502,Transfers!D$3:D$502,A14)</f>
        <v>0</v>
      </c>
      <c r="G14" s="44" t="n">
        <f aca="false">D14+E14-F14</f>
        <v>0</v>
      </c>
    </row>
    <row r="15" customFormat="false" ht="15" hidden="false" customHeight="false" outlineLevel="0" collapsed="false">
      <c r="A15" s="3" t="s">
        <v>85</v>
      </c>
      <c r="B15" s="5" t="s">
        <v>75</v>
      </c>
      <c r="C15" s="5" t="s">
        <v>84</v>
      </c>
      <c r="D15" s="27"/>
      <c r="E15" s="41" t="n">
        <f aca="false">SUMIFS(Income!C$3:C$502,Income!E$3:E$502,A15)+SUMIFS(Transfers!E$3:E$502,Transfers!C$3:C$502,A15)</f>
        <v>0</v>
      </c>
      <c r="F15" s="41" t="n">
        <f aca="false">SUMIFS(Expenses!D$3:D$1002,Expenses!F$3:F$1002,A15)+SUMIFS(Transfers!E$3:E$502,Transfers!D$3:D$502,A15)</f>
        <v>0</v>
      </c>
      <c r="G15" s="42" t="n">
        <f aca="false">D15-F15+E15</f>
        <v>0</v>
      </c>
    </row>
    <row r="16" customFormat="false" ht="15" hidden="false" customHeight="false" outlineLevel="0" collapsed="false">
      <c r="A16" s="29" t="s">
        <v>86</v>
      </c>
      <c r="B16" s="30" t="s">
        <v>75</v>
      </c>
      <c r="C16" s="30" t="s">
        <v>84</v>
      </c>
      <c r="D16" s="27"/>
      <c r="E16" s="43" t="n">
        <f aca="false">SUMIFS(Income!C$3:C$502,Income!E$3:E$502,A16)+SUMIFS(Transfers!E$3:E$502,Transfers!C$3:C$502,A16)</f>
        <v>0</v>
      </c>
      <c r="F16" s="43" t="n">
        <f aca="false">SUMIFS(Expenses!D$3:D$1002,Expenses!F$3:F$1002,A16)+SUMIFS(Transfers!E$3:E$502,Transfers!D$3:D$502,A16)</f>
        <v>0</v>
      </c>
      <c r="G16" s="44" t="n">
        <f aca="false">D16-F16+E16</f>
        <v>0</v>
      </c>
    </row>
    <row r="17" customFormat="false" ht="15" hidden="false" customHeight="false" outlineLevel="0" collapsed="false">
      <c r="A17" s="3" t="s">
        <v>87</v>
      </c>
      <c r="B17" s="5" t="s">
        <v>75</v>
      </c>
      <c r="C17" s="5" t="s">
        <v>84</v>
      </c>
      <c r="D17" s="27"/>
      <c r="E17" s="41" t="n">
        <f aca="false">SUMIFS(Income!C$3:C$502,Income!E$3:E$502,A17)+SUMIFS(Transfers!E$3:E$502,Transfers!C$3:C$502,A17)</f>
        <v>0</v>
      </c>
      <c r="F17" s="41" t="n">
        <f aca="false">SUMIFS(Expenses!D$3:D$1002,Expenses!F$3:F$1002,A17)+SUMIFS(Transfers!E$3:E$502,Transfers!D$3:D$502,A17)</f>
        <v>0</v>
      </c>
      <c r="G17" s="42" t="n">
        <f aca="false">D17-F17+E17</f>
        <v>0</v>
      </c>
    </row>
    <row r="20" customFormat="false" ht="17.35" hidden="false" customHeight="false" outlineLevel="0" collapsed="false">
      <c r="A20" s="1" t="s">
        <v>113</v>
      </c>
      <c r="B20" s="1"/>
      <c r="C20" s="1"/>
      <c r="D20" s="1"/>
      <c r="E20" s="1"/>
      <c r="F20" s="1"/>
      <c r="G20" s="1"/>
    </row>
    <row r="21" customFormat="false" ht="15" hidden="false" customHeight="false" outlineLevel="0" collapsed="false">
      <c r="A21" s="3" t="s">
        <v>114</v>
      </c>
      <c r="B21" s="41" t="n">
        <f aca="false">SUMPRODUCT((C3:C17="GBP")*(B3:B17="Bank Account")*G3:G17)+SUMPRODUCT((C3:C17="GBP")*(B3:B17="Travel Card")*G3:G17)+SUMPRODUCT((C3:C17="GBP")*(B3:B17="Expense Sharing")*G3:G17)</f>
        <v>0</v>
      </c>
    </row>
    <row r="22" customFormat="false" ht="15" hidden="false" customHeight="false" outlineLevel="0" collapsed="false">
      <c r="A22" s="3" t="s">
        <v>115</v>
      </c>
      <c r="B22" s="41" t="n">
        <f aca="false">SUMIFS(F3:F17,C3:C17,"GBP",B3:B17,"Credit Card")+SUMIFS(F3:F17,C3:C17,"GBP",B3:B17,"Pay Later")-SUMIFS(E3:E17,C3:C17,"GBP",B3:B17,"Credit Card")-SUMIFS(E3:E17,C3:C17,"GBP",B3:B17,"Pay Later")</f>
        <v>0</v>
      </c>
    </row>
    <row r="23" customFormat="false" ht="15" hidden="false" customHeight="false" outlineLevel="0" collapsed="false">
      <c r="A23" s="3" t="s">
        <v>116</v>
      </c>
      <c r="B23" s="41" t="n">
        <f aca="false">SUMPRODUCT((C3:C17="INR")*(B3:B17="Bank Account")*G3:G17)</f>
        <v>0</v>
      </c>
    </row>
    <row r="24" customFormat="false" ht="15" hidden="false" customHeight="false" outlineLevel="0" collapsed="false">
      <c r="A24" s="3" t="s">
        <v>117</v>
      </c>
      <c r="B24" s="41" t="n">
        <f aca="false">SUMIFS(F3:F17,C3:C17,"INR",B3:B17,"Credit Card")-SUMIFS(E3:E17,C3:C17,"INR",B3:B17,"Credit Card")</f>
        <v>0</v>
      </c>
    </row>
    <row r="25" customFormat="false" ht="15" hidden="false" customHeight="false" outlineLevel="0" collapsed="false">
      <c r="A25" s="3" t="s">
        <v>118</v>
      </c>
      <c r="B25" s="41" t="n">
        <f aca="false">Settings!B4</f>
        <v>107</v>
      </c>
    </row>
    <row r="26" customFormat="false" ht="15" hidden="false" customHeight="false" outlineLevel="0" collapsed="false">
      <c r="A26" s="3" t="s">
        <v>119</v>
      </c>
      <c r="B26" s="45" t="n">
        <f aca="false">B21-B22+(B23-B24)/B25</f>
        <v>0</v>
      </c>
    </row>
  </sheetData>
  <mergeCells count="2">
    <mergeCell ref="A1:G1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5" min="2" style="0" width="14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6"/>
  </cols>
  <sheetData>
    <row r="1" customFormat="false" ht="17.35" hidden="false" customHeight="fals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6.85" hidden="false" customHeight="false" outlineLevel="0" collapsed="false">
      <c r="A2" s="46" t="s">
        <v>121</v>
      </c>
      <c r="B2" s="46" t="s">
        <v>42</v>
      </c>
      <c r="C2" s="46" t="s">
        <v>43</v>
      </c>
      <c r="D2" s="46" t="s">
        <v>44</v>
      </c>
      <c r="E2" s="46" t="s">
        <v>45</v>
      </c>
      <c r="F2" s="46" t="s">
        <v>46</v>
      </c>
      <c r="G2" s="46" t="s">
        <v>47</v>
      </c>
      <c r="H2" s="46" t="s">
        <v>48</v>
      </c>
      <c r="I2" s="46" t="s">
        <v>49</v>
      </c>
      <c r="J2" s="46" t="s">
        <v>50</v>
      </c>
      <c r="K2" s="46" t="s">
        <v>51</v>
      </c>
      <c r="L2" s="46" t="s">
        <v>52</v>
      </c>
      <c r="M2" s="46" t="s">
        <v>53</v>
      </c>
      <c r="N2" s="46" t="s">
        <v>54</v>
      </c>
      <c r="O2" s="46" t="s">
        <v>55</v>
      </c>
      <c r="P2" s="46" t="s">
        <v>122</v>
      </c>
      <c r="Q2" s="46" t="s">
        <v>123</v>
      </c>
      <c r="R2" s="46" t="s">
        <v>124</v>
      </c>
    </row>
    <row r="3" customFormat="false" ht="15" hidden="false" customHeight="false" outlineLevel="0" collapsed="false">
      <c r="A3" s="3" t="s">
        <v>125</v>
      </c>
      <c r="B3" s="24" t="n">
        <f aca="false">SUMPRODUCT((Expenses!C$3:C$1002="Rent")*(Expenses!E$3:E$1002="GBP")*(MONTH(Expenses!A$3:A$1002)=1)*(YEAR(Expenses!A$3:A$1002)=2026)*(Expenses!A$3:A$1002&lt;&gt;"")*(IF(Expenses!G$3:G$1002="Yes",Expenses!H$3:H$1002,Expenses!D$3:D$1002)))</f>
        <v>0</v>
      </c>
      <c r="C3" s="24" t="n">
        <f aca="false">SUMPRODUCT((Expenses!C$3:C$1002="Transport")*(Expenses!E$3:E$1002="GBP")*(MONTH(Expenses!A$3:A$1002)=1)*(YEAR(Expenses!A$3:A$1002)=2026)*(Expenses!A$3:A$1002&lt;&gt;"")*(IF(Expenses!G$3:G$1002="Yes",Expenses!H$3:H$1002,Expenses!D$3:D$1002)))</f>
        <v>0</v>
      </c>
      <c r="D3" s="24" t="n">
        <f aca="false">SUMPRODUCT((Expenses!C$3:C$1002="Travel")*(Expenses!E$3:E$1002="GBP")*(MONTH(Expenses!A$3:A$1002)=1)*(YEAR(Expenses!A$3:A$1002)=2026)*(Expenses!A$3:A$1002&lt;&gt;"")*(IF(Expenses!G$3:G$1002="Yes",Expenses!H$3:H$1002,Expenses!D$3:D$1002)))</f>
        <v>0</v>
      </c>
      <c r="E3" s="24" t="n">
        <f aca="false">SUMPRODUCT((Expenses!C$3:C$1002="Shopping")*(Expenses!E$3:E$1002="GBP")*(MONTH(Expenses!A$3:A$1002)=1)*(YEAR(Expenses!A$3:A$1002)=2026)*(Expenses!A$3:A$1002&lt;&gt;"")*(IF(Expenses!G$3:G$1002="Yes",Expenses!H$3:H$1002,Expenses!D$3:D$1002)))</f>
        <v>0</v>
      </c>
      <c r="F3" s="24" t="n">
        <f aca="false">SUMPRODUCT((Expenses!C$3:C$1002="Electronics")*(Expenses!E$3:E$1002="GBP")*(MONTH(Expenses!A$3:A$1002)=1)*(YEAR(Expenses!A$3:A$1002)=2026)*(Expenses!A$3:A$1002&lt;&gt;"")*(IF(Expenses!G$3:G$1002="Yes",Expenses!H$3:H$1002,Expenses!D$3:D$1002)))</f>
        <v>0</v>
      </c>
      <c r="G3" s="24" t="n">
        <f aca="false">SUMPRODUCT((Expenses!C$3:C$1002="Subscriptions")*(Expenses!E$3:E$1002="GBP")*(MONTH(Expenses!A$3:A$1002)=1)*(YEAR(Expenses!A$3:A$1002)=2026)*(Expenses!A$3:A$1002&lt;&gt;"")*(IF(Expenses!G$3:G$1002="Yes",Expenses!H$3:H$1002,Expenses!D$3:D$1002)))</f>
        <v>0</v>
      </c>
      <c r="H3" s="24" t="n">
        <f aca="false">SUMPRODUCT((Expenses!C$3:C$1002="Bills")*(Expenses!E$3:E$1002="GBP")*(MONTH(Expenses!A$3:A$1002)=1)*(YEAR(Expenses!A$3:A$1002)=2026)*(Expenses!A$3:A$1002&lt;&gt;"")*(IF(Expenses!G$3:G$1002="Yes",Expenses!H$3:H$1002,Expenses!D$3:D$1002)))</f>
        <v>0</v>
      </c>
      <c r="I3" s="24" t="n">
        <f aca="false">SUMPRODUCT((Expenses!C$3:C$1002="Entertainment")*(Expenses!E$3:E$1002="GBP")*(MONTH(Expenses!A$3:A$1002)=1)*(YEAR(Expenses!A$3:A$1002)=2026)*(Expenses!A$3:A$1002&lt;&gt;"")*(IF(Expenses!G$3:G$1002="Yes",Expenses!H$3:H$1002,Expenses!D$3:D$1002)))</f>
        <v>0</v>
      </c>
      <c r="J3" s="24" t="n">
        <f aca="false">SUMPRODUCT((Expenses!C$3:C$1002="Food and Drinks")*(Expenses!E$3:E$1002="GBP")*(MONTH(Expenses!A$3:A$1002)=1)*(YEAR(Expenses!A$3:A$1002)=2026)*(Expenses!A$3:A$1002&lt;&gt;"")*(IF(Expenses!G$3:G$1002="Yes",Expenses!H$3:H$1002,Expenses!D$3:D$1002)))</f>
        <v>0</v>
      </c>
      <c r="K3" s="24" t="n">
        <f aca="false">SUMPRODUCT((Expenses!C$3:C$1002="Groceries")*(Expenses!E$3:E$1002="GBP")*(MONTH(Expenses!A$3:A$1002)=1)*(YEAR(Expenses!A$3:A$1002)=2026)*(Expenses!A$3:A$1002&lt;&gt;"")*(IF(Expenses!G$3:G$1002="Yes",Expenses!H$3:H$1002,Expenses!D$3:D$1002)))</f>
        <v>0</v>
      </c>
      <c r="L3" s="24" t="n">
        <f aca="false">SUMPRODUCT((Expenses!C$3:C$1002="Others")*(Expenses!E$3:E$1002="GBP")*(MONTH(Expenses!A$3:A$1002)=1)*(YEAR(Expenses!A$3:A$1002)=2026)*(Expenses!A$3:A$1002&lt;&gt;"")*(IF(Expenses!G$3:G$1002="Yes",Expenses!H$3:H$1002,Expenses!D$3:D$1002)))</f>
        <v>0</v>
      </c>
      <c r="M3" s="24" t="n">
        <f aca="false">SUMPRODUCT((Expenses!C$3:C$1002="Gifts")*(Expenses!E$3:E$1002="GBP")*(MONTH(Expenses!A$3:A$1002)=1)*(YEAR(Expenses!A$3:A$1002)=2026)*(Expenses!A$3:A$1002&lt;&gt;"")*(IF(Expenses!G$3:G$1002="Yes",Expenses!H$3:H$1002,Expenses!D$3:D$1002)))</f>
        <v>0</v>
      </c>
      <c r="N3" s="24" t="n">
        <f aca="false">SUMPRODUCT((Expenses!C$3:C$1002="Donations")*(Expenses!E$3:E$1002="GBP")*(MONTH(Expenses!A$3:A$1002)=1)*(YEAR(Expenses!A$3:A$1002)=2026)*(Expenses!A$3:A$1002&lt;&gt;"")*(IF(Expenses!G$3:G$1002="Yes",Expenses!H$3:H$1002,Expenses!D$3:D$1002)))</f>
        <v>0</v>
      </c>
      <c r="O3" s="24" t="n">
        <f aca="false">SUMPRODUCT((Expenses!C$3:C$1002="Investments")*(Expenses!E$3:E$1002="GBP")*(MONTH(Expenses!A$3:A$1002)=1)*(YEAR(Expenses!A$3:A$1002)=2026)*(Expenses!A$3:A$1002&lt;&gt;"")*(IF(Expenses!G$3:G$1002="Yes",Expenses!H$3:H$1002,Expenses!D$3:D$1002)))</f>
        <v>0</v>
      </c>
      <c r="P3" s="45" t="n">
        <f aca="false">SUM(B3:O3)</f>
        <v>0</v>
      </c>
      <c r="Q3" s="24" t="n">
        <f aca="false">SUMPRODUCT((Income!D$3:D$502="GBP")*(MONTH(Income!A$3:A$502)=1)*(YEAR(Income!A$3:A$502)=2026)*(Income!A$3:A$502&lt;&gt;"")*Income!C$3:C$502)</f>
        <v>0</v>
      </c>
      <c r="R3" s="45" t="n">
        <f aca="false">Q3-P3</f>
        <v>0</v>
      </c>
    </row>
    <row r="4" customFormat="false" ht="15" hidden="false" customHeight="false" outlineLevel="0" collapsed="false">
      <c r="A4" s="3" t="s">
        <v>126</v>
      </c>
      <c r="B4" s="24" t="n">
        <f aca="false">SUMPRODUCT((Expenses!C$3:C$1002="Rent")*(Expenses!E$3:E$1002="GBP")*(MONTH(Expenses!A$3:A$1002)=2)*(YEAR(Expenses!A$3:A$1002)=2026)*(Expenses!A$3:A$1002&lt;&gt;"")*(IF(Expenses!G$3:G$1002="Yes",Expenses!H$3:H$1002,Expenses!D$3:D$1002)))</f>
        <v>0</v>
      </c>
      <c r="C4" s="24" t="n">
        <f aca="false">SUMPRODUCT((Expenses!C$3:C$1002="Transport")*(Expenses!E$3:E$1002="GBP")*(MONTH(Expenses!A$3:A$1002)=2)*(YEAR(Expenses!A$3:A$1002)=2026)*(Expenses!A$3:A$1002&lt;&gt;"")*(IF(Expenses!G$3:G$1002="Yes",Expenses!H$3:H$1002,Expenses!D$3:D$1002)))</f>
        <v>0</v>
      </c>
      <c r="D4" s="24" t="n">
        <f aca="false">SUMPRODUCT((Expenses!C$3:C$1002="Travel")*(Expenses!E$3:E$1002="GBP")*(MONTH(Expenses!A$3:A$1002)=2)*(YEAR(Expenses!A$3:A$1002)=2026)*(Expenses!A$3:A$1002&lt;&gt;"")*(IF(Expenses!G$3:G$1002="Yes",Expenses!H$3:H$1002,Expenses!D$3:D$1002)))</f>
        <v>0</v>
      </c>
      <c r="E4" s="24" t="n">
        <f aca="false">SUMPRODUCT((Expenses!C$3:C$1002="Shopping")*(Expenses!E$3:E$1002="GBP")*(MONTH(Expenses!A$3:A$1002)=2)*(YEAR(Expenses!A$3:A$1002)=2026)*(Expenses!A$3:A$1002&lt;&gt;"")*(IF(Expenses!G$3:G$1002="Yes",Expenses!H$3:H$1002,Expenses!D$3:D$1002)))</f>
        <v>0</v>
      </c>
      <c r="F4" s="24" t="n">
        <f aca="false">SUMPRODUCT((Expenses!C$3:C$1002="Electronics")*(Expenses!E$3:E$1002="GBP")*(MONTH(Expenses!A$3:A$1002)=2)*(YEAR(Expenses!A$3:A$1002)=2026)*(Expenses!A$3:A$1002&lt;&gt;"")*(IF(Expenses!G$3:G$1002="Yes",Expenses!H$3:H$1002,Expenses!D$3:D$1002)))</f>
        <v>0</v>
      </c>
      <c r="G4" s="24" t="n">
        <f aca="false">SUMPRODUCT((Expenses!C$3:C$1002="Subscriptions")*(Expenses!E$3:E$1002="GBP")*(MONTH(Expenses!A$3:A$1002)=2)*(YEAR(Expenses!A$3:A$1002)=2026)*(Expenses!A$3:A$1002&lt;&gt;"")*(IF(Expenses!G$3:G$1002="Yes",Expenses!H$3:H$1002,Expenses!D$3:D$1002)))</f>
        <v>0</v>
      </c>
      <c r="H4" s="24" t="n">
        <f aca="false">SUMPRODUCT((Expenses!C$3:C$1002="Bills")*(Expenses!E$3:E$1002="GBP")*(MONTH(Expenses!A$3:A$1002)=2)*(YEAR(Expenses!A$3:A$1002)=2026)*(Expenses!A$3:A$1002&lt;&gt;"")*(IF(Expenses!G$3:G$1002="Yes",Expenses!H$3:H$1002,Expenses!D$3:D$1002)))</f>
        <v>0</v>
      </c>
      <c r="I4" s="24" t="n">
        <f aca="false">SUMPRODUCT((Expenses!C$3:C$1002="Entertainment")*(Expenses!E$3:E$1002="GBP")*(MONTH(Expenses!A$3:A$1002)=2)*(YEAR(Expenses!A$3:A$1002)=2026)*(Expenses!A$3:A$1002&lt;&gt;"")*(IF(Expenses!G$3:G$1002="Yes",Expenses!H$3:H$1002,Expenses!D$3:D$1002)))</f>
        <v>0</v>
      </c>
      <c r="J4" s="24" t="n">
        <f aca="false">SUMPRODUCT((Expenses!C$3:C$1002="Food and Drinks")*(Expenses!E$3:E$1002="GBP")*(MONTH(Expenses!A$3:A$1002)=2)*(YEAR(Expenses!A$3:A$1002)=2026)*(Expenses!A$3:A$1002&lt;&gt;"")*(IF(Expenses!G$3:G$1002="Yes",Expenses!H$3:H$1002,Expenses!D$3:D$1002)))</f>
        <v>0</v>
      </c>
      <c r="K4" s="24" t="n">
        <f aca="false">SUMPRODUCT((Expenses!C$3:C$1002="Groceries")*(Expenses!E$3:E$1002="GBP")*(MONTH(Expenses!A$3:A$1002)=2)*(YEAR(Expenses!A$3:A$1002)=2026)*(Expenses!A$3:A$1002&lt;&gt;"")*(IF(Expenses!G$3:G$1002="Yes",Expenses!H$3:H$1002,Expenses!D$3:D$1002)))</f>
        <v>0</v>
      </c>
      <c r="L4" s="24" t="n">
        <f aca="false">SUMPRODUCT((Expenses!C$3:C$1002="Others")*(Expenses!E$3:E$1002="GBP")*(MONTH(Expenses!A$3:A$1002)=2)*(YEAR(Expenses!A$3:A$1002)=2026)*(Expenses!A$3:A$1002&lt;&gt;"")*(IF(Expenses!G$3:G$1002="Yes",Expenses!H$3:H$1002,Expenses!D$3:D$1002)))</f>
        <v>0</v>
      </c>
      <c r="M4" s="24" t="n">
        <f aca="false">SUMPRODUCT((Expenses!C$3:C$1002="Gifts")*(Expenses!E$3:E$1002="GBP")*(MONTH(Expenses!A$3:A$1002)=2)*(YEAR(Expenses!A$3:A$1002)=2026)*(Expenses!A$3:A$1002&lt;&gt;"")*(IF(Expenses!G$3:G$1002="Yes",Expenses!H$3:H$1002,Expenses!D$3:D$1002)))</f>
        <v>0</v>
      </c>
      <c r="N4" s="24" t="n">
        <f aca="false">SUMPRODUCT((Expenses!C$3:C$1002="Donations")*(Expenses!E$3:E$1002="GBP")*(MONTH(Expenses!A$3:A$1002)=2)*(YEAR(Expenses!A$3:A$1002)=2026)*(Expenses!A$3:A$1002&lt;&gt;"")*(IF(Expenses!G$3:G$1002="Yes",Expenses!H$3:H$1002,Expenses!D$3:D$1002)))</f>
        <v>0</v>
      </c>
      <c r="O4" s="24" t="n">
        <f aca="false">SUMPRODUCT((Expenses!C$3:C$1002="Investments")*(Expenses!E$3:E$1002="GBP")*(MONTH(Expenses!A$3:A$1002)=2)*(YEAR(Expenses!A$3:A$1002)=2026)*(Expenses!A$3:A$1002&lt;&gt;"")*(IF(Expenses!G$3:G$1002="Yes",Expenses!H$3:H$1002,Expenses!D$3:D$1002)))</f>
        <v>0</v>
      </c>
      <c r="P4" s="45" t="n">
        <f aca="false">SUM(B4:O4)</f>
        <v>0</v>
      </c>
      <c r="Q4" s="24" t="n">
        <f aca="false">SUMPRODUCT((Income!D$3:D$502="GBP")*(MONTH(Income!A$3:A$502)=2)*(YEAR(Income!A$3:A$502)=2026)*(Income!A$3:A$502&lt;&gt;"")*Income!C$3:C$502)</f>
        <v>0</v>
      </c>
      <c r="R4" s="45" t="n">
        <f aca="false">Q4-P4</f>
        <v>0</v>
      </c>
    </row>
    <row r="5" customFormat="false" ht="15" hidden="false" customHeight="false" outlineLevel="0" collapsed="false">
      <c r="A5" s="3" t="s">
        <v>127</v>
      </c>
      <c r="B5" s="24" t="n">
        <f aca="false">SUMPRODUCT((Expenses!C$3:C$1002="Rent")*(Expenses!E$3:E$1002="GBP")*(MONTH(Expenses!A$3:A$1002)=3)*(YEAR(Expenses!A$3:A$1002)=2026)*(Expenses!A$3:A$1002&lt;&gt;"")*(IF(Expenses!G$3:G$1002="Yes",Expenses!H$3:H$1002,Expenses!D$3:D$1002)))</f>
        <v>0</v>
      </c>
      <c r="C5" s="24" t="n">
        <f aca="false">SUMPRODUCT((Expenses!C$3:C$1002="Transport")*(Expenses!E$3:E$1002="GBP")*(MONTH(Expenses!A$3:A$1002)=3)*(YEAR(Expenses!A$3:A$1002)=2026)*(Expenses!A$3:A$1002&lt;&gt;"")*(IF(Expenses!G$3:G$1002="Yes",Expenses!H$3:H$1002,Expenses!D$3:D$1002)))</f>
        <v>0</v>
      </c>
      <c r="D5" s="24" t="n">
        <f aca="false">SUMPRODUCT((Expenses!C$3:C$1002="Travel")*(Expenses!E$3:E$1002="GBP")*(MONTH(Expenses!A$3:A$1002)=3)*(YEAR(Expenses!A$3:A$1002)=2026)*(Expenses!A$3:A$1002&lt;&gt;"")*(IF(Expenses!G$3:G$1002="Yes",Expenses!H$3:H$1002,Expenses!D$3:D$1002)))</f>
        <v>0</v>
      </c>
      <c r="E5" s="24" t="n">
        <f aca="false">SUMPRODUCT((Expenses!C$3:C$1002="Shopping")*(Expenses!E$3:E$1002="GBP")*(MONTH(Expenses!A$3:A$1002)=3)*(YEAR(Expenses!A$3:A$1002)=2026)*(Expenses!A$3:A$1002&lt;&gt;"")*(IF(Expenses!G$3:G$1002="Yes",Expenses!H$3:H$1002,Expenses!D$3:D$1002)))</f>
        <v>0</v>
      </c>
      <c r="F5" s="24" t="n">
        <f aca="false">SUMPRODUCT((Expenses!C$3:C$1002="Electronics")*(Expenses!E$3:E$1002="GBP")*(MONTH(Expenses!A$3:A$1002)=3)*(YEAR(Expenses!A$3:A$1002)=2026)*(Expenses!A$3:A$1002&lt;&gt;"")*(IF(Expenses!G$3:G$1002="Yes",Expenses!H$3:H$1002,Expenses!D$3:D$1002)))</f>
        <v>0</v>
      </c>
      <c r="G5" s="24" t="n">
        <f aca="false">SUMPRODUCT((Expenses!C$3:C$1002="Subscriptions")*(Expenses!E$3:E$1002="GBP")*(MONTH(Expenses!A$3:A$1002)=3)*(YEAR(Expenses!A$3:A$1002)=2026)*(Expenses!A$3:A$1002&lt;&gt;"")*(IF(Expenses!G$3:G$1002="Yes",Expenses!H$3:H$1002,Expenses!D$3:D$1002)))</f>
        <v>0</v>
      </c>
      <c r="H5" s="24" t="n">
        <f aca="false">SUMPRODUCT((Expenses!C$3:C$1002="Bills")*(Expenses!E$3:E$1002="GBP")*(MONTH(Expenses!A$3:A$1002)=3)*(YEAR(Expenses!A$3:A$1002)=2026)*(Expenses!A$3:A$1002&lt;&gt;"")*(IF(Expenses!G$3:G$1002="Yes",Expenses!H$3:H$1002,Expenses!D$3:D$1002)))</f>
        <v>0</v>
      </c>
      <c r="I5" s="24" t="n">
        <f aca="false">SUMPRODUCT((Expenses!C$3:C$1002="Entertainment")*(Expenses!E$3:E$1002="GBP")*(MONTH(Expenses!A$3:A$1002)=3)*(YEAR(Expenses!A$3:A$1002)=2026)*(Expenses!A$3:A$1002&lt;&gt;"")*(IF(Expenses!G$3:G$1002="Yes",Expenses!H$3:H$1002,Expenses!D$3:D$1002)))</f>
        <v>0</v>
      </c>
      <c r="J5" s="24" t="n">
        <f aca="false">SUMPRODUCT((Expenses!C$3:C$1002="Food and Drinks")*(Expenses!E$3:E$1002="GBP")*(MONTH(Expenses!A$3:A$1002)=3)*(YEAR(Expenses!A$3:A$1002)=2026)*(Expenses!A$3:A$1002&lt;&gt;"")*(IF(Expenses!G$3:G$1002="Yes",Expenses!H$3:H$1002,Expenses!D$3:D$1002)))</f>
        <v>0</v>
      </c>
      <c r="K5" s="24" t="n">
        <f aca="false">SUMPRODUCT((Expenses!C$3:C$1002="Groceries")*(Expenses!E$3:E$1002="GBP")*(MONTH(Expenses!A$3:A$1002)=3)*(YEAR(Expenses!A$3:A$1002)=2026)*(Expenses!A$3:A$1002&lt;&gt;"")*(IF(Expenses!G$3:G$1002="Yes",Expenses!H$3:H$1002,Expenses!D$3:D$1002)))</f>
        <v>0</v>
      </c>
      <c r="L5" s="24" t="n">
        <f aca="false">SUMPRODUCT((Expenses!C$3:C$1002="Others")*(Expenses!E$3:E$1002="GBP")*(MONTH(Expenses!A$3:A$1002)=3)*(YEAR(Expenses!A$3:A$1002)=2026)*(Expenses!A$3:A$1002&lt;&gt;"")*(IF(Expenses!G$3:G$1002="Yes",Expenses!H$3:H$1002,Expenses!D$3:D$1002)))</f>
        <v>0</v>
      </c>
      <c r="M5" s="24" t="n">
        <f aca="false">SUMPRODUCT((Expenses!C$3:C$1002="Gifts")*(Expenses!E$3:E$1002="GBP")*(MONTH(Expenses!A$3:A$1002)=3)*(YEAR(Expenses!A$3:A$1002)=2026)*(Expenses!A$3:A$1002&lt;&gt;"")*(IF(Expenses!G$3:G$1002="Yes",Expenses!H$3:H$1002,Expenses!D$3:D$1002)))</f>
        <v>0</v>
      </c>
      <c r="N5" s="24" t="n">
        <f aca="false">SUMPRODUCT((Expenses!C$3:C$1002="Donations")*(Expenses!E$3:E$1002="GBP")*(MONTH(Expenses!A$3:A$1002)=3)*(YEAR(Expenses!A$3:A$1002)=2026)*(Expenses!A$3:A$1002&lt;&gt;"")*(IF(Expenses!G$3:G$1002="Yes",Expenses!H$3:H$1002,Expenses!D$3:D$1002)))</f>
        <v>0</v>
      </c>
      <c r="O5" s="24" t="n">
        <f aca="false">SUMPRODUCT((Expenses!C$3:C$1002="Investments")*(Expenses!E$3:E$1002="GBP")*(MONTH(Expenses!A$3:A$1002)=3)*(YEAR(Expenses!A$3:A$1002)=2026)*(Expenses!A$3:A$1002&lt;&gt;"")*(IF(Expenses!G$3:G$1002="Yes",Expenses!H$3:H$1002,Expenses!D$3:D$1002)))</f>
        <v>0</v>
      </c>
      <c r="P5" s="45" t="n">
        <f aca="false">SUM(B5:O5)</f>
        <v>0</v>
      </c>
      <c r="Q5" s="24" t="n">
        <f aca="false">SUMPRODUCT((Income!D$3:D$502="GBP")*(MONTH(Income!A$3:A$502)=3)*(YEAR(Income!A$3:A$502)=2026)*(Income!A$3:A$502&lt;&gt;"")*Income!C$3:C$502)</f>
        <v>0</v>
      </c>
      <c r="R5" s="45" t="n">
        <f aca="false">Q5-P5</f>
        <v>0</v>
      </c>
    </row>
    <row r="6" customFormat="false" ht="15" hidden="false" customHeight="false" outlineLevel="0" collapsed="false">
      <c r="A6" s="3" t="s">
        <v>128</v>
      </c>
      <c r="B6" s="24" t="n">
        <f aca="false">SUMPRODUCT((Expenses!C$3:C$1002="Rent")*(Expenses!E$3:E$1002="GBP")*(MONTH(Expenses!A$3:A$1002)=4)*(YEAR(Expenses!A$3:A$1002)=2026)*(Expenses!A$3:A$1002&lt;&gt;"")*(IF(Expenses!G$3:G$1002="Yes",Expenses!H$3:H$1002,Expenses!D$3:D$1002)))</f>
        <v>0</v>
      </c>
      <c r="C6" s="24" t="n">
        <f aca="false">SUMPRODUCT((Expenses!C$3:C$1002="Transport")*(Expenses!E$3:E$1002="GBP")*(MONTH(Expenses!A$3:A$1002)=4)*(YEAR(Expenses!A$3:A$1002)=2026)*(Expenses!A$3:A$1002&lt;&gt;"")*(IF(Expenses!G$3:G$1002="Yes",Expenses!H$3:H$1002,Expenses!D$3:D$1002)))</f>
        <v>0</v>
      </c>
      <c r="D6" s="24" t="n">
        <f aca="false">SUMPRODUCT((Expenses!C$3:C$1002="Travel")*(Expenses!E$3:E$1002="GBP")*(MONTH(Expenses!A$3:A$1002)=4)*(YEAR(Expenses!A$3:A$1002)=2026)*(Expenses!A$3:A$1002&lt;&gt;"")*(IF(Expenses!G$3:G$1002="Yes",Expenses!H$3:H$1002,Expenses!D$3:D$1002)))</f>
        <v>0</v>
      </c>
      <c r="E6" s="24" t="n">
        <f aca="false">SUMPRODUCT((Expenses!C$3:C$1002="Shopping")*(Expenses!E$3:E$1002="GBP")*(MONTH(Expenses!A$3:A$1002)=4)*(YEAR(Expenses!A$3:A$1002)=2026)*(Expenses!A$3:A$1002&lt;&gt;"")*(IF(Expenses!G$3:G$1002="Yes",Expenses!H$3:H$1002,Expenses!D$3:D$1002)))</f>
        <v>0</v>
      </c>
      <c r="F6" s="24" t="n">
        <f aca="false">SUMPRODUCT((Expenses!C$3:C$1002="Electronics")*(Expenses!E$3:E$1002="GBP")*(MONTH(Expenses!A$3:A$1002)=4)*(YEAR(Expenses!A$3:A$1002)=2026)*(Expenses!A$3:A$1002&lt;&gt;"")*(IF(Expenses!G$3:G$1002="Yes",Expenses!H$3:H$1002,Expenses!D$3:D$1002)))</f>
        <v>0</v>
      </c>
      <c r="G6" s="24" t="n">
        <f aca="false">SUMPRODUCT((Expenses!C$3:C$1002="Subscriptions")*(Expenses!E$3:E$1002="GBP")*(MONTH(Expenses!A$3:A$1002)=4)*(YEAR(Expenses!A$3:A$1002)=2026)*(Expenses!A$3:A$1002&lt;&gt;"")*(IF(Expenses!G$3:G$1002="Yes",Expenses!H$3:H$1002,Expenses!D$3:D$1002)))</f>
        <v>0</v>
      </c>
      <c r="H6" s="24" t="n">
        <f aca="false">SUMPRODUCT((Expenses!C$3:C$1002="Bills")*(Expenses!E$3:E$1002="GBP")*(MONTH(Expenses!A$3:A$1002)=4)*(YEAR(Expenses!A$3:A$1002)=2026)*(Expenses!A$3:A$1002&lt;&gt;"")*(IF(Expenses!G$3:G$1002="Yes",Expenses!H$3:H$1002,Expenses!D$3:D$1002)))</f>
        <v>0</v>
      </c>
      <c r="I6" s="24" t="n">
        <f aca="false">SUMPRODUCT((Expenses!C$3:C$1002="Entertainment")*(Expenses!E$3:E$1002="GBP")*(MONTH(Expenses!A$3:A$1002)=4)*(YEAR(Expenses!A$3:A$1002)=2026)*(Expenses!A$3:A$1002&lt;&gt;"")*(IF(Expenses!G$3:G$1002="Yes",Expenses!H$3:H$1002,Expenses!D$3:D$1002)))</f>
        <v>0</v>
      </c>
      <c r="J6" s="24" t="n">
        <f aca="false">SUMPRODUCT((Expenses!C$3:C$1002="Food and Drinks")*(Expenses!E$3:E$1002="GBP")*(MONTH(Expenses!A$3:A$1002)=4)*(YEAR(Expenses!A$3:A$1002)=2026)*(Expenses!A$3:A$1002&lt;&gt;"")*(IF(Expenses!G$3:G$1002="Yes",Expenses!H$3:H$1002,Expenses!D$3:D$1002)))</f>
        <v>0</v>
      </c>
      <c r="K6" s="24" t="n">
        <f aca="false">SUMPRODUCT((Expenses!C$3:C$1002="Groceries")*(Expenses!E$3:E$1002="GBP")*(MONTH(Expenses!A$3:A$1002)=4)*(YEAR(Expenses!A$3:A$1002)=2026)*(Expenses!A$3:A$1002&lt;&gt;"")*(IF(Expenses!G$3:G$1002="Yes",Expenses!H$3:H$1002,Expenses!D$3:D$1002)))</f>
        <v>0</v>
      </c>
      <c r="L6" s="24" t="n">
        <f aca="false">SUMPRODUCT((Expenses!C$3:C$1002="Others")*(Expenses!E$3:E$1002="GBP")*(MONTH(Expenses!A$3:A$1002)=4)*(YEAR(Expenses!A$3:A$1002)=2026)*(Expenses!A$3:A$1002&lt;&gt;"")*(IF(Expenses!G$3:G$1002="Yes",Expenses!H$3:H$1002,Expenses!D$3:D$1002)))</f>
        <v>0</v>
      </c>
      <c r="M6" s="24" t="n">
        <f aca="false">SUMPRODUCT((Expenses!C$3:C$1002="Gifts")*(Expenses!E$3:E$1002="GBP")*(MONTH(Expenses!A$3:A$1002)=4)*(YEAR(Expenses!A$3:A$1002)=2026)*(Expenses!A$3:A$1002&lt;&gt;"")*(IF(Expenses!G$3:G$1002="Yes",Expenses!H$3:H$1002,Expenses!D$3:D$1002)))</f>
        <v>0</v>
      </c>
      <c r="N6" s="24" t="n">
        <f aca="false">SUMPRODUCT((Expenses!C$3:C$1002="Donations")*(Expenses!E$3:E$1002="GBP")*(MONTH(Expenses!A$3:A$1002)=4)*(YEAR(Expenses!A$3:A$1002)=2026)*(Expenses!A$3:A$1002&lt;&gt;"")*(IF(Expenses!G$3:G$1002="Yes",Expenses!H$3:H$1002,Expenses!D$3:D$1002)))</f>
        <v>0</v>
      </c>
      <c r="O6" s="24" t="n">
        <f aca="false">SUMPRODUCT((Expenses!C$3:C$1002="Investments")*(Expenses!E$3:E$1002="GBP")*(MONTH(Expenses!A$3:A$1002)=4)*(YEAR(Expenses!A$3:A$1002)=2026)*(Expenses!A$3:A$1002&lt;&gt;"")*(IF(Expenses!G$3:G$1002="Yes",Expenses!H$3:H$1002,Expenses!D$3:D$1002)))</f>
        <v>0</v>
      </c>
      <c r="P6" s="45" t="n">
        <f aca="false">SUM(B6:O6)</f>
        <v>0</v>
      </c>
      <c r="Q6" s="24" t="n">
        <f aca="false">SUMPRODUCT((Income!D$3:D$502="GBP")*(MONTH(Income!A$3:A$502)=4)*(YEAR(Income!A$3:A$502)=2026)*(Income!A$3:A$502&lt;&gt;"")*Income!C$3:C$502)</f>
        <v>0</v>
      </c>
      <c r="R6" s="45" t="n">
        <f aca="false">Q6-P6</f>
        <v>0</v>
      </c>
    </row>
    <row r="7" customFormat="false" ht="15" hidden="false" customHeight="false" outlineLevel="0" collapsed="false">
      <c r="A7" s="3" t="s">
        <v>129</v>
      </c>
      <c r="B7" s="24" t="n">
        <f aca="false">SUMPRODUCT((Expenses!C$3:C$1002="Rent")*(Expenses!E$3:E$1002="GBP")*(MONTH(Expenses!A$3:A$1002)=5)*(YEAR(Expenses!A$3:A$1002)=2026)*(Expenses!A$3:A$1002&lt;&gt;"")*(IF(Expenses!G$3:G$1002="Yes",Expenses!H$3:H$1002,Expenses!D$3:D$1002)))</f>
        <v>0</v>
      </c>
      <c r="C7" s="24" t="n">
        <f aca="false">SUMPRODUCT((Expenses!C$3:C$1002="Transport")*(Expenses!E$3:E$1002="GBP")*(MONTH(Expenses!A$3:A$1002)=5)*(YEAR(Expenses!A$3:A$1002)=2026)*(Expenses!A$3:A$1002&lt;&gt;"")*(IF(Expenses!G$3:G$1002="Yes",Expenses!H$3:H$1002,Expenses!D$3:D$1002)))</f>
        <v>0</v>
      </c>
      <c r="D7" s="24" t="n">
        <f aca="false">SUMPRODUCT((Expenses!C$3:C$1002="Travel")*(Expenses!E$3:E$1002="GBP")*(MONTH(Expenses!A$3:A$1002)=5)*(YEAR(Expenses!A$3:A$1002)=2026)*(Expenses!A$3:A$1002&lt;&gt;"")*(IF(Expenses!G$3:G$1002="Yes",Expenses!H$3:H$1002,Expenses!D$3:D$1002)))</f>
        <v>0</v>
      </c>
      <c r="E7" s="24" t="n">
        <f aca="false">SUMPRODUCT((Expenses!C$3:C$1002="Shopping")*(Expenses!E$3:E$1002="GBP")*(MONTH(Expenses!A$3:A$1002)=5)*(YEAR(Expenses!A$3:A$1002)=2026)*(Expenses!A$3:A$1002&lt;&gt;"")*(IF(Expenses!G$3:G$1002="Yes",Expenses!H$3:H$1002,Expenses!D$3:D$1002)))</f>
        <v>0</v>
      </c>
      <c r="F7" s="24" t="n">
        <f aca="false">SUMPRODUCT((Expenses!C$3:C$1002="Electronics")*(Expenses!E$3:E$1002="GBP")*(MONTH(Expenses!A$3:A$1002)=5)*(YEAR(Expenses!A$3:A$1002)=2026)*(Expenses!A$3:A$1002&lt;&gt;"")*(IF(Expenses!G$3:G$1002="Yes",Expenses!H$3:H$1002,Expenses!D$3:D$1002)))</f>
        <v>0</v>
      </c>
      <c r="G7" s="24" t="n">
        <f aca="false">SUMPRODUCT((Expenses!C$3:C$1002="Subscriptions")*(Expenses!E$3:E$1002="GBP")*(MONTH(Expenses!A$3:A$1002)=5)*(YEAR(Expenses!A$3:A$1002)=2026)*(Expenses!A$3:A$1002&lt;&gt;"")*(IF(Expenses!G$3:G$1002="Yes",Expenses!H$3:H$1002,Expenses!D$3:D$1002)))</f>
        <v>0</v>
      </c>
      <c r="H7" s="24" t="n">
        <f aca="false">SUMPRODUCT((Expenses!C$3:C$1002="Bills")*(Expenses!E$3:E$1002="GBP")*(MONTH(Expenses!A$3:A$1002)=5)*(YEAR(Expenses!A$3:A$1002)=2026)*(Expenses!A$3:A$1002&lt;&gt;"")*(IF(Expenses!G$3:G$1002="Yes",Expenses!H$3:H$1002,Expenses!D$3:D$1002)))</f>
        <v>0</v>
      </c>
      <c r="I7" s="24" t="n">
        <f aca="false">SUMPRODUCT((Expenses!C$3:C$1002="Entertainment")*(Expenses!E$3:E$1002="GBP")*(MONTH(Expenses!A$3:A$1002)=5)*(YEAR(Expenses!A$3:A$1002)=2026)*(Expenses!A$3:A$1002&lt;&gt;"")*(IF(Expenses!G$3:G$1002="Yes",Expenses!H$3:H$1002,Expenses!D$3:D$1002)))</f>
        <v>0</v>
      </c>
      <c r="J7" s="24" t="n">
        <f aca="false">SUMPRODUCT((Expenses!C$3:C$1002="Food and Drinks")*(Expenses!E$3:E$1002="GBP")*(MONTH(Expenses!A$3:A$1002)=5)*(YEAR(Expenses!A$3:A$1002)=2026)*(Expenses!A$3:A$1002&lt;&gt;"")*(IF(Expenses!G$3:G$1002="Yes",Expenses!H$3:H$1002,Expenses!D$3:D$1002)))</f>
        <v>0</v>
      </c>
      <c r="K7" s="24" t="n">
        <f aca="false">SUMPRODUCT((Expenses!C$3:C$1002="Groceries")*(Expenses!E$3:E$1002="GBP")*(MONTH(Expenses!A$3:A$1002)=5)*(YEAR(Expenses!A$3:A$1002)=2026)*(Expenses!A$3:A$1002&lt;&gt;"")*(IF(Expenses!G$3:G$1002="Yes",Expenses!H$3:H$1002,Expenses!D$3:D$1002)))</f>
        <v>0</v>
      </c>
      <c r="L7" s="24" t="n">
        <f aca="false">SUMPRODUCT((Expenses!C$3:C$1002="Others")*(Expenses!E$3:E$1002="GBP")*(MONTH(Expenses!A$3:A$1002)=5)*(YEAR(Expenses!A$3:A$1002)=2026)*(Expenses!A$3:A$1002&lt;&gt;"")*(IF(Expenses!G$3:G$1002="Yes",Expenses!H$3:H$1002,Expenses!D$3:D$1002)))</f>
        <v>0</v>
      </c>
      <c r="M7" s="24" t="n">
        <f aca="false">SUMPRODUCT((Expenses!C$3:C$1002="Gifts")*(Expenses!E$3:E$1002="GBP")*(MONTH(Expenses!A$3:A$1002)=5)*(YEAR(Expenses!A$3:A$1002)=2026)*(Expenses!A$3:A$1002&lt;&gt;"")*(IF(Expenses!G$3:G$1002="Yes",Expenses!H$3:H$1002,Expenses!D$3:D$1002)))</f>
        <v>0</v>
      </c>
      <c r="N7" s="24" t="n">
        <f aca="false">SUMPRODUCT((Expenses!C$3:C$1002="Donations")*(Expenses!E$3:E$1002="GBP")*(MONTH(Expenses!A$3:A$1002)=5)*(YEAR(Expenses!A$3:A$1002)=2026)*(Expenses!A$3:A$1002&lt;&gt;"")*(IF(Expenses!G$3:G$1002="Yes",Expenses!H$3:H$1002,Expenses!D$3:D$1002)))</f>
        <v>0</v>
      </c>
      <c r="O7" s="24" t="n">
        <f aca="false">SUMPRODUCT((Expenses!C$3:C$1002="Investments")*(Expenses!E$3:E$1002="GBP")*(MONTH(Expenses!A$3:A$1002)=5)*(YEAR(Expenses!A$3:A$1002)=2026)*(Expenses!A$3:A$1002&lt;&gt;"")*(IF(Expenses!G$3:G$1002="Yes",Expenses!H$3:H$1002,Expenses!D$3:D$1002)))</f>
        <v>0</v>
      </c>
      <c r="P7" s="45" t="n">
        <f aca="false">SUM(B7:O7)</f>
        <v>0</v>
      </c>
      <c r="Q7" s="24" t="n">
        <f aca="false">SUMPRODUCT((Income!D$3:D$502="GBP")*(MONTH(Income!A$3:A$502)=5)*(YEAR(Income!A$3:A$502)=2026)*(Income!A$3:A$502&lt;&gt;"")*Income!C$3:C$502)</f>
        <v>0</v>
      </c>
      <c r="R7" s="45" t="n">
        <f aca="false">Q7-P7</f>
        <v>0</v>
      </c>
    </row>
    <row r="8" customFormat="false" ht="15" hidden="false" customHeight="false" outlineLevel="0" collapsed="false">
      <c r="A8" s="3" t="s">
        <v>130</v>
      </c>
      <c r="B8" s="24" t="n">
        <f aca="false">SUMPRODUCT((Expenses!C$3:C$1002="Rent")*(Expenses!E$3:E$1002="GBP")*(MONTH(Expenses!A$3:A$1002)=6)*(YEAR(Expenses!A$3:A$1002)=2026)*(Expenses!A$3:A$1002&lt;&gt;"")*(IF(Expenses!G$3:G$1002="Yes",Expenses!H$3:H$1002,Expenses!D$3:D$1002)))</f>
        <v>0</v>
      </c>
      <c r="C8" s="24" t="n">
        <f aca="false">SUMPRODUCT((Expenses!C$3:C$1002="Transport")*(Expenses!E$3:E$1002="GBP")*(MONTH(Expenses!A$3:A$1002)=6)*(YEAR(Expenses!A$3:A$1002)=2026)*(Expenses!A$3:A$1002&lt;&gt;"")*(IF(Expenses!G$3:G$1002="Yes",Expenses!H$3:H$1002,Expenses!D$3:D$1002)))</f>
        <v>0</v>
      </c>
      <c r="D8" s="24" t="n">
        <f aca="false">SUMPRODUCT((Expenses!C$3:C$1002="Travel")*(Expenses!E$3:E$1002="GBP")*(MONTH(Expenses!A$3:A$1002)=6)*(YEAR(Expenses!A$3:A$1002)=2026)*(Expenses!A$3:A$1002&lt;&gt;"")*(IF(Expenses!G$3:G$1002="Yes",Expenses!H$3:H$1002,Expenses!D$3:D$1002)))</f>
        <v>0</v>
      </c>
      <c r="E8" s="24" t="n">
        <f aca="false">SUMPRODUCT((Expenses!C$3:C$1002="Shopping")*(Expenses!E$3:E$1002="GBP")*(MONTH(Expenses!A$3:A$1002)=6)*(YEAR(Expenses!A$3:A$1002)=2026)*(Expenses!A$3:A$1002&lt;&gt;"")*(IF(Expenses!G$3:G$1002="Yes",Expenses!H$3:H$1002,Expenses!D$3:D$1002)))</f>
        <v>0</v>
      </c>
      <c r="F8" s="24" t="n">
        <f aca="false">SUMPRODUCT((Expenses!C$3:C$1002="Electronics")*(Expenses!E$3:E$1002="GBP")*(MONTH(Expenses!A$3:A$1002)=6)*(YEAR(Expenses!A$3:A$1002)=2026)*(Expenses!A$3:A$1002&lt;&gt;"")*(IF(Expenses!G$3:G$1002="Yes",Expenses!H$3:H$1002,Expenses!D$3:D$1002)))</f>
        <v>0</v>
      </c>
      <c r="G8" s="24" t="n">
        <f aca="false">SUMPRODUCT((Expenses!C$3:C$1002="Subscriptions")*(Expenses!E$3:E$1002="GBP")*(MONTH(Expenses!A$3:A$1002)=6)*(YEAR(Expenses!A$3:A$1002)=2026)*(Expenses!A$3:A$1002&lt;&gt;"")*(IF(Expenses!G$3:G$1002="Yes",Expenses!H$3:H$1002,Expenses!D$3:D$1002)))</f>
        <v>0</v>
      </c>
      <c r="H8" s="24" t="n">
        <f aca="false">SUMPRODUCT((Expenses!C$3:C$1002="Bills")*(Expenses!E$3:E$1002="GBP")*(MONTH(Expenses!A$3:A$1002)=6)*(YEAR(Expenses!A$3:A$1002)=2026)*(Expenses!A$3:A$1002&lt;&gt;"")*(IF(Expenses!G$3:G$1002="Yes",Expenses!H$3:H$1002,Expenses!D$3:D$1002)))</f>
        <v>0</v>
      </c>
      <c r="I8" s="24" t="n">
        <f aca="false">SUMPRODUCT((Expenses!C$3:C$1002="Entertainment")*(Expenses!E$3:E$1002="GBP")*(MONTH(Expenses!A$3:A$1002)=6)*(YEAR(Expenses!A$3:A$1002)=2026)*(Expenses!A$3:A$1002&lt;&gt;"")*(IF(Expenses!G$3:G$1002="Yes",Expenses!H$3:H$1002,Expenses!D$3:D$1002)))</f>
        <v>0</v>
      </c>
      <c r="J8" s="24" t="n">
        <f aca="false">SUMPRODUCT((Expenses!C$3:C$1002="Food and Drinks")*(Expenses!E$3:E$1002="GBP")*(MONTH(Expenses!A$3:A$1002)=6)*(YEAR(Expenses!A$3:A$1002)=2026)*(Expenses!A$3:A$1002&lt;&gt;"")*(IF(Expenses!G$3:G$1002="Yes",Expenses!H$3:H$1002,Expenses!D$3:D$1002)))</f>
        <v>0</v>
      </c>
      <c r="K8" s="24" t="n">
        <f aca="false">SUMPRODUCT((Expenses!C$3:C$1002="Groceries")*(Expenses!E$3:E$1002="GBP")*(MONTH(Expenses!A$3:A$1002)=6)*(YEAR(Expenses!A$3:A$1002)=2026)*(Expenses!A$3:A$1002&lt;&gt;"")*(IF(Expenses!G$3:G$1002="Yes",Expenses!H$3:H$1002,Expenses!D$3:D$1002)))</f>
        <v>0</v>
      </c>
      <c r="L8" s="24" t="n">
        <f aca="false">SUMPRODUCT((Expenses!C$3:C$1002="Others")*(Expenses!E$3:E$1002="GBP")*(MONTH(Expenses!A$3:A$1002)=6)*(YEAR(Expenses!A$3:A$1002)=2026)*(Expenses!A$3:A$1002&lt;&gt;"")*(IF(Expenses!G$3:G$1002="Yes",Expenses!H$3:H$1002,Expenses!D$3:D$1002)))</f>
        <v>0</v>
      </c>
      <c r="M8" s="24" t="n">
        <f aca="false">SUMPRODUCT((Expenses!C$3:C$1002="Gifts")*(Expenses!E$3:E$1002="GBP")*(MONTH(Expenses!A$3:A$1002)=6)*(YEAR(Expenses!A$3:A$1002)=2026)*(Expenses!A$3:A$1002&lt;&gt;"")*(IF(Expenses!G$3:G$1002="Yes",Expenses!H$3:H$1002,Expenses!D$3:D$1002)))</f>
        <v>0</v>
      </c>
      <c r="N8" s="24" t="n">
        <f aca="false">SUMPRODUCT((Expenses!C$3:C$1002="Donations")*(Expenses!E$3:E$1002="GBP")*(MONTH(Expenses!A$3:A$1002)=6)*(YEAR(Expenses!A$3:A$1002)=2026)*(Expenses!A$3:A$1002&lt;&gt;"")*(IF(Expenses!G$3:G$1002="Yes",Expenses!H$3:H$1002,Expenses!D$3:D$1002)))</f>
        <v>0</v>
      </c>
      <c r="O8" s="24" t="n">
        <f aca="false">SUMPRODUCT((Expenses!C$3:C$1002="Investments")*(Expenses!E$3:E$1002="GBP")*(MONTH(Expenses!A$3:A$1002)=6)*(YEAR(Expenses!A$3:A$1002)=2026)*(Expenses!A$3:A$1002&lt;&gt;"")*(IF(Expenses!G$3:G$1002="Yes",Expenses!H$3:H$1002,Expenses!D$3:D$1002)))</f>
        <v>0</v>
      </c>
      <c r="P8" s="45" t="n">
        <f aca="false">SUM(B8:O8)</f>
        <v>0</v>
      </c>
      <c r="Q8" s="24" t="n">
        <f aca="false">SUMPRODUCT((Income!D$3:D$502="GBP")*(MONTH(Income!A$3:A$502)=6)*(YEAR(Income!A$3:A$502)=2026)*(Income!A$3:A$502&lt;&gt;"")*Income!C$3:C$502)</f>
        <v>0</v>
      </c>
      <c r="R8" s="45" t="n">
        <f aca="false">Q8-P8</f>
        <v>0</v>
      </c>
    </row>
    <row r="9" customFormat="false" ht="15" hidden="false" customHeight="false" outlineLevel="0" collapsed="false">
      <c r="A9" s="3" t="s">
        <v>131</v>
      </c>
      <c r="B9" s="24" t="n">
        <f aca="false">SUMPRODUCT((Expenses!C$3:C$1002="Rent")*(Expenses!E$3:E$1002="GBP")*(MONTH(Expenses!A$3:A$1002)=7)*(YEAR(Expenses!A$3:A$1002)=2026)*(Expenses!A$3:A$1002&lt;&gt;"")*(IF(Expenses!G$3:G$1002="Yes",Expenses!H$3:H$1002,Expenses!D$3:D$1002)))</f>
        <v>0</v>
      </c>
      <c r="C9" s="24" t="n">
        <f aca="false">SUMPRODUCT((Expenses!C$3:C$1002="Transport")*(Expenses!E$3:E$1002="GBP")*(MONTH(Expenses!A$3:A$1002)=7)*(YEAR(Expenses!A$3:A$1002)=2026)*(Expenses!A$3:A$1002&lt;&gt;"")*(IF(Expenses!G$3:G$1002="Yes",Expenses!H$3:H$1002,Expenses!D$3:D$1002)))</f>
        <v>0</v>
      </c>
      <c r="D9" s="24" t="n">
        <f aca="false">SUMPRODUCT((Expenses!C$3:C$1002="Travel")*(Expenses!E$3:E$1002="GBP")*(MONTH(Expenses!A$3:A$1002)=7)*(YEAR(Expenses!A$3:A$1002)=2026)*(Expenses!A$3:A$1002&lt;&gt;"")*(IF(Expenses!G$3:G$1002="Yes",Expenses!H$3:H$1002,Expenses!D$3:D$1002)))</f>
        <v>0</v>
      </c>
      <c r="E9" s="24" t="n">
        <f aca="false">SUMPRODUCT((Expenses!C$3:C$1002="Shopping")*(Expenses!E$3:E$1002="GBP")*(MONTH(Expenses!A$3:A$1002)=7)*(YEAR(Expenses!A$3:A$1002)=2026)*(Expenses!A$3:A$1002&lt;&gt;"")*(IF(Expenses!G$3:G$1002="Yes",Expenses!H$3:H$1002,Expenses!D$3:D$1002)))</f>
        <v>0</v>
      </c>
      <c r="F9" s="24" t="n">
        <f aca="false">SUMPRODUCT((Expenses!C$3:C$1002="Electronics")*(Expenses!E$3:E$1002="GBP")*(MONTH(Expenses!A$3:A$1002)=7)*(YEAR(Expenses!A$3:A$1002)=2026)*(Expenses!A$3:A$1002&lt;&gt;"")*(IF(Expenses!G$3:G$1002="Yes",Expenses!H$3:H$1002,Expenses!D$3:D$1002)))</f>
        <v>0</v>
      </c>
      <c r="G9" s="24" t="n">
        <f aca="false">SUMPRODUCT((Expenses!C$3:C$1002="Subscriptions")*(Expenses!E$3:E$1002="GBP")*(MONTH(Expenses!A$3:A$1002)=7)*(YEAR(Expenses!A$3:A$1002)=2026)*(Expenses!A$3:A$1002&lt;&gt;"")*(IF(Expenses!G$3:G$1002="Yes",Expenses!H$3:H$1002,Expenses!D$3:D$1002)))</f>
        <v>0</v>
      </c>
      <c r="H9" s="24" t="n">
        <f aca="false">SUMPRODUCT((Expenses!C$3:C$1002="Bills")*(Expenses!E$3:E$1002="GBP")*(MONTH(Expenses!A$3:A$1002)=7)*(YEAR(Expenses!A$3:A$1002)=2026)*(Expenses!A$3:A$1002&lt;&gt;"")*(IF(Expenses!G$3:G$1002="Yes",Expenses!H$3:H$1002,Expenses!D$3:D$1002)))</f>
        <v>0</v>
      </c>
      <c r="I9" s="24" t="n">
        <f aca="false">SUMPRODUCT((Expenses!C$3:C$1002="Entertainment")*(Expenses!E$3:E$1002="GBP")*(MONTH(Expenses!A$3:A$1002)=7)*(YEAR(Expenses!A$3:A$1002)=2026)*(Expenses!A$3:A$1002&lt;&gt;"")*(IF(Expenses!G$3:G$1002="Yes",Expenses!H$3:H$1002,Expenses!D$3:D$1002)))</f>
        <v>0</v>
      </c>
      <c r="J9" s="24" t="n">
        <f aca="false">SUMPRODUCT((Expenses!C$3:C$1002="Food and Drinks")*(Expenses!E$3:E$1002="GBP")*(MONTH(Expenses!A$3:A$1002)=7)*(YEAR(Expenses!A$3:A$1002)=2026)*(Expenses!A$3:A$1002&lt;&gt;"")*(IF(Expenses!G$3:G$1002="Yes",Expenses!H$3:H$1002,Expenses!D$3:D$1002)))</f>
        <v>0</v>
      </c>
      <c r="K9" s="24" t="n">
        <f aca="false">SUMPRODUCT((Expenses!C$3:C$1002="Groceries")*(Expenses!E$3:E$1002="GBP")*(MONTH(Expenses!A$3:A$1002)=7)*(YEAR(Expenses!A$3:A$1002)=2026)*(Expenses!A$3:A$1002&lt;&gt;"")*(IF(Expenses!G$3:G$1002="Yes",Expenses!H$3:H$1002,Expenses!D$3:D$1002)))</f>
        <v>0</v>
      </c>
      <c r="L9" s="24" t="n">
        <f aca="false">SUMPRODUCT((Expenses!C$3:C$1002="Others")*(Expenses!E$3:E$1002="GBP")*(MONTH(Expenses!A$3:A$1002)=7)*(YEAR(Expenses!A$3:A$1002)=2026)*(Expenses!A$3:A$1002&lt;&gt;"")*(IF(Expenses!G$3:G$1002="Yes",Expenses!H$3:H$1002,Expenses!D$3:D$1002)))</f>
        <v>0</v>
      </c>
      <c r="M9" s="24" t="n">
        <f aca="false">SUMPRODUCT((Expenses!C$3:C$1002="Gifts")*(Expenses!E$3:E$1002="GBP")*(MONTH(Expenses!A$3:A$1002)=7)*(YEAR(Expenses!A$3:A$1002)=2026)*(Expenses!A$3:A$1002&lt;&gt;"")*(IF(Expenses!G$3:G$1002="Yes",Expenses!H$3:H$1002,Expenses!D$3:D$1002)))</f>
        <v>0</v>
      </c>
      <c r="N9" s="24" t="n">
        <f aca="false">SUMPRODUCT((Expenses!C$3:C$1002="Donations")*(Expenses!E$3:E$1002="GBP")*(MONTH(Expenses!A$3:A$1002)=7)*(YEAR(Expenses!A$3:A$1002)=2026)*(Expenses!A$3:A$1002&lt;&gt;"")*(IF(Expenses!G$3:G$1002="Yes",Expenses!H$3:H$1002,Expenses!D$3:D$1002)))</f>
        <v>0</v>
      </c>
      <c r="O9" s="24" t="n">
        <f aca="false">SUMPRODUCT((Expenses!C$3:C$1002="Investments")*(Expenses!E$3:E$1002="GBP")*(MONTH(Expenses!A$3:A$1002)=7)*(YEAR(Expenses!A$3:A$1002)=2026)*(Expenses!A$3:A$1002&lt;&gt;"")*(IF(Expenses!G$3:G$1002="Yes",Expenses!H$3:H$1002,Expenses!D$3:D$1002)))</f>
        <v>0</v>
      </c>
      <c r="P9" s="45" t="n">
        <f aca="false">SUM(B9:O9)</f>
        <v>0</v>
      </c>
      <c r="Q9" s="24" t="n">
        <f aca="false">SUMPRODUCT((Income!D$3:D$502="GBP")*(MONTH(Income!A$3:A$502)=7)*(YEAR(Income!A$3:A$502)=2026)*(Income!A$3:A$502&lt;&gt;"")*Income!C$3:C$502)</f>
        <v>0</v>
      </c>
      <c r="R9" s="45" t="n">
        <f aca="false">Q9-P9</f>
        <v>0</v>
      </c>
    </row>
    <row r="10" customFormat="false" ht="15" hidden="false" customHeight="false" outlineLevel="0" collapsed="false">
      <c r="A10" s="3" t="s">
        <v>132</v>
      </c>
      <c r="B10" s="24" t="n">
        <f aca="false">SUMPRODUCT((Expenses!C$3:C$1002="Rent")*(Expenses!E$3:E$1002="GBP")*(MONTH(Expenses!A$3:A$1002)=8)*(YEAR(Expenses!A$3:A$1002)=2026)*(Expenses!A$3:A$1002&lt;&gt;"")*(IF(Expenses!G$3:G$1002="Yes",Expenses!H$3:H$1002,Expenses!D$3:D$1002)))</f>
        <v>0</v>
      </c>
      <c r="C10" s="24" t="n">
        <f aca="false">SUMPRODUCT((Expenses!C$3:C$1002="Transport")*(Expenses!E$3:E$1002="GBP")*(MONTH(Expenses!A$3:A$1002)=8)*(YEAR(Expenses!A$3:A$1002)=2026)*(Expenses!A$3:A$1002&lt;&gt;"")*(IF(Expenses!G$3:G$1002="Yes",Expenses!H$3:H$1002,Expenses!D$3:D$1002)))</f>
        <v>0</v>
      </c>
      <c r="D10" s="24" t="n">
        <f aca="false">SUMPRODUCT((Expenses!C$3:C$1002="Travel")*(Expenses!E$3:E$1002="GBP")*(MONTH(Expenses!A$3:A$1002)=8)*(YEAR(Expenses!A$3:A$1002)=2026)*(Expenses!A$3:A$1002&lt;&gt;"")*(IF(Expenses!G$3:G$1002="Yes",Expenses!H$3:H$1002,Expenses!D$3:D$1002)))</f>
        <v>0</v>
      </c>
      <c r="E10" s="24" t="n">
        <f aca="false">SUMPRODUCT((Expenses!C$3:C$1002="Shopping")*(Expenses!E$3:E$1002="GBP")*(MONTH(Expenses!A$3:A$1002)=8)*(YEAR(Expenses!A$3:A$1002)=2026)*(Expenses!A$3:A$1002&lt;&gt;"")*(IF(Expenses!G$3:G$1002="Yes",Expenses!H$3:H$1002,Expenses!D$3:D$1002)))</f>
        <v>0</v>
      </c>
      <c r="F10" s="24" t="n">
        <f aca="false">SUMPRODUCT((Expenses!C$3:C$1002="Electronics")*(Expenses!E$3:E$1002="GBP")*(MONTH(Expenses!A$3:A$1002)=8)*(YEAR(Expenses!A$3:A$1002)=2026)*(Expenses!A$3:A$1002&lt;&gt;"")*(IF(Expenses!G$3:G$1002="Yes",Expenses!H$3:H$1002,Expenses!D$3:D$1002)))</f>
        <v>0</v>
      </c>
      <c r="G10" s="24" t="n">
        <f aca="false">SUMPRODUCT((Expenses!C$3:C$1002="Subscriptions")*(Expenses!E$3:E$1002="GBP")*(MONTH(Expenses!A$3:A$1002)=8)*(YEAR(Expenses!A$3:A$1002)=2026)*(Expenses!A$3:A$1002&lt;&gt;"")*(IF(Expenses!G$3:G$1002="Yes",Expenses!H$3:H$1002,Expenses!D$3:D$1002)))</f>
        <v>0</v>
      </c>
      <c r="H10" s="24" t="n">
        <f aca="false">SUMPRODUCT((Expenses!C$3:C$1002="Bills")*(Expenses!E$3:E$1002="GBP")*(MONTH(Expenses!A$3:A$1002)=8)*(YEAR(Expenses!A$3:A$1002)=2026)*(Expenses!A$3:A$1002&lt;&gt;"")*(IF(Expenses!G$3:G$1002="Yes",Expenses!H$3:H$1002,Expenses!D$3:D$1002)))</f>
        <v>0</v>
      </c>
      <c r="I10" s="24" t="n">
        <f aca="false">SUMPRODUCT((Expenses!C$3:C$1002="Entertainment")*(Expenses!E$3:E$1002="GBP")*(MONTH(Expenses!A$3:A$1002)=8)*(YEAR(Expenses!A$3:A$1002)=2026)*(Expenses!A$3:A$1002&lt;&gt;"")*(IF(Expenses!G$3:G$1002="Yes",Expenses!H$3:H$1002,Expenses!D$3:D$1002)))</f>
        <v>0</v>
      </c>
      <c r="J10" s="24" t="n">
        <f aca="false">SUMPRODUCT((Expenses!C$3:C$1002="Food and Drinks")*(Expenses!E$3:E$1002="GBP")*(MONTH(Expenses!A$3:A$1002)=8)*(YEAR(Expenses!A$3:A$1002)=2026)*(Expenses!A$3:A$1002&lt;&gt;"")*(IF(Expenses!G$3:G$1002="Yes",Expenses!H$3:H$1002,Expenses!D$3:D$1002)))</f>
        <v>0</v>
      </c>
      <c r="K10" s="24" t="n">
        <f aca="false">SUMPRODUCT((Expenses!C$3:C$1002="Groceries")*(Expenses!E$3:E$1002="GBP")*(MONTH(Expenses!A$3:A$1002)=8)*(YEAR(Expenses!A$3:A$1002)=2026)*(Expenses!A$3:A$1002&lt;&gt;"")*(IF(Expenses!G$3:G$1002="Yes",Expenses!H$3:H$1002,Expenses!D$3:D$1002)))</f>
        <v>0</v>
      </c>
      <c r="L10" s="24" t="n">
        <f aca="false">SUMPRODUCT((Expenses!C$3:C$1002="Others")*(Expenses!E$3:E$1002="GBP")*(MONTH(Expenses!A$3:A$1002)=8)*(YEAR(Expenses!A$3:A$1002)=2026)*(Expenses!A$3:A$1002&lt;&gt;"")*(IF(Expenses!G$3:G$1002="Yes",Expenses!H$3:H$1002,Expenses!D$3:D$1002)))</f>
        <v>0</v>
      </c>
      <c r="M10" s="24" t="n">
        <f aca="false">SUMPRODUCT((Expenses!C$3:C$1002="Gifts")*(Expenses!E$3:E$1002="GBP")*(MONTH(Expenses!A$3:A$1002)=8)*(YEAR(Expenses!A$3:A$1002)=2026)*(Expenses!A$3:A$1002&lt;&gt;"")*(IF(Expenses!G$3:G$1002="Yes",Expenses!H$3:H$1002,Expenses!D$3:D$1002)))</f>
        <v>0</v>
      </c>
      <c r="N10" s="24" t="n">
        <f aca="false">SUMPRODUCT((Expenses!C$3:C$1002="Donations")*(Expenses!E$3:E$1002="GBP")*(MONTH(Expenses!A$3:A$1002)=8)*(YEAR(Expenses!A$3:A$1002)=2026)*(Expenses!A$3:A$1002&lt;&gt;"")*(IF(Expenses!G$3:G$1002="Yes",Expenses!H$3:H$1002,Expenses!D$3:D$1002)))</f>
        <v>0</v>
      </c>
      <c r="O10" s="24" t="n">
        <f aca="false">SUMPRODUCT((Expenses!C$3:C$1002="Investments")*(Expenses!E$3:E$1002="GBP")*(MONTH(Expenses!A$3:A$1002)=8)*(YEAR(Expenses!A$3:A$1002)=2026)*(Expenses!A$3:A$1002&lt;&gt;"")*(IF(Expenses!G$3:G$1002="Yes",Expenses!H$3:H$1002,Expenses!D$3:D$1002)))</f>
        <v>0</v>
      </c>
      <c r="P10" s="45" t="n">
        <f aca="false">SUM(B10:O10)</f>
        <v>0</v>
      </c>
      <c r="Q10" s="24" t="n">
        <f aca="false">SUMPRODUCT((Income!D$3:D$502="GBP")*(MONTH(Income!A$3:A$502)=8)*(YEAR(Income!A$3:A$502)=2026)*(Income!A$3:A$502&lt;&gt;"")*Income!C$3:C$502)</f>
        <v>0</v>
      </c>
      <c r="R10" s="45" t="n">
        <f aca="false">Q10-P10</f>
        <v>0</v>
      </c>
    </row>
    <row r="11" customFormat="false" ht="15" hidden="false" customHeight="false" outlineLevel="0" collapsed="false">
      <c r="A11" s="3" t="s">
        <v>133</v>
      </c>
      <c r="B11" s="24" t="n">
        <f aca="false">SUMPRODUCT((Expenses!C$3:C$1002="Rent")*(Expenses!E$3:E$1002="GBP")*(MONTH(Expenses!A$3:A$1002)=9)*(YEAR(Expenses!A$3:A$1002)=2026)*(Expenses!A$3:A$1002&lt;&gt;"")*(IF(Expenses!G$3:G$1002="Yes",Expenses!H$3:H$1002,Expenses!D$3:D$1002)))</f>
        <v>0</v>
      </c>
      <c r="C11" s="24" t="n">
        <f aca="false">SUMPRODUCT((Expenses!C$3:C$1002="Transport")*(Expenses!E$3:E$1002="GBP")*(MONTH(Expenses!A$3:A$1002)=9)*(YEAR(Expenses!A$3:A$1002)=2026)*(Expenses!A$3:A$1002&lt;&gt;"")*(IF(Expenses!G$3:G$1002="Yes",Expenses!H$3:H$1002,Expenses!D$3:D$1002)))</f>
        <v>0</v>
      </c>
      <c r="D11" s="24" t="n">
        <f aca="false">SUMPRODUCT((Expenses!C$3:C$1002="Travel")*(Expenses!E$3:E$1002="GBP")*(MONTH(Expenses!A$3:A$1002)=9)*(YEAR(Expenses!A$3:A$1002)=2026)*(Expenses!A$3:A$1002&lt;&gt;"")*(IF(Expenses!G$3:G$1002="Yes",Expenses!H$3:H$1002,Expenses!D$3:D$1002)))</f>
        <v>0</v>
      </c>
      <c r="E11" s="24" t="n">
        <f aca="false">SUMPRODUCT((Expenses!C$3:C$1002="Shopping")*(Expenses!E$3:E$1002="GBP")*(MONTH(Expenses!A$3:A$1002)=9)*(YEAR(Expenses!A$3:A$1002)=2026)*(Expenses!A$3:A$1002&lt;&gt;"")*(IF(Expenses!G$3:G$1002="Yes",Expenses!H$3:H$1002,Expenses!D$3:D$1002)))</f>
        <v>0</v>
      </c>
      <c r="F11" s="24" t="n">
        <f aca="false">SUMPRODUCT((Expenses!C$3:C$1002="Electronics")*(Expenses!E$3:E$1002="GBP")*(MONTH(Expenses!A$3:A$1002)=9)*(YEAR(Expenses!A$3:A$1002)=2026)*(Expenses!A$3:A$1002&lt;&gt;"")*(IF(Expenses!G$3:G$1002="Yes",Expenses!H$3:H$1002,Expenses!D$3:D$1002)))</f>
        <v>0</v>
      </c>
      <c r="G11" s="24" t="n">
        <f aca="false">SUMPRODUCT((Expenses!C$3:C$1002="Subscriptions")*(Expenses!E$3:E$1002="GBP")*(MONTH(Expenses!A$3:A$1002)=9)*(YEAR(Expenses!A$3:A$1002)=2026)*(Expenses!A$3:A$1002&lt;&gt;"")*(IF(Expenses!G$3:G$1002="Yes",Expenses!H$3:H$1002,Expenses!D$3:D$1002)))</f>
        <v>0</v>
      </c>
      <c r="H11" s="24" t="n">
        <f aca="false">SUMPRODUCT((Expenses!C$3:C$1002="Bills")*(Expenses!E$3:E$1002="GBP")*(MONTH(Expenses!A$3:A$1002)=9)*(YEAR(Expenses!A$3:A$1002)=2026)*(Expenses!A$3:A$1002&lt;&gt;"")*(IF(Expenses!G$3:G$1002="Yes",Expenses!H$3:H$1002,Expenses!D$3:D$1002)))</f>
        <v>0</v>
      </c>
      <c r="I11" s="24" t="n">
        <f aca="false">SUMPRODUCT((Expenses!C$3:C$1002="Entertainment")*(Expenses!E$3:E$1002="GBP")*(MONTH(Expenses!A$3:A$1002)=9)*(YEAR(Expenses!A$3:A$1002)=2026)*(Expenses!A$3:A$1002&lt;&gt;"")*(IF(Expenses!G$3:G$1002="Yes",Expenses!H$3:H$1002,Expenses!D$3:D$1002)))</f>
        <v>0</v>
      </c>
      <c r="J11" s="24" t="n">
        <f aca="false">SUMPRODUCT((Expenses!C$3:C$1002="Food and Drinks")*(Expenses!E$3:E$1002="GBP")*(MONTH(Expenses!A$3:A$1002)=9)*(YEAR(Expenses!A$3:A$1002)=2026)*(Expenses!A$3:A$1002&lt;&gt;"")*(IF(Expenses!G$3:G$1002="Yes",Expenses!H$3:H$1002,Expenses!D$3:D$1002)))</f>
        <v>0</v>
      </c>
      <c r="K11" s="24" t="n">
        <f aca="false">SUMPRODUCT((Expenses!C$3:C$1002="Groceries")*(Expenses!E$3:E$1002="GBP")*(MONTH(Expenses!A$3:A$1002)=9)*(YEAR(Expenses!A$3:A$1002)=2026)*(Expenses!A$3:A$1002&lt;&gt;"")*(IF(Expenses!G$3:G$1002="Yes",Expenses!H$3:H$1002,Expenses!D$3:D$1002)))</f>
        <v>0</v>
      </c>
      <c r="L11" s="24" t="n">
        <f aca="false">SUMPRODUCT((Expenses!C$3:C$1002="Others")*(Expenses!E$3:E$1002="GBP")*(MONTH(Expenses!A$3:A$1002)=9)*(YEAR(Expenses!A$3:A$1002)=2026)*(Expenses!A$3:A$1002&lt;&gt;"")*(IF(Expenses!G$3:G$1002="Yes",Expenses!H$3:H$1002,Expenses!D$3:D$1002)))</f>
        <v>0</v>
      </c>
      <c r="M11" s="24" t="n">
        <f aca="false">SUMPRODUCT((Expenses!C$3:C$1002="Gifts")*(Expenses!E$3:E$1002="GBP")*(MONTH(Expenses!A$3:A$1002)=9)*(YEAR(Expenses!A$3:A$1002)=2026)*(Expenses!A$3:A$1002&lt;&gt;"")*(IF(Expenses!G$3:G$1002="Yes",Expenses!H$3:H$1002,Expenses!D$3:D$1002)))</f>
        <v>0</v>
      </c>
      <c r="N11" s="24" t="n">
        <f aca="false">SUMPRODUCT((Expenses!C$3:C$1002="Donations")*(Expenses!E$3:E$1002="GBP")*(MONTH(Expenses!A$3:A$1002)=9)*(YEAR(Expenses!A$3:A$1002)=2026)*(Expenses!A$3:A$1002&lt;&gt;"")*(IF(Expenses!G$3:G$1002="Yes",Expenses!H$3:H$1002,Expenses!D$3:D$1002)))</f>
        <v>0</v>
      </c>
      <c r="O11" s="24" t="n">
        <f aca="false">SUMPRODUCT((Expenses!C$3:C$1002="Investments")*(Expenses!E$3:E$1002="GBP")*(MONTH(Expenses!A$3:A$1002)=9)*(YEAR(Expenses!A$3:A$1002)=2026)*(Expenses!A$3:A$1002&lt;&gt;"")*(IF(Expenses!G$3:G$1002="Yes",Expenses!H$3:H$1002,Expenses!D$3:D$1002)))</f>
        <v>0</v>
      </c>
      <c r="P11" s="45" t="n">
        <f aca="false">SUM(B11:O11)</f>
        <v>0</v>
      </c>
      <c r="Q11" s="24" t="n">
        <f aca="false">SUMPRODUCT((Income!D$3:D$502="GBP")*(MONTH(Income!A$3:A$502)=9)*(YEAR(Income!A$3:A$502)=2026)*(Income!A$3:A$502&lt;&gt;"")*Income!C$3:C$502)</f>
        <v>0</v>
      </c>
      <c r="R11" s="45" t="n">
        <f aca="false">Q11-P11</f>
        <v>0</v>
      </c>
    </row>
    <row r="12" customFormat="false" ht="15" hidden="false" customHeight="false" outlineLevel="0" collapsed="false">
      <c r="A12" s="3" t="s">
        <v>134</v>
      </c>
      <c r="B12" s="24" t="n">
        <f aca="false">SUMPRODUCT((Expenses!C$3:C$1002="Rent")*(Expenses!E$3:E$1002="GBP")*(MONTH(Expenses!A$3:A$1002)=10)*(YEAR(Expenses!A$3:A$1002)=2026)*(Expenses!A$3:A$1002&lt;&gt;"")*(IF(Expenses!G$3:G$1002="Yes",Expenses!H$3:H$1002,Expenses!D$3:D$1002)))</f>
        <v>0</v>
      </c>
      <c r="C12" s="24" t="n">
        <f aca="false">SUMPRODUCT((Expenses!C$3:C$1002="Transport")*(Expenses!E$3:E$1002="GBP")*(MONTH(Expenses!A$3:A$1002)=10)*(YEAR(Expenses!A$3:A$1002)=2026)*(Expenses!A$3:A$1002&lt;&gt;"")*(IF(Expenses!G$3:G$1002="Yes",Expenses!H$3:H$1002,Expenses!D$3:D$1002)))</f>
        <v>0</v>
      </c>
      <c r="D12" s="24" t="n">
        <f aca="false">SUMPRODUCT((Expenses!C$3:C$1002="Travel")*(Expenses!E$3:E$1002="GBP")*(MONTH(Expenses!A$3:A$1002)=10)*(YEAR(Expenses!A$3:A$1002)=2026)*(Expenses!A$3:A$1002&lt;&gt;"")*(IF(Expenses!G$3:G$1002="Yes",Expenses!H$3:H$1002,Expenses!D$3:D$1002)))</f>
        <v>0</v>
      </c>
      <c r="E12" s="24" t="n">
        <f aca="false">SUMPRODUCT((Expenses!C$3:C$1002="Shopping")*(Expenses!E$3:E$1002="GBP")*(MONTH(Expenses!A$3:A$1002)=10)*(YEAR(Expenses!A$3:A$1002)=2026)*(Expenses!A$3:A$1002&lt;&gt;"")*(IF(Expenses!G$3:G$1002="Yes",Expenses!H$3:H$1002,Expenses!D$3:D$1002)))</f>
        <v>0</v>
      </c>
      <c r="F12" s="24" t="n">
        <f aca="false">SUMPRODUCT((Expenses!C$3:C$1002="Electronics")*(Expenses!E$3:E$1002="GBP")*(MONTH(Expenses!A$3:A$1002)=10)*(YEAR(Expenses!A$3:A$1002)=2026)*(Expenses!A$3:A$1002&lt;&gt;"")*(IF(Expenses!G$3:G$1002="Yes",Expenses!H$3:H$1002,Expenses!D$3:D$1002)))</f>
        <v>0</v>
      </c>
      <c r="G12" s="24" t="n">
        <f aca="false">SUMPRODUCT((Expenses!C$3:C$1002="Subscriptions")*(Expenses!E$3:E$1002="GBP")*(MONTH(Expenses!A$3:A$1002)=10)*(YEAR(Expenses!A$3:A$1002)=2026)*(Expenses!A$3:A$1002&lt;&gt;"")*(IF(Expenses!G$3:G$1002="Yes",Expenses!H$3:H$1002,Expenses!D$3:D$1002)))</f>
        <v>0</v>
      </c>
      <c r="H12" s="24" t="n">
        <f aca="false">SUMPRODUCT((Expenses!C$3:C$1002="Bills")*(Expenses!E$3:E$1002="GBP")*(MONTH(Expenses!A$3:A$1002)=10)*(YEAR(Expenses!A$3:A$1002)=2026)*(Expenses!A$3:A$1002&lt;&gt;"")*(IF(Expenses!G$3:G$1002="Yes",Expenses!H$3:H$1002,Expenses!D$3:D$1002)))</f>
        <v>0</v>
      </c>
      <c r="I12" s="24" t="n">
        <f aca="false">SUMPRODUCT((Expenses!C$3:C$1002="Entertainment")*(Expenses!E$3:E$1002="GBP")*(MONTH(Expenses!A$3:A$1002)=10)*(YEAR(Expenses!A$3:A$1002)=2026)*(Expenses!A$3:A$1002&lt;&gt;"")*(IF(Expenses!G$3:G$1002="Yes",Expenses!H$3:H$1002,Expenses!D$3:D$1002)))</f>
        <v>0</v>
      </c>
      <c r="J12" s="24" t="n">
        <f aca="false">SUMPRODUCT((Expenses!C$3:C$1002="Food and Drinks")*(Expenses!E$3:E$1002="GBP")*(MONTH(Expenses!A$3:A$1002)=10)*(YEAR(Expenses!A$3:A$1002)=2026)*(Expenses!A$3:A$1002&lt;&gt;"")*(IF(Expenses!G$3:G$1002="Yes",Expenses!H$3:H$1002,Expenses!D$3:D$1002)))</f>
        <v>0</v>
      </c>
      <c r="K12" s="24" t="n">
        <f aca="false">SUMPRODUCT((Expenses!C$3:C$1002="Groceries")*(Expenses!E$3:E$1002="GBP")*(MONTH(Expenses!A$3:A$1002)=10)*(YEAR(Expenses!A$3:A$1002)=2026)*(Expenses!A$3:A$1002&lt;&gt;"")*(IF(Expenses!G$3:G$1002="Yes",Expenses!H$3:H$1002,Expenses!D$3:D$1002)))</f>
        <v>0</v>
      </c>
      <c r="L12" s="24" t="n">
        <f aca="false">SUMPRODUCT((Expenses!C$3:C$1002="Others")*(Expenses!E$3:E$1002="GBP")*(MONTH(Expenses!A$3:A$1002)=10)*(YEAR(Expenses!A$3:A$1002)=2026)*(Expenses!A$3:A$1002&lt;&gt;"")*(IF(Expenses!G$3:G$1002="Yes",Expenses!H$3:H$1002,Expenses!D$3:D$1002)))</f>
        <v>0</v>
      </c>
      <c r="M12" s="24" t="n">
        <f aca="false">SUMPRODUCT((Expenses!C$3:C$1002="Gifts")*(Expenses!E$3:E$1002="GBP")*(MONTH(Expenses!A$3:A$1002)=10)*(YEAR(Expenses!A$3:A$1002)=2026)*(Expenses!A$3:A$1002&lt;&gt;"")*(IF(Expenses!G$3:G$1002="Yes",Expenses!H$3:H$1002,Expenses!D$3:D$1002)))</f>
        <v>0</v>
      </c>
      <c r="N12" s="24" t="n">
        <f aca="false">SUMPRODUCT((Expenses!C$3:C$1002="Donations")*(Expenses!E$3:E$1002="GBP")*(MONTH(Expenses!A$3:A$1002)=10)*(YEAR(Expenses!A$3:A$1002)=2026)*(Expenses!A$3:A$1002&lt;&gt;"")*(IF(Expenses!G$3:G$1002="Yes",Expenses!H$3:H$1002,Expenses!D$3:D$1002)))</f>
        <v>0</v>
      </c>
      <c r="O12" s="24" t="n">
        <f aca="false">SUMPRODUCT((Expenses!C$3:C$1002="Investments")*(Expenses!E$3:E$1002="GBP")*(MONTH(Expenses!A$3:A$1002)=10)*(YEAR(Expenses!A$3:A$1002)=2026)*(Expenses!A$3:A$1002&lt;&gt;"")*(IF(Expenses!G$3:G$1002="Yes",Expenses!H$3:H$1002,Expenses!D$3:D$1002)))</f>
        <v>0</v>
      </c>
      <c r="P12" s="45" t="n">
        <f aca="false">SUM(B12:O12)</f>
        <v>0</v>
      </c>
      <c r="Q12" s="24" t="n">
        <f aca="false">SUMPRODUCT((Income!D$3:D$502="GBP")*(MONTH(Income!A$3:A$502)=10)*(YEAR(Income!A$3:A$502)=2026)*(Income!A$3:A$502&lt;&gt;"")*Income!C$3:C$502)</f>
        <v>0</v>
      </c>
      <c r="R12" s="45" t="n">
        <f aca="false">Q12-P12</f>
        <v>0</v>
      </c>
    </row>
    <row r="13" customFormat="false" ht="15" hidden="false" customHeight="false" outlineLevel="0" collapsed="false">
      <c r="A13" s="3" t="s">
        <v>135</v>
      </c>
      <c r="B13" s="24" t="n">
        <f aca="false">SUMPRODUCT((Expenses!C$3:C$1002="Rent")*(Expenses!E$3:E$1002="GBP")*(MONTH(Expenses!A$3:A$1002)=11)*(YEAR(Expenses!A$3:A$1002)=2026)*(Expenses!A$3:A$1002&lt;&gt;"")*(IF(Expenses!G$3:G$1002="Yes",Expenses!H$3:H$1002,Expenses!D$3:D$1002)))</f>
        <v>0</v>
      </c>
      <c r="C13" s="24" t="n">
        <f aca="false">SUMPRODUCT((Expenses!C$3:C$1002="Transport")*(Expenses!E$3:E$1002="GBP")*(MONTH(Expenses!A$3:A$1002)=11)*(YEAR(Expenses!A$3:A$1002)=2026)*(Expenses!A$3:A$1002&lt;&gt;"")*(IF(Expenses!G$3:G$1002="Yes",Expenses!H$3:H$1002,Expenses!D$3:D$1002)))</f>
        <v>0</v>
      </c>
      <c r="D13" s="24" t="n">
        <f aca="false">SUMPRODUCT((Expenses!C$3:C$1002="Travel")*(Expenses!E$3:E$1002="GBP")*(MONTH(Expenses!A$3:A$1002)=11)*(YEAR(Expenses!A$3:A$1002)=2026)*(Expenses!A$3:A$1002&lt;&gt;"")*(IF(Expenses!G$3:G$1002="Yes",Expenses!H$3:H$1002,Expenses!D$3:D$1002)))</f>
        <v>0</v>
      </c>
      <c r="E13" s="24" t="n">
        <f aca="false">SUMPRODUCT((Expenses!C$3:C$1002="Shopping")*(Expenses!E$3:E$1002="GBP")*(MONTH(Expenses!A$3:A$1002)=11)*(YEAR(Expenses!A$3:A$1002)=2026)*(Expenses!A$3:A$1002&lt;&gt;"")*(IF(Expenses!G$3:G$1002="Yes",Expenses!H$3:H$1002,Expenses!D$3:D$1002)))</f>
        <v>0</v>
      </c>
      <c r="F13" s="24" t="n">
        <f aca="false">SUMPRODUCT((Expenses!C$3:C$1002="Electronics")*(Expenses!E$3:E$1002="GBP")*(MONTH(Expenses!A$3:A$1002)=11)*(YEAR(Expenses!A$3:A$1002)=2026)*(Expenses!A$3:A$1002&lt;&gt;"")*(IF(Expenses!G$3:G$1002="Yes",Expenses!H$3:H$1002,Expenses!D$3:D$1002)))</f>
        <v>0</v>
      </c>
      <c r="G13" s="24" t="n">
        <f aca="false">SUMPRODUCT((Expenses!C$3:C$1002="Subscriptions")*(Expenses!E$3:E$1002="GBP")*(MONTH(Expenses!A$3:A$1002)=11)*(YEAR(Expenses!A$3:A$1002)=2026)*(Expenses!A$3:A$1002&lt;&gt;"")*(IF(Expenses!G$3:G$1002="Yes",Expenses!H$3:H$1002,Expenses!D$3:D$1002)))</f>
        <v>0</v>
      </c>
      <c r="H13" s="24" t="n">
        <f aca="false">SUMPRODUCT((Expenses!C$3:C$1002="Bills")*(Expenses!E$3:E$1002="GBP")*(MONTH(Expenses!A$3:A$1002)=11)*(YEAR(Expenses!A$3:A$1002)=2026)*(Expenses!A$3:A$1002&lt;&gt;"")*(IF(Expenses!G$3:G$1002="Yes",Expenses!H$3:H$1002,Expenses!D$3:D$1002)))</f>
        <v>0</v>
      </c>
      <c r="I13" s="24" t="n">
        <f aca="false">SUMPRODUCT((Expenses!C$3:C$1002="Entertainment")*(Expenses!E$3:E$1002="GBP")*(MONTH(Expenses!A$3:A$1002)=11)*(YEAR(Expenses!A$3:A$1002)=2026)*(Expenses!A$3:A$1002&lt;&gt;"")*(IF(Expenses!G$3:G$1002="Yes",Expenses!H$3:H$1002,Expenses!D$3:D$1002)))</f>
        <v>0</v>
      </c>
      <c r="J13" s="24" t="n">
        <f aca="false">SUMPRODUCT((Expenses!C$3:C$1002="Food and Drinks")*(Expenses!E$3:E$1002="GBP")*(MONTH(Expenses!A$3:A$1002)=11)*(YEAR(Expenses!A$3:A$1002)=2026)*(Expenses!A$3:A$1002&lt;&gt;"")*(IF(Expenses!G$3:G$1002="Yes",Expenses!H$3:H$1002,Expenses!D$3:D$1002)))</f>
        <v>0</v>
      </c>
      <c r="K13" s="24" t="n">
        <f aca="false">SUMPRODUCT((Expenses!C$3:C$1002="Groceries")*(Expenses!E$3:E$1002="GBP")*(MONTH(Expenses!A$3:A$1002)=11)*(YEAR(Expenses!A$3:A$1002)=2026)*(Expenses!A$3:A$1002&lt;&gt;"")*(IF(Expenses!G$3:G$1002="Yes",Expenses!H$3:H$1002,Expenses!D$3:D$1002)))</f>
        <v>0</v>
      </c>
      <c r="L13" s="24" t="n">
        <f aca="false">SUMPRODUCT((Expenses!C$3:C$1002="Others")*(Expenses!E$3:E$1002="GBP")*(MONTH(Expenses!A$3:A$1002)=11)*(YEAR(Expenses!A$3:A$1002)=2026)*(Expenses!A$3:A$1002&lt;&gt;"")*(IF(Expenses!G$3:G$1002="Yes",Expenses!H$3:H$1002,Expenses!D$3:D$1002)))</f>
        <v>0</v>
      </c>
      <c r="M13" s="24" t="n">
        <f aca="false">SUMPRODUCT((Expenses!C$3:C$1002="Gifts")*(Expenses!E$3:E$1002="GBP")*(MONTH(Expenses!A$3:A$1002)=11)*(YEAR(Expenses!A$3:A$1002)=2026)*(Expenses!A$3:A$1002&lt;&gt;"")*(IF(Expenses!G$3:G$1002="Yes",Expenses!H$3:H$1002,Expenses!D$3:D$1002)))</f>
        <v>0</v>
      </c>
      <c r="N13" s="24" t="n">
        <f aca="false">SUMPRODUCT((Expenses!C$3:C$1002="Donations")*(Expenses!E$3:E$1002="GBP")*(MONTH(Expenses!A$3:A$1002)=11)*(YEAR(Expenses!A$3:A$1002)=2026)*(Expenses!A$3:A$1002&lt;&gt;"")*(IF(Expenses!G$3:G$1002="Yes",Expenses!H$3:H$1002,Expenses!D$3:D$1002)))</f>
        <v>0</v>
      </c>
      <c r="O13" s="24" t="n">
        <f aca="false">SUMPRODUCT((Expenses!C$3:C$1002="Investments")*(Expenses!E$3:E$1002="GBP")*(MONTH(Expenses!A$3:A$1002)=11)*(YEAR(Expenses!A$3:A$1002)=2026)*(Expenses!A$3:A$1002&lt;&gt;"")*(IF(Expenses!G$3:G$1002="Yes",Expenses!H$3:H$1002,Expenses!D$3:D$1002)))</f>
        <v>0</v>
      </c>
      <c r="P13" s="45" t="n">
        <f aca="false">SUM(B13:O13)</f>
        <v>0</v>
      </c>
      <c r="Q13" s="24" t="n">
        <f aca="false">SUMPRODUCT((Income!D$3:D$502="GBP")*(MONTH(Income!A$3:A$502)=11)*(YEAR(Income!A$3:A$502)=2026)*(Income!A$3:A$502&lt;&gt;"")*Income!C$3:C$502)</f>
        <v>0</v>
      </c>
      <c r="R13" s="45" t="n">
        <f aca="false">Q13-P13</f>
        <v>0</v>
      </c>
    </row>
    <row r="14" customFormat="false" ht="15" hidden="false" customHeight="false" outlineLevel="0" collapsed="false">
      <c r="A14" s="3" t="s">
        <v>136</v>
      </c>
      <c r="B14" s="24" t="n">
        <f aca="false">SUMPRODUCT((Expenses!C$3:C$1002="Rent")*(Expenses!E$3:E$1002="GBP")*(MONTH(Expenses!A$3:A$1002)=12)*(YEAR(Expenses!A$3:A$1002)=2026)*(Expenses!A$3:A$1002&lt;&gt;"")*(IF(Expenses!G$3:G$1002="Yes",Expenses!H$3:H$1002,Expenses!D$3:D$1002)))</f>
        <v>0</v>
      </c>
      <c r="C14" s="24" t="n">
        <f aca="false">SUMPRODUCT((Expenses!C$3:C$1002="Transport")*(Expenses!E$3:E$1002="GBP")*(MONTH(Expenses!A$3:A$1002)=12)*(YEAR(Expenses!A$3:A$1002)=2026)*(Expenses!A$3:A$1002&lt;&gt;"")*(IF(Expenses!G$3:G$1002="Yes",Expenses!H$3:H$1002,Expenses!D$3:D$1002)))</f>
        <v>0</v>
      </c>
      <c r="D14" s="24" t="n">
        <f aca="false">SUMPRODUCT((Expenses!C$3:C$1002="Travel")*(Expenses!E$3:E$1002="GBP")*(MONTH(Expenses!A$3:A$1002)=12)*(YEAR(Expenses!A$3:A$1002)=2026)*(Expenses!A$3:A$1002&lt;&gt;"")*(IF(Expenses!G$3:G$1002="Yes",Expenses!H$3:H$1002,Expenses!D$3:D$1002)))</f>
        <v>0</v>
      </c>
      <c r="E14" s="24" t="n">
        <f aca="false">SUMPRODUCT((Expenses!C$3:C$1002="Shopping")*(Expenses!E$3:E$1002="GBP")*(MONTH(Expenses!A$3:A$1002)=12)*(YEAR(Expenses!A$3:A$1002)=2026)*(Expenses!A$3:A$1002&lt;&gt;"")*(IF(Expenses!G$3:G$1002="Yes",Expenses!H$3:H$1002,Expenses!D$3:D$1002)))</f>
        <v>0</v>
      </c>
      <c r="F14" s="24" t="n">
        <f aca="false">SUMPRODUCT((Expenses!C$3:C$1002="Electronics")*(Expenses!E$3:E$1002="GBP")*(MONTH(Expenses!A$3:A$1002)=12)*(YEAR(Expenses!A$3:A$1002)=2026)*(Expenses!A$3:A$1002&lt;&gt;"")*(IF(Expenses!G$3:G$1002="Yes",Expenses!H$3:H$1002,Expenses!D$3:D$1002)))</f>
        <v>0</v>
      </c>
      <c r="G14" s="24" t="n">
        <f aca="false">SUMPRODUCT((Expenses!C$3:C$1002="Subscriptions")*(Expenses!E$3:E$1002="GBP")*(MONTH(Expenses!A$3:A$1002)=12)*(YEAR(Expenses!A$3:A$1002)=2026)*(Expenses!A$3:A$1002&lt;&gt;"")*(IF(Expenses!G$3:G$1002="Yes",Expenses!H$3:H$1002,Expenses!D$3:D$1002)))</f>
        <v>0</v>
      </c>
      <c r="H14" s="24" t="n">
        <f aca="false">SUMPRODUCT((Expenses!C$3:C$1002="Bills")*(Expenses!E$3:E$1002="GBP")*(MONTH(Expenses!A$3:A$1002)=12)*(YEAR(Expenses!A$3:A$1002)=2026)*(Expenses!A$3:A$1002&lt;&gt;"")*(IF(Expenses!G$3:G$1002="Yes",Expenses!H$3:H$1002,Expenses!D$3:D$1002)))</f>
        <v>0</v>
      </c>
      <c r="I14" s="24" t="n">
        <f aca="false">SUMPRODUCT((Expenses!C$3:C$1002="Entertainment")*(Expenses!E$3:E$1002="GBP")*(MONTH(Expenses!A$3:A$1002)=12)*(YEAR(Expenses!A$3:A$1002)=2026)*(Expenses!A$3:A$1002&lt;&gt;"")*(IF(Expenses!G$3:G$1002="Yes",Expenses!H$3:H$1002,Expenses!D$3:D$1002)))</f>
        <v>0</v>
      </c>
      <c r="J14" s="24" t="n">
        <f aca="false">SUMPRODUCT((Expenses!C$3:C$1002="Food and Drinks")*(Expenses!E$3:E$1002="GBP")*(MONTH(Expenses!A$3:A$1002)=12)*(YEAR(Expenses!A$3:A$1002)=2026)*(Expenses!A$3:A$1002&lt;&gt;"")*(IF(Expenses!G$3:G$1002="Yes",Expenses!H$3:H$1002,Expenses!D$3:D$1002)))</f>
        <v>0</v>
      </c>
      <c r="K14" s="24" t="n">
        <f aca="false">SUMPRODUCT((Expenses!C$3:C$1002="Groceries")*(Expenses!E$3:E$1002="GBP")*(MONTH(Expenses!A$3:A$1002)=12)*(YEAR(Expenses!A$3:A$1002)=2026)*(Expenses!A$3:A$1002&lt;&gt;"")*(IF(Expenses!G$3:G$1002="Yes",Expenses!H$3:H$1002,Expenses!D$3:D$1002)))</f>
        <v>0</v>
      </c>
      <c r="L14" s="24" t="n">
        <f aca="false">SUMPRODUCT((Expenses!C$3:C$1002="Others")*(Expenses!E$3:E$1002="GBP")*(MONTH(Expenses!A$3:A$1002)=12)*(YEAR(Expenses!A$3:A$1002)=2026)*(Expenses!A$3:A$1002&lt;&gt;"")*(IF(Expenses!G$3:G$1002="Yes",Expenses!H$3:H$1002,Expenses!D$3:D$1002)))</f>
        <v>0</v>
      </c>
      <c r="M14" s="24" t="n">
        <f aca="false">SUMPRODUCT((Expenses!C$3:C$1002="Gifts")*(Expenses!E$3:E$1002="GBP")*(MONTH(Expenses!A$3:A$1002)=12)*(YEAR(Expenses!A$3:A$1002)=2026)*(Expenses!A$3:A$1002&lt;&gt;"")*(IF(Expenses!G$3:G$1002="Yes",Expenses!H$3:H$1002,Expenses!D$3:D$1002)))</f>
        <v>0</v>
      </c>
      <c r="N14" s="24" t="n">
        <f aca="false">SUMPRODUCT((Expenses!C$3:C$1002="Donations")*(Expenses!E$3:E$1002="GBP")*(MONTH(Expenses!A$3:A$1002)=12)*(YEAR(Expenses!A$3:A$1002)=2026)*(Expenses!A$3:A$1002&lt;&gt;"")*(IF(Expenses!G$3:G$1002="Yes",Expenses!H$3:H$1002,Expenses!D$3:D$1002)))</f>
        <v>0</v>
      </c>
      <c r="O14" s="24" t="n">
        <f aca="false">SUMPRODUCT((Expenses!C$3:C$1002="Investments")*(Expenses!E$3:E$1002="GBP")*(MONTH(Expenses!A$3:A$1002)=12)*(YEAR(Expenses!A$3:A$1002)=2026)*(Expenses!A$3:A$1002&lt;&gt;"")*(IF(Expenses!G$3:G$1002="Yes",Expenses!H$3:H$1002,Expenses!D$3:D$1002)))</f>
        <v>0</v>
      </c>
      <c r="P14" s="45" t="n">
        <f aca="false">SUM(B14:O14)</f>
        <v>0</v>
      </c>
      <c r="Q14" s="24" t="n">
        <f aca="false">SUMPRODUCT((Income!D$3:D$502="GBP")*(MONTH(Income!A$3:A$502)=12)*(YEAR(Income!A$3:A$502)=2026)*(Income!A$3:A$502&lt;&gt;"")*Income!C$3:C$502)</f>
        <v>0</v>
      </c>
      <c r="R14" s="45" t="n">
        <f aca="false">Q14-P14</f>
        <v>0</v>
      </c>
    </row>
    <row r="16" customFormat="false" ht="15" hidden="false" customHeight="false" outlineLevel="0" collapsed="false">
      <c r="A16" s="47" t="s">
        <v>137</v>
      </c>
      <c r="B16" s="48" t="n">
        <f aca="false">SUM(B3:B14)</f>
        <v>0</v>
      </c>
      <c r="C16" s="48" t="n">
        <f aca="false">SUM(C3:C14)</f>
        <v>0</v>
      </c>
      <c r="D16" s="48" t="n">
        <f aca="false">SUM(D3:D14)</f>
        <v>0</v>
      </c>
      <c r="E16" s="48" t="n">
        <f aca="false">SUM(E3:E14)</f>
        <v>0</v>
      </c>
      <c r="F16" s="48" t="n">
        <f aca="false">SUM(F3:F14)</f>
        <v>0</v>
      </c>
      <c r="G16" s="48" t="n">
        <f aca="false">SUM(G3:G14)</f>
        <v>0</v>
      </c>
      <c r="H16" s="48" t="n">
        <f aca="false">SUM(H3:H14)</f>
        <v>0</v>
      </c>
      <c r="I16" s="48" t="n">
        <f aca="false">SUM(I3:I14)</f>
        <v>0</v>
      </c>
      <c r="J16" s="48" t="n">
        <f aca="false">SUM(J3:J14)</f>
        <v>0</v>
      </c>
      <c r="K16" s="48" t="n">
        <f aca="false">SUM(K3:K14)</f>
        <v>0</v>
      </c>
      <c r="L16" s="48" t="n">
        <f aca="false">SUM(L3:L14)</f>
        <v>0</v>
      </c>
      <c r="M16" s="48" t="n">
        <f aca="false">SUM(M3:M14)</f>
        <v>0</v>
      </c>
      <c r="N16" s="48" t="n">
        <f aca="false">SUM(N3:N14)</f>
        <v>0</v>
      </c>
      <c r="O16" s="48" t="n">
        <f aca="false">SUM(O3:O14)</f>
        <v>0</v>
      </c>
      <c r="P16" s="48" t="n">
        <f aca="false">SUM(P3:P14)</f>
        <v>0</v>
      </c>
      <c r="Q16" s="48" t="n">
        <f aca="false">SUM(Q3:Q14)</f>
        <v>0</v>
      </c>
      <c r="R16" s="48" t="n">
        <f aca="false">SUM(R3:R14)</f>
        <v>0</v>
      </c>
    </row>
    <row r="18" customFormat="false" ht="15" hidden="false" customHeight="false" outlineLevel="0" collapsed="false">
      <c r="A18" s="20" t="s">
        <v>138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50" t="n">
        <f aca="false">SUM(B18:O18)</f>
        <v>0</v>
      </c>
    </row>
    <row r="21" customFormat="false" ht="17.35" hidden="false" customHeight="false" outlineLevel="0" collapsed="false">
      <c r="A21" s="51" t="s">
        <v>139</v>
      </c>
      <c r="B21" s="51"/>
      <c r="C21" s="51"/>
      <c r="D21" s="51"/>
      <c r="E21" s="51"/>
      <c r="F21" s="51"/>
      <c r="G21" s="51"/>
      <c r="H21" s="51"/>
    </row>
  </sheetData>
  <mergeCells count="2">
    <mergeCell ref="A1:R1"/>
    <mergeCell ref="A21:H21"/>
  </mergeCells>
  <conditionalFormatting sqref="B3:B14">
    <cfRule type="cellIs" priority="2" operator="lessThanOrEqual" aboveAverage="0" equalAverage="0" bottom="0" percent="0" rank="0" text="" dxfId="0">
      <formula>$B$18</formula>
    </cfRule>
    <cfRule type="cellIs" priority="3" operator="greaterThan" aboveAverage="0" equalAverage="0" bottom="0" percent="0" rank="0" text="" dxfId="1">
      <formula>$B$18</formula>
    </cfRule>
  </conditionalFormatting>
  <conditionalFormatting sqref="C3:C14">
    <cfRule type="cellIs" priority="4" operator="lessThanOrEqual" aboveAverage="0" equalAverage="0" bottom="0" percent="0" rank="0" text="" dxfId="0">
      <formula>$C$18</formula>
    </cfRule>
    <cfRule type="cellIs" priority="5" operator="greaterThan" aboveAverage="0" equalAverage="0" bottom="0" percent="0" rank="0" text="" dxfId="1">
      <formula>$C$18</formula>
    </cfRule>
  </conditionalFormatting>
  <conditionalFormatting sqref="D3:D14">
    <cfRule type="cellIs" priority="6" operator="lessThanOrEqual" aboveAverage="0" equalAverage="0" bottom="0" percent="0" rank="0" text="" dxfId="0">
      <formula>$D$18</formula>
    </cfRule>
    <cfRule type="cellIs" priority="7" operator="greaterThan" aboveAverage="0" equalAverage="0" bottom="0" percent="0" rank="0" text="" dxfId="1">
      <formula>$D$18</formula>
    </cfRule>
  </conditionalFormatting>
  <conditionalFormatting sqref="E3:E14">
    <cfRule type="cellIs" priority="8" operator="lessThanOrEqual" aboveAverage="0" equalAverage="0" bottom="0" percent="0" rank="0" text="" dxfId="0">
      <formula>$E$18</formula>
    </cfRule>
    <cfRule type="cellIs" priority="9" operator="greaterThan" aboveAverage="0" equalAverage="0" bottom="0" percent="0" rank="0" text="" dxfId="1">
      <formula>$E$18</formula>
    </cfRule>
  </conditionalFormatting>
  <conditionalFormatting sqref="F3:F14">
    <cfRule type="cellIs" priority="10" operator="lessThanOrEqual" aboveAverage="0" equalAverage="0" bottom="0" percent="0" rank="0" text="" dxfId="0">
      <formula>$F$18</formula>
    </cfRule>
    <cfRule type="cellIs" priority="11" operator="greaterThan" aboveAverage="0" equalAverage="0" bottom="0" percent="0" rank="0" text="" dxfId="1">
      <formula>$F$18</formula>
    </cfRule>
  </conditionalFormatting>
  <conditionalFormatting sqref="G3:G14">
    <cfRule type="cellIs" priority="12" operator="lessThanOrEqual" aboveAverage="0" equalAverage="0" bottom="0" percent="0" rank="0" text="" dxfId="0">
      <formula>$G$18</formula>
    </cfRule>
    <cfRule type="cellIs" priority="13" operator="greaterThan" aboveAverage="0" equalAverage="0" bottom="0" percent="0" rank="0" text="" dxfId="1">
      <formula>$G$18</formula>
    </cfRule>
  </conditionalFormatting>
  <conditionalFormatting sqref="H3:H14">
    <cfRule type="cellIs" priority="14" operator="lessThanOrEqual" aboveAverage="0" equalAverage="0" bottom="0" percent="0" rank="0" text="" dxfId="0">
      <formula>$H$18</formula>
    </cfRule>
    <cfRule type="cellIs" priority="15" operator="greaterThan" aboveAverage="0" equalAverage="0" bottom="0" percent="0" rank="0" text="" dxfId="1">
      <formula>$H$18</formula>
    </cfRule>
  </conditionalFormatting>
  <conditionalFormatting sqref="I3:I14">
    <cfRule type="cellIs" priority="16" operator="lessThanOrEqual" aboveAverage="0" equalAverage="0" bottom="0" percent="0" rank="0" text="" dxfId="0">
      <formula>$I$18</formula>
    </cfRule>
    <cfRule type="cellIs" priority="17" operator="greaterThan" aboveAverage="0" equalAverage="0" bottom="0" percent="0" rank="0" text="" dxfId="1">
      <formula>$I$18</formula>
    </cfRule>
  </conditionalFormatting>
  <conditionalFormatting sqref="J3:J14">
    <cfRule type="cellIs" priority="18" operator="lessThanOrEqual" aboveAverage="0" equalAverage="0" bottom="0" percent="0" rank="0" text="" dxfId="0">
      <formula>$J$18</formula>
    </cfRule>
    <cfRule type="cellIs" priority="19" operator="greaterThan" aboveAverage="0" equalAverage="0" bottom="0" percent="0" rank="0" text="" dxfId="1">
      <formula>$J$18</formula>
    </cfRule>
  </conditionalFormatting>
  <conditionalFormatting sqref="K3:K14">
    <cfRule type="cellIs" priority="20" operator="lessThanOrEqual" aboveAverage="0" equalAverage="0" bottom="0" percent="0" rank="0" text="" dxfId="0">
      <formula>$K$18</formula>
    </cfRule>
    <cfRule type="cellIs" priority="21" operator="greaterThan" aboveAverage="0" equalAverage="0" bottom="0" percent="0" rank="0" text="" dxfId="1">
      <formula>$K$18</formula>
    </cfRule>
  </conditionalFormatting>
  <conditionalFormatting sqref="L3:L14">
    <cfRule type="cellIs" priority="22" operator="lessThanOrEqual" aboveAverage="0" equalAverage="0" bottom="0" percent="0" rank="0" text="" dxfId="0">
      <formula>$L$18</formula>
    </cfRule>
    <cfRule type="cellIs" priority="23" operator="greaterThan" aboveAverage="0" equalAverage="0" bottom="0" percent="0" rank="0" text="" dxfId="1">
      <formula>$L$18</formula>
    </cfRule>
  </conditionalFormatting>
  <conditionalFormatting sqref="M3:M14">
    <cfRule type="cellIs" priority="24" operator="lessThanOrEqual" aboveAverage="0" equalAverage="0" bottom="0" percent="0" rank="0" text="" dxfId="0">
      <formula>$M$18</formula>
    </cfRule>
    <cfRule type="cellIs" priority="25" operator="greaterThan" aboveAverage="0" equalAverage="0" bottom="0" percent="0" rank="0" text="" dxfId="1">
      <formula>$M$18</formula>
    </cfRule>
  </conditionalFormatting>
  <conditionalFormatting sqref="N3:N14">
    <cfRule type="cellIs" priority="26" operator="lessThanOrEqual" aboveAverage="0" equalAverage="0" bottom="0" percent="0" rank="0" text="" dxfId="0">
      <formula>$N$18</formula>
    </cfRule>
    <cfRule type="cellIs" priority="27" operator="greaterThan" aboveAverage="0" equalAverage="0" bottom="0" percent="0" rank="0" text="" dxfId="1">
      <formula>$N$18</formula>
    </cfRule>
  </conditionalFormatting>
  <conditionalFormatting sqref="O3:O14">
    <cfRule type="cellIs" priority="28" operator="lessThanOrEqual" aboveAverage="0" equalAverage="0" bottom="0" percent="0" rank="0" text="" dxfId="0">
      <formula>$O$18</formula>
    </cfRule>
    <cfRule type="cellIs" priority="29" operator="greaterThan" aboveAverage="0" equalAverage="0" bottom="0" percent="0" rank="0" text="" dxfId="1">
      <formula>$O$18</formula>
    </cfRule>
  </conditionalFormatting>
  <conditionalFormatting sqref="R3:R14">
    <cfRule type="cellIs" priority="30" operator="lessThan" aboveAverage="0" equalAverage="0" bottom="0" percent="0" rank="0" text="" dxfId="1">
      <formula>0</formula>
    </cfRule>
    <cfRule type="cellIs" priority="31" operator="greater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5" min="2" style="0" width="14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6"/>
  </cols>
  <sheetData>
    <row r="1" customFormat="false" ht="17.35" hidden="false" customHeight="false" outlineLevel="0" collapsed="false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6.85" hidden="false" customHeight="false" outlineLevel="0" collapsed="false">
      <c r="A2" s="46" t="s">
        <v>121</v>
      </c>
      <c r="B2" s="46" t="s">
        <v>42</v>
      </c>
      <c r="C2" s="46" t="s">
        <v>43</v>
      </c>
      <c r="D2" s="46" t="s">
        <v>44</v>
      </c>
      <c r="E2" s="46" t="s">
        <v>45</v>
      </c>
      <c r="F2" s="46" t="s">
        <v>46</v>
      </c>
      <c r="G2" s="46" t="s">
        <v>47</v>
      </c>
      <c r="H2" s="46" t="s">
        <v>48</v>
      </c>
      <c r="I2" s="46" t="s">
        <v>49</v>
      </c>
      <c r="J2" s="46" t="s">
        <v>50</v>
      </c>
      <c r="K2" s="46" t="s">
        <v>51</v>
      </c>
      <c r="L2" s="46" t="s">
        <v>52</v>
      </c>
      <c r="M2" s="46" t="s">
        <v>53</v>
      </c>
      <c r="N2" s="46" t="s">
        <v>54</v>
      </c>
      <c r="O2" s="46" t="s">
        <v>55</v>
      </c>
      <c r="P2" s="46" t="s">
        <v>122</v>
      </c>
      <c r="Q2" s="46" t="s">
        <v>123</v>
      </c>
      <c r="R2" s="46" t="s">
        <v>124</v>
      </c>
    </row>
    <row r="3" customFormat="false" ht="15" hidden="false" customHeight="false" outlineLevel="0" collapsed="false">
      <c r="A3" s="3" t="s">
        <v>125</v>
      </c>
      <c r="B3" s="52" t="n">
        <f aca="false">SUMPRODUCT((Expenses!C$3:C$1002="Rent")*(Expenses!E$3:E$1002="INR")*(MONTH(Expenses!A$3:A$1002)=1)*(YEAR(Expenses!A$3:A$1002)=2026)*(Expenses!A$3:A$1002&lt;&gt;"")*(IF(Expenses!G$3:G$1002="Yes",Expenses!H$3:H$1002,Expenses!D$3:D$1002)))</f>
        <v>0</v>
      </c>
      <c r="C3" s="52" t="n">
        <f aca="false">SUMPRODUCT((Expenses!C$3:C$1002="Transport")*(Expenses!E$3:E$1002="INR")*(MONTH(Expenses!A$3:A$1002)=1)*(YEAR(Expenses!A$3:A$1002)=2026)*(Expenses!A$3:A$1002&lt;&gt;"")*(IF(Expenses!G$3:G$1002="Yes",Expenses!H$3:H$1002,Expenses!D$3:D$1002)))</f>
        <v>0</v>
      </c>
      <c r="D3" s="52" t="n">
        <f aca="false">SUMPRODUCT((Expenses!C$3:C$1002="Travel")*(Expenses!E$3:E$1002="INR")*(MONTH(Expenses!A$3:A$1002)=1)*(YEAR(Expenses!A$3:A$1002)=2026)*(Expenses!A$3:A$1002&lt;&gt;"")*(IF(Expenses!G$3:G$1002="Yes",Expenses!H$3:H$1002,Expenses!D$3:D$1002)))</f>
        <v>0</v>
      </c>
      <c r="E3" s="52" t="n">
        <f aca="false">SUMPRODUCT((Expenses!C$3:C$1002="Shopping")*(Expenses!E$3:E$1002="INR")*(MONTH(Expenses!A$3:A$1002)=1)*(YEAR(Expenses!A$3:A$1002)=2026)*(Expenses!A$3:A$1002&lt;&gt;"")*(IF(Expenses!G$3:G$1002="Yes",Expenses!H$3:H$1002,Expenses!D$3:D$1002)))</f>
        <v>0</v>
      </c>
      <c r="F3" s="52" t="n">
        <f aca="false">SUMPRODUCT((Expenses!C$3:C$1002="Electronics")*(Expenses!E$3:E$1002="INR")*(MONTH(Expenses!A$3:A$1002)=1)*(YEAR(Expenses!A$3:A$1002)=2026)*(Expenses!A$3:A$1002&lt;&gt;"")*(IF(Expenses!G$3:G$1002="Yes",Expenses!H$3:H$1002,Expenses!D$3:D$1002)))</f>
        <v>0</v>
      </c>
      <c r="G3" s="52" t="n">
        <f aca="false">SUMPRODUCT((Expenses!C$3:C$1002="Subscriptions")*(Expenses!E$3:E$1002="INR")*(MONTH(Expenses!A$3:A$1002)=1)*(YEAR(Expenses!A$3:A$1002)=2026)*(Expenses!A$3:A$1002&lt;&gt;"")*(IF(Expenses!G$3:G$1002="Yes",Expenses!H$3:H$1002,Expenses!D$3:D$1002)))</f>
        <v>0</v>
      </c>
      <c r="H3" s="52" t="n">
        <f aca="false">SUMPRODUCT((Expenses!C$3:C$1002="Bills")*(Expenses!E$3:E$1002="INR")*(MONTH(Expenses!A$3:A$1002)=1)*(YEAR(Expenses!A$3:A$1002)=2026)*(Expenses!A$3:A$1002&lt;&gt;"")*(IF(Expenses!G$3:G$1002="Yes",Expenses!H$3:H$1002,Expenses!D$3:D$1002)))</f>
        <v>0</v>
      </c>
      <c r="I3" s="52" t="n">
        <f aca="false">SUMPRODUCT((Expenses!C$3:C$1002="Entertainment")*(Expenses!E$3:E$1002="INR")*(MONTH(Expenses!A$3:A$1002)=1)*(YEAR(Expenses!A$3:A$1002)=2026)*(Expenses!A$3:A$1002&lt;&gt;"")*(IF(Expenses!G$3:G$1002="Yes",Expenses!H$3:H$1002,Expenses!D$3:D$1002)))</f>
        <v>0</v>
      </c>
      <c r="J3" s="52" t="n">
        <f aca="false">SUMPRODUCT((Expenses!C$3:C$1002="Food and Drinks")*(Expenses!E$3:E$1002="INR")*(MONTH(Expenses!A$3:A$1002)=1)*(YEAR(Expenses!A$3:A$1002)=2026)*(Expenses!A$3:A$1002&lt;&gt;"")*(IF(Expenses!G$3:G$1002="Yes",Expenses!H$3:H$1002,Expenses!D$3:D$1002)))</f>
        <v>0</v>
      </c>
      <c r="K3" s="52" t="n">
        <f aca="false">SUMPRODUCT((Expenses!C$3:C$1002="Groceries")*(Expenses!E$3:E$1002="INR")*(MONTH(Expenses!A$3:A$1002)=1)*(YEAR(Expenses!A$3:A$1002)=2026)*(Expenses!A$3:A$1002&lt;&gt;"")*(IF(Expenses!G$3:G$1002="Yes",Expenses!H$3:H$1002,Expenses!D$3:D$1002)))</f>
        <v>0</v>
      </c>
      <c r="L3" s="52" t="n">
        <f aca="false">SUMPRODUCT((Expenses!C$3:C$1002="Others")*(Expenses!E$3:E$1002="INR")*(MONTH(Expenses!A$3:A$1002)=1)*(YEAR(Expenses!A$3:A$1002)=2026)*(Expenses!A$3:A$1002&lt;&gt;"")*(IF(Expenses!G$3:G$1002="Yes",Expenses!H$3:H$1002,Expenses!D$3:D$1002)))</f>
        <v>0</v>
      </c>
      <c r="M3" s="52" t="n">
        <f aca="false">SUMPRODUCT((Expenses!C$3:C$1002="Gifts")*(Expenses!E$3:E$1002="INR")*(MONTH(Expenses!A$3:A$1002)=1)*(YEAR(Expenses!A$3:A$1002)=2026)*(Expenses!A$3:A$1002&lt;&gt;"")*(IF(Expenses!G$3:G$1002="Yes",Expenses!H$3:H$1002,Expenses!D$3:D$1002)))</f>
        <v>0</v>
      </c>
      <c r="N3" s="52" t="n">
        <f aca="false">SUMPRODUCT((Expenses!C$3:C$1002="Donations")*(Expenses!E$3:E$1002="INR")*(MONTH(Expenses!A$3:A$1002)=1)*(YEAR(Expenses!A$3:A$1002)=2026)*(Expenses!A$3:A$1002&lt;&gt;"")*(IF(Expenses!G$3:G$1002="Yes",Expenses!H$3:H$1002,Expenses!D$3:D$1002)))</f>
        <v>0</v>
      </c>
      <c r="O3" s="52" t="n">
        <f aca="false">SUMPRODUCT((Expenses!C$3:C$1002="Investments")*(Expenses!E$3:E$1002="INR")*(MONTH(Expenses!A$3:A$1002)=1)*(YEAR(Expenses!A$3:A$1002)=2026)*(Expenses!A$3:A$1002&lt;&gt;"")*(IF(Expenses!G$3:G$1002="Yes",Expenses!H$3:H$1002,Expenses!D$3:D$1002)))</f>
        <v>0</v>
      </c>
      <c r="P3" s="53" t="n">
        <f aca="false">SUM(B3:O3)</f>
        <v>0</v>
      </c>
      <c r="Q3" s="52" t="n">
        <f aca="false">SUMPRODUCT((Income!D$3:D$502="INR")*(MONTH(Income!A$3:A$502)=1)*(YEAR(Income!A$3:A$502)=2026)*(Income!A$3:A$502&lt;&gt;"")*Income!C$3:C$502)</f>
        <v>0</v>
      </c>
      <c r="R3" s="53" t="n">
        <f aca="false">Q3-P3</f>
        <v>0</v>
      </c>
    </row>
    <row r="4" customFormat="false" ht="15" hidden="false" customHeight="false" outlineLevel="0" collapsed="false">
      <c r="A4" s="3" t="s">
        <v>126</v>
      </c>
      <c r="B4" s="52" t="n">
        <f aca="false">SUMPRODUCT((Expenses!C$3:C$1002="Rent")*(Expenses!E$3:E$1002="INR")*(MONTH(Expenses!A$3:A$1002)=2)*(YEAR(Expenses!A$3:A$1002)=2026)*(Expenses!A$3:A$1002&lt;&gt;"")*(IF(Expenses!G$3:G$1002="Yes",Expenses!H$3:H$1002,Expenses!D$3:D$1002)))</f>
        <v>0</v>
      </c>
      <c r="C4" s="52" t="n">
        <f aca="false">SUMPRODUCT((Expenses!C$3:C$1002="Transport")*(Expenses!E$3:E$1002="INR")*(MONTH(Expenses!A$3:A$1002)=2)*(YEAR(Expenses!A$3:A$1002)=2026)*(Expenses!A$3:A$1002&lt;&gt;"")*(IF(Expenses!G$3:G$1002="Yes",Expenses!H$3:H$1002,Expenses!D$3:D$1002)))</f>
        <v>0</v>
      </c>
      <c r="D4" s="52" t="n">
        <f aca="false">SUMPRODUCT((Expenses!C$3:C$1002="Travel")*(Expenses!E$3:E$1002="INR")*(MONTH(Expenses!A$3:A$1002)=2)*(YEAR(Expenses!A$3:A$1002)=2026)*(Expenses!A$3:A$1002&lt;&gt;"")*(IF(Expenses!G$3:G$1002="Yes",Expenses!H$3:H$1002,Expenses!D$3:D$1002)))</f>
        <v>0</v>
      </c>
      <c r="E4" s="52" t="n">
        <f aca="false">SUMPRODUCT((Expenses!C$3:C$1002="Shopping")*(Expenses!E$3:E$1002="INR")*(MONTH(Expenses!A$3:A$1002)=2)*(YEAR(Expenses!A$3:A$1002)=2026)*(Expenses!A$3:A$1002&lt;&gt;"")*(IF(Expenses!G$3:G$1002="Yes",Expenses!H$3:H$1002,Expenses!D$3:D$1002)))</f>
        <v>0</v>
      </c>
      <c r="F4" s="52" t="n">
        <f aca="false">SUMPRODUCT((Expenses!C$3:C$1002="Electronics")*(Expenses!E$3:E$1002="INR")*(MONTH(Expenses!A$3:A$1002)=2)*(YEAR(Expenses!A$3:A$1002)=2026)*(Expenses!A$3:A$1002&lt;&gt;"")*(IF(Expenses!G$3:G$1002="Yes",Expenses!H$3:H$1002,Expenses!D$3:D$1002)))</f>
        <v>0</v>
      </c>
      <c r="G4" s="52" t="n">
        <f aca="false">SUMPRODUCT((Expenses!C$3:C$1002="Subscriptions")*(Expenses!E$3:E$1002="INR")*(MONTH(Expenses!A$3:A$1002)=2)*(YEAR(Expenses!A$3:A$1002)=2026)*(Expenses!A$3:A$1002&lt;&gt;"")*(IF(Expenses!G$3:G$1002="Yes",Expenses!H$3:H$1002,Expenses!D$3:D$1002)))</f>
        <v>0</v>
      </c>
      <c r="H4" s="52" t="n">
        <f aca="false">SUMPRODUCT((Expenses!C$3:C$1002="Bills")*(Expenses!E$3:E$1002="INR")*(MONTH(Expenses!A$3:A$1002)=2)*(YEAR(Expenses!A$3:A$1002)=2026)*(Expenses!A$3:A$1002&lt;&gt;"")*(IF(Expenses!G$3:G$1002="Yes",Expenses!H$3:H$1002,Expenses!D$3:D$1002)))</f>
        <v>0</v>
      </c>
      <c r="I4" s="52" t="n">
        <f aca="false">SUMPRODUCT((Expenses!C$3:C$1002="Entertainment")*(Expenses!E$3:E$1002="INR")*(MONTH(Expenses!A$3:A$1002)=2)*(YEAR(Expenses!A$3:A$1002)=2026)*(Expenses!A$3:A$1002&lt;&gt;"")*(IF(Expenses!G$3:G$1002="Yes",Expenses!H$3:H$1002,Expenses!D$3:D$1002)))</f>
        <v>0</v>
      </c>
      <c r="J4" s="52" t="n">
        <f aca="false">SUMPRODUCT((Expenses!C$3:C$1002="Food and Drinks")*(Expenses!E$3:E$1002="INR")*(MONTH(Expenses!A$3:A$1002)=2)*(YEAR(Expenses!A$3:A$1002)=2026)*(Expenses!A$3:A$1002&lt;&gt;"")*(IF(Expenses!G$3:G$1002="Yes",Expenses!H$3:H$1002,Expenses!D$3:D$1002)))</f>
        <v>0</v>
      </c>
      <c r="K4" s="52" t="n">
        <f aca="false">SUMPRODUCT((Expenses!C$3:C$1002="Groceries")*(Expenses!E$3:E$1002="INR")*(MONTH(Expenses!A$3:A$1002)=2)*(YEAR(Expenses!A$3:A$1002)=2026)*(Expenses!A$3:A$1002&lt;&gt;"")*(IF(Expenses!G$3:G$1002="Yes",Expenses!H$3:H$1002,Expenses!D$3:D$1002)))</f>
        <v>0</v>
      </c>
      <c r="L4" s="52" t="n">
        <f aca="false">SUMPRODUCT((Expenses!C$3:C$1002="Others")*(Expenses!E$3:E$1002="INR")*(MONTH(Expenses!A$3:A$1002)=2)*(YEAR(Expenses!A$3:A$1002)=2026)*(Expenses!A$3:A$1002&lt;&gt;"")*(IF(Expenses!G$3:G$1002="Yes",Expenses!H$3:H$1002,Expenses!D$3:D$1002)))</f>
        <v>0</v>
      </c>
      <c r="M4" s="52" t="n">
        <f aca="false">SUMPRODUCT((Expenses!C$3:C$1002="Gifts")*(Expenses!E$3:E$1002="INR")*(MONTH(Expenses!A$3:A$1002)=2)*(YEAR(Expenses!A$3:A$1002)=2026)*(Expenses!A$3:A$1002&lt;&gt;"")*(IF(Expenses!G$3:G$1002="Yes",Expenses!H$3:H$1002,Expenses!D$3:D$1002)))</f>
        <v>0</v>
      </c>
      <c r="N4" s="52" t="n">
        <f aca="false">SUMPRODUCT((Expenses!C$3:C$1002="Donations")*(Expenses!E$3:E$1002="INR")*(MONTH(Expenses!A$3:A$1002)=2)*(YEAR(Expenses!A$3:A$1002)=2026)*(Expenses!A$3:A$1002&lt;&gt;"")*(IF(Expenses!G$3:G$1002="Yes",Expenses!H$3:H$1002,Expenses!D$3:D$1002)))</f>
        <v>0</v>
      </c>
      <c r="O4" s="52" t="n">
        <f aca="false">SUMPRODUCT((Expenses!C$3:C$1002="Investments")*(Expenses!E$3:E$1002="INR")*(MONTH(Expenses!A$3:A$1002)=2)*(YEAR(Expenses!A$3:A$1002)=2026)*(Expenses!A$3:A$1002&lt;&gt;"")*(IF(Expenses!G$3:G$1002="Yes",Expenses!H$3:H$1002,Expenses!D$3:D$1002)))</f>
        <v>0</v>
      </c>
      <c r="P4" s="53" t="n">
        <f aca="false">SUM(B4:O4)</f>
        <v>0</v>
      </c>
      <c r="Q4" s="52" t="n">
        <f aca="false">SUMPRODUCT((Income!D$3:D$502="INR")*(MONTH(Income!A$3:A$502)=2)*(YEAR(Income!A$3:A$502)=2026)*(Income!A$3:A$502&lt;&gt;"")*Income!C$3:C$502)</f>
        <v>0</v>
      </c>
      <c r="R4" s="53" t="n">
        <f aca="false">Q4-P4</f>
        <v>0</v>
      </c>
    </row>
    <row r="5" customFormat="false" ht="15" hidden="false" customHeight="false" outlineLevel="0" collapsed="false">
      <c r="A5" s="3" t="s">
        <v>127</v>
      </c>
      <c r="B5" s="52" t="n">
        <f aca="false">SUMPRODUCT((Expenses!C$3:C$1002="Rent")*(Expenses!E$3:E$1002="INR")*(MONTH(Expenses!A$3:A$1002)=3)*(YEAR(Expenses!A$3:A$1002)=2026)*(Expenses!A$3:A$1002&lt;&gt;"")*(IF(Expenses!G$3:G$1002="Yes",Expenses!H$3:H$1002,Expenses!D$3:D$1002)))</f>
        <v>0</v>
      </c>
      <c r="C5" s="52" t="n">
        <f aca="false">SUMPRODUCT((Expenses!C$3:C$1002="Transport")*(Expenses!E$3:E$1002="INR")*(MONTH(Expenses!A$3:A$1002)=3)*(YEAR(Expenses!A$3:A$1002)=2026)*(Expenses!A$3:A$1002&lt;&gt;"")*(IF(Expenses!G$3:G$1002="Yes",Expenses!H$3:H$1002,Expenses!D$3:D$1002)))</f>
        <v>0</v>
      </c>
      <c r="D5" s="52" t="n">
        <f aca="false">SUMPRODUCT((Expenses!C$3:C$1002="Travel")*(Expenses!E$3:E$1002="INR")*(MONTH(Expenses!A$3:A$1002)=3)*(YEAR(Expenses!A$3:A$1002)=2026)*(Expenses!A$3:A$1002&lt;&gt;"")*(IF(Expenses!G$3:G$1002="Yes",Expenses!H$3:H$1002,Expenses!D$3:D$1002)))</f>
        <v>0</v>
      </c>
      <c r="E5" s="52" t="n">
        <f aca="false">SUMPRODUCT((Expenses!C$3:C$1002="Shopping")*(Expenses!E$3:E$1002="INR")*(MONTH(Expenses!A$3:A$1002)=3)*(YEAR(Expenses!A$3:A$1002)=2026)*(Expenses!A$3:A$1002&lt;&gt;"")*(IF(Expenses!G$3:G$1002="Yes",Expenses!H$3:H$1002,Expenses!D$3:D$1002)))</f>
        <v>0</v>
      </c>
      <c r="F5" s="52" t="n">
        <f aca="false">SUMPRODUCT((Expenses!C$3:C$1002="Electronics")*(Expenses!E$3:E$1002="INR")*(MONTH(Expenses!A$3:A$1002)=3)*(YEAR(Expenses!A$3:A$1002)=2026)*(Expenses!A$3:A$1002&lt;&gt;"")*(IF(Expenses!G$3:G$1002="Yes",Expenses!H$3:H$1002,Expenses!D$3:D$1002)))</f>
        <v>0</v>
      </c>
      <c r="G5" s="52" t="n">
        <f aca="false">SUMPRODUCT((Expenses!C$3:C$1002="Subscriptions")*(Expenses!E$3:E$1002="INR")*(MONTH(Expenses!A$3:A$1002)=3)*(YEAR(Expenses!A$3:A$1002)=2026)*(Expenses!A$3:A$1002&lt;&gt;"")*(IF(Expenses!G$3:G$1002="Yes",Expenses!H$3:H$1002,Expenses!D$3:D$1002)))</f>
        <v>0</v>
      </c>
      <c r="H5" s="52" t="n">
        <f aca="false">SUMPRODUCT((Expenses!C$3:C$1002="Bills")*(Expenses!E$3:E$1002="INR")*(MONTH(Expenses!A$3:A$1002)=3)*(YEAR(Expenses!A$3:A$1002)=2026)*(Expenses!A$3:A$1002&lt;&gt;"")*(IF(Expenses!G$3:G$1002="Yes",Expenses!H$3:H$1002,Expenses!D$3:D$1002)))</f>
        <v>0</v>
      </c>
      <c r="I5" s="52" t="n">
        <f aca="false">SUMPRODUCT((Expenses!C$3:C$1002="Entertainment")*(Expenses!E$3:E$1002="INR")*(MONTH(Expenses!A$3:A$1002)=3)*(YEAR(Expenses!A$3:A$1002)=2026)*(Expenses!A$3:A$1002&lt;&gt;"")*(IF(Expenses!G$3:G$1002="Yes",Expenses!H$3:H$1002,Expenses!D$3:D$1002)))</f>
        <v>0</v>
      </c>
      <c r="J5" s="52" t="n">
        <f aca="false">SUMPRODUCT((Expenses!C$3:C$1002="Food and Drinks")*(Expenses!E$3:E$1002="INR")*(MONTH(Expenses!A$3:A$1002)=3)*(YEAR(Expenses!A$3:A$1002)=2026)*(Expenses!A$3:A$1002&lt;&gt;"")*(IF(Expenses!G$3:G$1002="Yes",Expenses!H$3:H$1002,Expenses!D$3:D$1002)))</f>
        <v>0</v>
      </c>
      <c r="K5" s="52" t="n">
        <f aca="false">SUMPRODUCT((Expenses!C$3:C$1002="Groceries")*(Expenses!E$3:E$1002="INR")*(MONTH(Expenses!A$3:A$1002)=3)*(YEAR(Expenses!A$3:A$1002)=2026)*(Expenses!A$3:A$1002&lt;&gt;"")*(IF(Expenses!G$3:G$1002="Yes",Expenses!H$3:H$1002,Expenses!D$3:D$1002)))</f>
        <v>0</v>
      </c>
      <c r="L5" s="52" t="n">
        <f aca="false">SUMPRODUCT((Expenses!C$3:C$1002="Others")*(Expenses!E$3:E$1002="INR")*(MONTH(Expenses!A$3:A$1002)=3)*(YEAR(Expenses!A$3:A$1002)=2026)*(Expenses!A$3:A$1002&lt;&gt;"")*(IF(Expenses!G$3:G$1002="Yes",Expenses!H$3:H$1002,Expenses!D$3:D$1002)))</f>
        <v>0</v>
      </c>
      <c r="M5" s="52" t="n">
        <f aca="false">SUMPRODUCT((Expenses!C$3:C$1002="Gifts")*(Expenses!E$3:E$1002="INR")*(MONTH(Expenses!A$3:A$1002)=3)*(YEAR(Expenses!A$3:A$1002)=2026)*(Expenses!A$3:A$1002&lt;&gt;"")*(IF(Expenses!G$3:G$1002="Yes",Expenses!H$3:H$1002,Expenses!D$3:D$1002)))</f>
        <v>0</v>
      </c>
      <c r="N5" s="52" t="n">
        <f aca="false">SUMPRODUCT((Expenses!C$3:C$1002="Donations")*(Expenses!E$3:E$1002="INR")*(MONTH(Expenses!A$3:A$1002)=3)*(YEAR(Expenses!A$3:A$1002)=2026)*(Expenses!A$3:A$1002&lt;&gt;"")*(IF(Expenses!G$3:G$1002="Yes",Expenses!H$3:H$1002,Expenses!D$3:D$1002)))</f>
        <v>0</v>
      </c>
      <c r="O5" s="52" t="n">
        <f aca="false">SUMPRODUCT((Expenses!C$3:C$1002="Investments")*(Expenses!E$3:E$1002="INR")*(MONTH(Expenses!A$3:A$1002)=3)*(YEAR(Expenses!A$3:A$1002)=2026)*(Expenses!A$3:A$1002&lt;&gt;"")*(IF(Expenses!G$3:G$1002="Yes",Expenses!H$3:H$1002,Expenses!D$3:D$1002)))</f>
        <v>0</v>
      </c>
      <c r="P5" s="53" t="n">
        <f aca="false">SUM(B5:O5)</f>
        <v>0</v>
      </c>
      <c r="Q5" s="52" t="n">
        <f aca="false">SUMPRODUCT((Income!D$3:D$502="INR")*(MONTH(Income!A$3:A$502)=3)*(YEAR(Income!A$3:A$502)=2026)*(Income!A$3:A$502&lt;&gt;"")*Income!C$3:C$502)</f>
        <v>0</v>
      </c>
      <c r="R5" s="53" t="n">
        <f aca="false">Q5-P5</f>
        <v>0</v>
      </c>
    </row>
    <row r="6" customFormat="false" ht="15" hidden="false" customHeight="false" outlineLevel="0" collapsed="false">
      <c r="A6" s="3" t="s">
        <v>128</v>
      </c>
      <c r="B6" s="52" t="n">
        <f aca="false">SUMPRODUCT((Expenses!C$3:C$1002="Rent")*(Expenses!E$3:E$1002="INR")*(MONTH(Expenses!A$3:A$1002)=4)*(YEAR(Expenses!A$3:A$1002)=2026)*(Expenses!A$3:A$1002&lt;&gt;"")*(IF(Expenses!G$3:G$1002="Yes",Expenses!H$3:H$1002,Expenses!D$3:D$1002)))</f>
        <v>0</v>
      </c>
      <c r="C6" s="52" t="n">
        <f aca="false">SUMPRODUCT((Expenses!C$3:C$1002="Transport")*(Expenses!E$3:E$1002="INR")*(MONTH(Expenses!A$3:A$1002)=4)*(YEAR(Expenses!A$3:A$1002)=2026)*(Expenses!A$3:A$1002&lt;&gt;"")*(IF(Expenses!G$3:G$1002="Yes",Expenses!H$3:H$1002,Expenses!D$3:D$1002)))</f>
        <v>0</v>
      </c>
      <c r="D6" s="52" t="n">
        <f aca="false">SUMPRODUCT((Expenses!C$3:C$1002="Travel")*(Expenses!E$3:E$1002="INR")*(MONTH(Expenses!A$3:A$1002)=4)*(YEAR(Expenses!A$3:A$1002)=2026)*(Expenses!A$3:A$1002&lt;&gt;"")*(IF(Expenses!G$3:G$1002="Yes",Expenses!H$3:H$1002,Expenses!D$3:D$1002)))</f>
        <v>0</v>
      </c>
      <c r="E6" s="52" t="n">
        <f aca="false">SUMPRODUCT((Expenses!C$3:C$1002="Shopping")*(Expenses!E$3:E$1002="INR")*(MONTH(Expenses!A$3:A$1002)=4)*(YEAR(Expenses!A$3:A$1002)=2026)*(Expenses!A$3:A$1002&lt;&gt;"")*(IF(Expenses!G$3:G$1002="Yes",Expenses!H$3:H$1002,Expenses!D$3:D$1002)))</f>
        <v>0</v>
      </c>
      <c r="F6" s="52" t="n">
        <f aca="false">SUMPRODUCT((Expenses!C$3:C$1002="Electronics")*(Expenses!E$3:E$1002="INR")*(MONTH(Expenses!A$3:A$1002)=4)*(YEAR(Expenses!A$3:A$1002)=2026)*(Expenses!A$3:A$1002&lt;&gt;"")*(IF(Expenses!G$3:G$1002="Yes",Expenses!H$3:H$1002,Expenses!D$3:D$1002)))</f>
        <v>0</v>
      </c>
      <c r="G6" s="52" t="n">
        <f aca="false">SUMPRODUCT((Expenses!C$3:C$1002="Subscriptions")*(Expenses!E$3:E$1002="INR")*(MONTH(Expenses!A$3:A$1002)=4)*(YEAR(Expenses!A$3:A$1002)=2026)*(Expenses!A$3:A$1002&lt;&gt;"")*(IF(Expenses!G$3:G$1002="Yes",Expenses!H$3:H$1002,Expenses!D$3:D$1002)))</f>
        <v>0</v>
      </c>
      <c r="H6" s="52" t="n">
        <f aca="false">SUMPRODUCT((Expenses!C$3:C$1002="Bills")*(Expenses!E$3:E$1002="INR")*(MONTH(Expenses!A$3:A$1002)=4)*(YEAR(Expenses!A$3:A$1002)=2026)*(Expenses!A$3:A$1002&lt;&gt;"")*(IF(Expenses!G$3:G$1002="Yes",Expenses!H$3:H$1002,Expenses!D$3:D$1002)))</f>
        <v>0</v>
      </c>
      <c r="I6" s="52" t="n">
        <f aca="false">SUMPRODUCT((Expenses!C$3:C$1002="Entertainment")*(Expenses!E$3:E$1002="INR")*(MONTH(Expenses!A$3:A$1002)=4)*(YEAR(Expenses!A$3:A$1002)=2026)*(Expenses!A$3:A$1002&lt;&gt;"")*(IF(Expenses!G$3:G$1002="Yes",Expenses!H$3:H$1002,Expenses!D$3:D$1002)))</f>
        <v>0</v>
      </c>
      <c r="J6" s="52" t="n">
        <f aca="false">SUMPRODUCT((Expenses!C$3:C$1002="Food and Drinks")*(Expenses!E$3:E$1002="INR")*(MONTH(Expenses!A$3:A$1002)=4)*(YEAR(Expenses!A$3:A$1002)=2026)*(Expenses!A$3:A$1002&lt;&gt;"")*(IF(Expenses!G$3:G$1002="Yes",Expenses!H$3:H$1002,Expenses!D$3:D$1002)))</f>
        <v>0</v>
      </c>
      <c r="K6" s="52" t="n">
        <f aca="false">SUMPRODUCT((Expenses!C$3:C$1002="Groceries")*(Expenses!E$3:E$1002="INR")*(MONTH(Expenses!A$3:A$1002)=4)*(YEAR(Expenses!A$3:A$1002)=2026)*(Expenses!A$3:A$1002&lt;&gt;"")*(IF(Expenses!G$3:G$1002="Yes",Expenses!H$3:H$1002,Expenses!D$3:D$1002)))</f>
        <v>0</v>
      </c>
      <c r="L6" s="52" t="n">
        <f aca="false">SUMPRODUCT((Expenses!C$3:C$1002="Others")*(Expenses!E$3:E$1002="INR")*(MONTH(Expenses!A$3:A$1002)=4)*(YEAR(Expenses!A$3:A$1002)=2026)*(Expenses!A$3:A$1002&lt;&gt;"")*(IF(Expenses!G$3:G$1002="Yes",Expenses!H$3:H$1002,Expenses!D$3:D$1002)))</f>
        <v>0</v>
      </c>
      <c r="M6" s="52" t="n">
        <f aca="false">SUMPRODUCT((Expenses!C$3:C$1002="Gifts")*(Expenses!E$3:E$1002="INR")*(MONTH(Expenses!A$3:A$1002)=4)*(YEAR(Expenses!A$3:A$1002)=2026)*(Expenses!A$3:A$1002&lt;&gt;"")*(IF(Expenses!G$3:G$1002="Yes",Expenses!H$3:H$1002,Expenses!D$3:D$1002)))</f>
        <v>0</v>
      </c>
      <c r="N6" s="52" t="n">
        <f aca="false">SUMPRODUCT((Expenses!C$3:C$1002="Donations")*(Expenses!E$3:E$1002="INR")*(MONTH(Expenses!A$3:A$1002)=4)*(YEAR(Expenses!A$3:A$1002)=2026)*(Expenses!A$3:A$1002&lt;&gt;"")*(IF(Expenses!G$3:G$1002="Yes",Expenses!H$3:H$1002,Expenses!D$3:D$1002)))</f>
        <v>0</v>
      </c>
      <c r="O6" s="52" t="n">
        <f aca="false">SUMPRODUCT((Expenses!C$3:C$1002="Investments")*(Expenses!E$3:E$1002="INR")*(MONTH(Expenses!A$3:A$1002)=4)*(YEAR(Expenses!A$3:A$1002)=2026)*(Expenses!A$3:A$1002&lt;&gt;"")*(IF(Expenses!G$3:G$1002="Yes",Expenses!H$3:H$1002,Expenses!D$3:D$1002)))</f>
        <v>0</v>
      </c>
      <c r="P6" s="53" t="n">
        <f aca="false">SUM(B6:O6)</f>
        <v>0</v>
      </c>
      <c r="Q6" s="52" t="n">
        <f aca="false">SUMPRODUCT((Income!D$3:D$502="INR")*(MONTH(Income!A$3:A$502)=4)*(YEAR(Income!A$3:A$502)=2026)*(Income!A$3:A$502&lt;&gt;"")*Income!C$3:C$502)</f>
        <v>0</v>
      </c>
      <c r="R6" s="53" t="n">
        <f aca="false">Q6-P6</f>
        <v>0</v>
      </c>
    </row>
    <row r="7" customFormat="false" ht="15" hidden="false" customHeight="false" outlineLevel="0" collapsed="false">
      <c r="A7" s="3" t="s">
        <v>129</v>
      </c>
      <c r="B7" s="52" t="n">
        <f aca="false">SUMPRODUCT((Expenses!C$3:C$1002="Rent")*(Expenses!E$3:E$1002="INR")*(MONTH(Expenses!A$3:A$1002)=5)*(YEAR(Expenses!A$3:A$1002)=2026)*(Expenses!A$3:A$1002&lt;&gt;"")*(IF(Expenses!G$3:G$1002="Yes",Expenses!H$3:H$1002,Expenses!D$3:D$1002)))</f>
        <v>0</v>
      </c>
      <c r="C7" s="52" t="n">
        <f aca="false">SUMPRODUCT((Expenses!C$3:C$1002="Transport")*(Expenses!E$3:E$1002="INR")*(MONTH(Expenses!A$3:A$1002)=5)*(YEAR(Expenses!A$3:A$1002)=2026)*(Expenses!A$3:A$1002&lt;&gt;"")*(IF(Expenses!G$3:G$1002="Yes",Expenses!H$3:H$1002,Expenses!D$3:D$1002)))</f>
        <v>0</v>
      </c>
      <c r="D7" s="52" t="n">
        <f aca="false">SUMPRODUCT((Expenses!C$3:C$1002="Travel")*(Expenses!E$3:E$1002="INR")*(MONTH(Expenses!A$3:A$1002)=5)*(YEAR(Expenses!A$3:A$1002)=2026)*(Expenses!A$3:A$1002&lt;&gt;"")*(IF(Expenses!G$3:G$1002="Yes",Expenses!H$3:H$1002,Expenses!D$3:D$1002)))</f>
        <v>0</v>
      </c>
      <c r="E7" s="52" t="n">
        <f aca="false">SUMPRODUCT((Expenses!C$3:C$1002="Shopping")*(Expenses!E$3:E$1002="INR")*(MONTH(Expenses!A$3:A$1002)=5)*(YEAR(Expenses!A$3:A$1002)=2026)*(Expenses!A$3:A$1002&lt;&gt;"")*(IF(Expenses!G$3:G$1002="Yes",Expenses!H$3:H$1002,Expenses!D$3:D$1002)))</f>
        <v>0</v>
      </c>
      <c r="F7" s="52" t="n">
        <f aca="false">SUMPRODUCT((Expenses!C$3:C$1002="Electronics")*(Expenses!E$3:E$1002="INR")*(MONTH(Expenses!A$3:A$1002)=5)*(YEAR(Expenses!A$3:A$1002)=2026)*(Expenses!A$3:A$1002&lt;&gt;"")*(IF(Expenses!G$3:G$1002="Yes",Expenses!H$3:H$1002,Expenses!D$3:D$1002)))</f>
        <v>0</v>
      </c>
      <c r="G7" s="52" t="n">
        <f aca="false">SUMPRODUCT((Expenses!C$3:C$1002="Subscriptions")*(Expenses!E$3:E$1002="INR")*(MONTH(Expenses!A$3:A$1002)=5)*(YEAR(Expenses!A$3:A$1002)=2026)*(Expenses!A$3:A$1002&lt;&gt;"")*(IF(Expenses!G$3:G$1002="Yes",Expenses!H$3:H$1002,Expenses!D$3:D$1002)))</f>
        <v>0</v>
      </c>
      <c r="H7" s="52" t="n">
        <f aca="false">SUMPRODUCT((Expenses!C$3:C$1002="Bills")*(Expenses!E$3:E$1002="INR")*(MONTH(Expenses!A$3:A$1002)=5)*(YEAR(Expenses!A$3:A$1002)=2026)*(Expenses!A$3:A$1002&lt;&gt;"")*(IF(Expenses!G$3:G$1002="Yes",Expenses!H$3:H$1002,Expenses!D$3:D$1002)))</f>
        <v>0</v>
      </c>
      <c r="I7" s="52" t="n">
        <f aca="false">SUMPRODUCT((Expenses!C$3:C$1002="Entertainment")*(Expenses!E$3:E$1002="INR")*(MONTH(Expenses!A$3:A$1002)=5)*(YEAR(Expenses!A$3:A$1002)=2026)*(Expenses!A$3:A$1002&lt;&gt;"")*(IF(Expenses!G$3:G$1002="Yes",Expenses!H$3:H$1002,Expenses!D$3:D$1002)))</f>
        <v>0</v>
      </c>
      <c r="J7" s="52" t="n">
        <f aca="false">SUMPRODUCT((Expenses!C$3:C$1002="Food and Drinks")*(Expenses!E$3:E$1002="INR")*(MONTH(Expenses!A$3:A$1002)=5)*(YEAR(Expenses!A$3:A$1002)=2026)*(Expenses!A$3:A$1002&lt;&gt;"")*(IF(Expenses!G$3:G$1002="Yes",Expenses!H$3:H$1002,Expenses!D$3:D$1002)))</f>
        <v>0</v>
      </c>
      <c r="K7" s="52" t="n">
        <f aca="false">SUMPRODUCT((Expenses!C$3:C$1002="Groceries")*(Expenses!E$3:E$1002="INR")*(MONTH(Expenses!A$3:A$1002)=5)*(YEAR(Expenses!A$3:A$1002)=2026)*(Expenses!A$3:A$1002&lt;&gt;"")*(IF(Expenses!G$3:G$1002="Yes",Expenses!H$3:H$1002,Expenses!D$3:D$1002)))</f>
        <v>0</v>
      </c>
      <c r="L7" s="52" t="n">
        <f aca="false">SUMPRODUCT((Expenses!C$3:C$1002="Others")*(Expenses!E$3:E$1002="INR")*(MONTH(Expenses!A$3:A$1002)=5)*(YEAR(Expenses!A$3:A$1002)=2026)*(Expenses!A$3:A$1002&lt;&gt;"")*(IF(Expenses!G$3:G$1002="Yes",Expenses!H$3:H$1002,Expenses!D$3:D$1002)))</f>
        <v>0</v>
      </c>
      <c r="M7" s="52" t="n">
        <f aca="false">SUMPRODUCT((Expenses!C$3:C$1002="Gifts")*(Expenses!E$3:E$1002="INR")*(MONTH(Expenses!A$3:A$1002)=5)*(YEAR(Expenses!A$3:A$1002)=2026)*(Expenses!A$3:A$1002&lt;&gt;"")*(IF(Expenses!G$3:G$1002="Yes",Expenses!H$3:H$1002,Expenses!D$3:D$1002)))</f>
        <v>0</v>
      </c>
      <c r="N7" s="52" t="n">
        <f aca="false">SUMPRODUCT((Expenses!C$3:C$1002="Donations")*(Expenses!E$3:E$1002="INR")*(MONTH(Expenses!A$3:A$1002)=5)*(YEAR(Expenses!A$3:A$1002)=2026)*(Expenses!A$3:A$1002&lt;&gt;"")*(IF(Expenses!G$3:G$1002="Yes",Expenses!H$3:H$1002,Expenses!D$3:D$1002)))</f>
        <v>0</v>
      </c>
      <c r="O7" s="52" t="n">
        <f aca="false">SUMPRODUCT((Expenses!C$3:C$1002="Investments")*(Expenses!E$3:E$1002="INR")*(MONTH(Expenses!A$3:A$1002)=5)*(YEAR(Expenses!A$3:A$1002)=2026)*(Expenses!A$3:A$1002&lt;&gt;"")*(IF(Expenses!G$3:G$1002="Yes",Expenses!H$3:H$1002,Expenses!D$3:D$1002)))</f>
        <v>0</v>
      </c>
      <c r="P7" s="53" t="n">
        <f aca="false">SUM(B7:O7)</f>
        <v>0</v>
      </c>
      <c r="Q7" s="52" t="n">
        <f aca="false">SUMPRODUCT((Income!D$3:D$502="INR")*(MONTH(Income!A$3:A$502)=5)*(YEAR(Income!A$3:A$502)=2026)*(Income!A$3:A$502&lt;&gt;"")*Income!C$3:C$502)</f>
        <v>0</v>
      </c>
      <c r="R7" s="53" t="n">
        <f aca="false">Q7-P7</f>
        <v>0</v>
      </c>
    </row>
    <row r="8" customFormat="false" ht="15" hidden="false" customHeight="false" outlineLevel="0" collapsed="false">
      <c r="A8" s="3" t="s">
        <v>130</v>
      </c>
      <c r="B8" s="52" t="n">
        <f aca="false">SUMPRODUCT((Expenses!C$3:C$1002="Rent")*(Expenses!E$3:E$1002="INR")*(MONTH(Expenses!A$3:A$1002)=6)*(YEAR(Expenses!A$3:A$1002)=2026)*(Expenses!A$3:A$1002&lt;&gt;"")*(IF(Expenses!G$3:G$1002="Yes",Expenses!H$3:H$1002,Expenses!D$3:D$1002)))</f>
        <v>0</v>
      </c>
      <c r="C8" s="52" t="n">
        <f aca="false">SUMPRODUCT((Expenses!C$3:C$1002="Transport")*(Expenses!E$3:E$1002="INR")*(MONTH(Expenses!A$3:A$1002)=6)*(YEAR(Expenses!A$3:A$1002)=2026)*(Expenses!A$3:A$1002&lt;&gt;"")*(IF(Expenses!G$3:G$1002="Yes",Expenses!H$3:H$1002,Expenses!D$3:D$1002)))</f>
        <v>0</v>
      </c>
      <c r="D8" s="52" t="n">
        <f aca="false">SUMPRODUCT((Expenses!C$3:C$1002="Travel")*(Expenses!E$3:E$1002="INR")*(MONTH(Expenses!A$3:A$1002)=6)*(YEAR(Expenses!A$3:A$1002)=2026)*(Expenses!A$3:A$1002&lt;&gt;"")*(IF(Expenses!G$3:G$1002="Yes",Expenses!H$3:H$1002,Expenses!D$3:D$1002)))</f>
        <v>0</v>
      </c>
      <c r="E8" s="52" t="n">
        <f aca="false">SUMPRODUCT((Expenses!C$3:C$1002="Shopping")*(Expenses!E$3:E$1002="INR")*(MONTH(Expenses!A$3:A$1002)=6)*(YEAR(Expenses!A$3:A$1002)=2026)*(Expenses!A$3:A$1002&lt;&gt;"")*(IF(Expenses!G$3:G$1002="Yes",Expenses!H$3:H$1002,Expenses!D$3:D$1002)))</f>
        <v>0</v>
      </c>
      <c r="F8" s="52" t="n">
        <f aca="false">SUMPRODUCT((Expenses!C$3:C$1002="Electronics")*(Expenses!E$3:E$1002="INR")*(MONTH(Expenses!A$3:A$1002)=6)*(YEAR(Expenses!A$3:A$1002)=2026)*(Expenses!A$3:A$1002&lt;&gt;"")*(IF(Expenses!G$3:G$1002="Yes",Expenses!H$3:H$1002,Expenses!D$3:D$1002)))</f>
        <v>0</v>
      </c>
      <c r="G8" s="52" t="n">
        <f aca="false">SUMPRODUCT((Expenses!C$3:C$1002="Subscriptions")*(Expenses!E$3:E$1002="INR")*(MONTH(Expenses!A$3:A$1002)=6)*(YEAR(Expenses!A$3:A$1002)=2026)*(Expenses!A$3:A$1002&lt;&gt;"")*(IF(Expenses!G$3:G$1002="Yes",Expenses!H$3:H$1002,Expenses!D$3:D$1002)))</f>
        <v>0</v>
      </c>
      <c r="H8" s="52" t="n">
        <f aca="false">SUMPRODUCT((Expenses!C$3:C$1002="Bills")*(Expenses!E$3:E$1002="INR")*(MONTH(Expenses!A$3:A$1002)=6)*(YEAR(Expenses!A$3:A$1002)=2026)*(Expenses!A$3:A$1002&lt;&gt;"")*(IF(Expenses!G$3:G$1002="Yes",Expenses!H$3:H$1002,Expenses!D$3:D$1002)))</f>
        <v>0</v>
      </c>
      <c r="I8" s="52" t="n">
        <f aca="false">SUMPRODUCT((Expenses!C$3:C$1002="Entertainment")*(Expenses!E$3:E$1002="INR")*(MONTH(Expenses!A$3:A$1002)=6)*(YEAR(Expenses!A$3:A$1002)=2026)*(Expenses!A$3:A$1002&lt;&gt;"")*(IF(Expenses!G$3:G$1002="Yes",Expenses!H$3:H$1002,Expenses!D$3:D$1002)))</f>
        <v>0</v>
      </c>
      <c r="J8" s="52" t="n">
        <f aca="false">SUMPRODUCT((Expenses!C$3:C$1002="Food and Drinks")*(Expenses!E$3:E$1002="INR")*(MONTH(Expenses!A$3:A$1002)=6)*(YEAR(Expenses!A$3:A$1002)=2026)*(Expenses!A$3:A$1002&lt;&gt;"")*(IF(Expenses!G$3:G$1002="Yes",Expenses!H$3:H$1002,Expenses!D$3:D$1002)))</f>
        <v>0</v>
      </c>
      <c r="K8" s="52" t="n">
        <f aca="false">SUMPRODUCT((Expenses!C$3:C$1002="Groceries")*(Expenses!E$3:E$1002="INR")*(MONTH(Expenses!A$3:A$1002)=6)*(YEAR(Expenses!A$3:A$1002)=2026)*(Expenses!A$3:A$1002&lt;&gt;"")*(IF(Expenses!G$3:G$1002="Yes",Expenses!H$3:H$1002,Expenses!D$3:D$1002)))</f>
        <v>0</v>
      </c>
      <c r="L8" s="52" t="n">
        <f aca="false">SUMPRODUCT((Expenses!C$3:C$1002="Others")*(Expenses!E$3:E$1002="INR")*(MONTH(Expenses!A$3:A$1002)=6)*(YEAR(Expenses!A$3:A$1002)=2026)*(Expenses!A$3:A$1002&lt;&gt;"")*(IF(Expenses!G$3:G$1002="Yes",Expenses!H$3:H$1002,Expenses!D$3:D$1002)))</f>
        <v>0</v>
      </c>
      <c r="M8" s="52" t="n">
        <f aca="false">SUMPRODUCT((Expenses!C$3:C$1002="Gifts")*(Expenses!E$3:E$1002="INR")*(MONTH(Expenses!A$3:A$1002)=6)*(YEAR(Expenses!A$3:A$1002)=2026)*(Expenses!A$3:A$1002&lt;&gt;"")*(IF(Expenses!G$3:G$1002="Yes",Expenses!H$3:H$1002,Expenses!D$3:D$1002)))</f>
        <v>0</v>
      </c>
      <c r="N8" s="52" t="n">
        <f aca="false">SUMPRODUCT((Expenses!C$3:C$1002="Donations")*(Expenses!E$3:E$1002="INR")*(MONTH(Expenses!A$3:A$1002)=6)*(YEAR(Expenses!A$3:A$1002)=2026)*(Expenses!A$3:A$1002&lt;&gt;"")*(IF(Expenses!G$3:G$1002="Yes",Expenses!H$3:H$1002,Expenses!D$3:D$1002)))</f>
        <v>0</v>
      </c>
      <c r="O8" s="52" t="n">
        <f aca="false">SUMPRODUCT((Expenses!C$3:C$1002="Investments")*(Expenses!E$3:E$1002="INR")*(MONTH(Expenses!A$3:A$1002)=6)*(YEAR(Expenses!A$3:A$1002)=2026)*(Expenses!A$3:A$1002&lt;&gt;"")*(IF(Expenses!G$3:G$1002="Yes",Expenses!H$3:H$1002,Expenses!D$3:D$1002)))</f>
        <v>0</v>
      </c>
      <c r="P8" s="53" t="n">
        <f aca="false">SUM(B8:O8)</f>
        <v>0</v>
      </c>
      <c r="Q8" s="52" t="n">
        <f aca="false">SUMPRODUCT((Income!D$3:D$502="INR")*(MONTH(Income!A$3:A$502)=6)*(YEAR(Income!A$3:A$502)=2026)*(Income!A$3:A$502&lt;&gt;"")*Income!C$3:C$502)</f>
        <v>0</v>
      </c>
      <c r="R8" s="53" t="n">
        <f aca="false">Q8-P8</f>
        <v>0</v>
      </c>
    </row>
    <row r="9" customFormat="false" ht="15" hidden="false" customHeight="false" outlineLevel="0" collapsed="false">
      <c r="A9" s="3" t="s">
        <v>131</v>
      </c>
      <c r="B9" s="52" t="n">
        <f aca="false">SUMPRODUCT((Expenses!C$3:C$1002="Rent")*(Expenses!E$3:E$1002="INR")*(MONTH(Expenses!A$3:A$1002)=7)*(YEAR(Expenses!A$3:A$1002)=2026)*(Expenses!A$3:A$1002&lt;&gt;"")*(IF(Expenses!G$3:G$1002="Yes",Expenses!H$3:H$1002,Expenses!D$3:D$1002)))</f>
        <v>0</v>
      </c>
      <c r="C9" s="52" t="n">
        <f aca="false">SUMPRODUCT((Expenses!C$3:C$1002="Transport")*(Expenses!E$3:E$1002="INR")*(MONTH(Expenses!A$3:A$1002)=7)*(YEAR(Expenses!A$3:A$1002)=2026)*(Expenses!A$3:A$1002&lt;&gt;"")*(IF(Expenses!G$3:G$1002="Yes",Expenses!H$3:H$1002,Expenses!D$3:D$1002)))</f>
        <v>0</v>
      </c>
      <c r="D9" s="52" t="n">
        <f aca="false">SUMPRODUCT((Expenses!C$3:C$1002="Travel")*(Expenses!E$3:E$1002="INR")*(MONTH(Expenses!A$3:A$1002)=7)*(YEAR(Expenses!A$3:A$1002)=2026)*(Expenses!A$3:A$1002&lt;&gt;"")*(IF(Expenses!G$3:G$1002="Yes",Expenses!H$3:H$1002,Expenses!D$3:D$1002)))</f>
        <v>0</v>
      </c>
      <c r="E9" s="52" t="n">
        <f aca="false">SUMPRODUCT((Expenses!C$3:C$1002="Shopping")*(Expenses!E$3:E$1002="INR")*(MONTH(Expenses!A$3:A$1002)=7)*(YEAR(Expenses!A$3:A$1002)=2026)*(Expenses!A$3:A$1002&lt;&gt;"")*(IF(Expenses!G$3:G$1002="Yes",Expenses!H$3:H$1002,Expenses!D$3:D$1002)))</f>
        <v>0</v>
      </c>
      <c r="F9" s="52" t="n">
        <f aca="false">SUMPRODUCT((Expenses!C$3:C$1002="Electronics")*(Expenses!E$3:E$1002="INR")*(MONTH(Expenses!A$3:A$1002)=7)*(YEAR(Expenses!A$3:A$1002)=2026)*(Expenses!A$3:A$1002&lt;&gt;"")*(IF(Expenses!G$3:G$1002="Yes",Expenses!H$3:H$1002,Expenses!D$3:D$1002)))</f>
        <v>0</v>
      </c>
      <c r="G9" s="52" t="n">
        <f aca="false">SUMPRODUCT((Expenses!C$3:C$1002="Subscriptions")*(Expenses!E$3:E$1002="INR")*(MONTH(Expenses!A$3:A$1002)=7)*(YEAR(Expenses!A$3:A$1002)=2026)*(Expenses!A$3:A$1002&lt;&gt;"")*(IF(Expenses!G$3:G$1002="Yes",Expenses!H$3:H$1002,Expenses!D$3:D$1002)))</f>
        <v>0</v>
      </c>
      <c r="H9" s="52" t="n">
        <f aca="false">SUMPRODUCT((Expenses!C$3:C$1002="Bills")*(Expenses!E$3:E$1002="INR")*(MONTH(Expenses!A$3:A$1002)=7)*(YEAR(Expenses!A$3:A$1002)=2026)*(Expenses!A$3:A$1002&lt;&gt;"")*(IF(Expenses!G$3:G$1002="Yes",Expenses!H$3:H$1002,Expenses!D$3:D$1002)))</f>
        <v>0</v>
      </c>
      <c r="I9" s="52" t="n">
        <f aca="false">SUMPRODUCT((Expenses!C$3:C$1002="Entertainment")*(Expenses!E$3:E$1002="INR")*(MONTH(Expenses!A$3:A$1002)=7)*(YEAR(Expenses!A$3:A$1002)=2026)*(Expenses!A$3:A$1002&lt;&gt;"")*(IF(Expenses!G$3:G$1002="Yes",Expenses!H$3:H$1002,Expenses!D$3:D$1002)))</f>
        <v>0</v>
      </c>
      <c r="J9" s="52" t="n">
        <f aca="false">SUMPRODUCT((Expenses!C$3:C$1002="Food and Drinks")*(Expenses!E$3:E$1002="INR")*(MONTH(Expenses!A$3:A$1002)=7)*(YEAR(Expenses!A$3:A$1002)=2026)*(Expenses!A$3:A$1002&lt;&gt;"")*(IF(Expenses!G$3:G$1002="Yes",Expenses!H$3:H$1002,Expenses!D$3:D$1002)))</f>
        <v>0</v>
      </c>
      <c r="K9" s="52" t="n">
        <f aca="false">SUMPRODUCT((Expenses!C$3:C$1002="Groceries")*(Expenses!E$3:E$1002="INR")*(MONTH(Expenses!A$3:A$1002)=7)*(YEAR(Expenses!A$3:A$1002)=2026)*(Expenses!A$3:A$1002&lt;&gt;"")*(IF(Expenses!G$3:G$1002="Yes",Expenses!H$3:H$1002,Expenses!D$3:D$1002)))</f>
        <v>0</v>
      </c>
      <c r="L9" s="52" t="n">
        <f aca="false">SUMPRODUCT((Expenses!C$3:C$1002="Others")*(Expenses!E$3:E$1002="INR")*(MONTH(Expenses!A$3:A$1002)=7)*(YEAR(Expenses!A$3:A$1002)=2026)*(Expenses!A$3:A$1002&lt;&gt;"")*(IF(Expenses!G$3:G$1002="Yes",Expenses!H$3:H$1002,Expenses!D$3:D$1002)))</f>
        <v>0</v>
      </c>
      <c r="M9" s="52" t="n">
        <f aca="false">SUMPRODUCT((Expenses!C$3:C$1002="Gifts")*(Expenses!E$3:E$1002="INR")*(MONTH(Expenses!A$3:A$1002)=7)*(YEAR(Expenses!A$3:A$1002)=2026)*(Expenses!A$3:A$1002&lt;&gt;"")*(IF(Expenses!G$3:G$1002="Yes",Expenses!H$3:H$1002,Expenses!D$3:D$1002)))</f>
        <v>0</v>
      </c>
      <c r="N9" s="52" t="n">
        <f aca="false">SUMPRODUCT((Expenses!C$3:C$1002="Donations")*(Expenses!E$3:E$1002="INR")*(MONTH(Expenses!A$3:A$1002)=7)*(YEAR(Expenses!A$3:A$1002)=2026)*(Expenses!A$3:A$1002&lt;&gt;"")*(IF(Expenses!G$3:G$1002="Yes",Expenses!H$3:H$1002,Expenses!D$3:D$1002)))</f>
        <v>0</v>
      </c>
      <c r="O9" s="52" t="n">
        <f aca="false">SUMPRODUCT((Expenses!C$3:C$1002="Investments")*(Expenses!E$3:E$1002="INR")*(MONTH(Expenses!A$3:A$1002)=7)*(YEAR(Expenses!A$3:A$1002)=2026)*(Expenses!A$3:A$1002&lt;&gt;"")*(IF(Expenses!G$3:G$1002="Yes",Expenses!H$3:H$1002,Expenses!D$3:D$1002)))</f>
        <v>0</v>
      </c>
      <c r="P9" s="53" t="n">
        <f aca="false">SUM(B9:O9)</f>
        <v>0</v>
      </c>
      <c r="Q9" s="52" t="n">
        <f aca="false">SUMPRODUCT((Income!D$3:D$502="INR")*(MONTH(Income!A$3:A$502)=7)*(YEAR(Income!A$3:A$502)=2026)*(Income!A$3:A$502&lt;&gt;"")*Income!C$3:C$502)</f>
        <v>0</v>
      </c>
      <c r="R9" s="53" t="n">
        <f aca="false">Q9-P9</f>
        <v>0</v>
      </c>
    </row>
    <row r="10" customFormat="false" ht="15" hidden="false" customHeight="false" outlineLevel="0" collapsed="false">
      <c r="A10" s="3" t="s">
        <v>132</v>
      </c>
      <c r="B10" s="52" t="n">
        <f aca="false">SUMPRODUCT((Expenses!C$3:C$1002="Rent")*(Expenses!E$3:E$1002="INR")*(MONTH(Expenses!A$3:A$1002)=8)*(YEAR(Expenses!A$3:A$1002)=2026)*(Expenses!A$3:A$1002&lt;&gt;"")*(IF(Expenses!G$3:G$1002="Yes",Expenses!H$3:H$1002,Expenses!D$3:D$1002)))</f>
        <v>0</v>
      </c>
      <c r="C10" s="52" t="n">
        <f aca="false">SUMPRODUCT((Expenses!C$3:C$1002="Transport")*(Expenses!E$3:E$1002="INR")*(MONTH(Expenses!A$3:A$1002)=8)*(YEAR(Expenses!A$3:A$1002)=2026)*(Expenses!A$3:A$1002&lt;&gt;"")*(IF(Expenses!G$3:G$1002="Yes",Expenses!H$3:H$1002,Expenses!D$3:D$1002)))</f>
        <v>0</v>
      </c>
      <c r="D10" s="52" t="n">
        <f aca="false">SUMPRODUCT((Expenses!C$3:C$1002="Travel")*(Expenses!E$3:E$1002="INR")*(MONTH(Expenses!A$3:A$1002)=8)*(YEAR(Expenses!A$3:A$1002)=2026)*(Expenses!A$3:A$1002&lt;&gt;"")*(IF(Expenses!G$3:G$1002="Yes",Expenses!H$3:H$1002,Expenses!D$3:D$1002)))</f>
        <v>0</v>
      </c>
      <c r="E10" s="52" t="n">
        <f aca="false">SUMPRODUCT((Expenses!C$3:C$1002="Shopping")*(Expenses!E$3:E$1002="INR")*(MONTH(Expenses!A$3:A$1002)=8)*(YEAR(Expenses!A$3:A$1002)=2026)*(Expenses!A$3:A$1002&lt;&gt;"")*(IF(Expenses!G$3:G$1002="Yes",Expenses!H$3:H$1002,Expenses!D$3:D$1002)))</f>
        <v>0</v>
      </c>
      <c r="F10" s="52" t="n">
        <f aca="false">SUMPRODUCT((Expenses!C$3:C$1002="Electronics")*(Expenses!E$3:E$1002="INR")*(MONTH(Expenses!A$3:A$1002)=8)*(YEAR(Expenses!A$3:A$1002)=2026)*(Expenses!A$3:A$1002&lt;&gt;"")*(IF(Expenses!G$3:G$1002="Yes",Expenses!H$3:H$1002,Expenses!D$3:D$1002)))</f>
        <v>0</v>
      </c>
      <c r="G10" s="52" t="n">
        <f aca="false">SUMPRODUCT((Expenses!C$3:C$1002="Subscriptions")*(Expenses!E$3:E$1002="INR")*(MONTH(Expenses!A$3:A$1002)=8)*(YEAR(Expenses!A$3:A$1002)=2026)*(Expenses!A$3:A$1002&lt;&gt;"")*(IF(Expenses!G$3:G$1002="Yes",Expenses!H$3:H$1002,Expenses!D$3:D$1002)))</f>
        <v>0</v>
      </c>
      <c r="H10" s="52" t="n">
        <f aca="false">SUMPRODUCT((Expenses!C$3:C$1002="Bills")*(Expenses!E$3:E$1002="INR")*(MONTH(Expenses!A$3:A$1002)=8)*(YEAR(Expenses!A$3:A$1002)=2026)*(Expenses!A$3:A$1002&lt;&gt;"")*(IF(Expenses!G$3:G$1002="Yes",Expenses!H$3:H$1002,Expenses!D$3:D$1002)))</f>
        <v>0</v>
      </c>
      <c r="I10" s="52" t="n">
        <f aca="false">SUMPRODUCT((Expenses!C$3:C$1002="Entertainment")*(Expenses!E$3:E$1002="INR")*(MONTH(Expenses!A$3:A$1002)=8)*(YEAR(Expenses!A$3:A$1002)=2026)*(Expenses!A$3:A$1002&lt;&gt;"")*(IF(Expenses!G$3:G$1002="Yes",Expenses!H$3:H$1002,Expenses!D$3:D$1002)))</f>
        <v>0</v>
      </c>
      <c r="J10" s="52" t="n">
        <f aca="false">SUMPRODUCT((Expenses!C$3:C$1002="Food and Drinks")*(Expenses!E$3:E$1002="INR")*(MONTH(Expenses!A$3:A$1002)=8)*(YEAR(Expenses!A$3:A$1002)=2026)*(Expenses!A$3:A$1002&lt;&gt;"")*(IF(Expenses!G$3:G$1002="Yes",Expenses!H$3:H$1002,Expenses!D$3:D$1002)))</f>
        <v>0</v>
      </c>
      <c r="K10" s="52" t="n">
        <f aca="false">SUMPRODUCT((Expenses!C$3:C$1002="Groceries")*(Expenses!E$3:E$1002="INR")*(MONTH(Expenses!A$3:A$1002)=8)*(YEAR(Expenses!A$3:A$1002)=2026)*(Expenses!A$3:A$1002&lt;&gt;"")*(IF(Expenses!G$3:G$1002="Yes",Expenses!H$3:H$1002,Expenses!D$3:D$1002)))</f>
        <v>0</v>
      </c>
      <c r="L10" s="52" t="n">
        <f aca="false">SUMPRODUCT((Expenses!C$3:C$1002="Others")*(Expenses!E$3:E$1002="INR")*(MONTH(Expenses!A$3:A$1002)=8)*(YEAR(Expenses!A$3:A$1002)=2026)*(Expenses!A$3:A$1002&lt;&gt;"")*(IF(Expenses!G$3:G$1002="Yes",Expenses!H$3:H$1002,Expenses!D$3:D$1002)))</f>
        <v>0</v>
      </c>
      <c r="M10" s="52" t="n">
        <f aca="false">SUMPRODUCT((Expenses!C$3:C$1002="Gifts")*(Expenses!E$3:E$1002="INR")*(MONTH(Expenses!A$3:A$1002)=8)*(YEAR(Expenses!A$3:A$1002)=2026)*(Expenses!A$3:A$1002&lt;&gt;"")*(IF(Expenses!G$3:G$1002="Yes",Expenses!H$3:H$1002,Expenses!D$3:D$1002)))</f>
        <v>0</v>
      </c>
      <c r="N10" s="52" t="n">
        <f aca="false">SUMPRODUCT((Expenses!C$3:C$1002="Donations")*(Expenses!E$3:E$1002="INR")*(MONTH(Expenses!A$3:A$1002)=8)*(YEAR(Expenses!A$3:A$1002)=2026)*(Expenses!A$3:A$1002&lt;&gt;"")*(IF(Expenses!G$3:G$1002="Yes",Expenses!H$3:H$1002,Expenses!D$3:D$1002)))</f>
        <v>0</v>
      </c>
      <c r="O10" s="52" t="n">
        <f aca="false">SUMPRODUCT((Expenses!C$3:C$1002="Investments")*(Expenses!E$3:E$1002="INR")*(MONTH(Expenses!A$3:A$1002)=8)*(YEAR(Expenses!A$3:A$1002)=2026)*(Expenses!A$3:A$1002&lt;&gt;"")*(IF(Expenses!G$3:G$1002="Yes",Expenses!H$3:H$1002,Expenses!D$3:D$1002)))</f>
        <v>0</v>
      </c>
      <c r="P10" s="53" t="n">
        <f aca="false">SUM(B10:O10)</f>
        <v>0</v>
      </c>
      <c r="Q10" s="52" t="n">
        <f aca="false">SUMPRODUCT((Income!D$3:D$502="INR")*(MONTH(Income!A$3:A$502)=8)*(YEAR(Income!A$3:A$502)=2026)*(Income!A$3:A$502&lt;&gt;"")*Income!C$3:C$502)</f>
        <v>0</v>
      </c>
      <c r="R10" s="53" t="n">
        <f aca="false">Q10-P10</f>
        <v>0</v>
      </c>
    </row>
    <row r="11" customFormat="false" ht="15" hidden="false" customHeight="false" outlineLevel="0" collapsed="false">
      <c r="A11" s="3" t="s">
        <v>133</v>
      </c>
      <c r="B11" s="52" t="n">
        <f aca="false">SUMPRODUCT((Expenses!C$3:C$1002="Rent")*(Expenses!E$3:E$1002="INR")*(MONTH(Expenses!A$3:A$1002)=9)*(YEAR(Expenses!A$3:A$1002)=2026)*(Expenses!A$3:A$1002&lt;&gt;"")*(IF(Expenses!G$3:G$1002="Yes",Expenses!H$3:H$1002,Expenses!D$3:D$1002)))</f>
        <v>0</v>
      </c>
      <c r="C11" s="52" t="n">
        <f aca="false">SUMPRODUCT((Expenses!C$3:C$1002="Transport")*(Expenses!E$3:E$1002="INR")*(MONTH(Expenses!A$3:A$1002)=9)*(YEAR(Expenses!A$3:A$1002)=2026)*(Expenses!A$3:A$1002&lt;&gt;"")*(IF(Expenses!G$3:G$1002="Yes",Expenses!H$3:H$1002,Expenses!D$3:D$1002)))</f>
        <v>0</v>
      </c>
      <c r="D11" s="52" t="n">
        <f aca="false">SUMPRODUCT((Expenses!C$3:C$1002="Travel")*(Expenses!E$3:E$1002="INR")*(MONTH(Expenses!A$3:A$1002)=9)*(YEAR(Expenses!A$3:A$1002)=2026)*(Expenses!A$3:A$1002&lt;&gt;"")*(IF(Expenses!G$3:G$1002="Yes",Expenses!H$3:H$1002,Expenses!D$3:D$1002)))</f>
        <v>0</v>
      </c>
      <c r="E11" s="52" t="n">
        <f aca="false">SUMPRODUCT((Expenses!C$3:C$1002="Shopping")*(Expenses!E$3:E$1002="INR")*(MONTH(Expenses!A$3:A$1002)=9)*(YEAR(Expenses!A$3:A$1002)=2026)*(Expenses!A$3:A$1002&lt;&gt;"")*(IF(Expenses!G$3:G$1002="Yes",Expenses!H$3:H$1002,Expenses!D$3:D$1002)))</f>
        <v>0</v>
      </c>
      <c r="F11" s="52" t="n">
        <f aca="false">SUMPRODUCT((Expenses!C$3:C$1002="Electronics")*(Expenses!E$3:E$1002="INR")*(MONTH(Expenses!A$3:A$1002)=9)*(YEAR(Expenses!A$3:A$1002)=2026)*(Expenses!A$3:A$1002&lt;&gt;"")*(IF(Expenses!G$3:G$1002="Yes",Expenses!H$3:H$1002,Expenses!D$3:D$1002)))</f>
        <v>0</v>
      </c>
      <c r="G11" s="52" t="n">
        <f aca="false">SUMPRODUCT((Expenses!C$3:C$1002="Subscriptions")*(Expenses!E$3:E$1002="INR")*(MONTH(Expenses!A$3:A$1002)=9)*(YEAR(Expenses!A$3:A$1002)=2026)*(Expenses!A$3:A$1002&lt;&gt;"")*(IF(Expenses!G$3:G$1002="Yes",Expenses!H$3:H$1002,Expenses!D$3:D$1002)))</f>
        <v>0</v>
      </c>
      <c r="H11" s="52" t="n">
        <f aca="false">SUMPRODUCT((Expenses!C$3:C$1002="Bills")*(Expenses!E$3:E$1002="INR")*(MONTH(Expenses!A$3:A$1002)=9)*(YEAR(Expenses!A$3:A$1002)=2026)*(Expenses!A$3:A$1002&lt;&gt;"")*(IF(Expenses!G$3:G$1002="Yes",Expenses!H$3:H$1002,Expenses!D$3:D$1002)))</f>
        <v>0</v>
      </c>
      <c r="I11" s="52" t="n">
        <f aca="false">SUMPRODUCT((Expenses!C$3:C$1002="Entertainment")*(Expenses!E$3:E$1002="INR")*(MONTH(Expenses!A$3:A$1002)=9)*(YEAR(Expenses!A$3:A$1002)=2026)*(Expenses!A$3:A$1002&lt;&gt;"")*(IF(Expenses!G$3:G$1002="Yes",Expenses!H$3:H$1002,Expenses!D$3:D$1002)))</f>
        <v>0</v>
      </c>
      <c r="J11" s="52" t="n">
        <f aca="false">SUMPRODUCT((Expenses!C$3:C$1002="Food and Drinks")*(Expenses!E$3:E$1002="INR")*(MONTH(Expenses!A$3:A$1002)=9)*(YEAR(Expenses!A$3:A$1002)=2026)*(Expenses!A$3:A$1002&lt;&gt;"")*(IF(Expenses!G$3:G$1002="Yes",Expenses!H$3:H$1002,Expenses!D$3:D$1002)))</f>
        <v>0</v>
      </c>
      <c r="K11" s="52" t="n">
        <f aca="false">SUMPRODUCT((Expenses!C$3:C$1002="Groceries")*(Expenses!E$3:E$1002="INR")*(MONTH(Expenses!A$3:A$1002)=9)*(YEAR(Expenses!A$3:A$1002)=2026)*(Expenses!A$3:A$1002&lt;&gt;"")*(IF(Expenses!G$3:G$1002="Yes",Expenses!H$3:H$1002,Expenses!D$3:D$1002)))</f>
        <v>0</v>
      </c>
      <c r="L11" s="52" t="n">
        <f aca="false">SUMPRODUCT((Expenses!C$3:C$1002="Others")*(Expenses!E$3:E$1002="INR")*(MONTH(Expenses!A$3:A$1002)=9)*(YEAR(Expenses!A$3:A$1002)=2026)*(Expenses!A$3:A$1002&lt;&gt;"")*(IF(Expenses!G$3:G$1002="Yes",Expenses!H$3:H$1002,Expenses!D$3:D$1002)))</f>
        <v>0</v>
      </c>
      <c r="M11" s="52" t="n">
        <f aca="false">SUMPRODUCT((Expenses!C$3:C$1002="Gifts")*(Expenses!E$3:E$1002="INR")*(MONTH(Expenses!A$3:A$1002)=9)*(YEAR(Expenses!A$3:A$1002)=2026)*(Expenses!A$3:A$1002&lt;&gt;"")*(IF(Expenses!G$3:G$1002="Yes",Expenses!H$3:H$1002,Expenses!D$3:D$1002)))</f>
        <v>0</v>
      </c>
      <c r="N11" s="52" t="n">
        <f aca="false">SUMPRODUCT((Expenses!C$3:C$1002="Donations")*(Expenses!E$3:E$1002="INR")*(MONTH(Expenses!A$3:A$1002)=9)*(YEAR(Expenses!A$3:A$1002)=2026)*(Expenses!A$3:A$1002&lt;&gt;"")*(IF(Expenses!G$3:G$1002="Yes",Expenses!H$3:H$1002,Expenses!D$3:D$1002)))</f>
        <v>0</v>
      </c>
      <c r="O11" s="52" t="n">
        <f aca="false">SUMPRODUCT((Expenses!C$3:C$1002="Investments")*(Expenses!E$3:E$1002="INR")*(MONTH(Expenses!A$3:A$1002)=9)*(YEAR(Expenses!A$3:A$1002)=2026)*(Expenses!A$3:A$1002&lt;&gt;"")*(IF(Expenses!G$3:G$1002="Yes",Expenses!H$3:H$1002,Expenses!D$3:D$1002)))</f>
        <v>0</v>
      </c>
      <c r="P11" s="53" t="n">
        <f aca="false">SUM(B11:O11)</f>
        <v>0</v>
      </c>
      <c r="Q11" s="52" t="n">
        <f aca="false">SUMPRODUCT((Income!D$3:D$502="INR")*(MONTH(Income!A$3:A$502)=9)*(YEAR(Income!A$3:A$502)=2026)*(Income!A$3:A$502&lt;&gt;"")*Income!C$3:C$502)</f>
        <v>0</v>
      </c>
      <c r="R11" s="53" t="n">
        <f aca="false">Q11-P11</f>
        <v>0</v>
      </c>
    </row>
    <row r="12" customFormat="false" ht="15" hidden="false" customHeight="false" outlineLevel="0" collapsed="false">
      <c r="A12" s="3" t="s">
        <v>134</v>
      </c>
      <c r="B12" s="52" t="n">
        <f aca="false">SUMPRODUCT((Expenses!C$3:C$1002="Rent")*(Expenses!E$3:E$1002="INR")*(MONTH(Expenses!A$3:A$1002)=10)*(YEAR(Expenses!A$3:A$1002)=2026)*(Expenses!A$3:A$1002&lt;&gt;"")*(IF(Expenses!G$3:G$1002="Yes",Expenses!H$3:H$1002,Expenses!D$3:D$1002)))</f>
        <v>0</v>
      </c>
      <c r="C12" s="52" t="n">
        <f aca="false">SUMPRODUCT((Expenses!C$3:C$1002="Transport")*(Expenses!E$3:E$1002="INR")*(MONTH(Expenses!A$3:A$1002)=10)*(YEAR(Expenses!A$3:A$1002)=2026)*(Expenses!A$3:A$1002&lt;&gt;"")*(IF(Expenses!G$3:G$1002="Yes",Expenses!H$3:H$1002,Expenses!D$3:D$1002)))</f>
        <v>0</v>
      </c>
      <c r="D12" s="52" t="n">
        <f aca="false">SUMPRODUCT((Expenses!C$3:C$1002="Travel")*(Expenses!E$3:E$1002="INR")*(MONTH(Expenses!A$3:A$1002)=10)*(YEAR(Expenses!A$3:A$1002)=2026)*(Expenses!A$3:A$1002&lt;&gt;"")*(IF(Expenses!G$3:G$1002="Yes",Expenses!H$3:H$1002,Expenses!D$3:D$1002)))</f>
        <v>0</v>
      </c>
      <c r="E12" s="52" t="n">
        <f aca="false">SUMPRODUCT((Expenses!C$3:C$1002="Shopping")*(Expenses!E$3:E$1002="INR")*(MONTH(Expenses!A$3:A$1002)=10)*(YEAR(Expenses!A$3:A$1002)=2026)*(Expenses!A$3:A$1002&lt;&gt;"")*(IF(Expenses!G$3:G$1002="Yes",Expenses!H$3:H$1002,Expenses!D$3:D$1002)))</f>
        <v>0</v>
      </c>
      <c r="F12" s="52" t="n">
        <f aca="false">SUMPRODUCT((Expenses!C$3:C$1002="Electronics")*(Expenses!E$3:E$1002="INR")*(MONTH(Expenses!A$3:A$1002)=10)*(YEAR(Expenses!A$3:A$1002)=2026)*(Expenses!A$3:A$1002&lt;&gt;"")*(IF(Expenses!G$3:G$1002="Yes",Expenses!H$3:H$1002,Expenses!D$3:D$1002)))</f>
        <v>0</v>
      </c>
      <c r="G12" s="52" t="n">
        <f aca="false">SUMPRODUCT((Expenses!C$3:C$1002="Subscriptions")*(Expenses!E$3:E$1002="INR")*(MONTH(Expenses!A$3:A$1002)=10)*(YEAR(Expenses!A$3:A$1002)=2026)*(Expenses!A$3:A$1002&lt;&gt;"")*(IF(Expenses!G$3:G$1002="Yes",Expenses!H$3:H$1002,Expenses!D$3:D$1002)))</f>
        <v>0</v>
      </c>
      <c r="H12" s="52" t="n">
        <f aca="false">SUMPRODUCT((Expenses!C$3:C$1002="Bills")*(Expenses!E$3:E$1002="INR")*(MONTH(Expenses!A$3:A$1002)=10)*(YEAR(Expenses!A$3:A$1002)=2026)*(Expenses!A$3:A$1002&lt;&gt;"")*(IF(Expenses!G$3:G$1002="Yes",Expenses!H$3:H$1002,Expenses!D$3:D$1002)))</f>
        <v>0</v>
      </c>
      <c r="I12" s="52" t="n">
        <f aca="false">SUMPRODUCT((Expenses!C$3:C$1002="Entertainment")*(Expenses!E$3:E$1002="INR")*(MONTH(Expenses!A$3:A$1002)=10)*(YEAR(Expenses!A$3:A$1002)=2026)*(Expenses!A$3:A$1002&lt;&gt;"")*(IF(Expenses!G$3:G$1002="Yes",Expenses!H$3:H$1002,Expenses!D$3:D$1002)))</f>
        <v>0</v>
      </c>
      <c r="J12" s="52" t="n">
        <f aca="false">SUMPRODUCT((Expenses!C$3:C$1002="Food and Drinks")*(Expenses!E$3:E$1002="INR")*(MONTH(Expenses!A$3:A$1002)=10)*(YEAR(Expenses!A$3:A$1002)=2026)*(Expenses!A$3:A$1002&lt;&gt;"")*(IF(Expenses!G$3:G$1002="Yes",Expenses!H$3:H$1002,Expenses!D$3:D$1002)))</f>
        <v>0</v>
      </c>
      <c r="K12" s="52" t="n">
        <f aca="false">SUMPRODUCT((Expenses!C$3:C$1002="Groceries")*(Expenses!E$3:E$1002="INR")*(MONTH(Expenses!A$3:A$1002)=10)*(YEAR(Expenses!A$3:A$1002)=2026)*(Expenses!A$3:A$1002&lt;&gt;"")*(IF(Expenses!G$3:G$1002="Yes",Expenses!H$3:H$1002,Expenses!D$3:D$1002)))</f>
        <v>0</v>
      </c>
      <c r="L12" s="52" t="n">
        <f aca="false">SUMPRODUCT((Expenses!C$3:C$1002="Others")*(Expenses!E$3:E$1002="INR")*(MONTH(Expenses!A$3:A$1002)=10)*(YEAR(Expenses!A$3:A$1002)=2026)*(Expenses!A$3:A$1002&lt;&gt;"")*(IF(Expenses!G$3:G$1002="Yes",Expenses!H$3:H$1002,Expenses!D$3:D$1002)))</f>
        <v>0</v>
      </c>
      <c r="M12" s="52" t="n">
        <f aca="false">SUMPRODUCT((Expenses!C$3:C$1002="Gifts")*(Expenses!E$3:E$1002="INR")*(MONTH(Expenses!A$3:A$1002)=10)*(YEAR(Expenses!A$3:A$1002)=2026)*(Expenses!A$3:A$1002&lt;&gt;"")*(IF(Expenses!G$3:G$1002="Yes",Expenses!H$3:H$1002,Expenses!D$3:D$1002)))</f>
        <v>0</v>
      </c>
      <c r="N12" s="52" t="n">
        <f aca="false">SUMPRODUCT((Expenses!C$3:C$1002="Donations")*(Expenses!E$3:E$1002="INR")*(MONTH(Expenses!A$3:A$1002)=10)*(YEAR(Expenses!A$3:A$1002)=2026)*(Expenses!A$3:A$1002&lt;&gt;"")*(IF(Expenses!G$3:G$1002="Yes",Expenses!H$3:H$1002,Expenses!D$3:D$1002)))</f>
        <v>0</v>
      </c>
      <c r="O12" s="52" t="n">
        <f aca="false">SUMPRODUCT((Expenses!C$3:C$1002="Investments")*(Expenses!E$3:E$1002="INR")*(MONTH(Expenses!A$3:A$1002)=10)*(YEAR(Expenses!A$3:A$1002)=2026)*(Expenses!A$3:A$1002&lt;&gt;"")*(IF(Expenses!G$3:G$1002="Yes",Expenses!H$3:H$1002,Expenses!D$3:D$1002)))</f>
        <v>0</v>
      </c>
      <c r="P12" s="53" t="n">
        <f aca="false">SUM(B12:O12)</f>
        <v>0</v>
      </c>
      <c r="Q12" s="52" t="n">
        <f aca="false">SUMPRODUCT((Income!D$3:D$502="INR")*(MONTH(Income!A$3:A$502)=10)*(YEAR(Income!A$3:A$502)=2026)*(Income!A$3:A$502&lt;&gt;"")*Income!C$3:C$502)</f>
        <v>0</v>
      </c>
      <c r="R12" s="53" t="n">
        <f aca="false">Q12-P12</f>
        <v>0</v>
      </c>
    </row>
    <row r="13" customFormat="false" ht="15" hidden="false" customHeight="false" outlineLevel="0" collapsed="false">
      <c r="A13" s="3" t="s">
        <v>135</v>
      </c>
      <c r="B13" s="52" t="n">
        <f aca="false">SUMPRODUCT((Expenses!C$3:C$1002="Rent")*(Expenses!E$3:E$1002="INR")*(MONTH(Expenses!A$3:A$1002)=11)*(YEAR(Expenses!A$3:A$1002)=2026)*(Expenses!A$3:A$1002&lt;&gt;"")*(IF(Expenses!G$3:G$1002="Yes",Expenses!H$3:H$1002,Expenses!D$3:D$1002)))</f>
        <v>0</v>
      </c>
      <c r="C13" s="52" t="n">
        <f aca="false">SUMPRODUCT((Expenses!C$3:C$1002="Transport")*(Expenses!E$3:E$1002="INR")*(MONTH(Expenses!A$3:A$1002)=11)*(YEAR(Expenses!A$3:A$1002)=2026)*(Expenses!A$3:A$1002&lt;&gt;"")*(IF(Expenses!G$3:G$1002="Yes",Expenses!H$3:H$1002,Expenses!D$3:D$1002)))</f>
        <v>0</v>
      </c>
      <c r="D13" s="52" t="n">
        <f aca="false">SUMPRODUCT((Expenses!C$3:C$1002="Travel")*(Expenses!E$3:E$1002="INR")*(MONTH(Expenses!A$3:A$1002)=11)*(YEAR(Expenses!A$3:A$1002)=2026)*(Expenses!A$3:A$1002&lt;&gt;"")*(IF(Expenses!G$3:G$1002="Yes",Expenses!H$3:H$1002,Expenses!D$3:D$1002)))</f>
        <v>0</v>
      </c>
      <c r="E13" s="52" t="n">
        <f aca="false">SUMPRODUCT((Expenses!C$3:C$1002="Shopping")*(Expenses!E$3:E$1002="INR")*(MONTH(Expenses!A$3:A$1002)=11)*(YEAR(Expenses!A$3:A$1002)=2026)*(Expenses!A$3:A$1002&lt;&gt;"")*(IF(Expenses!G$3:G$1002="Yes",Expenses!H$3:H$1002,Expenses!D$3:D$1002)))</f>
        <v>0</v>
      </c>
      <c r="F13" s="52" t="n">
        <f aca="false">SUMPRODUCT((Expenses!C$3:C$1002="Electronics")*(Expenses!E$3:E$1002="INR")*(MONTH(Expenses!A$3:A$1002)=11)*(YEAR(Expenses!A$3:A$1002)=2026)*(Expenses!A$3:A$1002&lt;&gt;"")*(IF(Expenses!G$3:G$1002="Yes",Expenses!H$3:H$1002,Expenses!D$3:D$1002)))</f>
        <v>0</v>
      </c>
      <c r="G13" s="52" t="n">
        <f aca="false">SUMPRODUCT((Expenses!C$3:C$1002="Subscriptions")*(Expenses!E$3:E$1002="INR")*(MONTH(Expenses!A$3:A$1002)=11)*(YEAR(Expenses!A$3:A$1002)=2026)*(Expenses!A$3:A$1002&lt;&gt;"")*(IF(Expenses!G$3:G$1002="Yes",Expenses!H$3:H$1002,Expenses!D$3:D$1002)))</f>
        <v>0</v>
      </c>
      <c r="H13" s="52" t="n">
        <f aca="false">SUMPRODUCT((Expenses!C$3:C$1002="Bills")*(Expenses!E$3:E$1002="INR")*(MONTH(Expenses!A$3:A$1002)=11)*(YEAR(Expenses!A$3:A$1002)=2026)*(Expenses!A$3:A$1002&lt;&gt;"")*(IF(Expenses!G$3:G$1002="Yes",Expenses!H$3:H$1002,Expenses!D$3:D$1002)))</f>
        <v>0</v>
      </c>
      <c r="I13" s="52" t="n">
        <f aca="false">SUMPRODUCT((Expenses!C$3:C$1002="Entertainment")*(Expenses!E$3:E$1002="INR")*(MONTH(Expenses!A$3:A$1002)=11)*(YEAR(Expenses!A$3:A$1002)=2026)*(Expenses!A$3:A$1002&lt;&gt;"")*(IF(Expenses!G$3:G$1002="Yes",Expenses!H$3:H$1002,Expenses!D$3:D$1002)))</f>
        <v>0</v>
      </c>
      <c r="J13" s="52" t="n">
        <f aca="false">SUMPRODUCT((Expenses!C$3:C$1002="Food and Drinks")*(Expenses!E$3:E$1002="INR")*(MONTH(Expenses!A$3:A$1002)=11)*(YEAR(Expenses!A$3:A$1002)=2026)*(Expenses!A$3:A$1002&lt;&gt;"")*(IF(Expenses!G$3:G$1002="Yes",Expenses!H$3:H$1002,Expenses!D$3:D$1002)))</f>
        <v>0</v>
      </c>
      <c r="K13" s="52" t="n">
        <f aca="false">SUMPRODUCT((Expenses!C$3:C$1002="Groceries")*(Expenses!E$3:E$1002="INR")*(MONTH(Expenses!A$3:A$1002)=11)*(YEAR(Expenses!A$3:A$1002)=2026)*(Expenses!A$3:A$1002&lt;&gt;"")*(IF(Expenses!G$3:G$1002="Yes",Expenses!H$3:H$1002,Expenses!D$3:D$1002)))</f>
        <v>0</v>
      </c>
      <c r="L13" s="52" t="n">
        <f aca="false">SUMPRODUCT((Expenses!C$3:C$1002="Others")*(Expenses!E$3:E$1002="INR")*(MONTH(Expenses!A$3:A$1002)=11)*(YEAR(Expenses!A$3:A$1002)=2026)*(Expenses!A$3:A$1002&lt;&gt;"")*(IF(Expenses!G$3:G$1002="Yes",Expenses!H$3:H$1002,Expenses!D$3:D$1002)))</f>
        <v>0</v>
      </c>
      <c r="M13" s="52" t="n">
        <f aca="false">SUMPRODUCT((Expenses!C$3:C$1002="Gifts")*(Expenses!E$3:E$1002="INR")*(MONTH(Expenses!A$3:A$1002)=11)*(YEAR(Expenses!A$3:A$1002)=2026)*(Expenses!A$3:A$1002&lt;&gt;"")*(IF(Expenses!G$3:G$1002="Yes",Expenses!H$3:H$1002,Expenses!D$3:D$1002)))</f>
        <v>0</v>
      </c>
      <c r="N13" s="52" t="n">
        <f aca="false">SUMPRODUCT((Expenses!C$3:C$1002="Donations")*(Expenses!E$3:E$1002="INR")*(MONTH(Expenses!A$3:A$1002)=11)*(YEAR(Expenses!A$3:A$1002)=2026)*(Expenses!A$3:A$1002&lt;&gt;"")*(IF(Expenses!G$3:G$1002="Yes",Expenses!H$3:H$1002,Expenses!D$3:D$1002)))</f>
        <v>0</v>
      </c>
      <c r="O13" s="52" t="n">
        <f aca="false">SUMPRODUCT((Expenses!C$3:C$1002="Investments")*(Expenses!E$3:E$1002="INR")*(MONTH(Expenses!A$3:A$1002)=11)*(YEAR(Expenses!A$3:A$1002)=2026)*(Expenses!A$3:A$1002&lt;&gt;"")*(IF(Expenses!G$3:G$1002="Yes",Expenses!H$3:H$1002,Expenses!D$3:D$1002)))</f>
        <v>0</v>
      </c>
      <c r="P13" s="53" t="n">
        <f aca="false">SUM(B13:O13)</f>
        <v>0</v>
      </c>
      <c r="Q13" s="52" t="n">
        <f aca="false">SUMPRODUCT((Income!D$3:D$502="INR")*(MONTH(Income!A$3:A$502)=11)*(YEAR(Income!A$3:A$502)=2026)*(Income!A$3:A$502&lt;&gt;"")*Income!C$3:C$502)</f>
        <v>0</v>
      </c>
      <c r="R13" s="53" t="n">
        <f aca="false">Q13-P13</f>
        <v>0</v>
      </c>
    </row>
    <row r="14" customFormat="false" ht="15" hidden="false" customHeight="false" outlineLevel="0" collapsed="false">
      <c r="A14" s="3" t="s">
        <v>136</v>
      </c>
      <c r="B14" s="52" t="n">
        <f aca="false">SUMPRODUCT((Expenses!C$3:C$1002="Rent")*(Expenses!E$3:E$1002="INR")*(MONTH(Expenses!A$3:A$1002)=12)*(YEAR(Expenses!A$3:A$1002)=2026)*(Expenses!A$3:A$1002&lt;&gt;"")*(IF(Expenses!G$3:G$1002="Yes",Expenses!H$3:H$1002,Expenses!D$3:D$1002)))</f>
        <v>0</v>
      </c>
      <c r="C14" s="52" t="n">
        <f aca="false">SUMPRODUCT((Expenses!C$3:C$1002="Transport")*(Expenses!E$3:E$1002="INR")*(MONTH(Expenses!A$3:A$1002)=12)*(YEAR(Expenses!A$3:A$1002)=2026)*(Expenses!A$3:A$1002&lt;&gt;"")*(IF(Expenses!G$3:G$1002="Yes",Expenses!H$3:H$1002,Expenses!D$3:D$1002)))</f>
        <v>0</v>
      </c>
      <c r="D14" s="52" t="n">
        <f aca="false">SUMPRODUCT((Expenses!C$3:C$1002="Travel")*(Expenses!E$3:E$1002="INR")*(MONTH(Expenses!A$3:A$1002)=12)*(YEAR(Expenses!A$3:A$1002)=2026)*(Expenses!A$3:A$1002&lt;&gt;"")*(IF(Expenses!G$3:G$1002="Yes",Expenses!H$3:H$1002,Expenses!D$3:D$1002)))</f>
        <v>0</v>
      </c>
      <c r="E14" s="52" t="n">
        <f aca="false">SUMPRODUCT((Expenses!C$3:C$1002="Shopping")*(Expenses!E$3:E$1002="INR")*(MONTH(Expenses!A$3:A$1002)=12)*(YEAR(Expenses!A$3:A$1002)=2026)*(Expenses!A$3:A$1002&lt;&gt;"")*(IF(Expenses!G$3:G$1002="Yes",Expenses!H$3:H$1002,Expenses!D$3:D$1002)))</f>
        <v>0</v>
      </c>
      <c r="F14" s="52" t="n">
        <f aca="false">SUMPRODUCT((Expenses!C$3:C$1002="Electronics")*(Expenses!E$3:E$1002="INR")*(MONTH(Expenses!A$3:A$1002)=12)*(YEAR(Expenses!A$3:A$1002)=2026)*(Expenses!A$3:A$1002&lt;&gt;"")*(IF(Expenses!G$3:G$1002="Yes",Expenses!H$3:H$1002,Expenses!D$3:D$1002)))</f>
        <v>0</v>
      </c>
      <c r="G14" s="52" t="n">
        <f aca="false">SUMPRODUCT((Expenses!C$3:C$1002="Subscriptions")*(Expenses!E$3:E$1002="INR")*(MONTH(Expenses!A$3:A$1002)=12)*(YEAR(Expenses!A$3:A$1002)=2026)*(Expenses!A$3:A$1002&lt;&gt;"")*(IF(Expenses!G$3:G$1002="Yes",Expenses!H$3:H$1002,Expenses!D$3:D$1002)))</f>
        <v>0</v>
      </c>
      <c r="H14" s="52" t="n">
        <f aca="false">SUMPRODUCT((Expenses!C$3:C$1002="Bills")*(Expenses!E$3:E$1002="INR")*(MONTH(Expenses!A$3:A$1002)=12)*(YEAR(Expenses!A$3:A$1002)=2026)*(Expenses!A$3:A$1002&lt;&gt;"")*(IF(Expenses!G$3:G$1002="Yes",Expenses!H$3:H$1002,Expenses!D$3:D$1002)))</f>
        <v>0</v>
      </c>
      <c r="I14" s="52" t="n">
        <f aca="false">SUMPRODUCT((Expenses!C$3:C$1002="Entertainment")*(Expenses!E$3:E$1002="INR")*(MONTH(Expenses!A$3:A$1002)=12)*(YEAR(Expenses!A$3:A$1002)=2026)*(Expenses!A$3:A$1002&lt;&gt;"")*(IF(Expenses!G$3:G$1002="Yes",Expenses!H$3:H$1002,Expenses!D$3:D$1002)))</f>
        <v>0</v>
      </c>
      <c r="J14" s="52" t="n">
        <f aca="false">SUMPRODUCT((Expenses!C$3:C$1002="Food and Drinks")*(Expenses!E$3:E$1002="INR")*(MONTH(Expenses!A$3:A$1002)=12)*(YEAR(Expenses!A$3:A$1002)=2026)*(Expenses!A$3:A$1002&lt;&gt;"")*(IF(Expenses!G$3:G$1002="Yes",Expenses!H$3:H$1002,Expenses!D$3:D$1002)))</f>
        <v>0</v>
      </c>
      <c r="K14" s="52" t="n">
        <f aca="false">SUMPRODUCT((Expenses!C$3:C$1002="Groceries")*(Expenses!E$3:E$1002="INR")*(MONTH(Expenses!A$3:A$1002)=12)*(YEAR(Expenses!A$3:A$1002)=2026)*(Expenses!A$3:A$1002&lt;&gt;"")*(IF(Expenses!G$3:G$1002="Yes",Expenses!H$3:H$1002,Expenses!D$3:D$1002)))</f>
        <v>0</v>
      </c>
      <c r="L14" s="52" t="n">
        <f aca="false">SUMPRODUCT((Expenses!C$3:C$1002="Others")*(Expenses!E$3:E$1002="INR")*(MONTH(Expenses!A$3:A$1002)=12)*(YEAR(Expenses!A$3:A$1002)=2026)*(Expenses!A$3:A$1002&lt;&gt;"")*(IF(Expenses!G$3:G$1002="Yes",Expenses!H$3:H$1002,Expenses!D$3:D$1002)))</f>
        <v>0</v>
      </c>
      <c r="M14" s="52" t="n">
        <f aca="false">SUMPRODUCT((Expenses!C$3:C$1002="Gifts")*(Expenses!E$3:E$1002="INR")*(MONTH(Expenses!A$3:A$1002)=12)*(YEAR(Expenses!A$3:A$1002)=2026)*(Expenses!A$3:A$1002&lt;&gt;"")*(IF(Expenses!G$3:G$1002="Yes",Expenses!H$3:H$1002,Expenses!D$3:D$1002)))</f>
        <v>0</v>
      </c>
      <c r="N14" s="52" t="n">
        <f aca="false">SUMPRODUCT((Expenses!C$3:C$1002="Donations")*(Expenses!E$3:E$1002="INR")*(MONTH(Expenses!A$3:A$1002)=12)*(YEAR(Expenses!A$3:A$1002)=2026)*(Expenses!A$3:A$1002&lt;&gt;"")*(IF(Expenses!G$3:G$1002="Yes",Expenses!H$3:H$1002,Expenses!D$3:D$1002)))</f>
        <v>0</v>
      </c>
      <c r="O14" s="52" t="n">
        <f aca="false">SUMPRODUCT((Expenses!C$3:C$1002="Investments")*(Expenses!E$3:E$1002="INR")*(MONTH(Expenses!A$3:A$1002)=12)*(YEAR(Expenses!A$3:A$1002)=2026)*(Expenses!A$3:A$1002&lt;&gt;"")*(IF(Expenses!G$3:G$1002="Yes",Expenses!H$3:H$1002,Expenses!D$3:D$1002)))</f>
        <v>0</v>
      </c>
      <c r="P14" s="53" t="n">
        <f aca="false">SUM(B14:O14)</f>
        <v>0</v>
      </c>
      <c r="Q14" s="52" t="n">
        <f aca="false">SUMPRODUCT((Income!D$3:D$502="INR")*(MONTH(Income!A$3:A$502)=12)*(YEAR(Income!A$3:A$502)=2026)*(Income!A$3:A$502&lt;&gt;"")*Income!C$3:C$502)</f>
        <v>0</v>
      </c>
      <c r="R14" s="53" t="n">
        <f aca="false">Q14-P14</f>
        <v>0</v>
      </c>
    </row>
    <row r="16" customFormat="false" ht="15" hidden="false" customHeight="false" outlineLevel="0" collapsed="false">
      <c r="A16" s="47" t="s">
        <v>137</v>
      </c>
      <c r="B16" s="54" t="n">
        <f aca="false">SUM(B3:B14)</f>
        <v>0</v>
      </c>
      <c r="C16" s="54" t="n">
        <f aca="false">SUM(C3:C14)</f>
        <v>0</v>
      </c>
      <c r="D16" s="54" t="n">
        <f aca="false">SUM(D3:D14)</f>
        <v>0</v>
      </c>
      <c r="E16" s="54" t="n">
        <f aca="false">SUM(E3:E14)</f>
        <v>0</v>
      </c>
      <c r="F16" s="54" t="n">
        <f aca="false">SUM(F3:F14)</f>
        <v>0</v>
      </c>
      <c r="G16" s="54" t="n">
        <f aca="false">SUM(G3:G14)</f>
        <v>0</v>
      </c>
      <c r="H16" s="54" t="n">
        <f aca="false">SUM(H3:H14)</f>
        <v>0</v>
      </c>
      <c r="I16" s="54" t="n">
        <f aca="false">SUM(I3:I14)</f>
        <v>0</v>
      </c>
      <c r="J16" s="54" t="n">
        <f aca="false">SUM(J3:J14)</f>
        <v>0</v>
      </c>
      <c r="K16" s="54" t="n">
        <f aca="false">SUM(K3:K14)</f>
        <v>0</v>
      </c>
      <c r="L16" s="54" t="n">
        <f aca="false">SUM(L3:L14)</f>
        <v>0</v>
      </c>
      <c r="M16" s="54" t="n">
        <f aca="false">SUM(M3:M14)</f>
        <v>0</v>
      </c>
      <c r="N16" s="54" t="n">
        <f aca="false">SUM(N3:N14)</f>
        <v>0</v>
      </c>
      <c r="O16" s="54" t="n">
        <f aca="false">SUM(O3:O14)</f>
        <v>0</v>
      </c>
      <c r="P16" s="54" t="n">
        <f aca="false">SUM(P3:P14)</f>
        <v>0</v>
      </c>
      <c r="Q16" s="54" t="n">
        <f aca="false">SUM(Q3:Q14)</f>
        <v>0</v>
      </c>
      <c r="R16" s="54" t="n">
        <f aca="false">SUM(R3:R14)</f>
        <v>0</v>
      </c>
    </row>
    <row r="18" customFormat="false" ht="15" hidden="false" customHeight="false" outlineLevel="0" collapsed="false">
      <c r="A18" s="20" t="s">
        <v>138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6" t="n">
        <f aca="false">SUM(B18:O18)</f>
        <v>0</v>
      </c>
    </row>
    <row r="21" customFormat="false" ht="17.35" hidden="false" customHeight="false" outlineLevel="0" collapsed="false">
      <c r="A21" s="51" t="s">
        <v>139</v>
      </c>
      <c r="B21" s="51"/>
      <c r="C21" s="51"/>
      <c r="D21" s="51"/>
      <c r="E21" s="51"/>
      <c r="F21" s="51"/>
      <c r="G21" s="51"/>
      <c r="H21" s="51"/>
    </row>
  </sheetData>
  <mergeCells count="2">
    <mergeCell ref="A1:R1"/>
    <mergeCell ref="A21:H21"/>
  </mergeCells>
  <conditionalFormatting sqref="B3:B14">
    <cfRule type="cellIs" priority="2" operator="lessThanOrEqual" aboveAverage="0" equalAverage="0" bottom="0" percent="0" rank="0" text="" dxfId="0">
      <formula>$B$18</formula>
    </cfRule>
    <cfRule type="cellIs" priority="3" operator="greaterThan" aboveAverage="0" equalAverage="0" bottom="0" percent="0" rank="0" text="" dxfId="1">
      <formula>$B$18</formula>
    </cfRule>
  </conditionalFormatting>
  <conditionalFormatting sqref="C3:C14">
    <cfRule type="cellIs" priority="4" operator="lessThanOrEqual" aboveAverage="0" equalAverage="0" bottom="0" percent="0" rank="0" text="" dxfId="0">
      <formula>$C$18</formula>
    </cfRule>
    <cfRule type="cellIs" priority="5" operator="greaterThan" aboveAverage="0" equalAverage="0" bottom="0" percent="0" rank="0" text="" dxfId="1">
      <formula>$C$18</formula>
    </cfRule>
  </conditionalFormatting>
  <conditionalFormatting sqref="D3:D14">
    <cfRule type="cellIs" priority="6" operator="lessThanOrEqual" aboveAverage="0" equalAverage="0" bottom="0" percent="0" rank="0" text="" dxfId="0">
      <formula>$D$18</formula>
    </cfRule>
    <cfRule type="cellIs" priority="7" operator="greaterThan" aboveAverage="0" equalAverage="0" bottom="0" percent="0" rank="0" text="" dxfId="1">
      <formula>$D$18</formula>
    </cfRule>
  </conditionalFormatting>
  <conditionalFormatting sqref="E3:E14">
    <cfRule type="cellIs" priority="8" operator="lessThanOrEqual" aboveAverage="0" equalAverage="0" bottom="0" percent="0" rank="0" text="" dxfId="0">
      <formula>$E$18</formula>
    </cfRule>
    <cfRule type="cellIs" priority="9" operator="greaterThan" aboveAverage="0" equalAverage="0" bottom="0" percent="0" rank="0" text="" dxfId="1">
      <formula>$E$18</formula>
    </cfRule>
  </conditionalFormatting>
  <conditionalFormatting sqref="F3:F14">
    <cfRule type="cellIs" priority="10" operator="lessThanOrEqual" aboveAverage="0" equalAverage="0" bottom="0" percent="0" rank="0" text="" dxfId="0">
      <formula>$F$18</formula>
    </cfRule>
    <cfRule type="cellIs" priority="11" operator="greaterThan" aboveAverage="0" equalAverage="0" bottom="0" percent="0" rank="0" text="" dxfId="1">
      <formula>$F$18</formula>
    </cfRule>
  </conditionalFormatting>
  <conditionalFormatting sqref="G3:G14">
    <cfRule type="cellIs" priority="12" operator="lessThanOrEqual" aboveAverage="0" equalAverage="0" bottom="0" percent="0" rank="0" text="" dxfId="0">
      <formula>$G$18</formula>
    </cfRule>
    <cfRule type="cellIs" priority="13" operator="greaterThan" aboveAverage="0" equalAverage="0" bottom="0" percent="0" rank="0" text="" dxfId="1">
      <formula>$G$18</formula>
    </cfRule>
  </conditionalFormatting>
  <conditionalFormatting sqref="H3:H14">
    <cfRule type="cellIs" priority="14" operator="lessThanOrEqual" aboveAverage="0" equalAverage="0" bottom="0" percent="0" rank="0" text="" dxfId="0">
      <formula>$H$18</formula>
    </cfRule>
    <cfRule type="cellIs" priority="15" operator="greaterThan" aboveAverage="0" equalAverage="0" bottom="0" percent="0" rank="0" text="" dxfId="1">
      <formula>$H$18</formula>
    </cfRule>
  </conditionalFormatting>
  <conditionalFormatting sqref="I3:I14">
    <cfRule type="cellIs" priority="16" operator="lessThanOrEqual" aboveAverage="0" equalAverage="0" bottom="0" percent="0" rank="0" text="" dxfId="0">
      <formula>$I$18</formula>
    </cfRule>
    <cfRule type="cellIs" priority="17" operator="greaterThan" aboveAverage="0" equalAverage="0" bottom="0" percent="0" rank="0" text="" dxfId="1">
      <formula>$I$18</formula>
    </cfRule>
  </conditionalFormatting>
  <conditionalFormatting sqref="J3:J14">
    <cfRule type="cellIs" priority="18" operator="lessThanOrEqual" aboveAverage="0" equalAverage="0" bottom="0" percent="0" rank="0" text="" dxfId="0">
      <formula>$J$18</formula>
    </cfRule>
    <cfRule type="cellIs" priority="19" operator="greaterThan" aboveAverage="0" equalAverage="0" bottom="0" percent="0" rank="0" text="" dxfId="1">
      <formula>$J$18</formula>
    </cfRule>
  </conditionalFormatting>
  <conditionalFormatting sqref="K3:K14">
    <cfRule type="cellIs" priority="20" operator="lessThanOrEqual" aboveAverage="0" equalAverage="0" bottom="0" percent="0" rank="0" text="" dxfId="0">
      <formula>$K$18</formula>
    </cfRule>
    <cfRule type="cellIs" priority="21" operator="greaterThan" aboveAverage="0" equalAverage="0" bottom="0" percent="0" rank="0" text="" dxfId="1">
      <formula>$K$18</formula>
    </cfRule>
  </conditionalFormatting>
  <conditionalFormatting sqref="L3:L14">
    <cfRule type="cellIs" priority="22" operator="lessThanOrEqual" aboveAverage="0" equalAverage="0" bottom="0" percent="0" rank="0" text="" dxfId="0">
      <formula>$L$18</formula>
    </cfRule>
    <cfRule type="cellIs" priority="23" operator="greaterThan" aboveAverage="0" equalAverage="0" bottom="0" percent="0" rank="0" text="" dxfId="1">
      <formula>$L$18</formula>
    </cfRule>
  </conditionalFormatting>
  <conditionalFormatting sqref="M3:M14">
    <cfRule type="cellIs" priority="24" operator="lessThanOrEqual" aboveAverage="0" equalAverage="0" bottom="0" percent="0" rank="0" text="" dxfId="0">
      <formula>$M$18</formula>
    </cfRule>
    <cfRule type="cellIs" priority="25" operator="greaterThan" aboveAverage="0" equalAverage="0" bottom="0" percent="0" rank="0" text="" dxfId="1">
      <formula>$M$18</formula>
    </cfRule>
  </conditionalFormatting>
  <conditionalFormatting sqref="N3:N14">
    <cfRule type="cellIs" priority="26" operator="lessThanOrEqual" aboveAverage="0" equalAverage="0" bottom="0" percent="0" rank="0" text="" dxfId="0">
      <formula>$N$18</formula>
    </cfRule>
    <cfRule type="cellIs" priority="27" operator="greaterThan" aboveAverage="0" equalAverage="0" bottom="0" percent="0" rank="0" text="" dxfId="1">
      <formula>$N$18</formula>
    </cfRule>
  </conditionalFormatting>
  <conditionalFormatting sqref="O3:O14">
    <cfRule type="cellIs" priority="28" operator="lessThanOrEqual" aboveAverage="0" equalAverage="0" bottom="0" percent="0" rank="0" text="" dxfId="0">
      <formula>$O$18</formula>
    </cfRule>
    <cfRule type="cellIs" priority="29" operator="greaterThan" aboveAverage="0" equalAverage="0" bottom="0" percent="0" rank="0" text="" dxfId="1">
      <formula>$O$18</formula>
    </cfRule>
  </conditionalFormatting>
  <conditionalFormatting sqref="R3:R14">
    <cfRule type="cellIs" priority="30" operator="lessThan" aboveAverage="0" equalAverage="0" bottom="0" percent="0" rank="0" text="" dxfId="1">
      <formula>0</formula>
    </cfRule>
    <cfRule type="cellIs" priority="31" operator="greater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H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141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6" t="s">
        <v>142</v>
      </c>
      <c r="B2" s="46" t="s">
        <v>89</v>
      </c>
      <c r="C2" s="46" t="s">
        <v>143</v>
      </c>
      <c r="D2" s="46" t="s">
        <v>144</v>
      </c>
      <c r="E2" s="46" t="s">
        <v>145</v>
      </c>
      <c r="F2" s="46" t="s">
        <v>146</v>
      </c>
      <c r="G2" s="46" t="s">
        <v>147</v>
      </c>
      <c r="H2" s="46" t="s">
        <v>65</v>
      </c>
    </row>
    <row r="3" customFormat="false" ht="15" hidden="false" customHeight="false" outlineLevel="0" collapsed="false">
      <c r="A3" s="5" t="n">
        <v>1</v>
      </c>
      <c r="B3" s="57" t="n">
        <v>46023</v>
      </c>
      <c r="C3" s="49"/>
      <c r="D3" s="45" t="n">
        <f aca="false">E3-F3</f>
        <v>0</v>
      </c>
      <c r="E3" s="24" t="n">
        <f aca="false">SUMPRODUCT((Income!D$3:D$502="GBP")*(Income!A$3:A$502=B3)*(Income!A$3:A$502&lt;&gt;"")*Income!C$3:C$502)</f>
        <v>0</v>
      </c>
      <c r="F3" s="24" t="n">
        <f aca="false">SUMPRODUCT((Expenses!E$3:E$1002="GBP")*(Expenses!A$3:A$1002=B3)*(Expenses!A$3:A$1002&lt;&gt;"")*Expenses!D$3:D$1002)</f>
        <v>0</v>
      </c>
      <c r="G3" s="45" t="n">
        <f aca="false">C3+D3</f>
        <v>0</v>
      </c>
      <c r="H3" s="26"/>
    </row>
    <row r="4" customFormat="false" ht="15" hidden="false" customHeight="false" outlineLevel="0" collapsed="false">
      <c r="A4" s="5" t="n">
        <v>1</v>
      </c>
      <c r="B4" s="57" t="n">
        <v>46024</v>
      </c>
      <c r="C4" s="24" t="n">
        <f aca="false">G3</f>
        <v>0</v>
      </c>
      <c r="D4" s="45" t="n">
        <f aca="false">E4-F4</f>
        <v>0</v>
      </c>
      <c r="E4" s="24" t="n">
        <f aca="false">SUMPRODUCT((Income!D$3:D$502="GBP")*(Income!A$3:A$502=B4)*(Income!A$3:A$502&lt;&gt;"")*Income!C$3:C$502)</f>
        <v>0</v>
      </c>
      <c r="F4" s="24" t="n">
        <f aca="false">SUMPRODUCT((Expenses!E$3:E$1002="GBP")*(Expenses!A$3:A$1002=B4)*(Expenses!A$3:A$1002&lt;&gt;"")*Expenses!D$3:D$1002)</f>
        <v>0</v>
      </c>
      <c r="G4" s="45" t="n">
        <f aca="false">C4+D4</f>
        <v>0</v>
      </c>
      <c r="H4" s="26"/>
    </row>
    <row r="5" customFormat="false" ht="15" hidden="false" customHeight="false" outlineLevel="0" collapsed="false">
      <c r="A5" s="5" t="n">
        <v>1</v>
      </c>
      <c r="B5" s="57" t="n">
        <v>46025</v>
      </c>
      <c r="C5" s="24" t="n">
        <f aca="false">G4</f>
        <v>0</v>
      </c>
      <c r="D5" s="45" t="n">
        <f aca="false">E5-F5</f>
        <v>0</v>
      </c>
      <c r="E5" s="24" t="n">
        <f aca="false">SUMPRODUCT((Income!D$3:D$502="GBP")*(Income!A$3:A$502=B5)*(Income!A$3:A$502&lt;&gt;"")*Income!C$3:C$502)</f>
        <v>0</v>
      </c>
      <c r="F5" s="24" t="n">
        <f aca="false">SUMPRODUCT((Expenses!E$3:E$1002="GBP")*(Expenses!A$3:A$1002=B5)*(Expenses!A$3:A$1002&lt;&gt;"")*Expenses!D$3:D$1002)</f>
        <v>0</v>
      </c>
      <c r="G5" s="45" t="n">
        <f aca="false">C5+D5</f>
        <v>0</v>
      </c>
      <c r="H5" s="26"/>
    </row>
    <row r="6" customFormat="false" ht="15" hidden="false" customHeight="false" outlineLevel="0" collapsed="false">
      <c r="A6" s="5" t="n">
        <v>1</v>
      </c>
      <c r="B6" s="57" t="n">
        <v>46026</v>
      </c>
      <c r="C6" s="24" t="n">
        <f aca="false">G5</f>
        <v>0</v>
      </c>
      <c r="D6" s="45" t="n">
        <f aca="false">E6-F6</f>
        <v>0</v>
      </c>
      <c r="E6" s="24" t="n">
        <f aca="false">SUMPRODUCT((Income!D$3:D$502="GBP")*(Income!A$3:A$502=B6)*(Income!A$3:A$502&lt;&gt;"")*Income!C$3:C$502)</f>
        <v>0</v>
      </c>
      <c r="F6" s="24" t="n">
        <f aca="false">SUMPRODUCT((Expenses!E$3:E$1002="GBP")*(Expenses!A$3:A$1002=B6)*(Expenses!A$3:A$1002&lt;&gt;"")*Expenses!D$3:D$1002)</f>
        <v>0</v>
      </c>
      <c r="G6" s="45" t="n">
        <f aca="false">C6+D6</f>
        <v>0</v>
      </c>
      <c r="H6" s="26"/>
    </row>
    <row r="7" customFormat="false" ht="15" hidden="false" customHeight="false" outlineLevel="0" collapsed="false">
      <c r="A7" s="5" t="n">
        <v>2</v>
      </c>
      <c r="B7" s="57" t="n">
        <v>46027</v>
      </c>
      <c r="C7" s="24" t="n">
        <f aca="false">G6</f>
        <v>0</v>
      </c>
      <c r="D7" s="45" t="n">
        <f aca="false">E7-F7</f>
        <v>0</v>
      </c>
      <c r="E7" s="24" t="n">
        <f aca="false">SUMPRODUCT((Income!D$3:D$502="GBP")*(Income!A$3:A$502=B7)*(Income!A$3:A$502&lt;&gt;"")*Income!C$3:C$502)</f>
        <v>0</v>
      </c>
      <c r="F7" s="24" t="n">
        <f aca="false">SUMPRODUCT((Expenses!E$3:E$1002="GBP")*(Expenses!A$3:A$1002=B7)*(Expenses!A$3:A$1002&lt;&gt;"")*Expenses!D$3:D$1002)</f>
        <v>0</v>
      </c>
      <c r="G7" s="45" t="n">
        <f aca="false">C7+D7</f>
        <v>0</v>
      </c>
      <c r="H7" s="26"/>
    </row>
    <row r="8" customFormat="false" ht="15" hidden="false" customHeight="false" outlineLevel="0" collapsed="false">
      <c r="A8" s="5" t="n">
        <v>2</v>
      </c>
      <c r="B8" s="57" t="n">
        <v>46028</v>
      </c>
      <c r="C8" s="24" t="n">
        <f aca="false">G7</f>
        <v>0</v>
      </c>
      <c r="D8" s="45" t="n">
        <f aca="false">E8-F8</f>
        <v>0</v>
      </c>
      <c r="E8" s="24" t="n">
        <f aca="false">SUMPRODUCT((Income!D$3:D$502="GBP")*(Income!A$3:A$502=B8)*(Income!A$3:A$502&lt;&gt;"")*Income!C$3:C$502)</f>
        <v>0</v>
      </c>
      <c r="F8" s="24" t="n">
        <f aca="false">SUMPRODUCT((Expenses!E$3:E$1002="GBP")*(Expenses!A$3:A$1002=B8)*(Expenses!A$3:A$1002&lt;&gt;"")*Expenses!D$3:D$1002)</f>
        <v>0</v>
      </c>
      <c r="G8" s="45" t="n">
        <f aca="false">C8+D8</f>
        <v>0</v>
      </c>
      <c r="H8" s="26"/>
    </row>
    <row r="9" customFormat="false" ht="15" hidden="false" customHeight="false" outlineLevel="0" collapsed="false">
      <c r="A9" s="5" t="n">
        <v>2</v>
      </c>
      <c r="B9" s="57" t="n">
        <v>46029</v>
      </c>
      <c r="C9" s="24" t="n">
        <f aca="false">G8</f>
        <v>0</v>
      </c>
      <c r="D9" s="45" t="n">
        <f aca="false">E9-F9</f>
        <v>0</v>
      </c>
      <c r="E9" s="24" t="n">
        <f aca="false">SUMPRODUCT((Income!D$3:D$502="GBP")*(Income!A$3:A$502=B9)*(Income!A$3:A$502&lt;&gt;"")*Income!C$3:C$502)</f>
        <v>0</v>
      </c>
      <c r="F9" s="24" t="n">
        <f aca="false">SUMPRODUCT((Expenses!E$3:E$1002="GBP")*(Expenses!A$3:A$1002=B9)*(Expenses!A$3:A$1002&lt;&gt;"")*Expenses!D$3:D$1002)</f>
        <v>0</v>
      </c>
      <c r="G9" s="45" t="n">
        <f aca="false">C9+D9</f>
        <v>0</v>
      </c>
      <c r="H9" s="26"/>
    </row>
    <row r="10" customFormat="false" ht="15" hidden="false" customHeight="false" outlineLevel="0" collapsed="false">
      <c r="A10" s="5" t="n">
        <v>2</v>
      </c>
      <c r="B10" s="57" t="n">
        <v>46030</v>
      </c>
      <c r="C10" s="24" t="n">
        <f aca="false">G9</f>
        <v>0</v>
      </c>
      <c r="D10" s="45" t="n">
        <f aca="false">E10-F10</f>
        <v>0</v>
      </c>
      <c r="E10" s="24" t="n">
        <f aca="false">SUMPRODUCT((Income!D$3:D$502="GBP")*(Income!A$3:A$502=B10)*(Income!A$3:A$502&lt;&gt;"")*Income!C$3:C$502)</f>
        <v>0</v>
      </c>
      <c r="F10" s="24" t="n">
        <f aca="false">SUMPRODUCT((Expenses!E$3:E$1002="GBP")*(Expenses!A$3:A$1002=B10)*(Expenses!A$3:A$1002&lt;&gt;"")*Expenses!D$3:D$1002)</f>
        <v>0</v>
      </c>
      <c r="G10" s="45" t="n">
        <f aca="false">C10+D10</f>
        <v>0</v>
      </c>
      <c r="H10" s="26"/>
    </row>
    <row r="11" customFormat="false" ht="15" hidden="false" customHeight="false" outlineLevel="0" collapsed="false">
      <c r="A11" s="5" t="n">
        <v>2</v>
      </c>
      <c r="B11" s="57" t="n">
        <v>46031</v>
      </c>
      <c r="C11" s="24" t="n">
        <f aca="false">G10</f>
        <v>0</v>
      </c>
      <c r="D11" s="45" t="n">
        <f aca="false">E11-F11</f>
        <v>0</v>
      </c>
      <c r="E11" s="24" t="n">
        <f aca="false">SUMPRODUCT((Income!D$3:D$502="GBP")*(Income!A$3:A$502=B11)*(Income!A$3:A$502&lt;&gt;"")*Income!C$3:C$502)</f>
        <v>0</v>
      </c>
      <c r="F11" s="24" t="n">
        <f aca="false">SUMPRODUCT((Expenses!E$3:E$1002="GBP")*(Expenses!A$3:A$1002=B11)*(Expenses!A$3:A$1002&lt;&gt;"")*Expenses!D$3:D$1002)</f>
        <v>0</v>
      </c>
      <c r="G11" s="45" t="n">
        <f aca="false">C11+D11</f>
        <v>0</v>
      </c>
      <c r="H11" s="26"/>
    </row>
    <row r="12" customFormat="false" ht="15" hidden="false" customHeight="false" outlineLevel="0" collapsed="false">
      <c r="A12" s="5" t="n">
        <v>2</v>
      </c>
      <c r="B12" s="57" t="n">
        <v>46032</v>
      </c>
      <c r="C12" s="24" t="n">
        <f aca="false">G11</f>
        <v>0</v>
      </c>
      <c r="D12" s="45" t="n">
        <f aca="false">E12-F12</f>
        <v>0</v>
      </c>
      <c r="E12" s="24" t="n">
        <f aca="false">SUMPRODUCT((Income!D$3:D$502="GBP")*(Income!A$3:A$502=B12)*(Income!A$3:A$502&lt;&gt;"")*Income!C$3:C$502)</f>
        <v>0</v>
      </c>
      <c r="F12" s="24" t="n">
        <f aca="false">SUMPRODUCT((Expenses!E$3:E$1002="GBP")*(Expenses!A$3:A$1002=B12)*(Expenses!A$3:A$1002&lt;&gt;"")*Expenses!D$3:D$1002)</f>
        <v>0</v>
      </c>
      <c r="G12" s="45" t="n">
        <f aca="false">C12+D12</f>
        <v>0</v>
      </c>
      <c r="H12" s="26"/>
    </row>
    <row r="13" customFormat="false" ht="15" hidden="false" customHeight="false" outlineLevel="0" collapsed="false">
      <c r="A13" s="5" t="n">
        <v>2</v>
      </c>
      <c r="B13" s="57" t="n">
        <v>46033</v>
      </c>
      <c r="C13" s="24" t="n">
        <f aca="false">G12</f>
        <v>0</v>
      </c>
      <c r="D13" s="45" t="n">
        <f aca="false">E13-F13</f>
        <v>0</v>
      </c>
      <c r="E13" s="24" t="n">
        <f aca="false">SUMPRODUCT((Income!D$3:D$502="GBP")*(Income!A$3:A$502=B13)*(Income!A$3:A$502&lt;&gt;"")*Income!C$3:C$502)</f>
        <v>0</v>
      </c>
      <c r="F13" s="24" t="n">
        <f aca="false">SUMPRODUCT((Expenses!E$3:E$1002="GBP")*(Expenses!A$3:A$1002=B13)*(Expenses!A$3:A$1002&lt;&gt;"")*Expenses!D$3:D$1002)</f>
        <v>0</v>
      </c>
      <c r="G13" s="45" t="n">
        <f aca="false">C13+D13</f>
        <v>0</v>
      </c>
      <c r="H13" s="26"/>
    </row>
    <row r="14" customFormat="false" ht="15" hidden="false" customHeight="false" outlineLevel="0" collapsed="false">
      <c r="A14" s="5" t="n">
        <v>3</v>
      </c>
      <c r="B14" s="57" t="n">
        <v>46034</v>
      </c>
      <c r="C14" s="24" t="n">
        <f aca="false">G13</f>
        <v>0</v>
      </c>
      <c r="D14" s="45" t="n">
        <f aca="false">E14-F14</f>
        <v>0</v>
      </c>
      <c r="E14" s="24" t="n">
        <f aca="false">SUMPRODUCT((Income!D$3:D$502="GBP")*(Income!A$3:A$502=B14)*(Income!A$3:A$502&lt;&gt;"")*Income!C$3:C$502)</f>
        <v>0</v>
      </c>
      <c r="F14" s="24" t="n">
        <f aca="false">SUMPRODUCT((Expenses!E$3:E$1002="GBP")*(Expenses!A$3:A$1002=B14)*(Expenses!A$3:A$1002&lt;&gt;"")*Expenses!D$3:D$1002)</f>
        <v>0</v>
      </c>
      <c r="G14" s="45" t="n">
        <f aca="false">C14+D14</f>
        <v>0</v>
      </c>
      <c r="H14" s="26"/>
    </row>
    <row r="15" customFormat="false" ht="15" hidden="false" customHeight="false" outlineLevel="0" collapsed="false">
      <c r="A15" s="5" t="n">
        <v>3</v>
      </c>
      <c r="B15" s="57" t="n">
        <v>46035</v>
      </c>
      <c r="C15" s="24" t="n">
        <f aca="false">G14</f>
        <v>0</v>
      </c>
      <c r="D15" s="45" t="n">
        <f aca="false">E15-F15</f>
        <v>0</v>
      </c>
      <c r="E15" s="24" t="n">
        <f aca="false">SUMPRODUCT((Income!D$3:D$502="GBP")*(Income!A$3:A$502=B15)*(Income!A$3:A$502&lt;&gt;"")*Income!C$3:C$502)</f>
        <v>0</v>
      </c>
      <c r="F15" s="24" t="n">
        <f aca="false">SUMPRODUCT((Expenses!E$3:E$1002="GBP")*(Expenses!A$3:A$1002=B15)*(Expenses!A$3:A$1002&lt;&gt;"")*Expenses!D$3:D$1002)</f>
        <v>0</v>
      </c>
      <c r="G15" s="45" t="n">
        <f aca="false">C15+D15</f>
        <v>0</v>
      </c>
      <c r="H15" s="26"/>
    </row>
    <row r="16" customFormat="false" ht="15" hidden="false" customHeight="false" outlineLevel="0" collapsed="false">
      <c r="A16" s="5" t="n">
        <v>3</v>
      </c>
      <c r="B16" s="57" t="n">
        <v>46036</v>
      </c>
      <c r="C16" s="24" t="n">
        <f aca="false">G15</f>
        <v>0</v>
      </c>
      <c r="D16" s="45" t="n">
        <f aca="false">E16-F16</f>
        <v>0</v>
      </c>
      <c r="E16" s="24" t="n">
        <f aca="false">SUMPRODUCT((Income!D$3:D$502="GBP")*(Income!A$3:A$502=B16)*(Income!A$3:A$502&lt;&gt;"")*Income!C$3:C$502)</f>
        <v>0</v>
      </c>
      <c r="F16" s="24" t="n">
        <f aca="false">SUMPRODUCT((Expenses!E$3:E$1002="GBP")*(Expenses!A$3:A$1002=B16)*(Expenses!A$3:A$1002&lt;&gt;"")*Expenses!D$3:D$1002)</f>
        <v>0</v>
      </c>
      <c r="G16" s="45" t="n">
        <f aca="false">C16+D16</f>
        <v>0</v>
      </c>
      <c r="H16" s="26"/>
    </row>
    <row r="17" customFormat="false" ht="15" hidden="false" customHeight="false" outlineLevel="0" collapsed="false">
      <c r="A17" s="5" t="n">
        <v>3</v>
      </c>
      <c r="B17" s="57" t="n">
        <v>46037</v>
      </c>
      <c r="C17" s="24" t="n">
        <f aca="false">G16</f>
        <v>0</v>
      </c>
      <c r="D17" s="45" t="n">
        <f aca="false">E17-F17</f>
        <v>0</v>
      </c>
      <c r="E17" s="24" t="n">
        <f aca="false">SUMPRODUCT((Income!D$3:D$502="GBP")*(Income!A$3:A$502=B17)*(Income!A$3:A$502&lt;&gt;"")*Income!C$3:C$502)</f>
        <v>0</v>
      </c>
      <c r="F17" s="24" t="n">
        <f aca="false">SUMPRODUCT((Expenses!E$3:E$1002="GBP")*(Expenses!A$3:A$1002=B17)*(Expenses!A$3:A$1002&lt;&gt;"")*Expenses!D$3:D$1002)</f>
        <v>0</v>
      </c>
      <c r="G17" s="45" t="n">
        <f aca="false">C17+D17</f>
        <v>0</v>
      </c>
      <c r="H17" s="26"/>
    </row>
    <row r="18" customFormat="false" ht="15" hidden="false" customHeight="false" outlineLevel="0" collapsed="false">
      <c r="A18" s="5" t="n">
        <v>3</v>
      </c>
      <c r="B18" s="57" t="n">
        <v>46038</v>
      </c>
      <c r="C18" s="24" t="n">
        <f aca="false">G17</f>
        <v>0</v>
      </c>
      <c r="D18" s="45" t="n">
        <f aca="false">E18-F18</f>
        <v>0</v>
      </c>
      <c r="E18" s="24" t="n">
        <f aca="false">SUMPRODUCT((Income!D$3:D$502="GBP")*(Income!A$3:A$502=B18)*(Income!A$3:A$502&lt;&gt;"")*Income!C$3:C$502)</f>
        <v>0</v>
      </c>
      <c r="F18" s="24" t="n">
        <f aca="false">SUMPRODUCT((Expenses!E$3:E$1002="GBP")*(Expenses!A$3:A$1002=B18)*(Expenses!A$3:A$1002&lt;&gt;"")*Expenses!D$3:D$1002)</f>
        <v>0</v>
      </c>
      <c r="G18" s="45" t="n">
        <f aca="false">C18+D18</f>
        <v>0</v>
      </c>
      <c r="H18" s="26"/>
    </row>
    <row r="19" customFormat="false" ht="15" hidden="false" customHeight="false" outlineLevel="0" collapsed="false">
      <c r="A19" s="5" t="n">
        <v>3</v>
      </c>
      <c r="B19" s="57" t="n">
        <v>46039</v>
      </c>
      <c r="C19" s="24" t="n">
        <f aca="false">G18</f>
        <v>0</v>
      </c>
      <c r="D19" s="45" t="n">
        <f aca="false">E19-F19</f>
        <v>0</v>
      </c>
      <c r="E19" s="24" t="n">
        <f aca="false">SUMPRODUCT((Income!D$3:D$502="GBP")*(Income!A$3:A$502=B19)*(Income!A$3:A$502&lt;&gt;"")*Income!C$3:C$502)</f>
        <v>0</v>
      </c>
      <c r="F19" s="24" t="n">
        <f aca="false">SUMPRODUCT((Expenses!E$3:E$1002="GBP")*(Expenses!A$3:A$1002=B19)*(Expenses!A$3:A$1002&lt;&gt;"")*Expenses!D$3:D$1002)</f>
        <v>0</v>
      </c>
      <c r="G19" s="45" t="n">
        <f aca="false">C19+D19</f>
        <v>0</v>
      </c>
      <c r="H19" s="26"/>
    </row>
    <row r="20" customFormat="false" ht="15" hidden="false" customHeight="false" outlineLevel="0" collapsed="false">
      <c r="A20" s="5" t="n">
        <v>3</v>
      </c>
      <c r="B20" s="57" t="n">
        <v>46040</v>
      </c>
      <c r="C20" s="24" t="n">
        <f aca="false">G19</f>
        <v>0</v>
      </c>
      <c r="D20" s="45" t="n">
        <f aca="false">E20-F20</f>
        <v>0</v>
      </c>
      <c r="E20" s="24" t="n">
        <f aca="false">SUMPRODUCT((Income!D$3:D$502="GBP")*(Income!A$3:A$502=B20)*(Income!A$3:A$502&lt;&gt;"")*Income!C$3:C$502)</f>
        <v>0</v>
      </c>
      <c r="F20" s="24" t="n">
        <f aca="false">SUMPRODUCT((Expenses!E$3:E$1002="GBP")*(Expenses!A$3:A$1002=B20)*(Expenses!A$3:A$1002&lt;&gt;"")*Expenses!D$3:D$1002)</f>
        <v>0</v>
      </c>
      <c r="G20" s="45" t="n">
        <f aca="false">C20+D20</f>
        <v>0</v>
      </c>
      <c r="H20" s="26"/>
    </row>
    <row r="21" customFormat="false" ht="15" hidden="false" customHeight="false" outlineLevel="0" collapsed="false">
      <c r="A21" s="5" t="n">
        <v>4</v>
      </c>
      <c r="B21" s="57" t="n">
        <v>46041</v>
      </c>
      <c r="C21" s="24" t="n">
        <f aca="false">G20</f>
        <v>0</v>
      </c>
      <c r="D21" s="45" t="n">
        <f aca="false">E21-F21</f>
        <v>0</v>
      </c>
      <c r="E21" s="24" t="n">
        <f aca="false">SUMPRODUCT((Income!D$3:D$502="GBP")*(Income!A$3:A$502=B21)*(Income!A$3:A$502&lt;&gt;"")*Income!C$3:C$502)</f>
        <v>0</v>
      </c>
      <c r="F21" s="24" t="n">
        <f aca="false">SUMPRODUCT((Expenses!E$3:E$1002="GBP")*(Expenses!A$3:A$1002=B21)*(Expenses!A$3:A$1002&lt;&gt;"")*Expenses!D$3:D$1002)</f>
        <v>0</v>
      </c>
      <c r="G21" s="45" t="n">
        <f aca="false">C21+D21</f>
        <v>0</v>
      </c>
      <c r="H21" s="26"/>
    </row>
    <row r="22" customFormat="false" ht="15" hidden="false" customHeight="false" outlineLevel="0" collapsed="false">
      <c r="A22" s="5" t="n">
        <v>4</v>
      </c>
      <c r="B22" s="57" t="n">
        <v>46042</v>
      </c>
      <c r="C22" s="24" t="n">
        <f aca="false">G21</f>
        <v>0</v>
      </c>
      <c r="D22" s="45" t="n">
        <f aca="false">E22-F22</f>
        <v>0</v>
      </c>
      <c r="E22" s="24" t="n">
        <f aca="false">SUMPRODUCT((Income!D$3:D$502="GBP")*(Income!A$3:A$502=B22)*(Income!A$3:A$502&lt;&gt;"")*Income!C$3:C$502)</f>
        <v>0</v>
      </c>
      <c r="F22" s="24" t="n">
        <f aca="false">SUMPRODUCT((Expenses!E$3:E$1002="GBP")*(Expenses!A$3:A$1002=B22)*(Expenses!A$3:A$1002&lt;&gt;"")*Expenses!D$3:D$1002)</f>
        <v>0</v>
      </c>
      <c r="G22" s="45" t="n">
        <f aca="false">C22+D22</f>
        <v>0</v>
      </c>
      <c r="H22" s="26"/>
    </row>
    <row r="23" customFormat="false" ht="15" hidden="false" customHeight="false" outlineLevel="0" collapsed="false">
      <c r="A23" s="5" t="n">
        <v>4</v>
      </c>
      <c r="B23" s="57" t="n">
        <v>46043</v>
      </c>
      <c r="C23" s="24" t="n">
        <f aca="false">G22</f>
        <v>0</v>
      </c>
      <c r="D23" s="45" t="n">
        <f aca="false">E23-F23</f>
        <v>0</v>
      </c>
      <c r="E23" s="24" t="n">
        <f aca="false">SUMPRODUCT((Income!D$3:D$502="GBP")*(Income!A$3:A$502=B23)*(Income!A$3:A$502&lt;&gt;"")*Income!C$3:C$502)</f>
        <v>0</v>
      </c>
      <c r="F23" s="24" t="n">
        <f aca="false">SUMPRODUCT((Expenses!E$3:E$1002="GBP")*(Expenses!A$3:A$1002=B23)*(Expenses!A$3:A$1002&lt;&gt;"")*Expenses!D$3:D$1002)</f>
        <v>0</v>
      </c>
      <c r="G23" s="45" t="n">
        <f aca="false">C23+D23</f>
        <v>0</v>
      </c>
      <c r="H23" s="26"/>
    </row>
    <row r="24" customFormat="false" ht="15" hidden="false" customHeight="false" outlineLevel="0" collapsed="false">
      <c r="A24" s="5" t="n">
        <v>4</v>
      </c>
      <c r="B24" s="57" t="n">
        <v>46044</v>
      </c>
      <c r="C24" s="24" t="n">
        <f aca="false">G23</f>
        <v>0</v>
      </c>
      <c r="D24" s="45" t="n">
        <f aca="false">E24-F24</f>
        <v>0</v>
      </c>
      <c r="E24" s="24" t="n">
        <f aca="false">SUMPRODUCT((Income!D$3:D$502="GBP")*(Income!A$3:A$502=B24)*(Income!A$3:A$502&lt;&gt;"")*Income!C$3:C$502)</f>
        <v>0</v>
      </c>
      <c r="F24" s="24" t="n">
        <f aca="false">SUMPRODUCT((Expenses!E$3:E$1002="GBP")*(Expenses!A$3:A$1002=B24)*(Expenses!A$3:A$1002&lt;&gt;"")*Expenses!D$3:D$1002)</f>
        <v>0</v>
      </c>
      <c r="G24" s="45" t="n">
        <f aca="false">C24+D24</f>
        <v>0</v>
      </c>
      <c r="H24" s="26"/>
    </row>
    <row r="25" customFormat="false" ht="15" hidden="false" customHeight="false" outlineLevel="0" collapsed="false">
      <c r="A25" s="5" t="n">
        <v>4</v>
      </c>
      <c r="B25" s="57" t="n">
        <v>46045</v>
      </c>
      <c r="C25" s="24" t="n">
        <f aca="false">G24</f>
        <v>0</v>
      </c>
      <c r="D25" s="45" t="n">
        <f aca="false">E25-F25</f>
        <v>0</v>
      </c>
      <c r="E25" s="24" t="n">
        <f aca="false">SUMPRODUCT((Income!D$3:D$502="GBP")*(Income!A$3:A$502=B25)*(Income!A$3:A$502&lt;&gt;"")*Income!C$3:C$502)</f>
        <v>0</v>
      </c>
      <c r="F25" s="24" t="n">
        <f aca="false">SUMPRODUCT((Expenses!E$3:E$1002="GBP")*(Expenses!A$3:A$1002=B25)*(Expenses!A$3:A$1002&lt;&gt;"")*Expenses!D$3:D$1002)</f>
        <v>0</v>
      </c>
      <c r="G25" s="45" t="n">
        <f aca="false">C25+D25</f>
        <v>0</v>
      </c>
      <c r="H25" s="26"/>
    </row>
    <row r="26" customFormat="false" ht="15" hidden="false" customHeight="false" outlineLevel="0" collapsed="false">
      <c r="A26" s="5" t="n">
        <v>4</v>
      </c>
      <c r="B26" s="57" t="n">
        <v>46046</v>
      </c>
      <c r="C26" s="24" t="n">
        <f aca="false">G25</f>
        <v>0</v>
      </c>
      <c r="D26" s="45" t="n">
        <f aca="false">E26-F26</f>
        <v>0</v>
      </c>
      <c r="E26" s="24" t="n">
        <f aca="false">SUMPRODUCT((Income!D$3:D$502="GBP")*(Income!A$3:A$502=B26)*(Income!A$3:A$502&lt;&gt;"")*Income!C$3:C$502)</f>
        <v>0</v>
      </c>
      <c r="F26" s="24" t="n">
        <f aca="false">SUMPRODUCT((Expenses!E$3:E$1002="GBP")*(Expenses!A$3:A$1002=B26)*(Expenses!A$3:A$1002&lt;&gt;"")*Expenses!D$3:D$1002)</f>
        <v>0</v>
      </c>
      <c r="G26" s="45" t="n">
        <f aca="false">C26+D26</f>
        <v>0</v>
      </c>
      <c r="H26" s="26"/>
    </row>
    <row r="27" customFormat="false" ht="15" hidden="false" customHeight="false" outlineLevel="0" collapsed="false">
      <c r="A27" s="5" t="n">
        <v>4</v>
      </c>
      <c r="B27" s="57" t="n">
        <v>46047</v>
      </c>
      <c r="C27" s="24" t="n">
        <f aca="false">G26</f>
        <v>0</v>
      </c>
      <c r="D27" s="45" t="n">
        <f aca="false">E27-F27</f>
        <v>0</v>
      </c>
      <c r="E27" s="24" t="n">
        <f aca="false">SUMPRODUCT((Income!D$3:D$502="GBP")*(Income!A$3:A$502=B27)*(Income!A$3:A$502&lt;&gt;"")*Income!C$3:C$502)</f>
        <v>0</v>
      </c>
      <c r="F27" s="24" t="n">
        <f aca="false">SUMPRODUCT((Expenses!E$3:E$1002="GBP")*(Expenses!A$3:A$1002=B27)*(Expenses!A$3:A$1002&lt;&gt;"")*Expenses!D$3:D$1002)</f>
        <v>0</v>
      </c>
      <c r="G27" s="45" t="n">
        <f aca="false">C27+D27</f>
        <v>0</v>
      </c>
      <c r="H27" s="26"/>
    </row>
    <row r="28" customFormat="false" ht="15" hidden="false" customHeight="false" outlineLevel="0" collapsed="false">
      <c r="A28" s="5" t="n">
        <v>5</v>
      </c>
      <c r="B28" s="57" t="n">
        <v>46048</v>
      </c>
      <c r="C28" s="24" t="n">
        <f aca="false">G27</f>
        <v>0</v>
      </c>
      <c r="D28" s="45" t="n">
        <f aca="false">E28-F28</f>
        <v>0</v>
      </c>
      <c r="E28" s="24" t="n">
        <f aca="false">SUMPRODUCT((Income!D$3:D$502="GBP")*(Income!A$3:A$502=B28)*(Income!A$3:A$502&lt;&gt;"")*Income!C$3:C$502)</f>
        <v>0</v>
      </c>
      <c r="F28" s="24" t="n">
        <f aca="false">SUMPRODUCT((Expenses!E$3:E$1002="GBP")*(Expenses!A$3:A$1002=B28)*(Expenses!A$3:A$1002&lt;&gt;"")*Expenses!D$3:D$1002)</f>
        <v>0</v>
      </c>
      <c r="G28" s="45" t="n">
        <f aca="false">C28+D28</f>
        <v>0</v>
      </c>
      <c r="H28" s="26"/>
    </row>
    <row r="29" customFormat="false" ht="15" hidden="false" customHeight="false" outlineLevel="0" collapsed="false">
      <c r="A29" s="5" t="n">
        <v>5</v>
      </c>
      <c r="B29" s="57" t="n">
        <v>46049</v>
      </c>
      <c r="C29" s="24" t="n">
        <f aca="false">G28</f>
        <v>0</v>
      </c>
      <c r="D29" s="45" t="n">
        <f aca="false">E29-F29</f>
        <v>0</v>
      </c>
      <c r="E29" s="24" t="n">
        <f aca="false">SUMPRODUCT((Income!D$3:D$502="GBP")*(Income!A$3:A$502=B29)*(Income!A$3:A$502&lt;&gt;"")*Income!C$3:C$502)</f>
        <v>0</v>
      </c>
      <c r="F29" s="24" t="n">
        <f aca="false">SUMPRODUCT((Expenses!E$3:E$1002="GBP")*(Expenses!A$3:A$1002=B29)*(Expenses!A$3:A$1002&lt;&gt;"")*Expenses!D$3:D$1002)</f>
        <v>0</v>
      </c>
      <c r="G29" s="45" t="n">
        <f aca="false">C29+D29</f>
        <v>0</v>
      </c>
      <c r="H29" s="26"/>
    </row>
    <row r="30" customFormat="false" ht="15" hidden="false" customHeight="false" outlineLevel="0" collapsed="false">
      <c r="A30" s="5" t="n">
        <v>5</v>
      </c>
      <c r="B30" s="57" t="n">
        <v>46050</v>
      </c>
      <c r="C30" s="24" t="n">
        <f aca="false">G29</f>
        <v>0</v>
      </c>
      <c r="D30" s="45" t="n">
        <f aca="false">E30-F30</f>
        <v>0</v>
      </c>
      <c r="E30" s="24" t="n">
        <f aca="false">SUMPRODUCT((Income!D$3:D$502="GBP")*(Income!A$3:A$502=B30)*(Income!A$3:A$502&lt;&gt;"")*Income!C$3:C$502)</f>
        <v>0</v>
      </c>
      <c r="F30" s="24" t="n">
        <f aca="false">SUMPRODUCT((Expenses!E$3:E$1002="GBP")*(Expenses!A$3:A$1002=B30)*(Expenses!A$3:A$1002&lt;&gt;"")*Expenses!D$3:D$1002)</f>
        <v>0</v>
      </c>
      <c r="G30" s="45" t="n">
        <f aca="false">C30+D30</f>
        <v>0</v>
      </c>
      <c r="H30" s="26"/>
    </row>
    <row r="31" customFormat="false" ht="15" hidden="false" customHeight="false" outlineLevel="0" collapsed="false">
      <c r="A31" s="5" t="n">
        <v>5</v>
      </c>
      <c r="B31" s="57" t="n">
        <v>46051</v>
      </c>
      <c r="C31" s="24" t="n">
        <f aca="false">G30</f>
        <v>0</v>
      </c>
      <c r="D31" s="45" t="n">
        <f aca="false">E31-F31</f>
        <v>0</v>
      </c>
      <c r="E31" s="24" t="n">
        <f aca="false">SUMPRODUCT((Income!D$3:D$502="GBP")*(Income!A$3:A$502=B31)*(Income!A$3:A$502&lt;&gt;"")*Income!C$3:C$502)</f>
        <v>0</v>
      </c>
      <c r="F31" s="24" t="n">
        <f aca="false">SUMPRODUCT((Expenses!E$3:E$1002="GBP")*(Expenses!A$3:A$1002=B31)*(Expenses!A$3:A$1002&lt;&gt;"")*Expenses!D$3:D$1002)</f>
        <v>0</v>
      </c>
      <c r="G31" s="45" t="n">
        <f aca="false">C31+D31</f>
        <v>0</v>
      </c>
      <c r="H31" s="26"/>
    </row>
    <row r="32" customFormat="false" ht="15" hidden="false" customHeight="false" outlineLevel="0" collapsed="false">
      <c r="A32" s="5" t="n">
        <v>5</v>
      </c>
      <c r="B32" s="57" t="n">
        <v>46052</v>
      </c>
      <c r="C32" s="24" t="n">
        <f aca="false">G31</f>
        <v>0</v>
      </c>
      <c r="D32" s="45" t="n">
        <f aca="false">E32-F32</f>
        <v>0</v>
      </c>
      <c r="E32" s="24" t="n">
        <f aca="false">SUMPRODUCT((Income!D$3:D$502="GBP")*(Income!A$3:A$502=B32)*(Income!A$3:A$502&lt;&gt;"")*Income!C$3:C$502)</f>
        <v>0</v>
      </c>
      <c r="F32" s="24" t="n">
        <f aca="false">SUMPRODUCT((Expenses!E$3:E$1002="GBP")*(Expenses!A$3:A$1002=B32)*(Expenses!A$3:A$1002&lt;&gt;"")*Expenses!D$3:D$1002)</f>
        <v>0</v>
      </c>
      <c r="G32" s="45" t="n">
        <f aca="false">C32+D32</f>
        <v>0</v>
      </c>
      <c r="H32" s="26"/>
    </row>
    <row r="33" customFormat="false" ht="15" hidden="false" customHeight="false" outlineLevel="0" collapsed="false">
      <c r="A33" s="5" t="n">
        <v>5</v>
      </c>
      <c r="B33" s="57" t="n">
        <v>46053</v>
      </c>
      <c r="C33" s="24" t="n">
        <f aca="false">G32</f>
        <v>0</v>
      </c>
      <c r="D33" s="45" t="n">
        <f aca="false">E33-F33</f>
        <v>0</v>
      </c>
      <c r="E33" s="24" t="n">
        <f aca="false">SUMPRODUCT((Income!D$3:D$502="GBP")*(Income!A$3:A$502=B33)*(Income!A$3:A$502&lt;&gt;"")*Income!C$3:C$502)</f>
        <v>0</v>
      </c>
      <c r="F33" s="24" t="n">
        <f aca="false">SUMPRODUCT((Expenses!E$3:E$1002="GBP")*(Expenses!A$3:A$1002=B33)*(Expenses!A$3:A$1002&lt;&gt;"")*Expenses!D$3:D$1002)</f>
        <v>0</v>
      </c>
      <c r="G33" s="45" t="n">
        <f aca="false">C33+D33</f>
        <v>0</v>
      </c>
      <c r="H33" s="26"/>
    </row>
    <row r="34" customFormat="false" ht="15" hidden="false" customHeight="false" outlineLevel="0" collapsed="false">
      <c r="A34" s="5" t="n">
        <v>5</v>
      </c>
      <c r="B34" s="57" t="n">
        <v>46054</v>
      </c>
      <c r="C34" s="24" t="n">
        <f aca="false">G33</f>
        <v>0</v>
      </c>
      <c r="D34" s="45" t="n">
        <f aca="false">E34-F34</f>
        <v>0</v>
      </c>
      <c r="E34" s="24" t="n">
        <f aca="false">SUMPRODUCT((Income!D$3:D$502="GBP")*(Income!A$3:A$502=B34)*(Income!A$3:A$502&lt;&gt;"")*Income!C$3:C$502)</f>
        <v>0</v>
      </c>
      <c r="F34" s="24" t="n">
        <f aca="false">SUMPRODUCT((Expenses!E$3:E$1002="GBP")*(Expenses!A$3:A$1002=B34)*(Expenses!A$3:A$1002&lt;&gt;"")*Expenses!D$3:D$1002)</f>
        <v>0</v>
      </c>
      <c r="G34" s="45" t="n">
        <f aca="false">C34+D34</f>
        <v>0</v>
      </c>
      <c r="H34" s="26"/>
    </row>
    <row r="35" customFormat="false" ht="15" hidden="false" customHeight="false" outlineLevel="0" collapsed="false">
      <c r="A35" s="5" t="n">
        <v>6</v>
      </c>
      <c r="B35" s="57" t="n">
        <v>46055</v>
      </c>
      <c r="C35" s="24" t="n">
        <f aca="false">G34</f>
        <v>0</v>
      </c>
      <c r="D35" s="45" t="n">
        <f aca="false">E35-F35</f>
        <v>0</v>
      </c>
      <c r="E35" s="24" t="n">
        <f aca="false">SUMPRODUCT((Income!D$3:D$502="GBP")*(Income!A$3:A$502=B35)*(Income!A$3:A$502&lt;&gt;"")*Income!C$3:C$502)</f>
        <v>0</v>
      </c>
      <c r="F35" s="24" t="n">
        <f aca="false">SUMPRODUCT((Expenses!E$3:E$1002="GBP")*(Expenses!A$3:A$1002=B35)*(Expenses!A$3:A$1002&lt;&gt;"")*Expenses!D$3:D$1002)</f>
        <v>0</v>
      </c>
      <c r="G35" s="45" t="n">
        <f aca="false">C35+D35</f>
        <v>0</v>
      </c>
      <c r="H35" s="26"/>
    </row>
    <row r="36" customFormat="false" ht="15" hidden="false" customHeight="false" outlineLevel="0" collapsed="false">
      <c r="A36" s="5" t="n">
        <v>6</v>
      </c>
      <c r="B36" s="57" t="n">
        <v>46056</v>
      </c>
      <c r="C36" s="24" t="n">
        <f aca="false">G35</f>
        <v>0</v>
      </c>
      <c r="D36" s="45" t="n">
        <f aca="false">E36-F36</f>
        <v>0</v>
      </c>
      <c r="E36" s="24" t="n">
        <f aca="false">SUMPRODUCT((Income!D$3:D$502="GBP")*(Income!A$3:A$502=B36)*(Income!A$3:A$502&lt;&gt;"")*Income!C$3:C$502)</f>
        <v>0</v>
      </c>
      <c r="F36" s="24" t="n">
        <f aca="false">SUMPRODUCT((Expenses!E$3:E$1002="GBP")*(Expenses!A$3:A$1002=B36)*(Expenses!A$3:A$1002&lt;&gt;"")*Expenses!D$3:D$1002)</f>
        <v>0</v>
      </c>
      <c r="G36" s="45" t="n">
        <f aca="false">C36+D36</f>
        <v>0</v>
      </c>
      <c r="H36" s="26"/>
    </row>
    <row r="37" customFormat="false" ht="15" hidden="false" customHeight="false" outlineLevel="0" collapsed="false">
      <c r="A37" s="5" t="n">
        <v>6</v>
      </c>
      <c r="B37" s="57" t="n">
        <v>46057</v>
      </c>
      <c r="C37" s="24" t="n">
        <f aca="false">G36</f>
        <v>0</v>
      </c>
      <c r="D37" s="45" t="n">
        <f aca="false">E37-F37</f>
        <v>0</v>
      </c>
      <c r="E37" s="24" t="n">
        <f aca="false">SUMPRODUCT((Income!D$3:D$502="GBP")*(Income!A$3:A$502=B37)*(Income!A$3:A$502&lt;&gt;"")*Income!C$3:C$502)</f>
        <v>0</v>
      </c>
      <c r="F37" s="24" t="n">
        <f aca="false">SUMPRODUCT((Expenses!E$3:E$1002="GBP")*(Expenses!A$3:A$1002=B37)*(Expenses!A$3:A$1002&lt;&gt;"")*Expenses!D$3:D$1002)</f>
        <v>0</v>
      </c>
      <c r="G37" s="45" t="n">
        <f aca="false">C37+D37</f>
        <v>0</v>
      </c>
      <c r="H37" s="26"/>
    </row>
    <row r="38" customFormat="false" ht="15" hidden="false" customHeight="false" outlineLevel="0" collapsed="false">
      <c r="A38" s="5" t="n">
        <v>6</v>
      </c>
      <c r="B38" s="57" t="n">
        <v>46058</v>
      </c>
      <c r="C38" s="24" t="n">
        <f aca="false">G37</f>
        <v>0</v>
      </c>
      <c r="D38" s="45" t="n">
        <f aca="false">E38-F38</f>
        <v>0</v>
      </c>
      <c r="E38" s="24" t="n">
        <f aca="false">SUMPRODUCT((Income!D$3:D$502="GBP")*(Income!A$3:A$502=B38)*(Income!A$3:A$502&lt;&gt;"")*Income!C$3:C$502)</f>
        <v>0</v>
      </c>
      <c r="F38" s="24" t="n">
        <f aca="false">SUMPRODUCT((Expenses!E$3:E$1002="GBP")*(Expenses!A$3:A$1002=B38)*(Expenses!A$3:A$1002&lt;&gt;"")*Expenses!D$3:D$1002)</f>
        <v>0</v>
      </c>
      <c r="G38" s="45" t="n">
        <f aca="false">C38+D38</f>
        <v>0</v>
      </c>
      <c r="H38" s="26"/>
    </row>
    <row r="39" customFormat="false" ht="15" hidden="false" customHeight="false" outlineLevel="0" collapsed="false">
      <c r="A39" s="5" t="n">
        <v>6</v>
      </c>
      <c r="B39" s="57" t="n">
        <v>46059</v>
      </c>
      <c r="C39" s="24" t="n">
        <f aca="false">G38</f>
        <v>0</v>
      </c>
      <c r="D39" s="45" t="n">
        <f aca="false">E39-F39</f>
        <v>0</v>
      </c>
      <c r="E39" s="24" t="n">
        <f aca="false">SUMPRODUCT((Income!D$3:D$502="GBP")*(Income!A$3:A$502=B39)*(Income!A$3:A$502&lt;&gt;"")*Income!C$3:C$502)</f>
        <v>0</v>
      </c>
      <c r="F39" s="24" t="n">
        <f aca="false">SUMPRODUCT((Expenses!E$3:E$1002="GBP")*(Expenses!A$3:A$1002=B39)*(Expenses!A$3:A$1002&lt;&gt;"")*Expenses!D$3:D$1002)</f>
        <v>0</v>
      </c>
      <c r="G39" s="45" t="n">
        <f aca="false">C39+D39</f>
        <v>0</v>
      </c>
      <c r="H39" s="26"/>
    </row>
    <row r="40" customFormat="false" ht="15" hidden="false" customHeight="false" outlineLevel="0" collapsed="false">
      <c r="A40" s="5" t="n">
        <v>6</v>
      </c>
      <c r="B40" s="57" t="n">
        <v>46060</v>
      </c>
      <c r="C40" s="24" t="n">
        <f aca="false">G39</f>
        <v>0</v>
      </c>
      <c r="D40" s="45" t="n">
        <f aca="false">E40-F40</f>
        <v>0</v>
      </c>
      <c r="E40" s="24" t="n">
        <f aca="false">SUMPRODUCT((Income!D$3:D$502="GBP")*(Income!A$3:A$502=B40)*(Income!A$3:A$502&lt;&gt;"")*Income!C$3:C$502)</f>
        <v>0</v>
      </c>
      <c r="F40" s="24" t="n">
        <f aca="false">SUMPRODUCT((Expenses!E$3:E$1002="GBP")*(Expenses!A$3:A$1002=B40)*(Expenses!A$3:A$1002&lt;&gt;"")*Expenses!D$3:D$1002)</f>
        <v>0</v>
      </c>
      <c r="G40" s="45" t="n">
        <f aca="false">C40+D40</f>
        <v>0</v>
      </c>
      <c r="H40" s="26"/>
    </row>
    <row r="41" customFormat="false" ht="15" hidden="false" customHeight="false" outlineLevel="0" collapsed="false">
      <c r="A41" s="5" t="n">
        <v>6</v>
      </c>
      <c r="B41" s="57" t="n">
        <v>46061</v>
      </c>
      <c r="C41" s="24" t="n">
        <f aca="false">G40</f>
        <v>0</v>
      </c>
      <c r="D41" s="45" t="n">
        <f aca="false">E41-F41</f>
        <v>0</v>
      </c>
      <c r="E41" s="24" t="n">
        <f aca="false">SUMPRODUCT((Income!D$3:D$502="GBP")*(Income!A$3:A$502=B41)*(Income!A$3:A$502&lt;&gt;"")*Income!C$3:C$502)</f>
        <v>0</v>
      </c>
      <c r="F41" s="24" t="n">
        <f aca="false">SUMPRODUCT((Expenses!E$3:E$1002="GBP")*(Expenses!A$3:A$1002=B41)*(Expenses!A$3:A$1002&lt;&gt;"")*Expenses!D$3:D$1002)</f>
        <v>0</v>
      </c>
      <c r="G41" s="45" t="n">
        <f aca="false">C41+D41</f>
        <v>0</v>
      </c>
      <c r="H41" s="26"/>
    </row>
    <row r="42" customFormat="false" ht="15" hidden="false" customHeight="false" outlineLevel="0" collapsed="false">
      <c r="A42" s="5" t="n">
        <v>7</v>
      </c>
      <c r="B42" s="57" t="n">
        <v>46062</v>
      </c>
      <c r="C42" s="24" t="n">
        <f aca="false">G41</f>
        <v>0</v>
      </c>
      <c r="D42" s="45" t="n">
        <f aca="false">E42-F42</f>
        <v>0</v>
      </c>
      <c r="E42" s="24" t="n">
        <f aca="false">SUMPRODUCT((Income!D$3:D$502="GBP")*(Income!A$3:A$502=B42)*(Income!A$3:A$502&lt;&gt;"")*Income!C$3:C$502)</f>
        <v>0</v>
      </c>
      <c r="F42" s="24" t="n">
        <f aca="false">SUMPRODUCT((Expenses!E$3:E$1002="GBP")*(Expenses!A$3:A$1002=B42)*(Expenses!A$3:A$1002&lt;&gt;"")*Expenses!D$3:D$1002)</f>
        <v>0</v>
      </c>
      <c r="G42" s="45" t="n">
        <f aca="false">C42+D42</f>
        <v>0</v>
      </c>
      <c r="H42" s="26"/>
    </row>
    <row r="43" customFormat="false" ht="15" hidden="false" customHeight="false" outlineLevel="0" collapsed="false">
      <c r="A43" s="5" t="n">
        <v>7</v>
      </c>
      <c r="B43" s="57" t="n">
        <v>46063</v>
      </c>
      <c r="C43" s="24" t="n">
        <f aca="false">G42</f>
        <v>0</v>
      </c>
      <c r="D43" s="45" t="n">
        <f aca="false">E43-F43</f>
        <v>0</v>
      </c>
      <c r="E43" s="24" t="n">
        <f aca="false">SUMPRODUCT((Income!D$3:D$502="GBP")*(Income!A$3:A$502=B43)*(Income!A$3:A$502&lt;&gt;"")*Income!C$3:C$502)</f>
        <v>0</v>
      </c>
      <c r="F43" s="24" t="n">
        <f aca="false">SUMPRODUCT((Expenses!E$3:E$1002="GBP")*(Expenses!A$3:A$1002=B43)*(Expenses!A$3:A$1002&lt;&gt;"")*Expenses!D$3:D$1002)</f>
        <v>0</v>
      </c>
      <c r="G43" s="45" t="n">
        <f aca="false">C43+D43</f>
        <v>0</v>
      </c>
      <c r="H43" s="26"/>
    </row>
    <row r="44" customFormat="false" ht="15" hidden="false" customHeight="false" outlineLevel="0" collapsed="false">
      <c r="A44" s="5" t="n">
        <v>7</v>
      </c>
      <c r="B44" s="57" t="n">
        <v>46064</v>
      </c>
      <c r="C44" s="24" t="n">
        <f aca="false">G43</f>
        <v>0</v>
      </c>
      <c r="D44" s="45" t="n">
        <f aca="false">E44-F44</f>
        <v>0</v>
      </c>
      <c r="E44" s="24" t="n">
        <f aca="false">SUMPRODUCT((Income!D$3:D$502="GBP")*(Income!A$3:A$502=B44)*(Income!A$3:A$502&lt;&gt;"")*Income!C$3:C$502)</f>
        <v>0</v>
      </c>
      <c r="F44" s="24" t="n">
        <f aca="false">SUMPRODUCT((Expenses!E$3:E$1002="GBP")*(Expenses!A$3:A$1002=B44)*(Expenses!A$3:A$1002&lt;&gt;"")*Expenses!D$3:D$1002)</f>
        <v>0</v>
      </c>
      <c r="G44" s="45" t="n">
        <f aca="false">C44+D44</f>
        <v>0</v>
      </c>
      <c r="H44" s="26"/>
    </row>
    <row r="45" customFormat="false" ht="15" hidden="false" customHeight="false" outlineLevel="0" collapsed="false">
      <c r="A45" s="5" t="n">
        <v>7</v>
      </c>
      <c r="B45" s="57" t="n">
        <v>46065</v>
      </c>
      <c r="C45" s="24" t="n">
        <f aca="false">G44</f>
        <v>0</v>
      </c>
      <c r="D45" s="45" t="n">
        <f aca="false">E45-F45</f>
        <v>0</v>
      </c>
      <c r="E45" s="24" t="n">
        <f aca="false">SUMPRODUCT((Income!D$3:D$502="GBP")*(Income!A$3:A$502=B45)*(Income!A$3:A$502&lt;&gt;"")*Income!C$3:C$502)</f>
        <v>0</v>
      </c>
      <c r="F45" s="24" t="n">
        <f aca="false">SUMPRODUCT((Expenses!E$3:E$1002="GBP")*(Expenses!A$3:A$1002=B45)*(Expenses!A$3:A$1002&lt;&gt;"")*Expenses!D$3:D$1002)</f>
        <v>0</v>
      </c>
      <c r="G45" s="45" t="n">
        <f aca="false">C45+D45</f>
        <v>0</v>
      </c>
      <c r="H45" s="26"/>
    </row>
    <row r="46" customFormat="false" ht="15" hidden="false" customHeight="false" outlineLevel="0" collapsed="false">
      <c r="A46" s="5" t="n">
        <v>7</v>
      </c>
      <c r="B46" s="57" t="n">
        <v>46066</v>
      </c>
      <c r="C46" s="24" t="n">
        <f aca="false">G45</f>
        <v>0</v>
      </c>
      <c r="D46" s="45" t="n">
        <f aca="false">E46-F46</f>
        <v>0</v>
      </c>
      <c r="E46" s="24" t="n">
        <f aca="false">SUMPRODUCT((Income!D$3:D$502="GBP")*(Income!A$3:A$502=B46)*(Income!A$3:A$502&lt;&gt;"")*Income!C$3:C$502)</f>
        <v>0</v>
      </c>
      <c r="F46" s="24" t="n">
        <f aca="false">SUMPRODUCT((Expenses!E$3:E$1002="GBP")*(Expenses!A$3:A$1002=B46)*(Expenses!A$3:A$1002&lt;&gt;"")*Expenses!D$3:D$1002)</f>
        <v>0</v>
      </c>
      <c r="G46" s="45" t="n">
        <f aca="false">C46+D46</f>
        <v>0</v>
      </c>
      <c r="H46" s="26"/>
    </row>
    <row r="47" customFormat="false" ht="15" hidden="false" customHeight="false" outlineLevel="0" collapsed="false">
      <c r="A47" s="5" t="n">
        <v>7</v>
      </c>
      <c r="B47" s="57" t="n">
        <v>46067</v>
      </c>
      <c r="C47" s="24" t="n">
        <f aca="false">G46</f>
        <v>0</v>
      </c>
      <c r="D47" s="45" t="n">
        <f aca="false">E47-F47</f>
        <v>0</v>
      </c>
      <c r="E47" s="24" t="n">
        <f aca="false">SUMPRODUCT((Income!D$3:D$502="GBP")*(Income!A$3:A$502=B47)*(Income!A$3:A$502&lt;&gt;"")*Income!C$3:C$502)</f>
        <v>0</v>
      </c>
      <c r="F47" s="24" t="n">
        <f aca="false">SUMPRODUCT((Expenses!E$3:E$1002="GBP")*(Expenses!A$3:A$1002=B47)*(Expenses!A$3:A$1002&lt;&gt;"")*Expenses!D$3:D$1002)</f>
        <v>0</v>
      </c>
      <c r="G47" s="45" t="n">
        <f aca="false">C47+D47</f>
        <v>0</v>
      </c>
      <c r="H47" s="26"/>
    </row>
    <row r="48" customFormat="false" ht="15" hidden="false" customHeight="false" outlineLevel="0" collapsed="false">
      <c r="A48" s="5" t="n">
        <v>7</v>
      </c>
      <c r="B48" s="57" t="n">
        <v>46068</v>
      </c>
      <c r="C48" s="24" t="n">
        <f aca="false">G47</f>
        <v>0</v>
      </c>
      <c r="D48" s="45" t="n">
        <f aca="false">E48-F48</f>
        <v>0</v>
      </c>
      <c r="E48" s="24" t="n">
        <f aca="false">SUMPRODUCT((Income!D$3:D$502="GBP")*(Income!A$3:A$502=B48)*(Income!A$3:A$502&lt;&gt;"")*Income!C$3:C$502)</f>
        <v>0</v>
      </c>
      <c r="F48" s="24" t="n">
        <f aca="false">SUMPRODUCT((Expenses!E$3:E$1002="GBP")*(Expenses!A$3:A$1002=B48)*(Expenses!A$3:A$1002&lt;&gt;"")*Expenses!D$3:D$1002)</f>
        <v>0</v>
      </c>
      <c r="G48" s="45" t="n">
        <f aca="false">C48+D48</f>
        <v>0</v>
      </c>
      <c r="H48" s="26"/>
    </row>
    <row r="49" customFormat="false" ht="15" hidden="false" customHeight="false" outlineLevel="0" collapsed="false">
      <c r="A49" s="5" t="n">
        <v>8</v>
      </c>
      <c r="B49" s="57" t="n">
        <v>46069</v>
      </c>
      <c r="C49" s="24" t="n">
        <f aca="false">G48</f>
        <v>0</v>
      </c>
      <c r="D49" s="45" t="n">
        <f aca="false">E49-F49</f>
        <v>0</v>
      </c>
      <c r="E49" s="24" t="n">
        <f aca="false">SUMPRODUCT((Income!D$3:D$502="GBP")*(Income!A$3:A$502=B49)*(Income!A$3:A$502&lt;&gt;"")*Income!C$3:C$502)</f>
        <v>0</v>
      </c>
      <c r="F49" s="24" t="n">
        <f aca="false">SUMPRODUCT((Expenses!E$3:E$1002="GBP")*(Expenses!A$3:A$1002=B49)*(Expenses!A$3:A$1002&lt;&gt;"")*Expenses!D$3:D$1002)</f>
        <v>0</v>
      </c>
      <c r="G49" s="45" t="n">
        <f aca="false">C49+D49</f>
        <v>0</v>
      </c>
      <c r="H49" s="26"/>
    </row>
    <row r="50" customFormat="false" ht="15" hidden="false" customHeight="false" outlineLevel="0" collapsed="false">
      <c r="A50" s="5" t="n">
        <v>8</v>
      </c>
      <c r="B50" s="57" t="n">
        <v>46070</v>
      </c>
      <c r="C50" s="24" t="n">
        <f aca="false">G49</f>
        <v>0</v>
      </c>
      <c r="D50" s="45" t="n">
        <f aca="false">E50-F50</f>
        <v>0</v>
      </c>
      <c r="E50" s="24" t="n">
        <f aca="false">SUMPRODUCT((Income!D$3:D$502="GBP")*(Income!A$3:A$502=B50)*(Income!A$3:A$502&lt;&gt;"")*Income!C$3:C$502)</f>
        <v>0</v>
      </c>
      <c r="F50" s="24" t="n">
        <f aca="false">SUMPRODUCT((Expenses!E$3:E$1002="GBP")*(Expenses!A$3:A$1002=B50)*(Expenses!A$3:A$1002&lt;&gt;"")*Expenses!D$3:D$1002)</f>
        <v>0</v>
      </c>
      <c r="G50" s="45" t="n">
        <f aca="false">C50+D50</f>
        <v>0</v>
      </c>
      <c r="H50" s="26"/>
    </row>
    <row r="51" customFormat="false" ht="15" hidden="false" customHeight="false" outlineLevel="0" collapsed="false">
      <c r="A51" s="5" t="n">
        <v>8</v>
      </c>
      <c r="B51" s="57" t="n">
        <v>46071</v>
      </c>
      <c r="C51" s="24" t="n">
        <f aca="false">G50</f>
        <v>0</v>
      </c>
      <c r="D51" s="45" t="n">
        <f aca="false">E51-F51</f>
        <v>0</v>
      </c>
      <c r="E51" s="24" t="n">
        <f aca="false">SUMPRODUCT((Income!D$3:D$502="GBP")*(Income!A$3:A$502=B51)*(Income!A$3:A$502&lt;&gt;"")*Income!C$3:C$502)</f>
        <v>0</v>
      </c>
      <c r="F51" s="24" t="n">
        <f aca="false">SUMPRODUCT((Expenses!E$3:E$1002="GBP")*(Expenses!A$3:A$1002=B51)*(Expenses!A$3:A$1002&lt;&gt;"")*Expenses!D$3:D$1002)</f>
        <v>0</v>
      </c>
      <c r="G51" s="45" t="n">
        <f aca="false">C51+D51</f>
        <v>0</v>
      </c>
      <c r="H51" s="26"/>
    </row>
    <row r="52" customFormat="false" ht="15" hidden="false" customHeight="false" outlineLevel="0" collapsed="false">
      <c r="A52" s="5" t="n">
        <v>8</v>
      </c>
      <c r="B52" s="57" t="n">
        <v>46072</v>
      </c>
      <c r="C52" s="24" t="n">
        <f aca="false">G51</f>
        <v>0</v>
      </c>
      <c r="D52" s="45" t="n">
        <f aca="false">E52-F52</f>
        <v>0</v>
      </c>
      <c r="E52" s="24" t="n">
        <f aca="false">SUMPRODUCT((Income!D$3:D$502="GBP")*(Income!A$3:A$502=B52)*(Income!A$3:A$502&lt;&gt;"")*Income!C$3:C$502)</f>
        <v>0</v>
      </c>
      <c r="F52" s="24" t="n">
        <f aca="false">SUMPRODUCT((Expenses!E$3:E$1002="GBP")*(Expenses!A$3:A$1002=B52)*(Expenses!A$3:A$1002&lt;&gt;"")*Expenses!D$3:D$1002)</f>
        <v>0</v>
      </c>
      <c r="G52" s="45" t="n">
        <f aca="false">C52+D52</f>
        <v>0</v>
      </c>
      <c r="H52" s="26"/>
    </row>
    <row r="53" customFormat="false" ht="15" hidden="false" customHeight="false" outlineLevel="0" collapsed="false">
      <c r="A53" s="5" t="n">
        <v>8</v>
      </c>
      <c r="B53" s="57" t="n">
        <v>46073</v>
      </c>
      <c r="C53" s="24" t="n">
        <f aca="false">G52</f>
        <v>0</v>
      </c>
      <c r="D53" s="45" t="n">
        <f aca="false">E53-F53</f>
        <v>0</v>
      </c>
      <c r="E53" s="24" t="n">
        <f aca="false">SUMPRODUCT((Income!D$3:D$502="GBP")*(Income!A$3:A$502=B53)*(Income!A$3:A$502&lt;&gt;"")*Income!C$3:C$502)</f>
        <v>0</v>
      </c>
      <c r="F53" s="24" t="n">
        <f aca="false">SUMPRODUCT((Expenses!E$3:E$1002="GBP")*(Expenses!A$3:A$1002=B53)*(Expenses!A$3:A$1002&lt;&gt;"")*Expenses!D$3:D$1002)</f>
        <v>0</v>
      </c>
      <c r="G53" s="45" t="n">
        <f aca="false">C53+D53</f>
        <v>0</v>
      </c>
      <c r="H53" s="26"/>
    </row>
    <row r="54" customFormat="false" ht="15" hidden="false" customHeight="false" outlineLevel="0" collapsed="false">
      <c r="A54" s="5" t="n">
        <v>8</v>
      </c>
      <c r="B54" s="57" t="n">
        <v>46074</v>
      </c>
      <c r="C54" s="24" t="n">
        <f aca="false">G53</f>
        <v>0</v>
      </c>
      <c r="D54" s="45" t="n">
        <f aca="false">E54-F54</f>
        <v>0</v>
      </c>
      <c r="E54" s="24" t="n">
        <f aca="false">SUMPRODUCT((Income!D$3:D$502="GBP")*(Income!A$3:A$502=B54)*(Income!A$3:A$502&lt;&gt;"")*Income!C$3:C$502)</f>
        <v>0</v>
      </c>
      <c r="F54" s="24" t="n">
        <f aca="false">SUMPRODUCT((Expenses!E$3:E$1002="GBP")*(Expenses!A$3:A$1002=B54)*(Expenses!A$3:A$1002&lt;&gt;"")*Expenses!D$3:D$1002)</f>
        <v>0</v>
      </c>
      <c r="G54" s="45" t="n">
        <f aca="false">C54+D54</f>
        <v>0</v>
      </c>
      <c r="H54" s="26"/>
    </row>
    <row r="55" customFormat="false" ht="15" hidden="false" customHeight="false" outlineLevel="0" collapsed="false">
      <c r="A55" s="5" t="n">
        <v>8</v>
      </c>
      <c r="B55" s="57" t="n">
        <v>46075</v>
      </c>
      <c r="C55" s="24" t="n">
        <f aca="false">G54</f>
        <v>0</v>
      </c>
      <c r="D55" s="45" t="n">
        <f aca="false">E55-F55</f>
        <v>0</v>
      </c>
      <c r="E55" s="24" t="n">
        <f aca="false">SUMPRODUCT((Income!D$3:D$502="GBP")*(Income!A$3:A$502=B55)*(Income!A$3:A$502&lt;&gt;"")*Income!C$3:C$502)</f>
        <v>0</v>
      </c>
      <c r="F55" s="24" t="n">
        <f aca="false">SUMPRODUCT((Expenses!E$3:E$1002="GBP")*(Expenses!A$3:A$1002=B55)*(Expenses!A$3:A$1002&lt;&gt;"")*Expenses!D$3:D$1002)</f>
        <v>0</v>
      </c>
      <c r="G55" s="45" t="n">
        <f aca="false">C55+D55</f>
        <v>0</v>
      </c>
      <c r="H55" s="26"/>
    </row>
    <row r="56" customFormat="false" ht="15" hidden="false" customHeight="false" outlineLevel="0" collapsed="false">
      <c r="A56" s="5" t="n">
        <v>9</v>
      </c>
      <c r="B56" s="57" t="n">
        <v>46076</v>
      </c>
      <c r="C56" s="24" t="n">
        <f aca="false">G55</f>
        <v>0</v>
      </c>
      <c r="D56" s="45" t="n">
        <f aca="false">E56-F56</f>
        <v>0</v>
      </c>
      <c r="E56" s="24" t="n">
        <f aca="false">SUMPRODUCT((Income!D$3:D$502="GBP")*(Income!A$3:A$502=B56)*(Income!A$3:A$502&lt;&gt;"")*Income!C$3:C$502)</f>
        <v>0</v>
      </c>
      <c r="F56" s="24" t="n">
        <f aca="false">SUMPRODUCT((Expenses!E$3:E$1002="GBP")*(Expenses!A$3:A$1002=B56)*(Expenses!A$3:A$1002&lt;&gt;"")*Expenses!D$3:D$1002)</f>
        <v>0</v>
      </c>
      <c r="G56" s="45" t="n">
        <f aca="false">C56+D56</f>
        <v>0</v>
      </c>
      <c r="H56" s="26"/>
    </row>
    <row r="57" customFormat="false" ht="15" hidden="false" customHeight="false" outlineLevel="0" collapsed="false">
      <c r="A57" s="5" t="n">
        <v>9</v>
      </c>
      <c r="B57" s="57" t="n">
        <v>46077</v>
      </c>
      <c r="C57" s="24" t="n">
        <f aca="false">G56</f>
        <v>0</v>
      </c>
      <c r="D57" s="45" t="n">
        <f aca="false">E57-F57</f>
        <v>0</v>
      </c>
      <c r="E57" s="24" t="n">
        <f aca="false">SUMPRODUCT((Income!D$3:D$502="GBP")*(Income!A$3:A$502=B57)*(Income!A$3:A$502&lt;&gt;"")*Income!C$3:C$502)</f>
        <v>0</v>
      </c>
      <c r="F57" s="24" t="n">
        <f aca="false">SUMPRODUCT((Expenses!E$3:E$1002="GBP")*(Expenses!A$3:A$1002=B57)*(Expenses!A$3:A$1002&lt;&gt;"")*Expenses!D$3:D$1002)</f>
        <v>0</v>
      </c>
      <c r="G57" s="45" t="n">
        <f aca="false">C57+D57</f>
        <v>0</v>
      </c>
      <c r="H57" s="26"/>
    </row>
    <row r="58" customFormat="false" ht="15" hidden="false" customHeight="false" outlineLevel="0" collapsed="false">
      <c r="A58" s="5" t="n">
        <v>9</v>
      </c>
      <c r="B58" s="57" t="n">
        <v>46078</v>
      </c>
      <c r="C58" s="24" t="n">
        <f aca="false">G57</f>
        <v>0</v>
      </c>
      <c r="D58" s="45" t="n">
        <f aca="false">E58-F58</f>
        <v>0</v>
      </c>
      <c r="E58" s="24" t="n">
        <f aca="false">SUMPRODUCT((Income!D$3:D$502="GBP")*(Income!A$3:A$502=B58)*(Income!A$3:A$502&lt;&gt;"")*Income!C$3:C$502)</f>
        <v>0</v>
      </c>
      <c r="F58" s="24" t="n">
        <f aca="false">SUMPRODUCT((Expenses!E$3:E$1002="GBP")*(Expenses!A$3:A$1002=B58)*(Expenses!A$3:A$1002&lt;&gt;"")*Expenses!D$3:D$1002)</f>
        <v>0</v>
      </c>
      <c r="G58" s="45" t="n">
        <f aca="false">C58+D58</f>
        <v>0</v>
      </c>
      <c r="H58" s="26"/>
    </row>
    <row r="59" customFormat="false" ht="15" hidden="false" customHeight="false" outlineLevel="0" collapsed="false">
      <c r="A59" s="5" t="n">
        <v>9</v>
      </c>
      <c r="B59" s="57" t="n">
        <v>46079</v>
      </c>
      <c r="C59" s="24" t="n">
        <f aca="false">G58</f>
        <v>0</v>
      </c>
      <c r="D59" s="45" t="n">
        <f aca="false">E59-F59</f>
        <v>0</v>
      </c>
      <c r="E59" s="24" t="n">
        <f aca="false">SUMPRODUCT((Income!D$3:D$502="GBP")*(Income!A$3:A$502=B59)*(Income!A$3:A$502&lt;&gt;"")*Income!C$3:C$502)</f>
        <v>0</v>
      </c>
      <c r="F59" s="24" t="n">
        <f aca="false">SUMPRODUCT((Expenses!E$3:E$1002="GBP")*(Expenses!A$3:A$1002=B59)*(Expenses!A$3:A$1002&lt;&gt;"")*Expenses!D$3:D$1002)</f>
        <v>0</v>
      </c>
      <c r="G59" s="45" t="n">
        <f aca="false">C59+D59</f>
        <v>0</v>
      </c>
      <c r="H59" s="26"/>
    </row>
    <row r="60" customFormat="false" ht="15" hidden="false" customHeight="false" outlineLevel="0" collapsed="false">
      <c r="A60" s="5" t="n">
        <v>9</v>
      </c>
      <c r="B60" s="57" t="n">
        <v>46080</v>
      </c>
      <c r="C60" s="24" t="n">
        <f aca="false">G59</f>
        <v>0</v>
      </c>
      <c r="D60" s="45" t="n">
        <f aca="false">E60-F60</f>
        <v>0</v>
      </c>
      <c r="E60" s="24" t="n">
        <f aca="false">SUMPRODUCT((Income!D$3:D$502="GBP")*(Income!A$3:A$502=B60)*(Income!A$3:A$502&lt;&gt;"")*Income!C$3:C$502)</f>
        <v>0</v>
      </c>
      <c r="F60" s="24" t="n">
        <f aca="false">SUMPRODUCT((Expenses!E$3:E$1002="GBP")*(Expenses!A$3:A$1002=B60)*(Expenses!A$3:A$1002&lt;&gt;"")*Expenses!D$3:D$1002)</f>
        <v>0</v>
      </c>
      <c r="G60" s="45" t="n">
        <f aca="false">C60+D60</f>
        <v>0</v>
      </c>
      <c r="H60" s="26"/>
    </row>
    <row r="61" customFormat="false" ht="15" hidden="false" customHeight="false" outlineLevel="0" collapsed="false">
      <c r="A61" s="5" t="n">
        <v>9</v>
      </c>
      <c r="B61" s="57" t="n">
        <v>46081</v>
      </c>
      <c r="C61" s="24" t="n">
        <f aca="false">G60</f>
        <v>0</v>
      </c>
      <c r="D61" s="45" t="n">
        <f aca="false">E61-F61</f>
        <v>0</v>
      </c>
      <c r="E61" s="24" t="n">
        <f aca="false">SUMPRODUCT((Income!D$3:D$502="GBP")*(Income!A$3:A$502=B61)*(Income!A$3:A$502&lt;&gt;"")*Income!C$3:C$502)</f>
        <v>0</v>
      </c>
      <c r="F61" s="24" t="n">
        <f aca="false">SUMPRODUCT((Expenses!E$3:E$1002="GBP")*(Expenses!A$3:A$1002=B61)*(Expenses!A$3:A$1002&lt;&gt;"")*Expenses!D$3:D$1002)</f>
        <v>0</v>
      </c>
      <c r="G61" s="45" t="n">
        <f aca="false">C61+D61</f>
        <v>0</v>
      </c>
      <c r="H61" s="26"/>
    </row>
    <row r="62" customFormat="false" ht="15" hidden="false" customHeight="false" outlineLevel="0" collapsed="false">
      <c r="A62" s="5" t="n">
        <v>9</v>
      </c>
      <c r="B62" s="57" t="n">
        <v>46082</v>
      </c>
      <c r="C62" s="24" t="n">
        <f aca="false">G61</f>
        <v>0</v>
      </c>
      <c r="D62" s="45" t="n">
        <f aca="false">E62-F62</f>
        <v>0</v>
      </c>
      <c r="E62" s="24" t="n">
        <f aca="false">SUMPRODUCT((Income!D$3:D$502="GBP")*(Income!A$3:A$502=B62)*(Income!A$3:A$502&lt;&gt;"")*Income!C$3:C$502)</f>
        <v>0</v>
      </c>
      <c r="F62" s="24" t="n">
        <f aca="false">SUMPRODUCT((Expenses!E$3:E$1002="GBP")*(Expenses!A$3:A$1002=B62)*(Expenses!A$3:A$1002&lt;&gt;"")*Expenses!D$3:D$1002)</f>
        <v>0</v>
      </c>
      <c r="G62" s="45" t="n">
        <f aca="false">C62+D62</f>
        <v>0</v>
      </c>
      <c r="H62" s="26"/>
    </row>
    <row r="63" customFormat="false" ht="15" hidden="false" customHeight="false" outlineLevel="0" collapsed="false">
      <c r="A63" s="5" t="n">
        <v>10</v>
      </c>
      <c r="B63" s="57" t="n">
        <v>46083</v>
      </c>
      <c r="C63" s="24" t="n">
        <f aca="false">G62</f>
        <v>0</v>
      </c>
      <c r="D63" s="45" t="n">
        <f aca="false">E63-F63</f>
        <v>0</v>
      </c>
      <c r="E63" s="24" t="n">
        <f aca="false">SUMPRODUCT((Income!D$3:D$502="GBP")*(Income!A$3:A$502=B63)*(Income!A$3:A$502&lt;&gt;"")*Income!C$3:C$502)</f>
        <v>0</v>
      </c>
      <c r="F63" s="24" t="n">
        <f aca="false">SUMPRODUCT((Expenses!E$3:E$1002="GBP")*(Expenses!A$3:A$1002=B63)*(Expenses!A$3:A$1002&lt;&gt;"")*Expenses!D$3:D$1002)</f>
        <v>0</v>
      </c>
      <c r="G63" s="45" t="n">
        <f aca="false">C63+D63</f>
        <v>0</v>
      </c>
      <c r="H63" s="26"/>
    </row>
    <row r="64" customFormat="false" ht="15" hidden="false" customHeight="false" outlineLevel="0" collapsed="false">
      <c r="A64" s="5" t="n">
        <v>10</v>
      </c>
      <c r="B64" s="57" t="n">
        <v>46084</v>
      </c>
      <c r="C64" s="24" t="n">
        <f aca="false">G63</f>
        <v>0</v>
      </c>
      <c r="D64" s="45" t="n">
        <f aca="false">E64-F64</f>
        <v>0</v>
      </c>
      <c r="E64" s="24" t="n">
        <f aca="false">SUMPRODUCT((Income!D$3:D$502="GBP")*(Income!A$3:A$502=B64)*(Income!A$3:A$502&lt;&gt;"")*Income!C$3:C$502)</f>
        <v>0</v>
      </c>
      <c r="F64" s="24" t="n">
        <f aca="false">SUMPRODUCT((Expenses!E$3:E$1002="GBP")*(Expenses!A$3:A$1002=B64)*(Expenses!A$3:A$1002&lt;&gt;"")*Expenses!D$3:D$1002)</f>
        <v>0</v>
      </c>
      <c r="G64" s="45" t="n">
        <f aca="false">C64+D64</f>
        <v>0</v>
      </c>
      <c r="H64" s="26"/>
    </row>
    <row r="65" customFormat="false" ht="15" hidden="false" customHeight="false" outlineLevel="0" collapsed="false">
      <c r="A65" s="5" t="n">
        <v>10</v>
      </c>
      <c r="B65" s="57" t="n">
        <v>46085</v>
      </c>
      <c r="C65" s="24" t="n">
        <f aca="false">G64</f>
        <v>0</v>
      </c>
      <c r="D65" s="45" t="n">
        <f aca="false">E65-F65</f>
        <v>0</v>
      </c>
      <c r="E65" s="24" t="n">
        <f aca="false">SUMPRODUCT((Income!D$3:D$502="GBP")*(Income!A$3:A$502=B65)*(Income!A$3:A$502&lt;&gt;"")*Income!C$3:C$502)</f>
        <v>0</v>
      </c>
      <c r="F65" s="24" t="n">
        <f aca="false">SUMPRODUCT((Expenses!E$3:E$1002="GBP")*(Expenses!A$3:A$1002=B65)*(Expenses!A$3:A$1002&lt;&gt;"")*Expenses!D$3:D$1002)</f>
        <v>0</v>
      </c>
      <c r="G65" s="45" t="n">
        <f aca="false">C65+D65</f>
        <v>0</v>
      </c>
      <c r="H65" s="26"/>
    </row>
    <row r="66" customFormat="false" ht="15" hidden="false" customHeight="false" outlineLevel="0" collapsed="false">
      <c r="A66" s="5" t="n">
        <v>10</v>
      </c>
      <c r="B66" s="57" t="n">
        <v>46086</v>
      </c>
      <c r="C66" s="24" t="n">
        <f aca="false">G65</f>
        <v>0</v>
      </c>
      <c r="D66" s="45" t="n">
        <f aca="false">E66-F66</f>
        <v>0</v>
      </c>
      <c r="E66" s="24" t="n">
        <f aca="false">SUMPRODUCT((Income!D$3:D$502="GBP")*(Income!A$3:A$502=B66)*(Income!A$3:A$502&lt;&gt;"")*Income!C$3:C$502)</f>
        <v>0</v>
      </c>
      <c r="F66" s="24" t="n">
        <f aca="false">SUMPRODUCT((Expenses!E$3:E$1002="GBP")*(Expenses!A$3:A$1002=B66)*(Expenses!A$3:A$1002&lt;&gt;"")*Expenses!D$3:D$1002)</f>
        <v>0</v>
      </c>
      <c r="G66" s="45" t="n">
        <f aca="false">C66+D66</f>
        <v>0</v>
      </c>
      <c r="H66" s="26"/>
    </row>
    <row r="67" customFormat="false" ht="15" hidden="false" customHeight="false" outlineLevel="0" collapsed="false">
      <c r="A67" s="5" t="n">
        <v>10</v>
      </c>
      <c r="B67" s="57" t="n">
        <v>46087</v>
      </c>
      <c r="C67" s="24" t="n">
        <f aca="false">G66</f>
        <v>0</v>
      </c>
      <c r="D67" s="45" t="n">
        <f aca="false">E67-F67</f>
        <v>0</v>
      </c>
      <c r="E67" s="24" t="n">
        <f aca="false">SUMPRODUCT((Income!D$3:D$502="GBP")*(Income!A$3:A$502=B67)*(Income!A$3:A$502&lt;&gt;"")*Income!C$3:C$502)</f>
        <v>0</v>
      </c>
      <c r="F67" s="24" t="n">
        <f aca="false">SUMPRODUCT((Expenses!E$3:E$1002="GBP")*(Expenses!A$3:A$1002=B67)*(Expenses!A$3:A$1002&lt;&gt;"")*Expenses!D$3:D$1002)</f>
        <v>0</v>
      </c>
      <c r="G67" s="45" t="n">
        <f aca="false">C67+D67</f>
        <v>0</v>
      </c>
      <c r="H67" s="26"/>
    </row>
    <row r="68" customFormat="false" ht="15" hidden="false" customHeight="false" outlineLevel="0" collapsed="false">
      <c r="A68" s="5" t="n">
        <v>10</v>
      </c>
      <c r="B68" s="57" t="n">
        <v>46088</v>
      </c>
      <c r="C68" s="24" t="n">
        <f aca="false">G67</f>
        <v>0</v>
      </c>
      <c r="D68" s="45" t="n">
        <f aca="false">E68-F68</f>
        <v>0</v>
      </c>
      <c r="E68" s="24" t="n">
        <f aca="false">SUMPRODUCT((Income!D$3:D$502="GBP")*(Income!A$3:A$502=B68)*(Income!A$3:A$502&lt;&gt;"")*Income!C$3:C$502)</f>
        <v>0</v>
      </c>
      <c r="F68" s="24" t="n">
        <f aca="false">SUMPRODUCT((Expenses!E$3:E$1002="GBP")*(Expenses!A$3:A$1002=B68)*(Expenses!A$3:A$1002&lt;&gt;"")*Expenses!D$3:D$1002)</f>
        <v>0</v>
      </c>
      <c r="G68" s="45" t="n">
        <f aca="false">C68+D68</f>
        <v>0</v>
      </c>
      <c r="H68" s="26"/>
    </row>
    <row r="69" customFormat="false" ht="15" hidden="false" customHeight="false" outlineLevel="0" collapsed="false">
      <c r="A69" s="5" t="n">
        <v>10</v>
      </c>
      <c r="B69" s="57" t="n">
        <v>46089</v>
      </c>
      <c r="C69" s="24" t="n">
        <f aca="false">G68</f>
        <v>0</v>
      </c>
      <c r="D69" s="45" t="n">
        <f aca="false">E69-F69</f>
        <v>0</v>
      </c>
      <c r="E69" s="24" t="n">
        <f aca="false">SUMPRODUCT((Income!D$3:D$502="GBP")*(Income!A$3:A$502=B69)*(Income!A$3:A$502&lt;&gt;"")*Income!C$3:C$502)</f>
        <v>0</v>
      </c>
      <c r="F69" s="24" t="n">
        <f aca="false">SUMPRODUCT((Expenses!E$3:E$1002="GBP")*(Expenses!A$3:A$1002=B69)*(Expenses!A$3:A$1002&lt;&gt;"")*Expenses!D$3:D$1002)</f>
        <v>0</v>
      </c>
      <c r="G69" s="45" t="n">
        <f aca="false">C69+D69</f>
        <v>0</v>
      </c>
      <c r="H69" s="26"/>
    </row>
    <row r="70" customFormat="false" ht="15" hidden="false" customHeight="false" outlineLevel="0" collapsed="false">
      <c r="A70" s="5" t="n">
        <v>11</v>
      </c>
      <c r="B70" s="57" t="n">
        <v>46090</v>
      </c>
      <c r="C70" s="24" t="n">
        <f aca="false">G69</f>
        <v>0</v>
      </c>
      <c r="D70" s="45" t="n">
        <f aca="false">E70-F70</f>
        <v>0</v>
      </c>
      <c r="E70" s="24" t="n">
        <f aca="false">SUMPRODUCT((Income!D$3:D$502="GBP")*(Income!A$3:A$502=B70)*(Income!A$3:A$502&lt;&gt;"")*Income!C$3:C$502)</f>
        <v>0</v>
      </c>
      <c r="F70" s="24" t="n">
        <f aca="false">SUMPRODUCT((Expenses!E$3:E$1002="GBP")*(Expenses!A$3:A$1002=B70)*(Expenses!A$3:A$1002&lt;&gt;"")*Expenses!D$3:D$1002)</f>
        <v>0</v>
      </c>
      <c r="G70" s="45" t="n">
        <f aca="false">C70+D70</f>
        <v>0</v>
      </c>
      <c r="H70" s="26"/>
    </row>
    <row r="71" customFormat="false" ht="15" hidden="false" customHeight="false" outlineLevel="0" collapsed="false">
      <c r="A71" s="5" t="n">
        <v>11</v>
      </c>
      <c r="B71" s="57" t="n">
        <v>46091</v>
      </c>
      <c r="C71" s="24" t="n">
        <f aca="false">G70</f>
        <v>0</v>
      </c>
      <c r="D71" s="45" t="n">
        <f aca="false">E71-F71</f>
        <v>0</v>
      </c>
      <c r="E71" s="24" t="n">
        <f aca="false">SUMPRODUCT((Income!D$3:D$502="GBP")*(Income!A$3:A$502=B71)*(Income!A$3:A$502&lt;&gt;"")*Income!C$3:C$502)</f>
        <v>0</v>
      </c>
      <c r="F71" s="24" t="n">
        <f aca="false">SUMPRODUCT((Expenses!E$3:E$1002="GBP")*(Expenses!A$3:A$1002=B71)*(Expenses!A$3:A$1002&lt;&gt;"")*Expenses!D$3:D$1002)</f>
        <v>0</v>
      </c>
      <c r="G71" s="45" t="n">
        <f aca="false">C71+D71</f>
        <v>0</v>
      </c>
      <c r="H71" s="26"/>
    </row>
    <row r="72" customFormat="false" ht="15" hidden="false" customHeight="false" outlineLevel="0" collapsed="false">
      <c r="A72" s="5" t="n">
        <v>11</v>
      </c>
      <c r="B72" s="57" t="n">
        <v>46092</v>
      </c>
      <c r="C72" s="24" t="n">
        <f aca="false">G71</f>
        <v>0</v>
      </c>
      <c r="D72" s="45" t="n">
        <f aca="false">E72-F72</f>
        <v>0</v>
      </c>
      <c r="E72" s="24" t="n">
        <f aca="false">SUMPRODUCT((Income!D$3:D$502="GBP")*(Income!A$3:A$502=B72)*(Income!A$3:A$502&lt;&gt;"")*Income!C$3:C$502)</f>
        <v>0</v>
      </c>
      <c r="F72" s="24" t="n">
        <f aca="false">SUMPRODUCT((Expenses!E$3:E$1002="GBP")*(Expenses!A$3:A$1002=B72)*(Expenses!A$3:A$1002&lt;&gt;"")*Expenses!D$3:D$1002)</f>
        <v>0</v>
      </c>
      <c r="G72" s="45" t="n">
        <f aca="false">C72+D72</f>
        <v>0</v>
      </c>
      <c r="H72" s="26"/>
    </row>
    <row r="73" customFormat="false" ht="15" hidden="false" customHeight="false" outlineLevel="0" collapsed="false">
      <c r="A73" s="5" t="n">
        <v>11</v>
      </c>
      <c r="B73" s="57" t="n">
        <v>46093</v>
      </c>
      <c r="C73" s="24" t="n">
        <f aca="false">G72</f>
        <v>0</v>
      </c>
      <c r="D73" s="45" t="n">
        <f aca="false">E73-F73</f>
        <v>0</v>
      </c>
      <c r="E73" s="24" t="n">
        <f aca="false">SUMPRODUCT((Income!D$3:D$502="GBP")*(Income!A$3:A$502=B73)*(Income!A$3:A$502&lt;&gt;"")*Income!C$3:C$502)</f>
        <v>0</v>
      </c>
      <c r="F73" s="24" t="n">
        <f aca="false">SUMPRODUCT((Expenses!E$3:E$1002="GBP")*(Expenses!A$3:A$1002=B73)*(Expenses!A$3:A$1002&lt;&gt;"")*Expenses!D$3:D$1002)</f>
        <v>0</v>
      </c>
      <c r="G73" s="45" t="n">
        <f aca="false">C73+D73</f>
        <v>0</v>
      </c>
      <c r="H73" s="26"/>
    </row>
    <row r="74" customFormat="false" ht="15" hidden="false" customHeight="false" outlineLevel="0" collapsed="false">
      <c r="A74" s="5" t="n">
        <v>11</v>
      </c>
      <c r="B74" s="57" t="n">
        <v>46094</v>
      </c>
      <c r="C74" s="24" t="n">
        <f aca="false">G73</f>
        <v>0</v>
      </c>
      <c r="D74" s="45" t="n">
        <f aca="false">E74-F74</f>
        <v>0</v>
      </c>
      <c r="E74" s="24" t="n">
        <f aca="false">SUMPRODUCT((Income!D$3:D$502="GBP")*(Income!A$3:A$502=B74)*(Income!A$3:A$502&lt;&gt;"")*Income!C$3:C$502)</f>
        <v>0</v>
      </c>
      <c r="F74" s="24" t="n">
        <f aca="false">SUMPRODUCT((Expenses!E$3:E$1002="GBP")*(Expenses!A$3:A$1002=B74)*(Expenses!A$3:A$1002&lt;&gt;"")*Expenses!D$3:D$1002)</f>
        <v>0</v>
      </c>
      <c r="G74" s="45" t="n">
        <f aca="false">C74+D74</f>
        <v>0</v>
      </c>
      <c r="H74" s="26"/>
    </row>
    <row r="75" customFormat="false" ht="15" hidden="false" customHeight="false" outlineLevel="0" collapsed="false">
      <c r="A75" s="5" t="n">
        <v>11</v>
      </c>
      <c r="B75" s="57" t="n">
        <v>46095</v>
      </c>
      <c r="C75" s="24" t="n">
        <f aca="false">G74</f>
        <v>0</v>
      </c>
      <c r="D75" s="45" t="n">
        <f aca="false">E75-F75</f>
        <v>0</v>
      </c>
      <c r="E75" s="24" t="n">
        <f aca="false">SUMPRODUCT((Income!D$3:D$502="GBP")*(Income!A$3:A$502=B75)*(Income!A$3:A$502&lt;&gt;"")*Income!C$3:C$502)</f>
        <v>0</v>
      </c>
      <c r="F75" s="24" t="n">
        <f aca="false">SUMPRODUCT((Expenses!E$3:E$1002="GBP")*(Expenses!A$3:A$1002=B75)*(Expenses!A$3:A$1002&lt;&gt;"")*Expenses!D$3:D$1002)</f>
        <v>0</v>
      </c>
      <c r="G75" s="45" t="n">
        <f aca="false">C75+D75</f>
        <v>0</v>
      </c>
      <c r="H75" s="26"/>
    </row>
    <row r="76" customFormat="false" ht="15" hidden="false" customHeight="false" outlineLevel="0" collapsed="false">
      <c r="A76" s="5" t="n">
        <v>11</v>
      </c>
      <c r="B76" s="57" t="n">
        <v>46096</v>
      </c>
      <c r="C76" s="24" t="n">
        <f aca="false">G75</f>
        <v>0</v>
      </c>
      <c r="D76" s="45" t="n">
        <f aca="false">E76-F76</f>
        <v>0</v>
      </c>
      <c r="E76" s="24" t="n">
        <f aca="false">SUMPRODUCT((Income!D$3:D$502="GBP")*(Income!A$3:A$502=B76)*(Income!A$3:A$502&lt;&gt;"")*Income!C$3:C$502)</f>
        <v>0</v>
      </c>
      <c r="F76" s="24" t="n">
        <f aca="false">SUMPRODUCT((Expenses!E$3:E$1002="GBP")*(Expenses!A$3:A$1002=B76)*(Expenses!A$3:A$1002&lt;&gt;"")*Expenses!D$3:D$1002)</f>
        <v>0</v>
      </c>
      <c r="G76" s="45" t="n">
        <f aca="false">C76+D76</f>
        <v>0</v>
      </c>
      <c r="H76" s="26"/>
    </row>
    <row r="77" customFormat="false" ht="15" hidden="false" customHeight="false" outlineLevel="0" collapsed="false">
      <c r="A77" s="5" t="n">
        <v>12</v>
      </c>
      <c r="B77" s="57" t="n">
        <v>46097</v>
      </c>
      <c r="C77" s="24" t="n">
        <f aca="false">G76</f>
        <v>0</v>
      </c>
      <c r="D77" s="45" t="n">
        <f aca="false">E77-F77</f>
        <v>0</v>
      </c>
      <c r="E77" s="24" t="n">
        <f aca="false">SUMPRODUCT((Income!D$3:D$502="GBP")*(Income!A$3:A$502=B77)*(Income!A$3:A$502&lt;&gt;"")*Income!C$3:C$502)</f>
        <v>0</v>
      </c>
      <c r="F77" s="24" t="n">
        <f aca="false">SUMPRODUCT((Expenses!E$3:E$1002="GBP")*(Expenses!A$3:A$1002=B77)*(Expenses!A$3:A$1002&lt;&gt;"")*Expenses!D$3:D$1002)</f>
        <v>0</v>
      </c>
      <c r="G77" s="45" t="n">
        <f aca="false">C77+D77</f>
        <v>0</v>
      </c>
      <c r="H77" s="26"/>
    </row>
    <row r="78" customFormat="false" ht="15" hidden="false" customHeight="false" outlineLevel="0" collapsed="false">
      <c r="A78" s="5" t="n">
        <v>12</v>
      </c>
      <c r="B78" s="57" t="n">
        <v>46098</v>
      </c>
      <c r="C78" s="24" t="n">
        <f aca="false">G77</f>
        <v>0</v>
      </c>
      <c r="D78" s="45" t="n">
        <f aca="false">E78-F78</f>
        <v>0</v>
      </c>
      <c r="E78" s="24" t="n">
        <f aca="false">SUMPRODUCT((Income!D$3:D$502="GBP")*(Income!A$3:A$502=B78)*(Income!A$3:A$502&lt;&gt;"")*Income!C$3:C$502)</f>
        <v>0</v>
      </c>
      <c r="F78" s="24" t="n">
        <f aca="false">SUMPRODUCT((Expenses!E$3:E$1002="GBP")*(Expenses!A$3:A$1002=B78)*(Expenses!A$3:A$1002&lt;&gt;"")*Expenses!D$3:D$1002)</f>
        <v>0</v>
      </c>
      <c r="G78" s="45" t="n">
        <f aca="false">C78+D78</f>
        <v>0</v>
      </c>
      <c r="H78" s="26"/>
    </row>
    <row r="79" customFormat="false" ht="15" hidden="false" customHeight="false" outlineLevel="0" collapsed="false">
      <c r="A79" s="5" t="n">
        <v>12</v>
      </c>
      <c r="B79" s="57" t="n">
        <v>46099</v>
      </c>
      <c r="C79" s="24" t="n">
        <f aca="false">G78</f>
        <v>0</v>
      </c>
      <c r="D79" s="45" t="n">
        <f aca="false">E79-F79</f>
        <v>0</v>
      </c>
      <c r="E79" s="24" t="n">
        <f aca="false">SUMPRODUCT((Income!D$3:D$502="GBP")*(Income!A$3:A$502=B79)*(Income!A$3:A$502&lt;&gt;"")*Income!C$3:C$502)</f>
        <v>0</v>
      </c>
      <c r="F79" s="24" t="n">
        <f aca="false">SUMPRODUCT((Expenses!E$3:E$1002="GBP")*(Expenses!A$3:A$1002=B79)*(Expenses!A$3:A$1002&lt;&gt;"")*Expenses!D$3:D$1002)</f>
        <v>0</v>
      </c>
      <c r="G79" s="45" t="n">
        <f aca="false">C79+D79</f>
        <v>0</v>
      </c>
      <c r="H79" s="26"/>
    </row>
    <row r="80" customFormat="false" ht="15" hidden="false" customHeight="false" outlineLevel="0" collapsed="false">
      <c r="A80" s="5" t="n">
        <v>12</v>
      </c>
      <c r="B80" s="57" t="n">
        <v>46100</v>
      </c>
      <c r="C80" s="24" t="n">
        <f aca="false">G79</f>
        <v>0</v>
      </c>
      <c r="D80" s="45" t="n">
        <f aca="false">E80-F80</f>
        <v>0</v>
      </c>
      <c r="E80" s="24" t="n">
        <f aca="false">SUMPRODUCT((Income!D$3:D$502="GBP")*(Income!A$3:A$502=B80)*(Income!A$3:A$502&lt;&gt;"")*Income!C$3:C$502)</f>
        <v>0</v>
      </c>
      <c r="F80" s="24" t="n">
        <f aca="false">SUMPRODUCT((Expenses!E$3:E$1002="GBP")*(Expenses!A$3:A$1002=B80)*(Expenses!A$3:A$1002&lt;&gt;"")*Expenses!D$3:D$1002)</f>
        <v>0</v>
      </c>
      <c r="G80" s="45" t="n">
        <f aca="false">C80+D80</f>
        <v>0</v>
      </c>
      <c r="H80" s="26"/>
    </row>
    <row r="81" customFormat="false" ht="15" hidden="false" customHeight="false" outlineLevel="0" collapsed="false">
      <c r="A81" s="5" t="n">
        <v>12</v>
      </c>
      <c r="B81" s="57" t="n">
        <v>46101</v>
      </c>
      <c r="C81" s="24" t="n">
        <f aca="false">G80</f>
        <v>0</v>
      </c>
      <c r="D81" s="45" t="n">
        <f aca="false">E81-F81</f>
        <v>0</v>
      </c>
      <c r="E81" s="24" t="n">
        <f aca="false">SUMPRODUCT((Income!D$3:D$502="GBP")*(Income!A$3:A$502=B81)*(Income!A$3:A$502&lt;&gt;"")*Income!C$3:C$502)</f>
        <v>0</v>
      </c>
      <c r="F81" s="24" t="n">
        <f aca="false">SUMPRODUCT((Expenses!E$3:E$1002="GBP")*(Expenses!A$3:A$1002=B81)*(Expenses!A$3:A$1002&lt;&gt;"")*Expenses!D$3:D$1002)</f>
        <v>0</v>
      </c>
      <c r="G81" s="45" t="n">
        <f aca="false">C81+D81</f>
        <v>0</v>
      </c>
      <c r="H81" s="26"/>
    </row>
    <row r="82" customFormat="false" ht="15" hidden="false" customHeight="false" outlineLevel="0" collapsed="false">
      <c r="A82" s="5" t="n">
        <v>12</v>
      </c>
      <c r="B82" s="57" t="n">
        <v>46102</v>
      </c>
      <c r="C82" s="24" t="n">
        <f aca="false">G81</f>
        <v>0</v>
      </c>
      <c r="D82" s="45" t="n">
        <f aca="false">E82-F82</f>
        <v>0</v>
      </c>
      <c r="E82" s="24" t="n">
        <f aca="false">SUMPRODUCT((Income!D$3:D$502="GBP")*(Income!A$3:A$502=B82)*(Income!A$3:A$502&lt;&gt;"")*Income!C$3:C$502)</f>
        <v>0</v>
      </c>
      <c r="F82" s="24" t="n">
        <f aca="false">SUMPRODUCT((Expenses!E$3:E$1002="GBP")*(Expenses!A$3:A$1002=B82)*(Expenses!A$3:A$1002&lt;&gt;"")*Expenses!D$3:D$1002)</f>
        <v>0</v>
      </c>
      <c r="G82" s="45" t="n">
        <f aca="false">C82+D82</f>
        <v>0</v>
      </c>
      <c r="H82" s="26"/>
    </row>
    <row r="83" customFormat="false" ht="15" hidden="false" customHeight="false" outlineLevel="0" collapsed="false">
      <c r="A83" s="5" t="n">
        <v>12</v>
      </c>
      <c r="B83" s="57" t="n">
        <v>46103</v>
      </c>
      <c r="C83" s="24" t="n">
        <f aca="false">G82</f>
        <v>0</v>
      </c>
      <c r="D83" s="45" t="n">
        <f aca="false">E83-F83</f>
        <v>0</v>
      </c>
      <c r="E83" s="24" t="n">
        <f aca="false">SUMPRODUCT((Income!D$3:D$502="GBP")*(Income!A$3:A$502=B83)*(Income!A$3:A$502&lt;&gt;"")*Income!C$3:C$502)</f>
        <v>0</v>
      </c>
      <c r="F83" s="24" t="n">
        <f aca="false">SUMPRODUCT((Expenses!E$3:E$1002="GBP")*(Expenses!A$3:A$1002=B83)*(Expenses!A$3:A$1002&lt;&gt;"")*Expenses!D$3:D$1002)</f>
        <v>0</v>
      </c>
      <c r="G83" s="45" t="n">
        <f aca="false">C83+D83</f>
        <v>0</v>
      </c>
      <c r="H83" s="26"/>
    </row>
    <row r="84" customFormat="false" ht="15" hidden="false" customHeight="false" outlineLevel="0" collapsed="false">
      <c r="A84" s="5" t="n">
        <v>13</v>
      </c>
      <c r="B84" s="57" t="n">
        <v>46104</v>
      </c>
      <c r="C84" s="24" t="n">
        <f aca="false">G83</f>
        <v>0</v>
      </c>
      <c r="D84" s="45" t="n">
        <f aca="false">E84-F84</f>
        <v>0</v>
      </c>
      <c r="E84" s="24" t="n">
        <f aca="false">SUMPRODUCT((Income!D$3:D$502="GBP")*(Income!A$3:A$502=B84)*(Income!A$3:A$502&lt;&gt;"")*Income!C$3:C$502)</f>
        <v>0</v>
      </c>
      <c r="F84" s="24" t="n">
        <f aca="false">SUMPRODUCT((Expenses!E$3:E$1002="GBP")*(Expenses!A$3:A$1002=B84)*(Expenses!A$3:A$1002&lt;&gt;"")*Expenses!D$3:D$1002)</f>
        <v>0</v>
      </c>
      <c r="G84" s="45" t="n">
        <f aca="false">C84+D84</f>
        <v>0</v>
      </c>
      <c r="H84" s="26"/>
    </row>
    <row r="85" customFormat="false" ht="15" hidden="false" customHeight="false" outlineLevel="0" collapsed="false">
      <c r="A85" s="5" t="n">
        <v>13</v>
      </c>
      <c r="B85" s="57" t="n">
        <v>46105</v>
      </c>
      <c r="C85" s="24" t="n">
        <f aca="false">G84</f>
        <v>0</v>
      </c>
      <c r="D85" s="45" t="n">
        <f aca="false">E85-F85</f>
        <v>0</v>
      </c>
      <c r="E85" s="24" t="n">
        <f aca="false">SUMPRODUCT((Income!D$3:D$502="GBP")*(Income!A$3:A$502=B85)*(Income!A$3:A$502&lt;&gt;"")*Income!C$3:C$502)</f>
        <v>0</v>
      </c>
      <c r="F85" s="24" t="n">
        <f aca="false">SUMPRODUCT((Expenses!E$3:E$1002="GBP")*(Expenses!A$3:A$1002=B85)*(Expenses!A$3:A$1002&lt;&gt;"")*Expenses!D$3:D$1002)</f>
        <v>0</v>
      </c>
      <c r="G85" s="45" t="n">
        <f aca="false">C85+D85</f>
        <v>0</v>
      </c>
      <c r="H85" s="26"/>
    </row>
    <row r="86" customFormat="false" ht="15" hidden="false" customHeight="false" outlineLevel="0" collapsed="false">
      <c r="A86" s="5" t="n">
        <v>13</v>
      </c>
      <c r="B86" s="57" t="n">
        <v>46106</v>
      </c>
      <c r="C86" s="24" t="n">
        <f aca="false">G85</f>
        <v>0</v>
      </c>
      <c r="D86" s="45" t="n">
        <f aca="false">E86-F86</f>
        <v>0</v>
      </c>
      <c r="E86" s="24" t="n">
        <f aca="false">SUMPRODUCT((Income!D$3:D$502="GBP")*(Income!A$3:A$502=B86)*(Income!A$3:A$502&lt;&gt;"")*Income!C$3:C$502)</f>
        <v>0</v>
      </c>
      <c r="F86" s="24" t="n">
        <f aca="false">SUMPRODUCT((Expenses!E$3:E$1002="GBP")*(Expenses!A$3:A$1002=B86)*(Expenses!A$3:A$1002&lt;&gt;"")*Expenses!D$3:D$1002)</f>
        <v>0</v>
      </c>
      <c r="G86" s="45" t="n">
        <f aca="false">C86+D86</f>
        <v>0</v>
      </c>
      <c r="H86" s="26"/>
    </row>
    <row r="87" customFormat="false" ht="15" hidden="false" customHeight="false" outlineLevel="0" collapsed="false">
      <c r="A87" s="5" t="n">
        <v>13</v>
      </c>
      <c r="B87" s="57" t="n">
        <v>46107</v>
      </c>
      <c r="C87" s="24" t="n">
        <f aca="false">G86</f>
        <v>0</v>
      </c>
      <c r="D87" s="45" t="n">
        <f aca="false">E87-F87</f>
        <v>0</v>
      </c>
      <c r="E87" s="24" t="n">
        <f aca="false">SUMPRODUCT((Income!D$3:D$502="GBP")*(Income!A$3:A$502=B87)*(Income!A$3:A$502&lt;&gt;"")*Income!C$3:C$502)</f>
        <v>0</v>
      </c>
      <c r="F87" s="24" t="n">
        <f aca="false">SUMPRODUCT((Expenses!E$3:E$1002="GBP")*(Expenses!A$3:A$1002=B87)*(Expenses!A$3:A$1002&lt;&gt;"")*Expenses!D$3:D$1002)</f>
        <v>0</v>
      </c>
      <c r="G87" s="45" t="n">
        <f aca="false">C87+D87</f>
        <v>0</v>
      </c>
      <c r="H87" s="26"/>
    </row>
    <row r="88" customFormat="false" ht="15" hidden="false" customHeight="false" outlineLevel="0" collapsed="false">
      <c r="A88" s="5" t="n">
        <v>13</v>
      </c>
      <c r="B88" s="57" t="n">
        <v>46108</v>
      </c>
      <c r="C88" s="24" t="n">
        <f aca="false">G87</f>
        <v>0</v>
      </c>
      <c r="D88" s="45" t="n">
        <f aca="false">E88-F88</f>
        <v>0</v>
      </c>
      <c r="E88" s="24" t="n">
        <f aca="false">SUMPRODUCT((Income!D$3:D$502="GBP")*(Income!A$3:A$502=B88)*(Income!A$3:A$502&lt;&gt;"")*Income!C$3:C$502)</f>
        <v>0</v>
      </c>
      <c r="F88" s="24" t="n">
        <f aca="false">SUMPRODUCT((Expenses!E$3:E$1002="GBP")*(Expenses!A$3:A$1002=B88)*(Expenses!A$3:A$1002&lt;&gt;"")*Expenses!D$3:D$1002)</f>
        <v>0</v>
      </c>
      <c r="G88" s="45" t="n">
        <f aca="false">C88+D88</f>
        <v>0</v>
      </c>
      <c r="H88" s="26"/>
    </row>
    <row r="89" customFormat="false" ht="15" hidden="false" customHeight="false" outlineLevel="0" collapsed="false">
      <c r="A89" s="5" t="n">
        <v>13</v>
      </c>
      <c r="B89" s="57" t="n">
        <v>46109</v>
      </c>
      <c r="C89" s="24" t="n">
        <f aca="false">G88</f>
        <v>0</v>
      </c>
      <c r="D89" s="45" t="n">
        <f aca="false">E89-F89</f>
        <v>0</v>
      </c>
      <c r="E89" s="24" t="n">
        <f aca="false">SUMPRODUCT((Income!D$3:D$502="GBP")*(Income!A$3:A$502=B89)*(Income!A$3:A$502&lt;&gt;"")*Income!C$3:C$502)</f>
        <v>0</v>
      </c>
      <c r="F89" s="24" t="n">
        <f aca="false">SUMPRODUCT((Expenses!E$3:E$1002="GBP")*(Expenses!A$3:A$1002=B89)*(Expenses!A$3:A$1002&lt;&gt;"")*Expenses!D$3:D$1002)</f>
        <v>0</v>
      </c>
      <c r="G89" s="45" t="n">
        <f aca="false">C89+D89</f>
        <v>0</v>
      </c>
      <c r="H89" s="26"/>
    </row>
    <row r="90" customFormat="false" ht="15" hidden="false" customHeight="false" outlineLevel="0" collapsed="false">
      <c r="A90" s="5" t="n">
        <v>13</v>
      </c>
      <c r="B90" s="57" t="n">
        <v>46110</v>
      </c>
      <c r="C90" s="24" t="n">
        <f aca="false">G89</f>
        <v>0</v>
      </c>
      <c r="D90" s="45" t="n">
        <f aca="false">E90-F90</f>
        <v>0</v>
      </c>
      <c r="E90" s="24" t="n">
        <f aca="false">SUMPRODUCT((Income!D$3:D$502="GBP")*(Income!A$3:A$502=B90)*(Income!A$3:A$502&lt;&gt;"")*Income!C$3:C$502)</f>
        <v>0</v>
      </c>
      <c r="F90" s="24" t="n">
        <f aca="false">SUMPRODUCT((Expenses!E$3:E$1002="GBP")*(Expenses!A$3:A$1002=B90)*(Expenses!A$3:A$1002&lt;&gt;"")*Expenses!D$3:D$1002)</f>
        <v>0</v>
      </c>
      <c r="G90" s="45" t="n">
        <f aca="false">C90+D90</f>
        <v>0</v>
      </c>
      <c r="H90" s="26"/>
    </row>
    <row r="91" customFormat="false" ht="15" hidden="false" customHeight="false" outlineLevel="0" collapsed="false">
      <c r="A91" s="5" t="n">
        <v>14</v>
      </c>
      <c r="B91" s="57" t="n">
        <v>46111</v>
      </c>
      <c r="C91" s="24" t="n">
        <f aca="false">G90</f>
        <v>0</v>
      </c>
      <c r="D91" s="45" t="n">
        <f aca="false">E91-F91</f>
        <v>0</v>
      </c>
      <c r="E91" s="24" t="n">
        <f aca="false">SUMPRODUCT((Income!D$3:D$502="GBP")*(Income!A$3:A$502=B91)*(Income!A$3:A$502&lt;&gt;"")*Income!C$3:C$502)</f>
        <v>0</v>
      </c>
      <c r="F91" s="24" t="n">
        <f aca="false">SUMPRODUCT((Expenses!E$3:E$1002="GBP")*(Expenses!A$3:A$1002=B91)*(Expenses!A$3:A$1002&lt;&gt;"")*Expenses!D$3:D$1002)</f>
        <v>0</v>
      </c>
      <c r="G91" s="45" t="n">
        <f aca="false">C91+D91</f>
        <v>0</v>
      </c>
      <c r="H91" s="26"/>
    </row>
    <row r="92" customFormat="false" ht="15" hidden="false" customHeight="false" outlineLevel="0" collapsed="false">
      <c r="A92" s="5" t="n">
        <v>14</v>
      </c>
      <c r="B92" s="57" t="n">
        <v>46112</v>
      </c>
      <c r="C92" s="24" t="n">
        <f aca="false">G91</f>
        <v>0</v>
      </c>
      <c r="D92" s="45" t="n">
        <f aca="false">E92-F92</f>
        <v>0</v>
      </c>
      <c r="E92" s="24" t="n">
        <f aca="false">SUMPRODUCT((Income!D$3:D$502="GBP")*(Income!A$3:A$502=B92)*(Income!A$3:A$502&lt;&gt;"")*Income!C$3:C$502)</f>
        <v>0</v>
      </c>
      <c r="F92" s="24" t="n">
        <f aca="false">SUMPRODUCT((Expenses!E$3:E$1002="GBP")*(Expenses!A$3:A$1002=B92)*(Expenses!A$3:A$1002&lt;&gt;"")*Expenses!D$3:D$1002)</f>
        <v>0</v>
      </c>
      <c r="G92" s="45" t="n">
        <f aca="false">C92+D92</f>
        <v>0</v>
      </c>
      <c r="H92" s="26"/>
    </row>
    <row r="93" customFormat="false" ht="15" hidden="false" customHeight="false" outlineLevel="0" collapsed="false">
      <c r="A93" s="5" t="n">
        <v>14</v>
      </c>
      <c r="B93" s="57" t="n">
        <v>46113</v>
      </c>
      <c r="C93" s="24" t="n">
        <f aca="false">G92</f>
        <v>0</v>
      </c>
      <c r="D93" s="45" t="n">
        <f aca="false">E93-F93</f>
        <v>0</v>
      </c>
      <c r="E93" s="24" t="n">
        <f aca="false">SUMPRODUCT((Income!D$3:D$502="GBP")*(Income!A$3:A$502=B93)*(Income!A$3:A$502&lt;&gt;"")*Income!C$3:C$502)</f>
        <v>0</v>
      </c>
      <c r="F93" s="24" t="n">
        <f aca="false">SUMPRODUCT((Expenses!E$3:E$1002="GBP")*(Expenses!A$3:A$1002=B93)*(Expenses!A$3:A$1002&lt;&gt;"")*Expenses!D$3:D$1002)</f>
        <v>0</v>
      </c>
      <c r="G93" s="45" t="n">
        <f aca="false">C93+D93</f>
        <v>0</v>
      </c>
      <c r="H93" s="26"/>
    </row>
    <row r="94" customFormat="false" ht="15" hidden="false" customHeight="false" outlineLevel="0" collapsed="false">
      <c r="A94" s="5" t="n">
        <v>14</v>
      </c>
      <c r="B94" s="57" t="n">
        <v>46114</v>
      </c>
      <c r="C94" s="24" t="n">
        <f aca="false">G93</f>
        <v>0</v>
      </c>
      <c r="D94" s="45" t="n">
        <f aca="false">E94-F94</f>
        <v>0</v>
      </c>
      <c r="E94" s="24" t="n">
        <f aca="false">SUMPRODUCT((Income!D$3:D$502="GBP")*(Income!A$3:A$502=B94)*(Income!A$3:A$502&lt;&gt;"")*Income!C$3:C$502)</f>
        <v>0</v>
      </c>
      <c r="F94" s="24" t="n">
        <f aca="false">SUMPRODUCT((Expenses!E$3:E$1002="GBP")*(Expenses!A$3:A$1002=B94)*(Expenses!A$3:A$1002&lt;&gt;"")*Expenses!D$3:D$1002)</f>
        <v>0</v>
      </c>
      <c r="G94" s="45" t="n">
        <f aca="false">C94+D94</f>
        <v>0</v>
      </c>
      <c r="H94" s="26"/>
    </row>
    <row r="95" customFormat="false" ht="15" hidden="false" customHeight="false" outlineLevel="0" collapsed="false">
      <c r="A95" s="5" t="n">
        <v>14</v>
      </c>
      <c r="B95" s="57" t="n">
        <v>46115</v>
      </c>
      <c r="C95" s="24" t="n">
        <f aca="false">G94</f>
        <v>0</v>
      </c>
      <c r="D95" s="45" t="n">
        <f aca="false">E95-F95</f>
        <v>0</v>
      </c>
      <c r="E95" s="24" t="n">
        <f aca="false">SUMPRODUCT((Income!D$3:D$502="GBP")*(Income!A$3:A$502=B95)*(Income!A$3:A$502&lt;&gt;"")*Income!C$3:C$502)</f>
        <v>0</v>
      </c>
      <c r="F95" s="24" t="n">
        <f aca="false">SUMPRODUCT((Expenses!E$3:E$1002="GBP")*(Expenses!A$3:A$1002=B95)*(Expenses!A$3:A$1002&lt;&gt;"")*Expenses!D$3:D$1002)</f>
        <v>0</v>
      </c>
      <c r="G95" s="45" t="n">
        <f aca="false">C95+D95</f>
        <v>0</v>
      </c>
      <c r="H95" s="26"/>
    </row>
    <row r="96" customFormat="false" ht="15" hidden="false" customHeight="false" outlineLevel="0" collapsed="false">
      <c r="A96" s="5" t="n">
        <v>14</v>
      </c>
      <c r="B96" s="57" t="n">
        <v>46116</v>
      </c>
      <c r="C96" s="24" t="n">
        <f aca="false">G95</f>
        <v>0</v>
      </c>
      <c r="D96" s="45" t="n">
        <f aca="false">E96-F96</f>
        <v>0</v>
      </c>
      <c r="E96" s="24" t="n">
        <f aca="false">SUMPRODUCT((Income!D$3:D$502="GBP")*(Income!A$3:A$502=B96)*(Income!A$3:A$502&lt;&gt;"")*Income!C$3:C$502)</f>
        <v>0</v>
      </c>
      <c r="F96" s="24" t="n">
        <f aca="false">SUMPRODUCT((Expenses!E$3:E$1002="GBP")*(Expenses!A$3:A$1002=B96)*(Expenses!A$3:A$1002&lt;&gt;"")*Expenses!D$3:D$1002)</f>
        <v>0</v>
      </c>
      <c r="G96" s="45" t="n">
        <f aca="false">C96+D96</f>
        <v>0</v>
      </c>
      <c r="H96" s="26"/>
    </row>
    <row r="97" customFormat="false" ht="15" hidden="false" customHeight="false" outlineLevel="0" collapsed="false">
      <c r="A97" s="5" t="n">
        <v>14</v>
      </c>
      <c r="B97" s="57" t="n">
        <v>46117</v>
      </c>
      <c r="C97" s="24" t="n">
        <f aca="false">G96</f>
        <v>0</v>
      </c>
      <c r="D97" s="45" t="n">
        <f aca="false">E97-F97</f>
        <v>0</v>
      </c>
      <c r="E97" s="24" t="n">
        <f aca="false">SUMPRODUCT((Income!D$3:D$502="GBP")*(Income!A$3:A$502=B97)*(Income!A$3:A$502&lt;&gt;"")*Income!C$3:C$502)</f>
        <v>0</v>
      </c>
      <c r="F97" s="24" t="n">
        <f aca="false">SUMPRODUCT((Expenses!E$3:E$1002="GBP")*(Expenses!A$3:A$1002=B97)*(Expenses!A$3:A$1002&lt;&gt;"")*Expenses!D$3:D$1002)</f>
        <v>0</v>
      </c>
      <c r="G97" s="45" t="n">
        <f aca="false">C97+D97</f>
        <v>0</v>
      </c>
      <c r="H97" s="26"/>
    </row>
    <row r="98" customFormat="false" ht="15" hidden="false" customHeight="false" outlineLevel="0" collapsed="false">
      <c r="A98" s="5" t="n">
        <v>15</v>
      </c>
      <c r="B98" s="57" t="n">
        <v>46118</v>
      </c>
      <c r="C98" s="24" t="n">
        <f aca="false">G97</f>
        <v>0</v>
      </c>
      <c r="D98" s="45" t="n">
        <f aca="false">E98-F98</f>
        <v>0</v>
      </c>
      <c r="E98" s="24" t="n">
        <f aca="false">SUMPRODUCT((Income!D$3:D$502="GBP")*(Income!A$3:A$502=B98)*(Income!A$3:A$502&lt;&gt;"")*Income!C$3:C$502)</f>
        <v>0</v>
      </c>
      <c r="F98" s="24" t="n">
        <f aca="false">SUMPRODUCT((Expenses!E$3:E$1002="GBP")*(Expenses!A$3:A$1002=B98)*(Expenses!A$3:A$1002&lt;&gt;"")*Expenses!D$3:D$1002)</f>
        <v>0</v>
      </c>
      <c r="G98" s="45" t="n">
        <f aca="false">C98+D98</f>
        <v>0</v>
      </c>
      <c r="H98" s="26"/>
    </row>
    <row r="99" customFormat="false" ht="15" hidden="false" customHeight="false" outlineLevel="0" collapsed="false">
      <c r="A99" s="5" t="n">
        <v>15</v>
      </c>
      <c r="B99" s="57" t="n">
        <v>46119</v>
      </c>
      <c r="C99" s="24" t="n">
        <f aca="false">G98</f>
        <v>0</v>
      </c>
      <c r="D99" s="45" t="n">
        <f aca="false">E99-F99</f>
        <v>0</v>
      </c>
      <c r="E99" s="24" t="n">
        <f aca="false">SUMPRODUCT((Income!D$3:D$502="GBP")*(Income!A$3:A$502=B99)*(Income!A$3:A$502&lt;&gt;"")*Income!C$3:C$502)</f>
        <v>0</v>
      </c>
      <c r="F99" s="24" t="n">
        <f aca="false">SUMPRODUCT((Expenses!E$3:E$1002="GBP")*(Expenses!A$3:A$1002=B99)*(Expenses!A$3:A$1002&lt;&gt;"")*Expenses!D$3:D$1002)</f>
        <v>0</v>
      </c>
      <c r="G99" s="45" t="n">
        <f aca="false">C99+D99</f>
        <v>0</v>
      </c>
      <c r="H99" s="26"/>
    </row>
    <row r="100" customFormat="false" ht="15" hidden="false" customHeight="false" outlineLevel="0" collapsed="false">
      <c r="A100" s="5" t="n">
        <v>15</v>
      </c>
      <c r="B100" s="57" t="n">
        <v>46120</v>
      </c>
      <c r="C100" s="24" t="n">
        <f aca="false">G99</f>
        <v>0</v>
      </c>
      <c r="D100" s="45" t="n">
        <f aca="false">E100-F100</f>
        <v>0</v>
      </c>
      <c r="E100" s="24" t="n">
        <f aca="false">SUMPRODUCT((Income!D$3:D$502="GBP")*(Income!A$3:A$502=B100)*(Income!A$3:A$502&lt;&gt;"")*Income!C$3:C$502)</f>
        <v>0</v>
      </c>
      <c r="F100" s="24" t="n">
        <f aca="false">SUMPRODUCT((Expenses!E$3:E$1002="GBP")*(Expenses!A$3:A$1002=B100)*(Expenses!A$3:A$1002&lt;&gt;"")*Expenses!D$3:D$1002)</f>
        <v>0</v>
      </c>
      <c r="G100" s="45" t="n">
        <f aca="false">C100+D100</f>
        <v>0</v>
      </c>
      <c r="H100" s="26"/>
    </row>
    <row r="101" customFormat="false" ht="15" hidden="false" customHeight="false" outlineLevel="0" collapsed="false">
      <c r="A101" s="5" t="n">
        <v>15</v>
      </c>
      <c r="B101" s="57" t="n">
        <v>46121</v>
      </c>
      <c r="C101" s="24" t="n">
        <f aca="false">G100</f>
        <v>0</v>
      </c>
      <c r="D101" s="45" t="n">
        <f aca="false">E101-F101</f>
        <v>0</v>
      </c>
      <c r="E101" s="24" t="n">
        <f aca="false">SUMPRODUCT((Income!D$3:D$502="GBP")*(Income!A$3:A$502=B101)*(Income!A$3:A$502&lt;&gt;"")*Income!C$3:C$502)</f>
        <v>0</v>
      </c>
      <c r="F101" s="24" t="n">
        <f aca="false">SUMPRODUCT((Expenses!E$3:E$1002="GBP")*(Expenses!A$3:A$1002=B101)*(Expenses!A$3:A$1002&lt;&gt;"")*Expenses!D$3:D$1002)</f>
        <v>0</v>
      </c>
      <c r="G101" s="45" t="n">
        <f aca="false">C101+D101</f>
        <v>0</v>
      </c>
      <c r="H101" s="26"/>
    </row>
    <row r="102" customFormat="false" ht="15" hidden="false" customHeight="false" outlineLevel="0" collapsed="false">
      <c r="A102" s="5" t="n">
        <v>15</v>
      </c>
      <c r="B102" s="57" t="n">
        <v>46122</v>
      </c>
      <c r="C102" s="24" t="n">
        <f aca="false">G101</f>
        <v>0</v>
      </c>
      <c r="D102" s="45" t="n">
        <f aca="false">E102-F102</f>
        <v>0</v>
      </c>
      <c r="E102" s="24" t="n">
        <f aca="false">SUMPRODUCT((Income!D$3:D$502="GBP")*(Income!A$3:A$502=B102)*(Income!A$3:A$502&lt;&gt;"")*Income!C$3:C$502)</f>
        <v>0</v>
      </c>
      <c r="F102" s="24" t="n">
        <f aca="false">SUMPRODUCT((Expenses!E$3:E$1002="GBP")*(Expenses!A$3:A$1002=B102)*(Expenses!A$3:A$1002&lt;&gt;"")*Expenses!D$3:D$1002)</f>
        <v>0</v>
      </c>
      <c r="G102" s="45" t="n">
        <f aca="false">C102+D102</f>
        <v>0</v>
      </c>
      <c r="H102" s="26"/>
    </row>
    <row r="103" customFormat="false" ht="15" hidden="false" customHeight="false" outlineLevel="0" collapsed="false">
      <c r="A103" s="5" t="n">
        <v>15</v>
      </c>
      <c r="B103" s="57" t="n">
        <v>46123</v>
      </c>
      <c r="C103" s="24" t="n">
        <f aca="false">G102</f>
        <v>0</v>
      </c>
      <c r="D103" s="45" t="n">
        <f aca="false">E103-F103</f>
        <v>0</v>
      </c>
      <c r="E103" s="24" t="n">
        <f aca="false">SUMPRODUCT((Income!D$3:D$502="GBP")*(Income!A$3:A$502=B103)*(Income!A$3:A$502&lt;&gt;"")*Income!C$3:C$502)</f>
        <v>0</v>
      </c>
      <c r="F103" s="24" t="n">
        <f aca="false">SUMPRODUCT((Expenses!E$3:E$1002="GBP")*(Expenses!A$3:A$1002=B103)*(Expenses!A$3:A$1002&lt;&gt;"")*Expenses!D$3:D$1002)</f>
        <v>0</v>
      </c>
      <c r="G103" s="45" t="n">
        <f aca="false">C103+D103</f>
        <v>0</v>
      </c>
      <c r="H103" s="26"/>
    </row>
    <row r="104" customFormat="false" ht="15" hidden="false" customHeight="false" outlineLevel="0" collapsed="false">
      <c r="A104" s="5" t="n">
        <v>15</v>
      </c>
      <c r="B104" s="57" t="n">
        <v>46124</v>
      </c>
      <c r="C104" s="24" t="n">
        <f aca="false">G103</f>
        <v>0</v>
      </c>
      <c r="D104" s="45" t="n">
        <f aca="false">E104-F104</f>
        <v>0</v>
      </c>
      <c r="E104" s="24" t="n">
        <f aca="false">SUMPRODUCT((Income!D$3:D$502="GBP")*(Income!A$3:A$502=B104)*(Income!A$3:A$502&lt;&gt;"")*Income!C$3:C$502)</f>
        <v>0</v>
      </c>
      <c r="F104" s="24" t="n">
        <f aca="false">SUMPRODUCT((Expenses!E$3:E$1002="GBP")*(Expenses!A$3:A$1002=B104)*(Expenses!A$3:A$1002&lt;&gt;"")*Expenses!D$3:D$1002)</f>
        <v>0</v>
      </c>
      <c r="G104" s="45" t="n">
        <f aca="false">C104+D104</f>
        <v>0</v>
      </c>
      <c r="H104" s="26"/>
    </row>
    <row r="105" customFormat="false" ht="15" hidden="false" customHeight="false" outlineLevel="0" collapsed="false">
      <c r="A105" s="5" t="n">
        <v>16</v>
      </c>
      <c r="B105" s="57" t="n">
        <v>46125</v>
      </c>
      <c r="C105" s="24" t="n">
        <f aca="false">G104</f>
        <v>0</v>
      </c>
      <c r="D105" s="45" t="n">
        <f aca="false">E105-F105</f>
        <v>0</v>
      </c>
      <c r="E105" s="24" t="n">
        <f aca="false">SUMPRODUCT((Income!D$3:D$502="GBP")*(Income!A$3:A$502=B105)*(Income!A$3:A$502&lt;&gt;"")*Income!C$3:C$502)</f>
        <v>0</v>
      </c>
      <c r="F105" s="24" t="n">
        <f aca="false">SUMPRODUCT((Expenses!E$3:E$1002="GBP")*(Expenses!A$3:A$1002=B105)*(Expenses!A$3:A$1002&lt;&gt;"")*Expenses!D$3:D$1002)</f>
        <v>0</v>
      </c>
      <c r="G105" s="45" t="n">
        <f aca="false">C105+D105</f>
        <v>0</v>
      </c>
      <c r="H105" s="26"/>
    </row>
    <row r="106" customFormat="false" ht="15" hidden="false" customHeight="false" outlineLevel="0" collapsed="false">
      <c r="A106" s="5" t="n">
        <v>16</v>
      </c>
      <c r="B106" s="57" t="n">
        <v>46126</v>
      </c>
      <c r="C106" s="24" t="n">
        <f aca="false">G105</f>
        <v>0</v>
      </c>
      <c r="D106" s="45" t="n">
        <f aca="false">E106-F106</f>
        <v>0</v>
      </c>
      <c r="E106" s="24" t="n">
        <f aca="false">SUMPRODUCT((Income!D$3:D$502="GBP")*(Income!A$3:A$502=B106)*(Income!A$3:A$502&lt;&gt;"")*Income!C$3:C$502)</f>
        <v>0</v>
      </c>
      <c r="F106" s="24" t="n">
        <f aca="false">SUMPRODUCT((Expenses!E$3:E$1002="GBP")*(Expenses!A$3:A$1002=B106)*(Expenses!A$3:A$1002&lt;&gt;"")*Expenses!D$3:D$1002)</f>
        <v>0</v>
      </c>
      <c r="G106" s="45" t="n">
        <f aca="false">C106+D106</f>
        <v>0</v>
      </c>
      <c r="H106" s="26"/>
    </row>
    <row r="107" customFormat="false" ht="15" hidden="false" customHeight="false" outlineLevel="0" collapsed="false">
      <c r="A107" s="5" t="n">
        <v>16</v>
      </c>
      <c r="B107" s="57" t="n">
        <v>46127</v>
      </c>
      <c r="C107" s="24" t="n">
        <f aca="false">G106</f>
        <v>0</v>
      </c>
      <c r="D107" s="45" t="n">
        <f aca="false">E107-F107</f>
        <v>0</v>
      </c>
      <c r="E107" s="24" t="n">
        <f aca="false">SUMPRODUCT((Income!D$3:D$502="GBP")*(Income!A$3:A$502=B107)*(Income!A$3:A$502&lt;&gt;"")*Income!C$3:C$502)</f>
        <v>0</v>
      </c>
      <c r="F107" s="24" t="n">
        <f aca="false">SUMPRODUCT((Expenses!E$3:E$1002="GBP")*(Expenses!A$3:A$1002=B107)*(Expenses!A$3:A$1002&lt;&gt;"")*Expenses!D$3:D$1002)</f>
        <v>0</v>
      </c>
      <c r="G107" s="45" t="n">
        <f aca="false">C107+D107</f>
        <v>0</v>
      </c>
      <c r="H107" s="26"/>
    </row>
    <row r="108" customFormat="false" ht="15" hidden="false" customHeight="false" outlineLevel="0" collapsed="false">
      <c r="A108" s="5" t="n">
        <v>16</v>
      </c>
      <c r="B108" s="57" t="n">
        <v>46128</v>
      </c>
      <c r="C108" s="24" t="n">
        <f aca="false">G107</f>
        <v>0</v>
      </c>
      <c r="D108" s="45" t="n">
        <f aca="false">E108-F108</f>
        <v>0</v>
      </c>
      <c r="E108" s="24" t="n">
        <f aca="false">SUMPRODUCT((Income!D$3:D$502="GBP")*(Income!A$3:A$502=B108)*(Income!A$3:A$502&lt;&gt;"")*Income!C$3:C$502)</f>
        <v>0</v>
      </c>
      <c r="F108" s="24" t="n">
        <f aca="false">SUMPRODUCT((Expenses!E$3:E$1002="GBP")*(Expenses!A$3:A$1002=B108)*(Expenses!A$3:A$1002&lt;&gt;"")*Expenses!D$3:D$1002)</f>
        <v>0</v>
      </c>
      <c r="G108" s="45" t="n">
        <f aca="false">C108+D108</f>
        <v>0</v>
      </c>
      <c r="H108" s="26"/>
    </row>
    <row r="109" customFormat="false" ht="15" hidden="false" customHeight="false" outlineLevel="0" collapsed="false">
      <c r="A109" s="5" t="n">
        <v>16</v>
      </c>
      <c r="B109" s="57" t="n">
        <v>46129</v>
      </c>
      <c r="C109" s="24" t="n">
        <f aca="false">G108</f>
        <v>0</v>
      </c>
      <c r="D109" s="45" t="n">
        <f aca="false">E109-F109</f>
        <v>0</v>
      </c>
      <c r="E109" s="24" t="n">
        <f aca="false">SUMPRODUCT((Income!D$3:D$502="GBP")*(Income!A$3:A$502=B109)*(Income!A$3:A$502&lt;&gt;"")*Income!C$3:C$502)</f>
        <v>0</v>
      </c>
      <c r="F109" s="24" t="n">
        <f aca="false">SUMPRODUCT((Expenses!E$3:E$1002="GBP")*(Expenses!A$3:A$1002=B109)*(Expenses!A$3:A$1002&lt;&gt;"")*Expenses!D$3:D$1002)</f>
        <v>0</v>
      </c>
      <c r="G109" s="45" t="n">
        <f aca="false">C109+D109</f>
        <v>0</v>
      </c>
      <c r="H109" s="26"/>
    </row>
    <row r="110" customFormat="false" ht="15" hidden="false" customHeight="false" outlineLevel="0" collapsed="false">
      <c r="A110" s="5" t="n">
        <v>16</v>
      </c>
      <c r="B110" s="57" t="n">
        <v>46130</v>
      </c>
      <c r="C110" s="24" t="n">
        <f aca="false">G109</f>
        <v>0</v>
      </c>
      <c r="D110" s="45" t="n">
        <f aca="false">E110-F110</f>
        <v>0</v>
      </c>
      <c r="E110" s="24" t="n">
        <f aca="false">SUMPRODUCT((Income!D$3:D$502="GBP")*(Income!A$3:A$502=B110)*(Income!A$3:A$502&lt;&gt;"")*Income!C$3:C$502)</f>
        <v>0</v>
      </c>
      <c r="F110" s="24" t="n">
        <f aca="false">SUMPRODUCT((Expenses!E$3:E$1002="GBP")*(Expenses!A$3:A$1002=B110)*(Expenses!A$3:A$1002&lt;&gt;"")*Expenses!D$3:D$1002)</f>
        <v>0</v>
      </c>
      <c r="G110" s="45" t="n">
        <f aca="false">C110+D110</f>
        <v>0</v>
      </c>
      <c r="H110" s="26"/>
    </row>
    <row r="111" customFormat="false" ht="15" hidden="false" customHeight="false" outlineLevel="0" collapsed="false">
      <c r="A111" s="5" t="n">
        <v>16</v>
      </c>
      <c r="B111" s="57" t="n">
        <v>46131</v>
      </c>
      <c r="C111" s="24" t="n">
        <f aca="false">G110</f>
        <v>0</v>
      </c>
      <c r="D111" s="45" t="n">
        <f aca="false">E111-F111</f>
        <v>0</v>
      </c>
      <c r="E111" s="24" t="n">
        <f aca="false">SUMPRODUCT((Income!D$3:D$502="GBP")*(Income!A$3:A$502=B111)*(Income!A$3:A$502&lt;&gt;"")*Income!C$3:C$502)</f>
        <v>0</v>
      </c>
      <c r="F111" s="24" t="n">
        <f aca="false">SUMPRODUCT((Expenses!E$3:E$1002="GBP")*(Expenses!A$3:A$1002=B111)*(Expenses!A$3:A$1002&lt;&gt;"")*Expenses!D$3:D$1002)</f>
        <v>0</v>
      </c>
      <c r="G111" s="45" t="n">
        <f aca="false">C111+D111</f>
        <v>0</v>
      </c>
      <c r="H111" s="26"/>
    </row>
    <row r="112" customFormat="false" ht="15" hidden="false" customHeight="false" outlineLevel="0" collapsed="false">
      <c r="A112" s="5" t="n">
        <v>17</v>
      </c>
      <c r="B112" s="57" t="n">
        <v>46132</v>
      </c>
      <c r="C112" s="24" t="n">
        <f aca="false">G111</f>
        <v>0</v>
      </c>
      <c r="D112" s="45" t="n">
        <f aca="false">E112-F112</f>
        <v>0</v>
      </c>
      <c r="E112" s="24" t="n">
        <f aca="false">SUMPRODUCT((Income!D$3:D$502="GBP")*(Income!A$3:A$502=B112)*(Income!A$3:A$502&lt;&gt;"")*Income!C$3:C$502)</f>
        <v>0</v>
      </c>
      <c r="F112" s="24" t="n">
        <f aca="false">SUMPRODUCT((Expenses!E$3:E$1002="GBP")*(Expenses!A$3:A$1002=B112)*(Expenses!A$3:A$1002&lt;&gt;"")*Expenses!D$3:D$1002)</f>
        <v>0</v>
      </c>
      <c r="G112" s="45" t="n">
        <f aca="false">C112+D112</f>
        <v>0</v>
      </c>
      <c r="H112" s="26"/>
    </row>
    <row r="113" customFormat="false" ht="15" hidden="false" customHeight="false" outlineLevel="0" collapsed="false">
      <c r="A113" s="5" t="n">
        <v>17</v>
      </c>
      <c r="B113" s="57" t="n">
        <v>46133</v>
      </c>
      <c r="C113" s="24" t="n">
        <f aca="false">G112</f>
        <v>0</v>
      </c>
      <c r="D113" s="45" t="n">
        <f aca="false">E113-F113</f>
        <v>0</v>
      </c>
      <c r="E113" s="24" t="n">
        <f aca="false">SUMPRODUCT((Income!D$3:D$502="GBP")*(Income!A$3:A$502=B113)*(Income!A$3:A$502&lt;&gt;"")*Income!C$3:C$502)</f>
        <v>0</v>
      </c>
      <c r="F113" s="24" t="n">
        <f aca="false">SUMPRODUCT((Expenses!E$3:E$1002="GBP")*(Expenses!A$3:A$1002=B113)*(Expenses!A$3:A$1002&lt;&gt;"")*Expenses!D$3:D$1002)</f>
        <v>0</v>
      </c>
      <c r="G113" s="45" t="n">
        <f aca="false">C113+D113</f>
        <v>0</v>
      </c>
      <c r="H113" s="26"/>
    </row>
    <row r="114" customFormat="false" ht="15" hidden="false" customHeight="false" outlineLevel="0" collapsed="false">
      <c r="A114" s="5" t="n">
        <v>17</v>
      </c>
      <c r="B114" s="57" t="n">
        <v>46134</v>
      </c>
      <c r="C114" s="24" t="n">
        <f aca="false">G113</f>
        <v>0</v>
      </c>
      <c r="D114" s="45" t="n">
        <f aca="false">E114-F114</f>
        <v>0</v>
      </c>
      <c r="E114" s="24" t="n">
        <f aca="false">SUMPRODUCT((Income!D$3:D$502="GBP")*(Income!A$3:A$502=B114)*(Income!A$3:A$502&lt;&gt;"")*Income!C$3:C$502)</f>
        <v>0</v>
      </c>
      <c r="F114" s="24" t="n">
        <f aca="false">SUMPRODUCT((Expenses!E$3:E$1002="GBP")*(Expenses!A$3:A$1002=B114)*(Expenses!A$3:A$1002&lt;&gt;"")*Expenses!D$3:D$1002)</f>
        <v>0</v>
      </c>
      <c r="G114" s="45" t="n">
        <f aca="false">C114+D114</f>
        <v>0</v>
      </c>
      <c r="H114" s="26"/>
    </row>
    <row r="115" customFormat="false" ht="15" hidden="false" customHeight="false" outlineLevel="0" collapsed="false">
      <c r="A115" s="5" t="n">
        <v>17</v>
      </c>
      <c r="B115" s="57" t="n">
        <v>46135</v>
      </c>
      <c r="C115" s="24" t="n">
        <f aca="false">G114</f>
        <v>0</v>
      </c>
      <c r="D115" s="45" t="n">
        <f aca="false">E115-F115</f>
        <v>0</v>
      </c>
      <c r="E115" s="24" t="n">
        <f aca="false">SUMPRODUCT((Income!D$3:D$502="GBP")*(Income!A$3:A$502=B115)*(Income!A$3:A$502&lt;&gt;"")*Income!C$3:C$502)</f>
        <v>0</v>
      </c>
      <c r="F115" s="24" t="n">
        <f aca="false">SUMPRODUCT((Expenses!E$3:E$1002="GBP")*(Expenses!A$3:A$1002=B115)*(Expenses!A$3:A$1002&lt;&gt;"")*Expenses!D$3:D$1002)</f>
        <v>0</v>
      </c>
      <c r="G115" s="45" t="n">
        <f aca="false">C115+D115</f>
        <v>0</v>
      </c>
      <c r="H115" s="26"/>
    </row>
    <row r="116" customFormat="false" ht="15" hidden="false" customHeight="false" outlineLevel="0" collapsed="false">
      <c r="A116" s="5" t="n">
        <v>17</v>
      </c>
      <c r="B116" s="57" t="n">
        <v>46136</v>
      </c>
      <c r="C116" s="24" t="n">
        <f aca="false">G115</f>
        <v>0</v>
      </c>
      <c r="D116" s="45" t="n">
        <f aca="false">E116-F116</f>
        <v>0</v>
      </c>
      <c r="E116" s="24" t="n">
        <f aca="false">SUMPRODUCT((Income!D$3:D$502="GBP")*(Income!A$3:A$502=B116)*(Income!A$3:A$502&lt;&gt;"")*Income!C$3:C$502)</f>
        <v>0</v>
      </c>
      <c r="F116" s="24" t="n">
        <f aca="false">SUMPRODUCT((Expenses!E$3:E$1002="GBP")*(Expenses!A$3:A$1002=B116)*(Expenses!A$3:A$1002&lt;&gt;"")*Expenses!D$3:D$1002)</f>
        <v>0</v>
      </c>
      <c r="G116" s="45" t="n">
        <f aca="false">C116+D116</f>
        <v>0</v>
      </c>
      <c r="H116" s="26"/>
    </row>
    <row r="117" customFormat="false" ht="15" hidden="false" customHeight="false" outlineLevel="0" collapsed="false">
      <c r="A117" s="5" t="n">
        <v>17</v>
      </c>
      <c r="B117" s="57" t="n">
        <v>46137</v>
      </c>
      <c r="C117" s="24" t="n">
        <f aca="false">G116</f>
        <v>0</v>
      </c>
      <c r="D117" s="45" t="n">
        <f aca="false">E117-F117</f>
        <v>0</v>
      </c>
      <c r="E117" s="24" t="n">
        <f aca="false">SUMPRODUCT((Income!D$3:D$502="GBP")*(Income!A$3:A$502=B117)*(Income!A$3:A$502&lt;&gt;"")*Income!C$3:C$502)</f>
        <v>0</v>
      </c>
      <c r="F117" s="24" t="n">
        <f aca="false">SUMPRODUCT((Expenses!E$3:E$1002="GBP")*(Expenses!A$3:A$1002=B117)*(Expenses!A$3:A$1002&lt;&gt;"")*Expenses!D$3:D$1002)</f>
        <v>0</v>
      </c>
      <c r="G117" s="45" t="n">
        <f aca="false">C117+D117</f>
        <v>0</v>
      </c>
      <c r="H117" s="26"/>
    </row>
    <row r="118" customFormat="false" ht="15" hidden="false" customHeight="false" outlineLevel="0" collapsed="false">
      <c r="A118" s="5" t="n">
        <v>17</v>
      </c>
      <c r="B118" s="57" t="n">
        <v>46138</v>
      </c>
      <c r="C118" s="24" t="n">
        <f aca="false">G117</f>
        <v>0</v>
      </c>
      <c r="D118" s="45" t="n">
        <f aca="false">E118-F118</f>
        <v>0</v>
      </c>
      <c r="E118" s="24" t="n">
        <f aca="false">SUMPRODUCT((Income!D$3:D$502="GBP")*(Income!A$3:A$502=B118)*(Income!A$3:A$502&lt;&gt;"")*Income!C$3:C$502)</f>
        <v>0</v>
      </c>
      <c r="F118" s="24" t="n">
        <f aca="false">SUMPRODUCT((Expenses!E$3:E$1002="GBP")*(Expenses!A$3:A$1002=B118)*(Expenses!A$3:A$1002&lt;&gt;"")*Expenses!D$3:D$1002)</f>
        <v>0</v>
      </c>
      <c r="G118" s="45" t="n">
        <f aca="false">C118+D118</f>
        <v>0</v>
      </c>
      <c r="H118" s="26"/>
    </row>
    <row r="119" customFormat="false" ht="15" hidden="false" customHeight="false" outlineLevel="0" collapsed="false">
      <c r="A119" s="5" t="n">
        <v>18</v>
      </c>
      <c r="B119" s="57" t="n">
        <v>46139</v>
      </c>
      <c r="C119" s="24" t="n">
        <f aca="false">G118</f>
        <v>0</v>
      </c>
      <c r="D119" s="45" t="n">
        <f aca="false">E119-F119</f>
        <v>0</v>
      </c>
      <c r="E119" s="24" t="n">
        <f aca="false">SUMPRODUCT((Income!D$3:D$502="GBP")*(Income!A$3:A$502=B119)*(Income!A$3:A$502&lt;&gt;"")*Income!C$3:C$502)</f>
        <v>0</v>
      </c>
      <c r="F119" s="24" t="n">
        <f aca="false">SUMPRODUCT((Expenses!E$3:E$1002="GBP")*(Expenses!A$3:A$1002=B119)*(Expenses!A$3:A$1002&lt;&gt;"")*Expenses!D$3:D$1002)</f>
        <v>0</v>
      </c>
      <c r="G119" s="45" t="n">
        <f aca="false">C119+D119</f>
        <v>0</v>
      </c>
      <c r="H119" s="26"/>
    </row>
    <row r="120" customFormat="false" ht="15" hidden="false" customHeight="false" outlineLevel="0" collapsed="false">
      <c r="A120" s="5" t="n">
        <v>18</v>
      </c>
      <c r="B120" s="57" t="n">
        <v>46140</v>
      </c>
      <c r="C120" s="24" t="n">
        <f aca="false">G119</f>
        <v>0</v>
      </c>
      <c r="D120" s="45" t="n">
        <f aca="false">E120-F120</f>
        <v>0</v>
      </c>
      <c r="E120" s="24" t="n">
        <f aca="false">SUMPRODUCT((Income!D$3:D$502="GBP")*(Income!A$3:A$502=B120)*(Income!A$3:A$502&lt;&gt;"")*Income!C$3:C$502)</f>
        <v>0</v>
      </c>
      <c r="F120" s="24" t="n">
        <f aca="false">SUMPRODUCT((Expenses!E$3:E$1002="GBP")*(Expenses!A$3:A$1002=B120)*(Expenses!A$3:A$1002&lt;&gt;"")*Expenses!D$3:D$1002)</f>
        <v>0</v>
      </c>
      <c r="G120" s="45" t="n">
        <f aca="false">C120+D120</f>
        <v>0</v>
      </c>
      <c r="H120" s="26"/>
    </row>
    <row r="121" customFormat="false" ht="15" hidden="false" customHeight="false" outlineLevel="0" collapsed="false">
      <c r="A121" s="5" t="n">
        <v>18</v>
      </c>
      <c r="B121" s="57" t="n">
        <v>46141</v>
      </c>
      <c r="C121" s="24" t="n">
        <f aca="false">G120</f>
        <v>0</v>
      </c>
      <c r="D121" s="45" t="n">
        <f aca="false">E121-F121</f>
        <v>0</v>
      </c>
      <c r="E121" s="24" t="n">
        <f aca="false">SUMPRODUCT((Income!D$3:D$502="GBP")*(Income!A$3:A$502=B121)*(Income!A$3:A$502&lt;&gt;"")*Income!C$3:C$502)</f>
        <v>0</v>
      </c>
      <c r="F121" s="24" t="n">
        <f aca="false">SUMPRODUCT((Expenses!E$3:E$1002="GBP")*(Expenses!A$3:A$1002=B121)*(Expenses!A$3:A$1002&lt;&gt;"")*Expenses!D$3:D$1002)</f>
        <v>0</v>
      </c>
      <c r="G121" s="45" t="n">
        <f aca="false">C121+D121</f>
        <v>0</v>
      </c>
      <c r="H121" s="26"/>
    </row>
    <row r="122" customFormat="false" ht="15" hidden="false" customHeight="false" outlineLevel="0" collapsed="false">
      <c r="A122" s="5" t="n">
        <v>18</v>
      </c>
      <c r="B122" s="57" t="n">
        <v>46142</v>
      </c>
      <c r="C122" s="24" t="n">
        <f aca="false">G121</f>
        <v>0</v>
      </c>
      <c r="D122" s="45" t="n">
        <f aca="false">E122-F122</f>
        <v>0</v>
      </c>
      <c r="E122" s="24" t="n">
        <f aca="false">SUMPRODUCT((Income!D$3:D$502="GBP")*(Income!A$3:A$502=B122)*(Income!A$3:A$502&lt;&gt;"")*Income!C$3:C$502)</f>
        <v>0</v>
      </c>
      <c r="F122" s="24" t="n">
        <f aca="false">SUMPRODUCT((Expenses!E$3:E$1002="GBP")*(Expenses!A$3:A$1002=B122)*(Expenses!A$3:A$1002&lt;&gt;"")*Expenses!D$3:D$1002)</f>
        <v>0</v>
      </c>
      <c r="G122" s="45" t="n">
        <f aca="false">C122+D122</f>
        <v>0</v>
      </c>
      <c r="H122" s="26"/>
    </row>
    <row r="123" customFormat="false" ht="15" hidden="false" customHeight="false" outlineLevel="0" collapsed="false">
      <c r="A123" s="5" t="n">
        <v>18</v>
      </c>
      <c r="B123" s="57" t="n">
        <v>46143</v>
      </c>
      <c r="C123" s="24" t="n">
        <f aca="false">G122</f>
        <v>0</v>
      </c>
      <c r="D123" s="45" t="n">
        <f aca="false">E123-F123</f>
        <v>0</v>
      </c>
      <c r="E123" s="24" t="n">
        <f aca="false">SUMPRODUCT((Income!D$3:D$502="GBP")*(Income!A$3:A$502=B123)*(Income!A$3:A$502&lt;&gt;"")*Income!C$3:C$502)</f>
        <v>0</v>
      </c>
      <c r="F123" s="24" t="n">
        <f aca="false">SUMPRODUCT((Expenses!E$3:E$1002="GBP")*(Expenses!A$3:A$1002=B123)*(Expenses!A$3:A$1002&lt;&gt;"")*Expenses!D$3:D$1002)</f>
        <v>0</v>
      </c>
      <c r="G123" s="45" t="n">
        <f aca="false">C123+D123</f>
        <v>0</v>
      </c>
      <c r="H123" s="26"/>
    </row>
    <row r="124" customFormat="false" ht="15" hidden="false" customHeight="false" outlineLevel="0" collapsed="false">
      <c r="A124" s="5" t="n">
        <v>18</v>
      </c>
      <c r="B124" s="57" t="n">
        <v>46144</v>
      </c>
      <c r="C124" s="24" t="n">
        <f aca="false">G123</f>
        <v>0</v>
      </c>
      <c r="D124" s="45" t="n">
        <f aca="false">E124-F124</f>
        <v>0</v>
      </c>
      <c r="E124" s="24" t="n">
        <f aca="false">SUMPRODUCT((Income!D$3:D$502="GBP")*(Income!A$3:A$502=B124)*(Income!A$3:A$502&lt;&gt;"")*Income!C$3:C$502)</f>
        <v>0</v>
      </c>
      <c r="F124" s="24" t="n">
        <f aca="false">SUMPRODUCT((Expenses!E$3:E$1002="GBP")*(Expenses!A$3:A$1002=B124)*(Expenses!A$3:A$1002&lt;&gt;"")*Expenses!D$3:D$1002)</f>
        <v>0</v>
      </c>
      <c r="G124" s="45" t="n">
        <f aca="false">C124+D124</f>
        <v>0</v>
      </c>
      <c r="H124" s="26"/>
    </row>
    <row r="125" customFormat="false" ht="15" hidden="false" customHeight="false" outlineLevel="0" collapsed="false">
      <c r="A125" s="5" t="n">
        <v>18</v>
      </c>
      <c r="B125" s="57" t="n">
        <v>46145</v>
      </c>
      <c r="C125" s="24" t="n">
        <f aca="false">G124</f>
        <v>0</v>
      </c>
      <c r="D125" s="45" t="n">
        <f aca="false">E125-F125</f>
        <v>0</v>
      </c>
      <c r="E125" s="24" t="n">
        <f aca="false">SUMPRODUCT((Income!D$3:D$502="GBP")*(Income!A$3:A$502=B125)*(Income!A$3:A$502&lt;&gt;"")*Income!C$3:C$502)</f>
        <v>0</v>
      </c>
      <c r="F125" s="24" t="n">
        <f aca="false">SUMPRODUCT((Expenses!E$3:E$1002="GBP")*(Expenses!A$3:A$1002=B125)*(Expenses!A$3:A$1002&lt;&gt;"")*Expenses!D$3:D$1002)</f>
        <v>0</v>
      </c>
      <c r="G125" s="45" t="n">
        <f aca="false">C125+D125</f>
        <v>0</v>
      </c>
      <c r="H125" s="26"/>
    </row>
    <row r="126" customFormat="false" ht="15" hidden="false" customHeight="false" outlineLevel="0" collapsed="false">
      <c r="A126" s="5" t="n">
        <v>19</v>
      </c>
      <c r="B126" s="57" t="n">
        <v>46146</v>
      </c>
      <c r="C126" s="24" t="n">
        <f aca="false">G125</f>
        <v>0</v>
      </c>
      <c r="D126" s="45" t="n">
        <f aca="false">E126-F126</f>
        <v>0</v>
      </c>
      <c r="E126" s="24" t="n">
        <f aca="false">SUMPRODUCT((Income!D$3:D$502="GBP")*(Income!A$3:A$502=B126)*(Income!A$3:A$502&lt;&gt;"")*Income!C$3:C$502)</f>
        <v>0</v>
      </c>
      <c r="F126" s="24" t="n">
        <f aca="false">SUMPRODUCT((Expenses!E$3:E$1002="GBP")*(Expenses!A$3:A$1002=B126)*(Expenses!A$3:A$1002&lt;&gt;"")*Expenses!D$3:D$1002)</f>
        <v>0</v>
      </c>
      <c r="G126" s="45" t="n">
        <f aca="false">C126+D126</f>
        <v>0</v>
      </c>
      <c r="H126" s="26"/>
    </row>
    <row r="127" customFormat="false" ht="15" hidden="false" customHeight="false" outlineLevel="0" collapsed="false">
      <c r="A127" s="5" t="n">
        <v>19</v>
      </c>
      <c r="B127" s="57" t="n">
        <v>46147</v>
      </c>
      <c r="C127" s="24" t="n">
        <f aca="false">G126</f>
        <v>0</v>
      </c>
      <c r="D127" s="45" t="n">
        <f aca="false">E127-F127</f>
        <v>0</v>
      </c>
      <c r="E127" s="24" t="n">
        <f aca="false">SUMPRODUCT((Income!D$3:D$502="GBP")*(Income!A$3:A$502=B127)*(Income!A$3:A$502&lt;&gt;"")*Income!C$3:C$502)</f>
        <v>0</v>
      </c>
      <c r="F127" s="24" t="n">
        <f aca="false">SUMPRODUCT((Expenses!E$3:E$1002="GBP")*(Expenses!A$3:A$1002=B127)*(Expenses!A$3:A$1002&lt;&gt;"")*Expenses!D$3:D$1002)</f>
        <v>0</v>
      </c>
      <c r="G127" s="45" t="n">
        <f aca="false">C127+D127</f>
        <v>0</v>
      </c>
      <c r="H127" s="26"/>
    </row>
    <row r="128" customFormat="false" ht="15" hidden="false" customHeight="false" outlineLevel="0" collapsed="false">
      <c r="A128" s="5" t="n">
        <v>19</v>
      </c>
      <c r="B128" s="57" t="n">
        <v>46148</v>
      </c>
      <c r="C128" s="24" t="n">
        <f aca="false">G127</f>
        <v>0</v>
      </c>
      <c r="D128" s="45" t="n">
        <f aca="false">E128-F128</f>
        <v>0</v>
      </c>
      <c r="E128" s="24" t="n">
        <f aca="false">SUMPRODUCT((Income!D$3:D$502="GBP")*(Income!A$3:A$502=B128)*(Income!A$3:A$502&lt;&gt;"")*Income!C$3:C$502)</f>
        <v>0</v>
      </c>
      <c r="F128" s="24" t="n">
        <f aca="false">SUMPRODUCT((Expenses!E$3:E$1002="GBP")*(Expenses!A$3:A$1002=B128)*(Expenses!A$3:A$1002&lt;&gt;"")*Expenses!D$3:D$1002)</f>
        <v>0</v>
      </c>
      <c r="G128" s="45" t="n">
        <f aca="false">C128+D128</f>
        <v>0</v>
      </c>
      <c r="H128" s="26"/>
    </row>
    <row r="129" customFormat="false" ht="15" hidden="false" customHeight="false" outlineLevel="0" collapsed="false">
      <c r="A129" s="5" t="n">
        <v>19</v>
      </c>
      <c r="B129" s="57" t="n">
        <v>46149</v>
      </c>
      <c r="C129" s="24" t="n">
        <f aca="false">G128</f>
        <v>0</v>
      </c>
      <c r="D129" s="45" t="n">
        <f aca="false">E129-F129</f>
        <v>0</v>
      </c>
      <c r="E129" s="24" t="n">
        <f aca="false">SUMPRODUCT((Income!D$3:D$502="GBP")*(Income!A$3:A$502=B129)*(Income!A$3:A$502&lt;&gt;"")*Income!C$3:C$502)</f>
        <v>0</v>
      </c>
      <c r="F129" s="24" t="n">
        <f aca="false">SUMPRODUCT((Expenses!E$3:E$1002="GBP")*(Expenses!A$3:A$1002=B129)*(Expenses!A$3:A$1002&lt;&gt;"")*Expenses!D$3:D$1002)</f>
        <v>0</v>
      </c>
      <c r="G129" s="45" t="n">
        <f aca="false">C129+D129</f>
        <v>0</v>
      </c>
      <c r="H129" s="26"/>
    </row>
    <row r="130" customFormat="false" ht="15" hidden="false" customHeight="false" outlineLevel="0" collapsed="false">
      <c r="A130" s="5" t="n">
        <v>19</v>
      </c>
      <c r="B130" s="57" t="n">
        <v>46150</v>
      </c>
      <c r="C130" s="24" t="n">
        <f aca="false">G129</f>
        <v>0</v>
      </c>
      <c r="D130" s="45" t="n">
        <f aca="false">E130-F130</f>
        <v>0</v>
      </c>
      <c r="E130" s="24" t="n">
        <f aca="false">SUMPRODUCT((Income!D$3:D$502="GBP")*(Income!A$3:A$502=B130)*(Income!A$3:A$502&lt;&gt;"")*Income!C$3:C$502)</f>
        <v>0</v>
      </c>
      <c r="F130" s="24" t="n">
        <f aca="false">SUMPRODUCT((Expenses!E$3:E$1002="GBP")*(Expenses!A$3:A$1002=B130)*(Expenses!A$3:A$1002&lt;&gt;"")*Expenses!D$3:D$1002)</f>
        <v>0</v>
      </c>
      <c r="G130" s="45" t="n">
        <f aca="false">C130+D130</f>
        <v>0</v>
      </c>
      <c r="H130" s="26"/>
    </row>
    <row r="131" customFormat="false" ht="15" hidden="false" customHeight="false" outlineLevel="0" collapsed="false">
      <c r="A131" s="5" t="n">
        <v>19</v>
      </c>
      <c r="B131" s="57" t="n">
        <v>46151</v>
      </c>
      <c r="C131" s="24" t="n">
        <f aca="false">G130</f>
        <v>0</v>
      </c>
      <c r="D131" s="45" t="n">
        <f aca="false">E131-F131</f>
        <v>0</v>
      </c>
      <c r="E131" s="24" t="n">
        <f aca="false">SUMPRODUCT((Income!D$3:D$502="GBP")*(Income!A$3:A$502=B131)*(Income!A$3:A$502&lt;&gt;"")*Income!C$3:C$502)</f>
        <v>0</v>
      </c>
      <c r="F131" s="24" t="n">
        <f aca="false">SUMPRODUCT((Expenses!E$3:E$1002="GBP")*(Expenses!A$3:A$1002=B131)*(Expenses!A$3:A$1002&lt;&gt;"")*Expenses!D$3:D$1002)</f>
        <v>0</v>
      </c>
      <c r="G131" s="45" t="n">
        <f aca="false">C131+D131</f>
        <v>0</v>
      </c>
      <c r="H131" s="26"/>
    </row>
    <row r="132" customFormat="false" ht="15" hidden="false" customHeight="false" outlineLevel="0" collapsed="false">
      <c r="A132" s="5" t="n">
        <v>19</v>
      </c>
      <c r="B132" s="57" t="n">
        <v>46152</v>
      </c>
      <c r="C132" s="24" t="n">
        <f aca="false">G131</f>
        <v>0</v>
      </c>
      <c r="D132" s="45" t="n">
        <f aca="false">E132-F132</f>
        <v>0</v>
      </c>
      <c r="E132" s="24" t="n">
        <f aca="false">SUMPRODUCT((Income!D$3:D$502="GBP")*(Income!A$3:A$502=B132)*(Income!A$3:A$502&lt;&gt;"")*Income!C$3:C$502)</f>
        <v>0</v>
      </c>
      <c r="F132" s="24" t="n">
        <f aca="false">SUMPRODUCT((Expenses!E$3:E$1002="GBP")*(Expenses!A$3:A$1002=B132)*(Expenses!A$3:A$1002&lt;&gt;"")*Expenses!D$3:D$1002)</f>
        <v>0</v>
      </c>
      <c r="G132" s="45" t="n">
        <f aca="false">C132+D132</f>
        <v>0</v>
      </c>
      <c r="H132" s="26"/>
    </row>
    <row r="133" customFormat="false" ht="15" hidden="false" customHeight="false" outlineLevel="0" collapsed="false">
      <c r="A133" s="5" t="n">
        <v>20</v>
      </c>
      <c r="B133" s="57" t="n">
        <v>46153</v>
      </c>
      <c r="C133" s="24" t="n">
        <f aca="false">G132</f>
        <v>0</v>
      </c>
      <c r="D133" s="45" t="n">
        <f aca="false">E133-F133</f>
        <v>0</v>
      </c>
      <c r="E133" s="24" t="n">
        <f aca="false">SUMPRODUCT((Income!D$3:D$502="GBP")*(Income!A$3:A$502=B133)*(Income!A$3:A$502&lt;&gt;"")*Income!C$3:C$502)</f>
        <v>0</v>
      </c>
      <c r="F133" s="24" t="n">
        <f aca="false">SUMPRODUCT((Expenses!E$3:E$1002="GBP")*(Expenses!A$3:A$1002=B133)*(Expenses!A$3:A$1002&lt;&gt;"")*Expenses!D$3:D$1002)</f>
        <v>0</v>
      </c>
      <c r="G133" s="45" t="n">
        <f aca="false">C133+D133</f>
        <v>0</v>
      </c>
      <c r="H133" s="26"/>
    </row>
    <row r="134" customFormat="false" ht="15" hidden="false" customHeight="false" outlineLevel="0" collapsed="false">
      <c r="A134" s="5" t="n">
        <v>20</v>
      </c>
      <c r="B134" s="57" t="n">
        <v>46154</v>
      </c>
      <c r="C134" s="24" t="n">
        <f aca="false">G133</f>
        <v>0</v>
      </c>
      <c r="D134" s="45" t="n">
        <f aca="false">E134-F134</f>
        <v>0</v>
      </c>
      <c r="E134" s="24" t="n">
        <f aca="false">SUMPRODUCT((Income!D$3:D$502="GBP")*(Income!A$3:A$502=B134)*(Income!A$3:A$502&lt;&gt;"")*Income!C$3:C$502)</f>
        <v>0</v>
      </c>
      <c r="F134" s="24" t="n">
        <f aca="false">SUMPRODUCT((Expenses!E$3:E$1002="GBP")*(Expenses!A$3:A$1002=B134)*(Expenses!A$3:A$1002&lt;&gt;"")*Expenses!D$3:D$1002)</f>
        <v>0</v>
      </c>
      <c r="G134" s="45" t="n">
        <f aca="false">C134+D134</f>
        <v>0</v>
      </c>
      <c r="H134" s="26"/>
    </row>
    <row r="135" customFormat="false" ht="15" hidden="false" customHeight="false" outlineLevel="0" collapsed="false">
      <c r="A135" s="5" t="n">
        <v>20</v>
      </c>
      <c r="B135" s="57" t="n">
        <v>46155</v>
      </c>
      <c r="C135" s="24" t="n">
        <f aca="false">G134</f>
        <v>0</v>
      </c>
      <c r="D135" s="45" t="n">
        <f aca="false">E135-F135</f>
        <v>0</v>
      </c>
      <c r="E135" s="24" t="n">
        <f aca="false">SUMPRODUCT((Income!D$3:D$502="GBP")*(Income!A$3:A$502=B135)*(Income!A$3:A$502&lt;&gt;"")*Income!C$3:C$502)</f>
        <v>0</v>
      </c>
      <c r="F135" s="24" t="n">
        <f aca="false">SUMPRODUCT((Expenses!E$3:E$1002="GBP")*(Expenses!A$3:A$1002=B135)*(Expenses!A$3:A$1002&lt;&gt;"")*Expenses!D$3:D$1002)</f>
        <v>0</v>
      </c>
      <c r="G135" s="45" t="n">
        <f aca="false">C135+D135</f>
        <v>0</v>
      </c>
      <c r="H135" s="26"/>
    </row>
    <row r="136" customFormat="false" ht="15" hidden="false" customHeight="false" outlineLevel="0" collapsed="false">
      <c r="A136" s="5" t="n">
        <v>20</v>
      </c>
      <c r="B136" s="57" t="n">
        <v>46156</v>
      </c>
      <c r="C136" s="24" t="n">
        <f aca="false">G135</f>
        <v>0</v>
      </c>
      <c r="D136" s="45" t="n">
        <f aca="false">E136-F136</f>
        <v>0</v>
      </c>
      <c r="E136" s="24" t="n">
        <f aca="false">SUMPRODUCT((Income!D$3:D$502="GBP")*(Income!A$3:A$502=B136)*(Income!A$3:A$502&lt;&gt;"")*Income!C$3:C$502)</f>
        <v>0</v>
      </c>
      <c r="F136" s="24" t="n">
        <f aca="false">SUMPRODUCT((Expenses!E$3:E$1002="GBP")*(Expenses!A$3:A$1002=B136)*(Expenses!A$3:A$1002&lt;&gt;"")*Expenses!D$3:D$1002)</f>
        <v>0</v>
      </c>
      <c r="G136" s="45" t="n">
        <f aca="false">C136+D136</f>
        <v>0</v>
      </c>
      <c r="H136" s="26"/>
    </row>
    <row r="137" customFormat="false" ht="15" hidden="false" customHeight="false" outlineLevel="0" collapsed="false">
      <c r="A137" s="5" t="n">
        <v>20</v>
      </c>
      <c r="B137" s="57" t="n">
        <v>46157</v>
      </c>
      <c r="C137" s="24" t="n">
        <f aca="false">G136</f>
        <v>0</v>
      </c>
      <c r="D137" s="45" t="n">
        <f aca="false">E137-F137</f>
        <v>0</v>
      </c>
      <c r="E137" s="24" t="n">
        <f aca="false">SUMPRODUCT((Income!D$3:D$502="GBP")*(Income!A$3:A$502=B137)*(Income!A$3:A$502&lt;&gt;"")*Income!C$3:C$502)</f>
        <v>0</v>
      </c>
      <c r="F137" s="24" t="n">
        <f aca="false">SUMPRODUCT((Expenses!E$3:E$1002="GBP")*(Expenses!A$3:A$1002=B137)*(Expenses!A$3:A$1002&lt;&gt;"")*Expenses!D$3:D$1002)</f>
        <v>0</v>
      </c>
      <c r="G137" s="45" t="n">
        <f aca="false">C137+D137</f>
        <v>0</v>
      </c>
      <c r="H137" s="26"/>
    </row>
    <row r="138" customFormat="false" ht="15" hidden="false" customHeight="false" outlineLevel="0" collapsed="false">
      <c r="A138" s="5" t="n">
        <v>20</v>
      </c>
      <c r="B138" s="57" t="n">
        <v>46158</v>
      </c>
      <c r="C138" s="24" t="n">
        <f aca="false">G137</f>
        <v>0</v>
      </c>
      <c r="D138" s="45" t="n">
        <f aca="false">E138-F138</f>
        <v>0</v>
      </c>
      <c r="E138" s="24" t="n">
        <f aca="false">SUMPRODUCT((Income!D$3:D$502="GBP")*(Income!A$3:A$502=B138)*(Income!A$3:A$502&lt;&gt;"")*Income!C$3:C$502)</f>
        <v>0</v>
      </c>
      <c r="F138" s="24" t="n">
        <f aca="false">SUMPRODUCT((Expenses!E$3:E$1002="GBP")*(Expenses!A$3:A$1002=B138)*(Expenses!A$3:A$1002&lt;&gt;"")*Expenses!D$3:D$1002)</f>
        <v>0</v>
      </c>
      <c r="G138" s="45" t="n">
        <f aca="false">C138+D138</f>
        <v>0</v>
      </c>
      <c r="H138" s="26"/>
    </row>
    <row r="139" customFormat="false" ht="15" hidden="false" customHeight="false" outlineLevel="0" collapsed="false">
      <c r="A139" s="5" t="n">
        <v>20</v>
      </c>
      <c r="B139" s="57" t="n">
        <v>46159</v>
      </c>
      <c r="C139" s="24" t="n">
        <f aca="false">G138</f>
        <v>0</v>
      </c>
      <c r="D139" s="45" t="n">
        <f aca="false">E139-F139</f>
        <v>0</v>
      </c>
      <c r="E139" s="24" t="n">
        <f aca="false">SUMPRODUCT((Income!D$3:D$502="GBP")*(Income!A$3:A$502=B139)*(Income!A$3:A$502&lt;&gt;"")*Income!C$3:C$502)</f>
        <v>0</v>
      </c>
      <c r="F139" s="24" t="n">
        <f aca="false">SUMPRODUCT((Expenses!E$3:E$1002="GBP")*(Expenses!A$3:A$1002=B139)*(Expenses!A$3:A$1002&lt;&gt;"")*Expenses!D$3:D$1002)</f>
        <v>0</v>
      </c>
      <c r="G139" s="45" t="n">
        <f aca="false">C139+D139</f>
        <v>0</v>
      </c>
      <c r="H139" s="26"/>
    </row>
    <row r="140" customFormat="false" ht="15" hidden="false" customHeight="false" outlineLevel="0" collapsed="false">
      <c r="A140" s="5" t="n">
        <v>21</v>
      </c>
      <c r="B140" s="57" t="n">
        <v>46160</v>
      </c>
      <c r="C140" s="24" t="n">
        <f aca="false">G139</f>
        <v>0</v>
      </c>
      <c r="D140" s="45" t="n">
        <f aca="false">E140-F140</f>
        <v>0</v>
      </c>
      <c r="E140" s="24" t="n">
        <f aca="false">SUMPRODUCT((Income!D$3:D$502="GBP")*(Income!A$3:A$502=B140)*(Income!A$3:A$502&lt;&gt;"")*Income!C$3:C$502)</f>
        <v>0</v>
      </c>
      <c r="F140" s="24" t="n">
        <f aca="false">SUMPRODUCT((Expenses!E$3:E$1002="GBP")*(Expenses!A$3:A$1002=B140)*(Expenses!A$3:A$1002&lt;&gt;"")*Expenses!D$3:D$1002)</f>
        <v>0</v>
      </c>
      <c r="G140" s="45" t="n">
        <f aca="false">C140+D140</f>
        <v>0</v>
      </c>
      <c r="H140" s="26"/>
    </row>
    <row r="141" customFormat="false" ht="15" hidden="false" customHeight="false" outlineLevel="0" collapsed="false">
      <c r="A141" s="5" t="n">
        <v>21</v>
      </c>
      <c r="B141" s="57" t="n">
        <v>46161</v>
      </c>
      <c r="C141" s="24" t="n">
        <f aca="false">G140</f>
        <v>0</v>
      </c>
      <c r="D141" s="45" t="n">
        <f aca="false">E141-F141</f>
        <v>0</v>
      </c>
      <c r="E141" s="24" t="n">
        <f aca="false">SUMPRODUCT((Income!D$3:D$502="GBP")*(Income!A$3:A$502=B141)*(Income!A$3:A$502&lt;&gt;"")*Income!C$3:C$502)</f>
        <v>0</v>
      </c>
      <c r="F141" s="24" t="n">
        <f aca="false">SUMPRODUCT((Expenses!E$3:E$1002="GBP")*(Expenses!A$3:A$1002=B141)*(Expenses!A$3:A$1002&lt;&gt;"")*Expenses!D$3:D$1002)</f>
        <v>0</v>
      </c>
      <c r="G141" s="45" t="n">
        <f aca="false">C141+D141</f>
        <v>0</v>
      </c>
      <c r="H141" s="26"/>
    </row>
    <row r="142" customFormat="false" ht="15" hidden="false" customHeight="false" outlineLevel="0" collapsed="false">
      <c r="A142" s="5" t="n">
        <v>21</v>
      </c>
      <c r="B142" s="57" t="n">
        <v>46162</v>
      </c>
      <c r="C142" s="24" t="n">
        <f aca="false">G141</f>
        <v>0</v>
      </c>
      <c r="D142" s="45" t="n">
        <f aca="false">E142-F142</f>
        <v>0</v>
      </c>
      <c r="E142" s="24" t="n">
        <f aca="false">SUMPRODUCT((Income!D$3:D$502="GBP")*(Income!A$3:A$502=B142)*(Income!A$3:A$502&lt;&gt;"")*Income!C$3:C$502)</f>
        <v>0</v>
      </c>
      <c r="F142" s="24" t="n">
        <f aca="false">SUMPRODUCT((Expenses!E$3:E$1002="GBP")*(Expenses!A$3:A$1002=B142)*(Expenses!A$3:A$1002&lt;&gt;"")*Expenses!D$3:D$1002)</f>
        <v>0</v>
      </c>
      <c r="G142" s="45" t="n">
        <f aca="false">C142+D142</f>
        <v>0</v>
      </c>
      <c r="H142" s="26"/>
    </row>
    <row r="143" customFormat="false" ht="15" hidden="false" customHeight="false" outlineLevel="0" collapsed="false">
      <c r="A143" s="5" t="n">
        <v>21</v>
      </c>
      <c r="B143" s="57" t="n">
        <v>46163</v>
      </c>
      <c r="C143" s="24" t="n">
        <f aca="false">G142</f>
        <v>0</v>
      </c>
      <c r="D143" s="45" t="n">
        <f aca="false">E143-F143</f>
        <v>0</v>
      </c>
      <c r="E143" s="24" t="n">
        <f aca="false">SUMPRODUCT((Income!D$3:D$502="GBP")*(Income!A$3:A$502=B143)*(Income!A$3:A$502&lt;&gt;"")*Income!C$3:C$502)</f>
        <v>0</v>
      </c>
      <c r="F143" s="24" t="n">
        <f aca="false">SUMPRODUCT((Expenses!E$3:E$1002="GBP")*(Expenses!A$3:A$1002=B143)*(Expenses!A$3:A$1002&lt;&gt;"")*Expenses!D$3:D$1002)</f>
        <v>0</v>
      </c>
      <c r="G143" s="45" t="n">
        <f aca="false">C143+D143</f>
        <v>0</v>
      </c>
      <c r="H143" s="26"/>
    </row>
    <row r="144" customFormat="false" ht="15" hidden="false" customHeight="false" outlineLevel="0" collapsed="false">
      <c r="A144" s="5" t="n">
        <v>21</v>
      </c>
      <c r="B144" s="57" t="n">
        <v>46164</v>
      </c>
      <c r="C144" s="24" t="n">
        <f aca="false">G143</f>
        <v>0</v>
      </c>
      <c r="D144" s="45" t="n">
        <f aca="false">E144-F144</f>
        <v>0</v>
      </c>
      <c r="E144" s="24" t="n">
        <f aca="false">SUMPRODUCT((Income!D$3:D$502="GBP")*(Income!A$3:A$502=B144)*(Income!A$3:A$502&lt;&gt;"")*Income!C$3:C$502)</f>
        <v>0</v>
      </c>
      <c r="F144" s="24" t="n">
        <f aca="false">SUMPRODUCT((Expenses!E$3:E$1002="GBP")*(Expenses!A$3:A$1002=B144)*(Expenses!A$3:A$1002&lt;&gt;"")*Expenses!D$3:D$1002)</f>
        <v>0</v>
      </c>
      <c r="G144" s="45" t="n">
        <f aca="false">C144+D144</f>
        <v>0</v>
      </c>
      <c r="H144" s="26"/>
    </row>
    <row r="145" customFormat="false" ht="15" hidden="false" customHeight="false" outlineLevel="0" collapsed="false">
      <c r="A145" s="5" t="n">
        <v>21</v>
      </c>
      <c r="B145" s="57" t="n">
        <v>46165</v>
      </c>
      <c r="C145" s="24" t="n">
        <f aca="false">G144</f>
        <v>0</v>
      </c>
      <c r="D145" s="45" t="n">
        <f aca="false">E145-F145</f>
        <v>0</v>
      </c>
      <c r="E145" s="24" t="n">
        <f aca="false">SUMPRODUCT((Income!D$3:D$502="GBP")*(Income!A$3:A$502=B145)*(Income!A$3:A$502&lt;&gt;"")*Income!C$3:C$502)</f>
        <v>0</v>
      </c>
      <c r="F145" s="24" t="n">
        <f aca="false">SUMPRODUCT((Expenses!E$3:E$1002="GBP")*(Expenses!A$3:A$1002=B145)*(Expenses!A$3:A$1002&lt;&gt;"")*Expenses!D$3:D$1002)</f>
        <v>0</v>
      </c>
      <c r="G145" s="45" t="n">
        <f aca="false">C145+D145</f>
        <v>0</v>
      </c>
      <c r="H145" s="26"/>
    </row>
    <row r="146" customFormat="false" ht="15" hidden="false" customHeight="false" outlineLevel="0" collapsed="false">
      <c r="A146" s="5" t="n">
        <v>21</v>
      </c>
      <c r="B146" s="57" t="n">
        <v>46166</v>
      </c>
      <c r="C146" s="24" t="n">
        <f aca="false">G145</f>
        <v>0</v>
      </c>
      <c r="D146" s="45" t="n">
        <f aca="false">E146-F146</f>
        <v>0</v>
      </c>
      <c r="E146" s="24" t="n">
        <f aca="false">SUMPRODUCT((Income!D$3:D$502="GBP")*(Income!A$3:A$502=B146)*(Income!A$3:A$502&lt;&gt;"")*Income!C$3:C$502)</f>
        <v>0</v>
      </c>
      <c r="F146" s="24" t="n">
        <f aca="false">SUMPRODUCT((Expenses!E$3:E$1002="GBP")*(Expenses!A$3:A$1002=B146)*(Expenses!A$3:A$1002&lt;&gt;"")*Expenses!D$3:D$1002)</f>
        <v>0</v>
      </c>
      <c r="G146" s="45" t="n">
        <f aca="false">C146+D146</f>
        <v>0</v>
      </c>
      <c r="H146" s="26"/>
    </row>
    <row r="147" customFormat="false" ht="15" hidden="false" customHeight="false" outlineLevel="0" collapsed="false">
      <c r="A147" s="5" t="n">
        <v>22</v>
      </c>
      <c r="B147" s="57" t="n">
        <v>46167</v>
      </c>
      <c r="C147" s="24" t="n">
        <f aca="false">G146</f>
        <v>0</v>
      </c>
      <c r="D147" s="45" t="n">
        <f aca="false">E147-F147</f>
        <v>0</v>
      </c>
      <c r="E147" s="24" t="n">
        <f aca="false">SUMPRODUCT((Income!D$3:D$502="GBP")*(Income!A$3:A$502=B147)*(Income!A$3:A$502&lt;&gt;"")*Income!C$3:C$502)</f>
        <v>0</v>
      </c>
      <c r="F147" s="24" t="n">
        <f aca="false">SUMPRODUCT((Expenses!E$3:E$1002="GBP")*(Expenses!A$3:A$1002=B147)*(Expenses!A$3:A$1002&lt;&gt;"")*Expenses!D$3:D$1002)</f>
        <v>0</v>
      </c>
      <c r="G147" s="45" t="n">
        <f aca="false">C147+D147</f>
        <v>0</v>
      </c>
      <c r="H147" s="26"/>
    </row>
    <row r="148" customFormat="false" ht="15" hidden="false" customHeight="false" outlineLevel="0" collapsed="false">
      <c r="A148" s="5" t="n">
        <v>22</v>
      </c>
      <c r="B148" s="57" t="n">
        <v>46168</v>
      </c>
      <c r="C148" s="24" t="n">
        <f aca="false">G147</f>
        <v>0</v>
      </c>
      <c r="D148" s="45" t="n">
        <f aca="false">E148-F148</f>
        <v>0</v>
      </c>
      <c r="E148" s="24" t="n">
        <f aca="false">SUMPRODUCT((Income!D$3:D$502="GBP")*(Income!A$3:A$502=B148)*(Income!A$3:A$502&lt;&gt;"")*Income!C$3:C$502)</f>
        <v>0</v>
      </c>
      <c r="F148" s="24" t="n">
        <f aca="false">SUMPRODUCT((Expenses!E$3:E$1002="GBP")*(Expenses!A$3:A$1002=B148)*(Expenses!A$3:A$1002&lt;&gt;"")*Expenses!D$3:D$1002)</f>
        <v>0</v>
      </c>
      <c r="G148" s="45" t="n">
        <f aca="false">C148+D148</f>
        <v>0</v>
      </c>
      <c r="H148" s="26"/>
    </row>
    <row r="149" customFormat="false" ht="15" hidden="false" customHeight="false" outlineLevel="0" collapsed="false">
      <c r="A149" s="5" t="n">
        <v>22</v>
      </c>
      <c r="B149" s="57" t="n">
        <v>46169</v>
      </c>
      <c r="C149" s="24" t="n">
        <f aca="false">G148</f>
        <v>0</v>
      </c>
      <c r="D149" s="45" t="n">
        <f aca="false">E149-F149</f>
        <v>0</v>
      </c>
      <c r="E149" s="24" t="n">
        <f aca="false">SUMPRODUCT((Income!D$3:D$502="GBP")*(Income!A$3:A$502=B149)*(Income!A$3:A$502&lt;&gt;"")*Income!C$3:C$502)</f>
        <v>0</v>
      </c>
      <c r="F149" s="24" t="n">
        <f aca="false">SUMPRODUCT((Expenses!E$3:E$1002="GBP")*(Expenses!A$3:A$1002=B149)*(Expenses!A$3:A$1002&lt;&gt;"")*Expenses!D$3:D$1002)</f>
        <v>0</v>
      </c>
      <c r="G149" s="45" t="n">
        <f aca="false">C149+D149</f>
        <v>0</v>
      </c>
      <c r="H149" s="26"/>
    </row>
    <row r="150" customFormat="false" ht="15" hidden="false" customHeight="false" outlineLevel="0" collapsed="false">
      <c r="A150" s="5" t="n">
        <v>22</v>
      </c>
      <c r="B150" s="57" t="n">
        <v>46170</v>
      </c>
      <c r="C150" s="24" t="n">
        <f aca="false">G149</f>
        <v>0</v>
      </c>
      <c r="D150" s="45" t="n">
        <f aca="false">E150-F150</f>
        <v>0</v>
      </c>
      <c r="E150" s="24" t="n">
        <f aca="false">SUMPRODUCT((Income!D$3:D$502="GBP")*(Income!A$3:A$502=B150)*(Income!A$3:A$502&lt;&gt;"")*Income!C$3:C$502)</f>
        <v>0</v>
      </c>
      <c r="F150" s="24" t="n">
        <f aca="false">SUMPRODUCT((Expenses!E$3:E$1002="GBP")*(Expenses!A$3:A$1002=B150)*(Expenses!A$3:A$1002&lt;&gt;"")*Expenses!D$3:D$1002)</f>
        <v>0</v>
      </c>
      <c r="G150" s="45" t="n">
        <f aca="false">C150+D150</f>
        <v>0</v>
      </c>
      <c r="H150" s="26"/>
    </row>
    <row r="151" customFormat="false" ht="15" hidden="false" customHeight="false" outlineLevel="0" collapsed="false">
      <c r="A151" s="5" t="n">
        <v>22</v>
      </c>
      <c r="B151" s="57" t="n">
        <v>46171</v>
      </c>
      <c r="C151" s="24" t="n">
        <f aca="false">G150</f>
        <v>0</v>
      </c>
      <c r="D151" s="45" t="n">
        <f aca="false">E151-F151</f>
        <v>0</v>
      </c>
      <c r="E151" s="24" t="n">
        <f aca="false">SUMPRODUCT((Income!D$3:D$502="GBP")*(Income!A$3:A$502=B151)*(Income!A$3:A$502&lt;&gt;"")*Income!C$3:C$502)</f>
        <v>0</v>
      </c>
      <c r="F151" s="24" t="n">
        <f aca="false">SUMPRODUCT((Expenses!E$3:E$1002="GBP")*(Expenses!A$3:A$1002=B151)*(Expenses!A$3:A$1002&lt;&gt;"")*Expenses!D$3:D$1002)</f>
        <v>0</v>
      </c>
      <c r="G151" s="45" t="n">
        <f aca="false">C151+D151</f>
        <v>0</v>
      </c>
      <c r="H151" s="26"/>
    </row>
    <row r="152" customFormat="false" ht="15" hidden="false" customHeight="false" outlineLevel="0" collapsed="false">
      <c r="A152" s="5" t="n">
        <v>22</v>
      </c>
      <c r="B152" s="57" t="n">
        <v>46172</v>
      </c>
      <c r="C152" s="24" t="n">
        <f aca="false">G151</f>
        <v>0</v>
      </c>
      <c r="D152" s="45" t="n">
        <f aca="false">E152-F152</f>
        <v>0</v>
      </c>
      <c r="E152" s="24" t="n">
        <f aca="false">SUMPRODUCT((Income!D$3:D$502="GBP")*(Income!A$3:A$502=B152)*(Income!A$3:A$502&lt;&gt;"")*Income!C$3:C$502)</f>
        <v>0</v>
      </c>
      <c r="F152" s="24" t="n">
        <f aca="false">SUMPRODUCT((Expenses!E$3:E$1002="GBP")*(Expenses!A$3:A$1002=B152)*(Expenses!A$3:A$1002&lt;&gt;"")*Expenses!D$3:D$1002)</f>
        <v>0</v>
      </c>
      <c r="G152" s="45" t="n">
        <f aca="false">C152+D152</f>
        <v>0</v>
      </c>
      <c r="H152" s="26"/>
    </row>
    <row r="153" customFormat="false" ht="15" hidden="false" customHeight="false" outlineLevel="0" collapsed="false">
      <c r="A153" s="5" t="n">
        <v>22</v>
      </c>
      <c r="B153" s="57" t="n">
        <v>46173</v>
      </c>
      <c r="C153" s="24" t="n">
        <f aca="false">G152</f>
        <v>0</v>
      </c>
      <c r="D153" s="45" t="n">
        <f aca="false">E153-F153</f>
        <v>0</v>
      </c>
      <c r="E153" s="24" t="n">
        <f aca="false">SUMPRODUCT((Income!D$3:D$502="GBP")*(Income!A$3:A$502=B153)*(Income!A$3:A$502&lt;&gt;"")*Income!C$3:C$502)</f>
        <v>0</v>
      </c>
      <c r="F153" s="24" t="n">
        <f aca="false">SUMPRODUCT((Expenses!E$3:E$1002="GBP")*(Expenses!A$3:A$1002=B153)*(Expenses!A$3:A$1002&lt;&gt;"")*Expenses!D$3:D$1002)</f>
        <v>0</v>
      </c>
      <c r="G153" s="45" t="n">
        <f aca="false">C153+D153</f>
        <v>0</v>
      </c>
      <c r="H153" s="26"/>
    </row>
    <row r="154" customFormat="false" ht="15" hidden="false" customHeight="false" outlineLevel="0" collapsed="false">
      <c r="A154" s="5" t="n">
        <v>23</v>
      </c>
      <c r="B154" s="57" t="n">
        <v>46174</v>
      </c>
      <c r="C154" s="24" t="n">
        <f aca="false">G153</f>
        <v>0</v>
      </c>
      <c r="D154" s="45" t="n">
        <f aca="false">E154-F154</f>
        <v>0</v>
      </c>
      <c r="E154" s="24" t="n">
        <f aca="false">SUMPRODUCT((Income!D$3:D$502="GBP")*(Income!A$3:A$502=B154)*(Income!A$3:A$502&lt;&gt;"")*Income!C$3:C$502)</f>
        <v>0</v>
      </c>
      <c r="F154" s="24" t="n">
        <f aca="false">SUMPRODUCT((Expenses!E$3:E$1002="GBP")*(Expenses!A$3:A$1002=B154)*(Expenses!A$3:A$1002&lt;&gt;"")*Expenses!D$3:D$1002)</f>
        <v>0</v>
      </c>
      <c r="G154" s="45" t="n">
        <f aca="false">C154+D154</f>
        <v>0</v>
      </c>
      <c r="H154" s="26"/>
    </row>
    <row r="155" customFormat="false" ht="15" hidden="false" customHeight="false" outlineLevel="0" collapsed="false">
      <c r="A155" s="5" t="n">
        <v>23</v>
      </c>
      <c r="B155" s="57" t="n">
        <v>46175</v>
      </c>
      <c r="C155" s="24" t="n">
        <f aca="false">G154</f>
        <v>0</v>
      </c>
      <c r="D155" s="45" t="n">
        <f aca="false">E155-F155</f>
        <v>0</v>
      </c>
      <c r="E155" s="24" t="n">
        <f aca="false">SUMPRODUCT((Income!D$3:D$502="GBP")*(Income!A$3:A$502=B155)*(Income!A$3:A$502&lt;&gt;"")*Income!C$3:C$502)</f>
        <v>0</v>
      </c>
      <c r="F155" s="24" t="n">
        <f aca="false">SUMPRODUCT((Expenses!E$3:E$1002="GBP")*(Expenses!A$3:A$1002=B155)*(Expenses!A$3:A$1002&lt;&gt;"")*Expenses!D$3:D$1002)</f>
        <v>0</v>
      </c>
      <c r="G155" s="45" t="n">
        <f aca="false">C155+D155</f>
        <v>0</v>
      </c>
      <c r="H155" s="26"/>
    </row>
    <row r="156" customFormat="false" ht="15" hidden="false" customHeight="false" outlineLevel="0" collapsed="false">
      <c r="A156" s="5" t="n">
        <v>23</v>
      </c>
      <c r="B156" s="57" t="n">
        <v>46176</v>
      </c>
      <c r="C156" s="24" t="n">
        <f aca="false">G155</f>
        <v>0</v>
      </c>
      <c r="D156" s="45" t="n">
        <f aca="false">E156-F156</f>
        <v>0</v>
      </c>
      <c r="E156" s="24" t="n">
        <f aca="false">SUMPRODUCT((Income!D$3:D$502="GBP")*(Income!A$3:A$502=B156)*(Income!A$3:A$502&lt;&gt;"")*Income!C$3:C$502)</f>
        <v>0</v>
      </c>
      <c r="F156" s="24" t="n">
        <f aca="false">SUMPRODUCT((Expenses!E$3:E$1002="GBP")*(Expenses!A$3:A$1002=B156)*(Expenses!A$3:A$1002&lt;&gt;"")*Expenses!D$3:D$1002)</f>
        <v>0</v>
      </c>
      <c r="G156" s="45" t="n">
        <f aca="false">C156+D156</f>
        <v>0</v>
      </c>
      <c r="H156" s="26"/>
    </row>
    <row r="157" customFormat="false" ht="15" hidden="false" customHeight="false" outlineLevel="0" collapsed="false">
      <c r="A157" s="5" t="n">
        <v>23</v>
      </c>
      <c r="B157" s="57" t="n">
        <v>46177</v>
      </c>
      <c r="C157" s="24" t="n">
        <f aca="false">G156</f>
        <v>0</v>
      </c>
      <c r="D157" s="45" t="n">
        <f aca="false">E157-F157</f>
        <v>0</v>
      </c>
      <c r="E157" s="24" t="n">
        <f aca="false">SUMPRODUCT((Income!D$3:D$502="GBP")*(Income!A$3:A$502=B157)*(Income!A$3:A$502&lt;&gt;"")*Income!C$3:C$502)</f>
        <v>0</v>
      </c>
      <c r="F157" s="24" t="n">
        <f aca="false">SUMPRODUCT((Expenses!E$3:E$1002="GBP")*(Expenses!A$3:A$1002=B157)*(Expenses!A$3:A$1002&lt;&gt;"")*Expenses!D$3:D$1002)</f>
        <v>0</v>
      </c>
      <c r="G157" s="45" t="n">
        <f aca="false">C157+D157</f>
        <v>0</v>
      </c>
      <c r="H157" s="26"/>
    </row>
    <row r="158" customFormat="false" ht="15" hidden="false" customHeight="false" outlineLevel="0" collapsed="false">
      <c r="A158" s="5" t="n">
        <v>23</v>
      </c>
      <c r="B158" s="57" t="n">
        <v>46178</v>
      </c>
      <c r="C158" s="24" t="n">
        <f aca="false">G157</f>
        <v>0</v>
      </c>
      <c r="D158" s="45" t="n">
        <f aca="false">E158-F158</f>
        <v>0</v>
      </c>
      <c r="E158" s="24" t="n">
        <f aca="false">SUMPRODUCT((Income!D$3:D$502="GBP")*(Income!A$3:A$502=B158)*(Income!A$3:A$502&lt;&gt;"")*Income!C$3:C$502)</f>
        <v>0</v>
      </c>
      <c r="F158" s="24" t="n">
        <f aca="false">SUMPRODUCT((Expenses!E$3:E$1002="GBP")*(Expenses!A$3:A$1002=B158)*(Expenses!A$3:A$1002&lt;&gt;"")*Expenses!D$3:D$1002)</f>
        <v>0</v>
      </c>
      <c r="G158" s="45" t="n">
        <f aca="false">C158+D158</f>
        <v>0</v>
      </c>
      <c r="H158" s="26"/>
    </row>
    <row r="159" customFormat="false" ht="15" hidden="false" customHeight="false" outlineLevel="0" collapsed="false">
      <c r="A159" s="5" t="n">
        <v>23</v>
      </c>
      <c r="B159" s="57" t="n">
        <v>46179</v>
      </c>
      <c r="C159" s="24" t="n">
        <f aca="false">G158</f>
        <v>0</v>
      </c>
      <c r="D159" s="45" t="n">
        <f aca="false">E159-F159</f>
        <v>0</v>
      </c>
      <c r="E159" s="24" t="n">
        <f aca="false">SUMPRODUCT((Income!D$3:D$502="GBP")*(Income!A$3:A$502=B159)*(Income!A$3:A$502&lt;&gt;"")*Income!C$3:C$502)</f>
        <v>0</v>
      </c>
      <c r="F159" s="24" t="n">
        <f aca="false">SUMPRODUCT((Expenses!E$3:E$1002="GBP")*(Expenses!A$3:A$1002=B159)*(Expenses!A$3:A$1002&lt;&gt;"")*Expenses!D$3:D$1002)</f>
        <v>0</v>
      </c>
      <c r="G159" s="45" t="n">
        <f aca="false">C159+D159</f>
        <v>0</v>
      </c>
      <c r="H159" s="26"/>
    </row>
    <row r="160" customFormat="false" ht="15" hidden="false" customHeight="false" outlineLevel="0" collapsed="false">
      <c r="A160" s="5" t="n">
        <v>23</v>
      </c>
      <c r="B160" s="57" t="n">
        <v>46180</v>
      </c>
      <c r="C160" s="24" t="n">
        <f aca="false">G159</f>
        <v>0</v>
      </c>
      <c r="D160" s="45" t="n">
        <f aca="false">E160-F160</f>
        <v>0</v>
      </c>
      <c r="E160" s="24" t="n">
        <f aca="false">SUMPRODUCT((Income!D$3:D$502="GBP")*(Income!A$3:A$502=B160)*(Income!A$3:A$502&lt;&gt;"")*Income!C$3:C$502)</f>
        <v>0</v>
      </c>
      <c r="F160" s="24" t="n">
        <f aca="false">SUMPRODUCT((Expenses!E$3:E$1002="GBP")*(Expenses!A$3:A$1002=B160)*(Expenses!A$3:A$1002&lt;&gt;"")*Expenses!D$3:D$1002)</f>
        <v>0</v>
      </c>
      <c r="G160" s="45" t="n">
        <f aca="false">C160+D160</f>
        <v>0</v>
      </c>
      <c r="H160" s="26"/>
    </row>
    <row r="161" customFormat="false" ht="15" hidden="false" customHeight="false" outlineLevel="0" collapsed="false">
      <c r="A161" s="5" t="n">
        <v>24</v>
      </c>
      <c r="B161" s="57" t="n">
        <v>46181</v>
      </c>
      <c r="C161" s="24" t="n">
        <f aca="false">G160</f>
        <v>0</v>
      </c>
      <c r="D161" s="45" t="n">
        <f aca="false">E161-F161</f>
        <v>0</v>
      </c>
      <c r="E161" s="24" t="n">
        <f aca="false">SUMPRODUCT((Income!D$3:D$502="GBP")*(Income!A$3:A$502=B161)*(Income!A$3:A$502&lt;&gt;"")*Income!C$3:C$502)</f>
        <v>0</v>
      </c>
      <c r="F161" s="24" t="n">
        <f aca="false">SUMPRODUCT((Expenses!E$3:E$1002="GBP")*(Expenses!A$3:A$1002=B161)*(Expenses!A$3:A$1002&lt;&gt;"")*Expenses!D$3:D$1002)</f>
        <v>0</v>
      </c>
      <c r="G161" s="45" t="n">
        <f aca="false">C161+D161</f>
        <v>0</v>
      </c>
      <c r="H161" s="26"/>
    </row>
    <row r="162" customFormat="false" ht="15" hidden="false" customHeight="false" outlineLevel="0" collapsed="false">
      <c r="A162" s="5" t="n">
        <v>24</v>
      </c>
      <c r="B162" s="57" t="n">
        <v>46182</v>
      </c>
      <c r="C162" s="24" t="n">
        <f aca="false">G161</f>
        <v>0</v>
      </c>
      <c r="D162" s="45" t="n">
        <f aca="false">E162-F162</f>
        <v>0</v>
      </c>
      <c r="E162" s="24" t="n">
        <f aca="false">SUMPRODUCT((Income!D$3:D$502="GBP")*(Income!A$3:A$502=B162)*(Income!A$3:A$502&lt;&gt;"")*Income!C$3:C$502)</f>
        <v>0</v>
      </c>
      <c r="F162" s="24" t="n">
        <f aca="false">SUMPRODUCT((Expenses!E$3:E$1002="GBP")*(Expenses!A$3:A$1002=B162)*(Expenses!A$3:A$1002&lt;&gt;"")*Expenses!D$3:D$1002)</f>
        <v>0</v>
      </c>
      <c r="G162" s="45" t="n">
        <f aca="false">C162+D162</f>
        <v>0</v>
      </c>
      <c r="H162" s="26"/>
    </row>
    <row r="163" customFormat="false" ht="15" hidden="false" customHeight="false" outlineLevel="0" collapsed="false">
      <c r="A163" s="5" t="n">
        <v>24</v>
      </c>
      <c r="B163" s="57" t="n">
        <v>46183</v>
      </c>
      <c r="C163" s="24" t="n">
        <f aca="false">G162</f>
        <v>0</v>
      </c>
      <c r="D163" s="45" t="n">
        <f aca="false">E163-F163</f>
        <v>0</v>
      </c>
      <c r="E163" s="24" t="n">
        <f aca="false">SUMPRODUCT((Income!D$3:D$502="GBP")*(Income!A$3:A$502=B163)*(Income!A$3:A$502&lt;&gt;"")*Income!C$3:C$502)</f>
        <v>0</v>
      </c>
      <c r="F163" s="24" t="n">
        <f aca="false">SUMPRODUCT((Expenses!E$3:E$1002="GBP")*(Expenses!A$3:A$1002=B163)*(Expenses!A$3:A$1002&lt;&gt;"")*Expenses!D$3:D$1002)</f>
        <v>0</v>
      </c>
      <c r="G163" s="45" t="n">
        <f aca="false">C163+D163</f>
        <v>0</v>
      </c>
      <c r="H163" s="26"/>
    </row>
    <row r="164" customFormat="false" ht="15" hidden="false" customHeight="false" outlineLevel="0" collapsed="false">
      <c r="A164" s="5" t="n">
        <v>24</v>
      </c>
      <c r="B164" s="57" t="n">
        <v>46184</v>
      </c>
      <c r="C164" s="24" t="n">
        <f aca="false">G163</f>
        <v>0</v>
      </c>
      <c r="D164" s="45" t="n">
        <f aca="false">E164-F164</f>
        <v>0</v>
      </c>
      <c r="E164" s="24" t="n">
        <f aca="false">SUMPRODUCT((Income!D$3:D$502="GBP")*(Income!A$3:A$502=B164)*(Income!A$3:A$502&lt;&gt;"")*Income!C$3:C$502)</f>
        <v>0</v>
      </c>
      <c r="F164" s="24" t="n">
        <f aca="false">SUMPRODUCT((Expenses!E$3:E$1002="GBP")*(Expenses!A$3:A$1002=B164)*(Expenses!A$3:A$1002&lt;&gt;"")*Expenses!D$3:D$1002)</f>
        <v>0</v>
      </c>
      <c r="G164" s="45" t="n">
        <f aca="false">C164+D164</f>
        <v>0</v>
      </c>
      <c r="H164" s="26"/>
    </row>
    <row r="165" customFormat="false" ht="15" hidden="false" customHeight="false" outlineLevel="0" collapsed="false">
      <c r="A165" s="5" t="n">
        <v>24</v>
      </c>
      <c r="B165" s="57" t="n">
        <v>46185</v>
      </c>
      <c r="C165" s="24" t="n">
        <f aca="false">G164</f>
        <v>0</v>
      </c>
      <c r="D165" s="45" t="n">
        <f aca="false">E165-F165</f>
        <v>0</v>
      </c>
      <c r="E165" s="24" t="n">
        <f aca="false">SUMPRODUCT((Income!D$3:D$502="GBP")*(Income!A$3:A$502=B165)*(Income!A$3:A$502&lt;&gt;"")*Income!C$3:C$502)</f>
        <v>0</v>
      </c>
      <c r="F165" s="24" t="n">
        <f aca="false">SUMPRODUCT((Expenses!E$3:E$1002="GBP")*(Expenses!A$3:A$1002=B165)*(Expenses!A$3:A$1002&lt;&gt;"")*Expenses!D$3:D$1002)</f>
        <v>0</v>
      </c>
      <c r="G165" s="45" t="n">
        <f aca="false">C165+D165</f>
        <v>0</v>
      </c>
      <c r="H165" s="26"/>
    </row>
    <row r="166" customFormat="false" ht="15" hidden="false" customHeight="false" outlineLevel="0" collapsed="false">
      <c r="A166" s="5" t="n">
        <v>24</v>
      </c>
      <c r="B166" s="57" t="n">
        <v>46186</v>
      </c>
      <c r="C166" s="24" t="n">
        <f aca="false">G165</f>
        <v>0</v>
      </c>
      <c r="D166" s="45" t="n">
        <f aca="false">E166-F166</f>
        <v>0</v>
      </c>
      <c r="E166" s="24" t="n">
        <f aca="false">SUMPRODUCT((Income!D$3:D$502="GBP")*(Income!A$3:A$502=B166)*(Income!A$3:A$502&lt;&gt;"")*Income!C$3:C$502)</f>
        <v>0</v>
      </c>
      <c r="F166" s="24" t="n">
        <f aca="false">SUMPRODUCT((Expenses!E$3:E$1002="GBP")*(Expenses!A$3:A$1002=B166)*(Expenses!A$3:A$1002&lt;&gt;"")*Expenses!D$3:D$1002)</f>
        <v>0</v>
      </c>
      <c r="G166" s="45" t="n">
        <f aca="false">C166+D166</f>
        <v>0</v>
      </c>
      <c r="H166" s="26"/>
    </row>
    <row r="167" customFormat="false" ht="15" hidden="false" customHeight="false" outlineLevel="0" collapsed="false">
      <c r="A167" s="5" t="n">
        <v>24</v>
      </c>
      <c r="B167" s="57" t="n">
        <v>46187</v>
      </c>
      <c r="C167" s="24" t="n">
        <f aca="false">G166</f>
        <v>0</v>
      </c>
      <c r="D167" s="45" t="n">
        <f aca="false">E167-F167</f>
        <v>0</v>
      </c>
      <c r="E167" s="24" t="n">
        <f aca="false">SUMPRODUCT((Income!D$3:D$502="GBP")*(Income!A$3:A$502=B167)*(Income!A$3:A$502&lt;&gt;"")*Income!C$3:C$502)</f>
        <v>0</v>
      </c>
      <c r="F167" s="24" t="n">
        <f aca="false">SUMPRODUCT((Expenses!E$3:E$1002="GBP")*(Expenses!A$3:A$1002=B167)*(Expenses!A$3:A$1002&lt;&gt;"")*Expenses!D$3:D$1002)</f>
        <v>0</v>
      </c>
      <c r="G167" s="45" t="n">
        <f aca="false">C167+D167</f>
        <v>0</v>
      </c>
      <c r="H167" s="26"/>
    </row>
    <row r="168" customFormat="false" ht="15" hidden="false" customHeight="false" outlineLevel="0" collapsed="false">
      <c r="A168" s="5" t="n">
        <v>25</v>
      </c>
      <c r="B168" s="57" t="n">
        <v>46188</v>
      </c>
      <c r="C168" s="24" t="n">
        <f aca="false">G167</f>
        <v>0</v>
      </c>
      <c r="D168" s="45" t="n">
        <f aca="false">E168-F168</f>
        <v>0</v>
      </c>
      <c r="E168" s="24" t="n">
        <f aca="false">SUMPRODUCT((Income!D$3:D$502="GBP")*(Income!A$3:A$502=B168)*(Income!A$3:A$502&lt;&gt;"")*Income!C$3:C$502)</f>
        <v>0</v>
      </c>
      <c r="F168" s="24" t="n">
        <f aca="false">SUMPRODUCT((Expenses!E$3:E$1002="GBP")*(Expenses!A$3:A$1002=B168)*(Expenses!A$3:A$1002&lt;&gt;"")*Expenses!D$3:D$1002)</f>
        <v>0</v>
      </c>
      <c r="G168" s="45" t="n">
        <f aca="false">C168+D168</f>
        <v>0</v>
      </c>
      <c r="H168" s="26"/>
    </row>
    <row r="169" customFormat="false" ht="15" hidden="false" customHeight="false" outlineLevel="0" collapsed="false">
      <c r="A169" s="5" t="n">
        <v>25</v>
      </c>
      <c r="B169" s="57" t="n">
        <v>46189</v>
      </c>
      <c r="C169" s="24" t="n">
        <f aca="false">G168</f>
        <v>0</v>
      </c>
      <c r="D169" s="45" t="n">
        <f aca="false">E169-F169</f>
        <v>0</v>
      </c>
      <c r="E169" s="24" t="n">
        <f aca="false">SUMPRODUCT((Income!D$3:D$502="GBP")*(Income!A$3:A$502=B169)*(Income!A$3:A$502&lt;&gt;"")*Income!C$3:C$502)</f>
        <v>0</v>
      </c>
      <c r="F169" s="24" t="n">
        <f aca="false">SUMPRODUCT((Expenses!E$3:E$1002="GBP")*(Expenses!A$3:A$1002=B169)*(Expenses!A$3:A$1002&lt;&gt;"")*Expenses!D$3:D$1002)</f>
        <v>0</v>
      </c>
      <c r="G169" s="45" t="n">
        <f aca="false">C169+D169</f>
        <v>0</v>
      </c>
      <c r="H169" s="26"/>
    </row>
    <row r="170" customFormat="false" ht="15" hidden="false" customHeight="false" outlineLevel="0" collapsed="false">
      <c r="A170" s="5" t="n">
        <v>25</v>
      </c>
      <c r="B170" s="57" t="n">
        <v>46190</v>
      </c>
      <c r="C170" s="24" t="n">
        <f aca="false">G169</f>
        <v>0</v>
      </c>
      <c r="D170" s="45" t="n">
        <f aca="false">E170-F170</f>
        <v>0</v>
      </c>
      <c r="E170" s="24" t="n">
        <f aca="false">SUMPRODUCT((Income!D$3:D$502="GBP")*(Income!A$3:A$502=B170)*(Income!A$3:A$502&lt;&gt;"")*Income!C$3:C$502)</f>
        <v>0</v>
      </c>
      <c r="F170" s="24" t="n">
        <f aca="false">SUMPRODUCT((Expenses!E$3:E$1002="GBP")*(Expenses!A$3:A$1002=B170)*(Expenses!A$3:A$1002&lt;&gt;"")*Expenses!D$3:D$1002)</f>
        <v>0</v>
      </c>
      <c r="G170" s="45" t="n">
        <f aca="false">C170+D170</f>
        <v>0</v>
      </c>
      <c r="H170" s="26"/>
    </row>
    <row r="171" customFormat="false" ht="15" hidden="false" customHeight="false" outlineLevel="0" collapsed="false">
      <c r="A171" s="5" t="n">
        <v>25</v>
      </c>
      <c r="B171" s="57" t="n">
        <v>46191</v>
      </c>
      <c r="C171" s="24" t="n">
        <f aca="false">G170</f>
        <v>0</v>
      </c>
      <c r="D171" s="45" t="n">
        <f aca="false">E171-F171</f>
        <v>0</v>
      </c>
      <c r="E171" s="24" t="n">
        <f aca="false">SUMPRODUCT((Income!D$3:D$502="GBP")*(Income!A$3:A$502=B171)*(Income!A$3:A$502&lt;&gt;"")*Income!C$3:C$502)</f>
        <v>0</v>
      </c>
      <c r="F171" s="24" t="n">
        <f aca="false">SUMPRODUCT((Expenses!E$3:E$1002="GBP")*(Expenses!A$3:A$1002=B171)*(Expenses!A$3:A$1002&lt;&gt;"")*Expenses!D$3:D$1002)</f>
        <v>0</v>
      </c>
      <c r="G171" s="45" t="n">
        <f aca="false">C171+D171</f>
        <v>0</v>
      </c>
      <c r="H171" s="26"/>
    </row>
    <row r="172" customFormat="false" ht="15" hidden="false" customHeight="false" outlineLevel="0" collapsed="false">
      <c r="A172" s="5" t="n">
        <v>25</v>
      </c>
      <c r="B172" s="57" t="n">
        <v>46192</v>
      </c>
      <c r="C172" s="24" t="n">
        <f aca="false">G171</f>
        <v>0</v>
      </c>
      <c r="D172" s="45" t="n">
        <f aca="false">E172-F172</f>
        <v>0</v>
      </c>
      <c r="E172" s="24" t="n">
        <f aca="false">SUMPRODUCT((Income!D$3:D$502="GBP")*(Income!A$3:A$502=B172)*(Income!A$3:A$502&lt;&gt;"")*Income!C$3:C$502)</f>
        <v>0</v>
      </c>
      <c r="F172" s="24" t="n">
        <f aca="false">SUMPRODUCT((Expenses!E$3:E$1002="GBP")*(Expenses!A$3:A$1002=B172)*(Expenses!A$3:A$1002&lt;&gt;"")*Expenses!D$3:D$1002)</f>
        <v>0</v>
      </c>
      <c r="G172" s="45" t="n">
        <f aca="false">C172+D172</f>
        <v>0</v>
      </c>
      <c r="H172" s="26"/>
    </row>
    <row r="173" customFormat="false" ht="15" hidden="false" customHeight="false" outlineLevel="0" collapsed="false">
      <c r="A173" s="5" t="n">
        <v>25</v>
      </c>
      <c r="B173" s="57" t="n">
        <v>46193</v>
      </c>
      <c r="C173" s="24" t="n">
        <f aca="false">G172</f>
        <v>0</v>
      </c>
      <c r="D173" s="45" t="n">
        <f aca="false">E173-F173</f>
        <v>0</v>
      </c>
      <c r="E173" s="24" t="n">
        <f aca="false">SUMPRODUCT((Income!D$3:D$502="GBP")*(Income!A$3:A$502=B173)*(Income!A$3:A$502&lt;&gt;"")*Income!C$3:C$502)</f>
        <v>0</v>
      </c>
      <c r="F173" s="24" t="n">
        <f aca="false">SUMPRODUCT((Expenses!E$3:E$1002="GBP")*(Expenses!A$3:A$1002=B173)*(Expenses!A$3:A$1002&lt;&gt;"")*Expenses!D$3:D$1002)</f>
        <v>0</v>
      </c>
      <c r="G173" s="45" t="n">
        <f aca="false">C173+D173</f>
        <v>0</v>
      </c>
      <c r="H173" s="26"/>
    </row>
    <row r="174" customFormat="false" ht="15" hidden="false" customHeight="false" outlineLevel="0" collapsed="false">
      <c r="A174" s="5" t="n">
        <v>25</v>
      </c>
      <c r="B174" s="57" t="n">
        <v>46194</v>
      </c>
      <c r="C174" s="24" t="n">
        <f aca="false">G173</f>
        <v>0</v>
      </c>
      <c r="D174" s="45" t="n">
        <f aca="false">E174-F174</f>
        <v>0</v>
      </c>
      <c r="E174" s="24" t="n">
        <f aca="false">SUMPRODUCT((Income!D$3:D$502="GBP")*(Income!A$3:A$502=B174)*(Income!A$3:A$502&lt;&gt;"")*Income!C$3:C$502)</f>
        <v>0</v>
      </c>
      <c r="F174" s="24" t="n">
        <f aca="false">SUMPRODUCT((Expenses!E$3:E$1002="GBP")*(Expenses!A$3:A$1002=B174)*(Expenses!A$3:A$1002&lt;&gt;"")*Expenses!D$3:D$1002)</f>
        <v>0</v>
      </c>
      <c r="G174" s="45" t="n">
        <f aca="false">C174+D174</f>
        <v>0</v>
      </c>
      <c r="H174" s="26"/>
    </row>
    <row r="175" customFormat="false" ht="15" hidden="false" customHeight="false" outlineLevel="0" collapsed="false">
      <c r="A175" s="5" t="n">
        <v>26</v>
      </c>
      <c r="B175" s="57" t="n">
        <v>46195</v>
      </c>
      <c r="C175" s="24" t="n">
        <f aca="false">G174</f>
        <v>0</v>
      </c>
      <c r="D175" s="45" t="n">
        <f aca="false">E175-F175</f>
        <v>0</v>
      </c>
      <c r="E175" s="24" t="n">
        <f aca="false">SUMPRODUCT((Income!D$3:D$502="GBP")*(Income!A$3:A$502=B175)*(Income!A$3:A$502&lt;&gt;"")*Income!C$3:C$502)</f>
        <v>0</v>
      </c>
      <c r="F175" s="24" t="n">
        <f aca="false">SUMPRODUCT((Expenses!E$3:E$1002="GBP")*(Expenses!A$3:A$1002=B175)*(Expenses!A$3:A$1002&lt;&gt;"")*Expenses!D$3:D$1002)</f>
        <v>0</v>
      </c>
      <c r="G175" s="45" t="n">
        <f aca="false">C175+D175</f>
        <v>0</v>
      </c>
      <c r="H175" s="26"/>
    </row>
    <row r="176" customFormat="false" ht="15" hidden="false" customHeight="false" outlineLevel="0" collapsed="false">
      <c r="A176" s="5" t="n">
        <v>26</v>
      </c>
      <c r="B176" s="57" t="n">
        <v>46196</v>
      </c>
      <c r="C176" s="24" t="n">
        <f aca="false">G175</f>
        <v>0</v>
      </c>
      <c r="D176" s="45" t="n">
        <f aca="false">E176-F176</f>
        <v>0</v>
      </c>
      <c r="E176" s="24" t="n">
        <f aca="false">SUMPRODUCT((Income!D$3:D$502="GBP")*(Income!A$3:A$502=B176)*(Income!A$3:A$502&lt;&gt;"")*Income!C$3:C$502)</f>
        <v>0</v>
      </c>
      <c r="F176" s="24" t="n">
        <f aca="false">SUMPRODUCT((Expenses!E$3:E$1002="GBP")*(Expenses!A$3:A$1002=B176)*(Expenses!A$3:A$1002&lt;&gt;"")*Expenses!D$3:D$1002)</f>
        <v>0</v>
      </c>
      <c r="G176" s="45" t="n">
        <f aca="false">C176+D176</f>
        <v>0</v>
      </c>
      <c r="H176" s="26"/>
    </row>
    <row r="177" customFormat="false" ht="15" hidden="false" customHeight="false" outlineLevel="0" collapsed="false">
      <c r="A177" s="5" t="n">
        <v>26</v>
      </c>
      <c r="B177" s="57" t="n">
        <v>46197</v>
      </c>
      <c r="C177" s="24" t="n">
        <f aca="false">G176</f>
        <v>0</v>
      </c>
      <c r="D177" s="45" t="n">
        <f aca="false">E177-F177</f>
        <v>0</v>
      </c>
      <c r="E177" s="24" t="n">
        <f aca="false">SUMPRODUCT((Income!D$3:D$502="GBP")*(Income!A$3:A$502=B177)*(Income!A$3:A$502&lt;&gt;"")*Income!C$3:C$502)</f>
        <v>0</v>
      </c>
      <c r="F177" s="24" t="n">
        <f aca="false">SUMPRODUCT((Expenses!E$3:E$1002="GBP")*(Expenses!A$3:A$1002=B177)*(Expenses!A$3:A$1002&lt;&gt;"")*Expenses!D$3:D$1002)</f>
        <v>0</v>
      </c>
      <c r="G177" s="45" t="n">
        <f aca="false">C177+D177</f>
        <v>0</v>
      </c>
      <c r="H177" s="26"/>
    </row>
    <row r="178" customFormat="false" ht="15" hidden="false" customHeight="false" outlineLevel="0" collapsed="false">
      <c r="A178" s="5" t="n">
        <v>26</v>
      </c>
      <c r="B178" s="57" t="n">
        <v>46198</v>
      </c>
      <c r="C178" s="24" t="n">
        <f aca="false">G177</f>
        <v>0</v>
      </c>
      <c r="D178" s="45" t="n">
        <f aca="false">E178-F178</f>
        <v>0</v>
      </c>
      <c r="E178" s="24" t="n">
        <f aca="false">SUMPRODUCT((Income!D$3:D$502="GBP")*(Income!A$3:A$502=B178)*(Income!A$3:A$502&lt;&gt;"")*Income!C$3:C$502)</f>
        <v>0</v>
      </c>
      <c r="F178" s="24" t="n">
        <f aca="false">SUMPRODUCT((Expenses!E$3:E$1002="GBP")*(Expenses!A$3:A$1002=B178)*(Expenses!A$3:A$1002&lt;&gt;"")*Expenses!D$3:D$1002)</f>
        <v>0</v>
      </c>
      <c r="G178" s="45" t="n">
        <f aca="false">C178+D178</f>
        <v>0</v>
      </c>
      <c r="H178" s="26"/>
    </row>
    <row r="179" customFormat="false" ht="15" hidden="false" customHeight="false" outlineLevel="0" collapsed="false">
      <c r="A179" s="5" t="n">
        <v>26</v>
      </c>
      <c r="B179" s="57" t="n">
        <v>46199</v>
      </c>
      <c r="C179" s="24" t="n">
        <f aca="false">G178</f>
        <v>0</v>
      </c>
      <c r="D179" s="45" t="n">
        <f aca="false">E179-F179</f>
        <v>0</v>
      </c>
      <c r="E179" s="24" t="n">
        <f aca="false">SUMPRODUCT((Income!D$3:D$502="GBP")*(Income!A$3:A$502=B179)*(Income!A$3:A$502&lt;&gt;"")*Income!C$3:C$502)</f>
        <v>0</v>
      </c>
      <c r="F179" s="24" t="n">
        <f aca="false">SUMPRODUCT((Expenses!E$3:E$1002="GBP")*(Expenses!A$3:A$1002=B179)*(Expenses!A$3:A$1002&lt;&gt;"")*Expenses!D$3:D$1002)</f>
        <v>0</v>
      </c>
      <c r="G179" s="45" t="n">
        <f aca="false">C179+D179</f>
        <v>0</v>
      </c>
      <c r="H179" s="26"/>
    </row>
    <row r="180" customFormat="false" ht="15" hidden="false" customHeight="false" outlineLevel="0" collapsed="false">
      <c r="A180" s="5" t="n">
        <v>26</v>
      </c>
      <c r="B180" s="57" t="n">
        <v>46200</v>
      </c>
      <c r="C180" s="24" t="n">
        <f aca="false">G179</f>
        <v>0</v>
      </c>
      <c r="D180" s="45" t="n">
        <f aca="false">E180-F180</f>
        <v>0</v>
      </c>
      <c r="E180" s="24" t="n">
        <f aca="false">SUMPRODUCT((Income!D$3:D$502="GBP")*(Income!A$3:A$502=B180)*(Income!A$3:A$502&lt;&gt;"")*Income!C$3:C$502)</f>
        <v>0</v>
      </c>
      <c r="F180" s="24" t="n">
        <f aca="false">SUMPRODUCT((Expenses!E$3:E$1002="GBP")*(Expenses!A$3:A$1002=B180)*(Expenses!A$3:A$1002&lt;&gt;"")*Expenses!D$3:D$1002)</f>
        <v>0</v>
      </c>
      <c r="G180" s="45" t="n">
        <f aca="false">C180+D180</f>
        <v>0</v>
      </c>
      <c r="H180" s="26"/>
    </row>
    <row r="181" customFormat="false" ht="15" hidden="false" customHeight="false" outlineLevel="0" collapsed="false">
      <c r="A181" s="5" t="n">
        <v>26</v>
      </c>
      <c r="B181" s="57" t="n">
        <v>46201</v>
      </c>
      <c r="C181" s="24" t="n">
        <f aca="false">G180</f>
        <v>0</v>
      </c>
      <c r="D181" s="45" t="n">
        <f aca="false">E181-F181</f>
        <v>0</v>
      </c>
      <c r="E181" s="24" t="n">
        <f aca="false">SUMPRODUCT((Income!D$3:D$502="GBP")*(Income!A$3:A$502=B181)*(Income!A$3:A$502&lt;&gt;"")*Income!C$3:C$502)</f>
        <v>0</v>
      </c>
      <c r="F181" s="24" t="n">
        <f aca="false">SUMPRODUCT((Expenses!E$3:E$1002="GBP")*(Expenses!A$3:A$1002=B181)*(Expenses!A$3:A$1002&lt;&gt;"")*Expenses!D$3:D$1002)</f>
        <v>0</v>
      </c>
      <c r="G181" s="45" t="n">
        <f aca="false">C181+D181</f>
        <v>0</v>
      </c>
      <c r="H181" s="26"/>
    </row>
    <row r="182" customFormat="false" ht="15" hidden="false" customHeight="false" outlineLevel="0" collapsed="false">
      <c r="A182" s="5" t="n">
        <v>27</v>
      </c>
      <c r="B182" s="57" t="n">
        <v>46202</v>
      </c>
      <c r="C182" s="24" t="n">
        <f aca="false">G181</f>
        <v>0</v>
      </c>
      <c r="D182" s="45" t="n">
        <f aca="false">E182-F182</f>
        <v>0</v>
      </c>
      <c r="E182" s="24" t="n">
        <f aca="false">SUMPRODUCT((Income!D$3:D$502="GBP")*(Income!A$3:A$502=B182)*(Income!A$3:A$502&lt;&gt;"")*Income!C$3:C$502)</f>
        <v>0</v>
      </c>
      <c r="F182" s="24" t="n">
        <f aca="false">SUMPRODUCT((Expenses!E$3:E$1002="GBP")*(Expenses!A$3:A$1002=B182)*(Expenses!A$3:A$1002&lt;&gt;"")*Expenses!D$3:D$1002)</f>
        <v>0</v>
      </c>
      <c r="G182" s="45" t="n">
        <f aca="false">C182+D182</f>
        <v>0</v>
      </c>
      <c r="H182" s="26"/>
    </row>
    <row r="183" customFormat="false" ht="15" hidden="false" customHeight="false" outlineLevel="0" collapsed="false">
      <c r="A183" s="5" t="n">
        <v>27</v>
      </c>
      <c r="B183" s="57" t="n">
        <v>46203</v>
      </c>
      <c r="C183" s="24" t="n">
        <f aca="false">G182</f>
        <v>0</v>
      </c>
      <c r="D183" s="45" t="n">
        <f aca="false">E183-F183</f>
        <v>0</v>
      </c>
      <c r="E183" s="24" t="n">
        <f aca="false">SUMPRODUCT((Income!D$3:D$502="GBP")*(Income!A$3:A$502=B183)*(Income!A$3:A$502&lt;&gt;"")*Income!C$3:C$502)</f>
        <v>0</v>
      </c>
      <c r="F183" s="24" t="n">
        <f aca="false">SUMPRODUCT((Expenses!E$3:E$1002="GBP")*(Expenses!A$3:A$1002=B183)*(Expenses!A$3:A$1002&lt;&gt;"")*Expenses!D$3:D$1002)</f>
        <v>0</v>
      </c>
      <c r="G183" s="45" t="n">
        <f aca="false">C183+D183</f>
        <v>0</v>
      </c>
      <c r="H183" s="26"/>
    </row>
    <row r="184" customFormat="false" ht="15" hidden="false" customHeight="false" outlineLevel="0" collapsed="false">
      <c r="A184" s="5" t="n">
        <v>27</v>
      </c>
      <c r="B184" s="57" t="n">
        <v>46204</v>
      </c>
      <c r="C184" s="24" t="n">
        <f aca="false">G183</f>
        <v>0</v>
      </c>
      <c r="D184" s="45" t="n">
        <f aca="false">E184-F184</f>
        <v>0</v>
      </c>
      <c r="E184" s="24" t="n">
        <f aca="false">SUMPRODUCT((Income!D$3:D$502="GBP")*(Income!A$3:A$502=B184)*(Income!A$3:A$502&lt;&gt;"")*Income!C$3:C$502)</f>
        <v>0</v>
      </c>
      <c r="F184" s="24" t="n">
        <f aca="false">SUMPRODUCT((Expenses!E$3:E$1002="GBP")*(Expenses!A$3:A$1002=B184)*(Expenses!A$3:A$1002&lt;&gt;"")*Expenses!D$3:D$1002)</f>
        <v>0</v>
      </c>
      <c r="G184" s="45" t="n">
        <f aca="false">C184+D184</f>
        <v>0</v>
      </c>
      <c r="H184" s="26"/>
    </row>
    <row r="185" customFormat="false" ht="15" hidden="false" customHeight="false" outlineLevel="0" collapsed="false">
      <c r="A185" s="5" t="n">
        <v>27</v>
      </c>
      <c r="B185" s="57" t="n">
        <v>46205</v>
      </c>
      <c r="C185" s="24" t="n">
        <f aca="false">G184</f>
        <v>0</v>
      </c>
      <c r="D185" s="45" t="n">
        <f aca="false">E185-F185</f>
        <v>0</v>
      </c>
      <c r="E185" s="24" t="n">
        <f aca="false">SUMPRODUCT((Income!D$3:D$502="GBP")*(Income!A$3:A$502=B185)*(Income!A$3:A$502&lt;&gt;"")*Income!C$3:C$502)</f>
        <v>0</v>
      </c>
      <c r="F185" s="24" t="n">
        <f aca="false">SUMPRODUCT((Expenses!E$3:E$1002="GBP")*(Expenses!A$3:A$1002=B185)*(Expenses!A$3:A$1002&lt;&gt;"")*Expenses!D$3:D$1002)</f>
        <v>0</v>
      </c>
      <c r="G185" s="45" t="n">
        <f aca="false">C185+D185</f>
        <v>0</v>
      </c>
      <c r="H185" s="26"/>
    </row>
    <row r="186" customFormat="false" ht="15" hidden="false" customHeight="false" outlineLevel="0" collapsed="false">
      <c r="A186" s="5" t="n">
        <v>27</v>
      </c>
      <c r="B186" s="57" t="n">
        <v>46206</v>
      </c>
      <c r="C186" s="24" t="n">
        <f aca="false">G185</f>
        <v>0</v>
      </c>
      <c r="D186" s="45" t="n">
        <f aca="false">E186-F186</f>
        <v>0</v>
      </c>
      <c r="E186" s="24" t="n">
        <f aca="false">SUMPRODUCT((Income!D$3:D$502="GBP")*(Income!A$3:A$502=B186)*(Income!A$3:A$502&lt;&gt;"")*Income!C$3:C$502)</f>
        <v>0</v>
      </c>
      <c r="F186" s="24" t="n">
        <f aca="false">SUMPRODUCT((Expenses!E$3:E$1002="GBP")*(Expenses!A$3:A$1002=B186)*(Expenses!A$3:A$1002&lt;&gt;"")*Expenses!D$3:D$1002)</f>
        <v>0</v>
      </c>
      <c r="G186" s="45" t="n">
        <f aca="false">C186+D186</f>
        <v>0</v>
      </c>
      <c r="H186" s="26"/>
    </row>
    <row r="187" customFormat="false" ht="15" hidden="false" customHeight="false" outlineLevel="0" collapsed="false">
      <c r="A187" s="5" t="n">
        <v>27</v>
      </c>
      <c r="B187" s="57" t="n">
        <v>46207</v>
      </c>
      <c r="C187" s="24" t="n">
        <f aca="false">G186</f>
        <v>0</v>
      </c>
      <c r="D187" s="45" t="n">
        <f aca="false">E187-F187</f>
        <v>0</v>
      </c>
      <c r="E187" s="24" t="n">
        <f aca="false">SUMPRODUCT((Income!D$3:D$502="GBP")*(Income!A$3:A$502=B187)*(Income!A$3:A$502&lt;&gt;"")*Income!C$3:C$502)</f>
        <v>0</v>
      </c>
      <c r="F187" s="24" t="n">
        <f aca="false">SUMPRODUCT((Expenses!E$3:E$1002="GBP")*(Expenses!A$3:A$1002=B187)*(Expenses!A$3:A$1002&lt;&gt;"")*Expenses!D$3:D$1002)</f>
        <v>0</v>
      </c>
      <c r="G187" s="45" t="n">
        <f aca="false">C187+D187</f>
        <v>0</v>
      </c>
      <c r="H187" s="26"/>
    </row>
    <row r="188" customFormat="false" ht="15" hidden="false" customHeight="false" outlineLevel="0" collapsed="false">
      <c r="A188" s="5" t="n">
        <v>27</v>
      </c>
      <c r="B188" s="57" t="n">
        <v>46208</v>
      </c>
      <c r="C188" s="24" t="n">
        <f aca="false">G187</f>
        <v>0</v>
      </c>
      <c r="D188" s="45" t="n">
        <f aca="false">E188-F188</f>
        <v>0</v>
      </c>
      <c r="E188" s="24" t="n">
        <f aca="false">SUMPRODUCT((Income!D$3:D$502="GBP")*(Income!A$3:A$502=B188)*(Income!A$3:A$502&lt;&gt;"")*Income!C$3:C$502)</f>
        <v>0</v>
      </c>
      <c r="F188" s="24" t="n">
        <f aca="false">SUMPRODUCT((Expenses!E$3:E$1002="GBP")*(Expenses!A$3:A$1002=B188)*(Expenses!A$3:A$1002&lt;&gt;"")*Expenses!D$3:D$1002)</f>
        <v>0</v>
      </c>
      <c r="G188" s="45" t="n">
        <f aca="false">C188+D188</f>
        <v>0</v>
      </c>
      <c r="H188" s="26"/>
    </row>
    <row r="189" customFormat="false" ht="15" hidden="false" customHeight="false" outlineLevel="0" collapsed="false">
      <c r="A189" s="5" t="n">
        <v>28</v>
      </c>
      <c r="B189" s="57" t="n">
        <v>46209</v>
      </c>
      <c r="C189" s="24" t="n">
        <f aca="false">G188</f>
        <v>0</v>
      </c>
      <c r="D189" s="45" t="n">
        <f aca="false">E189-F189</f>
        <v>0</v>
      </c>
      <c r="E189" s="24" t="n">
        <f aca="false">SUMPRODUCT((Income!D$3:D$502="GBP")*(Income!A$3:A$502=B189)*(Income!A$3:A$502&lt;&gt;"")*Income!C$3:C$502)</f>
        <v>0</v>
      </c>
      <c r="F189" s="24" t="n">
        <f aca="false">SUMPRODUCT((Expenses!E$3:E$1002="GBP")*(Expenses!A$3:A$1002=B189)*(Expenses!A$3:A$1002&lt;&gt;"")*Expenses!D$3:D$1002)</f>
        <v>0</v>
      </c>
      <c r="G189" s="45" t="n">
        <f aca="false">C189+D189</f>
        <v>0</v>
      </c>
      <c r="H189" s="26"/>
    </row>
    <row r="190" customFormat="false" ht="15" hidden="false" customHeight="false" outlineLevel="0" collapsed="false">
      <c r="A190" s="5" t="n">
        <v>28</v>
      </c>
      <c r="B190" s="57" t="n">
        <v>46210</v>
      </c>
      <c r="C190" s="24" t="n">
        <f aca="false">G189</f>
        <v>0</v>
      </c>
      <c r="D190" s="45" t="n">
        <f aca="false">E190-F190</f>
        <v>0</v>
      </c>
      <c r="E190" s="24" t="n">
        <f aca="false">SUMPRODUCT((Income!D$3:D$502="GBP")*(Income!A$3:A$502=B190)*(Income!A$3:A$502&lt;&gt;"")*Income!C$3:C$502)</f>
        <v>0</v>
      </c>
      <c r="F190" s="24" t="n">
        <f aca="false">SUMPRODUCT((Expenses!E$3:E$1002="GBP")*(Expenses!A$3:A$1002=B190)*(Expenses!A$3:A$1002&lt;&gt;"")*Expenses!D$3:D$1002)</f>
        <v>0</v>
      </c>
      <c r="G190" s="45" t="n">
        <f aca="false">C190+D190</f>
        <v>0</v>
      </c>
      <c r="H190" s="26"/>
    </row>
    <row r="191" customFormat="false" ht="15" hidden="false" customHeight="false" outlineLevel="0" collapsed="false">
      <c r="A191" s="5" t="n">
        <v>28</v>
      </c>
      <c r="B191" s="57" t="n">
        <v>46211</v>
      </c>
      <c r="C191" s="24" t="n">
        <f aca="false">G190</f>
        <v>0</v>
      </c>
      <c r="D191" s="45" t="n">
        <f aca="false">E191-F191</f>
        <v>0</v>
      </c>
      <c r="E191" s="24" t="n">
        <f aca="false">SUMPRODUCT((Income!D$3:D$502="GBP")*(Income!A$3:A$502=B191)*(Income!A$3:A$502&lt;&gt;"")*Income!C$3:C$502)</f>
        <v>0</v>
      </c>
      <c r="F191" s="24" t="n">
        <f aca="false">SUMPRODUCT((Expenses!E$3:E$1002="GBP")*(Expenses!A$3:A$1002=B191)*(Expenses!A$3:A$1002&lt;&gt;"")*Expenses!D$3:D$1002)</f>
        <v>0</v>
      </c>
      <c r="G191" s="45" t="n">
        <f aca="false">C191+D191</f>
        <v>0</v>
      </c>
      <c r="H191" s="26"/>
    </row>
    <row r="192" customFormat="false" ht="15" hidden="false" customHeight="false" outlineLevel="0" collapsed="false">
      <c r="A192" s="5" t="n">
        <v>28</v>
      </c>
      <c r="B192" s="57" t="n">
        <v>46212</v>
      </c>
      <c r="C192" s="24" t="n">
        <f aca="false">G191</f>
        <v>0</v>
      </c>
      <c r="D192" s="45" t="n">
        <f aca="false">E192-F192</f>
        <v>0</v>
      </c>
      <c r="E192" s="24" t="n">
        <f aca="false">SUMPRODUCT((Income!D$3:D$502="GBP")*(Income!A$3:A$502=B192)*(Income!A$3:A$502&lt;&gt;"")*Income!C$3:C$502)</f>
        <v>0</v>
      </c>
      <c r="F192" s="24" t="n">
        <f aca="false">SUMPRODUCT((Expenses!E$3:E$1002="GBP")*(Expenses!A$3:A$1002=B192)*(Expenses!A$3:A$1002&lt;&gt;"")*Expenses!D$3:D$1002)</f>
        <v>0</v>
      </c>
      <c r="G192" s="45" t="n">
        <f aca="false">C192+D192</f>
        <v>0</v>
      </c>
      <c r="H192" s="26"/>
    </row>
    <row r="193" customFormat="false" ht="15" hidden="false" customHeight="false" outlineLevel="0" collapsed="false">
      <c r="A193" s="5" t="n">
        <v>28</v>
      </c>
      <c r="B193" s="57" t="n">
        <v>46213</v>
      </c>
      <c r="C193" s="24" t="n">
        <f aca="false">G192</f>
        <v>0</v>
      </c>
      <c r="D193" s="45" t="n">
        <f aca="false">E193-F193</f>
        <v>0</v>
      </c>
      <c r="E193" s="24" t="n">
        <f aca="false">SUMPRODUCT((Income!D$3:D$502="GBP")*(Income!A$3:A$502=B193)*(Income!A$3:A$502&lt;&gt;"")*Income!C$3:C$502)</f>
        <v>0</v>
      </c>
      <c r="F193" s="24" t="n">
        <f aca="false">SUMPRODUCT((Expenses!E$3:E$1002="GBP")*(Expenses!A$3:A$1002=B193)*(Expenses!A$3:A$1002&lt;&gt;"")*Expenses!D$3:D$1002)</f>
        <v>0</v>
      </c>
      <c r="G193" s="45" t="n">
        <f aca="false">C193+D193</f>
        <v>0</v>
      </c>
      <c r="H193" s="26"/>
    </row>
    <row r="194" customFormat="false" ht="15" hidden="false" customHeight="false" outlineLevel="0" collapsed="false">
      <c r="A194" s="5" t="n">
        <v>28</v>
      </c>
      <c r="B194" s="57" t="n">
        <v>46214</v>
      </c>
      <c r="C194" s="24" t="n">
        <f aca="false">G193</f>
        <v>0</v>
      </c>
      <c r="D194" s="45" t="n">
        <f aca="false">E194-F194</f>
        <v>0</v>
      </c>
      <c r="E194" s="24" t="n">
        <f aca="false">SUMPRODUCT((Income!D$3:D$502="GBP")*(Income!A$3:A$502=B194)*(Income!A$3:A$502&lt;&gt;"")*Income!C$3:C$502)</f>
        <v>0</v>
      </c>
      <c r="F194" s="24" t="n">
        <f aca="false">SUMPRODUCT((Expenses!E$3:E$1002="GBP")*(Expenses!A$3:A$1002=B194)*(Expenses!A$3:A$1002&lt;&gt;"")*Expenses!D$3:D$1002)</f>
        <v>0</v>
      </c>
      <c r="G194" s="45" t="n">
        <f aca="false">C194+D194</f>
        <v>0</v>
      </c>
      <c r="H194" s="26"/>
    </row>
    <row r="195" customFormat="false" ht="15" hidden="false" customHeight="false" outlineLevel="0" collapsed="false">
      <c r="A195" s="5" t="n">
        <v>28</v>
      </c>
      <c r="B195" s="57" t="n">
        <v>46215</v>
      </c>
      <c r="C195" s="24" t="n">
        <f aca="false">G194</f>
        <v>0</v>
      </c>
      <c r="D195" s="45" t="n">
        <f aca="false">E195-F195</f>
        <v>0</v>
      </c>
      <c r="E195" s="24" t="n">
        <f aca="false">SUMPRODUCT((Income!D$3:D$502="GBP")*(Income!A$3:A$502=B195)*(Income!A$3:A$502&lt;&gt;"")*Income!C$3:C$502)</f>
        <v>0</v>
      </c>
      <c r="F195" s="24" t="n">
        <f aca="false">SUMPRODUCT((Expenses!E$3:E$1002="GBP")*(Expenses!A$3:A$1002=B195)*(Expenses!A$3:A$1002&lt;&gt;"")*Expenses!D$3:D$1002)</f>
        <v>0</v>
      </c>
      <c r="G195" s="45" t="n">
        <f aca="false">C195+D195</f>
        <v>0</v>
      </c>
      <c r="H195" s="26"/>
    </row>
    <row r="196" customFormat="false" ht="15" hidden="false" customHeight="false" outlineLevel="0" collapsed="false">
      <c r="A196" s="5" t="n">
        <v>29</v>
      </c>
      <c r="B196" s="57" t="n">
        <v>46216</v>
      </c>
      <c r="C196" s="24" t="n">
        <f aca="false">G195</f>
        <v>0</v>
      </c>
      <c r="D196" s="45" t="n">
        <f aca="false">E196-F196</f>
        <v>0</v>
      </c>
      <c r="E196" s="24" t="n">
        <f aca="false">SUMPRODUCT((Income!D$3:D$502="GBP")*(Income!A$3:A$502=B196)*(Income!A$3:A$502&lt;&gt;"")*Income!C$3:C$502)</f>
        <v>0</v>
      </c>
      <c r="F196" s="24" t="n">
        <f aca="false">SUMPRODUCT((Expenses!E$3:E$1002="GBP")*(Expenses!A$3:A$1002=B196)*(Expenses!A$3:A$1002&lt;&gt;"")*Expenses!D$3:D$1002)</f>
        <v>0</v>
      </c>
      <c r="G196" s="45" t="n">
        <f aca="false">C196+D196</f>
        <v>0</v>
      </c>
      <c r="H196" s="26"/>
    </row>
    <row r="197" customFormat="false" ht="15" hidden="false" customHeight="false" outlineLevel="0" collapsed="false">
      <c r="A197" s="5" t="n">
        <v>29</v>
      </c>
      <c r="B197" s="57" t="n">
        <v>46217</v>
      </c>
      <c r="C197" s="24" t="n">
        <f aca="false">G196</f>
        <v>0</v>
      </c>
      <c r="D197" s="45" t="n">
        <f aca="false">E197-F197</f>
        <v>0</v>
      </c>
      <c r="E197" s="24" t="n">
        <f aca="false">SUMPRODUCT((Income!D$3:D$502="GBP")*(Income!A$3:A$502=B197)*(Income!A$3:A$502&lt;&gt;"")*Income!C$3:C$502)</f>
        <v>0</v>
      </c>
      <c r="F197" s="24" t="n">
        <f aca="false">SUMPRODUCT((Expenses!E$3:E$1002="GBP")*(Expenses!A$3:A$1002=B197)*(Expenses!A$3:A$1002&lt;&gt;"")*Expenses!D$3:D$1002)</f>
        <v>0</v>
      </c>
      <c r="G197" s="45" t="n">
        <f aca="false">C197+D197</f>
        <v>0</v>
      </c>
      <c r="H197" s="26"/>
    </row>
    <row r="198" customFormat="false" ht="15" hidden="false" customHeight="false" outlineLevel="0" collapsed="false">
      <c r="A198" s="5" t="n">
        <v>29</v>
      </c>
      <c r="B198" s="57" t="n">
        <v>46218</v>
      </c>
      <c r="C198" s="24" t="n">
        <f aca="false">G197</f>
        <v>0</v>
      </c>
      <c r="D198" s="45" t="n">
        <f aca="false">E198-F198</f>
        <v>0</v>
      </c>
      <c r="E198" s="24" t="n">
        <f aca="false">SUMPRODUCT((Income!D$3:D$502="GBP")*(Income!A$3:A$502=B198)*(Income!A$3:A$502&lt;&gt;"")*Income!C$3:C$502)</f>
        <v>0</v>
      </c>
      <c r="F198" s="24" t="n">
        <f aca="false">SUMPRODUCT((Expenses!E$3:E$1002="GBP")*(Expenses!A$3:A$1002=B198)*(Expenses!A$3:A$1002&lt;&gt;"")*Expenses!D$3:D$1002)</f>
        <v>0</v>
      </c>
      <c r="G198" s="45" t="n">
        <f aca="false">C198+D198</f>
        <v>0</v>
      </c>
      <c r="H198" s="26"/>
    </row>
    <row r="199" customFormat="false" ht="15" hidden="false" customHeight="false" outlineLevel="0" collapsed="false">
      <c r="A199" s="5" t="n">
        <v>29</v>
      </c>
      <c r="B199" s="57" t="n">
        <v>46219</v>
      </c>
      <c r="C199" s="24" t="n">
        <f aca="false">G198</f>
        <v>0</v>
      </c>
      <c r="D199" s="45" t="n">
        <f aca="false">E199-F199</f>
        <v>0</v>
      </c>
      <c r="E199" s="24" t="n">
        <f aca="false">SUMPRODUCT((Income!D$3:D$502="GBP")*(Income!A$3:A$502=B199)*(Income!A$3:A$502&lt;&gt;"")*Income!C$3:C$502)</f>
        <v>0</v>
      </c>
      <c r="F199" s="24" t="n">
        <f aca="false">SUMPRODUCT((Expenses!E$3:E$1002="GBP")*(Expenses!A$3:A$1002=B199)*(Expenses!A$3:A$1002&lt;&gt;"")*Expenses!D$3:D$1002)</f>
        <v>0</v>
      </c>
      <c r="G199" s="45" t="n">
        <f aca="false">C199+D199</f>
        <v>0</v>
      </c>
      <c r="H199" s="26"/>
    </row>
    <row r="200" customFormat="false" ht="15" hidden="false" customHeight="false" outlineLevel="0" collapsed="false">
      <c r="A200" s="5" t="n">
        <v>29</v>
      </c>
      <c r="B200" s="57" t="n">
        <v>46220</v>
      </c>
      <c r="C200" s="24" t="n">
        <f aca="false">G199</f>
        <v>0</v>
      </c>
      <c r="D200" s="45" t="n">
        <f aca="false">E200-F200</f>
        <v>0</v>
      </c>
      <c r="E200" s="24" t="n">
        <f aca="false">SUMPRODUCT((Income!D$3:D$502="GBP")*(Income!A$3:A$502=B200)*(Income!A$3:A$502&lt;&gt;"")*Income!C$3:C$502)</f>
        <v>0</v>
      </c>
      <c r="F200" s="24" t="n">
        <f aca="false">SUMPRODUCT((Expenses!E$3:E$1002="GBP")*(Expenses!A$3:A$1002=B200)*(Expenses!A$3:A$1002&lt;&gt;"")*Expenses!D$3:D$1002)</f>
        <v>0</v>
      </c>
      <c r="G200" s="45" t="n">
        <f aca="false">C200+D200</f>
        <v>0</v>
      </c>
      <c r="H200" s="26"/>
    </row>
    <row r="201" customFormat="false" ht="15" hidden="false" customHeight="false" outlineLevel="0" collapsed="false">
      <c r="A201" s="5" t="n">
        <v>29</v>
      </c>
      <c r="B201" s="57" t="n">
        <v>46221</v>
      </c>
      <c r="C201" s="24" t="n">
        <f aca="false">G200</f>
        <v>0</v>
      </c>
      <c r="D201" s="45" t="n">
        <f aca="false">E201-F201</f>
        <v>0</v>
      </c>
      <c r="E201" s="24" t="n">
        <f aca="false">SUMPRODUCT((Income!D$3:D$502="GBP")*(Income!A$3:A$502=B201)*(Income!A$3:A$502&lt;&gt;"")*Income!C$3:C$502)</f>
        <v>0</v>
      </c>
      <c r="F201" s="24" t="n">
        <f aca="false">SUMPRODUCT((Expenses!E$3:E$1002="GBP")*(Expenses!A$3:A$1002=B201)*(Expenses!A$3:A$1002&lt;&gt;"")*Expenses!D$3:D$1002)</f>
        <v>0</v>
      </c>
      <c r="G201" s="45" t="n">
        <f aca="false">C201+D201</f>
        <v>0</v>
      </c>
      <c r="H201" s="26"/>
    </row>
    <row r="202" customFormat="false" ht="15" hidden="false" customHeight="false" outlineLevel="0" collapsed="false">
      <c r="A202" s="5" t="n">
        <v>29</v>
      </c>
      <c r="B202" s="57" t="n">
        <v>46222</v>
      </c>
      <c r="C202" s="24" t="n">
        <f aca="false">G201</f>
        <v>0</v>
      </c>
      <c r="D202" s="45" t="n">
        <f aca="false">E202-F202</f>
        <v>0</v>
      </c>
      <c r="E202" s="24" t="n">
        <f aca="false">SUMPRODUCT((Income!D$3:D$502="GBP")*(Income!A$3:A$502=B202)*(Income!A$3:A$502&lt;&gt;"")*Income!C$3:C$502)</f>
        <v>0</v>
      </c>
      <c r="F202" s="24" t="n">
        <f aca="false">SUMPRODUCT((Expenses!E$3:E$1002="GBP")*(Expenses!A$3:A$1002=B202)*(Expenses!A$3:A$1002&lt;&gt;"")*Expenses!D$3:D$1002)</f>
        <v>0</v>
      </c>
      <c r="G202" s="45" t="n">
        <f aca="false">C202+D202</f>
        <v>0</v>
      </c>
      <c r="H202" s="26"/>
    </row>
    <row r="203" customFormat="false" ht="15" hidden="false" customHeight="false" outlineLevel="0" collapsed="false">
      <c r="A203" s="5" t="n">
        <v>30</v>
      </c>
      <c r="B203" s="57" t="n">
        <v>46223</v>
      </c>
      <c r="C203" s="24" t="n">
        <f aca="false">G202</f>
        <v>0</v>
      </c>
      <c r="D203" s="45" t="n">
        <f aca="false">E203-F203</f>
        <v>0</v>
      </c>
      <c r="E203" s="24" t="n">
        <f aca="false">SUMPRODUCT((Income!D$3:D$502="GBP")*(Income!A$3:A$502=B203)*(Income!A$3:A$502&lt;&gt;"")*Income!C$3:C$502)</f>
        <v>0</v>
      </c>
      <c r="F203" s="24" t="n">
        <f aca="false">SUMPRODUCT((Expenses!E$3:E$1002="GBP")*(Expenses!A$3:A$1002=B203)*(Expenses!A$3:A$1002&lt;&gt;"")*Expenses!D$3:D$1002)</f>
        <v>0</v>
      </c>
      <c r="G203" s="45" t="n">
        <f aca="false">C203+D203</f>
        <v>0</v>
      </c>
      <c r="H203" s="26"/>
    </row>
    <row r="204" customFormat="false" ht="15" hidden="false" customHeight="false" outlineLevel="0" collapsed="false">
      <c r="A204" s="5" t="n">
        <v>30</v>
      </c>
      <c r="B204" s="57" t="n">
        <v>46224</v>
      </c>
      <c r="C204" s="24" t="n">
        <f aca="false">G203</f>
        <v>0</v>
      </c>
      <c r="D204" s="45" t="n">
        <f aca="false">E204-F204</f>
        <v>0</v>
      </c>
      <c r="E204" s="24" t="n">
        <f aca="false">SUMPRODUCT((Income!D$3:D$502="GBP")*(Income!A$3:A$502=B204)*(Income!A$3:A$502&lt;&gt;"")*Income!C$3:C$502)</f>
        <v>0</v>
      </c>
      <c r="F204" s="24" t="n">
        <f aca="false">SUMPRODUCT((Expenses!E$3:E$1002="GBP")*(Expenses!A$3:A$1002=B204)*(Expenses!A$3:A$1002&lt;&gt;"")*Expenses!D$3:D$1002)</f>
        <v>0</v>
      </c>
      <c r="G204" s="45" t="n">
        <f aca="false">C204+D204</f>
        <v>0</v>
      </c>
      <c r="H204" s="26"/>
    </row>
    <row r="205" customFormat="false" ht="15" hidden="false" customHeight="false" outlineLevel="0" collapsed="false">
      <c r="A205" s="5" t="n">
        <v>30</v>
      </c>
      <c r="B205" s="57" t="n">
        <v>46225</v>
      </c>
      <c r="C205" s="24" t="n">
        <f aca="false">G204</f>
        <v>0</v>
      </c>
      <c r="D205" s="45" t="n">
        <f aca="false">E205-F205</f>
        <v>0</v>
      </c>
      <c r="E205" s="24" t="n">
        <f aca="false">SUMPRODUCT((Income!D$3:D$502="GBP")*(Income!A$3:A$502=B205)*(Income!A$3:A$502&lt;&gt;"")*Income!C$3:C$502)</f>
        <v>0</v>
      </c>
      <c r="F205" s="24" t="n">
        <f aca="false">SUMPRODUCT((Expenses!E$3:E$1002="GBP")*(Expenses!A$3:A$1002=B205)*(Expenses!A$3:A$1002&lt;&gt;"")*Expenses!D$3:D$1002)</f>
        <v>0</v>
      </c>
      <c r="G205" s="45" t="n">
        <f aca="false">C205+D205</f>
        <v>0</v>
      </c>
      <c r="H205" s="26"/>
    </row>
    <row r="206" customFormat="false" ht="15" hidden="false" customHeight="false" outlineLevel="0" collapsed="false">
      <c r="A206" s="5" t="n">
        <v>30</v>
      </c>
      <c r="B206" s="57" t="n">
        <v>46226</v>
      </c>
      <c r="C206" s="24" t="n">
        <f aca="false">G205</f>
        <v>0</v>
      </c>
      <c r="D206" s="45" t="n">
        <f aca="false">E206-F206</f>
        <v>0</v>
      </c>
      <c r="E206" s="24" t="n">
        <f aca="false">SUMPRODUCT((Income!D$3:D$502="GBP")*(Income!A$3:A$502=B206)*(Income!A$3:A$502&lt;&gt;"")*Income!C$3:C$502)</f>
        <v>0</v>
      </c>
      <c r="F206" s="24" t="n">
        <f aca="false">SUMPRODUCT((Expenses!E$3:E$1002="GBP")*(Expenses!A$3:A$1002=B206)*(Expenses!A$3:A$1002&lt;&gt;"")*Expenses!D$3:D$1002)</f>
        <v>0</v>
      </c>
      <c r="G206" s="45" t="n">
        <f aca="false">C206+D206</f>
        <v>0</v>
      </c>
      <c r="H206" s="26"/>
    </row>
    <row r="207" customFormat="false" ht="15" hidden="false" customHeight="false" outlineLevel="0" collapsed="false">
      <c r="A207" s="5" t="n">
        <v>30</v>
      </c>
      <c r="B207" s="57" t="n">
        <v>46227</v>
      </c>
      <c r="C207" s="24" t="n">
        <f aca="false">G206</f>
        <v>0</v>
      </c>
      <c r="D207" s="45" t="n">
        <f aca="false">E207-F207</f>
        <v>0</v>
      </c>
      <c r="E207" s="24" t="n">
        <f aca="false">SUMPRODUCT((Income!D$3:D$502="GBP")*(Income!A$3:A$502=B207)*(Income!A$3:A$502&lt;&gt;"")*Income!C$3:C$502)</f>
        <v>0</v>
      </c>
      <c r="F207" s="24" t="n">
        <f aca="false">SUMPRODUCT((Expenses!E$3:E$1002="GBP")*(Expenses!A$3:A$1002=B207)*(Expenses!A$3:A$1002&lt;&gt;"")*Expenses!D$3:D$1002)</f>
        <v>0</v>
      </c>
      <c r="G207" s="45" t="n">
        <f aca="false">C207+D207</f>
        <v>0</v>
      </c>
      <c r="H207" s="26"/>
    </row>
    <row r="208" customFormat="false" ht="15" hidden="false" customHeight="false" outlineLevel="0" collapsed="false">
      <c r="A208" s="5" t="n">
        <v>30</v>
      </c>
      <c r="B208" s="57" t="n">
        <v>46228</v>
      </c>
      <c r="C208" s="24" t="n">
        <f aca="false">G207</f>
        <v>0</v>
      </c>
      <c r="D208" s="45" t="n">
        <f aca="false">E208-F208</f>
        <v>0</v>
      </c>
      <c r="E208" s="24" t="n">
        <f aca="false">SUMPRODUCT((Income!D$3:D$502="GBP")*(Income!A$3:A$502=B208)*(Income!A$3:A$502&lt;&gt;"")*Income!C$3:C$502)</f>
        <v>0</v>
      </c>
      <c r="F208" s="24" t="n">
        <f aca="false">SUMPRODUCT((Expenses!E$3:E$1002="GBP")*(Expenses!A$3:A$1002=B208)*(Expenses!A$3:A$1002&lt;&gt;"")*Expenses!D$3:D$1002)</f>
        <v>0</v>
      </c>
      <c r="G208" s="45" t="n">
        <f aca="false">C208+D208</f>
        <v>0</v>
      </c>
      <c r="H208" s="26"/>
    </row>
    <row r="209" customFormat="false" ht="15" hidden="false" customHeight="false" outlineLevel="0" collapsed="false">
      <c r="A209" s="5" t="n">
        <v>30</v>
      </c>
      <c r="B209" s="57" t="n">
        <v>46229</v>
      </c>
      <c r="C209" s="24" t="n">
        <f aca="false">G208</f>
        <v>0</v>
      </c>
      <c r="D209" s="45" t="n">
        <f aca="false">E209-F209</f>
        <v>0</v>
      </c>
      <c r="E209" s="24" t="n">
        <f aca="false">SUMPRODUCT((Income!D$3:D$502="GBP")*(Income!A$3:A$502=B209)*(Income!A$3:A$502&lt;&gt;"")*Income!C$3:C$502)</f>
        <v>0</v>
      </c>
      <c r="F209" s="24" t="n">
        <f aca="false">SUMPRODUCT((Expenses!E$3:E$1002="GBP")*(Expenses!A$3:A$1002=B209)*(Expenses!A$3:A$1002&lt;&gt;"")*Expenses!D$3:D$1002)</f>
        <v>0</v>
      </c>
      <c r="G209" s="45" t="n">
        <f aca="false">C209+D209</f>
        <v>0</v>
      </c>
      <c r="H209" s="26"/>
    </row>
    <row r="210" customFormat="false" ht="15" hidden="false" customHeight="false" outlineLevel="0" collapsed="false">
      <c r="A210" s="5" t="n">
        <v>31</v>
      </c>
      <c r="B210" s="57" t="n">
        <v>46230</v>
      </c>
      <c r="C210" s="24" t="n">
        <f aca="false">G209</f>
        <v>0</v>
      </c>
      <c r="D210" s="45" t="n">
        <f aca="false">E210-F210</f>
        <v>0</v>
      </c>
      <c r="E210" s="24" t="n">
        <f aca="false">SUMPRODUCT((Income!D$3:D$502="GBP")*(Income!A$3:A$502=B210)*(Income!A$3:A$502&lt;&gt;"")*Income!C$3:C$502)</f>
        <v>0</v>
      </c>
      <c r="F210" s="24" t="n">
        <f aca="false">SUMPRODUCT((Expenses!E$3:E$1002="GBP")*(Expenses!A$3:A$1002=B210)*(Expenses!A$3:A$1002&lt;&gt;"")*Expenses!D$3:D$1002)</f>
        <v>0</v>
      </c>
      <c r="G210" s="45" t="n">
        <f aca="false">C210+D210</f>
        <v>0</v>
      </c>
      <c r="H210" s="26"/>
    </row>
    <row r="211" customFormat="false" ht="15" hidden="false" customHeight="false" outlineLevel="0" collapsed="false">
      <c r="A211" s="5" t="n">
        <v>31</v>
      </c>
      <c r="B211" s="57" t="n">
        <v>46231</v>
      </c>
      <c r="C211" s="24" t="n">
        <f aca="false">G210</f>
        <v>0</v>
      </c>
      <c r="D211" s="45" t="n">
        <f aca="false">E211-F211</f>
        <v>0</v>
      </c>
      <c r="E211" s="24" t="n">
        <f aca="false">SUMPRODUCT((Income!D$3:D$502="GBP")*(Income!A$3:A$502=B211)*(Income!A$3:A$502&lt;&gt;"")*Income!C$3:C$502)</f>
        <v>0</v>
      </c>
      <c r="F211" s="24" t="n">
        <f aca="false">SUMPRODUCT((Expenses!E$3:E$1002="GBP")*(Expenses!A$3:A$1002=B211)*(Expenses!A$3:A$1002&lt;&gt;"")*Expenses!D$3:D$1002)</f>
        <v>0</v>
      </c>
      <c r="G211" s="45" t="n">
        <f aca="false">C211+D211</f>
        <v>0</v>
      </c>
      <c r="H211" s="26"/>
    </row>
    <row r="212" customFormat="false" ht="15" hidden="false" customHeight="false" outlineLevel="0" collapsed="false">
      <c r="A212" s="5" t="n">
        <v>31</v>
      </c>
      <c r="B212" s="57" t="n">
        <v>46232</v>
      </c>
      <c r="C212" s="24" t="n">
        <f aca="false">G211</f>
        <v>0</v>
      </c>
      <c r="D212" s="45" t="n">
        <f aca="false">E212-F212</f>
        <v>0</v>
      </c>
      <c r="E212" s="24" t="n">
        <f aca="false">SUMPRODUCT((Income!D$3:D$502="GBP")*(Income!A$3:A$502=B212)*(Income!A$3:A$502&lt;&gt;"")*Income!C$3:C$502)</f>
        <v>0</v>
      </c>
      <c r="F212" s="24" t="n">
        <f aca="false">SUMPRODUCT((Expenses!E$3:E$1002="GBP")*(Expenses!A$3:A$1002=B212)*(Expenses!A$3:A$1002&lt;&gt;"")*Expenses!D$3:D$1002)</f>
        <v>0</v>
      </c>
      <c r="G212" s="45" t="n">
        <f aca="false">C212+D212</f>
        <v>0</v>
      </c>
      <c r="H212" s="26"/>
    </row>
    <row r="213" customFormat="false" ht="15" hidden="false" customHeight="false" outlineLevel="0" collapsed="false">
      <c r="A213" s="5" t="n">
        <v>31</v>
      </c>
      <c r="B213" s="57" t="n">
        <v>46233</v>
      </c>
      <c r="C213" s="24" t="n">
        <f aca="false">G212</f>
        <v>0</v>
      </c>
      <c r="D213" s="45" t="n">
        <f aca="false">E213-F213</f>
        <v>0</v>
      </c>
      <c r="E213" s="24" t="n">
        <f aca="false">SUMPRODUCT((Income!D$3:D$502="GBP")*(Income!A$3:A$502=B213)*(Income!A$3:A$502&lt;&gt;"")*Income!C$3:C$502)</f>
        <v>0</v>
      </c>
      <c r="F213" s="24" t="n">
        <f aca="false">SUMPRODUCT((Expenses!E$3:E$1002="GBP")*(Expenses!A$3:A$1002=B213)*(Expenses!A$3:A$1002&lt;&gt;"")*Expenses!D$3:D$1002)</f>
        <v>0</v>
      </c>
      <c r="G213" s="45" t="n">
        <f aca="false">C213+D213</f>
        <v>0</v>
      </c>
      <c r="H213" s="26"/>
    </row>
    <row r="214" customFormat="false" ht="15" hidden="false" customHeight="false" outlineLevel="0" collapsed="false">
      <c r="A214" s="5" t="n">
        <v>31</v>
      </c>
      <c r="B214" s="57" t="n">
        <v>46234</v>
      </c>
      <c r="C214" s="24" t="n">
        <f aca="false">G213</f>
        <v>0</v>
      </c>
      <c r="D214" s="45" t="n">
        <f aca="false">E214-F214</f>
        <v>0</v>
      </c>
      <c r="E214" s="24" t="n">
        <f aca="false">SUMPRODUCT((Income!D$3:D$502="GBP")*(Income!A$3:A$502=B214)*(Income!A$3:A$502&lt;&gt;"")*Income!C$3:C$502)</f>
        <v>0</v>
      </c>
      <c r="F214" s="24" t="n">
        <f aca="false">SUMPRODUCT((Expenses!E$3:E$1002="GBP")*(Expenses!A$3:A$1002=B214)*(Expenses!A$3:A$1002&lt;&gt;"")*Expenses!D$3:D$1002)</f>
        <v>0</v>
      </c>
      <c r="G214" s="45" t="n">
        <f aca="false">C214+D214</f>
        <v>0</v>
      </c>
      <c r="H214" s="26"/>
    </row>
    <row r="215" customFormat="false" ht="15" hidden="false" customHeight="false" outlineLevel="0" collapsed="false">
      <c r="A215" s="5" t="n">
        <v>31</v>
      </c>
      <c r="B215" s="57" t="n">
        <v>46235</v>
      </c>
      <c r="C215" s="24" t="n">
        <f aca="false">G214</f>
        <v>0</v>
      </c>
      <c r="D215" s="45" t="n">
        <f aca="false">E215-F215</f>
        <v>0</v>
      </c>
      <c r="E215" s="24" t="n">
        <f aca="false">SUMPRODUCT((Income!D$3:D$502="GBP")*(Income!A$3:A$502=B215)*(Income!A$3:A$502&lt;&gt;"")*Income!C$3:C$502)</f>
        <v>0</v>
      </c>
      <c r="F215" s="24" t="n">
        <f aca="false">SUMPRODUCT((Expenses!E$3:E$1002="GBP")*(Expenses!A$3:A$1002=B215)*(Expenses!A$3:A$1002&lt;&gt;"")*Expenses!D$3:D$1002)</f>
        <v>0</v>
      </c>
      <c r="G215" s="45" t="n">
        <f aca="false">C215+D215</f>
        <v>0</v>
      </c>
      <c r="H215" s="26"/>
    </row>
    <row r="216" customFormat="false" ht="15" hidden="false" customHeight="false" outlineLevel="0" collapsed="false">
      <c r="A216" s="5" t="n">
        <v>31</v>
      </c>
      <c r="B216" s="57" t="n">
        <v>46236</v>
      </c>
      <c r="C216" s="24" t="n">
        <f aca="false">G215</f>
        <v>0</v>
      </c>
      <c r="D216" s="45" t="n">
        <f aca="false">E216-F216</f>
        <v>0</v>
      </c>
      <c r="E216" s="24" t="n">
        <f aca="false">SUMPRODUCT((Income!D$3:D$502="GBP")*(Income!A$3:A$502=B216)*(Income!A$3:A$502&lt;&gt;"")*Income!C$3:C$502)</f>
        <v>0</v>
      </c>
      <c r="F216" s="24" t="n">
        <f aca="false">SUMPRODUCT((Expenses!E$3:E$1002="GBP")*(Expenses!A$3:A$1002=B216)*(Expenses!A$3:A$1002&lt;&gt;"")*Expenses!D$3:D$1002)</f>
        <v>0</v>
      </c>
      <c r="G216" s="45" t="n">
        <f aca="false">C216+D216</f>
        <v>0</v>
      </c>
      <c r="H216" s="26"/>
    </row>
    <row r="217" customFormat="false" ht="15" hidden="false" customHeight="false" outlineLevel="0" collapsed="false">
      <c r="A217" s="5" t="n">
        <v>32</v>
      </c>
      <c r="B217" s="57" t="n">
        <v>46237</v>
      </c>
      <c r="C217" s="24" t="n">
        <f aca="false">G216</f>
        <v>0</v>
      </c>
      <c r="D217" s="45" t="n">
        <f aca="false">E217-F217</f>
        <v>0</v>
      </c>
      <c r="E217" s="24" t="n">
        <f aca="false">SUMPRODUCT((Income!D$3:D$502="GBP")*(Income!A$3:A$502=B217)*(Income!A$3:A$502&lt;&gt;"")*Income!C$3:C$502)</f>
        <v>0</v>
      </c>
      <c r="F217" s="24" t="n">
        <f aca="false">SUMPRODUCT((Expenses!E$3:E$1002="GBP")*(Expenses!A$3:A$1002=B217)*(Expenses!A$3:A$1002&lt;&gt;"")*Expenses!D$3:D$1002)</f>
        <v>0</v>
      </c>
      <c r="G217" s="45" t="n">
        <f aca="false">C217+D217</f>
        <v>0</v>
      </c>
      <c r="H217" s="26"/>
    </row>
    <row r="218" customFormat="false" ht="15" hidden="false" customHeight="false" outlineLevel="0" collapsed="false">
      <c r="A218" s="5" t="n">
        <v>32</v>
      </c>
      <c r="B218" s="57" t="n">
        <v>46238</v>
      </c>
      <c r="C218" s="24" t="n">
        <f aca="false">G217</f>
        <v>0</v>
      </c>
      <c r="D218" s="45" t="n">
        <f aca="false">E218-F218</f>
        <v>0</v>
      </c>
      <c r="E218" s="24" t="n">
        <f aca="false">SUMPRODUCT((Income!D$3:D$502="GBP")*(Income!A$3:A$502=B218)*(Income!A$3:A$502&lt;&gt;"")*Income!C$3:C$502)</f>
        <v>0</v>
      </c>
      <c r="F218" s="24" t="n">
        <f aca="false">SUMPRODUCT((Expenses!E$3:E$1002="GBP")*(Expenses!A$3:A$1002=B218)*(Expenses!A$3:A$1002&lt;&gt;"")*Expenses!D$3:D$1002)</f>
        <v>0</v>
      </c>
      <c r="G218" s="45" t="n">
        <f aca="false">C218+D218</f>
        <v>0</v>
      </c>
      <c r="H218" s="26"/>
    </row>
    <row r="219" customFormat="false" ht="15" hidden="false" customHeight="false" outlineLevel="0" collapsed="false">
      <c r="A219" s="5" t="n">
        <v>32</v>
      </c>
      <c r="B219" s="57" t="n">
        <v>46239</v>
      </c>
      <c r="C219" s="24" t="n">
        <f aca="false">G218</f>
        <v>0</v>
      </c>
      <c r="D219" s="45" t="n">
        <f aca="false">E219-F219</f>
        <v>0</v>
      </c>
      <c r="E219" s="24" t="n">
        <f aca="false">SUMPRODUCT((Income!D$3:D$502="GBP")*(Income!A$3:A$502=B219)*(Income!A$3:A$502&lt;&gt;"")*Income!C$3:C$502)</f>
        <v>0</v>
      </c>
      <c r="F219" s="24" t="n">
        <f aca="false">SUMPRODUCT((Expenses!E$3:E$1002="GBP")*(Expenses!A$3:A$1002=B219)*(Expenses!A$3:A$1002&lt;&gt;"")*Expenses!D$3:D$1002)</f>
        <v>0</v>
      </c>
      <c r="G219" s="45" t="n">
        <f aca="false">C219+D219</f>
        <v>0</v>
      </c>
      <c r="H219" s="26"/>
    </row>
    <row r="220" customFormat="false" ht="15" hidden="false" customHeight="false" outlineLevel="0" collapsed="false">
      <c r="A220" s="5" t="n">
        <v>32</v>
      </c>
      <c r="B220" s="57" t="n">
        <v>46240</v>
      </c>
      <c r="C220" s="24" t="n">
        <f aca="false">G219</f>
        <v>0</v>
      </c>
      <c r="D220" s="45" t="n">
        <f aca="false">E220-F220</f>
        <v>0</v>
      </c>
      <c r="E220" s="24" t="n">
        <f aca="false">SUMPRODUCT((Income!D$3:D$502="GBP")*(Income!A$3:A$502=B220)*(Income!A$3:A$502&lt;&gt;"")*Income!C$3:C$502)</f>
        <v>0</v>
      </c>
      <c r="F220" s="24" t="n">
        <f aca="false">SUMPRODUCT((Expenses!E$3:E$1002="GBP")*(Expenses!A$3:A$1002=B220)*(Expenses!A$3:A$1002&lt;&gt;"")*Expenses!D$3:D$1002)</f>
        <v>0</v>
      </c>
      <c r="G220" s="45" t="n">
        <f aca="false">C220+D220</f>
        <v>0</v>
      </c>
      <c r="H220" s="26"/>
    </row>
    <row r="221" customFormat="false" ht="15" hidden="false" customHeight="false" outlineLevel="0" collapsed="false">
      <c r="A221" s="5" t="n">
        <v>32</v>
      </c>
      <c r="B221" s="57" t="n">
        <v>46241</v>
      </c>
      <c r="C221" s="24" t="n">
        <f aca="false">G220</f>
        <v>0</v>
      </c>
      <c r="D221" s="45" t="n">
        <f aca="false">E221-F221</f>
        <v>0</v>
      </c>
      <c r="E221" s="24" t="n">
        <f aca="false">SUMPRODUCT((Income!D$3:D$502="GBP")*(Income!A$3:A$502=B221)*(Income!A$3:A$502&lt;&gt;"")*Income!C$3:C$502)</f>
        <v>0</v>
      </c>
      <c r="F221" s="24" t="n">
        <f aca="false">SUMPRODUCT((Expenses!E$3:E$1002="GBP")*(Expenses!A$3:A$1002=B221)*(Expenses!A$3:A$1002&lt;&gt;"")*Expenses!D$3:D$1002)</f>
        <v>0</v>
      </c>
      <c r="G221" s="45" t="n">
        <f aca="false">C221+D221</f>
        <v>0</v>
      </c>
      <c r="H221" s="26"/>
    </row>
    <row r="222" customFormat="false" ht="15" hidden="false" customHeight="false" outlineLevel="0" collapsed="false">
      <c r="A222" s="5" t="n">
        <v>32</v>
      </c>
      <c r="B222" s="57" t="n">
        <v>46242</v>
      </c>
      <c r="C222" s="24" t="n">
        <f aca="false">G221</f>
        <v>0</v>
      </c>
      <c r="D222" s="45" t="n">
        <f aca="false">E222-F222</f>
        <v>0</v>
      </c>
      <c r="E222" s="24" t="n">
        <f aca="false">SUMPRODUCT((Income!D$3:D$502="GBP")*(Income!A$3:A$502=B222)*(Income!A$3:A$502&lt;&gt;"")*Income!C$3:C$502)</f>
        <v>0</v>
      </c>
      <c r="F222" s="24" t="n">
        <f aca="false">SUMPRODUCT((Expenses!E$3:E$1002="GBP")*(Expenses!A$3:A$1002=B222)*(Expenses!A$3:A$1002&lt;&gt;"")*Expenses!D$3:D$1002)</f>
        <v>0</v>
      </c>
      <c r="G222" s="45" t="n">
        <f aca="false">C222+D222</f>
        <v>0</v>
      </c>
      <c r="H222" s="26"/>
    </row>
    <row r="223" customFormat="false" ht="15" hidden="false" customHeight="false" outlineLevel="0" collapsed="false">
      <c r="A223" s="5" t="n">
        <v>32</v>
      </c>
      <c r="B223" s="57" t="n">
        <v>46243</v>
      </c>
      <c r="C223" s="24" t="n">
        <f aca="false">G222</f>
        <v>0</v>
      </c>
      <c r="D223" s="45" t="n">
        <f aca="false">E223-F223</f>
        <v>0</v>
      </c>
      <c r="E223" s="24" t="n">
        <f aca="false">SUMPRODUCT((Income!D$3:D$502="GBP")*(Income!A$3:A$502=B223)*(Income!A$3:A$502&lt;&gt;"")*Income!C$3:C$502)</f>
        <v>0</v>
      </c>
      <c r="F223" s="24" t="n">
        <f aca="false">SUMPRODUCT((Expenses!E$3:E$1002="GBP")*(Expenses!A$3:A$1002=B223)*(Expenses!A$3:A$1002&lt;&gt;"")*Expenses!D$3:D$1002)</f>
        <v>0</v>
      </c>
      <c r="G223" s="45" t="n">
        <f aca="false">C223+D223</f>
        <v>0</v>
      </c>
      <c r="H223" s="26"/>
    </row>
    <row r="224" customFormat="false" ht="15" hidden="false" customHeight="false" outlineLevel="0" collapsed="false">
      <c r="A224" s="5" t="n">
        <v>33</v>
      </c>
      <c r="B224" s="57" t="n">
        <v>46244</v>
      </c>
      <c r="C224" s="24" t="n">
        <f aca="false">G223</f>
        <v>0</v>
      </c>
      <c r="D224" s="45" t="n">
        <f aca="false">E224-F224</f>
        <v>0</v>
      </c>
      <c r="E224" s="24" t="n">
        <f aca="false">SUMPRODUCT((Income!D$3:D$502="GBP")*(Income!A$3:A$502=B224)*(Income!A$3:A$502&lt;&gt;"")*Income!C$3:C$502)</f>
        <v>0</v>
      </c>
      <c r="F224" s="24" t="n">
        <f aca="false">SUMPRODUCT((Expenses!E$3:E$1002="GBP")*(Expenses!A$3:A$1002=B224)*(Expenses!A$3:A$1002&lt;&gt;"")*Expenses!D$3:D$1002)</f>
        <v>0</v>
      </c>
      <c r="G224" s="45" t="n">
        <f aca="false">C224+D224</f>
        <v>0</v>
      </c>
      <c r="H224" s="26"/>
    </row>
    <row r="225" customFormat="false" ht="15" hidden="false" customHeight="false" outlineLevel="0" collapsed="false">
      <c r="A225" s="5" t="n">
        <v>33</v>
      </c>
      <c r="B225" s="57" t="n">
        <v>46245</v>
      </c>
      <c r="C225" s="24" t="n">
        <f aca="false">G224</f>
        <v>0</v>
      </c>
      <c r="D225" s="45" t="n">
        <f aca="false">E225-F225</f>
        <v>0</v>
      </c>
      <c r="E225" s="24" t="n">
        <f aca="false">SUMPRODUCT((Income!D$3:D$502="GBP")*(Income!A$3:A$502=B225)*(Income!A$3:A$502&lt;&gt;"")*Income!C$3:C$502)</f>
        <v>0</v>
      </c>
      <c r="F225" s="24" t="n">
        <f aca="false">SUMPRODUCT((Expenses!E$3:E$1002="GBP")*(Expenses!A$3:A$1002=B225)*(Expenses!A$3:A$1002&lt;&gt;"")*Expenses!D$3:D$1002)</f>
        <v>0</v>
      </c>
      <c r="G225" s="45" t="n">
        <f aca="false">C225+D225</f>
        <v>0</v>
      </c>
      <c r="H225" s="26"/>
    </row>
    <row r="226" customFormat="false" ht="15" hidden="false" customHeight="false" outlineLevel="0" collapsed="false">
      <c r="A226" s="5" t="n">
        <v>33</v>
      </c>
      <c r="B226" s="57" t="n">
        <v>46246</v>
      </c>
      <c r="C226" s="24" t="n">
        <f aca="false">G225</f>
        <v>0</v>
      </c>
      <c r="D226" s="45" t="n">
        <f aca="false">E226-F226</f>
        <v>0</v>
      </c>
      <c r="E226" s="24" t="n">
        <f aca="false">SUMPRODUCT((Income!D$3:D$502="GBP")*(Income!A$3:A$502=B226)*(Income!A$3:A$502&lt;&gt;"")*Income!C$3:C$502)</f>
        <v>0</v>
      </c>
      <c r="F226" s="24" t="n">
        <f aca="false">SUMPRODUCT((Expenses!E$3:E$1002="GBP")*(Expenses!A$3:A$1002=B226)*(Expenses!A$3:A$1002&lt;&gt;"")*Expenses!D$3:D$1002)</f>
        <v>0</v>
      </c>
      <c r="G226" s="45" t="n">
        <f aca="false">C226+D226</f>
        <v>0</v>
      </c>
      <c r="H226" s="26"/>
    </row>
    <row r="227" customFormat="false" ht="15" hidden="false" customHeight="false" outlineLevel="0" collapsed="false">
      <c r="A227" s="5" t="n">
        <v>33</v>
      </c>
      <c r="B227" s="57" t="n">
        <v>46247</v>
      </c>
      <c r="C227" s="24" t="n">
        <f aca="false">G226</f>
        <v>0</v>
      </c>
      <c r="D227" s="45" t="n">
        <f aca="false">E227-F227</f>
        <v>0</v>
      </c>
      <c r="E227" s="24" t="n">
        <f aca="false">SUMPRODUCT((Income!D$3:D$502="GBP")*(Income!A$3:A$502=B227)*(Income!A$3:A$502&lt;&gt;"")*Income!C$3:C$502)</f>
        <v>0</v>
      </c>
      <c r="F227" s="24" t="n">
        <f aca="false">SUMPRODUCT((Expenses!E$3:E$1002="GBP")*(Expenses!A$3:A$1002=B227)*(Expenses!A$3:A$1002&lt;&gt;"")*Expenses!D$3:D$1002)</f>
        <v>0</v>
      </c>
      <c r="G227" s="45" t="n">
        <f aca="false">C227+D227</f>
        <v>0</v>
      </c>
      <c r="H227" s="26"/>
    </row>
    <row r="228" customFormat="false" ht="15" hidden="false" customHeight="false" outlineLevel="0" collapsed="false">
      <c r="A228" s="5" t="n">
        <v>33</v>
      </c>
      <c r="B228" s="57" t="n">
        <v>46248</v>
      </c>
      <c r="C228" s="24" t="n">
        <f aca="false">G227</f>
        <v>0</v>
      </c>
      <c r="D228" s="45" t="n">
        <f aca="false">E228-F228</f>
        <v>0</v>
      </c>
      <c r="E228" s="24" t="n">
        <f aca="false">SUMPRODUCT((Income!D$3:D$502="GBP")*(Income!A$3:A$502=B228)*(Income!A$3:A$502&lt;&gt;"")*Income!C$3:C$502)</f>
        <v>0</v>
      </c>
      <c r="F228" s="24" t="n">
        <f aca="false">SUMPRODUCT((Expenses!E$3:E$1002="GBP")*(Expenses!A$3:A$1002=B228)*(Expenses!A$3:A$1002&lt;&gt;"")*Expenses!D$3:D$1002)</f>
        <v>0</v>
      </c>
      <c r="G228" s="45" t="n">
        <f aca="false">C228+D228</f>
        <v>0</v>
      </c>
      <c r="H228" s="26"/>
    </row>
    <row r="229" customFormat="false" ht="15" hidden="false" customHeight="false" outlineLevel="0" collapsed="false">
      <c r="A229" s="5" t="n">
        <v>33</v>
      </c>
      <c r="B229" s="57" t="n">
        <v>46249</v>
      </c>
      <c r="C229" s="24" t="n">
        <f aca="false">G228</f>
        <v>0</v>
      </c>
      <c r="D229" s="45" t="n">
        <f aca="false">E229-F229</f>
        <v>0</v>
      </c>
      <c r="E229" s="24" t="n">
        <f aca="false">SUMPRODUCT((Income!D$3:D$502="GBP")*(Income!A$3:A$502=B229)*(Income!A$3:A$502&lt;&gt;"")*Income!C$3:C$502)</f>
        <v>0</v>
      </c>
      <c r="F229" s="24" t="n">
        <f aca="false">SUMPRODUCT((Expenses!E$3:E$1002="GBP")*(Expenses!A$3:A$1002=B229)*(Expenses!A$3:A$1002&lt;&gt;"")*Expenses!D$3:D$1002)</f>
        <v>0</v>
      </c>
      <c r="G229" s="45" t="n">
        <f aca="false">C229+D229</f>
        <v>0</v>
      </c>
      <c r="H229" s="26"/>
    </row>
    <row r="230" customFormat="false" ht="15" hidden="false" customHeight="false" outlineLevel="0" collapsed="false">
      <c r="A230" s="5" t="n">
        <v>33</v>
      </c>
      <c r="B230" s="57" t="n">
        <v>46250</v>
      </c>
      <c r="C230" s="24" t="n">
        <f aca="false">G229</f>
        <v>0</v>
      </c>
      <c r="D230" s="45" t="n">
        <f aca="false">E230-F230</f>
        <v>0</v>
      </c>
      <c r="E230" s="24" t="n">
        <f aca="false">SUMPRODUCT((Income!D$3:D$502="GBP")*(Income!A$3:A$502=B230)*(Income!A$3:A$502&lt;&gt;"")*Income!C$3:C$502)</f>
        <v>0</v>
      </c>
      <c r="F230" s="24" t="n">
        <f aca="false">SUMPRODUCT((Expenses!E$3:E$1002="GBP")*(Expenses!A$3:A$1002=B230)*(Expenses!A$3:A$1002&lt;&gt;"")*Expenses!D$3:D$1002)</f>
        <v>0</v>
      </c>
      <c r="G230" s="45" t="n">
        <f aca="false">C230+D230</f>
        <v>0</v>
      </c>
      <c r="H230" s="26"/>
    </row>
    <row r="231" customFormat="false" ht="15" hidden="false" customHeight="false" outlineLevel="0" collapsed="false">
      <c r="A231" s="5" t="n">
        <v>34</v>
      </c>
      <c r="B231" s="57" t="n">
        <v>46251</v>
      </c>
      <c r="C231" s="24" t="n">
        <f aca="false">G230</f>
        <v>0</v>
      </c>
      <c r="D231" s="45" t="n">
        <f aca="false">E231-F231</f>
        <v>0</v>
      </c>
      <c r="E231" s="24" t="n">
        <f aca="false">SUMPRODUCT((Income!D$3:D$502="GBP")*(Income!A$3:A$502=B231)*(Income!A$3:A$502&lt;&gt;"")*Income!C$3:C$502)</f>
        <v>0</v>
      </c>
      <c r="F231" s="24" t="n">
        <f aca="false">SUMPRODUCT((Expenses!E$3:E$1002="GBP")*(Expenses!A$3:A$1002=B231)*(Expenses!A$3:A$1002&lt;&gt;"")*Expenses!D$3:D$1002)</f>
        <v>0</v>
      </c>
      <c r="G231" s="45" t="n">
        <f aca="false">C231+D231</f>
        <v>0</v>
      </c>
      <c r="H231" s="26"/>
    </row>
    <row r="232" customFormat="false" ht="15" hidden="false" customHeight="false" outlineLevel="0" collapsed="false">
      <c r="A232" s="5" t="n">
        <v>34</v>
      </c>
      <c r="B232" s="57" t="n">
        <v>46252</v>
      </c>
      <c r="C232" s="24" t="n">
        <f aca="false">G231</f>
        <v>0</v>
      </c>
      <c r="D232" s="45" t="n">
        <f aca="false">E232-F232</f>
        <v>0</v>
      </c>
      <c r="E232" s="24" t="n">
        <f aca="false">SUMPRODUCT((Income!D$3:D$502="GBP")*(Income!A$3:A$502=B232)*(Income!A$3:A$502&lt;&gt;"")*Income!C$3:C$502)</f>
        <v>0</v>
      </c>
      <c r="F232" s="24" t="n">
        <f aca="false">SUMPRODUCT((Expenses!E$3:E$1002="GBP")*(Expenses!A$3:A$1002=B232)*(Expenses!A$3:A$1002&lt;&gt;"")*Expenses!D$3:D$1002)</f>
        <v>0</v>
      </c>
      <c r="G232" s="45" t="n">
        <f aca="false">C232+D232</f>
        <v>0</v>
      </c>
      <c r="H232" s="26"/>
    </row>
    <row r="233" customFormat="false" ht="15" hidden="false" customHeight="false" outlineLevel="0" collapsed="false">
      <c r="A233" s="5" t="n">
        <v>34</v>
      </c>
      <c r="B233" s="57" t="n">
        <v>46253</v>
      </c>
      <c r="C233" s="24" t="n">
        <f aca="false">G232</f>
        <v>0</v>
      </c>
      <c r="D233" s="45" t="n">
        <f aca="false">E233-F233</f>
        <v>0</v>
      </c>
      <c r="E233" s="24" t="n">
        <f aca="false">SUMPRODUCT((Income!D$3:D$502="GBP")*(Income!A$3:A$502=B233)*(Income!A$3:A$502&lt;&gt;"")*Income!C$3:C$502)</f>
        <v>0</v>
      </c>
      <c r="F233" s="24" t="n">
        <f aca="false">SUMPRODUCT((Expenses!E$3:E$1002="GBP")*(Expenses!A$3:A$1002=B233)*(Expenses!A$3:A$1002&lt;&gt;"")*Expenses!D$3:D$1002)</f>
        <v>0</v>
      </c>
      <c r="G233" s="45" t="n">
        <f aca="false">C233+D233</f>
        <v>0</v>
      </c>
      <c r="H233" s="26"/>
    </row>
    <row r="234" customFormat="false" ht="15" hidden="false" customHeight="false" outlineLevel="0" collapsed="false">
      <c r="A234" s="5" t="n">
        <v>34</v>
      </c>
      <c r="B234" s="57" t="n">
        <v>46254</v>
      </c>
      <c r="C234" s="24" t="n">
        <f aca="false">G233</f>
        <v>0</v>
      </c>
      <c r="D234" s="45" t="n">
        <f aca="false">E234-F234</f>
        <v>0</v>
      </c>
      <c r="E234" s="24" t="n">
        <f aca="false">SUMPRODUCT((Income!D$3:D$502="GBP")*(Income!A$3:A$502=B234)*(Income!A$3:A$502&lt;&gt;"")*Income!C$3:C$502)</f>
        <v>0</v>
      </c>
      <c r="F234" s="24" t="n">
        <f aca="false">SUMPRODUCT((Expenses!E$3:E$1002="GBP")*(Expenses!A$3:A$1002=B234)*(Expenses!A$3:A$1002&lt;&gt;"")*Expenses!D$3:D$1002)</f>
        <v>0</v>
      </c>
      <c r="G234" s="45" t="n">
        <f aca="false">C234+D234</f>
        <v>0</v>
      </c>
      <c r="H234" s="26"/>
    </row>
    <row r="235" customFormat="false" ht="15" hidden="false" customHeight="false" outlineLevel="0" collapsed="false">
      <c r="A235" s="5" t="n">
        <v>34</v>
      </c>
      <c r="B235" s="57" t="n">
        <v>46255</v>
      </c>
      <c r="C235" s="24" t="n">
        <f aca="false">G234</f>
        <v>0</v>
      </c>
      <c r="D235" s="45" t="n">
        <f aca="false">E235-F235</f>
        <v>0</v>
      </c>
      <c r="E235" s="24" t="n">
        <f aca="false">SUMPRODUCT((Income!D$3:D$502="GBP")*(Income!A$3:A$502=B235)*(Income!A$3:A$502&lt;&gt;"")*Income!C$3:C$502)</f>
        <v>0</v>
      </c>
      <c r="F235" s="24" t="n">
        <f aca="false">SUMPRODUCT((Expenses!E$3:E$1002="GBP")*(Expenses!A$3:A$1002=B235)*(Expenses!A$3:A$1002&lt;&gt;"")*Expenses!D$3:D$1002)</f>
        <v>0</v>
      </c>
      <c r="G235" s="45" t="n">
        <f aca="false">C235+D235</f>
        <v>0</v>
      </c>
      <c r="H235" s="26"/>
    </row>
    <row r="236" customFormat="false" ht="15" hidden="false" customHeight="false" outlineLevel="0" collapsed="false">
      <c r="A236" s="5" t="n">
        <v>34</v>
      </c>
      <c r="B236" s="57" t="n">
        <v>46256</v>
      </c>
      <c r="C236" s="24" t="n">
        <f aca="false">G235</f>
        <v>0</v>
      </c>
      <c r="D236" s="45" t="n">
        <f aca="false">E236-F236</f>
        <v>0</v>
      </c>
      <c r="E236" s="24" t="n">
        <f aca="false">SUMPRODUCT((Income!D$3:D$502="GBP")*(Income!A$3:A$502=B236)*(Income!A$3:A$502&lt;&gt;"")*Income!C$3:C$502)</f>
        <v>0</v>
      </c>
      <c r="F236" s="24" t="n">
        <f aca="false">SUMPRODUCT((Expenses!E$3:E$1002="GBP")*(Expenses!A$3:A$1002=B236)*(Expenses!A$3:A$1002&lt;&gt;"")*Expenses!D$3:D$1002)</f>
        <v>0</v>
      </c>
      <c r="G236" s="45" t="n">
        <f aca="false">C236+D236</f>
        <v>0</v>
      </c>
      <c r="H236" s="26"/>
    </row>
    <row r="237" customFormat="false" ht="15" hidden="false" customHeight="false" outlineLevel="0" collapsed="false">
      <c r="A237" s="5" t="n">
        <v>34</v>
      </c>
      <c r="B237" s="57" t="n">
        <v>46257</v>
      </c>
      <c r="C237" s="24" t="n">
        <f aca="false">G236</f>
        <v>0</v>
      </c>
      <c r="D237" s="45" t="n">
        <f aca="false">E237-F237</f>
        <v>0</v>
      </c>
      <c r="E237" s="24" t="n">
        <f aca="false">SUMPRODUCT((Income!D$3:D$502="GBP")*(Income!A$3:A$502=B237)*(Income!A$3:A$502&lt;&gt;"")*Income!C$3:C$502)</f>
        <v>0</v>
      </c>
      <c r="F237" s="24" t="n">
        <f aca="false">SUMPRODUCT((Expenses!E$3:E$1002="GBP")*(Expenses!A$3:A$1002=B237)*(Expenses!A$3:A$1002&lt;&gt;"")*Expenses!D$3:D$1002)</f>
        <v>0</v>
      </c>
      <c r="G237" s="45" t="n">
        <f aca="false">C237+D237</f>
        <v>0</v>
      </c>
      <c r="H237" s="26"/>
    </row>
    <row r="238" customFormat="false" ht="15" hidden="false" customHeight="false" outlineLevel="0" collapsed="false">
      <c r="A238" s="5" t="n">
        <v>35</v>
      </c>
      <c r="B238" s="57" t="n">
        <v>46258</v>
      </c>
      <c r="C238" s="24" t="n">
        <f aca="false">G237</f>
        <v>0</v>
      </c>
      <c r="D238" s="45" t="n">
        <f aca="false">E238-F238</f>
        <v>0</v>
      </c>
      <c r="E238" s="24" t="n">
        <f aca="false">SUMPRODUCT((Income!D$3:D$502="GBP")*(Income!A$3:A$502=B238)*(Income!A$3:A$502&lt;&gt;"")*Income!C$3:C$502)</f>
        <v>0</v>
      </c>
      <c r="F238" s="24" t="n">
        <f aca="false">SUMPRODUCT((Expenses!E$3:E$1002="GBP")*(Expenses!A$3:A$1002=B238)*(Expenses!A$3:A$1002&lt;&gt;"")*Expenses!D$3:D$1002)</f>
        <v>0</v>
      </c>
      <c r="G238" s="45" t="n">
        <f aca="false">C238+D238</f>
        <v>0</v>
      </c>
      <c r="H238" s="26"/>
    </row>
    <row r="239" customFormat="false" ht="15" hidden="false" customHeight="false" outlineLevel="0" collapsed="false">
      <c r="A239" s="5" t="n">
        <v>35</v>
      </c>
      <c r="B239" s="57" t="n">
        <v>46259</v>
      </c>
      <c r="C239" s="24" t="n">
        <f aca="false">G238</f>
        <v>0</v>
      </c>
      <c r="D239" s="45" t="n">
        <f aca="false">E239-F239</f>
        <v>0</v>
      </c>
      <c r="E239" s="24" t="n">
        <f aca="false">SUMPRODUCT((Income!D$3:D$502="GBP")*(Income!A$3:A$502=B239)*(Income!A$3:A$502&lt;&gt;"")*Income!C$3:C$502)</f>
        <v>0</v>
      </c>
      <c r="F239" s="24" t="n">
        <f aca="false">SUMPRODUCT((Expenses!E$3:E$1002="GBP")*(Expenses!A$3:A$1002=B239)*(Expenses!A$3:A$1002&lt;&gt;"")*Expenses!D$3:D$1002)</f>
        <v>0</v>
      </c>
      <c r="G239" s="45" t="n">
        <f aca="false">C239+D239</f>
        <v>0</v>
      </c>
      <c r="H239" s="26"/>
    </row>
    <row r="240" customFormat="false" ht="15" hidden="false" customHeight="false" outlineLevel="0" collapsed="false">
      <c r="A240" s="5" t="n">
        <v>35</v>
      </c>
      <c r="B240" s="57" t="n">
        <v>46260</v>
      </c>
      <c r="C240" s="24" t="n">
        <f aca="false">G239</f>
        <v>0</v>
      </c>
      <c r="D240" s="45" t="n">
        <f aca="false">E240-F240</f>
        <v>0</v>
      </c>
      <c r="E240" s="24" t="n">
        <f aca="false">SUMPRODUCT((Income!D$3:D$502="GBP")*(Income!A$3:A$502=B240)*(Income!A$3:A$502&lt;&gt;"")*Income!C$3:C$502)</f>
        <v>0</v>
      </c>
      <c r="F240" s="24" t="n">
        <f aca="false">SUMPRODUCT((Expenses!E$3:E$1002="GBP")*(Expenses!A$3:A$1002=B240)*(Expenses!A$3:A$1002&lt;&gt;"")*Expenses!D$3:D$1002)</f>
        <v>0</v>
      </c>
      <c r="G240" s="45" t="n">
        <f aca="false">C240+D240</f>
        <v>0</v>
      </c>
      <c r="H240" s="26"/>
    </row>
    <row r="241" customFormat="false" ht="15" hidden="false" customHeight="false" outlineLevel="0" collapsed="false">
      <c r="A241" s="5" t="n">
        <v>35</v>
      </c>
      <c r="B241" s="57" t="n">
        <v>46261</v>
      </c>
      <c r="C241" s="24" t="n">
        <f aca="false">G240</f>
        <v>0</v>
      </c>
      <c r="D241" s="45" t="n">
        <f aca="false">E241-F241</f>
        <v>0</v>
      </c>
      <c r="E241" s="24" t="n">
        <f aca="false">SUMPRODUCT((Income!D$3:D$502="GBP")*(Income!A$3:A$502=B241)*(Income!A$3:A$502&lt;&gt;"")*Income!C$3:C$502)</f>
        <v>0</v>
      </c>
      <c r="F241" s="24" t="n">
        <f aca="false">SUMPRODUCT((Expenses!E$3:E$1002="GBP")*(Expenses!A$3:A$1002=B241)*(Expenses!A$3:A$1002&lt;&gt;"")*Expenses!D$3:D$1002)</f>
        <v>0</v>
      </c>
      <c r="G241" s="45" t="n">
        <f aca="false">C241+D241</f>
        <v>0</v>
      </c>
      <c r="H241" s="26"/>
    </row>
    <row r="242" customFormat="false" ht="15" hidden="false" customHeight="false" outlineLevel="0" collapsed="false">
      <c r="A242" s="5" t="n">
        <v>35</v>
      </c>
      <c r="B242" s="57" t="n">
        <v>46262</v>
      </c>
      <c r="C242" s="24" t="n">
        <f aca="false">G241</f>
        <v>0</v>
      </c>
      <c r="D242" s="45" t="n">
        <f aca="false">E242-F242</f>
        <v>0</v>
      </c>
      <c r="E242" s="24" t="n">
        <f aca="false">SUMPRODUCT((Income!D$3:D$502="GBP")*(Income!A$3:A$502=B242)*(Income!A$3:A$502&lt;&gt;"")*Income!C$3:C$502)</f>
        <v>0</v>
      </c>
      <c r="F242" s="24" t="n">
        <f aca="false">SUMPRODUCT((Expenses!E$3:E$1002="GBP")*(Expenses!A$3:A$1002=B242)*(Expenses!A$3:A$1002&lt;&gt;"")*Expenses!D$3:D$1002)</f>
        <v>0</v>
      </c>
      <c r="G242" s="45" t="n">
        <f aca="false">C242+D242</f>
        <v>0</v>
      </c>
      <c r="H242" s="26"/>
    </row>
    <row r="243" customFormat="false" ht="15" hidden="false" customHeight="false" outlineLevel="0" collapsed="false">
      <c r="A243" s="5" t="n">
        <v>35</v>
      </c>
      <c r="B243" s="57" t="n">
        <v>46263</v>
      </c>
      <c r="C243" s="24" t="n">
        <f aca="false">G242</f>
        <v>0</v>
      </c>
      <c r="D243" s="45" t="n">
        <f aca="false">E243-F243</f>
        <v>0</v>
      </c>
      <c r="E243" s="24" t="n">
        <f aca="false">SUMPRODUCT((Income!D$3:D$502="GBP")*(Income!A$3:A$502=B243)*(Income!A$3:A$502&lt;&gt;"")*Income!C$3:C$502)</f>
        <v>0</v>
      </c>
      <c r="F243" s="24" t="n">
        <f aca="false">SUMPRODUCT((Expenses!E$3:E$1002="GBP")*(Expenses!A$3:A$1002=B243)*(Expenses!A$3:A$1002&lt;&gt;"")*Expenses!D$3:D$1002)</f>
        <v>0</v>
      </c>
      <c r="G243" s="45" t="n">
        <f aca="false">C243+D243</f>
        <v>0</v>
      </c>
      <c r="H243" s="26"/>
    </row>
    <row r="244" customFormat="false" ht="15" hidden="false" customHeight="false" outlineLevel="0" collapsed="false">
      <c r="A244" s="5" t="n">
        <v>35</v>
      </c>
      <c r="B244" s="57" t="n">
        <v>46264</v>
      </c>
      <c r="C244" s="24" t="n">
        <f aca="false">G243</f>
        <v>0</v>
      </c>
      <c r="D244" s="45" t="n">
        <f aca="false">E244-F244</f>
        <v>0</v>
      </c>
      <c r="E244" s="24" t="n">
        <f aca="false">SUMPRODUCT((Income!D$3:D$502="GBP")*(Income!A$3:A$502=B244)*(Income!A$3:A$502&lt;&gt;"")*Income!C$3:C$502)</f>
        <v>0</v>
      </c>
      <c r="F244" s="24" t="n">
        <f aca="false">SUMPRODUCT((Expenses!E$3:E$1002="GBP")*(Expenses!A$3:A$1002=B244)*(Expenses!A$3:A$1002&lt;&gt;"")*Expenses!D$3:D$1002)</f>
        <v>0</v>
      </c>
      <c r="G244" s="45" t="n">
        <f aca="false">C244+D244</f>
        <v>0</v>
      </c>
      <c r="H244" s="26"/>
    </row>
    <row r="245" customFormat="false" ht="15" hidden="false" customHeight="false" outlineLevel="0" collapsed="false">
      <c r="A245" s="5" t="n">
        <v>36</v>
      </c>
      <c r="B245" s="57" t="n">
        <v>46265</v>
      </c>
      <c r="C245" s="24" t="n">
        <f aca="false">G244</f>
        <v>0</v>
      </c>
      <c r="D245" s="45" t="n">
        <f aca="false">E245-F245</f>
        <v>0</v>
      </c>
      <c r="E245" s="24" t="n">
        <f aca="false">SUMPRODUCT((Income!D$3:D$502="GBP")*(Income!A$3:A$502=B245)*(Income!A$3:A$502&lt;&gt;"")*Income!C$3:C$502)</f>
        <v>0</v>
      </c>
      <c r="F245" s="24" t="n">
        <f aca="false">SUMPRODUCT((Expenses!E$3:E$1002="GBP")*(Expenses!A$3:A$1002=B245)*(Expenses!A$3:A$1002&lt;&gt;"")*Expenses!D$3:D$1002)</f>
        <v>0</v>
      </c>
      <c r="G245" s="45" t="n">
        <f aca="false">C245+D245</f>
        <v>0</v>
      </c>
      <c r="H245" s="26"/>
    </row>
    <row r="246" customFormat="false" ht="15" hidden="false" customHeight="false" outlineLevel="0" collapsed="false">
      <c r="A246" s="5" t="n">
        <v>36</v>
      </c>
      <c r="B246" s="57" t="n">
        <v>46266</v>
      </c>
      <c r="C246" s="24" t="n">
        <f aca="false">G245</f>
        <v>0</v>
      </c>
      <c r="D246" s="45" t="n">
        <f aca="false">E246-F246</f>
        <v>0</v>
      </c>
      <c r="E246" s="24" t="n">
        <f aca="false">SUMPRODUCT((Income!D$3:D$502="GBP")*(Income!A$3:A$502=B246)*(Income!A$3:A$502&lt;&gt;"")*Income!C$3:C$502)</f>
        <v>0</v>
      </c>
      <c r="F246" s="24" t="n">
        <f aca="false">SUMPRODUCT((Expenses!E$3:E$1002="GBP")*(Expenses!A$3:A$1002=B246)*(Expenses!A$3:A$1002&lt;&gt;"")*Expenses!D$3:D$1002)</f>
        <v>0</v>
      </c>
      <c r="G246" s="45" t="n">
        <f aca="false">C246+D246</f>
        <v>0</v>
      </c>
      <c r="H246" s="26"/>
    </row>
    <row r="247" customFormat="false" ht="15" hidden="false" customHeight="false" outlineLevel="0" collapsed="false">
      <c r="A247" s="5" t="n">
        <v>36</v>
      </c>
      <c r="B247" s="57" t="n">
        <v>46267</v>
      </c>
      <c r="C247" s="24" t="n">
        <f aca="false">G246</f>
        <v>0</v>
      </c>
      <c r="D247" s="45" t="n">
        <f aca="false">E247-F247</f>
        <v>0</v>
      </c>
      <c r="E247" s="24" t="n">
        <f aca="false">SUMPRODUCT((Income!D$3:D$502="GBP")*(Income!A$3:A$502=B247)*(Income!A$3:A$502&lt;&gt;"")*Income!C$3:C$502)</f>
        <v>0</v>
      </c>
      <c r="F247" s="24" t="n">
        <f aca="false">SUMPRODUCT((Expenses!E$3:E$1002="GBP")*(Expenses!A$3:A$1002=B247)*(Expenses!A$3:A$1002&lt;&gt;"")*Expenses!D$3:D$1002)</f>
        <v>0</v>
      </c>
      <c r="G247" s="45" t="n">
        <f aca="false">C247+D247</f>
        <v>0</v>
      </c>
      <c r="H247" s="26"/>
    </row>
    <row r="248" customFormat="false" ht="15" hidden="false" customHeight="false" outlineLevel="0" collapsed="false">
      <c r="A248" s="5" t="n">
        <v>36</v>
      </c>
      <c r="B248" s="57" t="n">
        <v>46268</v>
      </c>
      <c r="C248" s="24" t="n">
        <f aca="false">G247</f>
        <v>0</v>
      </c>
      <c r="D248" s="45" t="n">
        <f aca="false">E248-F248</f>
        <v>0</v>
      </c>
      <c r="E248" s="24" t="n">
        <f aca="false">SUMPRODUCT((Income!D$3:D$502="GBP")*(Income!A$3:A$502=B248)*(Income!A$3:A$502&lt;&gt;"")*Income!C$3:C$502)</f>
        <v>0</v>
      </c>
      <c r="F248" s="24" t="n">
        <f aca="false">SUMPRODUCT((Expenses!E$3:E$1002="GBP")*(Expenses!A$3:A$1002=B248)*(Expenses!A$3:A$1002&lt;&gt;"")*Expenses!D$3:D$1002)</f>
        <v>0</v>
      </c>
      <c r="G248" s="45" t="n">
        <f aca="false">C248+D248</f>
        <v>0</v>
      </c>
      <c r="H248" s="26"/>
    </row>
    <row r="249" customFormat="false" ht="15" hidden="false" customHeight="false" outlineLevel="0" collapsed="false">
      <c r="A249" s="5" t="n">
        <v>36</v>
      </c>
      <c r="B249" s="57" t="n">
        <v>46269</v>
      </c>
      <c r="C249" s="24" t="n">
        <f aca="false">G248</f>
        <v>0</v>
      </c>
      <c r="D249" s="45" t="n">
        <f aca="false">E249-F249</f>
        <v>0</v>
      </c>
      <c r="E249" s="24" t="n">
        <f aca="false">SUMPRODUCT((Income!D$3:D$502="GBP")*(Income!A$3:A$502=B249)*(Income!A$3:A$502&lt;&gt;"")*Income!C$3:C$502)</f>
        <v>0</v>
      </c>
      <c r="F249" s="24" t="n">
        <f aca="false">SUMPRODUCT((Expenses!E$3:E$1002="GBP")*(Expenses!A$3:A$1002=B249)*(Expenses!A$3:A$1002&lt;&gt;"")*Expenses!D$3:D$1002)</f>
        <v>0</v>
      </c>
      <c r="G249" s="45" t="n">
        <f aca="false">C249+D249</f>
        <v>0</v>
      </c>
      <c r="H249" s="26"/>
    </row>
    <row r="250" customFormat="false" ht="15" hidden="false" customHeight="false" outlineLevel="0" collapsed="false">
      <c r="A250" s="5" t="n">
        <v>36</v>
      </c>
      <c r="B250" s="57" t="n">
        <v>46270</v>
      </c>
      <c r="C250" s="24" t="n">
        <f aca="false">G249</f>
        <v>0</v>
      </c>
      <c r="D250" s="45" t="n">
        <f aca="false">E250-F250</f>
        <v>0</v>
      </c>
      <c r="E250" s="24" t="n">
        <f aca="false">SUMPRODUCT((Income!D$3:D$502="GBP")*(Income!A$3:A$502=B250)*(Income!A$3:A$502&lt;&gt;"")*Income!C$3:C$502)</f>
        <v>0</v>
      </c>
      <c r="F250" s="24" t="n">
        <f aca="false">SUMPRODUCT((Expenses!E$3:E$1002="GBP")*(Expenses!A$3:A$1002=B250)*(Expenses!A$3:A$1002&lt;&gt;"")*Expenses!D$3:D$1002)</f>
        <v>0</v>
      </c>
      <c r="G250" s="45" t="n">
        <f aca="false">C250+D250</f>
        <v>0</v>
      </c>
      <c r="H250" s="26"/>
    </row>
    <row r="251" customFormat="false" ht="15" hidden="false" customHeight="false" outlineLevel="0" collapsed="false">
      <c r="A251" s="5" t="n">
        <v>36</v>
      </c>
      <c r="B251" s="57" t="n">
        <v>46271</v>
      </c>
      <c r="C251" s="24" t="n">
        <f aca="false">G250</f>
        <v>0</v>
      </c>
      <c r="D251" s="45" t="n">
        <f aca="false">E251-F251</f>
        <v>0</v>
      </c>
      <c r="E251" s="24" t="n">
        <f aca="false">SUMPRODUCT((Income!D$3:D$502="GBP")*(Income!A$3:A$502=B251)*(Income!A$3:A$502&lt;&gt;"")*Income!C$3:C$502)</f>
        <v>0</v>
      </c>
      <c r="F251" s="24" t="n">
        <f aca="false">SUMPRODUCT((Expenses!E$3:E$1002="GBP")*(Expenses!A$3:A$1002=B251)*(Expenses!A$3:A$1002&lt;&gt;"")*Expenses!D$3:D$1002)</f>
        <v>0</v>
      </c>
      <c r="G251" s="45" t="n">
        <f aca="false">C251+D251</f>
        <v>0</v>
      </c>
      <c r="H251" s="26"/>
    </row>
    <row r="252" customFormat="false" ht="15" hidden="false" customHeight="false" outlineLevel="0" collapsed="false">
      <c r="A252" s="5" t="n">
        <v>37</v>
      </c>
      <c r="B252" s="57" t="n">
        <v>46272</v>
      </c>
      <c r="C252" s="24" t="n">
        <f aca="false">G251</f>
        <v>0</v>
      </c>
      <c r="D252" s="45" t="n">
        <f aca="false">E252-F252</f>
        <v>0</v>
      </c>
      <c r="E252" s="24" t="n">
        <f aca="false">SUMPRODUCT((Income!D$3:D$502="GBP")*(Income!A$3:A$502=B252)*(Income!A$3:A$502&lt;&gt;"")*Income!C$3:C$502)</f>
        <v>0</v>
      </c>
      <c r="F252" s="24" t="n">
        <f aca="false">SUMPRODUCT((Expenses!E$3:E$1002="GBP")*(Expenses!A$3:A$1002=B252)*(Expenses!A$3:A$1002&lt;&gt;"")*Expenses!D$3:D$1002)</f>
        <v>0</v>
      </c>
      <c r="G252" s="45" t="n">
        <f aca="false">C252+D252</f>
        <v>0</v>
      </c>
      <c r="H252" s="26"/>
    </row>
    <row r="253" customFormat="false" ht="15" hidden="false" customHeight="false" outlineLevel="0" collapsed="false">
      <c r="A253" s="5" t="n">
        <v>37</v>
      </c>
      <c r="B253" s="57" t="n">
        <v>46273</v>
      </c>
      <c r="C253" s="24" t="n">
        <f aca="false">G252</f>
        <v>0</v>
      </c>
      <c r="D253" s="45" t="n">
        <f aca="false">E253-F253</f>
        <v>0</v>
      </c>
      <c r="E253" s="24" t="n">
        <f aca="false">SUMPRODUCT((Income!D$3:D$502="GBP")*(Income!A$3:A$502=B253)*(Income!A$3:A$502&lt;&gt;"")*Income!C$3:C$502)</f>
        <v>0</v>
      </c>
      <c r="F253" s="24" t="n">
        <f aca="false">SUMPRODUCT((Expenses!E$3:E$1002="GBP")*(Expenses!A$3:A$1002=B253)*(Expenses!A$3:A$1002&lt;&gt;"")*Expenses!D$3:D$1002)</f>
        <v>0</v>
      </c>
      <c r="G253" s="45" t="n">
        <f aca="false">C253+D253</f>
        <v>0</v>
      </c>
      <c r="H253" s="26"/>
    </row>
    <row r="254" customFormat="false" ht="15" hidden="false" customHeight="false" outlineLevel="0" collapsed="false">
      <c r="A254" s="5" t="n">
        <v>37</v>
      </c>
      <c r="B254" s="57" t="n">
        <v>46274</v>
      </c>
      <c r="C254" s="24" t="n">
        <f aca="false">G253</f>
        <v>0</v>
      </c>
      <c r="D254" s="45" t="n">
        <f aca="false">E254-F254</f>
        <v>0</v>
      </c>
      <c r="E254" s="24" t="n">
        <f aca="false">SUMPRODUCT((Income!D$3:D$502="GBP")*(Income!A$3:A$502=B254)*(Income!A$3:A$502&lt;&gt;"")*Income!C$3:C$502)</f>
        <v>0</v>
      </c>
      <c r="F254" s="24" t="n">
        <f aca="false">SUMPRODUCT((Expenses!E$3:E$1002="GBP")*(Expenses!A$3:A$1002=B254)*(Expenses!A$3:A$1002&lt;&gt;"")*Expenses!D$3:D$1002)</f>
        <v>0</v>
      </c>
      <c r="G254" s="45" t="n">
        <f aca="false">C254+D254</f>
        <v>0</v>
      </c>
      <c r="H254" s="26"/>
    </row>
    <row r="255" customFormat="false" ht="15" hidden="false" customHeight="false" outlineLevel="0" collapsed="false">
      <c r="A255" s="5" t="n">
        <v>37</v>
      </c>
      <c r="B255" s="57" t="n">
        <v>46275</v>
      </c>
      <c r="C255" s="24" t="n">
        <f aca="false">G254</f>
        <v>0</v>
      </c>
      <c r="D255" s="45" t="n">
        <f aca="false">E255-F255</f>
        <v>0</v>
      </c>
      <c r="E255" s="24" t="n">
        <f aca="false">SUMPRODUCT((Income!D$3:D$502="GBP")*(Income!A$3:A$502=B255)*(Income!A$3:A$502&lt;&gt;"")*Income!C$3:C$502)</f>
        <v>0</v>
      </c>
      <c r="F255" s="24" t="n">
        <f aca="false">SUMPRODUCT((Expenses!E$3:E$1002="GBP")*(Expenses!A$3:A$1002=B255)*(Expenses!A$3:A$1002&lt;&gt;"")*Expenses!D$3:D$1002)</f>
        <v>0</v>
      </c>
      <c r="G255" s="45" t="n">
        <f aca="false">C255+D255</f>
        <v>0</v>
      </c>
      <c r="H255" s="26"/>
    </row>
    <row r="256" customFormat="false" ht="15" hidden="false" customHeight="false" outlineLevel="0" collapsed="false">
      <c r="A256" s="5" t="n">
        <v>37</v>
      </c>
      <c r="B256" s="57" t="n">
        <v>46276</v>
      </c>
      <c r="C256" s="24" t="n">
        <f aca="false">G255</f>
        <v>0</v>
      </c>
      <c r="D256" s="45" t="n">
        <f aca="false">E256-F256</f>
        <v>0</v>
      </c>
      <c r="E256" s="24" t="n">
        <f aca="false">SUMPRODUCT((Income!D$3:D$502="GBP")*(Income!A$3:A$502=B256)*(Income!A$3:A$502&lt;&gt;"")*Income!C$3:C$502)</f>
        <v>0</v>
      </c>
      <c r="F256" s="24" t="n">
        <f aca="false">SUMPRODUCT((Expenses!E$3:E$1002="GBP")*(Expenses!A$3:A$1002=B256)*(Expenses!A$3:A$1002&lt;&gt;"")*Expenses!D$3:D$1002)</f>
        <v>0</v>
      </c>
      <c r="G256" s="45" t="n">
        <f aca="false">C256+D256</f>
        <v>0</v>
      </c>
      <c r="H256" s="26"/>
    </row>
    <row r="257" customFormat="false" ht="15" hidden="false" customHeight="false" outlineLevel="0" collapsed="false">
      <c r="A257" s="5" t="n">
        <v>37</v>
      </c>
      <c r="B257" s="57" t="n">
        <v>46277</v>
      </c>
      <c r="C257" s="24" t="n">
        <f aca="false">G256</f>
        <v>0</v>
      </c>
      <c r="D257" s="45" t="n">
        <f aca="false">E257-F257</f>
        <v>0</v>
      </c>
      <c r="E257" s="24" t="n">
        <f aca="false">SUMPRODUCT((Income!D$3:D$502="GBP")*(Income!A$3:A$502=B257)*(Income!A$3:A$502&lt;&gt;"")*Income!C$3:C$502)</f>
        <v>0</v>
      </c>
      <c r="F257" s="24" t="n">
        <f aca="false">SUMPRODUCT((Expenses!E$3:E$1002="GBP")*(Expenses!A$3:A$1002=B257)*(Expenses!A$3:A$1002&lt;&gt;"")*Expenses!D$3:D$1002)</f>
        <v>0</v>
      </c>
      <c r="G257" s="45" t="n">
        <f aca="false">C257+D257</f>
        <v>0</v>
      </c>
      <c r="H257" s="26"/>
    </row>
    <row r="258" customFormat="false" ht="15" hidden="false" customHeight="false" outlineLevel="0" collapsed="false">
      <c r="A258" s="5" t="n">
        <v>37</v>
      </c>
      <c r="B258" s="57" t="n">
        <v>46278</v>
      </c>
      <c r="C258" s="24" t="n">
        <f aca="false">G257</f>
        <v>0</v>
      </c>
      <c r="D258" s="45" t="n">
        <f aca="false">E258-F258</f>
        <v>0</v>
      </c>
      <c r="E258" s="24" t="n">
        <f aca="false">SUMPRODUCT((Income!D$3:D$502="GBP")*(Income!A$3:A$502=B258)*(Income!A$3:A$502&lt;&gt;"")*Income!C$3:C$502)</f>
        <v>0</v>
      </c>
      <c r="F258" s="24" t="n">
        <f aca="false">SUMPRODUCT((Expenses!E$3:E$1002="GBP")*(Expenses!A$3:A$1002=B258)*(Expenses!A$3:A$1002&lt;&gt;"")*Expenses!D$3:D$1002)</f>
        <v>0</v>
      </c>
      <c r="G258" s="45" t="n">
        <f aca="false">C258+D258</f>
        <v>0</v>
      </c>
      <c r="H258" s="26"/>
    </row>
    <row r="259" customFormat="false" ht="15" hidden="false" customHeight="false" outlineLevel="0" collapsed="false">
      <c r="A259" s="5" t="n">
        <v>38</v>
      </c>
      <c r="B259" s="57" t="n">
        <v>46279</v>
      </c>
      <c r="C259" s="24" t="n">
        <f aca="false">G258</f>
        <v>0</v>
      </c>
      <c r="D259" s="45" t="n">
        <f aca="false">E259-F259</f>
        <v>0</v>
      </c>
      <c r="E259" s="24" t="n">
        <f aca="false">SUMPRODUCT((Income!D$3:D$502="GBP")*(Income!A$3:A$502=B259)*(Income!A$3:A$502&lt;&gt;"")*Income!C$3:C$502)</f>
        <v>0</v>
      </c>
      <c r="F259" s="24" t="n">
        <f aca="false">SUMPRODUCT((Expenses!E$3:E$1002="GBP")*(Expenses!A$3:A$1002=B259)*(Expenses!A$3:A$1002&lt;&gt;"")*Expenses!D$3:D$1002)</f>
        <v>0</v>
      </c>
      <c r="G259" s="45" t="n">
        <f aca="false">C259+D259</f>
        <v>0</v>
      </c>
      <c r="H259" s="26"/>
    </row>
    <row r="260" customFormat="false" ht="15" hidden="false" customHeight="false" outlineLevel="0" collapsed="false">
      <c r="A260" s="5" t="n">
        <v>38</v>
      </c>
      <c r="B260" s="57" t="n">
        <v>46280</v>
      </c>
      <c r="C260" s="24" t="n">
        <f aca="false">G259</f>
        <v>0</v>
      </c>
      <c r="D260" s="45" t="n">
        <f aca="false">E260-F260</f>
        <v>0</v>
      </c>
      <c r="E260" s="24" t="n">
        <f aca="false">SUMPRODUCT((Income!D$3:D$502="GBP")*(Income!A$3:A$502=B260)*(Income!A$3:A$502&lt;&gt;"")*Income!C$3:C$502)</f>
        <v>0</v>
      </c>
      <c r="F260" s="24" t="n">
        <f aca="false">SUMPRODUCT((Expenses!E$3:E$1002="GBP")*(Expenses!A$3:A$1002=B260)*(Expenses!A$3:A$1002&lt;&gt;"")*Expenses!D$3:D$1002)</f>
        <v>0</v>
      </c>
      <c r="G260" s="45" t="n">
        <f aca="false">C260+D260</f>
        <v>0</v>
      </c>
      <c r="H260" s="26"/>
    </row>
    <row r="261" customFormat="false" ht="15" hidden="false" customHeight="false" outlineLevel="0" collapsed="false">
      <c r="A261" s="5" t="n">
        <v>38</v>
      </c>
      <c r="B261" s="57" t="n">
        <v>46281</v>
      </c>
      <c r="C261" s="24" t="n">
        <f aca="false">G260</f>
        <v>0</v>
      </c>
      <c r="D261" s="45" t="n">
        <f aca="false">E261-F261</f>
        <v>0</v>
      </c>
      <c r="E261" s="24" t="n">
        <f aca="false">SUMPRODUCT((Income!D$3:D$502="GBP")*(Income!A$3:A$502=B261)*(Income!A$3:A$502&lt;&gt;"")*Income!C$3:C$502)</f>
        <v>0</v>
      </c>
      <c r="F261" s="24" t="n">
        <f aca="false">SUMPRODUCT((Expenses!E$3:E$1002="GBP")*(Expenses!A$3:A$1002=B261)*(Expenses!A$3:A$1002&lt;&gt;"")*Expenses!D$3:D$1002)</f>
        <v>0</v>
      </c>
      <c r="G261" s="45" t="n">
        <f aca="false">C261+D261</f>
        <v>0</v>
      </c>
      <c r="H261" s="26"/>
    </row>
    <row r="262" customFormat="false" ht="15" hidden="false" customHeight="false" outlineLevel="0" collapsed="false">
      <c r="A262" s="5" t="n">
        <v>38</v>
      </c>
      <c r="B262" s="57" t="n">
        <v>46282</v>
      </c>
      <c r="C262" s="24" t="n">
        <f aca="false">G261</f>
        <v>0</v>
      </c>
      <c r="D262" s="45" t="n">
        <f aca="false">E262-F262</f>
        <v>0</v>
      </c>
      <c r="E262" s="24" t="n">
        <f aca="false">SUMPRODUCT((Income!D$3:D$502="GBP")*(Income!A$3:A$502=B262)*(Income!A$3:A$502&lt;&gt;"")*Income!C$3:C$502)</f>
        <v>0</v>
      </c>
      <c r="F262" s="24" t="n">
        <f aca="false">SUMPRODUCT((Expenses!E$3:E$1002="GBP")*(Expenses!A$3:A$1002=B262)*(Expenses!A$3:A$1002&lt;&gt;"")*Expenses!D$3:D$1002)</f>
        <v>0</v>
      </c>
      <c r="G262" s="45" t="n">
        <f aca="false">C262+D262</f>
        <v>0</v>
      </c>
      <c r="H262" s="26"/>
    </row>
    <row r="263" customFormat="false" ht="15" hidden="false" customHeight="false" outlineLevel="0" collapsed="false">
      <c r="A263" s="5" t="n">
        <v>38</v>
      </c>
      <c r="B263" s="57" t="n">
        <v>46283</v>
      </c>
      <c r="C263" s="24" t="n">
        <f aca="false">G262</f>
        <v>0</v>
      </c>
      <c r="D263" s="45" t="n">
        <f aca="false">E263-F263</f>
        <v>0</v>
      </c>
      <c r="E263" s="24" t="n">
        <f aca="false">SUMPRODUCT((Income!D$3:D$502="GBP")*(Income!A$3:A$502=B263)*(Income!A$3:A$502&lt;&gt;"")*Income!C$3:C$502)</f>
        <v>0</v>
      </c>
      <c r="F263" s="24" t="n">
        <f aca="false">SUMPRODUCT((Expenses!E$3:E$1002="GBP")*(Expenses!A$3:A$1002=B263)*(Expenses!A$3:A$1002&lt;&gt;"")*Expenses!D$3:D$1002)</f>
        <v>0</v>
      </c>
      <c r="G263" s="45" t="n">
        <f aca="false">C263+D263</f>
        <v>0</v>
      </c>
      <c r="H263" s="26"/>
    </row>
    <row r="264" customFormat="false" ht="15" hidden="false" customHeight="false" outlineLevel="0" collapsed="false">
      <c r="A264" s="5" t="n">
        <v>38</v>
      </c>
      <c r="B264" s="57" t="n">
        <v>46284</v>
      </c>
      <c r="C264" s="24" t="n">
        <f aca="false">G263</f>
        <v>0</v>
      </c>
      <c r="D264" s="45" t="n">
        <f aca="false">E264-F264</f>
        <v>0</v>
      </c>
      <c r="E264" s="24" t="n">
        <f aca="false">SUMPRODUCT((Income!D$3:D$502="GBP")*(Income!A$3:A$502=B264)*(Income!A$3:A$502&lt;&gt;"")*Income!C$3:C$502)</f>
        <v>0</v>
      </c>
      <c r="F264" s="24" t="n">
        <f aca="false">SUMPRODUCT((Expenses!E$3:E$1002="GBP")*(Expenses!A$3:A$1002=B264)*(Expenses!A$3:A$1002&lt;&gt;"")*Expenses!D$3:D$1002)</f>
        <v>0</v>
      </c>
      <c r="G264" s="45" t="n">
        <f aca="false">C264+D264</f>
        <v>0</v>
      </c>
      <c r="H264" s="26"/>
    </row>
    <row r="265" customFormat="false" ht="15" hidden="false" customHeight="false" outlineLevel="0" collapsed="false">
      <c r="A265" s="5" t="n">
        <v>38</v>
      </c>
      <c r="B265" s="57" t="n">
        <v>46285</v>
      </c>
      <c r="C265" s="24" t="n">
        <f aca="false">G264</f>
        <v>0</v>
      </c>
      <c r="D265" s="45" t="n">
        <f aca="false">E265-F265</f>
        <v>0</v>
      </c>
      <c r="E265" s="24" t="n">
        <f aca="false">SUMPRODUCT((Income!D$3:D$502="GBP")*(Income!A$3:A$502=B265)*(Income!A$3:A$502&lt;&gt;"")*Income!C$3:C$502)</f>
        <v>0</v>
      </c>
      <c r="F265" s="24" t="n">
        <f aca="false">SUMPRODUCT((Expenses!E$3:E$1002="GBP")*(Expenses!A$3:A$1002=B265)*(Expenses!A$3:A$1002&lt;&gt;"")*Expenses!D$3:D$1002)</f>
        <v>0</v>
      </c>
      <c r="G265" s="45" t="n">
        <f aca="false">C265+D265</f>
        <v>0</v>
      </c>
      <c r="H265" s="26"/>
    </row>
    <row r="266" customFormat="false" ht="15" hidden="false" customHeight="false" outlineLevel="0" collapsed="false">
      <c r="A266" s="5" t="n">
        <v>39</v>
      </c>
      <c r="B266" s="57" t="n">
        <v>46286</v>
      </c>
      <c r="C266" s="24" t="n">
        <f aca="false">G265</f>
        <v>0</v>
      </c>
      <c r="D266" s="45" t="n">
        <f aca="false">E266-F266</f>
        <v>0</v>
      </c>
      <c r="E266" s="24" t="n">
        <f aca="false">SUMPRODUCT((Income!D$3:D$502="GBP")*(Income!A$3:A$502=B266)*(Income!A$3:A$502&lt;&gt;"")*Income!C$3:C$502)</f>
        <v>0</v>
      </c>
      <c r="F266" s="24" t="n">
        <f aca="false">SUMPRODUCT((Expenses!E$3:E$1002="GBP")*(Expenses!A$3:A$1002=B266)*(Expenses!A$3:A$1002&lt;&gt;"")*Expenses!D$3:D$1002)</f>
        <v>0</v>
      </c>
      <c r="G266" s="45" t="n">
        <f aca="false">C266+D266</f>
        <v>0</v>
      </c>
      <c r="H266" s="26"/>
    </row>
    <row r="267" customFormat="false" ht="15" hidden="false" customHeight="false" outlineLevel="0" collapsed="false">
      <c r="A267" s="5" t="n">
        <v>39</v>
      </c>
      <c r="B267" s="57" t="n">
        <v>46287</v>
      </c>
      <c r="C267" s="24" t="n">
        <f aca="false">G266</f>
        <v>0</v>
      </c>
      <c r="D267" s="45" t="n">
        <f aca="false">E267-F267</f>
        <v>0</v>
      </c>
      <c r="E267" s="24" t="n">
        <f aca="false">SUMPRODUCT((Income!D$3:D$502="GBP")*(Income!A$3:A$502=B267)*(Income!A$3:A$502&lt;&gt;"")*Income!C$3:C$502)</f>
        <v>0</v>
      </c>
      <c r="F267" s="24" t="n">
        <f aca="false">SUMPRODUCT((Expenses!E$3:E$1002="GBP")*(Expenses!A$3:A$1002=B267)*(Expenses!A$3:A$1002&lt;&gt;"")*Expenses!D$3:D$1002)</f>
        <v>0</v>
      </c>
      <c r="G267" s="45" t="n">
        <f aca="false">C267+D267</f>
        <v>0</v>
      </c>
      <c r="H267" s="26"/>
    </row>
    <row r="268" customFormat="false" ht="15" hidden="false" customHeight="false" outlineLevel="0" collapsed="false">
      <c r="A268" s="5" t="n">
        <v>39</v>
      </c>
      <c r="B268" s="57" t="n">
        <v>46288</v>
      </c>
      <c r="C268" s="24" t="n">
        <f aca="false">G267</f>
        <v>0</v>
      </c>
      <c r="D268" s="45" t="n">
        <f aca="false">E268-F268</f>
        <v>0</v>
      </c>
      <c r="E268" s="24" t="n">
        <f aca="false">SUMPRODUCT((Income!D$3:D$502="GBP")*(Income!A$3:A$502=B268)*(Income!A$3:A$502&lt;&gt;"")*Income!C$3:C$502)</f>
        <v>0</v>
      </c>
      <c r="F268" s="24" t="n">
        <f aca="false">SUMPRODUCT((Expenses!E$3:E$1002="GBP")*(Expenses!A$3:A$1002=B268)*(Expenses!A$3:A$1002&lt;&gt;"")*Expenses!D$3:D$1002)</f>
        <v>0</v>
      </c>
      <c r="G268" s="45" t="n">
        <f aca="false">C268+D268</f>
        <v>0</v>
      </c>
      <c r="H268" s="26"/>
    </row>
    <row r="269" customFormat="false" ht="15" hidden="false" customHeight="false" outlineLevel="0" collapsed="false">
      <c r="A269" s="5" t="n">
        <v>39</v>
      </c>
      <c r="B269" s="57" t="n">
        <v>46289</v>
      </c>
      <c r="C269" s="24" t="n">
        <f aca="false">G268</f>
        <v>0</v>
      </c>
      <c r="D269" s="45" t="n">
        <f aca="false">E269-F269</f>
        <v>0</v>
      </c>
      <c r="E269" s="24" t="n">
        <f aca="false">SUMPRODUCT((Income!D$3:D$502="GBP")*(Income!A$3:A$502=B269)*(Income!A$3:A$502&lt;&gt;"")*Income!C$3:C$502)</f>
        <v>0</v>
      </c>
      <c r="F269" s="24" t="n">
        <f aca="false">SUMPRODUCT((Expenses!E$3:E$1002="GBP")*(Expenses!A$3:A$1002=B269)*(Expenses!A$3:A$1002&lt;&gt;"")*Expenses!D$3:D$1002)</f>
        <v>0</v>
      </c>
      <c r="G269" s="45" t="n">
        <f aca="false">C269+D269</f>
        <v>0</v>
      </c>
      <c r="H269" s="26"/>
    </row>
    <row r="270" customFormat="false" ht="15" hidden="false" customHeight="false" outlineLevel="0" collapsed="false">
      <c r="A270" s="5" t="n">
        <v>39</v>
      </c>
      <c r="B270" s="57" t="n">
        <v>46290</v>
      </c>
      <c r="C270" s="24" t="n">
        <f aca="false">G269</f>
        <v>0</v>
      </c>
      <c r="D270" s="45" t="n">
        <f aca="false">E270-F270</f>
        <v>0</v>
      </c>
      <c r="E270" s="24" t="n">
        <f aca="false">SUMPRODUCT((Income!D$3:D$502="GBP")*(Income!A$3:A$502=B270)*(Income!A$3:A$502&lt;&gt;"")*Income!C$3:C$502)</f>
        <v>0</v>
      </c>
      <c r="F270" s="24" t="n">
        <f aca="false">SUMPRODUCT((Expenses!E$3:E$1002="GBP")*(Expenses!A$3:A$1002=B270)*(Expenses!A$3:A$1002&lt;&gt;"")*Expenses!D$3:D$1002)</f>
        <v>0</v>
      </c>
      <c r="G270" s="45" t="n">
        <f aca="false">C270+D270</f>
        <v>0</v>
      </c>
      <c r="H270" s="26"/>
    </row>
    <row r="271" customFormat="false" ht="15" hidden="false" customHeight="false" outlineLevel="0" collapsed="false">
      <c r="A271" s="5" t="n">
        <v>39</v>
      </c>
      <c r="B271" s="57" t="n">
        <v>46291</v>
      </c>
      <c r="C271" s="24" t="n">
        <f aca="false">G270</f>
        <v>0</v>
      </c>
      <c r="D271" s="45" t="n">
        <f aca="false">E271-F271</f>
        <v>0</v>
      </c>
      <c r="E271" s="24" t="n">
        <f aca="false">SUMPRODUCT((Income!D$3:D$502="GBP")*(Income!A$3:A$502=B271)*(Income!A$3:A$502&lt;&gt;"")*Income!C$3:C$502)</f>
        <v>0</v>
      </c>
      <c r="F271" s="24" t="n">
        <f aca="false">SUMPRODUCT((Expenses!E$3:E$1002="GBP")*(Expenses!A$3:A$1002=B271)*(Expenses!A$3:A$1002&lt;&gt;"")*Expenses!D$3:D$1002)</f>
        <v>0</v>
      </c>
      <c r="G271" s="45" t="n">
        <f aca="false">C271+D271</f>
        <v>0</v>
      </c>
      <c r="H271" s="26"/>
    </row>
    <row r="272" customFormat="false" ht="15" hidden="false" customHeight="false" outlineLevel="0" collapsed="false">
      <c r="A272" s="5" t="n">
        <v>39</v>
      </c>
      <c r="B272" s="57" t="n">
        <v>46292</v>
      </c>
      <c r="C272" s="24" t="n">
        <f aca="false">G271</f>
        <v>0</v>
      </c>
      <c r="D272" s="45" t="n">
        <f aca="false">E272-F272</f>
        <v>0</v>
      </c>
      <c r="E272" s="24" t="n">
        <f aca="false">SUMPRODUCT((Income!D$3:D$502="GBP")*(Income!A$3:A$502=B272)*(Income!A$3:A$502&lt;&gt;"")*Income!C$3:C$502)</f>
        <v>0</v>
      </c>
      <c r="F272" s="24" t="n">
        <f aca="false">SUMPRODUCT((Expenses!E$3:E$1002="GBP")*(Expenses!A$3:A$1002=B272)*(Expenses!A$3:A$1002&lt;&gt;"")*Expenses!D$3:D$1002)</f>
        <v>0</v>
      </c>
      <c r="G272" s="45" t="n">
        <f aca="false">C272+D272</f>
        <v>0</v>
      </c>
      <c r="H272" s="26"/>
    </row>
    <row r="273" customFormat="false" ht="15" hidden="false" customHeight="false" outlineLevel="0" collapsed="false">
      <c r="A273" s="5" t="n">
        <v>40</v>
      </c>
      <c r="B273" s="57" t="n">
        <v>46293</v>
      </c>
      <c r="C273" s="24" t="n">
        <f aca="false">G272</f>
        <v>0</v>
      </c>
      <c r="D273" s="45" t="n">
        <f aca="false">E273-F273</f>
        <v>0</v>
      </c>
      <c r="E273" s="24" t="n">
        <f aca="false">SUMPRODUCT((Income!D$3:D$502="GBP")*(Income!A$3:A$502=B273)*(Income!A$3:A$502&lt;&gt;"")*Income!C$3:C$502)</f>
        <v>0</v>
      </c>
      <c r="F273" s="24" t="n">
        <f aca="false">SUMPRODUCT((Expenses!E$3:E$1002="GBP")*(Expenses!A$3:A$1002=B273)*(Expenses!A$3:A$1002&lt;&gt;"")*Expenses!D$3:D$1002)</f>
        <v>0</v>
      </c>
      <c r="G273" s="45" t="n">
        <f aca="false">C273+D273</f>
        <v>0</v>
      </c>
      <c r="H273" s="26"/>
    </row>
    <row r="274" customFormat="false" ht="15" hidden="false" customHeight="false" outlineLevel="0" collapsed="false">
      <c r="A274" s="5" t="n">
        <v>40</v>
      </c>
      <c r="B274" s="57" t="n">
        <v>46294</v>
      </c>
      <c r="C274" s="24" t="n">
        <f aca="false">G273</f>
        <v>0</v>
      </c>
      <c r="D274" s="45" t="n">
        <f aca="false">E274-F274</f>
        <v>0</v>
      </c>
      <c r="E274" s="24" t="n">
        <f aca="false">SUMPRODUCT((Income!D$3:D$502="GBP")*(Income!A$3:A$502=B274)*(Income!A$3:A$502&lt;&gt;"")*Income!C$3:C$502)</f>
        <v>0</v>
      </c>
      <c r="F274" s="24" t="n">
        <f aca="false">SUMPRODUCT((Expenses!E$3:E$1002="GBP")*(Expenses!A$3:A$1002=B274)*(Expenses!A$3:A$1002&lt;&gt;"")*Expenses!D$3:D$1002)</f>
        <v>0</v>
      </c>
      <c r="G274" s="45" t="n">
        <f aca="false">C274+D274</f>
        <v>0</v>
      </c>
      <c r="H274" s="26"/>
    </row>
    <row r="275" customFormat="false" ht="15" hidden="false" customHeight="false" outlineLevel="0" collapsed="false">
      <c r="A275" s="5" t="n">
        <v>40</v>
      </c>
      <c r="B275" s="57" t="n">
        <v>46295</v>
      </c>
      <c r="C275" s="24" t="n">
        <f aca="false">G274</f>
        <v>0</v>
      </c>
      <c r="D275" s="45" t="n">
        <f aca="false">E275-F275</f>
        <v>0</v>
      </c>
      <c r="E275" s="24" t="n">
        <f aca="false">SUMPRODUCT((Income!D$3:D$502="GBP")*(Income!A$3:A$502=B275)*(Income!A$3:A$502&lt;&gt;"")*Income!C$3:C$502)</f>
        <v>0</v>
      </c>
      <c r="F275" s="24" t="n">
        <f aca="false">SUMPRODUCT((Expenses!E$3:E$1002="GBP")*(Expenses!A$3:A$1002=B275)*(Expenses!A$3:A$1002&lt;&gt;"")*Expenses!D$3:D$1002)</f>
        <v>0</v>
      </c>
      <c r="G275" s="45" t="n">
        <f aca="false">C275+D275</f>
        <v>0</v>
      </c>
      <c r="H275" s="26"/>
    </row>
    <row r="276" customFormat="false" ht="15" hidden="false" customHeight="false" outlineLevel="0" collapsed="false">
      <c r="A276" s="5" t="n">
        <v>40</v>
      </c>
      <c r="B276" s="57" t="n">
        <v>46296</v>
      </c>
      <c r="C276" s="24" t="n">
        <f aca="false">G275</f>
        <v>0</v>
      </c>
      <c r="D276" s="45" t="n">
        <f aca="false">E276-F276</f>
        <v>0</v>
      </c>
      <c r="E276" s="24" t="n">
        <f aca="false">SUMPRODUCT((Income!D$3:D$502="GBP")*(Income!A$3:A$502=B276)*(Income!A$3:A$502&lt;&gt;"")*Income!C$3:C$502)</f>
        <v>0</v>
      </c>
      <c r="F276" s="24" t="n">
        <f aca="false">SUMPRODUCT((Expenses!E$3:E$1002="GBP")*(Expenses!A$3:A$1002=B276)*(Expenses!A$3:A$1002&lt;&gt;"")*Expenses!D$3:D$1002)</f>
        <v>0</v>
      </c>
      <c r="G276" s="45" t="n">
        <f aca="false">C276+D276</f>
        <v>0</v>
      </c>
      <c r="H276" s="26"/>
    </row>
    <row r="277" customFormat="false" ht="15" hidden="false" customHeight="false" outlineLevel="0" collapsed="false">
      <c r="A277" s="5" t="n">
        <v>40</v>
      </c>
      <c r="B277" s="57" t="n">
        <v>46297</v>
      </c>
      <c r="C277" s="24" t="n">
        <f aca="false">G276</f>
        <v>0</v>
      </c>
      <c r="D277" s="45" t="n">
        <f aca="false">E277-F277</f>
        <v>0</v>
      </c>
      <c r="E277" s="24" t="n">
        <f aca="false">SUMPRODUCT((Income!D$3:D$502="GBP")*(Income!A$3:A$502=B277)*(Income!A$3:A$502&lt;&gt;"")*Income!C$3:C$502)</f>
        <v>0</v>
      </c>
      <c r="F277" s="24" t="n">
        <f aca="false">SUMPRODUCT((Expenses!E$3:E$1002="GBP")*(Expenses!A$3:A$1002=B277)*(Expenses!A$3:A$1002&lt;&gt;"")*Expenses!D$3:D$1002)</f>
        <v>0</v>
      </c>
      <c r="G277" s="45" t="n">
        <f aca="false">C277+D277</f>
        <v>0</v>
      </c>
      <c r="H277" s="26"/>
    </row>
    <row r="278" customFormat="false" ht="15" hidden="false" customHeight="false" outlineLevel="0" collapsed="false">
      <c r="A278" s="5" t="n">
        <v>40</v>
      </c>
      <c r="B278" s="57" t="n">
        <v>46298</v>
      </c>
      <c r="C278" s="24" t="n">
        <f aca="false">G277</f>
        <v>0</v>
      </c>
      <c r="D278" s="45" t="n">
        <f aca="false">E278-F278</f>
        <v>0</v>
      </c>
      <c r="E278" s="24" t="n">
        <f aca="false">SUMPRODUCT((Income!D$3:D$502="GBP")*(Income!A$3:A$502=B278)*(Income!A$3:A$502&lt;&gt;"")*Income!C$3:C$502)</f>
        <v>0</v>
      </c>
      <c r="F278" s="24" t="n">
        <f aca="false">SUMPRODUCT((Expenses!E$3:E$1002="GBP")*(Expenses!A$3:A$1002=B278)*(Expenses!A$3:A$1002&lt;&gt;"")*Expenses!D$3:D$1002)</f>
        <v>0</v>
      </c>
      <c r="G278" s="45" t="n">
        <f aca="false">C278+D278</f>
        <v>0</v>
      </c>
      <c r="H278" s="26"/>
    </row>
    <row r="279" customFormat="false" ht="15" hidden="false" customHeight="false" outlineLevel="0" collapsed="false">
      <c r="A279" s="5" t="n">
        <v>40</v>
      </c>
      <c r="B279" s="57" t="n">
        <v>46299</v>
      </c>
      <c r="C279" s="24" t="n">
        <f aca="false">G278</f>
        <v>0</v>
      </c>
      <c r="D279" s="45" t="n">
        <f aca="false">E279-F279</f>
        <v>0</v>
      </c>
      <c r="E279" s="24" t="n">
        <f aca="false">SUMPRODUCT((Income!D$3:D$502="GBP")*(Income!A$3:A$502=B279)*(Income!A$3:A$502&lt;&gt;"")*Income!C$3:C$502)</f>
        <v>0</v>
      </c>
      <c r="F279" s="24" t="n">
        <f aca="false">SUMPRODUCT((Expenses!E$3:E$1002="GBP")*(Expenses!A$3:A$1002=B279)*(Expenses!A$3:A$1002&lt;&gt;"")*Expenses!D$3:D$1002)</f>
        <v>0</v>
      </c>
      <c r="G279" s="45" t="n">
        <f aca="false">C279+D279</f>
        <v>0</v>
      </c>
      <c r="H279" s="26"/>
    </row>
    <row r="280" customFormat="false" ht="15" hidden="false" customHeight="false" outlineLevel="0" collapsed="false">
      <c r="A280" s="5" t="n">
        <v>41</v>
      </c>
      <c r="B280" s="57" t="n">
        <v>46300</v>
      </c>
      <c r="C280" s="24" t="n">
        <f aca="false">G279</f>
        <v>0</v>
      </c>
      <c r="D280" s="45" t="n">
        <f aca="false">E280-F280</f>
        <v>0</v>
      </c>
      <c r="E280" s="24" t="n">
        <f aca="false">SUMPRODUCT((Income!D$3:D$502="GBP")*(Income!A$3:A$502=B280)*(Income!A$3:A$502&lt;&gt;"")*Income!C$3:C$502)</f>
        <v>0</v>
      </c>
      <c r="F280" s="24" t="n">
        <f aca="false">SUMPRODUCT((Expenses!E$3:E$1002="GBP")*(Expenses!A$3:A$1002=B280)*(Expenses!A$3:A$1002&lt;&gt;"")*Expenses!D$3:D$1002)</f>
        <v>0</v>
      </c>
      <c r="G280" s="45" t="n">
        <f aca="false">C280+D280</f>
        <v>0</v>
      </c>
      <c r="H280" s="26"/>
    </row>
    <row r="281" customFormat="false" ht="15" hidden="false" customHeight="false" outlineLevel="0" collapsed="false">
      <c r="A281" s="5" t="n">
        <v>41</v>
      </c>
      <c r="B281" s="57" t="n">
        <v>46301</v>
      </c>
      <c r="C281" s="24" t="n">
        <f aca="false">G280</f>
        <v>0</v>
      </c>
      <c r="D281" s="45" t="n">
        <f aca="false">E281-F281</f>
        <v>0</v>
      </c>
      <c r="E281" s="24" t="n">
        <f aca="false">SUMPRODUCT((Income!D$3:D$502="GBP")*(Income!A$3:A$502=B281)*(Income!A$3:A$502&lt;&gt;"")*Income!C$3:C$502)</f>
        <v>0</v>
      </c>
      <c r="F281" s="24" t="n">
        <f aca="false">SUMPRODUCT((Expenses!E$3:E$1002="GBP")*(Expenses!A$3:A$1002=B281)*(Expenses!A$3:A$1002&lt;&gt;"")*Expenses!D$3:D$1002)</f>
        <v>0</v>
      </c>
      <c r="G281" s="45" t="n">
        <f aca="false">C281+D281</f>
        <v>0</v>
      </c>
      <c r="H281" s="26"/>
    </row>
    <row r="282" customFormat="false" ht="15" hidden="false" customHeight="false" outlineLevel="0" collapsed="false">
      <c r="A282" s="5" t="n">
        <v>41</v>
      </c>
      <c r="B282" s="57" t="n">
        <v>46302</v>
      </c>
      <c r="C282" s="24" t="n">
        <f aca="false">G281</f>
        <v>0</v>
      </c>
      <c r="D282" s="45" t="n">
        <f aca="false">E282-F282</f>
        <v>0</v>
      </c>
      <c r="E282" s="24" t="n">
        <f aca="false">SUMPRODUCT((Income!D$3:D$502="GBP")*(Income!A$3:A$502=B282)*(Income!A$3:A$502&lt;&gt;"")*Income!C$3:C$502)</f>
        <v>0</v>
      </c>
      <c r="F282" s="24" t="n">
        <f aca="false">SUMPRODUCT((Expenses!E$3:E$1002="GBP")*(Expenses!A$3:A$1002=B282)*(Expenses!A$3:A$1002&lt;&gt;"")*Expenses!D$3:D$1002)</f>
        <v>0</v>
      </c>
      <c r="G282" s="45" t="n">
        <f aca="false">C282+D282</f>
        <v>0</v>
      </c>
      <c r="H282" s="26"/>
    </row>
    <row r="283" customFormat="false" ht="15" hidden="false" customHeight="false" outlineLevel="0" collapsed="false">
      <c r="A283" s="5" t="n">
        <v>41</v>
      </c>
      <c r="B283" s="57" t="n">
        <v>46303</v>
      </c>
      <c r="C283" s="24" t="n">
        <f aca="false">G282</f>
        <v>0</v>
      </c>
      <c r="D283" s="45" t="n">
        <f aca="false">E283-F283</f>
        <v>0</v>
      </c>
      <c r="E283" s="24" t="n">
        <f aca="false">SUMPRODUCT((Income!D$3:D$502="GBP")*(Income!A$3:A$502=B283)*(Income!A$3:A$502&lt;&gt;"")*Income!C$3:C$502)</f>
        <v>0</v>
      </c>
      <c r="F283" s="24" t="n">
        <f aca="false">SUMPRODUCT((Expenses!E$3:E$1002="GBP")*(Expenses!A$3:A$1002=B283)*(Expenses!A$3:A$1002&lt;&gt;"")*Expenses!D$3:D$1002)</f>
        <v>0</v>
      </c>
      <c r="G283" s="45" t="n">
        <f aca="false">C283+D283</f>
        <v>0</v>
      </c>
      <c r="H283" s="26"/>
    </row>
    <row r="284" customFormat="false" ht="15" hidden="false" customHeight="false" outlineLevel="0" collapsed="false">
      <c r="A284" s="5" t="n">
        <v>41</v>
      </c>
      <c r="B284" s="57" t="n">
        <v>46304</v>
      </c>
      <c r="C284" s="24" t="n">
        <f aca="false">G283</f>
        <v>0</v>
      </c>
      <c r="D284" s="45" t="n">
        <f aca="false">E284-F284</f>
        <v>0</v>
      </c>
      <c r="E284" s="24" t="n">
        <f aca="false">SUMPRODUCT((Income!D$3:D$502="GBP")*(Income!A$3:A$502=B284)*(Income!A$3:A$502&lt;&gt;"")*Income!C$3:C$502)</f>
        <v>0</v>
      </c>
      <c r="F284" s="24" t="n">
        <f aca="false">SUMPRODUCT((Expenses!E$3:E$1002="GBP")*(Expenses!A$3:A$1002=B284)*(Expenses!A$3:A$1002&lt;&gt;"")*Expenses!D$3:D$1002)</f>
        <v>0</v>
      </c>
      <c r="G284" s="45" t="n">
        <f aca="false">C284+D284</f>
        <v>0</v>
      </c>
      <c r="H284" s="26"/>
    </row>
    <row r="285" customFormat="false" ht="15" hidden="false" customHeight="false" outlineLevel="0" collapsed="false">
      <c r="A285" s="5" t="n">
        <v>41</v>
      </c>
      <c r="B285" s="57" t="n">
        <v>46305</v>
      </c>
      <c r="C285" s="24" t="n">
        <f aca="false">G284</f>
        <v>0</v>
      </c>
      <c r="D285" s="45" t="n">
        <f aca="false">E285-F285</f>
        <v>0</v>
      </c>
      <c r="E285" s="24" t="n">
        <f aca="false">SUMPRODUCT((Income!D$3:D$502="GBP")*(Income!A$3:A$502=B285)*(Income!A$3:A$502&lt;&gt;"")*Income!C$3:C$502)</f>
        <v>0</v>
      </c>
      <c r="F285" s="24" t="n">
        <f aca="false">SUMPRODUCT((Expenses!E$3:E$1002="GBP")*(Expenses!A$3:A$1002=B285)*(Expenses!A$3:A$1002&lt;&gt;"")*Expenses!D$3:D$1002)</f>
        <v>0</v>
      </c>
      <c r="G285" s="45" t="n">
        <f aca="false">C285+D285</f>
        <v>0</v>
      </c>
      <c r="H285" s="26"/>
    </row>
    <row r="286" customFormat="false" ht="15" hidden="false" customHeight="false" outlineLevel="0" collapsed="false">
      <c r="A286" s="5" t="n">
        <v>41</v>
      </c>
      <c r="B286" s="57" t="n">
        <v>46306</v>
      </c>
      <c r="C286" s="24" t="n">
        <f aca="false">G285</f>
        <v>0</v>
      </c>
      <c r="D286" s="45" t="n">
        <f aca="false">E286-F286</f>
        <v>0</v>
      </c>
      <c r="E286" s="24" t="n">
        <f aca="false">SUMPRODUCT((Income!D$3:D$502="GBP")*(Income!A$3:A$502=B286)*(Income!A$3:A$502&lt;&gt;"")*Income!C$3:C$502)</f>
        <v>0</v>
      </c>
      <c r="F286" s="24" t="n">
        <f aca="false">SUMPRODUCT((Expenses!E$3:E$1002="GBP")*(Expenses!A$3:A$1002=B286)*(Expenses!A$3:A$1002&lt;&gt;"")*Expenses!D$3:D$1002)</f>
        <v>0</v>
      </c>
      <c r="G286" s="45" t="n">
        <f aca="false">C286+D286</f>
        <v>0</v>
      </c>
      <c r="H286" s="26"/>
    </row>
    <row r="287" customFormat="false" ht="15" hidden="false" customHeight="false" outlineLevel="0" collapsed="false">
      <c r="A287" s="5" t="n">
        <v>42</v>
      </c>
      <c r="B287" s="57" t="n">
        <v>46307</v>
      </c>
      <c r="C287" s="24" t="n">
        <f aca="false">G286</f>
        <v>0</v>
      </c>
      <c r="D287" s="45" t="n">
        <f aca="false">E287-F287</f>
        <v>0</v>
      </c>
      <c r="E287" s="24" t="n">
        <f aca="false">SUMPRODUCT((Income!D$3:D$502="GBP")*(Income!A$3:A$502=B287)*(Income!A$3:A$502&lt;&gt;"")*Income!C$3:C$502)</f>
        <v>0</v>
      </c>
      <c r="F287" s="24" t="n">
        <f aca="false">SUMPRODUCT((Expenses!E$3:E$1002="GBP")*(Expenses!A$3:A$1002=B287)*(Expenses!A$3:A$1002&lt;&gt;"")*Expenses!D$3:D$1002)</f>
        <v>0</v>
      </c>
      <c r="G287" s="45" t="n">
        <f aca="false">C287+D287</f>
        <v>0</v>
      </c>
      <c r="H287" s="26"/>
    </row>
    <row r="288" customFormat="false" ht="15" hidden="false" customHeight="false" outlineLevel="0" collapsed="false">
      <c r="A288" s="5" t="n">
        <v>42</v>
      </c>
      <c r="B288" s="57" t="n">
        <v>46308</v>
      </c>
      <c r="C288" s="24" t="n">
        <f aca="false">G287</f>
        <v>0</v>
      </c>
      <c r="D288" s="45" t="n">
        <f aca="false">E288-F288</f>
        <v>0</v>
      </c>
      <c r="E288" s="24" t="n">
        <f aca="false">SUMPRODUCT((Income!D$3:D$502="GBP")*(Income!A$3:A$502=B288)*(Income!A$3:A$502&lt;&gt;"")*Income!C$3:C$502)</f>
        <v>0</v>
      </c>
      <c r="F288" s="24" t="n">
        <f aca="false">SUMPRODUCT((Expenses!E$3:E$1002="GBP")*(Expenses!A$3:A$1002=B288)*(Expenses!A$3:A$1002&lt;&gt;"")*Expenses!D$3:D$1002)</f>
        <v>0</v>
      </c>
      <c r="G288" s="45" t="n">
        <f aca="false">C288+D288</f>
        <v>0</v>
      </c>
      <c r="H288" s="26"/>
    </row>
    <row r="289" customFormat="false" ht="15" hidden="false" customHeight="false" outlineLevel="0" collapsed="false">
      <c r="A289" s="5" t="n">
        <v>42</v>
      </c>
      <c r="B289" s="57" t="n">
        <v>46309</v>
      </c>
      <c r="C289" s="24" t="n">
        <f aca="false">G288</f>
        <v>0</v>
      </c>
      <c r="D289" s="45" t="n">
        <f aca="false">E289-F289</f>
        <v>0</v>
      </c>
      <c r="E289" s="24" t="n">
        <f aca="false">SUMPRODUCT((Income!D$3:D$502="GBP")*(Income!A$3:A$502=B289)*(Income!A$3:A$502&lt;&gt;"")*Income!C$3:C$502)</f>
        <v>0</v>
      </c>
      <c r="F289" s="24" t="n">
        <f aca="false">SUMPRODUCT((Expenses!E$3:E$1002="GBP")*(Expenses!A$3:A$1002=B289)*(Expenses!A$3:A$1002&lt;&gt;"")*Expenses!D$3:D$1002)</f>
        <v>0</v>
      </c>
      <c r="G289" s="45" t="n">
        <f aca="false">C289+D289</f>
        <v>0</v>
      </c>
      <c r="H289" s="26"/>
    </row>
    <row r="290" customFormat="false" ht="15" hidden="false" customHeight="false" outlineLevel="0" collapsed="false">
      <c r="A290" s="5" t="n">
        <v>42</v>
      </c>
      <c r="B290" s="57" t="n">
        <v>46310</v>
      </c>
      <c r="C290" s="24" t="n">
        <f aca="false">G289</f>
        <v>0</v>
      </c>
      <c r="D290" s="45" t="n">
        <f aca="false">E290-F290</f>
        <v>0</v>
      </c>
      <c r="E290" s="24" t="n">
        <f aca="false">SUMPRODUCT((Income!D$3:D$502="GBP")*(Income!A$3:A$502=B290)*(Income!A$3:A$502&lt;&gt;"")*Income!C$3:C$502)</f>
        <v>0</v>
      </c>
      <c r="F290" s="24" t="n">
        <f aca="false">SUMPRODUCT((Expenses!E$3:E$1002="GBP")*(Expenses!A$3:A$1002=B290)*(Expenses!A$3:A$1002&lt;&gt;"")*Expenses!D$3:D$1002)</f>
        <v>0</v>
      </c>
      <c r="G290" s="45" t="n">
        <f aca="false">C290+D290</f>
        <v>0</v>
      </c>
      <c r="H290" s="26"/>
    </row>
    <row r="291" customFormat="false" ht="15" hidden="false" customHeight="false" outlineLevel="0" collapsed="false">
      <c r="A291" s="5" t="n">
        <v>42</v>
      </c>
      <c r="B291" s="57" t="n">
        <v>46311</v>
      </c>
      <c r="C291" s="24" t="n">
        <f aca="false">G290</f>
        <v>0</v>
      </c>
      <c r="D291" s="45" t="n">
        <f aca="false">E291-F291</f>
        <v>0</v>
      </c>
      <c r="E291" s="24" t="n">
        <f aca="false">SUMPRODUCT((Income!D$3:D$502="GBP")*(Income!A$3:A$502=B291)*(Income!A$3:A$502&lt;&gt;"")*Income!C$3:C$502)</f>
        <v>0</v>
      </c>
      <c r="F291" s="24" t="n">
        <f aca="false">SUMPRODUCT((Expenses!E$3:E$1002="GBP")*(Expenses!A$3:A$1002=B291)*(Expenses!A$3:A$1002&lt;&gt;"")*Expenses!D$3:D$1002)</f>
        <v>0</v>
      </c>
      <c r="G291" s="45" t="n">
        <f aca="false">C291+D291</f>
        <v>0</v>
      </c>
      <c r="H291" s="26"/>
    </row>
    <row r="292" customFormat="false" ht="15" hidden="false" customHeight="false" outlineLevel="0" collapsed="false">
      <c r="A292" s="5" t="n">
        <v>42</v>
      </c>
      <c r="B292" s="57" t="n">
        <v>46312</v>
      </c>
      <c r="C292" s="24" t="n">
        <f aca="false">G291</f>
        <v>0</v>
      </c>
      <c r="D292" s="45" t="n">
        <f aca="false">E292-F292</f>
        <v>0</v>
      </c>
      <c r="E292" s="24" t="n">
        <f aca="false">SUMPRODUCT((Income!D$3:D$502="GBP")*(Income!A$3:A$502=B292)*(Income!A$3:A$502&lt;&gt;"")*Income!C$3:C$502)</f>
        <v>0</v>
      </c>
      <c r="F292" s="24" t="n">
        <f aca="false">SUMPRODUCT((Expenses!E$3:E$1002="GBP")*(Expenses!A$3:A$1002=B292)*(Expenses!A$3:A$1002&lt;&gt;"")*Expenses!D$3:D$1002)</f>
        <v>0</v>
      </c>
      <c r="G292" s="45" t="n">
        <f aca="false">C292+D292</f>
        <v>0</v>
      </c>
      <c r="H292" s="26"/>
    </row>
    <row r="293" customFormat="false" ht="15" hidden="false" customHeight="false" outlineLevel="0" collapsed="false">
      <c r="A293" s="5" t="n">
        <v>42</v>
      </c>
      <c r="B293" s="57" t="n">
        <v>46313</v>
      </c>
      <c r="C293" s="24" t="n">
        <f aca="false">G292</f>
        <v>0</v>
      </c>
      <c r="D293" s="45" t="n">
        <f aca="false">E293-F293</f>
        <v>0</v>
      </c>
      <c r="E293" s="24" t="n">
        <f aca="false">SUMPRODUCT((Income!D$3:D$502="GBP")*(Income!A$3:A$502=B293)*(Income!A$3:A$502&lt;&gt;"")*Income!C$3:C$502)</f>
        <v>0</v>
      </c>
      <c r="F293" s="24" t="n">
        <f aca="false">SUMPRODUCT((Expenses!E$3:E$1002="GBP")*(Expenses!A$3:A$1002=B293)*(Expenses!A$3:A$1002&lt;&gt;"")*Expenses!D$3:D$1002)</f>
        <v>0</v>
      </c>
      <c r="G293" s="45" t="n">
        <f aca="false">C293+D293</f>
        <v>0</v>
      </c>
      <c r="H293" s="26"/>
    </row>
    <row r="294" customFormat="false" ht="15" hidden="false" customHeight="false" outlineLevel="0" collapsed="false">
      <c r="A294" s="5" t="n">
        <v>43</v>
      </c>
      <c r="B294" s="57" t="n">
        <v>46314</v>
      </c>
      <c r="C294" s="24" t="n">
        <f aca="false">G293</f>
        <v>0</v>
      </c>
      <c r="D294" s="45" t="n">
        <f aca="false">E294-F294</f>
        <v>0</v>
      </c>
      <c r="E294" s="24" t="n">
        <f aca="false">SUMPRODUCT((Income!D$3:D$502="GBP")*(Income!A$3:A$502=B294)*(Income!A$3:A$502&lt;&gt;"")*Income!C$3:C$502)</f>
        <v>0</v>
      </c>
      <c r="F294" s="24" t="n">
        <f aca="false">SUMPRODUCT((Expenses!E$3:E$1002="GBP")*(Expenses!A$3:A$1002=B294)*(Expenses!A$3:A$1002&lt;&gt;"")*Expenses!D$3:D$1002)</f>
        <v>0</v>
      </c>
      <c r="G294" s="45" t="n">
        <f aca="false">C294+D294</f>
        <v>0</v>
      </c>
      <c r="H294" s="26"/>
    </row>
    <row r="295" customFormat="false" ht="15" hidden="false" customHeight="false" outlineLevel="0" collapsed="false">
      <c r="A295" s="5" t="n">
        <v>43</v>
      </c>
      <c r="B295" s="57" t="n">
        <v>46315</v>
      </c>
      <c r="C295" s="24" t="n">
        <f aca="false">G294</f>
        <v>0</v>
      </c>
      <c r="D295" s="45" t="n">
        <f aca="false">E295-F295</f>
        <v>0</v>
      </c>
      <c r="E295" s="24" t="n">
        <f aca="false">SUMPRODUCT((Income!D$3:D$502="GBP")*(Income!A$3:A$502=B295)*(Income!A$3:A$502&lt;&gt;"")*Income!C$3:C$502)</f>
        <v>0</v>
      </c>
      <c r="F295" s="24" t="n">
        <f aca="false">SUMPRODUCT((Expenses!E$3:E$1002="GBP")*(Expenses!A$3:A$1002=B295)*(Expenses!A$3:A$1002&lt;&gt;"")*Expenses!D$3:D$1002)</f>
        <v>0</v>
      </c>
      <c r="G295" s="45" t="n">
        <f aca="false">C295+D295</f>
        <v>0</v>
      </c>
      <c r="H295" s="26"/>
    </row>
    <row r="296" customFormat="false" ht="15" hidden="false" customHeight="false" outlineLevel="0" collapsed="false">
      <c r="A296" s="5" t="n">
        <v>43</v>
      </c>
      <c r="B296" s="57" t="n">
        <v>46316</v>
      </c>
      <c r="C296" s="24" t="n">
        <f aca="false">G295</f>
        <v>0</v>
      </c>
      <c r="D296" s="45" t="n">
        <f aca="false">E296-F296</f>
        <v>0</v>
      </c>
      <c r="E296" s="24" t="n">
        <f aca="false">SUMPRODUCT((Income!D$3:D$502="GBP")*(Income!A$3:A$502=B296)*(Income!A$3:A$502&lt;&gt;"")*Income!C$3:C$502)</f>
        <v>0</v>
      </c>
      <c r="F296" s="24" t="n">
        <f aca="false">SUMPRODUCT((Expenses!E$3:E$1002="GBP")*(Expenses!A$3:A$1002=B296)*(Expenses!A$3:A$1002&lt;&gt;"")*Expenses!D$3:D$1002)</f>
        <v>0</v>
      </c>
      <c r="G296" s="45" t="n">
        <f aca="false">C296+D296</f>
        <v>0</v>
      </c>
      <c r="H296" s="26"/>
    </row>
    <row r="297" customFormat="false" ht="15" hidden="false" customHeight="false" outlineLevel="0" collapsed="false">
      <c r="A297" s="5" t="n">
        <v>43</v>
      </c>
      <c r="B297" s="57" t="n">
        <v>46317</v>
      </c>
      <c r="C297" s="24" t="n">
        <f aca="false">G296</f>
        <v>0</v>
      </c>
      <c r="D297" s="45" t="n">
        <f aca="false">E297-F297</f>
        <v>0</v>
      </c>
      <c r="E297" s="24" t="n">
        <f aca="false">SUMPRODUCT((Income!D$3:D$502="GBP")*(Income!A$3:A$502=B297)*(Income!A$3:A$502&lt;&gt;"")*Income!C$3:C$502)</f>
        <v>0</v>
      </c>
      <c r="F297" s="24" t="n">
        <f aca="false">SUMPRODUCT((Expenses!E$3:E$1002="GBP")*(Expenses!A$3:A$1002=B297)*(Expenses!A$3:A$1002&lt;&gt;"")*Expenses!D$3:D$1002)</f>
        <v>0</v>
      </c>
      <c r="G297" s="45" t="n">
        <f aca="false">C297+D297</f>
        <v>0</v>
      </c>
      <c r="H297" s="26"/>
    </row>
    <row r="298" customFormat="false" ht="15" hidden="false" customHeight="false" outlineLevel="0" collapsed="false">
      <c r="A298" s="5" t="n">
        <v>43</v>
      </c>
      <c r="B298" s="57" t="n">
        <v>46318</v>
      </c>
      <c r="C298" s="24" t="n">
        <f aca="false">G297</f>
        <v>0</v>
      </c>
      <c r="D298" s="45" t="n">
        <f aca="false">E298-F298</f>
        <v>0</v>
      </c>
      <c r="E298" s="24" t="n">
        <f aca="false">SUMPRODUCT((Income!D$3:D$502="GBP")*(Income!A$3:A$502=B298)*(Income!A$3:A$502&lt;&gt;"")*Income!C$3:C$502)</f>
        <v>0</v>
      </c>
      <c r="F298" s="24" t="n">
        <f aca="false">SUMPRODUCT((Expenses!E$3:E$1002="GBP")*(Expenses!A$3:A$1002=B298)*(Expenses!A$3:A$1002&lt;&gt;"")*Expenses!D$3:D$1002)</f>
        <v>0</v>
      </c>
      <c r="G298" s="45" t="n">
        <f aca="false">C298+D298</f>
        <v>0</v>
      </c>
      <c r="H298" s="26"/>
    </row>
    <row r="299" customFormat="false" ht="15" hidden="false" customHeight="false" outlineLevel="0" collapsed="false">
      <c r="A299" s="5" t="n">
        <v>43</v>
      </c>
      <c r="B299" s="57" t="n">
        <v>46319</v>
      </c>
      <c r="C299" s="24" t="n">
        <f aca="false">G298</f>
        <v>0</v>
      </c>
      <c r="D299" s="45" t="n">
        <f aca="false">E299-F299</f>
        <v>0</v>
      </c>
      <c r="E299" s="24" t="n">
        <f aca="false">SUMPRODUCT((Income!D$3:D$502="GBP")*(Income!A$3:A$502=B299)*(Income!A$3:A$502&lt;&gt;"")*Income!C$3:C$502)</f>
        <v>0</v>
      </c>
      <c r="F299" s="24" t="n">
        <f aca="false">SUMPRODUCT((Expenses!E$3:E$1002="GBP")*(Expenses!A$3:A$1002=B299)*(Expenses!A$3:A$1002&lt;&gt;"")*Expenses!D$3:D$1002)</f>
        <v>0</v>
      </c>
      <c r="G299" s="45" t="n">
        <f aca="false">C299+D299</f>
        <v>0</v>
      </c>
      <c r="H299" s="26"/>
    </row>
    <row r="300" customFormat="false" ht="15" hidden="false" customHeight="false" outlineLevel="0" collapsed="false">
      <c r="A300" s="5" t="n">
        <v>43</v>
      </c>
      <c r="B300" s="57" t="n">
        <v>46320</v>
      </c>
      <c r="C300" s="24" t="n">
        <f aca="false">G299</f>
        <v>0</v>
      </c>
      <c r="D300" s="45" t="n">
        <f aca="false">E300-F300</f>
        <v>0</v>
      </c>
      <c r="E300" s="24" t="n">
        <f aca="false">SUMPRODUCT((Income!D$3:D$502="GBP")*(Income!A$3:A$502=B300)*(Income!A$3:A$502&lt;&gt;"")*Income!C$3:C$502)</f>
        <v>0</v>
      </c>
      <c r="F300" s="24" t="n">
        <f aca="false">SUMPRODUCT((Expenses!E$3:E$1002="GBP")*(Expenses!A$3:A$1002=B300)*(Expenses!A$3:A$1002&lt;&gt;"")*Expenses!D$3:D$1002)</f>
        <v>0</v>
      </c>
      <c r="G300" s="45" t="n">
        <f aca="false">C300+D300</f>
        <v>0</v>
      </c>
      <c r="H300" s="26"/>
    </row>
    <row r="301" customFormat="false" ht="15" hidden="false" customHeight="false" outlineLevel="0" collapsed="false">
      <c r="A301" s="5" t="n">
        <v>44</v>
      </c>
      <c r="B301" s="57" t="n">
        <v>46321</v>
      </c>
      <c r="C301" s="24" t="n">
        <f aca="false">G300</f>
        <v>0</v>
      </c>
      <c r="D301" s="45" t="n">
        <f aca="false">E301-F301</f>
        <v>0</v>
      </c>
      <c r="E301" s="24" t="n">
        <f aca="false">SUMPRODUCT((Income!D$3:D$502="GBP")*(Income!A$3:A$502=B301)*(Income!A$3:A$502&lt;&gt;"")*Income!C$3:C$502)</f>
        <v>0</v>
      </c>
      <c r="F301" s="24" t="n">
        <f aca="false">SUMPRODUCT((Expenses!E$3:E$1002="GBP")*(Expenses!A$3:A$1002=B301)*(Expenses!A$3:A$1002&lt;&gt;"")*Expenses!D$3:D$1002)</f>
        <v>0</v>
      </c>
      <c r="G301" s="45" t="n">
        <f aca="false">C301+D301</f>
        <v>0</v>
      </c>
      <c r="H301" s="26"/>
    </row>
    <row r="302" customFormat="false" ht="15" hidden="false" customHeight="false" outlineLevel="0" collapsed="false">
      <c r="A302" s="5" t="n">
        <v>44</v>
      </c>
      <c r="B302" s="57" t="n">
        <v>46322</v>
      </c>
      <c r="C302" s="24" t="n">
        <f aca="false">G301</f>
        <v>0</v>
      </c>
      <c r="D302" s="45" t="n">
        <f aca="false">E302-F302</f>
        <v>0</v>
      </c>
      <c r="E302" s="24" t="n">
        <f aca="false">SUMPRODUCT((Income!D$3:D$502="GBP")*(Income!A$3:A$502=B302)*(Income!A$3:A$502&lt;&gt;"")*Income!C$3:C$502)</f>
        <v>0</v>
      </c>
      <c r="F302" s="24" t="n">
        <f aca="false">SUMPRODUCT((Expenses!E$3:E$1002="GBP")*(Expenses!A$3:A$1002=B302)*(Expenses!A$3:A$1002&lt;&gt;"")*Expenses!D$3:D$1002)</f>
        <v>0</v>
      </c>
      <c r="G302" s="45" t="n">
        <f aca="false">C302+D302</f>
        <v>0</v>
      </c>
      <c r="H302" s="26"/>
    </row>
    <row r="303" customFormat="false" ht="15" hidden="false" customHeight="false" outlineLevel="0" collapsed="false">
      <c r="A303" s="5" t="n">
        <v>44</v>
      </c>
      <c r="B303" s="57" t="n">
        <v>46323</v>
      </c>
      <c r="C303" s="24" t="n">
        <f aca="false">G302</f>
        <v>0</v>
      </c>
      <c r="D303" s="45" t="n">
        <f aca="false">E303-F303</f>
        <v>0</v>
      </c>
      <c r="E303" s="24" t="n">
        <f aca="false">SUMPRODUCT((Income!D$3:D$502="GBP")*(Income!A$3:A$502=B303)*(Income!A$3:A$502&lt;&gt;"")*Income!C$3:C$502)</f>
        <v>0</v>
      </c>
      <c r="F303" s="24" t="n">
        <f aca="false">SUMPRODUCT((Expenses!E$3:E$1002="GBP")*(Expenses!A$3:A$1002=B303)*(Expenses!A$3:A$1002&lt;&gt;"")*Expenses!D$3:D$1002)</f>
        <v>0</v>
      </c>
      <c r="G303" s="45" t="n">
        <f aca="false">C303+D303</f>
        <v>0</v>
      </c>
      <c r="H303" s="26"/>
    </row>
    <row r="304" customFormat="false" ht="15" hidden="false" customHeight="false" outlineLevel="0" collapsed="false">
      <c r="A304" s="5" t="n">
        <v>44</v>
      </c>
      <c r="B304" s="57" t="n">
        <v>46324</v>
      </c>
      <c r="C304" s="24" t="n">
        <f aca="false">G303</f>
        <v>0</v>
      </c>
      <c r="D304" s="45" t="n">
        <f aca="false">E304-F304</f>
        <v>0</v>
      </c>
      <c r="E304" s="24" t="n">
        <f aca="false">SUMPRODUCT((Income!D$3:D$502="GBP")*(Income!A$3:A$502=B304)*(Income!A$3:A$502&lt;&gt;"")*Income!C$3:C$502)</f>
        <v>0</v>
      </c>
      <c r="F304" s="24" t="n">
        <f aca="false">SUMPRODUCT((Expenses!E$3:E$1002="GBP")*(Expenses!A$3:A$1002=B304)*(Expenses!A$3:A$1002&lt;&gt;"")*Expenses!D$3:D$1002)</f>
        <v>0</v>
      </c>
      <c r="G304" s="45" t="n">
        <f aca="false">C304+D304</f>
        <v>0</v>
      </c>
      <c r="H304" s="26"/>
    </row>
    <row r="305" customFormat="false" ht="15" hidden="false" customHeight="false" outlineLevel="0" collapsed="false">
      <c r="A305" s="5" t="n">
        <v>44</v>
      </c>
      <c r="B305" s="57" t="n">
        <v>46325</v>
      </c>
      <c r="C305" s="24" t="n">
        <f aca="false">G304</f>
        <v>0</v>
      </c>
      <c r="D305" s="45" t="n">
        <f aca="false">E305-F305</f>
        <v>0</v>
      </c>
      <c r="E305" s="24" t="n">
        <f aca="false">SUMPRODUCT((Income!D$3:D$502="GBP")*(Income!A$3:A$502=B305)*(Income!A$3:A$502&lt;&gt;"")*Income!C$3:C$502)</f>
        <v>0</v>
      </c>
      <c r="F305" s="24" t="n">
        <f aca="false">SUMPRODUCT((Expenses!E$3:E$1002="GBP")*(Expenses!A$3:A$1002=B305)*(Expenses!A$3:A$1002&lt;&gt;"")*Expenses!D$3:D$1002)</f>
        <v>0</v>
      </c>
      <c r="G305" s="45" t="n">
        <f aca="false">C305+D305</f>
        <v>0</v>
      </c>
      <c r="H305" s="26"/>
    </row>
    <row r="306" customFormat="false" ht="15" hidden="false" customHeight="false" outlineLevel="0" collapsed="false">
      <c r="A306" s="5" t="n">
        <v>44</v>
      </c>
      <c r="B306" s="57" t="n">
        <v>46326</v>
      </c>
      <c r="C306" s="24" t="n">
        <f aca="false">G305</f>
        <v>0</v>
      </c>
      <c r="D306" s="45" t="n">
        <f aca="false">E306-F306</f>
        <v>0</v>
      </c>
      <c r="E306" s="24" t="n">
        <f aca="false">SUMPRODUCT((Income!D$3:D$502="GBP")*(Income!A$3:A$502=B306)*(Income!A$3:A$502&lt;&gt;"")*Income!C$3:C$502)</f>
        <v>0</v>
      </c>
      <c r="F306" s="24" t="n">
        <f aca="false">SUMPRODUCT((Expenses!E$3:E$1002="GBP")*(Expenses!A$3:A$1002=B306)*(Expenses!A$3:A$1002&lt;&gt;"")*Expenses!D$3:D$1002)</f>
        <v>0</v>
      </c>
      <c r="G306" s="45" t="n">
        <f aca="false">C306+D306</f>
        <v>0</v>
      </c>
      <c r="H306" s="26"/>
    </row>
    <row r="307" customFormat="false" ht="15" hidden="false" customHeight="false" outlineLevel="0" collapsed="false">
      <c r="A307" s="5" t="n">
        <v>44</v>
      </c>
      <c r="B307" s="57" t="n">
        <v>46327</v>
      </c>
      <c r="C307" s="24" t="n">
        <f aca="false">G306</f>
        <v>0</v>
      </c>
      <c r="D307" s="45" t="n">
        <f aca="false">E307-F307</f>
        <v>0</v>
      </c>
      <c r="E307" s="24" t="n">
        <f aca="false">SUMPRODUCT((Income!D$3:D$502="GBP")*(Income!A$3:A$502=B307)*(Income!A$3:A$502&lt;&gt;"")*Income!C$3:C$502)</f>
        <v>0</v>
      </c>
      <c r="F307" s="24" t="n">
        <f aca="false">SUMPRODUCT((Expenses!E$3:E$1002="GBP")*(Expenses!A$3:A$1002=B307)*(Expenses!A$3:A$1002&lt;&gt;"")*Expenses!D$3:D$1002)</f>
        <v>0</v>
      </c>
      <c r="G307" s="45" t="n">
        <f aca="false">C307+D307</f>
        <v>0</v>
      </c>
      <c r="H307" s="26"/>
    </row>
    <row r="308" customFormat="false" ht="15" hidden="false" customHeight="false" outlineLevel="0" collapsed="false">
      <c r="A308" s="5" t="n">
        <v>45</v>
      </c>
      <c r="B308" s="57" t="n">
        <v>46328</v>
      </c>
      <c r="C308" s="24" t="n">
        <f aca="false">G307</f>
        <v>0</v>
      </c>
      <c r="D308" s="45" t="n">
        <f aca="false">E308-F308</f>
        <v>0</v>
      </c>
      <c r="E308" s="24" t="n">
        <f aca="false">SUMPRODUCT((Income!D$3:D$502="GBP")*(Income!A$3:A$502=B308)*(Income!A$3:A$502&lt;&gt;"")*Income!C$3:C$502)</f>
        <v>0</v>
      </c>
      <c r="F308" s="24" t="n">
        <f aca="false">SUMPRODUCT((Expenses!E$3:E$1002="GBP")*(Expenses!A$3:A$1002=B308)*(Expenses!A$3:A$1002&lt;&gt;"")*Expenses!D$3:D$1002)</f>
        <v>0</v>
      </c>
      <c r="G308" s="45" t="n">
        <f aca="false">C308+D308</f>
        <v>0</v>
      </c>
      <c r="H308" s="26"/>
    </row>
    <row r="309" customFormat="false" ht="15" hidden="false" customHeight="false" outlineLevel="0" collapsed="false">
      <c r="A309" s="5" t="n">
        <v>45</v>
      </c>
      <c r="B309" s="57" t="n">
        <v>46329</v>
      </c>
      <c r="C309" s="24" t="n">
        <f aca="false">G308</f>
        <v>0</v>
      </c>
      <c r="D309" s="45" t="n">
        <f aca="false">E309-F309</f>
        <v>0</v>
      </c>
      <c r="E309" s="24" t="n">
        <f aca="false">SUMPRODUCT((Income!D$3:D$502="GBP")*(Income!A$3:A$502=B309)*(Income!A$3:A$502&lt;&gt;"")*Income!C$3:C$502)</f>
        <v>0</v>
      </c>
      <c r="F309" s="24" t="n">
        <f aca="false">SUMPRODUCT((Expenses!E$3:E$1002="GBP")*(Expenses!A$3:A$1002=B309)*(Expenses!A$3:A$1002&lt;&gt;"")*Expenses!D$3:D$1002)</f>
        <v>0</v>
      </c>
      <c r="G309" s="45" t="n">
        <f aca="false">C309+D309</f>
        <v>0</v>
      </c>
      <c r="H309" s="26"/>
    </row>
    <row r="310" customFormat="false" ht="15" hidden="false" customHeight="false" outlineLevel="0" collapsed="false">
      <c r="A310" s="5" t="n">
        <v>45</v>
      </c>
      <c r="B310" s="57" t="n">
        <v>46330</v>
      </c>
      <c r="C310" s="24" t="n">
        <f aca="false">G309</f>
        <v>0</v>
      </c>
      <c r="D310" s="45" t="n">
        <f aca="false">E310-F310</f>
        <v>0</v>
      </c>
      <c r="E310" s="24" t="n">
        <f aca="false">SUMPRODUCT((Income!D$3:D$502="GBP")*(Income!A$3:A$502=B310)*(Income!A$3:A$502&lt;&gt;"")*Income!C$3:C$502)</f>
        <v>0</v>
      </c>
      <c r="F310" s="24" t="n">
        <f aca="false">SUMPRODUCT((Expenses!E$3:E$1002="GBP")*(Expenses!A$3:A$1002=B310)*(Expenses!A$3:A$1002&lt;&gt;"")*Expenses!D$3:D$1002)</f>
        <v>0</v>
      </c>
      <c r="G310" s="45" t="n">
        <f aca="false">C310+D310</f>
        <v>0</v>
      </c>
      <c r="H310" s="26"/>
    </row>
    <row r="311" customFormat="false" ht="15" hidden="false" customHeight="false" outlineLevel="0" collapsed="false">
      <c r="A311" s="5" t="n">
        <v>45</v>
      </c>
      <c r="B311" s="57" t="n">
        <v>46331</v>
      </c>
      <c r="C311" s="24" t="n">
        <f aca="false">G310</f>
        <v>0</v>
      </c>
      <c r="D311" s="45" t="n">
        <f aca="false">E311-F311</f>
        <v>0</v>
      </c>
      <c r="E311" s="24" t="n">
        <f aca="false">SUMPRODUCT((Income!D$3:D$502="GBP")*(Income!A$3:A$502=B311)*(Income!A$3:A$502&lt;&gt;"")*Income!C$3:C$502)</f>
        <v>0</v>
      </c>
      <c r="F311" s="24" t="n">
        <f aca="false">SUMPRODUCT((Expenses!E$3:E$1002="GBP")*(Expenses!A$3:A$1002=B311)*(Expenses!A$3:A$1002&lt;&gt;"")*Expenses!D$3:D$1002)</f>
        <v>0</v>
      </c>
      <c r="G311" s="45" t="n">
        <f aca="false">C311+D311</f>
        <v>0</v>
      </c>
      <c r="H311" s="26"/>
    </row>
    <row r="312" customFormat="false" ht="15" hidden="false" customHeight="false" outlineLevel="0" collapsed="false">
      <c r="A312" s="5" t="n">
        <v>45</v>
      </c>
      <c r="B312" s="57" t="n">
        <v>46332</v>
      </c>
      <c r="C312" s="24" t="n">
        <f aca="false">G311</f>
        <v>0</v>
      </c>
      <c r="D312" s="45" t="n">
        <f aca="false">E312-F312</f>
        <v>0</v>
      </c>
      <c r="E312" s="24" t="n">
        <f aca="false">SUMPRODUCT((Income!D$3:D$502="GBP")*(Income!A$3:A$502=B312)*(Income!A$3:A$502&lt;&gt;"")*Income!C$3:C$502)</f>
        <v>0</v>
      </c>
      <c r="F312" s="24" t="n">
        <f aca="false">SUMPRODUCT((Expenses!E$3:E$1002="GBP")*(Expenses!A$3:A$1002=B312)*(Expenses!A$3:A$1002&lt;&gt;"")*Expenses!D$3:D$1002)</f>
        <v>0</v>
      </c>
      <c r="G312" s="45" t="n">
        <f aca="false">C312+D312</f>
        <v>0</v>
      </c>
      <c r="H312" s="26"/>
    </row>
    <row r="313" customFormat="false" ht="15" hidden="false" customHeight="false" outlineLevel="0" collapsed="false">
      <c r="A313" s="5" t="n">
        <v>45</v>
      </c>
      <c r="B313" s="57" t="n">
        <v>46333</v>
      </c>
      <c r="C313" s="24" t="n">
        <f aca="false">G312</f>
        <v>0</v>
      </c>
      <c r="D313" s="45" t="n">
        <f aca="false">E313-F313</f>
        <v>0</v>
      </c>
      <c r="E313" s="24" t="n">
        <f aca="false">SUMPRODUCT((Income!D$3:D$502="GBP")*(Income!A$3:A$502=B313)*(Income!A$3:A$502&lt;&gt;"")*Income!C$3:C$502)</f>
        <v>0</v>
      </c>
      <c r="F313" s="24" t="n">
        <f aca="false">SUMPRODUCT((Expenses!E$3:E$1002="GBP")*(Expenses!A$3:A$1002=B313)*(Expenses!A$3:A$1002&lt;&gt;"")*Expenses!D$3:D$1002)</f>
        <v>0</v>
      </c>
      <c r="G313" s="45" t="n">
        <f aca="false">C313+D313</f>
        <v>0</v>
      </c>
      <c r="H313" s="26"/>
    </row>
    <row r="314" customFormat="false" ht="15" hidden="false" customHeight="false" outlineLevel="0" collapsed="false">
      <c r="A314" s="5" t="n">
        <v>45</v>
      </c>
      <c r="B314" s="57" t="n">
        <v>46334</v>
      </c>
      <c r="C314" s="24" t="n">
        <f aca="false">G313</f>
        <v>0</v>
      </c>
      <c r="D314" s="45" t="n">
        <f aca="false">E314-F314</f>
        <v>0</v>
      </c>
      <c r="E314" s="24" t="n">
        <f aca="false">SUMPRODUCT((Income!D$3:D$502="GBP")*(Income!A$3:A$502=B314)*(Income!A$3:A$502&lt;&gt;"")*Income!C$3:C$502)</f>
        <v>0</v>
      </c>
      <c r="F314" s="24" t="n">
        <f aca="false">SUMPRODUCT((Expenses!E$3:E$1002="GBP")*(Expenses!A$3:A$1002=B314)*(Expenses!A$3:A$1002&lt;&gt;"")*Expenses!D$3:D$1002)</f>
        <v>0</v>
      </c>
      <c r="G314" s="45" t="n">
        <f aca="false">C314+D314</f>
        <v>0</v>
      </c>
      <c r="H314" s="26"/>
    </row>
    <row r="315" customFormat="false" ht="15" hidden="false" customHeight="false" outlineLevel="0" collapsed="false">
      <c r="A315" s="5" t="n">
        <v>46</v>
      </c>
      <c r="B315" s="57" t="n">
        <v>46335</v>
      </c>
      <c r="C315" s="24" t="n">
        <f aca="false">G314</f>
        <v>0</v>
      </c>
      <c r="D315" s="45" t="n">
        <f aca="false">E315-F315</f>
        <v>0</v>
      </c>
      <c r="E315" s="24" t="n">
        <f aca="false">SUMPRODUCT((Income!D$3:D$502="GBP")*(Income!A$3:A$502=B315)*(Income!A$3:A$502&lt;&gt;"")*Income!C$3:C$502)</f>
        <v>0</v>
      </c>
      <c r="F315" s="24" t="n">
        <f aca="false">SUMPRODUCT((Expenses!E$3:E$1002="GBP")*(Expenses!A$3:A$1002=B315)*(Expenses!A$3:A$1002&lt;&gt;"")*Expenses!D$3:D$1002)</f>
        <v>0</v>
      </c>
      <c r="G315" s="45" t="n">
        <f aca="false">C315+D315</f>
        <v>0</v>
      </c>
      <c r="H315" s="26"/>
    </row>
    <row r="316" customFormat="false" ht="15" hidden="false" customHeight="false" outlineLevel="0" collapsed="false">
      <c r="A316" s="5" t="n">
        <v>46</v>
      </c>
      <c r="B316" s="57" t="n">
        <v>46336</v>
      </c>
      <c r="C316" s="24" t="n">
        <f aca="false">G315</f>
        <v>0</v>
      </c>
      <c r="D316" s="45" t="n">
        <f aca="false">E316-F316</f>
        <v>0</v>
      </c>
      <c r="E316" s="24" t="n">
        <f aca="false">SUMPRODUCT((Income!D$3:D$502="GBP")*(Income!A$3:A$502=B316)*(Income!A$3:A$502&lt;&gt;"")*Income!C$3:C$502)</f>
        <v>0</v>
      </c>
      <c r="F316" s="24" t="n">
        <f aca="false">SUMPRODUCT((Expenses!E$3:E$1002="GBP")*(Expenses!A$3:A$1002=B316)*(Expenses!A$3:A$1002&lt;&gt;"")*Expenses!D$3:D$1002)</f>
        <v>0</v>
      </c>
      <c r="G316" s="45" t="n">
        <f aca="false">C316+D316</f>
        <v>0</v>
      </c>
      <c r="H316" s="26"/>
    </row>
    <row r="317" customFormat="false" ht="15" hidden="false" customHeight="false" outlineLevel="0" collapsed="false">
      <c r="A317" s="5" t="n">
        <v>46</v>
      </c>
      <c r="B317" s="57" t="n">
        <v>46337</v>
      </c>
      <c r="C317" s="24" t="n">
        <f aca="false">G316</f>
        <v>0</v>
      </c>
      <c r="D317" s="45" t="n">
        <f aca="false">E317-F317</f>
        <v>0</v>
      </c>
      <c r="E317" s="24" t="n">
        <f aca="false">SUMPRODUCT((Income!D$3:D$502="GBP")*(Income!A$3:A$502=B317)*(Income!A$3:A$502&lt;&gt;"")*Income!C$3:C$502)</f>
        <v>0</v>
      </c>
      <c r="F317" s="24" t="n">
        <f aca="false">SUMPRODUCT((Expenses!E$3:E$1002="GBP")*(Expenses!A$3:A$1002=B317)*(Expenses!A$3:A$1002&lt;&gt;"")*Expenses!D$3:D$1002)</f>
        <v>0</v>
      </c>
      <c r="G317" s="45" t="n">
        <f aca="false">C317+D317</f>
        <v>0</v>
      </c>
      <c r="H317" s="26"/>
    </row>
    <row r="318" customFormat="false" ht="15" hidden="false" customHeight="false" outlineLevel="0" collapsed="false">
      <c r="A318" s="5" t="n">
        <v>46</v>
      </c>
      <c r="B318" s="57" t="n">
        <v>46338</v>
      </c>
      <c r="C318" s="24" t="n">
        <f aca="false">G317</f>
        <v>0</v>
      </c>
      <c r="D318" s="45" t="n">
        <f aca="false">E318-F318</f>
        <v>0</v>
      </c>
      <c r="E318" s="24" t="n">
        <f aca="false">SUMPRODUCT((Income!D$3:D$502="GBP")*(Income!A$3:A$502=B318)*(Income!A$3:A$502&lt;&gt;"")*Income!C$3:C$502)</f>
        <v>0</v>
      </c>
      <c r="F318" s="24" t="n">
        <f aca="false">SUMPRODUCT((Expenses!E$3:E$1002="GBP")*(Expenses!A$3:A$1002=B318)*(Expenses!A$3:A$1002&lt;&gt;"")*Expenses!D$3:D$1002)</f>
        <v>0</v>
      </c>
      <c r="G318" s="45" t="n">
        <f aca="false">C318+D318</f>
        <v>0</v>
      </c>
      <c r="H318" s="26"/>
    </row>
    <row r="319" customFormat="false" ht="15" hidden="false" customHeight="false" outlineLevel="0" collapsed="false">
      <c r="A319" s="5" t="n">
        <v>46</v>
      </c>
      <c r="B319" s="57" t="n">
        <v>46339</v>
      </c>
      <c r="C319" s="24" t="n">
        <f aca="false">G318</f>
        <v>0</v>
      </c>
      <c r="D319" s="45" t="n">
        <f aca="false">E319-F319</f>
        <v>0</v>
      </c>
      <c r="E319" s="24" t="n">
        <f aca="false">SUMPRODUCT((Income!D$3:D$502="GBP")*(Income!A$3:A$502=B319)*(Income!A$3:A$502&lt;&gt;"")*Income!C$3:C$502)</f>
        <v>0</v>
      </c>
      <c r="F319" s="24" t="n">
        <f aca="false">SUMPRODUCT((Expenses!E$3:E$1002="GBP")*(Expenses!A$3:A$1002=B319)*(Expenses!A$3:A$1002&lt;&gt;"")*Expenses!D$3:D$1002)</f>
        <v>0</v>
      </c>
      <c r="G319" s="45" t="n">
        <f aca="false">C319+D319</f>
        <v>0</v>
      </c>
      <c r="H319" s="26"/>
    </row>
    <row r="320" customFormat="false" ht="15" hidden="false" customHeight="false" outlineLevel="0" collapsed="false">
      <c r="A320" s="5" t="n">
        <v>46</v>
      </c>
      <c r="B320" s="57" t="n">
        <v>46340</v>
      </c>
      <c r="C320" s="24" t="n">
        <f aca="false">G319</f>
        <v>0</v>
      </c>
      <c r="D320" s="45" t="n">
        <f aca="false">E320-F320</f>
        <v>0</v>
      </c>
      <c r="E320" s="24" t="n">
        <f aca="false">SUMPRODUCT((Income!D$3:D$502="GBP")*(Income!A$3:A$502=B320)*(Income!A$3:A$502&lt;&gt;"")*Income!C$3:C$502)</f>
        <v>0</v>
      </c>
      <c r="F320" s="24" t="n">
        <f aca="false">SUMPRODUCT((Expenses!E$3:E$1002="GBP")*(Expenses!A$3:A$1002=B320)*(Expenses!A$3:A$1002&lt;&gt;"")*Expenses!D$3:D$1002)</f>
        <v>0</v>
      </c>
      <c r="G320" s="45" t="n">
        <f aca="false">C320+D320</f>
        <v>0</v>
      </c>
      <c r="H320" s="26"/>
    </row>
    <row r="321" customFormat="false" ht="15" hidden="false" customHeight="false" outlineLevel="0" collapsed="false">
      <c r="A321" s="5" t="n">
        <v>46</v>
      </c>
      <c r="B321" s="57" t="n">
        <v>46341</v>
      </c>
      <c r="C321" s="24" t="n">
        <f aca="false">G320</f>
        <v>0</v>
      </c>
      <c r="D321" s="45" t="n">
        <f aca="false">E321-F321</f>
        <v>0</v>
      </c>
      <c r="E321" s="24" t="n">
        <f aca="false">SUMPRODUCT((Income!D$3:D$502="GBP")*(Income!A$3:A$502=B321)*(Income!A$3:A$502&lt;&gt;"")*Income!C$3:C$502)</f>
        <v>0</v>
      </c>
      <c r="F321" s="24" t="n">
        <f aca="false">SUMPRODUCT((Expenses!E$3:E$1002="GBP")*(Expenses!A$3:A$1002=B321)*(Expenses!A$3:A$1002&lt;&gt;"")*Expenses!D$3:D$1002)</f>
        <v>0</v>
      </c>
      <c r="G321" s="45" t="n">
        <f aca="false">C321+D321</f>
        <v>0</v>
      </c>
      <c r="H321" s="26"/>
    </row>
    <row r="322" customFormat="false" ht="15" hidden="false" customHeight="false" outlineLevel="0" collapsed="false">
      <c r="A322" s="5" t="n">
        <v>47</v>
      </c>
      <c r="B322" s="57" t="n">
        <v>46342</v>
      </c>
      <c r="C322" s="24" t="n">
        <f aca="false">G321</f>
        <v>0</v>
      </c>
      <c r="D322" s="45" t="n">
        <f aca="false">E322-F322</f>
        <v>0</v>
      </c>
      <c r="E322" s="24" t="n">
        <f aca="false">SUMPRODUCT((Income!D$3:D$502="GBP")*(Income!A$3:A$502=B322)*(Income!A$3:A$502&lt;&gt;"")*Income!C$3:C$502)</f>
        <v>0</v>
      </c>
      <c r="F322" s="24" t="n">
        <f aca="false">SUMPRODUCT((Expenses!E$3:E$1002="GBP")*(Expenses!A$3:A$1002=B322)*(Expenses!A$3:A$1002&lt;&gt;"")*Expenses!D$3:D$1002)</f>
        <v>0</v>
      </c>
      <c r="G322" s="45" t="n">
        <f aca="false">C322+D322</f>
        <v>0</v>
      </c>
      <c r="H322" s="26"/>
    </row>
    <row r="323" customFormat="false" ht="15" hidden="false" customHeight="false" outlineLevel="0" collapsed="false">
      <c r="A323" s="5" t="n">
        <v>47</v>
      </c>
      <c r="B323" s="57" t="n">
        <v>46343</v>
      </c>
      <c r="C323" s="24" t="n">
        <f aca="false">G322</f>
        <v>0</v>
      </c>
      <c r="D323" s="45" t="n">
        <f aca="false">E323-F323</f>
        <v>0</v>
      </c>
      <c r="E323" s="24" t="n">
        <f aca="false">SUMPRODUCT((Income!D$3:D$502="GBP")*(Income!A$3:A$502=B323)*(Income!A$3:A$502&lt;&gt;"")*Income!C$3:C$502)</f>
        <v>0</v>
      </c>
      <c r="F323" s="24" t="n">
        <f aca="false">SUMPRODUCT((Expenses!E$3:E$1002="GBP")*(Expenses!A$3:A$1002=B323)*(Expenses!A$3:A$1002&lt;&gt;"")*Expenses!D$3:D$1002)</f>
        <v>0</v>
      </c>
      <c r="G323" s="45" t="n">
        <f aca="false">C323+D323</f>
        <v>0</v>
      </c>
      <c r="H323" s="26"/>
    </row>
    <row r="324" customFormat="false" ht="15" hidden="false" customHeight="false" outlineLevel="0" collapsed="false">
      <c r="A324" s="5" t="n">
        <v>47</v>
      </c>
      <c r="B324" s="57" t="n">
        <v>46344</v>
      </c>
      <c r="C324" s="24" t="n">
        <f aca="false">G323</f>
        <v>0</v>
      </c>
      <c r="D324" s="45" t="n">
        <f aca="false">E324-F324</f>
        <v>0</v>
      </c>
      <c r="E324" s="24" t="n">
        <f aca="false">SUMPRODUCT((Income!D$3:D$502="GBP")*(Income!A$3:A$502=B324)*(Income!A$3:A$502&lt;&gt;"")*Income!C$3:C$502)</f>
        <v>0</v>
      </c>
      <c r="F324" s="24" t="n">
        <f aca="false">SUMPRODUCT((Expenses!E$3:E$1002="GBP")*(Expenses!A$3:A$1002=B324)*(Expenses!A$3:A$1002&lt;&gt;"")*Expenses!D$3:D$1002)</f>
        <v>0</v>
      </c>
      <c r="G324" s="45" t="n">
        <f aca="false">C324+D324</f>
        <v>0</v>
      </c>
      <c r="H324" s="26"/>
    </row>
    <row r="325" customFormat="false" ht="15" hidden="false" customHeight="false" outlineLevel="0" collapsed="false">
      <c r="A325" s="5" t="n">
        <v>47</v>
      </c>
      <c r="B325" s="57" t="n">
        <v>46345</v>
      </c>
      <c r="C325" s="24" t="n">
        <f aca="false">G324</f>
        <v>0</v>
      </c>
      <c r="D325" s="45" t="n">
        <f aca="false">E325-F325</f>
        <v>0</v>
      </c>
      <c r="E325" s="24" t="n">
        <f aca="false">SUMPRODUCT((Income!D$3:D$502="GBP")*(Income!A$3:A$502=B325)*(Income!A$3:A$502&lt;&gt;"")*Income!C$3:C$502)</f>
        <v>0</v>
      </c>
      <c r="F325" s="24" t="n">
        <f aca="false">SUMPRODUCT((Expenses!E$3:E$1002="GBP")*(Expenses!A$3:A$1002=B325)*(Expenses!A$3:A$1002&lt;&gt;"")*Expenses!D$3:D$1002)</f>
        <v>0</v>
      </c>
      <c r="G325" s="45" t="n">
        <f aca="false">C325+D325</f>
        <v>0</v>
      </c>
      <c r="H325" s="26"/>
    </row>
    <row r="326" customFormat="false" ht="15" hidden="false" customHeight="false" outlineLevel="0" collapsed="false">
      <c r="A326" s="5" t="n">
        <v>47</v>
      </c>
      <c r="B326" s="57" t="n">
        <v>46346</v>
      </c>
      <c r="C326" s="24" t="n">
        <f aca="false">G325</f>
        <v>0</v>
      </c>
      <c r="D326" s="45" t="n">
        <f aca="false">E326-F326</f>
        <v>0</v>
      </c>
      <c r="E326" s="24" t="n">
        <f aca="false">SUMPRODUCT((Income!D$3:D$502="GBP")*(Income!A$3:A$502=B326)*(Income!A$3:A$502&lt;&gt;"")*Income!C$3:C$502)</f>
        <v>0</v>
      </c>
      <c r="F326" s="24" t="n">
        <f aca="false">SUMPRODUCT((Expenses!E$3:E$1002="GBP")*(Expenses!A$3:A$1002=B326)*(Expenses!A$3:A$1002&lt;&gt;"")*Expenses!D$3:D$1002)</f>
        <v>0</v>
      </c>
      <c r="G326" s="45" t="n">
        <f aca="false">C326+D326</f>
        <v>0</v>
      </c>
      <c r="H326" s="26"/>
    </row>
    <row r="327" customFormat="false" ht="15" hidden="false" customHeight="false" outlineLevel="0" collapsed="false">
      <c r="A327" s="5" t="n">
        <v>47</v>
      </c>
      <c r="B327" s="57" t="n">
        <v>46347</v>
      </c>
      <c r="C327" s="24" t="n">
        <f aca="false">G326</f>
        <v>0</v>
      </c>
      <c r="D327" s="45" t="n">
        <f aca="false">E327-F327</f>
        <v>0</v>
      </c>
      <c r="E327" s="24" t="n">
        <f aca="false">SUMPRODUCT((Income!D$3:D$502="GBP")*(Income!A$3:A$502=B327)*(Income!A$3:A$502&lt;&gt;"")*Income!C$3:C$502)</f>
        <v>0</v>
      </c>
      <c r="F327" s="24" t="n">
        <f aca="false">SUMPRODUCT((Expenses!E$3:E$1002="GBP")*(Expenses!A$3:A$1002=B327)*(Expenses!A$3:A$1002&lt;&gt;"")*Expenses!D$3:D$1002)</f>
        <v>0</v>
      </c>
      <c r="G327" s="45" t="n">
        <f aca="false">C327+D327</f>
        <v>0</v>
      </c>
      <c r="H327" s="26"/>
    </row>
    <row r="328" customFormat="false" ht="15" hidden="false" customHeight="false" outlineLevel="0" collapsed="false">
      <c r="A328" s="5" t="n">
        <v>47</v>
      </c>
      <c r="B328" s="57" t="n">
        <v>46348</v>
      </c>
      <c r="C328" s="24" t="n">
        <f aca="false">G327</f>
        <v>0</v>
      </c>
      <c r="D328" s="45" t="n">
        <f aca="false">E328-F328</f>
        <v>0</v>
      </c>
      <c r="E328" s="24" t="n">
        <f aca="false">SUMPRODUCT((Income!D$3:D$502="GBP")*(Income!A$3:A$502=B328)*(Income!A$3:A$502&lt;&gt;"")*Income!C$3:C$502)</f>
        <v>0</v>
      </c>
      <c r="F328" s="24" t="n">
        <f aca="false">SUMPRODUCT((Expenses!E$3:E$1002="GBP")*(Expenses!A$3:A$1002=B328)*(Expenses!A$3:A$1002&lt;&gt;"")*Expenses!D$3:D$1002)</f>
        <v>0</v>
      </c>
      <c r="G328" s="45" t="n">
        <f aca="false">C328+D328</f>
        <v>0</v>
      </c>
      <c r="H328" s="26"/>
    </row>
    <row r="329" customFormat="false" ht="15" hidden="false" customHeight="false" outlineLevel="0" collapsed="false">
      <c r="A329" s="5" t="n">
        <v>48</v>
      </c>
      <c r="B329" s="57" t="n">
        <v>46349</v>
      </c>
      <c r="C329" s="24" t="n">
        <f aca="false">G328</f>
        <v>0</v>
      </c>
      <c r="D329" s="45" t="n">
        <f aca="false">E329-F329</f>
        <v>0</v>
      </c>
      <c r="E329" s="24" t="n">
        <f aca="false">SUMPRODUCT((Income!D$3:D$502="GBP")*(Income!A$3:A$502=B329)*(Income!A$3:A$502&lt;&gt;"")*Income!C$3:C$502)</f>
        <v>0</v>
      </c>
      <c r="F329" s="24" t="n">
        <f aca="false">SUMPRODUCT((Expenses!E$3:E$1002="GBP")*(Expenses!A$3:A$1002=B329)*(Expenses!A$3:A$1002&lt;&gt;"")*Expenses!D$3:D$1002)</f>
        <v>0</v>
      </c>
      <c r="G329" s="45" t="n">
        <f aca="false">C329+D329</f>
        <v>0</v>
      </c>
      <c r="H329" s="26"/>
    </row>
    <row r="330" customFormat="false" ht="15" hidden="false" customHeight="false" outlineLevel="0" collapsed="false">
      <c r="A330" s="5" t="n">
        <v>48</v>
      </c>
      <c r="B330" s="57" t="n">
        <v>46350</v>
      </c>
      <c r="C330" s="24" t="n">
        <f aca="false">G329</f>
        <v>0</v>
      </c>
      <c r="D330" s="45" t="n">
        <f aca="false">E330-F330</f>
        <v>0</v>
      </c>
      <c r="E330" s="24" t="n">
        <f aca="false">SUMPRODUCT((Income!D$3:D$502="GBP")*(Income!A$3:A$502=B330)*(Income!A$3:A$502&lt;&gt;"")*Income!C$3:C$502)</f>
        <v>0</v>
      </c>
      <c r="F330" s="24" t="n">
        <f aca="false">SUMPRODUCT((Expenses!E$3:E$1002="GBP")*(Expenses!A$3:A$1002=B330)*(Expenses!A$3:A$1002&lt;&gt;"")*Expenses!D$3:D$1002)</f>
        <v>0</v>
      </c>
      <c r="G330" s="45" t="n">
        <f aca="false">C330+D330</f>
        <v>0</v>
      </c>
      <c r="H330" s="26"/>
    </row>
    <row r="331" customFormat="false" ht="15" hidden="false" customHeight="false" outlineLevel="0" collapsed="false">
      <c r="A331" s="5" t="n">
        <v>48</v>
      </c>
      <c r="B331" s="57" t="n">
        <v>46351</v>
      </c>
      <c r="C331" s="24" t="n">
        <f aca="false">G330</f>
        <v>0</v>
      </c>
      <c r="D331" s="45" t="n">
        <f aca="false">E331-F331</f>
        <v>0</v>
      </c>
      <c r="E331" s="24" t="n">
        <f aca="false">SUMPRODUCT((Income!D$3:D$502="GBP")*(Income!A$3:A$502=B331)*(Income!A$3:A$502&lt;&gt;"")*Income!C$3:C$502)</f>
        <v>0</v>
      </c>
      <c r="F331" s="24" t="n">
        <f aca="false">SUMPRODUCT((Expenses!E$3:E$1002="GBP")*(Expenses!A$3:A$1002=B331)*(Expenses!A$3:A$1002&lt;&gt;"")*Expenses!D$3:D$1002)</f>
        <v>0</v>
      </c>
      <c r="G331" s="45" t="n">
        <f aca="false">C331+D331</f>
        <v>0</v>
      </c>
      <c r="H331" s="26"/>
    </row>
    <row r="332" customFormat="false" ht="15" hidden="false" customHeight="false" outlineLevel="0" collapsed="false">
      <c r="A332" s="5" t="n">
        <v>48</v>
      </c>
      <c r="B332" s="57" t="n">
        <v>46352</v>
      </c>
      <c r="C332" s="24" t="n">
        <f aca="false">G331</f>
        <v>0</v>
      </c>
      <c r="D332" s="45" t="n">
        <f aca="false">E332-F332</f>
        <v>0</v>
      </c>
      <c r="E332" s="24" t="n">
        <f aca="false">SUMPRODUCT((Income!D$3:D$502="GBP")*(Income!A$3:A$502=B332)*(Income!A$3:A$502&lt;&gt;"")*Income!C$3:C$502)</f>
        <v>0</v>
      </c>
      <c r="F332" s="24" t="n">
        <f aca="false">SUMPRODUCT((Expenses!E$3:E$1002="GBP")*(Expenses!A$3:A$1002=B332)*(Expenses!A$3:A$1002&lt;&gt;"")*Expenses!D$3:D$1002)</f>
        <v>0</v>
      </c>
      <c r="G332" s="45" t="n">
        <f aca="false">C332+D332</f>
        <v>0</v>
      </c>
      <c r="H332" s="26"/>
    </row>
    <row r="333" customFormat="false" ht="15" hidden="false" customHeight="false" outlineLevel="0" collapsed="false">
      <c r="A333" s="5" t="n">
        <v>48</v>
      </c>
      <c r="B333" s="57" t="n">
        <v>46353</v>
      </c>
      <c r="C333" s="24" t="n">
        <f aca="false">G332</f>
        <v>0</v>
      </c>
      <c r="D333" s="45" t="n">
        <f aca="false">E333-F333</f>
        <v>0</v>
      </c>
      <c r="E333" s="24" t="n">
        <f aca="false">SUMPRODUCT((Income!D$3:D$502="GBP")*(Income!A$3:A$502=B333)*(Income!A$3:A$502&lt;&gt;"")*Income!C$3:C$502)</f>
        <v>0</v>
      </c>
      <c r="F333" s="24" t="n">
        <f aca="false">SUMPRODUCT((Expenses!E$3:E$1002="GBP")*(Expenses!A$3:A$1002=B333)*(Expenses!A$3:A$1002&lt;&gt;"")*Expenses!D$3:D$1002)</f>
        <v>0</v>
      </c>
      <c r="G333" s="45" t="n">
        <f aca="false">C333+D333</f>
        <v>0</v>
      </c>
      <c r="H333" s="26"/>
    </row>
    <row r="334" customFormat="false" ht="15" hidden="false" customHeight="false" outlineLevel="0" collapsed="false">
      <c r="A334" s="5" t="n">
        <v>48</v>
      </c>
      <c r="B334" s="57" t="n">
        <v>46354</v>
      </c>
      <c r="C334" s="24" t="n">
        <f aca="false">G333</f>
        <v>0</v>
      </c>
      <c r="D334" s="45" t="n">
        <f aca="false">E334-F334</f>
        <v>0</v>
      </c>
      <c r="E334" s="24" t="n">
        <f aca="false">SUMPRODUCT((Income!D$3:D$502="GBP")*(Income!A$3:A$502=B334)*(Income!A$3:A$502&lt;&gt;"")*Income!C$3:C$502)</f>
        <v>0</v>
      </c>
      <c r="F334" s="24" t="n">
        <f aca="false">SUMPRODUCT((Expenses!E$3:E$1002="GBP")*(Expenses!A$3:A$1002=B334)*(Expenses!A$3:A$1002&lt;&gt;"")*Expenses!D$3:D$1002)</f>
        <v>0</v>
      </c>
      <c r="G334" s="45" t="n">
        <f aca="false">C334+D334</f>
        <v>0</v>
      </c>
      <c r="H334" s="26"/>
    </row>
    <row r="335" customFormat="false" ht="15" hidden="false" customHeight="false" outlineLevel="0" collapsed="false">
      <c r="A335" s="5" t="n">
        <v>48</v>
      </c>
      <c r="B335" s="57" t="n">
        <v>46355</v>
      </c>
      <c r="C335" s="24" t="n">
        <f aca="false">G334</f>
        <v>0</v>
      </c>
      <c r="D335" s="45" t="n">
        <f aca="false">E335-F335</f>
        <v>0</v>
      </c>
      <c r="E335" s="24" t="n">
        <f aca="false">SUMPRODUCT((Income!D$3:D$502="GBP")*(Income!A$3:A$502=B335)*(Income!A$3:A$502&lt;&gt;"")*Income!C$3:C$502)</f>
        <v>0</v>
      </c>
      <c r="F335" s="24" t="n">
        <f aca="false">SUMPRODUCT((Expenses!E$3:E$1002="GBP")*(Expenses!A$3:A$1002=B335)*(Expenses!A$3:A$1002&lt;&gt;"")*Expenses!D$3:D$1002)</f>
        <v>0</v>
      </c>
      <c r="G335" s="45" t="n">
        <f aca="false">C335+D335</f>
        <v>0</v>
      </c>
      <c r="H335" s="26"/>
    </row>
    <row r="336" customFormat="false" ht="15" hidden="false" customHeight="false" outlineLevel="0" collapsed="false">
      <c r="A336" s="5" t="n">
        <v>49</v>
      </c>
      <c r="B336" s="57" t="n">
        <v>46356</v>
      </c>
      <c r="C336" s="24" t="n">
        <f aca="false">G335</f>
        <v>0</v>
      </c>
      <c r="D336" s="45" t="n">
        <f aca="false">E336-F336</f>
        <v>0</v>
      </c>
      <c r="E336" s="24" t="n">
        <f aca="false">SUMPRODUCT((Income!D$3:D$502="GBP")*(Income!A$3:A$502=B336)*(Income!A$3:A$502&lt;&gt;"")*Income!C$3:C$502)</f>
        <v>0</v>
      </c>
      <c r="F336" s="24" t="n">
        <f aca="false">SUMPRODUCT((Expenses!E$3:E$1002="GBP")*(Expenses!A$3:A$1002=B336)*(Expenses!A$3:A$1002&lt;&gt;"")*Expenses!D$3:D$1002)</f>
        <v>0</v>
      </c>
      <c r="G336" s="45" t="n">
        <f aca="false">C336+D336</f>
        <v>0</v>
      </c>
      <c r="H336" s="26"/>
    </row>
    <row r="337" customFormat="false" ht="15" hidden="false" customHeight="false" outlineLevel="0" collapsed="false">
      <c r="A337" s="5" t="n">
        <v>49</v>
      </c>
      <c r="B337" s="57" t="n">
        <v>46357</v>
      </c>
      <c r="C337" s="24" t="n">
        <f aca="false">G336</f>
        <v>0</v>
      </c>
      <c r="D337" s="45" t="n">
        <f aca="false">E337-F337</f>
        <v>0</v>
      </c>
      <c r="E337" s="24" t="n">
        <f aca="false">SUMPRODUCT((Income!D$3:D$502="GBP")*(Income!A$3:A$502=B337)*(Income!A$3:A$502&lt;&gt;"")*Income!C$3:C$502)</f>
        <v>0</v>
      </c>
      <c r="F337" s="24" t="n">
        <f aca="false">SUMPRODUCT((Expenses!E$3:E$1002="GBP")*(Expenses!A$3:A$1002=B337)*(Expenses!A$3:A$1002&lt;&gt;"")*Expenses!D$3:D$1002)</f>
        <v>0</v>
      </c>
      <c r="G337" s="45" t="n">
        <f aca="false">C337+D337</f>
        <v>0</v>
      </c>
      <c r="H337" s="26"/>
    </row>
    <row r="338" customFormat="false" ht="15" hidden="false" customHeight="false" outlineLevel="0" collapsed="false">
      <c r="A338" s="5" t="n">
        <v>49</v>
      </c>
      <c r="B338" s="57" t="n">
        <v>46358</v>
      </c>
      <c r="C338" s="24" t="n">
        <f aca="false">G337</f>
        <v>0</v>
      </c>
      <c r="D338" s="45" t="n">
        <f aca="false">E338-F338</f>
        <v>0</v>
      </c>
      <c r="E338" s="24" t="n">
        <f aca="false">SUMPRODUCT((Income!D$3:D$502="GBP")*(Income!A$3:A$502=B338)*(Income!A$3:A$502&lt;&gt;"")*Income!C$3:C$502)</f>
        <v>0</v>
      </c>
      <c r="F338" s="24" t="n">
        <f aca="false">SUMPRODUCT((Expenses!E$3:E$1002="GBP")*(Expenses!A$3:A$1002=B338)*(Expenses!A$3:A$1002&lt;&gt;"")*Expenses!D$3:D$1002)</f>
        <v>0</v>
      </c>
      <c r="G338" s="45" t="n">
        <f aca="false">C338+D338</f>
        <v>0</v>
      </c>
      <c r="H338" s="26"/>
    </row>
    <row r="339" customFormat="false" ht="15" hidden="false" customHeight="false" outlineLevel="0" collapsed="false">
      <c r="A339" s="5" t="n">
        <v>49</v>
      </c>
      <c r="B339" s="57" t="n">
        <v>46359</v>
      </c>
      <c r="C339" s="24" t="n">
        <f aca="false">G338</f>
        <v>0</v>
      </c>
      <c r="D339" s="45" t="n">
        <f aca="false">E339-F339</f>
        <v>0</v>
      </c>
      <c r="E339" s="24" t="n">
        <f aca="false">SUMPRODUCT((Income!D$3:D$502="GBP")*(Income!A$3:A$502=B339)*(Income!A$3:A$502&lt;&gt;"")*Income!C$3:C$502)</f>
        <v>0</v>
      </c>
      <c r="F339" s="24" t="n">
        <f aca="false">SUMPRODUCT((Expenses!E$3:E$1002="GBP")*(Expenses!A$3:A$1002=B339)*(Expenses!A$3:A$1002&lt;&gt;"")*Expenses!D$3:D$1002)</f>
        <v>0</v>
      </c>
      <c r="G339" s="45" t="n">
        <f aca="false">C339+D339</f>
        <v>0</v>
      </c>
      <c r="H339" s="26"/>
    </row>
    <row r="340" customFormat="false" ht="15" hidden="false" customHeight="false" outlineLevel="0" collapsed="false">
      <c r="A340" s="5" t="n">
        <v>49</v>
      </c>
      <c r="B340" s="57" t="n">
        <v>46360</v>
      </c>
      <c r="C340" s="24" t="n">
        <f aca="false">G339</f>
        <v>0</v>
      </c>
      <c r="D340" s="45" t="n">
        <f aca="false">E340-F340</f>
        <v>0</v>
      </c>
      <c r="E340" s="24" t="n">
        <f aca="false">SUMPRODUCT((Income!D$3:D$502="GBP")*(Income!A$3:A$502=B340)*(Income!A$3:A$502&lt;&gt;"")*Income!C$3:C$502)</f>
        <v>0</v>
      </c>
      <c r="F340" s="24" t="n">
        <f aca="false">SUMPRODUCT((Expenses!E$3:E$1002="GBP")*(Expenses!A$3:A$1002=B340)*(Expenses!A$3:A$1002&lt;&gt;"")*Expenses!D$3:D$1002)</f>
        <v>0</v>
      </c>
      <c r="G340" s="45" t="n">
        <f aca="false">C340+D340</f>
        <v>0</v>
      </c>
      <c r="H340" s="26"/>
    </row>
    <row r="341" customFormat="false" ht="15" hidden="false" customHeight="false" outlineLevel="0" collapsed="false">
      <c r="A341" s="5" t="n">
        <v>49</v>
      </c>
      <c r="B341" s="57" t="n">
        <v>46361</v>
      </c>
      <c r="C341" s="24" t="n">
        <f aca="false">G340</f>
        <v>0</v>
      </c>
      <c r="D341" s="45" t="n">
        <f aca="false">E341-F341</f>
        <v>0</v>
      </c>
      <c r="E341" s="24" t="n">
        <f aca="false">SUMPRODUCT((Income!D$3:D$502="GBP")*(Income!A$3:A$502=B341)*(Income!A$3:A$502&lt;&gt;"")*Income!C$3:C$502)</f>
        <v>0</v>
      </c>
      <c r="F341" s="24" t="n">
        <f aca="false">SUMPRODUCT((Expenses!E$3:E$1002="GBP")*(Expenses!A$3:A$1002=B341)*(Expenses!A$3:A$1002&lt;&gt;"")*Expenses!D$3:D$1002)</f>
        <v>0</v>
      </c>
      <c r="G341" s="45" t="n">
        <f aca="false">C341+D341</f>
        <v>0</v>
      </c>
      <c r="H341" s="26"/>
    </row>
    <row r="342" customFormat="false" ht="15" hidden="false" customHeight="false" outlineLevel="0" collapsed="false">
      <c r="A342" s="5" t="n">
        <v>49</v>
      </c>
      <c r="B342" s="57" t="n">
        <v>46362</v>
      </c>
      <c r="C342" s="24" t="n">
        <f aca="false">G341</f>
        <v>0</v>
      </c>
      <c r="D342" s="45" t="n">
        <f aca="false">E342-F342</f>
        <v>0</v>
      </c>
      <c r="E342" s="24" t="n">
        <f aca="false">SUMPRODUCT((Income!D$3:D$502="GBP")*(Income!A$3:A$502=B342)*(Income!A$3:A$502&lt;&gt;"")*Income!C$3:C$502)</f>
        <v>0</v>
      </c>
      <c r="F342" s="24" t="n">
        <f aca="false">SUMPRODUCT((Expenses!E$3:E$1002="GBP")*(Expenses!A$3:A$1002=B342)*(Expenses!A$3:A$1002&lt;&gt;"")*Expenses!D$3:D$1002)</f>
        <v>0</v>
      </c>
      <c r="G342" s="45" t="n">
        <f aca="false">C342+D342</f>
        <v>0</v>
      </c>
      <c r="H342" s="26"/>
    </row>
    <row r="343" customFormat="false" ht="15" hidden="false" customHeight="false" outlineLevel="0" collapsed="false">
      <c r="A343" s="5" t="n">
        <v>50</v>
      </c>
      <c r="B343" s="57" t="n">
        <v>46363</v>
      </c>
      <c r="C343" s="24" t="n">
        <f aca="false">G342</f>
        <v>0</v>
      </c>
      <c r="D343" s="45" t="n">
        <f aca="false">E343-F343</f>
        <v>0</v>
      </c>
      <c r="E343" s="24" t="n">
        <f aca="false">SUMPRODUCT((Income!D$3:D$502="GBP")*(Income!A$3:A$502=B343)*(Income!A$3:A$502&lt;&gt;"")*Income!C$3:C$502)</f>
        <v>0</v>
      </c>
      <c r="F343" s="24" t="n">
        <f aca="false">SUMPRODUCT((Expenses!E$3:E$1002="GBP")*(Expenses!A$3:A$1002=B343)*(Expenses!A$3:A$1002&lt;&gt;"")*Expenses!D$3:D$1002)</f>
        <v>0</v>
      </c>
      <c r="G343" s="45" t="n">
        <f aca="false">C343+D343</f>
        <v>0</v>
      </c>
      <c r="H343" s="26"/>
    </row>
    <row r="344" customFormat="false" ht="15" hidden="false" customHeight="false" outlineLevel="0" collapsed="false">
      <c r="A344" s="5" t="n">
        <v>50</v>
      </c>
      <c r="B344" s="57" t="n">
        <v>46364</v>
      </c>
      <c r="C344" s="24" t="n">
        <f aca="false">G343</f>
        <v>0</v>
      </c>
      <c r="D344" s="45" t="n">
        <f aca="false">E344-F344</f>
        <v>0</v>
      </c>
      <c r="E344" s="24" t="n">
        <f aca="false">SUMPRODUCT((Income!D$3:D$502="GBP")*(Income!A$3:A$502=B344)*(Income!A$3:A$502&lt;&gt;"")*Income!C$3:C$502)</f>
        <v>0</v>
      </c>
      <c r="F344" s="24" t="n">
        <f aca="false">SUMPRODUCT((Expenses!E$3:E$1002="GBP")*(Expenses!A$3:A$1002=B344)*(Expenses!A$3:A$1002&lt;&gt;"")*Expenses!D$3:D$1002)</f>
        <v>0</v>
      </c>
      <c r="G344" s="45" t="n">
        <f aca="false">C344+D344</f>
        <v>0</v>
      </c>
      <c r="H344" s="26"/>
    </row>
    <row r="345" customFormat="false" ht="15" hidden="false" customHeight="false" outlineLevel="0" collapsed="false">
      <c r="A345" s="5" t="n">
        <v>50</v>
      </c>
      <c r="B345" s="57" t="n">
        <v>46365</v>
      </c>
      <c r="C345" s="24" t="n">
        <f aca="false">G344</f>
        <v>0</v>
      </c>
      <c r="D345" s="45" t="n">
        <f aca="false">E345-F345</f>
        <v>0</v>
      </c>
      <c r="E345" s="24" t="n">
        <f aca="false">SUMPRODUCT((Income!D$3:D$502="GBP")*(Income!A$3:A$502=B345)*(Income!A$3:A$502&lt;&gt;"")*Income!C$3:C$502)</f>
        <v>0</v>
      </c>
      <c r="F345" s="24" t="n">
        <f aca="false">SUMPRODUCT((Expenses!E$3:E$1002="GBP")*(Expenses!A$3:A$1002=B345)*(Expenses!A$3:A$1002&lt;&gt;"")*Expenses!D$3:D$1002)</f>
        <v>0</v>
      </c>
      <c r="G345" s="45" t="n">
        <f aca="false">C345+D345</f>
        <v>0</v>
      </c>
      <c r="H345" s="26"/>
    </row>
    <row r="346" customFormat="false" ht="15" hidden="false" customHeight="false" outlineLevel="0" collapsed="false">
      <c r="A346" s="5" t="n">
        <v>50</v>
      </c>
      <c r="B346" s="57" t="n">
        <v>46366</v>
      </c>
      <c r="C346" s="24" t="n">
        <f aca="false">G345</f>
        <v>0</v>
      </c>
      <c r="D346" s="45" t="n">
        <f aca="false">E346-F346</f>
        <v>0</v>
      </c>
      <c r="E346" s="24" t="n">
        <f aca="false">SUMPRODUCT((Income!D$3:D$502="GBP")*(Income!A$3:A$502=B346)*(Income!A$3:A$502&lt;&gt;"")*Income!C$3:C$502)</f>
        <v>0</v>
      </c>
      <c r="F346" s="24" t="n">
        <f aca="false">SUMPRODUCT((Expenses!E$3:E$1002="GBP")*(Expenses!A$3:A$1002=B346)*(Expenses!A$3:A$1002&lt;&gt;"")*Expenses!D$3:D$1002)</f>
        <v>0</v>
      </c>
      <c r="G346" s="45" t="n">
        <f aca="false">C346+D346</f>
        <v>0</v>
      </c>
      <c r="H346" s="26"/>
    </row>
    <row r="347" customFormat="false" ht="15" hidden="false" customHeight="false" outlineLevel="0" collapsed="false">
      <c r="A347" s="5" t="n">
        <v>50</v>
      </c>
      <c r="B347" s="57" t="n">
        <v>46367</v>
      </c>
      <c r="C347" s="24" t="n">
        <f aca="false">G346</f>
        <v>0</v>
      </c>
      <c r="D347" s="45" t="n">
        <f aca="false">E347-F347</f>
        <v>0</v>
      </c>
      <c r="E347" s="24" t="n">
        <f aca="false">SUMPRODUCT((Income!D$3:D$502="GBP")*(Income!A$3:A$502=B347)*(Income!A$3:A$502&lt;&gt;"")*Income!C$3:C$502)</f>
        <v>0</v>
      </c>
      <c r="F347" s="24" t="n">
        <f aca="false">SUMPRODUCT((Expenses!E$3:E$1002="GBP")*(Expenses!A$3:A$1002=B347)*(Expenses!A$3:A$1002&lt;&gt;"")*Expenses!D$3:D$1002)</f>
        <v>0</v>
      </c>
      <c r="G347" s="45" t="n">
        <f aca="false">C347+D347</f>
        <v>0</v>
      </c>
      <c r="H347" s="26"/>
    </row>
    <row r="348" customFormat="false" ht="15" hidden="false" customHeight="false" outlineLevel="0" collapsed="false">
      <c r="A348" s="5" t="n">
        <v>50</v>
      </c>
      <c r="B348" s="57" t="n">
        <v>46368</v>
      </c>
      <c r="C348" s="24" t="n">
        <f aca="false">G347</f>
        <v>0</v>
      </c>
      <c r="D348" s="45" t="n">
        <f aca="false">E348-F348</f>
        <v>0</v>
      </c>
      <c r="E348" s="24" t="n">
        <f aca="false">SUMPRODUCT((Income!D$3:D$502="GBP")*(Income!A$3:A$502=B348)*(Income!A$3:A$502&lt;&gt;"")*Income!C$3:C$502)</f>
        <v>0</v>
      </c>
      <c r="F348" s="24" t="n">
        <f aca="false">SUMPRODUCT((Expenses!E$3:E$1002="GBP")*(Expenses!A$3:A$1002=B348)*(Expenses!A$3:A$1002&lt;&gt;"")*Expenses!D$3:D$1002)</f>
        <v>0</v>
      </c>
      <c r="G348" s="45" t="n">
        <f aca="false">C348+D348</f>
        <v>0</v>
      </c>
      <c r="H348" s="26"/>
    </row>
    <row r="349" customFormat="false" ht="15" hidden="false" customHeight="false" outlineLevel="0" collapsed="false">
      <c r="A349" s="5" t="n">
        <v>50</v>
      </c>
      <c r="B349" s="57" t="n">
        <v>46369</v>
      </c>
      <c r="C349" s="24" t="n">
        <f aca="false">G348</f>
        <v>0</v>
      </c>
      <c r="D349" s="45" t="n">
        <f aca="false">E349-F349</f>
        <v>0</v>
      </c>
      <c r="E349" s="24" t="n">
        <f aca="false">SUMPRODUCT((Income!D$3:D$502="GBP")*(Income!A$3:A$502=B349)*(Income!A$3:A$502&lt;&gt;"")*Income!C$3:C$502)</f>
        <v>0</v>
      </c>
      <c r="F349" s="24" t="n">
        <f aca="false">SUMPRODUCT((Expenses!E$3:E$1002="GBP")*(Expenses!A$3:A$1002=B349)*(Expenses!A$3:A$1002&lt;&gt;"")*Expenses!D$3:D$1002)</f>
        <v>0</v>
      </c>
      <c r="G349" s="45" t="n">
        <f aca="false">C349+D349</f>
        <v>0</v>
      </c>
      <c r="H349" s="26"/>
    </row>
    <row r="350" customFormat="false" ht="15" hidden="false" customHeight="false" outlineLevel="0" collapsed="false">
      <c r="A350" s="5" t="n">
        <v>51</v>
      </c>
      <c r="B350" s="57" t="n">
        <v>46370</v>
      </c>
      <c r="C350" s="24" t="n">
        <f aca="false">G349</f>
        <v>0</v>
      </c>
      <c r="D350" s="45" t="n">
        <f aca="false">E350-F350</f>
        <v>0</v>
      </c>
      <c r="E350" s="24" t="n">
        <f aca="false">SUMPRODUCT((Income!D$3:D$502="GBP")*(Income!A$3:A$502=B350)*(Income!A$3:A$502&lt;&gt;"")*Income!C$3:C$502)</f>
        <v>0</v>
      </c>
      <c r="F350" s="24" t="n">
        <f aca="false">SUMPRODUCT((Expenses!E$3:E$1002="GBP")*(Expenses!A$3:A$1002=B350)*(Expenses!A$3:A$1002&lt;&gt;"")*Expenses!D$3:D$1002)</f>
        <v>0</v>
      </c>
      <c r="G350" s="45" t="n">
        <f aca="false">C350+D350</f>
        <v>0</v>
      </c>
      <c r="H350" s="26"/>
    </row>
    <row r="351" customFormat="false" ht="15" hidden="false" customHeight="false" outlineLevel="0" collapsed="false">
      <c r="A351" s="5" t="n">
        <v>51</v>
      </c>
      <c r="B351" s="57" t="n">
        <v>46371</v>
      </c>
      <c r="C351" s="24" t="n">
        <f aca="false">G350</f>
        <v>0</v>
      </c>
      <c r="D351" s="45" t="n">
        <f aca="false">E351-F351</f>
        <v>0</v>
      </c>
      <c r="E351" s="24" t="n">
        <f aca="false">SUMPRODUCT((Income!D$3:D$502="GBP")*(Income!A$3:A$502=B351)*(Income!A$3:A$502&lt;&gt;"")*Income!C$3:C$502)</f>
        <v>0</v>
      </c>
      <c r="F351" s="24" t="n">
        <f aca="false">SUMPRODUCT((Expenses!E$3:E$1002="GBP")*(Expenses!A$3:A$1002=B351)*(Expenses!A$3:A$1002&lt;&gt;"")*Expenses!D$3:D$1002)</f>
        <v>0</v>
      </c>
      <c r="G351" s="45" t="n">
        <f aca="false">C351+D351</f>
        <v>0</v>
      </c>
      <c r="H351" s="26"/>
    </row>
    <row r="352" customFormat="false" ht="15" hidden="false" customHeight="false" outlineLevel="0" collapsed="false">
      <c r="A352" s="5" t="n">
        <v>51</v>
      </c>
      <c r="B352" s="57" t="n">
        <v>46372</v>
      </c>
      <c r="C352" s="24" t="n">
        <f aca="false">G351</f>
        <v>0</v>
      </c>
      <c r="D352" s="45" t="n">
        <f aca="false">E352-F352</f>
        <v>0</v>
      </c>
      <c r="E352" s="24" t="n">
        <f aca="false">SUMPRODUCT((Income!D$3:D$502="GBP")*(Income!A$3:A$502=B352)*(Income!A$3:A$502&lt;&gt;"")*Income!C$3:C$502)</f>
        <v>0</v>
      </c>
      <c r="F352" s="24" t="n">
        <f aca="false">SUMPRODUCT((Expenses!E$3:E$1002="GBP")*(Expenses!A$3:A$1002=B352)*(Expenses!A$3:A$1002&lt;&gt;"")*Expenses!D$3:D$1002)</f>
        <v>0</v>
      </c>
      <c r="G352" s="45" t="n">
        <f aca="false">C352+D352</f>
        <v>0</v>
      </c>
      <c r="H352" s="26"/>
    </row>
    <row r="353" customFormat="false" ht="15" hidden="false" customHeight="false" outlineLevel="0" collapsed="false">
      <c r="A353" s="5" t="n">
        <v>51</v>
      </c>
      <c r="B353" s="57" t="n">
        <v>46373</v>
      </c>
      <c r="C353" s="24" t="n">
        <f aca="false">G352</f>
        <v>0</v>
      </c>
      <c r="D353" s="45" t="n">
        <f aca="false">E353-F353</f>
        <v>0</v>
      </c>
      <c r="E353" s="24" t="n">
        <f aca="false">SUMPRODUCT((Income!D$3:D$502="GBP")*(Income!A$3:A$502=B353)*(Income!A$3:A$502&lt;&gt;"")*Income!C$3:C$502)</f>
        <v>0</v>
      </c>
      <c r="F353" s="24" t="n">
        <f aca="false">SUMPRODUCT((Expenses!E$3:E$1002="GBP")*(Expenses!A$3:A$1002=B353)*(Expenses!A$3:A$1002&lt;&gt;"")*Expenses!D$3:D$1002)</f>
        <v>0</v>
      </c>
      <c r="G353" s="45" t="n">
        <f aca="false">C353+D353</f>
        <v>0</v>
      </c>
      <c r="H353" s="26"/>
    </row>
    <row r="354" customFormat="false" ht="15" hidden="false" customHeight="false" outlineLevel="0" collapsed="false">
      <c r="A354" s="5" t="n">
        <v>51</v>
      </c>
      <c r="B354" s="57" t="n">
        <v>46374</v>
      </c>
      <c r="C354" s="24" t="n">
        <f aca="false">G353</f>
        <v>0</v>
      </c>
      <c r="D354" s="45" t="n">
        <f aca="false">E354-F354</f>
        <v>0</v>
      </c>
      <c r="E354" s="24" t="n">
        <f aca="false">SUMPRODUCT((Income!D$3:D$502="GBP")*(Income!A$3:A$502=B354)*(Income!A$3:A$502&lt;&gt;"")*Income!C$3:C$502)</f>
        <v>0</v>
      </c>
      <c r="F354" s="24" t="n">
        <f aca="false">SUMPRODUCT((Expenses!E$3:E$1002="GBP")*(Expenses!A$3:A$1002=B354)*(Expenses!A$3:A$1002&lt;&gt;"")*Expenses!D$3:D$1002)</f>
        <v>0</v>
      </c>
      <c r="G354" s="45" t="n">
        <f aca="false">C354+D354</f>
        <v>0</v>
      </c>
      <c r="H354" s="26"/>
    </row>
    <row r="355" customFormat="false" ht="15" hidden="false" customHeight="false" outlineLevel="0" collapsed="false">
      <c r="A355" s="5" t="n">
        <v>51</v>
      </c>
      <c r="B355" s="57" t="n">
        <v>46375</v>
      </c>
      <c r="C355" s="24" t="n">
        <f aca="false">G354</f>
        <v>0</v>
      </c>
      <c r="D355" s="45" t="n">
        <f aca="false">E355-F355</f>
        <v>0</v>
      </c>
      <c r="E355" s="24" t="n">
        <f aca="false">SUMPRODUCT((Income!D$3:D$502="GBP")*(Income!A$3:A$502=B355)*(Income!A$3:A$502&lt;&gt;"")*Income!C$3:C$502)</f>
        <v>0</v>
      </c>
      <c r="F355" s="24" t="n">
        <f aca="false">SUMPRODUCT((Expenses!E$3:E$1002="GBP")*(Expenses!A$3:A$1002=B355)*(Expenses!A$3:A$1002&lt;&gt;"")*Expenses!D$3:D$1002)</f>
        <v>0</v>
      </c>
      <c r="G355" s="45" t="n">
        <f aca="false">C355+D355</f>
        <v>0</v>
      </c>
      <c r="H355" s="26"/>
    </row>
    <row r="356" customFormat="false" ht="15" hidden="false" customHeight="false" outlineLevel="0" collapsed="false">
      <c r="A356" s="5" t="n">
        <v>51</v>
      </c>
      <c r="B356" s="57" t="n">
        <v>46376</v>
      </c>
      <c r="C356" s="24" t="n">
        <f aca="false">G355</f>
        <v>0</v>
      </c>
      <c r="D356" s="45" t="n">
        <f aca="false">E356-F356</f>
        <v>0</v>
      </c>
      <c r="E356" s="24" t="n">
        <f aca="false">SUMPRODUCT((Income!D$3:D$502="GBP")*(Income!A$3:A$502=B356)*(Income!A$3:A$502&lt;&gt;"")*Income!C$3:C$502)</f>
        <v>0</v>
      </c>
      <c r="F356" s="24" t="n">
        <f aca="false">SUMPRODUCT((Expenses!E$3:E$1002="GBP")*(Expenses!A$3:A$1002=B356)*(Expenses!A$3:A$1002&lt;&gt;"")*Expenses!D$3:D$1002)</f>
        <v>0</v>
      </c>
      <c r="G356" s="45" t="n">
        <f aca="false">C356+D356</f>
        <v>0</v>
      </c>
      <c r="H356" s="26"/>
    </row>
    <row r="357" customFormat="false" ht="15" hidden="false" customHeight="false" outlineLevel="0" collapsed="false">
      <c r="A357" s="5" t="n">
        <v>52</v>
      </c>
      <c r="B357" s="57" t="n">
        <v>46377</v>
      </c>
      <c r="C357" s="24" t="n">
        <f aca="false">G356</f>
        <v>0</v>
      </c>
      <c r="D357" s="45" t="n">
        <f aca="false">E357-F357</f>
        <v>0</v>
      </c>
      <c r="E357" s="24" t="n">
        <f aca="false">SUMPRODUCT((Income!D$3:D$502="GBP")*(Income!A$3:A$502=B357)*(Income!A$3:A$502&lt;&gt;"")*Income!C$3:C$502)</f>
        <v>0</v>
      </c>
      <c r="F357" s="24" t="n">
        <f aca="false">SUMPRODUCT((Expenses!E$3:E$1002="GBP")*(Expenses!A$3:A$1002=B357)*(Expenses!A$3:A$1002&lt;&gt;"")*Expenses!D$3:D$1002)</f>
        <v>0</v>
      </c>
      <c r="G357" s="45" t="n">
        <f aca="false">C357+D357</f>
        <v>0</v>
      </c>
      <c r="H357" s="26"/>
    </row>
    <row r="358" customFormat="false" ht="15" hidden="false" customHeight="false" outlineLevel="0" collapsed="false">
      <c r="A358" s="5" t="n">
        <v>52</v>
      </c>
      <c r="B358" s="57" t="n">
        <v>46378</v>
      </c>
      <c r="C358" s="24" t="n">
        <f aca="false">G357</f>
        <v>0</v>
      </c>
      <c r="D358" s="45" t="n">
        <f aca="false">E358-F358</f>
        <v>0</v>
      </c>
      <c r="E358" s="24" t="n">
        <f aca="false">SUMPRODUCT((Income!D$3:D$502="GBP")*(Income!A$3:A$502=B358)*(Income!A$3:A$502&lt;&gt;"")*Income!C$3:C$502)</f>
        <v>0</v>
      </c>
      <c r="F358" s="24" t="n">
        <f aca="false">SUMPRODUCT((Expenses!E$3:E$1002="GBP")*(Expenses!A$3:A$1002=B358)*(Expenses!A$3:A$1002&lt;&gt;"")*Expenses!D$3:D$1002)</f>
        <v>0</v>
      </c>
      <c r="G358" s="45" t="n">
        <f aca="false">C358+D358</f>
        <v>0</v>
      </c>
      <c r="H358" s="26"/>
    </row>
    <row r="359" customFormat="false" ht="15" hidden="false" customHeight="false" outlineLevel="0" collapsed="false">
      <c r="A359" s="5" t="n">
        <v>52</v>
      </c>
      <c r="B359" s="57" t="n">
        <v>46379</v>
      </c>
      <c r="C359" s="24" t="n">
        <f aca="false">G358</f>
        <v>0</v>
      </c>
      <c r="D359" s="45" t="n">
        <f aca="false">E359-F359</f>
        <v>0</v>
      </c>
      <c r="E359" s="24" t="n">
        <f aca="false">SUMPRODUCT((Income!D$3:D$502="GBP")*(Income!A$3:A$502=B359)*(Income!A$3:A$502&lt;&gt;"")*Income!C$3:C$502)</f>
        <v>0</v>
      </c>
      <c r="F359" s="24" t="n">
        <f aca="false">SUMPRODUCT((Expenses!E$3:E$1002="GBP")*(Expenses!A$3:A$1002=B359)*(Expenses!A$3:A$1002&lt;&gt;"")*Expenses!D$3:D$1002)</f>
        <v>0</v>
      </c>
      <c r="G359" s="45" t="n">
        <f aca="false">C359+D359</f>
        <v>0</v>
      </c>
      <c r="H359" s="26"/>
    </row>
    <row r="360" customFormat="false" ht="15" hidden="false" customHeight="false" outlineLevel="0" collapsed="false">
      <c r="A360" s="5" t="n">
        <v>52</v>
      </c>
      <c r="B360" s="57" t="n">
        <v>46380</v>
      </c>
      <c r="C360" s="24" t="n">
        <f aca="false">G359</f>
        <v>0</v>
      </c>
      <c r="D360" s="45" t="n">
        <f aca="false">E360-F360</f>
        <v>0</v>
      </c>
      <c r="E360" s="24" t="n">
        <f aca="false">SUMPRODUCT((Income!D$3:D$502="GBP")*(Income!A$3:A$502=B360)*(Income!A$3:A$502&lt;&gt;"")*Income!C$3:C$502)</f>
        <v>0</v>
      </c>
      <c r="F360" s="24" t="n">
        <f aca="false">SUMPRODUCT((Expenses!E$3:E$1002="GBP")*(Expenses!A$3:A$1002=B360)*(Expenses!A$3:A$1002&lt;&gt;"")*Expenses!D$3:D$1002)</f>
        <v>0</v>
      </c>
      <c r="G360" s="45" t="n">
        <f aca="false">C360+D360</f>
        <v>0</v>
      </c>
      <c r="H360" s="26"/>
    </row>
    <row r="361" customFormat="false" ht="15" hidden="false" customHeight="false" outlineLevel="0" collapsed="false">
      <c r="A361" s="5" t="n">
        <v>52</v>
      </c>
      <c r="B361" s="57" t="n">
        <v>46381</v>
      </c>
      <c r="C361" s="24" t="n">
        <f aca="false">G360</f>
        <v>0</v>
      </c>
      <c r="D361" s="45" t="n">
        <f aca="false">E361-F361</f>
        <v>0</v>
      </c>
      <c r="E361" s="24" t="n">
        <f aca="false">SUMPRODUCT((Income!D$3:D$502="GBP")*(Income!A$3:A$502=B361)*(Income!A$3:A$502&lt;&gt;"")*Income!C$3:C$502)</f>
        <v>0</v>
      </c>
      <c r="F361" s="24" t="n">
        <f aca="false">SUMPRODUCT((Expenses!E$3:E$1002="GBP")*(Expenses!A$3:A$1002=B361)*(Expenses!A$3:A$1002&lt;&gt;"")*Expenses!D$3:D$1002)</f>
        <v>0</v>
      </c>
      <c r="G361" s="45" t="n">
        <f aca="false">C361+D361</f>
        <v>0</v>
      </c>
      <c r="H361" s="26"/>
    </row>
    <row r="362" customFormat="false" ht="15" hidden="false" customHeight="false" outlineLevel="0" collapsed="false">
      <c r="A362" s="5" t="n">
        <v>52</v>
      </c>
      <c r="B362" s="57" t="n">
        <v>46382</v>
      </c>
      <c r="C362" s="24" t="n">
        <f aca="false">G361</f>
        <v>0</v>
      </c>
      <c r="D362" s="45" t="n">
        <f aca="false">E362-F362</f>
        <v>0</v>
      </c>
      <c r="E362" s="24" t="n">
        <f aca="false">SUMPRODUCT((Income!D$3:D$502="GBP")*(Income!A$3:A$502=B362)*(Income!A$3:A$502&lt;&gt;"")*Income!C$3:C$502)</f>
        <v>0</v>
      </c>
      <c r="F362" s="24" t="n">
        <f aca="false">SUMPRODUCT((Expenses!E$3:E$1002="GBP")*(Expenses!A$3:A$1002=B362)*(Expenses!A$3:A$1002&lt;&gt;"")*Expenses!D$3:D$1002)</f>
        <v>0</v>
      </c>
      <c r="G362" s="45" t="n">
        <f aca="false">C362+D362</f>
        <v>0</v>
      </c>
      <c r="H362" s="26"/>
    </row>
    <row r="363" customFormat="false" ht="15" hidden="false" customHeight="false" outlineLevel="0" collapsed="false">
      <c r="A363" s="5" t="n">
        <v>52</v>
      </c>
      <c r="B363" s="57" t="n">
        <v>46383</v>
      </c>
      <c r="C363" s="24" t="n">
        <f aca="false">G362</f>
        <v>0</v>
      </c>
      <c r="D363" s="45" t="n">
        <f aca="false">E363-F363</f>
        <v>0</v>
      </c>
      <c r="E363" s="24" t="n">
        <f aca="false">SUMPRODUCT((Income!D$3:D$502="GBP")*(Income!A$3:A$502=B363)*(Income!A$3:A$502&lt;&gt;"")*Income!C$3:C$502)</f>
        <v>0</v>
      </c>
      <c r="F363" s="24" t="n">
        <f aca="false">SUMPRODUCT((Expenses!E$3:E$1002="GBP")*(Expenses!A$3:A$1002=B363)*(Expenses!A$3:A$1002&lt;&gt;"")*Expenses!D$3:D$1002)</f>
        <v>0</v>
      </c>
      <c r="G363" s="45" t="n">
        <f aca="false">C363+D363</f>
        <v>0</v>
      </c>
      <c r="H363" s="26"/>
    </row>
    <row r="364" customFormat="false" ht="15" hidden="false" customHeight="false" outlineLevel="0" collapsed="false">
      <c r="A364" s="5" t="n">
        <v>53</v>
      </c>
      <c r="B364" s="57" t="n">
        <v>46384</v>
      </c>
      <c r="C364" s="24" t="n">
        <f aca="false">G363</f>
        <v>0</v>
      </c>
      <c r="D364" s="45" t="n">
        <f aca="false">E364-F364</f>
        <v>0</v>
      </c>
      <c r="E364" s="24" t="n">
        <f aca="false">SUMPRODUCT((Income!D$3:D$502="GBP")*(Income!A$3:A$502=B364)*(Income!A$3:A$502&lt;&gt;"")*Income!C$3:C$502)</f>
        <v>0</v>
      </c>
      <c r="F364" s="24" t="n">
        <f aca="false">SUMPRODUCT((Expenses!E$3:E$1002="GBP")*(Expenses!A$3:A$1002=B364)*(Expenses!A$3:A$1002&lt;&gt;"")*Expenses!D$3:D$1002)</f>
        <v>0</v>
      </c>
      <c r="G364" s="45" t="n">
        <f aca="false">C364+D364</f>
        <v>0</v>
      </c>
      <c r="H364" s="26"/>
    </row>
    <row r="365" customFormat="false" ht="15" hidden="false" customHeight="false" outlineLevel="0" collapsed="false">
      <c r="A365" s="5" t="n">
        <v>53</v>
      </c>
      <c r="B365" s="57" t="n">
        <v>46385</v>
      </c>
      <c r="C365" s="24" t="n">
        <f aca="false">G364</f>
        <v>0</v>
      </c>
      <c r="D365" s="45" t="n">
        <f aca="false">E365-F365</f>
        <v>0</v>
      </c>
      <c r="E365" s="24" t="n">
        <f aca="false">SUMPRODUCT((Income!D$3:D$502="GBP")*(Income!A$3:A$502=B365)*(Income!A$3:A$502&lt;&gt;"")*Income!C$3:C$502)</f>
        <v>0</v>
      </c>
      <c r="F365" s="24" t="n">
        <f aca="false">SUMPRODUCT((Expenses!E$3:E$1002="GBP")*(Expenses!A$3:A$1002=B365)*(Expenses!A$3:A$1002&lt;&gt;"")*Expenses!D$3:D$1002)</f>
        <v>0</v>
      </c>
      <c r="G365" s="45" t="n">
        <f aca="false">C365+D365</f>
        <v>0</v>
      </c>
      <c r="H365" s="26"/>
    </row>
    <row r="366" customFormat="false" ht="15" hidden="false" customHeight="false" outlineLevel="0" collapsed="false">
      <c r="A366" s="5" t="n">
        <v>53</v>
      </c>
      <c r="B366" s="57" t="n">
        <v>46386</v>
      </c>
      <c r="C366" s="24" t="n">
        <f aca="false">G365</f>
        <v>0</v>
      </c>
      <c r="D366" s="45" t="n">
        <f aca="false">E366-F366</f>
        <v>0</v>
      </c>
      <c r="E366" s="24" t="n">
        <f aca="false">SUMPRODUCT((Income!D$3:D$502="GBP")*(Income!A$3:A$502=B366)*(Income!A$3:A$502&lt;&gt;"")*Income!C$3:C$502)</f>
        <v>0</v>
      </c>
      <c r="F366" s="24" t="n">
        <f aca="false">SUMPRODUCT((Expenses!E$3:E$1002="GBP")*(Expenses!A$3:A$1002=B366)*(Expenses!A$3:A$1002&lt;&gt;"")*Expenses!D$3:D$1002)</f>
        <v>0</v>
      </c>
      <c r="G366" s="45" t="n">
        <f aca="false">C366+D366</f>
        <v>0</v>
      </c>
      <c r="H366" s="26"/>
    </row>
    <row r="367" customFormat="false" ht="15" hidden="false" customHeight="false" outlineLevel="0" collapsed="false">
      <c r="A367" s="5" t="n">
        <v>53</v>
      </c>
      <c r="B367" s="57" t="n">
        <v>46387</v>
      </c>
      <c r="C367" s="24" t="n">
        <f aca="false">G366</f>
        <v>0</v>
      </c>
      <c r="D367" s="45" t="n">
        <f aca="false">E367-F367</f>
        <v>0</v>
      </c>
      <c r="E367" s="24" t="n">
        <f aca="false">SUMPRODUCT((Income!D$3:D$502="GBP")*(Income!A$3:A$502=B367)*(Income!A$3:A$502&lt;&gt;"")*Income!C$3:C$502)</f>
        <v>0</v>
      </c>
      <c r="F367" s="24" t="n">
        <f aca="false">SUMPRODUCT((Expenses!E$3:E$1002="GBP")*(Expenses!A$3:A$1002=B367)*(Expenses!A$3:A$1002&lt;&gt;"")*Expenses!D$3:D$1002)</f>
        <v>0</v>
      </c>
      <c r="G367" s="45" t="n">
        <f aca="false">C367+D367</f>
        <v>0</v>
      </c>
      <c r="H367" s="26"/>
    </row>
  </sheetData>
  <mergeCells count="1">
    <mergeCell ref="A1:H1"/>
  </mergeCells>
  <conditionalFormatting sqref="D3:D367">
    <cfRule type="cellIs" priority="2" operator="lessThan" aboveAverage="0" equalAverage="0" bottom="0" percent="0" rank="0" text="" dxfId="1">
      <formula>0</formula>
    </cfRule>
    <cfRule type="cellIs" priority="3" operator="greater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H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148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6" t="s">
        <v>142</v>
      </c>
      <c r="B2" s="46" t="s">
        <v>89</v>
      </c>
      <c r="C2" s="46" t="s">
        <v>143</v>
      </c>
      <c r="D2" s="46" t="s">
        <v>144</v>
      </c>
      <c r="E2" s="46" t="s">
        <v>145</v>
      </c>
      <c r="F2" s="46" t="s">
        <v>146</v>
      </c>
      <c r="G2" s="46" t="s">
        <v>147</v>
      </c>
      <c r="H2" s="46" t="s">
        <v>65</v>
      </c>
    </row>
    <row r="3" customFormat="false" ht="15" hidden="false" customHeight="false" outlineLevel="0" collapsed="false">
      <c r="A3" s="5" t="n">
        <v>1</v>
      </c>
      <c r="B3" s="57" t="n">
        <v>46023</v>
      </c>
      <c r="C3" s="55"/>
      <c r="D3" s="53" t="n">
        <f aca="false">E3-F3</f>
        <v>0</v>
      </c>
      <c r="E3" s="52" t="n">
        <f aca="false">SUMPRODUCT((Income!D$3:D$502="INR")*(Income!A$3:A$502=B3)*(Income!A$3:A$502&lt;&gt;"")*Income!C$3:C$502)</f>
        <v>0</v>
      </c>
      <c r="F3" s="52" t="n">
        <f aca="false">SUMPRODUCT((Expenses!E$3:E$1002="INR")*(Expenses!A$3:A$1002=B3)*(Expenses!A$3:A$1002&lt;&gt;"")*Expenses!D$3:D$1002)</f>
        <v>0</v>
      </c>
      <c r="G3" s="53" t="n">
        <f aca="false">C3+D3</f>
        <v>0</v>
      </c>
      <c r="H3" s="26"/>
    </row>
    <row r="4" customFormat="false" ht="15" hidden="false" customHeight="false" outlineLevel="0" collapsed="false">
      <c r="A4" s="5" t="n">
        <v>1</v>
      </c>
      <c r="B4" s="57" t="n">
        <v>46024</v>
      </c>
      <c r="C4" s="52" t="n">
        <f aca="false">G3</f>
        <v>0</v>
      </c>
      <c r="D4" s="53" t="n">
        <f aca="false">E4-F4</f>
        <v>0</v>
      </c>
      <c r="E4" s="52" t="n">
        <f aca="false">SUMPRODUCT((Income!D$3:D$502="INR")*(Income!A$3:A$502=B4)*(Income!A$3:A$502&lt;&gt;"")*Income!C$3:C$502)</f>
        <v>0</v>
      </c>
      <c r="F4" s="52" t="n">
        <f aca="false">SUMPRODUCT((Expenses!E$3:E$1002="INR")*(Expenses!A$3:A$1002=B4)*(Expenses!A$3:A$1002&lt;&gt;"")*Expenses!D$3:D$1002)</f>
        <v>0</v>
      </c>
      <c r="G4" s="53" t="n">
        <f aca="false">C4+D4</f>
        <v>0</v>
      </c>
      <c r="H4" s="26"/>
    </row>
    <row r="5" customFormat="false" ht="15" hidden="false" customHeight="false" outlineLevel="0" collapsed="false">
      <c r="A5" s="5" t="n">
        <v>1</v>
      </c>
      <c r="B5" s="57" t="n">
        <v>46025</v>
      </c>
      <c r="C5" s="52" t="n">
        <f aca="false">G4</f>
        <v>0</v>
      </c>
      <c r="D5" s="53" t="n">
        <f aca="false">E5-F5</f>
        <v>0</v>
      </c>
      <c r="E5" s="52" t="n">
        <f aca="false">SUMPRODUCT((Income!D$3:D$502="INR")*(Income!A$3:A$502=B5)*(Income!A$3:A$502&lt;&gt;"")*Income!C$3:C$502)</f>
        <v>0</v>
      </c>
      <c r="F5" s="52" t="n">
        <f aca="false">SUMPRODUCT((Expenses!E$3:E$1002="INR")*(Expenses!A$3:A$1002=B5)*(Expenses!A$3:A$1002&lt;&gt;"")*Expenses!D$3:D$1002)</f>
        <v>0</v>
      </c>
      <c r="G5" s="53" t="n">
        <f aca="false">C5+D5</f>
        <v>0</v>
      </c>
      <c r="H5" s="26"/>
    </row>
    <row r="6" customFormat="false" ht="15" hidden="false" customHeight="false" outlineLevel="0" collapsed="false">
      <c r="A6" s="5" t="n">
        <v>1</v>
      </c>
      <c r="B6" s="57" t="n">
        <v>46026</v>
      </c>
      <c r="C6" s="52" t="n">
        <f aca="false">G5</f>
        <v>0</v>
      </c>
      <c r="D6" s="53" t="n">
        <f aca="false">E6-F6</f>
        <v>0</v>
      </c>
      <c r="E6" s="52" t="n">
        <f aca="false">SUMPRODUCT((Income!D$3:D$502="INR")*(Income!A$3:A$502=B6)*(Income!A$3:A$502&lt;&gt;"")*Income!C$3:C$502)</f>
        <v>0</v>
      </c>
      <c r="F6" s="52" t="n">
        <f aca="false">SUMPRODUCT((Expenses!E$3:E$1002="INR")*(Expenses!A$3:A$1002=B6)*(Expenses!A$3:A$1002&lt;&gt;"")*Expenses!D$3:D$1002)</f>
        <v>0</v>
      </c>
      <c r="G6" s="53" t="n">
        <f aca="false">C6+D6</f>
        <v>0</v>
      </c>
      <c r="H6" s="26"/>
    </row>
    <row r="7" customFormat="false" ht="15" hidden="false" customHeight="false" outlineLevel="0" collapsed="false">
      <c r="A7" s="5" t="n">
        <v>2</v>
      </c>
      <c r="B7" s="57" t="n">
        <v>46027</v>
      </c>
      <c r="C7" s="52" t="n">
        <f aca="false">G6</f>
        <v>0</v>
      </c>
      <c r="D7" s="53" t="n">
        <f aca="false">E7-F7</f>
        <v>0</v>
      </c>
      <c r="E7" s="52" t="n">
        <f aca="false">SUMPRODUCT((Income!D$3:D$502="INR")*(Income!A$3:A$502=B7)*(Income!A$3:A$502&lt;&gt;"")*Income!C$3:C$502)</f>
        <v>0</v>
      </c>
      <c r="F7" s="52" t="n">
        <f aca="false">SUMPRODUCT((Expenses!E$3:E$1002="INR")*(Expenses!A$3:A$1002=B7)*(Expenses!A$3:A$1002&lt;&gt;"")*Expenses!D$3:D$1002)</f>
        <v>0</v>
      </c>
      <c r="G7" s="53" t="n">
        <f aca="false">C7+D7</f>
        <v>0</v>
      </c>
      <c r="H7" s="26"/>
    </row>
    <row r="8" customFormat="false" ht="15" hidden="false" customHeight="false" outlineLevel="0" collapsed="false">
      <c r="A8" s="5" t="n">
        <v>2</v>
      </c>
      <c r="B8" s="57" t="n">
        <v>46028</v>
      </c>
      <c r="C8" s="52" t="n">
        <f aca="false">G7</f>
        <v>0</v>
      </c>
      <c r="D8" s="53" t="n">
        <f aca="false">E8-F8</f>
        <v>0</v>
      </c>
      <c r="E8" s="52" t="n">
        <f aca="false">SUMPRODUCT((Income!D$3:D$502="INR")*(Income!A$3:A$502=B8)*(Income!A$3:A$502&lt;&gt;"")*Income!C$3:C$502)</f>
        <v>0</v>
      </c>
      <c r="F8" s="52" t="n">
        <f aca="false">SUMPRODUCT((Expenses!E$3:E$1002="INR")*(Expenses!A$3:A$1002=B8)*(Expenses!A$3:A$1002&lt;&gt;"")*Expenses!D$3:D$1002)</f>
        <v>0</v>
      </c>
      <c r="G8" s="53" t="n">
        <f aca="false">C8+D8</f>
        <v>0</v>
      </c>
      <c r="H8" s="26"/>
    </row>
    <row r="9" customFormat="false" ht="15" hidden="false" customHeight="false" outlineLevel="0" collapsed="false">
      <c r="A9" s="5" t="n">
        <v>2</v>
      </c>
      <c r="B9" s="57" t="n">
        <v>46029</v>
      </c>
      <c r="C9" s="52" t="n">
        <f aca="false">G8</f>
        <v>0</v>
      </c>
      <c r="D9" s="53" t="n">
        <f aca="false">E9-F9</f>
        <v>0</v>
      </c>
      <c r="E9" s="52" t="n">
        <f aca="false">SUMPRODUCT((Income!D$3:D$502="INR")*(Income!A$3:A$502=B9)*(Income!A$3:A$502&lt;&gt;"")*Income!C$3:C$502)</f>
        <v>0</v>
      </c>
      <c r="F9" s="52" t="n">
        <f aca="false">SUMPRODUCT((Expenses!E$3:E$1002="INR")*(Expenses!A$3:A$1002=B9)*(Expenses!A$3:A$1002&lt;&gt;"")*Expenses!D$3:D$1002)</f>
        <v>0</v>
      </c>
      <c r="G9" s="53" t="n">
        <f aca="false">C9+D9</f>
        <v>0</v>
      </c>
      <c r="H9" s="26"/>
    </row>
    <row r="10" customFormat="false" ht="15" hidden="false" customHeight="false" outlineLevel="0" collapsed="false">
      <c r="A10" s="5" t="n">
        <v>2</v>
      </c>
      <c r="B10" s="57" t="n">
        <v>46030</v>
      </c>
      <c r="C10" s="52" t="n">
        <f aca="false">G9</f>
        <v>0</v>
      </c>
      <c r="D10" s="53" t="n">
        <f aca="false">E10-F10</f>
        <v>0</v>
      </c>
      <c r="E10" s="52" t="n">
        <f aca="false">SUMPRODUCT((Income!D$3:D$502="INR")*(Income!A$3:A$502=B10)*(Income!A$3:A$502&lt;&gt;"")*Income!C$3:C$502)</f>
        <v>0</v>
      </c>
      <c r="F10" s="52" t="n">
        <f aca="false">SUMPRODUCT((Expenses!E$3:E$1002="INR")*(Expenses!A$3:A$1002=B10)*(Expenses!A$3:A$1002&lt;&gt;"")*Expenses!D$3:D$1002)</f>
        <v>0</v>
      </c>
      <c r="G10" s="53" t="n">
        <f aca="false">C10+D10</f>
        <v>0</v>
      </c>
      <c r="H10" s="26"/>
    </row>
    <row r="11" customFormat="false" ht="15" hidden="false" customHeight="false" outlineLevel="0" collapsed="false">
      <c r="A11" s="5" t="n">
        <v>2</v>
      </c>
      <c r="B11" s="57" t="n">
        <v>46031</v>
      </c>
      <c r="C11" s="52" t="n">
        <f aca="false">G10</f>
        <v>0</v>
      </c>
      <c r="D11" s="53" t="n">
        <f aca="false">E11-F11</f>
        <v>0</v>
      </c>
      <c r="E11" s="52" t="n">
        <f aca="false">SUMPRODUCT((Income!D$3:D$502="INR")*(Income!A$3:A$502=B11)*(Income!A$3:A$502&lt;&gt;"")*Income!C$3:C$502)</f>
        <v>0</v>
      </c>
      <c r="F11" s="52" t="n">
        <f aca="false">SUMPRODUCT((Expenses!E$3:E$1002="INR")*(Expenses!A$3:A$1002=B11)*(Expenses!A$3:A$1002&lt;&gt;"")*Expenses!D$3:D$1002)</f>
        <v>0</v>
      </c>
      <c r="G11" s="53" t="n">
        <f aca="false">C11+D11</f>
        <v>0</v>
      </c>
      <c r="H11" s="26"/>
    </row>
    <row r="12" customFormat="false" ht="15" hidden="false" customHeight="false" outlineLevel="0" collapsed="false">
      <c r="A12" s="5" t="n">
        <v>2</v>
      </c>
      <c r="B12" s="57" t="n">
        <v>46032</v>
      </c>
      <c r="C12" s="52" t="n">
        <f aca="false">G11</f>
        <v>0</v>
      </c>
      <c r="D12" s="53" t="n">
        <f aca="false">E12-F12</f>
        <v>0</v>
      </c>
      <c r="E12" s="52" t="n">
        <f aca="false">SUMPRODUCT((Income!D$3:D$502="INR")*(Income!A$3:A$502=B12)*(Income!A$3:A$502&lt;&gt;"")*Income!C$3:C$502)</f>
        <v>0</v>
      </c>
      <c r="F12" s="52" t="n">
        <f aca="false">SUMPRODUCT((Expenses!E$3:E$1002="INR")*(Expenses!A$3:A$1002=B12)*(Expenses!A$3:A$1002&lt;&gt;"")*Expenses!D$3:D$1002)</f>
        <v>0</v>
      </c>
      <c r="G12" s="53" t="n">
        <f aca="false">C12+D12</f>
        <v>0</v>
      </c>
      <c r="H12" s="26"/>
    </row>
    <row r="13" customFormat="false" ht="15" hidden="false" customHeight="false" outlineLevel="0" collapsed="false">
      <c r="A13" s="5" t="n">
        <v>2</v>
      </c>
      <c r="B13" s="57" t="n">
        <v>46033</v>
      </c>
      <c r="C13" s="52" t="n">
        <f aca="false">G12</f>
        <v>0</v>
      </c>
      <c r="D13" s="53" t="n">
        <f aca="false">E13-F13</f>
        <v>0</v>
      </c>
      <c r="E13" s="52" t="n">
        <f aca="false">SUMPRODUCT((Income!D$3:D$502="INR")*(Income!A$3:A$502=B13)*(Income!A$3:A$502&lt;&gt;"")*Income!C$3:C$502)</f>
        <v>0</v>
      </c>
      <c r="F13" s="52" t="n">
        <f aca="false">SUMPRODUCT((Expenses!E$3:E$1002="INR")*(Expenses!A$3:A$1002=B13)*(Expenses!A$3:A$1002&lt;&gt;"")*Expenses!D$3:D$1002)</f>
        <v>0</v>
      </c>
      <c r="G13" s="53" t="n">
        <f aca="false">C13+D13</f>
        <v>0</v>
      </c>
      <c r="H13" s="26"/>
    </row>
    <row r="14" customFormat="false" ht="15" hidden="false" customHeight="false" outlineLevel="0" collapsed="false">
      <c r="A14" s="5" t="n">
        <v>3</v>
      </c>
      <c r="B14" s="57" t="n">
        <v>46034</v>
      </c>
      <c r="C14" s="52" t="n">
        <f aca="false">G13</f>
        <v>0</v>
      </c>
      <c r="D14" s="53" t="n">
        <f aca="false">E14-F14</f>
        <v>0</v>
      </c>
      <c r="E14" s="52" t="n">
        <f aca="false">SUMPRODUCT((Income!D$3:D$502="INR")*(Income!A$3:A$502=B14)*(Income!A$3:A$502&lt;&gt;"")*Income!C$3:C$502)</f>
        <v>0</v>
      </c>
      <c r="F14" s="52" t="n">
        <f aca="false">SUMPRODUCT((Expenses!E$3:E$1002="INR")*(Expenses!A$3:A$1002=B14)*(Expenses!A$3:A$1002&lt;&gt;"")*Expenses!D$3:D$1002)</f>
        <v>0</v>
      </c>
      <c r="G14" s="53" t="n">
        <f aca="false">C14+D14</f>
        <v>0</v>
      </c>
      <c r="H14" s="26"/>
    </row>
    <row r="15" customFormat="false" ht="15" hidden="false" customHeight="false" outlineLevel="0" collapsed="false">
      <c r="A15" s="5" t="n">
        <v>3</v>
      </c>
      <c r="B15" s="57" t="n">
        <v>46035</v>
      </c>
      <c r="C15" s="52" t="n">
        <f aca="false">G14</f>
        <v>0</v>
      </c>
      <c r="D15" s="53" t="n">
        <f aca="false">E15-F15</f>
        <v>0</v>
      </c>
      <c r="E15" s="52" t="n">
        <f aca="false">SUMPRODUCT((Income!D$3:D$502="INR")*(Income!A$3:A$502=B15)*(Income!A$3:A$502&lt;&gt;"")*Income!C$3:C$502)</f>
        <v>0</v>
      </c>
      <c r="F15" s="52" t="n">
        <f aca="false">SUMPRODUCT((Expenses!E$3:E$1002="INR")*(Expenses!A$3:A$1002=B15)*(Expenses!A$3:A$1002&lt;&gt;"")*Expenses!D$3:D$1002)</f>
        <v>0</v>
      </c>
      <c r="G15" s="53" t="n">
        <f aca="false">C15+D15</f>
        <v>0</v>
      </c>
      <c r="H15" s="26"/>
    </row>
    <row r="16" customFormat="false" ht="15" hidden="false" customHeight="false" outlineLevel="0" collapsed="false">
      <c r="A16" s="5" t="n">
        <v>3</v>
      </c>
      <c r="B16" s="57" t="n">
        <v>46036</v>
      </c>
      <c r="C16" s="52" t="n">
        <f aca="false">G15</f>
        <v>0</v>
      </c>
      <c r="D16" s="53" t="n">
        <f aca="false">E16-F16</f>
        <v>0</v>
      </c>
      <c r="E16" s="52" t="n">
        <f aca="false">SUMPRODUCT((Income!D$3:D$502="INR")*(Income!A$3:A$502=B16)*(Income!A$3:A$502&lt;&gt;"")*Income!C$3:C$502)</f>
        <v>0</v>
      </c>
      <c r="F16" s="52" t="n">
        <f aca="false">SUMPRODUCT((Expenses!E$3:E$1002="INR")*(Expenses!A$3:A$1002=B16)*(Expenses!A$3:A$1002&lt;&gt;"")*Expenses!D$3:D$1002)</f>
        <v>0</v>
      </c>
      <c r="G16" s="53" t="n">
        <f aca="false">C16+D16</f>
        <v>0</v>
      </c>
      <c r="H16" s="26"/>
    </row>
    <row r="17" customFormat="false" ht="15" hidden="false" customHeight="false" outlineLevel="0" collapsed="false">
      <c r="A17" s="5" t="n">
        <v>3</v>
      </c>
      <c r="B17" s="57" t="n">
        <v>46037</v>
      </c>
      <c r="C17" s="52" t="n">
        <f aca="false">G16</f>
        <v>0</v>
      </c>
      <c r="D17" s="53" t="n">
        <f aca="false">E17-F17</f>
        <v>0</v>
      </c>
      <c r="E17" s="52" t="n">
        <f aca="false">SUMPRODUCT((Income!D$3:D$502="INR")*(Income!A$3:A$502=B17)*(Income!A$3:A$502&lt;&gt;"")*Income!C$3:C$502)</f>
        <v>0</v>
      </c>
      <c r="F17" s="52" t="n">
        <f aca="false">SUMPRODUCT((Expenses!E$3:E$1002="INR")*(Expenses!A$3:A$1002=B17)*(Expenses!A$3:A$1002&lt;&gt;"")*Expenses!D$3:D$1002)</f>
        <v>0</v>
      </c>
      <c r="G17" s="53" t="n">
        <f aca="false">C17+D17</f>
        <v>0</v>
      </c>
      <c r="H17" s="26"/>
    </row>
    <row r="18" customFormat="false" ht="15" hidden="false" customHeight="false" outlineLevel="0" collapsed="false">
      <c r="A18" s="5" t="n">
        <v>3</v>
      </c>
      <c r="B18" s="57" t="n">
        <v>46038</v>
      </c>
      <c r="C18" s="52" t="n">
        <f aca="false">G17</f>
        <v>0</v>
      </c>
      <c r="D18" s="53" t="n">
        <f aca="false">E18-F18</f>
        <v>0</v>
      </c>
      <c r="E18" s="52" t="n">
        <f aca="false">SUMPRODUCT((Income!D$3:D$502="INR")*(Income!A$3:A$502=B18)*(Income!A$3:A$502&lt;&gt;"")*Income!C$3:C$502)</f>
        <v>0</v>
      </c>
      <c r="F18" s="52" t="n">
        <f aca="false">SUMPRODUCT((Expenses!E$3:E$1002="INR")*(Expenses!A$3:A$1002=B18)*(Expenses!A$3:A$1002&lt;&gt;"")*Expenses!D$3:D$1002)</f>
        <v>0</v>
      </c>
      <c r="G18" s="53" t="n">
        <f aca="false">C18+D18</f>
        <v>0</v>
      </c>
      <c r="H18" s="26"/>
    </row>
    <row r="19" customFormat="false" ht="15" hidden="false" customHeight="false" outlineLevel="0" collapsed="false">
      <c r="A19" s="5" t="n">
        <v>3</v>
      </c>
      <c r="B19" s="57" t="n">
        <v>46039</v>
      </c>
      <c r="C19" s="52" t="n">
        <f aca="false">G18</f>
        <v>0</v>
      </c>
      <c r="D19" s="53" t="n">
        <f aca="false">E19-F19</f>
        <v>0</v>
      </c>
      <c r="E19" s="52" t="n">
        <f aca="false">SUMPRODUCT((Income!D$3:D$502="INR")*(Income!A$3:A$502=B19)*(Income!A$3:A$502&lt;&gt;"")*Income!C$3:C$502)</f>
        <v>0</v>
      </c>
      <c r="F19" s="52" t="n">
        <f aca="false">SUMPRODUCT((Expenses!E$3:E$1002="INR")*(Expenses!A$3:A$1002=B19)*(Expenses!A$3:A$1002&lt;&gt;"")*Expenses!D$3:D$1002)</f>
        <v>0</v>
      </c>
      <c r="G19" s="53" t="n">
        <f aca="false">C19+D19</f>
        <v>0</v>
      </c>
      <c r="H19" s="26"/>
    </row>
    <row r="20" customFormat="false" ht="15" hidden="false" customHeight="false" outlineLevel="0" collapsed="false">
      <c r="A20" s="5" t="n">
        <v>3</v>
      </c>
      <c r="B20" s="57" t="n">
        <v>46040</v>
      </c>
      <c r="C20" s="52" t="n">
        <f aca="false">G19</f>
        <v>0</v>
      </c>
      <c r="D20" s="53" t="n">
        <f aca="false">E20-F20</f>
        <v>0</v>
      </c>
      <c r="E20" s="52" t="n">
        <f aca="false">SUMPRODUCT((Income!D$3:D$502="INR")*(Income!A$3:A$502=B20)*(Income!A$3:A$502&lt;&gt;"")*Income!C$3:C$502)</f>
        <v>0</v>
      </c>
      <c r="F20" s="52" t="n">
        <f aca="false">SUMPRODUCT((Expenses!E$3:E$1002="INR")*(Expenses!A$3:A$1002=B20)*(Expenses!A$3:A$1002&lt;&gt;"")*Expenses!D$3:D$1002)</f>
        <v>0</v>
      </c>
      <c r="G20" s="53" t="n">
        <f aca="false">C20+D20</f>
        <v>0</v>
      </c>
      <c r="H20" s="26"/>
    </row>
    <row r="21" customFormat="false" ht="15" hidden="false" customHeight="false" outlineLevel="0" collapsed="false">
      <c r="A21" s="5" t="n">
        <v>4</v>
      </c>
      <c r="B21" s="57" t="n">
        <v>46041</v>
      </c>
      <c r="C21" s="52" t="n">
        <f aca="false">G20</f>
        <v>0</v>
      </c>
      <c r="D21" s="53" t="n">
        <f aca="false">E21-F21</f>
        <v>0</v>
      </c>
      <c r="E21" s="52" t="n">
        <f aca="false">SUMPRODUCT((Income!D$3:D$502="INR")*(Income!A$3:A$502=B21)*(Income!A$3:A$502&lt;&gt;"")*Income!C$3:C$502)</f>
        <v>0</v>
      </c>
      <c r="F21" s="52" t="n">
        <f aca="false">SUMPRODUCT((Expenses!E$3:E$1002="INR")*(Expenses!A$3:A$1002=B21)*(Expenses!A$3:A$1002&lt;&gt;"")*Expenses!D$3:D$1002)</f>
        <v>0</v>
      </c>
      <c r="G21" s="53" t="n">
        <f aca="false">C21+D21</f>
        <v>0</v>
      </c>
      <c r="H21" s="26"/>
    </row>
    <row r="22" customFormat="false" ht="15" hidden="false" customHeight="false" outlineLevel="0" collapsed="false">
      <c r="A22" s="5" t="n">
        <v>4</v>
      </c>
      <c r="B22" s="57" t="n">
        <v>46042</v>
      </c>
      <c r="C22" s="52" t="n">
        <f aca="false">G21</f>
        <v>0</v>
      </c>
      <c r="D22" s="53" t="n">
        <f aca="false">E22-F22</f>
        <v>0</v>
      </c>
      <c r="E22" s="52" t="n">
        <f aca="false">SUMPRODUCT((Income!D$3:D$502="INR")*(Income!A$3:A$502=B22)*(Income!A$3:A$502&lt;&gt;"")*Income!C$3:C$502)</f>
        <v>0</v>
      </c>
      <c r="F22" s="52" t="n">
        <f aca="false">SUMPRODUCT((Expenses!E$3:E$1002="INR")*(Expenses!A$3:A$1002=B22)*(Expenses!A$3:A$1002&lt;&gt;"")*Expenses!D$3:D$1002)</f>
        <v>0</v>
      </c>
      <c r="G22" s="53" t="n">
        <f aca="false">C22+D22</f>
        <v>0</v>
      </c>
      <c r="H22" s="26"/>
    </row>
    <row r="23" customFormat="false" ht="15" hidden="false" customHeight="false" outlineLevel="0" collapsed="false">
      <c r="A23" s="5" t="n">
        <v>4</v>
      </c>
      <c r="B23" s="57" t="n">
        <v>46043</v>
      </c>
      <c r="C23" s="52" t="n">
        <f aca="false">G22</f>
        <v>0</v>
      </c>
      <c r="D23" s="53" t="n">
        <f aca="false">E23-F23</f>
        <v>0</v>
      </c>
      <c r="E23" s="52" t="n">
        <f aca="false">SUMPRODUCT((Income!D$3:D$502="INR")*(Income!A$3:A$502=B23)*(Income!A$3:A$502&lt;&gt;"")*Income!C$3:C$502)</f>
        <v>0</v>
      </c>
      <c r="F23" s="52" t="n">
        <f aca="false">SUMPRODUCT((Expenses!E$3:E$1002="INR")*(Expenses!A$3:A$1002=B23)*(Expenses!A$3:A$1002&lt;&gt;"")*Expenses!D$3:D$1002)</f>
        <v>0</v>
      </c>
      <c r="G23" s="53" t="n">
        <f aca="false">C23+D23</f>
        <v>0</v>
      </c>
      <c r="H23" s="26"/>
    </row>
    <row r="24" customFormat="false" ht="15" hidden="false" customHeight="false" outlineLevel="0" collapsed="false">
      <c r="A24" s="5" t="n">
        <v>4</v>
      </c>
      <c r="B24" s="57" t="n">
        <v>46044</v>
      </c>
      <c r="C24" s="52" t="n">
        <f aca="false">G23</f>
        <v>0</v>
      </c>
      <c r="D24" s="53" t="n">
        <f aca="false">E24-F24</f>
        <v>0</v>
      </c>
      <c r="E24" s="52" t="n">
        <f aca="false">SUMPRODUCT((Income!D$3:D$502="INR")*(Income!A$3:A$502=B24)*(Income!A$3:A$502&lt;&gt;"")*Income!C$3:C$502)</f>
        <v>0</v>
      </c>
      <c r="F24" s="52" t="n">
        <f aca="false">SUMPRODUCT((Expenses!E$3:E$1002="INR")*(Expenses!A$3:A$1002=B24)*(Expenses!A$3:A$1002&lt;&gt;"")*Expenses!D$3:D$1002)</f>
        <v>0</v>
      </c>
      <c r="G24" s="53" t="n">
        <f aca="false">C24+D24</f>
        <v>0</v>
      </c>
      <c r="H24" s="26"/>
    </row>
    <row r="25" customFormat="false" ht="15" hidden="false" customHeight="false" outlineLevel="0" collapsed="false">
      <c r="A25" s="5" t="n">
        <v>4</v>
      </c>
      <c r="B25" s="57" t="n">
        <v>46045</v>
      </c>
      <c r="C25" s="52" t="n">
        <f aca="false">G24</f>
        <v>0</v>
      </c>
      <c r="D25" s="53" t="n">
        <f aca="false">E25-F25</f>
        <v>0</v>
      </c>
      <c r="E25" s="52" t="n">
        <f aca="false">SUMPRODUCT((Income!D$3:D$502="INR")*(Income!A$3:A$502=B25)*(Income!A$3:A$502&lt;&gt;"")*Income!C$3:C$502)</f>
        <v>0</v>
      </c>
      <c r="F25" s="52" t="n">
        <f aca="false">SUMPRODUCT((Expenses!E$3:E$1002="INR")*(Expenses!A$3:A$1002=B25)*(Expenses!A$3:A$1002&lt;&gt;"")*Expenses!D$3:D$1002)</f>
        <v>0</v>
      </c>
      <c r="G25" s="53" t="n">
        <f aca="false">C25+D25</f>
        <v>0</v>
      </c>
      <c r="H25" s="26"/>
    </row>
    <row r="26" customFormat="false" ht="15" hidden="false" customHeight="false" outlineLevel="0" collapsed="false">
      <c r="A26" s="5" t="n">
        <v>4</v>
      </c>
      <c r="B26" s="57" t="n">
        <v>46046</v>
      </c>
      <c r="C26" s="52" t="n">
        <f aca="false">G25</f>
        <v>0</v>
      </c>
      <c r="D26" s="53" t="n">
        <f aca="false">E26-F26</f>
        <v>0</v>
      </c>
      <c r="E26" s="52" t="n">
        <f aca="false">SUMPRODUCT((Income!D$3:D$502="INR")*(Income!A$3:A$502=B26)*(Income!A$3:A$502&lt;&gt;"")*Income!C$3:C$502)</f>
        <v>0</v>
      </c>
      <c r="F26" s="52" t="n">
        <f aca="false">SUMPRODUCT((Expenses!E$3:E$1002="INR")*(Expenses!A$3:A$1002=B26)*(Expenses!A$3:A$1002&lt;&gt;"")*Expenses!D$3:D$1002)</f>
        <v>0</v>
      </c>
      <c r="G26" s="53" t="n">
        <f aca="false">C26+D26</f>
        <v>0</v>
      </c>
      <c r="H26" s="26"/>
    </row>
    <row r="27" customFormat="false" ht="15" hidden="false" customHeight="false" outlineLevel="0" collapsed="false">
      <c r="A27" s="5" t="n">
        <v>4</v>
      </c>
      <c r="B27" s="57" t="n">
        <v>46047</v>
      </c>
      <c r="C27" s="52" t="n">
        <f aca="false">G26</f>
        <v>0</v>
      </c>
      <c r="D27" s="53" t="n">
        <f aca="false">E27-F27</f>
        <v>0</v>
      </c>
      <c r="E27" s="52" t="n">
        <f aca="false">SUMPRODUCT((Income!D$3:D$502="INR")*(Income!A$3:A$502=B27)*(Income!A$3:A$502&lt;&gt;"")*Income!C$3:C$502)</f>
        <v>0</v>
      </c>
      <c r="F27" s="52" t="n">
        <f aca="false">SUMPRODUCT((Expenses!E$3:E$1002="INR")*(Expenses!A$3:A$1002=B27)*(Expenses!A$3:A$1002&lt;&gt;"")*Expenses!D$3:D$1002)</f>
        <v>0</v>
      </c>
      <c r="G27" s="53" t="n">
        <f aca="false">C27+D27</f>
        <v>0</v>
      </c>
      <c r="H27" s="26"/>
    </row>
    <row r="28" customFormat="false" ht="15" hidden="false" customHeight="false" outlineLevel="0" collapsed="false">
      <c r="A28" s="5" t="n">
        <v>5</v>
      </c>
      <c r="B28" s="57" t="n">
        <v>46048</v>
      </c>
      <c r="C28" s="52" t="n">
        <f aca="false">G27</f>
        <v>0</v>
      </c>
      <c r="D28" s="53" t="n">
        <f aca="false">E28-F28</f>
        <v>0</v>
      </c>
      <c r="E28" s="52" t="n">
        <f aca="false">SUMPRODUCT((Income!D$3:D$502="INR")*(Income!A$3:A$502=B28)*(Income!A$3:A$502&lt;&gt;"")*Income!C$3:C$502)</f>
        <v>0</v>
      </c>
      <c r="F28" s="52" t="n">
        <f aca="false">SUMPRODUCT((Expenses!E$3:E$1002="INR")*(Expenses!A$3:A$1002=B28)*(Expenses!A$3:A$1002&lt;&gt;"")*Expenses!D$3:D$1002)</f>
        <v>0</v>
      </c>
      <c r="G28" s="53" t="n">
        <f aca="false">C28+D28</f>
        <v>0</v>
      </c>
      <c r="H28" s="26"/>
    </row>
    <row r="29" customFormat="false" ht="15" hidden="false" customHeight="false" outlineLevel="0" collapsed="false">
      <c r="A29" s="5" t="n">
        <v>5</v>
      </c>
      <c r="B29" s="57" t="n">
        <v>46049</v>
      </c>
      <c r="C29" s="52" t="n">
        <f aca="false">G28</f>
        <v>0</v>
      </c>
      <c r="D29" s="53" t="n">
        <f aca="false">E29-F29</f>
        <v>0</v>
      </c>
      <c r="E29" s="52" t="n">
        <f aca="false">SUMPRODUCT((Income!D$3:D$502="INR")*(Income!A$3:A$502=B29)*(Income!A$3:A$502&lt;&gt;"")*Income!C$3:C$502)</f>
        <v>0</v>
      </c>
      <c r="F29" s="52" t="n">
        <f aca="false">SUMPRODUCT((Expenses!E$3:E$1002="INR")*(Expenses!A$3:A$1002=B29)*(Expenses!A$3:A$1002&lt;&gt;"")*Expenses!D$3:D$1002)</f>
        <v>0</v>
      </c>
      <c r="G29" s="53" t="n">
        <f aca="false">C29+D29</f>
        <v>0</v>
      </c>
      <c r="H29" s="26"/>
    </row>
    <row r="30" customFormat="false" ht="15" hidden="false" customHeight="false" outlineLevel="0" collapsed="false">
      <c r="A30" s="5" t="n">
        <v>5</v>
      </c>
      <c r="B30" s="57" t="n">
        <v>46050</v>
      </c>
      <c r="C30" s="52" t="n">
        <f aca="false">G29</f>
        <v>0</v>
      </c>
      <c r="D30" s="53" t="n">
        <f aca="false">E30-F30</f>
        <v>0</v>
      </c>
      <c r="E30" s="52" t="n">
        <f aca="false">SUMPRODUCT((Income!D$3:D$502="INR")*(Income!A$3:A$502=B30)*(Income!A$3:A$502&lt;&gt;"")*Income!C$3:C$502)</f>
        <v>0</v>
      </c>
      <c r="F30" s="52" t="n">
        <f aca="false">SUMPRODUCT((Expenses!E$3:E$1002="INR")*(Expenses!A$3:A$1002=B30)*(Expenses!A$3:A$1002&lt;&gt;"")*Expenses!D$3:D$1002)</f>
        <v>0</v>
      </c>
      <c r="G30" s="53" t="n">
        <f aca="false">C30+D30</f>
        <v>0</v>
      </c>
      <c r="H30" s="26"/>
    </row>
    <row r="31" customFormat="false" ht="15" hidden="false" customHeight="false" outlineLevel="0" collapsed="false">
      <c r="A31" s="5" t="n">
        <v>5</v>
      </c>
      <c r="B31" s="57" t="n">
        <v>46051</v>
      </c>
      <c r="C31" s="52" t="n">
        <f aca="false">G30</f>
        <v>0</v>
      </c>
      <c r="D31" s="53" t="n">
        <f aca="false">E31-F31</f>
        <v>0</v>
      </c>
      <c r="E31" s="52" t="n">
        <f aca="false">SUMPRODUCT((Income!D$3:D$502="INR")*(Income!A$3:A$502=B31)*(Income!A$3:A$502&lt;&gt;"")*Income!C$3:C$502)</f>
        <v>0</v>
      </c>
      <c r="F31" s="52" t="n">
        <f aca="false">SUMPRODUCT((Expenses!E$3:E$1002="INR")*(Expenses!A$3:A$1002=B31)*(Expenses!A$3:A$1002&lt;&gt;"")*Expenses!D$3:D$1002)</f>
        <v>0</v>
      </c>
      <c r="G31" s="53" t="n">
        <f aca="false">C31+D31</f>
        <v>0</v>
      </c>
      <c r="H31" s="26"/>
    </row>
    <row r="32" customFormat="false" ht="15" hidden="false" customHeight="false" outlineLevel="0" collapsed="false">
      <c r="A32" s="5" t="n">
        <v>5</v>
      </c>
      <c r="B32" s="57" t="n">
        <v>46052</v>
      </c>
      <c r="C32" s="52" t="n">
        <f aca="false">G31</f>
        <v>0</v>
      </c>
      <c r="D32" s="53" t="n">
        <f aca="false">E32-F32</f>
        <v>0</v>
      </c>
      <c r="E32" s="52" t="n">
        <f aca="false">SUMPRODUCT((Income!D$3:D$502="INR")*(Income!A$3:A$502=B32)*(Income!A$3:A$502&lt;&gt;"")*Income!C$3:C$502)</f>
        <v>0</v>
      </c>
      <c r="F32" s="52" t="n">
        <f aca="false">SUMPRODUCT((Expenses!E$3:E$1002="INR")*(Expenses!A$3:A$1002=B32)*(Expenses!A$3:A$1002&lt;&gt;"")*Expenses!D$3:D$1002)</f>
        <v>0</v>
      </c>
      <c r="G32" s="53" t="n">
        <f aca="false">C32+D32</f>
        <v>0</v>
      </c>
      <c r="H32" s="26"/>
    </row>
    <row r="33" customFormat="false" ht="15" hidden="false" customHeight="false" outlineLevel="0" collapsed="false">
      <c r="A33" s="5" t="n">
        <v>5</v>
      </c>
      <c r="B33" s="57" t="n">
        <v>46053</v>
      </c>
      <c r="C33" s="52" t="n">
        <f aca="false">G32</f>
        <v>0</v>
      </c>
      <c r="D33" s="53" t="n">
        <f aca="false">E33-F33</f>
        <v>0</v>
      </c>
      <c r="E33" s="52" t="n">
        <f aca="false">SUMPRODUCT((Income!D$3:D$502="INR")*(Income!A$3:A$502=B33)*(Income!A$3:A$502&lt;&gt;"")*Income!C$3:C$502)</f>
        <v>0</v>
      </c>
      <c r="F33" s="52" t="n">
        <f aca="false">SUMPRODUCT((Expenses!E$3:E$1002="INR")*(Expenses!A$3:A$1002=B33)*(Expenses!A$3:A$1002&lt;&gt;"")*Expenses!D$3:D$1002)</f>
        <v>0</v>
      </c>
      <c r="G33" s="53" t="n">
        <f aca="false">C33+D33</f>
        <v>0</v>
      </c>
      <c r="H33" s="26"/>
    </row>
    <row r="34" customFormat="false" ht="15" hidden="false" customHeight="false" outlineLevel="0" collapsed="false">
      <c r="A34" s="5" t="n">
        <v>5</v>
      </c>
      <c r="B34" s="57" t="n">
        <v>46054</v>
      </c>
      <c r="C34" s="52" t="n">
        <f aca="false">G33</f>
        <v>0</v>
      </c>
      <c r="D34" s="53" t="n">
        <f aca="false">E34-F34</f>
        <v>0</v>
      </c>
      <c r="E34" s="52" t="n">
        <f aca="false">SUMPRODUCT((Income!D$3:D$502="INR")*(Income!A$3:A$502=B34)*(Income!A$3:A$502&lt;&gt;"")*Income!C$3:C$502)</f>
        <v>0</v>
      </c>
      <c r="F34" s="52" t="n">
        <f aca="false">SUMPRODUCT((Expenses!E$3:E$1002="INR")*(Expenses!A$3:A$1002=B34)*(Expenses!A$3:A$1002&lt;&gt;"")*Expenses!D$3:D$1002)</f>
        <v>0</v>
      </c>
      <c r="G34" s="53" t="n">
        <f aca="false">C34+D34</f>
        <v>0</v>
      </c>
      <c r="H34" s="26"/>
    </row>
    <row r="35" customFormat="false" ht="15" hidden="false" customHeight="false" outlineLevel="0" collapsed="false">
      <c r="A35" s="5" t="n">
        <v>6</v>
      </c>
      <c r="B35" s="57" t="n">
        <v>46055</v>
      </c>
      <c r="C35" s="52" t="n">
        <f aca="false">G34</f>
        <v>0</v>
      </c>
      <c r="D35" s="53" t="n">
        <f aca="false">E35-F35</f>
        <v>0</v>
      </c>
      <c r="E35" s="52" t="n">
        <f aca="false">SUMPRODUCT((Income!D$3:D$502="INR")*(Income!A$3:A$502=B35)*(Income!A$3:A$502&lt;&gt;"")*Income!C$3:C$502)</f>
        <v>0</v>
      </c>
      <c r="F35" s="52" t="n">
        <f aca="false">SUMPRODUCT((Expenses!E$3:E$1002="INR")*(Expenses!A$3:A$1002=B35)*(Expenses!A$3:A$1002&lt;&gt;"")*Expenses!D$3:D$1002)</f>
        <v>0</v>
      </c>
      <c r="G35" s="53" t="n">
        <f aca="false">C35+D35</f>
        <v>0</v>
      </c>
      <c r="H35" s="26"/>
    </row>
    <row r="36" customFormat="false" ht="15" hidden="false" customHeight="false" outlineLevel="0" collapsed="false">
      <c r="A36" s="5" t="n">
        <v>6</v>
      </c>
      <c r="B36" s="57" t="n">
        <v>46056</v>
      </c>
      <c r="C36" s="52" t="n">
        <f aca="false">G35</f>
        <v>0</v>
      </c>
      <c r="D36" s="53" t="n">
        <f aca="false">E36-F36</f>
        <v>0</v>
      </c>
      <c r="E36" s="52" t="n">
        <f aca="false">SUMPRODUCT((Income!D$3:D$502="INR")*(Income!A$3:A$502=B36)*(Income!A$3:A$502&lt;&gt;"")*Income!C$3:C$502)</f>
        <v>0</v>
      </c>
      <c r="F36" s="52" t="n">
        <f aca="false">SUMPRODUCT((Expenses!E$3:E$1002="INR")*(Expenses!A$3:A$1002=B36)*(Expenses!A$3:A$1002&lt;&gt;"")*Expenses!D$3:D$1002)</f>
        <v>0</v>
      </c>
      <c r="G36" s="53" t="n">
        <f aca="false">C36+D36</f>
        <v>0</v>
      </c>
      <c r="H36" s="26"/>
    </row>
    <row r="37" customFormat="false" ht="15" hidden="false" customHeight="false" outlineLevel="0" collapsed="false">
      <c r="A37" s="5" t="n">
        <v>6</v>
      </c>
      <c r="B37" s="57" t="n">
        <v>46057</v>
      </c>
      <c r="C37" s="52" t="n">
        <f aca="false">G36</f>
        <v>0</v>
      </c>
      <c r="D37" s="53" t="n">
        <f aca="false">E37-F37</f>
        <v>0</v>
      </c>
      <c r="E37" s="52" t="n">
        <f aca="false">SUMPRODUCT((Income!D$3:D$502="INR")*(Income!A$3:A$502=B37)*(Income!A$3:A$502&lt;&gt;"")*Income!C$3:C$502)</f>
        <v>0</v>
      </c>
      <c r="F37" s="52" t="n">
        <f aca="false">SUMPRODUCT((Expenses!E$3:E$1002="INR")*(Expenses!A$3:A$1002=B37)*(Expenses!A$3:A$1002&lt;&gt;"")*Expenses!D$3:D$1002)</f>
        <v>0</v>
      </c>
      <c r="G37" s="53" t="n">
        <f aca="false">C37+D37</f>
        <v>0</v>
      </c>
      <c r="H37" s="26"/>
    </row>
    <row r="38" customFormat="false" ht="15" hidden="false" customHeight="false" outlineLevel="0" collapsed="false">
      <c r="A38" s="5" t="n">
        <v>6</v>
      </c>
      <c r="B38" s="57" t="n">
        <v>46058</v>
      </c>
      <c r="C38" s="52" t="n">
        <f aca="false">G37</f>
        <v>0</v>
      </c>
      <c r="D38" s="53" t="n">
        <f aca="false">E38-F38</f>
        <v>0</v>
      </c>
      <c r="E38" s="52" t="n">
        <f aca="false">SUMPRODUCT((Income!D$3:D$502="INR")*(Income!A$3:A$502=B38)*(Income!A$3:A$502&lt;&gt;"")*Income!C$3:C$502)</f>
        <v>0</v>
      </c>
      <c r="F38" s="52" t="n">
        <f aca="false">SUMPRODUCT((Expenses!E$3:E$1002="INR")*(Expenses!A$3:A$1002=B38)*(Expenses!A$3:A$1002&lt;&gt;"")*Expenses!D$3:D$1002)</f>
        <v>0</v>
      </c>
      <c r="G38" s="53" t="n">
        <f aca="false">C38+D38</f>
        <v>0</v>
      </c>
      <c r="H38" s="26"/>
    </row>
    <row r="39" customFormat="false" ht="15" hidden="false" customHeight="false" outlineLevel="0" collapsed="false">
      <c r="A39" s="5" t="n">
        <v>6</v>
      </c>
      <c r="B39" s="57" t="n">
        <v>46059</v>
      </c>
      <c r="C39" s="52" t="n">
        <f aca="false">G38</f>
        <v>0</v>
      </c>
      <c r="D39" s="53" t="n">
        <f aca="false">E39-F39</f>
        <v>0</v>
      </c>
      <c r="E39" s="52" t="n">
        <f aca="false">SUMPRODUCT((Income!D$3:D$502="INR")*(Income!A$3:A$502=B39)*(Income!A$3:A$502&lt;&gt;"")*Income!C$3:C$502)</f>
        <v>0</v>
      </c>
      <c r="F39" s="52" t="n">
        <f aca="false">SUMPRODUCT((Expenses!E$3:E$1002="INR")*(Expenses!A$3:A$1002=B39)*(Expenses!A$3:A$1002&lt;&gt;"")*Expenses!D$3:D$1002)</f>
        <v>0</v>
      </c>
      <c r="G39" s="53" t="n">
        <f aca="false">C39+D39</f>
        <v>0</v>
      </c>
      <c r="H39" s="26"/>
    </row>
    <row r="40" customFormat="false" ht="15" hidden="false" customHeight="false" outlineLevel="0" collapsed="false">
      <c r="A40" s="5" t="n">
        <v>6</v>
      </c>
      <c r="B40" s="57" t="n">
        <v>46060</v>
      </c>
      <c r="C40" s="52" t="n">
        <f aca="false">G39</f>
        <v>0</v>
      </c>
      <c r="D40" s="53" t="n">
        <f aca="false">E40-F40</f>
        <v>0</v>
      </c>
      <c r="E40" s="52" t="n">
        <f aca="false">SUMPRODUCT((Income!D$3:D$502="INR")*(Income!A$3:A$502=B40)*(Income!A$3:A$502&lt;&gt;"")*Income!C$3:C$502)</f>
        <v>0</v>
      </c>
      <c r="F40" s="52" t="n">
        <f aca="false">SUMPRODUCT((Expenses!E$3:E$1002="INR")*(Expenses!A$3:A$1002=B40)*(Expenses!A$3:A$1002&lt;&gt;"")*Expenses!D$3:D$1002)</f>
        <v>0</v>
      </c>
      <c r="G40" s="53" t="n">
        <f aca="false">C40+D40</f>
        <v>0</v>
      </c>
      <c r="H40" s="26"/>
    </row>
    <row r="41" customFormat="false" ht="15" hidden="false" customHeight="false" outlineLevel="0" collapsed="false">
      <c r="A41" s="5" t="n">
        <v>6</v>
      </c>
      <c r="B41" s="57" t="n">
        <v>46061</v>
      </c>
      <c r="C41" s="52" t="n">
        <f aca="false">G40</f>
        <v>0</v>
      </c>
      <c r="D41" s="53" t="n">
        <f aca="false">E41-F41</f>
        <v>0</v>
      </c>
      <c r="E41" s="52" t="n">
        <f aca="false">SUMPRODUCT((Income!D$3:D$502="INR")*(Income!A$3:A$502=B41)*(Income!A$3:A$502&lt;&gt;"")*Income!C$3:C$502)</f>
        <v>0</v>
      </c>
      <c r="F41" s="52" t="n">
        <f aca="false">SUMPRODUCT((Expenses!E$3:E$1002="INR")*(Expenses!A$3:A$1002=B41)*(Expenses!A$3:A$1002&lt;&gt;"")*Expenses!D$3:D$1002)</f>
        <v>0</v>
      </c>
      <c r="G41" s="53" t="n">
        <f aca="false">C41+D41</f>
        <v>0</v>
      </c>
      <c r="H41" s="26"/>
    </row>
    <row r="42" customFormat="false" ht="15" hidden="false" customHeight="false" outlineLevel="0" collapsed="false">
      <c r="A42" s="5" t="n">
        <v>7</v>
      </c>
      <c r="B42" s="57" t="n">
        <v>46062</v>
      </c>
      <c r="C42" s="52" t="n">
        <f aca="false">G41</f>
        <v>0</v>
      </c>
      <c r="D42" s="53" t="n">
        <f aca="false">E42-F42</f>
        <v>0</v>
      </c>
      <c r="E42" s="52" t="n">
        <f aca="false">SUMPRODUCT((Income!D$3:D$502="INR")*(Income!A$3:A$502=B42)*(Income!A$3:A$502&lt;&gt;"")*Income!C$3:C$502)</f>
        <v>0</v>
      </c>
      <c r="F42" s="52" t="n">
        <f aca="false">SUMPRODUCT((Expenses!E$3:E$1002="INR")*(Expenses!A$3:A$1002=B42)*(Expenses!A$3:A$1002&lt;&gt;"")*Expenses!D$3:D$1002)</f>
        <v>0</v>
      </c>
      <c r="G42" s="53" t="n">
        <f aca="false">C42+D42</f>
        <v>0</v>
      </c>
      <c r="H42" s="26"/>
    </row>
    <row r="43" customFormat="false" ht="15" hidden="false" customHeight="false" outlineLevel="0" collapsed="false">
      <c r="A43" s="5" t="n">
        <v>7</v>
      </c>
      <c r="B43" s="57" t="n">
        <v>46063</v>
      </c>
      <c r="C43" s="52" t="n">
        <f aca="false">G42</f>
        <v>0</v>
      </c>
      <c r="D43" s="53" t="n">
        <f aca="false">E43-F43</f>
        <v>0</v>
      </c>
      <c r="E43" s="52" t="n">
        <f aca="false">SUMPRODUCT((Income!D$3:D$502="INR")*(Income!A$3:A$502=B43)*(Income!A$3:A$502&lt;&gt;"")*Income!C$3:C$502)</f>
        <v>0</v>
      </c>
      <c r="F43" s="52" t="n">
        <f aca="false">SUMPRODUCT((Expenses!E$3:E$1002="INR")*(Expenses!A$3:A$1002=B43)*(Expenses!A$3:A$1002&lt;&gt;"")*Expenses!D$3:D$1002)</f>
        <v>0</v>
      </c>
      <c r="G43" s="53" t="n">
        <f aca="false">C43+D43</f>
        <v>0</v>
      </c>
      <c r="H43" s="26"/>
    </row>
    <row r="44" customFormat="false" ht="15" hidden="false" customHeight="false" outlineLevel="0" collapsed="false">
      <c r="A44" s="5" t="n">
        <v>7</v>
      </c>
      <c r="B44" s="57" t="n">
        <v>46064</v>
      </c>
      <c r="C44" s="52" t="n">
        <f aca="false">G43</f>
        <v>0</v>
      </c>
      <c r="D44" s="53" t="n">
        <f aca="false">E44-F44</f>
        <v>0</v>
      </c>
      <c r="E44" s="52" t="n">
        <f aca="false">SUMPRODUCT((Income!D$3:D$502="INR")*(Income!A$3:A$502=B44)*(Income!A$3:A$502&lt;&gt;"")*Income!C$3:C$502)</f>
        <v>0</v>
      </c>
      <c r="F44" s="52" t="n">
        <f aca="false">SUMPRODUCT((Expenses!E$3:E$1002="INR")*(Expenses!A$3:A$1002=B44)*(Expenses!A$3:A$1002&lt;&gt;"")*Expenses!D$3:D$1002)</f>
        <v>0</v>
      </c>
      <c r="G44" s="53" t="n">
        <f aca="false">C44+D44</f>
        <v>0</v>
      </c>
      <c r="H44" s="26"/>
    </row>
    <row r="45" customFormat="false" ht="15" hidden="false" customHeight="false" outlineLevel="0" collapsed="false">
      <c r="A45" s="5" t="n">
        <v>7</v>
      </c>
      <c r="B45" s="57" t="n">
        <v>46065</v>
      </c>
      <c r="C45" s="52" t="n">
        <f aca="false">G44</f>
        <v>0</v>
      </c>
      <c r="D45" s="53" t="n">
        <f aca="false">E45-F45</f>
        <v>0</v>
      </c>
      <c r="E45" s="52" t="n">
        <f aca="false">SUMPRODUCT((Income!D$3:D$502="INR")*(Income!A$3:A$502=B45)*(Income!A$3:A$502&lt;&gt;"")*Income!C$3:C$502)</f>
        <v>0</v>
      </c>
      <c r="F45" s="52" t="n">
        <f aca="false">SUMPRODUCT((Expenses!E$3:E$1002="INR")*(Expenses!A$3:A$1002=B45)*(Expenses!A$3:A$1002&lt;&gt;"")*Expenses!D$3:D$1002)</f>
        <v>0</v>
      </c>
      <c r="G45" s="53" t="n">
        <f aca="false">C45+D45</f>
        <v>0</v>
      </c>
      <c r="H45" s="26"/>
    </row>
    <row r="46" customFormat="false" ht="15" hidden="false" customHeight="false" outlineLevel="0" collapsed="false">
      <c r="A46" s="5" t="n">
        <v>7</v>
      </c>
      <c r="B46" s="57" t="n">
        <v>46066</v>
      </c>
      <c r="C46" s="52" t="n">
        <f aca="false">G45</f>
        <v>0</v>
      </c>
      <c r="D46" s="53" t="n">
        <f aca="false">E46-F46</f>
        <v>0</v>
      </c>
      <c r="E46" s="52" t="n">
        <f aca="false">SUMPRODUCT((Income!D$3:D$502="INR")*(Income!A$3:A$502=B46)*(Income!A$3:A$502&lt;&gt;"")*Income!C$3:C$502)</f>
        <v>0</v>
      </c>
      <c r="F46" s="52" t="n">
        <f aca="false">SUMPRODUCT((Expenses!E$3:E$1002="INR")*(Expenses!A$3:A$1002=B46)*(Expenses!A$3:A$1002&lt;&gt;"")*Expenses!D$3:D$1002)</f>
        <v>0</v>
      </c>
      <c r="G46" s="53" t="n">
        <f aca="false">C46+D46</f>
        <v>0</v>
      </c>
      <c r="H46" s="26"/>
    </row>
    <row r="47" customFormat="false" ht="15" hidden="false" customHeight="false" outlineLevel="0" collapsed="false">
      <c r="A47" s="5" t="n">
        <v>7</v>
      </c>
      <c r="B47" s="57" t="n">
        <v>46067</v>
      </c>
      <c r="C47" s="52" t="n">
        <f aca="false">G46</f>
        <v>0</v>
      </c>
      <c r="D47" s="53" t="n">
        <f aca="false">E47-F47</f>
        <v>0</v>
      </c>
      <c r="E47" s="52" t="n">
        <f aca="false">SUMPRODUCT((Income!D$3:D$502="INR")*(Income!A$3:A$502=B47)*(Income!A$3:A$502&lt;&gt;"")*Income!C$3:C$502)</f>
        <v>0</v>
      </c>
      <c r="F47" s="52" t="n">
        <f aca="false">SUMPRODUCT((Expenses!E$3:E$1002="INR")*(Expenses!A$3:A$1002=B47)*(Expenses!A$3:A$1002&lt;&gt;"")*Expenses!D$3:D$1002)</f>
        <v>0</v>
      </c>
      <c r="G47" s="53" t="n">
        <f aca="false">C47+D47</f>
        <v>0</v>
      </c>
      <c r="H47" s="26"/>
    </row>
    <row r="48" customFormat="false" ht="15" hidden="false" customHeight="false" outlineLevel="0" collapsed="false">
      <c r="A48" s="5" t="n">
        <v>7</v>
      </c>
      <c r="B48" s="57" t="n">
        <v>46068</v>
      </c>
      <c r="C48" s="52" t="n">
        <f aca="false">G47</f>
        <v>0</v>
      </c>
      <c r="D48" s="53" t="n">
        <f aca="false">E48-F48</f>
        <v>0</v>
      </c>
      <c r="E48" s="52" t="n">
        <f aca="false">SUMPRODUCT((Income!D$3:D$502="INR")*(Income!A$3:A$502=B48)*(Income!A$3:A$502&lt;&gt;"")*Income!C$3:C$502)</f>
        <v>0</v>
      </c>
      <c r="F48" s="52" t="n">
        <f aca="false">SUMPRODUCT((Expenses!E$3:E$1002="INR")*(Expenses!A$3:A$1002=B48)*(Expenses!A$3:A$1002&lt;&gt;"")*Expenses!D$3:D$1002)</f>
        <v>0</v>
      </c>
      <c r="G48" s="53" t="n">
        <f aca="false">C48+D48</f>
        <v>0</v>
      </c>
      <c r="H48" s="26"/>
    </row>
    <row r="49" customFormat="false" ht="15" hidden="false" customHeight="false" outlineLevel="0" collapsed="false">
      <c r="A49" s="5" t="n">
        <v>8</v>
      </c>
      <c r="B49" s="57" t="n">
        <v>46069</v>
      </c>
      <c r="C49" s="52" t="n">
        <f aca="false">G48</f>
        <v>0</v>
      </c>
      <c r="D49" s="53" t="n">
        <f aca="false">E49-F49</f>
        <v>0</v>
      </c>
      <c r="E49" s="52" t="n">
        <f aca="false">SUMPRODUCT((Income!D$3:D$502="INR")*(Income!A$3:A$502=B49)*(Income!A$3:A$502&lt;&gt;"")*Income!C$3:C$502)</f>
        <v>0</v>
      </c>
      <c r="F49" s="52" t="n">
        <f aca="false">SUMPRODUCT((Expenses!E$3:E$1002="INR")*(Expenses!A$3:A$1002=B49)*(Expenses!A$3:A$1002&lt;&gt;"")*Expenses!D$3:D$1002)</f>
        <v>0</v>
      </c>
      <c r="G49" s="53" t="n">
        <f aca="false">C49+D49</f>
        <v>0</v>
      </c>
      <c r="H49" s="26"/>
    </row>
    <row r="50" customFormat="false" ht="15" hidden="false" customHeight="false" outlineLevel="0" collapsed="false">
      <c r="A50" s="5" t="n">
        <v>8</v>
      </c>
      <c r="B50" s="57" t="n">
        <v>46070</v>
      </c>
      <c r="C50" s="52" t="n">
        <f aca="false">G49</f>
        <v>0</v>
      </c>
      <c r="D50" s="53" t="n">
        <f aca="false">E50-F50</f>
        <v>0</v>
      </c>
      <c r="E50" s="52" t="n">
        <f aca="false">SUMPRODUCT((Income!D$3:D$502="INR")*(Income!A$3:A$502=B50)*(Income!A$3:A$502&lt;&gt;"")*Income!C$3:C$502)</f>
        <v>0</v>
      </c>
      <c r="F50" s="52" t="n">
        <f aca="false">SUMPRODUCT((Expenses!E$3:E$1002="INR")*(Expenses!A$3:A$1002=B50)*(Expenses!A$3:A$1002&lt;&gt;"")*Expenses!D$3:D$1002)</f>
        <v>0</v>
      </c>
      <c r="G50" s="53" t="n">
        <f aca="false">C50+D50</f>
        <v>0</v>
      </c>
      <c r="H50" s="26"/>
    </row>
    <row r="51" customFormat="false" ht="15" hidden="false" customHeight="false" outlineLevel="0" collapsed="false">
      <c r="A51" s="5" t="n">
        <v>8</v>
      </c>
      <c r="B51" s="57" t="n">
        <v>46071</v>
      </c>
      <c r="C51" s="52" t="n">
        <f aca="false">G50</f>
        <v>0</v>
      </c>
      <c r="D51" s="53" t="n">
        <f aca="false">E51-F51</f>
        <v>0</v>
      </c>
      <c r="E51" s="52" t="n">
        <f aca="false">SUMPRODUCT((Income!D$3:D$502="INR")*(Income!A$3:A$502=B51)*(Income!A$3:A$502&lt;&gt;"")*Income!C$3:C$502)</f>
        <v>0</v>
      </c>
      <c r="F51" s="52" t="n">
        <f aca="false">SUMPRODUCT((Expenses!E$3:E$1002="INR")*(Expenses!A$3:A$1002=B51)*(Expenses!A$3:A$1002&lt;&gt;"")*Expenses!D$3:D$1002)</f>
        <v>0</v>
      </c>
      <c r="G51" s="53" t="n">
        <f aca="false">C51+D51</f>
        <v>0</v>
      </c>
      <c r="H51" s="26"/>
    </row>
    <row r="52" customFormat="false" ht="15" hidden="false" customHeight="false" outlineLevel="0" collapsed="false">
      <c r="A52" s="5" t="n">
        <v>8</v>
      </c>
      <c r="B52" s="57" t="n">
        <v>46072</v>
      </c>
      <c r="C52" s="52" t="n">
        <f aca="false">G51</f>
        <v>0</v>
      </c>
      <c r="D52" s="53" t="n">
        <f aca="false">E52-F52</f>
        <v>0</v>
      </c>
      <c r="E52" s="52" t="n">
        <f aca="false">SUMPRODUCT((Income!D$3:D$502="INR")*(Income!A$3:A$502=B52)*(Income!A$3:A$502&lt;&gt;"")*Income!C$3:C$502)</f>
        <v>0</v>
      </c>
      <c r="F52" s="52" t="n">
        <f aca="false">SUMPRODUCT((Expenses!E$3:E$1002="INR")*(Expenses!A$3:A$1002=B52)*(Expenses!A$3:A$1002&lt;&gt;"")*Expenses!D$3:D$1002)</f>
        <v>0</v>
      </c>
      <c r="G52" s="53" t="n">
        <f aca="false">C52+D52</f>
        <v>0</v>
      </c>
      <c r="H52" s="26"/>
    </row>
    <row r="53" customFormat="false" ht="15" hidden="false" customHeight="false" outlineLevel="0" collapsed="false">
      <c r="A53" s="5" t="n">
        <v>8</v>
      </c>
      <c r="B53" s="57" t="n">
        <v>46073</v>
      </c>
      <c r="C53" s="52" t="n">
        <f aca="false">G52</f>
        <v>0</v>
      </c>
      <c r="D53" s="53" t="n">
        <f aca="false">E53-F53</f>
        <v>0</v>
      </c>
      <c r="E53" s="52" t="n">
        <f aca="false">SUMPRODUCT((Income!D$3:D$502="INR")*(Income!A$3:A$502=B53)*(Income!A$3:A$502&lt;&gt;"")*Income!C$3:C$502)</f>
        <v>0</v>
      </c>
      <c r="F53" s="52" t="n">
        <f aca="false">SUMPRODUCT((Expenses!E$3:E$1002="INR")*(Expenses!A$3:A$1002=B53)*(Expenses!A$3:A$1002&lt;&gt;"")*Expenses!D$3:D$1002)</f>
        <v>0</v>
      </c>
      <c r="G53" s="53" t="n">
        <f aca="false">C53+D53</f>
        <v>0</v>
      </c>
      <c r="H53" s="26"/>
    </row>
    <row r="54" customFormat="false" ht="15" hidden="false" customHeight="false" outlineLevel="0" collapsed="false">
      <c r="A54" s="5" t="n">
        <v>8</v>
      </c>
      <c r="B54" s="57" t="n">
        <v>46074</v>
      </c>
      <c r="C54" s="52" t="n">
        <f aca="false">G53</f>
        <v>0</v>
      </c>
      <c r="D54" s="53" t="n">
        <f aca="false">E54-F54</f>
        <v>0</v>
      </c>
      <c r="E54" s="52" t="n">
        <f aca="false">SUMPRODUCT((Income!D$3:D$502="INR")*(Income!A$3:A$502=B54)*(Income!A$3:A$502&lt;&gt;"")*Income!C$3:C$502)</f>
        <v>0</v>
      </c>
      <c r="F54" s="52" t="n">
        <f aca="false">SUMPRODUCT((Expenses!E$3:E$1002="INR")*(Expenses!A$3:A$1002=B54)*(Expenses!A$3:A$1002&lt;&gt;"")*Expenses!D$3:D$1002)</f>
        <v>0</v>
      </c>
      <c r="G54" s="53" t="n">
        <f aca="false">C54+D54</f>
        <v>0</v>
      </c>
      <c r="H54" s="26"/>
    </row>
    <row r="55" customFormat="false" ht="15" hidden="false" customHeight="false" outlineLevel="0" collapsed="false">
      <c r="A55" s="5" t="n">
        <v>8</v>
      </c>
      <c r="B55" s="57" t="n">
        <v>46075</v>
      </c>
      <c r="C55" s="52" t="n">
        <f aca="false">G54</f>
        <v>0</v>
      </c>
      <c r="D55" s="53" t="n">
        <f aca="false">E55-F55</f>
        <v>0</v>
      </c>
      <c r="E55" s="52" t="n">
        <f aca="false">SUMPRODUCT((Income!D$3:D$502="INR")*(Income!A$3:A$502=B55)*(Income!A$3:A$502&lt;&gt;"")*Income!C$3:C$502)</f>
        <v>0</v>
      </c>
      <c r="F55" s="52" t="n">
        <f aca="false">SUMPRODUCT((Expenses!E$3:E$1002="INR")*(Expenses!A$3:A$1002=B55)*(Expenses!A$3:A$1002&lt;&gt;"")*Expenses!D$3:D$1002)</f>
        <v>0</v>
      </c>
      <c r="G55" s="53" t="n">
        <f aca="false">C55+D55</f>
        <v>0</v>
      </c>
      <c r="H55" s="26"/>
    </row>
    <row r="56" customFormat="false" ht="15" hidden="false" customHeight="false" outlineLevel="0" collapsed="false">
      <c r="A56" s="5" t="n">
        <v>9</v>
      </c>
      <c r="B56" s="57" t="n">
        <v>46076</v>
      </c>
      <c r="C56" s="52" t="n">
        <f aca="false">G55</f>
        <v>0</v>
      </c>
      <c r="D56" s="53" t="n">
        <f aca="false">E56-F56</f>
        <v>0</v>
      </c>
      <c r="E56" s="52" t="n">
        <f aca="false">SUMPRODUCT((Income!D$3:D$502="INR")*(Income!A$3:A$502=B56)*(Income!A$3:A$502&lt;&gt;"")*Income!C$3:C$502)</f>
        <v>0</v>
      </c>
      <c r="F56" s="52" t="n">
        <f aca="false">SUMPRODUCT((Expenses!E$3:E$1002="INR")*(Expenses!A$3:A$1002=B56)*(Expenses!A$3:A$1002&lt;&gt;"")*Expenses!D$3:D$1002)</f>
        <v>0</v>
      </c>
      <c r="G56" s="53" t="n">
        <f aca="false">C56+D56</f>
        <v>0</v>
      </c>
      <c r="H56" s="26"/>
    </row>
    <row r="57" customFormat="false" ht="15" hidden="false" customHeight="false" outlineLevel="0" collapsed="false">
      <c r="A57" s="5" t="n">
        <v>9</v>
      </c>
      <c r="B57" s="57" t="n">
        <v>46077</v>
      </c>
      <c r="C57" s="52" t="n">
        <f aca="false">G56</f>
        <v>0</v>
      </c>
      <c r="D57" s="53" t="n">
        <f aca="false">E57-F57</f>
        <v>0</v>
      </c>
      <c r="E57" s="52" t="n">
        <f aca="false">SUMPRODUCT((Income!D$3:D$502="INR")*(Income!A$3:A$502=B57)*(Income!A$3:A$502&lt;&gt;"")*Income!C$3:C$502)</f>
        <v>0</v>
      </c>
      <c r="F57" s="52" t="n">
        <f aca="false">SUMPRODUCT((Expenses!E$3:E$1002="INR")*(Expenses!A$3:A$1002=B57)*(Expenses!A$3:A$1002&lt;&gt;"")*Expenses!D$3:D$1002)</f>
        <v>0</v>
      </c>
      <c r="G57" s="53" t="n">
        <f aca="false">C57+D57</f>
        <v>0</v>
      </c>
      <c r="H57" s="26"/>
    </row>
    <row r="58" customFormat="false" ht="15" hidden="false" customHeight="false" outlineLevel="0" collapsed="false">
      <c r="A58" s="5" t="n">
        <v>9</v>
      </c>
      <c r="B58" s="57" t="n">
        <v>46078</v>
      </c>
      <c r="C58" s="52" t="n">
        <f aca="false">G57</f>
        <v>0</v>
      </c>
      <c r="D58" s="53" t="n">
        <f aca="false">E58-F58</f>
        <v>0</v>
      </c>
      <c r="E58" s="52" t="n">
        <f aca="false">SUMPRODUCT((Income!D$3:D$502="INR")*(Income!A$3:A$502=B58)*(Income!A$3:A$502&lt;&gt;"")*Income!C$3:C$502)</f>
        <v>0</v>
      </c>
      <c r="F58" s="52" t="n">
        <f aca="false">SUMPRODUCT((Expenses!E$3:E$1002="INR")*(Expenses!A$3:A$1002=B58)*(Expenses!A$3:A$1002&lt;&gt;"")*Expenses!D$3:D$1002)</f>
        <v>0</v>
      </c>
      <c r="G58" s="53" t="n">
        <f aca="false">C58+D58</f>
        <v>0</v>
      </c>
      <c r="H58" s="26"/>
    </row>
    <row r="59" customFormat="false" ht="15" hidden="false" customHeight="false" outlineLevel="0" collapsed="false">
      <c r="A59" s="5" t="n">
        <v>9</v>
      </c>
      <c r="B59" s="57" t="n">
        <v>46079</v>
      </c>
      <c r="C59" s="52" t="n">
        <f aca="false">G58</f>
        <v>0</v>
      </c>
      <c r="D59" s="53" t="n">
        <f aca="false">E59-F59</f>
        <v>0</v>
      </c>
      <c r="E59" s="52" t="n">
        <f aca="false">SUMPRODUCT((Income!D$3:D$502="INR")*(Income!A$3:A$502=B59)*(Income!A$3:A$502&lt;&gt;"")*Income!C$3:C$502)</f>
        <v>0</v>
      </c>
      <c r="F59" s="52" t="n">
        <f aca="false">SUMPRODUCT((Expenses!E$3:E$1002="INR")*(Expenses!A$3:A$1002=B59)*(Expenses!A$3:A$1002&lt;&gt;"")*Expenses!D$3:D$1002)</f>
        <v>0</v>
      </c>
      <c r="G59" s="53" t="n">
        <f aca="false">C59+D59</f>
        <v>0</v>
      </c>
      <c r="H59" s="26"/>
    </row>
    <row r="60" customFormat="false" ht="15" hidden="false" customHeight="false" outlineLevel="0" collapsed="false">
      <c r="A60" s="5" t="n">
        <v>9</v>
      </c>
      <c r="B60" s="57" t="n">
        <v>46080</v>
      </c>
      <c r="C60" s="52" t="n">
        <f aca="false">G59</f>
        <v>0</v>
      </c>
      <c r="D60" s="53" t="n">
        <f aca="false">E60-F60</f>
        <v>0</v>
      </c>
      <c r="E60" s="52" t="n">
        <f aca="false">SUMPRODUCT((Income!D$3:D$502="INR")*(Income!A$3:A$502=B60)*(Income!A$3:A$502&lt;&gt;"")*Income!C$3:C$502)</f>
        <v>0</v>
      </c>
      <c r="F60" s="52" t="n">
        <f aca="false">SUMPRODUCT((Expenses!E$3:E$1002="INR")*(Expenses!A$3:A$1002=B60)*(Expenses!A$3:A$1002&lt;&gt;"")*Expenses!D$3:D$1002)</f>
        <v>0</v>
      </c>
      <c r="G60" s="53" t="n">
        <f aca="false">C60+D60</f>
        <v>0</v>
      </c>
      <c r="H60" s="26"/>
    </row>
    <row r="61" customFormat="false" ht="15" hidden="false" customHeight="false" outlineLevel="0" collapsed="false">
      <c r="A61" s="5" t="n">
        <v>9</v>
      </c>
      <c r="B61" s="57" t="n">
        <v>46081</v>
      </c>
      <c r="C61" s="52" t="n">
        <f aca="false">G60</f>
        <v>0</v>
      </c>
      <c r="D61" s="53" t="n">
        <f aca="false">E61-F61</f>
        <v>0</v>
      </c>
      <c r="E61" s="52" t="n">
        <f aca="false">SUMPRODUCT((Income!D$3:D$502="INR")*(Income!A$3:A$502=B61)*(Income!A$3:A$502&lt;&gt;"")*Income!C$3:C$502)</f>
        <v>0</v>
      </c>
      <c r="F61" s="52" t="n">
        <f aca="false">SUMPRODUCT((Expenses!E$3:E$1002="INR")*(Expenses!A$3:A$1002=B61)*(Expenses!A$3:A$1002&lt;&gt;"")*Expenses!D$3:D$1002)</f>
        <v>0</v>
      </c>
      <c r="G61" s="53" t="n">
        <f aca="false">C61+D61</f>
        <v>0</v>
      </c>
      <c r="H61" s="26"/>
    </row>
    <row r="62" customFormat="false" ht="15" hidden="false" customHeight="false" outlineLevel="0" collapsed="false">
      <c r="A62" s="5" t="n">
        <v>9</v>
      </c>
      <c r="B62" s="57" t="n">
        <v>46082</v>
      </c>
      <c r="C62" s="52" t="n">
        <f aca="false">G61</f>
        <v>0</v>
      </c>
      <c r="D62" s="53" t="n">
        <f aca="false">E62-F62</f>
        <v>0</v>
      </c>
      <c r="E62" s="52" t="n">
        <f aca="false">SUMPRODUCT((Income!D$3:D$502="INR")*(Income!A$3:A$502=B62)*(Income!A$3:A$502&lt;&gt;"")*Income!C$3:C$502)</f>
        <v>0</v>
      </c>
      <c r="F62" s="52" t="n">
        <f aca="false">SUMPRODUCT((Expenses!E$3:E$1002="INR")*(Expenses!A$3:A$1002=B62)*(Expenses!A$3:A$1002&lt;&gt;"")*Expenses!D$3:D$1002)</f>
        <v>0</v>
      </c>
      <c r="G62" s="53" t="n">
        <f aca="false">C62+D62</f>
        <v>0</v>
      </c>
      <c r="H62" s="26"/>
    </row>
    <row r="63" customFormat="false" ht="15" hidden="false" customHeight="false" outlineLevel="0" collapsed="false">
      <c r="A63" s="5" t="n">
        <v>10</v>
      </c>
      <c r="B63" s="57" t="n">
        <v>46083</v>
      </c>
      <c r="C63" s="52" t="n">
        <f aca="false">G62</f>
        <v>0</v>
      </c>
      <c r="D63" s="53" t="n">
        <f aca="false">E63-F63</f>
        <v>0</v>
      </c>
      <c r="E63" s="52" t="n">
        <f aca="false">SUMPRODUCT((Income!D$3:D$502="INR")*(Income!A$3:A$502=B63)*(Income!A$3:A$502&lt;&gt;"")*Income!C$3:C$502)</f>
        <v>0</v>
      </c>
      <c r="F63" s="52" t="n">
        <f aca="false">SUMPRODUCT((Expenses!E$3:E$1002="INR")*(Expenses!A$3:A$1002=B63)*(Expenses!A$3:A$1002&lt;&gt;"")*Expenses!D$3:D$1002)</f>
        <v>0</v>
      </c>
      <c r="G63" s="53" t="n">
        <f aca="false">C63+D63</f>
        <v>0</v>
      </c>
      <c r="H63" s="26"/>
    </row>
    <row r="64" customFormat="false" ht="15" hidden="false" customHeight="false" outlineLevel="0" collapsed="false">
      <c r="A64" s="5" t="n">
        <v>10</v>
      </c>
      <c r="B64" s="57" t="n">
        <v>46084</v>
      </c>
      <c r="C64" s="52" t="n">
        <f aca="false">G63</f>
        <v>0</v>
      </c>
      <c r="D64" s="53" t="n">
        <f aca="false">E64-F64</f>
        <v>0</v>
      </c>
      <c r="E64" s="52" t="n">
        <f aca="false">SUMPRODUCT((Income!D$3:D$502="INR")*(Income!A$3:A$502=B64)*(Income!A$3:A$502&lt;&gt;"")*Income!C$3:C$502)</f>
        <v>0</v>
      </c>
      <c r="F64" s="52" t="n">
        <f aca="false">SUMPRODUCT((Expenses!E$3:E$1002="INR")*(Expenses!A$3:A$1002=B64)*(Expenses!A$3:A$1002&lt;&gt;"")*Expenses!D$3:D$1002)</f>
        <v>0</v>
      </c>
      <c r="G64" s="53" t="n">
        <f aca="false">C64+D64</f>
        <v>0</v>
      </c>
      <c r="H64" s="26"/>
    </row>
    <row r="65" customFormat="false" ht="15" hidden="false" customHeight="false" outlineLevel="0" collapsed="false">
      <c r="A65" s="5" t="n">
        <v>10</v>
      </c>
      <c r="B65" s="57" t="n">
        <v>46085</v>
      </c>
      <c r="C65" s="52" t="n">
        <f aca="false">G64</f>
        <v>0</v>
      </c>
      <c r="D65" s="53" t="n">
        <f aca="false">E65-F65</f>
        <v>0</v>
      </c>
      <c r="E65" s="52" t="n">
        <f aca="false">SUMPRODUCT((Income!D$3:D$502="INR")*(Income!A$3:A$502=B65)*(Income!A$3:A$502&lt;&gt;"")*Income!C$3:C$502)</f>
        <v>0</v>
      </c>
      <c r="F65" s="52" t="n">
        <f aca="false">SUMPRODUCT((Expenses!E$3:E$1002="INR")*(Expenses!A$3:A$1002=B65)*(Expenses!A$3:A$1002&lt;&gt;"")*Expenses!D$3:D$1002)</f>
        <v>0</v>
      </c>
      <c r="G65" s="53" t="n">
        <f aca="false">C65+D65</f>
        <v>0</v>
      </c>
      <c r="H65" s="26"/>
    </row>
    <row r="66" customFormat="false" ht="15" hidden="false" customHeight="false" outlineLevel="0" collapsed="false">
      <c r="A66" s="5" t="n">
        <v>10</v>
      </c>
      <c r="B66" s="57" t="n">
        <v>46086</v>
      </c>
      <c r="C66" s="52" t="n">
        <f aca="false">G65</f>
        <v>0</v>
      </c>
      <c r="D66" s="53" t="n">
        <f aca="false">E66-F66</f>
        <v>0</v>
      </c>
      <c r="E66" s="52" t="n">
        <f aca="false">SUMPRODUCT((Income!D$3:D$502="INR")*(Income!A$3:A$502=B66)*(Income!A$3:A$502&lt;&gt;"")*Income!C$3:C$502)</f>
        <v>0</v>
      </c>
      <c r="F66" s="52" t="n">
        <f aca="false">SUMPRODUCT((Expenses!E$3:E$1002="INR")*(Expenses!A$3:A$1002=B66)*(Expenses!A$3:A$1002&lt;&gt;"")*Expenses!D$3:D$1002)</f>
        <v>0</v>
      </c>
      <c r="G66" s="53" t="n">
        <f aca="false">C66+D66</f>
        <v>0</v>
      </c>
      <c r="H66" s="26"/>
    </row>
    <row r="67" customFormat="false" ht="15" hidden="false" customHeight="false" outlineLevel="0" collapsed="false">
      <c r="A67" s="5" t="n">
        <v>10</v>
      </c>
      <c r="B67" s="57" t="n">
        <v>46087</v>
      </c>
      <c r="C67" s="52" t="n">
        <f aca="false">G66</f>
        <v>0</v>
      </c>
      <c r="D67" s="53" t="n">
        <f aca="false">E67-F67</f>
        <v>0</v>
      </c>
      <c r="E67" s="52" t="n">
        <f aca="false">SUMPRODUCT((Income!D$3:D$502="INR")*(Income!A$3:A$502=B67)*(Income!A$3:A$502&lt;&gt;"")*Income!C$3:C$502)</f>
        <v>0</v>
      </c>
      <c r="F67" s="52" t="n">
        <f aca="false">SUMPRODUCT((Expenses!E$3:E$1002="INR")*(Expenses!A$3:A$1002=B67)*(Expenses!A$3:A$1002&lt;&gt;"")*Expenses!D$3:D$1002)</f>
        <v>0</v>
      </c>
      <c r="G67" s="53" t="n">
        <f aca="false">C67+D67</f>
        <v>0</v>
      </c>
      <c r="H67" s="26"/>
    </row>
    <row r="68" customFormat="false" ht="15" hidden="false" customHeight="false" outlineLevel="0" collapsed="false">
      <c r="A68" s="5" t="n">
        <v>10</v>
      </c>
      <c r="B68" s="57" t="n">
        <v>46088</v>
      </c>
      <c r="C68" s="52" t="n">
        <f aca="false">G67</f>
        <v>0</v>
      </c>
      <c r="D68" s="53" t="n">
        <f aca="false">E68-F68</f>
        <v>0</v>
      </c>
      <c r="E68" s="52" t="n">
        <f aca="false">SUMPRODUCT((Income!D$3:D$502="INR")*(Income!A$3:A$502=B68)*(Income!A$3:A$502&lt;&gt;"")*Income!C$3:C$502)</f>
        <v>0</v>
      </c>
      <c r="F68" s="52" t="n">
        <f aca="false">SUMPRODUCT((Expenses!E$3:E$1002="INR")*(Expenses!A$3:A$1002=B68)*(Expenses!A$3:A$1002&lt;&gt;"")*Expenses!D$3:D$1002)</f>
        <v>0</v>
      </c>
      <c r="G68" s="53" t="n">
        <f aca="false">C68+D68</f>
        <v>0</v>
      </c>
      <c r="H68" s="26"/>
    </row>
    <row r="69" customFormat="false" ht="15" hidden="false" customHeight="false" outlineLevel="0" collapsed="false">
      <c r="A69" s="5" t="n">
        <v>10</v>
      </c>
      <c r="B69" s="57" t="n">
        <v>46089</v>
      </c>
      <c r="C69" s="52" t="n">
        <f aca="false">G68</f>
        <v>0</v>
      </c>
      <c r="D69" s="53" t="n">
        <f aca="false">E69-F69</f>
        <v>0</v>
      </c>
      <c r="E69" s="52" t="n">
        <f aca="false">SUMPRODUCT((Income!D$3:D$502="INR")*(Income!A$3:A$502=B69)*(Income!A$3:A$502&lt;&gt;"")*Income!C$3:C$502)</f>
        <v>0</v>
      </c>
      <c r="F69" s="52" t="n">
        <f aca="false">SUMPRODUCT((Expenses!E$3:E$1002="INR")*(Expenses!A$3:A$1002=B69)*(Expenses!A$3:A$1002&lt;&gt;"")*Expenses!D$3:D$1002)</f>
        <v>0</v>
      </c>
      <c r="G69" s="53" t="n">
        <f aca="false">C69+D69</f>
        <v>0</v>
      </c>
      <c r="H69" s="26"/>
    </row>
    <row r="70" customFormat="false" ht="15" hidden="false" customHeight="false" outlineLevel="0" collapsed="false">
      <c r="A70" s="5" t="n">
        <v>11</v>
      </c>
      <c r="B70" s="57" t="n">
        <v>46090</v>
      </c>
      <c r="C70" s="52" t="n">
        <f aca="false">G69</f>
        <v>0</v>
      </c>
      <c r="D70" s="53" t="n">
        <f aca="false">E70-F70</f>
        <v>0</v>
      </c>
      <c r="E70" s="52" t="n">
        <f aca="false">SUMPRODUCT((Income!D$3:D$502="INR")*(Income!A$3:A$502=B70)*(Income!A$3:A$502&lt;&gt;"")*Income!C$3:C$502)</f>
        <v>0</v>
      </c>
      <c r="F70" s="52" t="n">
        <f aca="false">SUMPRODUCT((Expenses!E$3:E$1002="INR")*(Expenses!A$3:A$1002=B70)*(Expenses!A$3:A$1002&lt;&gt;"")*Expenses!D$3:D$1002)</f>
        <v>0</v>
      </c>
      <c r="G70" s="53" t="n">
        <f aca="false">C70+D70</f>
        <v>0</v>
      </c>
      <c r="H70" s="26"/>
    </row>
    <row r="71" customFormat="false" ht="15" hidden="false" customHeight="false" outlineLevel="0" collapsed="false">
      <c r="A71" s="5" t="n">
        <v>11</v>
      </c>
      <c r="B71" s="57" t="n">
        <v>46091</v>
      </c>
      <c r="C71" s="52" t="n">
        <f aca="false">G70</f>
        <v>0</v>
      </c>
      <c r="D71" s="53" t="n">
        <f aca="false">E71-F71</f>
        <v>0</v>
      </c>
      <c r="E71" s="52" t="n">
        <f aca="false">SUMPRODUCT((Income!D$3:D$502="INR")*(Income!A$3:A$502=B71)*(Income!A$3:A$502&lt;&gt;"")*Income!C$3:C$502)</f>
        <v>0</v>
      </c>
      <c r="F71" s="52" t="n">
        <f aca="false">SUMPRODUCT((Expenses!E$3:E$1002="INR")*(Expenses!A$3:A$1002=B71)*(Expenses!A$3:A$1002&lt;&gt;"")*Expenses!D$3:D$1002)</f>
        <v>0</v>
      </c>
      <c r="G71" s="53" t="n">
        <f aca="false">C71+D71</f>
        <v>0</v>
      </c>
      <c r="H71" s="26"/>
    </row>
    <row r="72" customFormat="false" ht="15" hidden="false" customHeight="false" outlineLevel="0" collapsed="false">
      <c r="A72" s="5" t="n">
        <v>11</v>
      </c>
      <c r="B72" s="57" t="n">
        <v>46092</v>
      </c>
      <c r="C72" s="52" t="n">
        <f aca="false">G71</f>
        <v>0</v>
      </c>
      <c r="D72" s="53" t="n">
        <f aca="false">E72-F72</f>
        <v>0</v>
      </c>
      <c r="E72" s="52" t="n">
        <f aca="false">SUMPRODUCT((Income!D$3:D$502="INR")*(Income!A$3:A$502=B72)*(Income!A$3:A$502&lt;&gt;"")*Income!C$3:C$502)</f>
        <v>0</v>
      </c>
      <c r="F72" s="52" t="n">
        <f aca="false">SUMPRODUCT((Expenses!E$3:E$1002="INR")*(Expenses!A$3:A$1002=B72)*(Expenses!A$3:A$1002&lt;&gt;"")*Expenses!D$3:D$1002)</f>
        <v>0</v>
      </c>
      <c r="G72" s="53" t="n">
        <f aca="false">C72+D72</f>
        <v>0</v>
      </c>
      <c r="H72" s="26"/>
    </row>
    <row r="73" customFormat="false" ht="15" hidden="false" customHeight="false" outlineLevel="0" collapsed="false">
      <c r="A73" s="5" t="n">
        <v>11</v>
      </c>
      <c r="B73" s="57" t="n">
        <v>46093</v>
      </c>
      <c r="C73" s="52" t="n">
        <f aca="false">G72</f>
        <v>0</v>
      </c>
      <c r="D73" s="53" t="n">
        <f aca="false">E73-F73</f>
        <v>0</v>
      </c>
      <c r="E73" s="52" t="n">
        <f aca="false">SUMPRODUCT((Income!D$3:D$502="INR")*(Income!A$3:A$502=B73)*(Income!A$3:A$502&lt;&gt;"")*Income!C$3:C$502)</f>
        <v>0</v>
      </c>
      <c r="F73" s="52" t="n">
        <f aca="false">SUMPRODUCT((Expenses!E$3:E$1002="INR")*(Expenses!A$3:A$1002=B73)*(Expenses!A$3:A$1002&lt;&gt;"")*Expenses!D$3:D$1002)</f>
        <v>0</v>
      </c>
      <c r="G73" s="53" t="n">
        <f aca="false">C73+D73</f>
        <v>0</v>
      </c>
      <c r="H73" s="26"/>
    </row>
    <row r="74" customFormat="false" ht="15" hidden="false" customHeight="false" outlineLevel="0" collapsed="false">
      <c r="A74" s="5" t="n">
        <v>11</v>
      </c>
      <c r="B74" s="57" t="n">
        <v>46094</v>
      </c>
      <c r="C74" s="52" t="n">
        <f aca="false">G73</f>
        <v>0</v>
      </c>
      <c r="D74" s="53" t="n">
        <f aca="false">E74-F74</f>
        <v>0</v>
      </c>
      <c r="E74" s="52" t="n">
        <f aca="false">SUMPRODUCT((Income!D$3:D$502="INR")*(Income!A$3:A$502=B74)*(Income!A$3:A$502&lt;&gt;"")*Income!C$3:C$502)</f>
        <v>0</v>
      </c>
      <c r="F74" s="52" t="n">
        <f aca="false">SUMPRODUCT((Expenses!E$3:E$1002="INR")*(Expenses!A$3:A$1002=B74)*(Expenses!A$3:A$1002&lt;&gt;"")*Expenses!D$3:D$1002)</f>
        <v>0</v>
      </c>
      <c r="G74" s="53" t="n">
        <f aca="false">C74+D74</f>
        <v>0</v>
      </c>
      <c r="H74" s="26"/>
    </row>
    <row r="75" customFormat="false" ht="15" hidden="false" customHeight="false" outlineLevel="0" collapsed="false">
      <c r="A75" s="5" t="n">
        <v>11</v>
      </c>
      <c r="B75" s="57" t="n">
        <v>46095</v>
      </c>
      <c r="C75" s="52" t="n">
        <f aca="false">G74</f>
        <v>0</v>
      </c>
      <c r="D75" s="53" t="n">
        <f aca="false">E75-F75</f>
        <v>0</v>
      </c>
      <c r="E75" s="52" t="n">
        <f aca="false">SUMPRODUCT((Income!D$3:D$502="INR")*(Income!A$3:A$502=B75)*(Income!A$3:A$502&lt;&gt;"")*Income!C$3:C$502)</f>
        <v>0</v>
      </c>
      <c r="F75" s="52" t="n">
        <f aca="false">SUMPRODUCT((Expenses!E$3:E$1002="INR")*(Expenses!A$3:A$1002=B75)*(Expenses!A$3:A$1002&lt;&gt;"")*Expenses!D$3:D$1002)</f>
        <v>0</v>
      </c>
      <c r="G75" s="53" t="n">
        <f aca="false">C75+D75</f>
        <v>0</v>
      </c>
      <c r="H75" s="26"/>
    </row>
    <row r="76" customFormat="false" ht="15" hidden="false" customHeight="false" outlineLevel="0" collapsed="false">
      <c r="A76" s="5" t="n">
        <v>11</v>
      </c>
      <c r="B76" s="57" t="n">
        <v>46096</v>
      </c>
      <c r="C76" s="52" t="n">
        <f aca="false">G75</f>
        <v>0</v>
      </c>
      <c r="D76" s="53" t="n">
        <f aca="false">E76-F76</f>
        <v>0</v>
      </c>
      <c r="E76" s="52" t="n">
        <f aca="false">SUMPRODUCT((Income!D$3:D$502="INR")*(Income!A$3:A$502=B76)*(Income!A$3:A$502&lt;&gt;"")*Income!C$3:C$502)</f>
        <v>0</v>
      </c>
      <c r="F76" s="52" t="n">
        <f aca="false">SUMPRODUCT((Expenses!E$3:E$1002="INR")*(Expenses!A$3:A$1002=B76)*(Expenses!A$3:A$1002&lt;&gt;"")*Expenses!D$3:D$1002)</f>
        <v>0</v>
      </c>
      <c r="G76" s="53" t="n">
        <f aca="false">C76+D76</f>
        <v>0</v>
      </c>
      <c r="H76" s="26"/>
    </row>
    <row r="77" customFormat="false" ht="15" hidden="false" customHeight="false" outlineLevel="0" collapsed="false">
      <c r="A77" s="5" t="n">
        <v>12</v>
      </c>
      <c r="B77" s="57" t="n">
        <v>46097</v>
      </c>
      <c r="C77" s="52" t="n">
        <f aca="false">G76</f>
        <v>0</v>
      </c>
      <c r="D77" s="53" t="n">
        <f aca="false">E77-F77</f>
        <v>0</v>
      </c>
      <c r="E77" s="52" t="n">
        <f aca="false">SUMPRODUCT((Income!D$3:D$502="INR")*(Income!A$3:A$502=B77)*(Income!A$3:A$502&lt;&gt;"")*Income!C$3:C$502)</f>
        <v>0</v>
      </c>
      <c r="F77" s="52" t="n">
        <f aca="false">SUMPRODUCT((Expenses!E$3:E$1002="INR")*(Expenses!A$3:A$1002=B77)*(Expenses!A$3:A$1002&lt;&gt;"")*Expenses!D$3:D$1002)</f>
        <v>0</v>
      </c>
      <c r="G77" s="53" t="n">
        <f aca="false">C77+D77</f>
        <v>0</v>
      </c>
      <c r="H77" s="26"/>
    </row>
    <row r="78" customFormat="false" ht="15" hidden="false" customHeight="false" outlineLevel="0" collapsed="false">
      <c r="A78" s="5" t="n">
        <v>12</v>
      </c>
      <c r="B78" s="57" t="n">
        <v>46098</v>
      </c>
      <c r="C78" s="52" t="n">
        <f aca="false">G77</f>
        <v>0</v>
      </c>
      <c r="D78" s="53" t="n">
        <f aca="false">E78-F78</f>
        <v>0</v>
      </c>
      <c r="E78" s="52" t="n">
        <f aca="false">SUMPRODUCT((Income!D$3:D$502="INR")*(Income!A$3:A$502=B78)*(Income!A$3:A$502&lt;&gt;"")*Income!C$3:C$502)</f>
        <v>0</v>
      </c>
      <c r="F78" s="52" t="n">
        <f aca="false">SUMPRODUCT((Expenses!E$3:E$1002="INR")*(Expenses!A$3:A$1002=B78)*(Expenses!A$3:A$1002&lt;&gt;"")*Expenses!D$3:D$1002)</f>
        <v>0</v>
      </c>
      <c r="G78" s="53" t="n">
        <f aca="false">C78+D78</f>
        <v>0</v>
      </c>
      <c r="H78" s="26"/>
    </row>
    <row r="79" customFormat="false" ht="15" hidden="false" customHeight="false" outlineLevel="0" collapsed="false">
      <c r="A79" s="5" t="n">
        <v>12</v>
      </c>
      <c r="B79" s="57" t="n">
        <v>46099</v>
      </c>
      <c r="C79" s="52" t="n">
        <f aca="false">G78</f>
        <v>0</v>
      </c>
      <c r="D79" s="53" t="n">
        <f aca="false">E79-F79</f>
        <v>0</v>
      </c>
      <c r="E79" s="52" t="n">
        <f aca="false">SUMPRODUCT((Income!D$3:D$502="INR")*(Income!A$3:A$502=B79)*(Income!A$3:A$502&lt;&gt;"")*Income!C$3:C$502)</f>
        <v>0</v>
      </c>
      <c r="F79" s="52" t="n">
        <f aca="false">SUMPRODUCT((Expenses!E$3:E$1002="INR")*(Expenses!A$3:A$1002=B79)*(Expenses!A$3:A$1002&lt;&gt;"")*Expenses!D$3:D$1002)</f>
        <v>0</v>
      </c>
      <c r="G79" s="53" t="n">
        <f aca="false">C79+D79</f>
        <v>0</v>
      </c>
      <c r="H79" s="26"/>
    </row>
    <row r="80" customFormat="false" ht="15" hidden="false" customHeight="false" outlineLevel="0" collapsed="false">
      <c r="A80" s="5" t="n">
        <v>12</v>
      </c>
      <c r="B80" s="57" t="n">
        <v>46100</v>
      </c>
      <c r="C80" s="52" t="n">
        <f aca="false">G79</f>
        <v>0</v>
      </c>
      <c r="D80" s="53" t="n">
        <f aca="false">E80-F80</f>
        <v>0</v>
      </c>
      <c r="E80" s="52" t="n">
        <f aca="false">SUMPRODUCT((Income!D$3:D$502="INR")*(Income!A$3:A$502=B80)*(Income!A$3:A$502&lt;&gt;"")*Income!C$3:C$502)</f>
        <v>0</v>
      </c>
      <c r="F80" s="52" t="n">
        <f aca="false">SUMPRODUCT((Expenses!E$3:E$1002="INR")*(Expenses!A$3:A$1002=B80)*(Expenses!A$3:A$1002&lt;&gt;"")*Expenses!D$3:D$1002)</f>
        <v>0</v>
      </c>
      <c r="G80" s="53" t="n">
        <f aca="false">C80+D80</f>
        <v>0</v>
      </c>
      <c r="H80" s="26"/>
    </row>
    <row r="81" customFormat="false" ht="15" hidden="false" customHeight="false" outlineLevel="0" collapsed="false">
      <c r="A81" s="5" t="n">
        <v>12</v>
      </c>
      <c r="B81" s="57" t="n">
        <v>46101</v>
      </c>
      <c r="C81" s="52" t="n">
        <f aca="false">G80</f>
        <v>0</v>
      </c>
      <c r="D81" s="53" t="n">
        <f aca="false">E81-F81</f>
        <v>0</v>
      </c>
      <c r="E81" s="52" t="n">
        <f aca="false">SUMPRODUCT((Income!D$3:D$502="INR")*(Income!A$3:A$502=B81)*(Income!A$3:A$502&lt;&gt;"")*Income!C$3:C$502)</f>
        <v>0</v>
      </c>
      <c r="F81" s="52" t="n">
        <f aca="false">SUMPRODUCT((Expenses!E$3:E$1002="INR")*(Expenses!A$3:A$1002=B81)*(Expenses!A$3:A$1002&lt;&gt;"")*Expenses!D$3:D$1002)</f>
        <v>0</v>
      </c>
      <c r="G81" s="53" t="n">
        <f aca="false">C81+D81</f>
        <v>0</v>
      </c>
      <c r="H81" s="26"/>
    </row>
    <row r="82" customFormat="false" ht="15" hidden="false" customHeight="false" outlineLevel="0" collapsed="false">
      <c r="A82" s="5" t="n">
        <v>12</v>
      </c>
      <c r="B82" s="57" t="n">
        <v>46102</v>
      </c>
      <c r="C82" s="52" t="n">
        <f aca="false">G81</f>
        <v>0</v>
      </c>
      <c r="D82" s="53" t="n">
        <f aca="false">E82-F82</f>
        <v>0</v>
      </c>
      <c r="E82" s="52" t="n">
        <f aca="false">SUMPRODUCT((Income!D$3:D$502="INR")*(Income!A$3:A$502=B82)*(Income!A$3:A$502&lt;&gt;"")*Income!C$3:C$502)</f>
        <v>0</v>
      </c>
      <c r="F82" s="52" t="n">
        <f aca="false">SUMPRODUCT((Expenses!E$3:E$1002="INR")*(Expenses!A$3:A$1002=B82)*(Expenses!A$3:A$1002&lt;&gt;"")*Expenses!D$3:D$1002)</f>
        <v>0</v>
      </c>
      <c r="G82" s="53" t="n">
        <f aca="false">C82+D82</f>
        <v>0</v>
      </c>
      <c r="H82" s="26"/>
    </row>
    <row r="83" customFormat="false" ht="15" hidden="false" customHeight="false" outlineLevel="0" collapsed="false">
      <c r="A83" s="5" t="n">
        <v>12</v>
      </c>
      <c r="B83" s="57" t="n">
        <v>46103</v>
      </c>
      <c r="C83" s="52" t="n">
        <f aca="false">G82</f>
        <v>0</v>
      </c>
      <c r="D83" s="53" t="n">
        <f aca="false">E83-F83</f>
        <v>0</v>
      </c>
      <c r="E83" s="52" t="n">
        <f aca="false">SUMPRODUCT((Income!D$3:D$502="INR")*(Income!A$3:A$502=B83)*(Income!A$3:A$502&lt;&gt;"")*Income!C$3:C$502)</f>
        <v>0</v>
      </c>
      <c r="F83" s="52" t="n">
        <f aca="false">SUMPRODUCT((Expenses!E$3:E$1002="INR")*(Expenses!A$3:A$1002=B83)*(Expenses!A$3:A$1002&lt;&gt;"")*Expenses!D$3:D$1002)</f>
        <v>0</v>
      </c>
      <c r="G83" s="53" t="n">
        <f aca="false">C83+D83</f>
        <v>0</v>
      </c>
      <c r="H83" s="26"/>
    </row>
    <row r="84" customFormat="false" ht="15" hidden="false" customHeight="false" outlineLevel="0" collapsed="false">
      <c r="A84" s="5" t="n">
        <v>13</v>
      </c>
      <c r="B84" s="57" t="n">
        <v>46104</v>
      </c>
      <c r="C84" s="52" t="n">
        <f aca="false">G83</f>
        <v>0</v>
      </c>
      <c r="D84" s="53" t="n">
        <f aca="false">E84-F84</f>
        <v>0</v>
      </c>
      <c r="E84" s="52" t="n">
        <f aca="false">SUMPRODUCT((Income!D$3:D$502="INR")*(Income!A$3:A$502=B84)*(Income!A$3:A$502&lt;&gt;"")*Income!C$3:C$502)</f>
        <v>0</v>
      </c>
      <c r="F84" s="52" t="n">
        <f aca="false">SUMPRODUCT((Expenses!E$3:E$1002="INR")*(Expenses!A$3:A$1002=B84)*(Expenses!A$3:A$1002&lt;&gt;"")*Expenses!D$3:D$1002)</f>
        <v>0</v>
      </c>
      <c r="G84" s="53" t="n">
        <f aca="false">C84+D84</f>
        <v>0</v>
      </c>
      <c r="H84" s="26"/>
    </row>
    <row r="85" customFormat="false" ht="15" hidden="false" customHeight="false" outlineLevel="0" collapsed="false">
      <c r="A85" s="5" t="n">
        <v>13</v>
      </c>
      <c r="B85" s="57" t="n">
        <v>46105</v>
      </c>
      <c r="C85" s="52" t="n">
        <f aca="false">G84</f>
        <v>0</v>
      </c>
      <c r="D85" s="53" t="n">
        <f aca="false">E85-F85</f>
        <v>0</v>
      </c>
      <c r="E85" s="52" t="n">
        <f aca="false">SUMPRODUCT((Income!D$3:D$502="INR")*(Income!A$3:A$502=B85)*(Income!A$3:A$502&lt;&gt;"")*Income!C$3:C$502)</f>
        <v>0</v>
      </c>
      <c r="F85" s="52" t="n">
        <f aca="false">SUMPRODUCT((Expenses!E$3:E$1002="INR")*(Expenses!A$3:A$1002=B85)*(Expenses!A$3:A$1002&lt;&gt;"")*Expenses!D$3:D$1002)</f>
        <v>0</v>
      </c>
      <c r="G85" s="53" t="n">
        <f aca="false">C85+D85</f>
        <v>0</v>
      </c>
      <c r="H85" s="26"/>
    </row>
    <row r="86" customFormat="false" ht="15" hidden="false" customHeight="false" outlineLevel="0" collapsed="false">
      <c r="A86" s="5" t="n">
        <v>13</v>
      </c>
      <c r="B86" s="57" t="n">
        <v>46106</v>
      </c>
      <c r="C86" s="52" t="n">
        <f aca="false">G85</f>
        <v>0</v>
      </c>
      <c r="D86" s="53" t="n">
        <f aca="false">E86-F86</f>
        <v>0</v>
      </c>
      <c r="E86" s="52" t="n">
        <f aca="false">SUMPRODUCT((Income!D$3:D$502="INR")*(Income!A$3:A$502=B86)*(Income!A$3:A$502&lt;&gt;"")*Income!C$3:C$502)</f>
        <v>0</v>
      </c>
      <c r="F86" s="52" t="n">
        <f aca="false">SUMPRODUCT((Expenses!E$3:E$1002="INR")*(Expenses!A$3:A$1002=B86)*(Expenses!A$3:A$1002&lt;&gt;"")*Expenses!D$3:D$1002)</f>
        <v>0</v>
      </c>
      <c r="G86" s="53" t="n">
        <f aca="false">C86+D86</f>
        <v>0</v>
      </c>
      <c r="H86" s="26"/>
    </row>
    <row r="87" customFormat="false" ht="15" hidden="false" customHeight="false" outlineLevel="0" collapsed="false">
      <c r="A87" s="5" t="n">
        <v>13</v>
      </c>
      <c r="B87" s="57" t="n">
        <v>46107</v>
      </c>
      <c r="C87" s="52" t="n">
        <f aca="false">G86</f>
        <v>0</v>
      </c>
      <c r="D87" s="53" t="n">
        <f aca="false">E87-F87</f>
        <v>0</v>
      </c>
      <c r="E87" s="52" t="n">
        <f aca="false">SUMPRODUCT((Income!D$3:D$502="INR")*(Income!A$3:A$502=B87)*(Income!A$3:A$502&lt;&gt;"")*Income!C$3:C$502)</f>
        <v>0</v>
      </c>
      <c r="F87" s="52" t="n">
        <f aca="false">SUMPRODUCT((Expenses!E$3:E$1002="INR")*(Expenses!A$3:A$1002=B87)*(Expenses!A$3:A$1002&lt;&gt;"")*Expenses!D$3:D$1002)</f>
        <v>0</v>
      </c>
      <c r="G87" s="53" t="n">
        <f aca="false">C87+D87</f>
        <v>0</v>
      </c>
      <c r="H87" s="26"/>
    </row>
    <row r="88" customFormat="false" ht="15" hidden="false" customHeight="false" outlineLevel="0" collapsed="false">
      <c r="A88" s="5" t="n">
        <v>13</v>
      </c>
      <c r="B88" s="57" t="n">
        <v>46108</v>
      </c>
      <c r="C88" s="52" t="n">
        <f aca="false">G87</f>
        <v>0</v>
      </c>
      <c r="D88" s="53" t="n">
        <f aca="false">E88-F88</f>
        <v>0</v>
      </c>
      <c r="E88" s="52" t="n">
        <f aca="false">SUMPRODUCT((Income!D$3:D$502="INR")*(Income!A$3:A$502=B88)*(Income!A$3:A$502&lt;&gt;"")*Income!C$3:C$502)</f>
        <v>0</v>
      </c>
      <c r="F88" s="52" t="n">
        <f aca="false">SUMPRODUCT((Expenses!E$3:E$1002="INR")*(Expenses!A$3:A$1002=B88)*(Expenses!A$3:A$1002&lt;&gt;"")*Expenses!D$3:D$1002)</f>
        <v>0</v>
      </c>
      <c r="G88" s="53" t="n">
        <f aca="false">C88+D88</f>
        <v>0</v>
      </c>
      <c r="H88" s="26"/>
    </row>
    <row r="89" customFormat="false" ht="15" hidden="false" customHeight="false" outlineLevel="0" collapsed="false">
      <c r="A89" s="5" t="n">
        <v>13</v>
      </c>
      <c r="B89" s="57" t="n">
        <v>46109</v>
      </c>
      <c r="C89" s="52" t="n">
        <f aca="false">G88</f>
        <v>0</v>
      </c>
      <c r="D89" s="53" t="n">
        <f aca="false">E89-F89</f>
        <v>0</v>
      </c>
      <c r="E89" s="52" t="n">
        <f aca="false">SUMPRODUCT((Income!D$3:D$502="INR")*(Income!A$3:A$502=B89)*(Income!A$3:A$502&lt;&gt;"")*Income!C$3:C$502)</f>
        <v>0</v>
      </c>
      <c r="F89" s="52" t="n">
        <f aca="false">SUMPRODUCT((Expenses!E$3:E$1002="INR")*(Expenses!A$3:A$1002=B89)*(Expenses!A$3:A$1002&lt;&gt;"")*Expenses!D$3:D$1002)</f>
        <v>0</v>
      </c>
      <c r="G89" s="53" t="n">
        <f aca="false">C89+D89</f>
        <v>0</v>
      </c>
      <c r="H89" s="26"/>
    </row>
    <row r="90" customFormat="false" ht="15" hidden="false" customHeight="false" outlineLevel="0" collapsed="false">
      <c r="A90" s="5" t="n">
        <v>13</v>
      </c>
      <c r="B90" s="57" t="n">
        <v>46110</v>
      </c>
      <c r="C90" s="52" t="n">
        <f aca="false">G89</f>
        <v>0</v>
      </c>
      <c r="D90" s="53" t="n">
        <f aca="false">E90-F90</f>
        <v>0</v>
      </c>
      <c r="E90" s="52" t="n">
        <f aca="false">SUMPRODUCT((Income!D$3:D$502="INR")*(Income!A$3:A$502=B90)*(Income!A$3:A$502&lt;&gt;"")*Income!C$3:C$502)</f>
        <v>0</v>
      </c>
      <c r="F90" s="52" t="n">
        <f aca="false">SUMPRODUCT((Expenses!E$3:E$1002="INR")*(Expenses!A$3:A$1002=B90)*(Expenses!A$3:A$1002&lt;&gt;"")*Expenses!D$3:D$1002)</f>
        <v>0</v>
      </c>
      <c r="G90" s="53" t="n">
        <f aca="false">C90+D90</f>
        <v>0</v>
      </c>
      <c r="H90" s="26"/>
    </row>
    <row r="91" customFormat="false" ht="15" hidden="false" customHeight="false" outlineLevel="0" collapsed="false">
      <c r="A91" s="5" t="n">
        <v>14</v>
      </c>
      <c r="B91" s="57" t="n">
        <v>46111</v>
      </c>
      <c r="C91" s="52" t="n">
        <f aca="false">G90</f>
        <v>0</v>
      </c>
      <c r="D91" s="53" t="n">
        <f aca="false">E91-F91</f>
        <v>0</v>
      </c>
      <c r="E91" s="52" t="n">
        <f aca="false">SUMPRODUCT((Income!D$3:D$502="INR")*(Income!A$3:A$502=B91)*(Income!A$3:A$502&lt;&gt;"")*Income!C$3:C$502)</f>
        <v>0</v>
      </c>
      <c r="F91" s="52" t="n">
        <f aca="false">SUMPRODUCT((Expenses!E$3:E$1002="INR")*(Expenses!A$3:A$1002=B91)*(Expenses!A$3:A$1002&lt;&gt;"")*Expenses!D$3:D$1002)</f>
        <v>0</v>
      </c>
      <c r="G91" s="53" t="n">
        <f aca="false">C91+D91</f>
        <v>0</v>
      </c>
      <c r="H91" s="26"/>
    </row>
    <row r="92" customFormat="false" ht="15" hidden="false" customHeight="false" outlineLevel="0" collapsed="false">
      <c r="A92" s="5" t="n">
        <v>14</v>
      </c>
      <c r="B92" s="57" t="n">
        <v>46112</v>
      </c>
      <c r="C92" s="52" t="n">
        <f aca="false">G91</f>
        <v>0</v>
      </c>
      <c r="D92" s="53" t="n">
        <f aca="false">E92-F92</f>
        <v>0</v>
      </c>
      <c r="E92" s="52" t="n">
        <f aca="false">SUMPRODUCT((Income!D$3:D$502="INR")*(Income!A$3:A$502=B92)*(Income!A$3:A$502&lt;&gt;"")*Income!C$3:C$502)</f>
        <v>0</v>
      </c>
      <c r="F92" s="52" t="n">
        <f aca="false">SUMPRODUCT((Expenses!E$3:E$1002="INR")*(Expenses!A$3:A$1002=B92)*(Expenses!A$3:A$1002&lt;&gt;"")*Expenses!D$3:D$1002)</f>
        <v>0</v>
      </c>
      <c r="G92" s="53" t="n">
        <f aca="false">C92+D92</f>
        <v>0</v>
      </c>
      <c r="H92" s="26"/>
    </row>
    <row r="93" customFormat="false" ht="15" hidden="false" customHeight="false" outlineLevel="0" collapsed="false">
      <c r="A93" s="5" t="n">
        <v>14</v>
      </c>
      <c r="B93" s="57" t="n">
        <v>46113</v>
      </c>
      <c r="C93" s="52" t="n">
        <f aca="false">G92</f>
        <v>0</v>
      </c>
      <c r="D93" s="53" t="n">
        <f aca="false">E93-F93</f>
        <v>0</v>
      </c>
      <c r="E93" s="52" t="n">
        <f aca="false">SUMPRODUCT((Income!D$3:D$502="INR")*(Income!A$3:A$502=B93)*(Income!A$3:A$502&lt;&gt;"")*Income!C$3:C$502)</f>
        <v>0</v>
      </c>
      <c r="F93" s="52" t="n">
        <f aca="false">SUMPRODUCT((Expenses!E$3:E$1002="INR")*(Expenses!A$3:A$1002=B93)*(Expenses!A$3:A$1002&lt;&gt;"")*Expenses!D$3:D$1002)</f>
        <v>0</v>
      </c>
      <c r="G93" s="53" t="n">
        <f aca="false">C93+D93</f>
        <v>0</v>
      </c>
      <c r="H93" s="26"/>
    </row>
    <row r="94" customFormat="false" ht="15" hidden="false" customHeight="false" outlineLevel="0" collapsed="false">
      <c r="A94" s="5" t="n">
        <v>14</v>
      </c>
      <c r="B94" s="57" t="n">
        <v>46114</v>
      </c>
      <c r="C94" s="52" t="n">
        <f aca="false">G93</f>
        <v>0</v>
      </c>
      <c r="D94" s="53" t="n">
        <f aca="false">E94-F94</f>
        <v>0</v>
      </c>
      <c r="E94" s="52" t="n">
        <f aca="false">SUMPRODUCT((Income!D$3:D$502="INR")*(Income!A$3:A$502=B94)*(Income!A$3:A$502&lt;&gt;"")*Income!C$3:C$502)</f>
        <v>0</v>
      </c>
      <c r="F94" s="52" t="n">
        <f aca="false">SUMPRODUCT((Expenses!E$3:E$1002="INR")*(Expenses!A$3:A$1002=B94)*(Expenses!A$3:A$1002&lt;&gt;"")*Expenses!D$3:D$1002)</f>
        <v>0</v>
      </c>
      <c r="G94" s="53" t="n">
        <f aca="false">C94+D94</f>
        <v>0</v>
      </c>
      <c r="H94" s="26"/>
    </row>
    <row r="95" customFormat="false" ht="15" hidden="false" customHeight="false" outlineLevel="0" collapsed="false">
      <c r="A95" s="5" t="n">
        <v>14</v>
      </c>
      <c r="B95" s="57" t="n">
        <v>46115</v>
      </c>
      <c r="C95" s="52" t="n">
        <f aca="false">G94</f>
        <v>0</v>
      </c>
      <c r="D95" s="53" t="n">
        <f aca="false">E95-F95</f>
        <v>0</v>
      </c>
      <c r="E95" s="52" t="n">
        <f aca="false">SUMPRODUCT((Income!D$3:D$502="INR")*(Income!A$3:A$502=B95)*(Income!A$3:A$502&lt;&gt;"")*Income!C$3:C$502)</f>
        <v>0</v>
      </c>
      <c r="F95" s="52" t="n">
        <f aca="false">SUMPRODUCT((Expenses!E$3:E$1002="INR")*(Expenses!A$3:A$1002=B95)*(Expenses!A$3:A$1002&lt;&gt;"")*Expenses!D$3:D$1002)</f>
        <v>0</v>
      </c>
      <c r="G95" s="53" t="n">
        <f aca="false">C95+D95</f>
        <v>0</v>
      </c>
      <c r="H95" s="26"/>
    </row>
    <row r="96" customFormat="false" ht="15" hidden="false" customHeight="false" outlineLevel="0" collapsed="false">
      <c r="A96" s="5" t="n">
        <v>14</v>
      </c>
      <c r="B96" s="57" t="n">
        <v>46116</v>
      </c>
      <c r="C96" s="52" t="n">
        <f aca="false">G95</f>
        <v>0</v>
      </c>
      <c r="D96" s="53" t="n">
        <f aca="false">E96-F96</f>
        <v>0</v>
      </c>
      <c r="E96" s="52" t="n">
        <f aca="false">SUMPRODUCT((Income!D$3:D$502="INR")*(Income!A$3:A$502=B96)*(Income!A$3:A$502&lt;&gt;"")*Income!C$3:C$502)</f>
        <v>0</v>
      </c>
      <c r="F96" s="52" t="n">
        <f aca="false">SUMPRODUCT((Expenses!E$3:E$1002="INR")*(Expenses!A$3:A$1002=B96)*(Expenses!A$3:A$1002&lt;&gt;"")*Expenses!D$3:D$1002)</f>
        <v>0</v>
      </c>
      <c r="G96" s="53" t="n">
        <f aca="false">C96+D96</f>
        <v>0</v>
      </c>
      <c r="H96" s="26"/>
    </row>
    <row r="97" customFormat="false" ht="15" hidden="false" customHeight="false" outlineLevel="0" collapsed="false">
      <c r="A97" s="5" t="n">
        <v>14</v>
      </c>
      <c r="B97" s="57" t="n">
        <v>46117</v>
      </c>
      <c r="C97" s="52" t="n">
        <f aca="false">G96</f>
        <v>0</v>
      </c>
      <c r="D97" s="53" t="n">
        <f aca="false">E97-F97</f>
        <v>0</v>
      </c>
      <c r="E97" s="52" t="n">
        <f aca="false">SUMPRODUCT((Income!D$3:D$502="INR")*(Income!A$3:A$502=B97)*(Income!A$3:A$502&lt;&gt;"")*Income!C$3:C$502)</f>
        <v>0</v>
      </c>
      <c r="F97" s="52" t="n">
        <f aca="false">SUMPRODUCT((Expenses!E$3:E$1002="INR")*(Expenses!A$3:A$1002=B97)*(Expenses!A$3:A$1002&lt;&gt;"")*Expenses!D$3:D$1002)</f>
        <v>0</v>
      </c>
      <c r="G97" s="53" t="n">
        <f aca="false">C97+D97</f>
        <v>0</v>
      </c>
      <c r="H97" s="26"/>
    </row>
    <row r="98" customFormat="false" ht="15" hidden="false" customHeight="false" outlineLevel="0" collapsed="false">
      <c r="A98" s="5" t="n">
        <v>15</v>
      </c>
      <c r="B98" s="57" t="n">
        <v>46118</v>
      </c>
      <c r="C98" s="52" t="n">
        <f aca="false">G97</f>
        <v>0</v>
      </c>
      <c r="D98" s="53" t="n">
        <f aca="false">E98-F98</f>
        <v>0</v>
      </c>
      <c r="E98" s="52" t="n">
        <f aca="false">SUMPRODUCT((Income!D$3:D$502="INR")*(Income!A$3:A$502=B98)*(Income!A$3:A$502&lt;&gt;"")*Income!C$3:C$502)</f>
        <v>0</v>
      </c>
      <c r="F98" s="52" t="n">
        <f aca="false">SUMPRODUCT((Expenses!E$3:E$1002="INR")*(Expenses!A$3:A$1002=B98)*(Expenses!A$3:A$1002&lt;&gt;"")*Expenses!D$3:D$1002)</f>
        <v>0</v>
      </c>
      <c r="G98" s="53" t="n">
        <f aca="false">C98+D98</f>
        <v>0</v>
      </c>
      <c r="H98" s="26"/>
    </row>
    <row r="99" customFormat="false" ht="15" hidden="false" customHeight="false" outlineLevel="0" collapsed="false">
      <c r="A99" s="5" t="n">
        <v>15</v>
      </c>
      <c r="B99" s="57" t="n">
        <v>46119</v>
      </c>
      <c r="C99" s="52" t="n">
        <f aca="false">G98</f>
        <v>0</v>
      </c>
      <c r="D99" s="53" t="n">
        <f aca="false">E99-F99</f>
        <v>0</v>
      </c>
      <c r="E99" s="52" t="n">
        <f aca="false">SUMPRODUCT((Income!D$3:D$502="INR")*(Income!A$3:A$502=B99)*(Income!A$3:A$502&lt;&gt;"")*Income!C$3:C$502)</f>
        <v>0</v>
      </c>
      <c r="F99" s="52" t="n">
        <f aca="false">SUMPRODUCT((Expenses!E$3:E$1002="INR")*(Expenses!A$3:A$1002=B99)*(Expenses!A$3:A$1002&lt;&gt;"")*Expenses!D$3:D$1002)</f>
        <v>0</v>
      </c>
      <c r="G99" s="53" t="n">
        <f aca="false">C99+D99</f>
        <v>0</v>
      </c>
      <c r="H99" s="26"/>
    </row>
    <row r="100" customFormat="false" ht="15" hidden="false" customHeight="false" outlineLevel="0" collapsed="false">
      <c r="A100" s="5" t="n">
        <v>15</v>
      </c>
      <c r="B100" s="57" t="n">
        <v>46120</v>
      </c>
      <c r="C100" s="52" t="n">
        <f aca="false">G99</f>
        <v>0</v>
      </c>
      <c r="D100" s="53" t="n">
        <f aca="false">E100-F100</f>
        <v>0</v>
      </c>
      <c r="E100" s="52" t="n">
        <f aca="false">SUMPRODUCT((Income!D$3:D$502="INR")*(Income!A$3:A$502=B100)*(Income!A$3:A$502&lt;&gt;"")*Income!C$3:C$502)</f>
        <v>0</v>
      </c>
      <c r="F100" s="52" t="n">
        <f aca="false">SUMPRODUCT((Expenses!E$3:E$1002="INR")*(Expenses!A$3:A$1002=B100)*(Expenses!A$3:A$1002&lt;&gt;"")*Expenses!D$3:D$1002)</f>
        <v>0</v>
      </c>
      <c r="G100" s="53" t="n">
        <f aca="false">C100+D100</f>
        <v>0</v>
      </c>
      <c r="H100" s="26"/>
    </row>
    <row r="101" customFormat="false" ht="15" hidden="false" customHeight="false" outlineLevel="0" collapsed="false">
      <c r="A101" s="5" t="n">
        <v>15</v>
      </c>
      <c r="B101" s="57" t="n">
        <v>46121</v>
      </c>
      <c r="C101" s="52" t="n">
        <f aca="false">G100</f>
        <v>0</v>
      </c>
      <c r="D101" s="53" t="n">
        <f aca="false">E101-F101</f>
        <v>0</v>
      </c>
      <c r="E101" s="52" t="n">
        <f aca="false">SUMPRODUCT((Income!D$3:D$502="INR")*(Income!A$3:A$502=B101)*(Income!A$3:A$502&lt;&gt;"")*Income!C$3:C$502)</f>
        <v>0</v>
      </c>
      <c r="F101" s="52" t="n">
        <f aca="false">SUMPRODUCT((Expenses!E$3:E$1002="INR")*(Expenses!A$3:A$1002=B101)*(Expenses!A$3:A$1002&lt;&gt;"")*Expenses!D$3:D$1002)</f>
        <v>0</v>
      </c>
      <c r="G101" s="53" t="n">
        <f aca="false">C101+D101</f>
        <v>0</v>
      </c>
      <c r="H101" s="26"/>
    </row>
    <row r="102" customFormat="false" ht="15" hidden="false" customHeight="false" outlineLevel="0" collapsed="false">
      <c r="A102" s="5" t="n">
        <v>15</v>
      </c>
      <c r="B102" s="57" t="n">
        <v>46122</v>
      </c>
      <c r="C102" s="52" t="n">
        <f aca="false">G101</f>
        <v>0</v>
      </c>
      <c r="D102" s="53" t="n">
        <f aca="false">E102-F102</f>
        <v>0</v>
      </c>
      <c r="E102" s="52" t="n">
        <f aca="false">SUMPRODUCT((Income!D$3:D$502="INR")*(Income!A$3:A$502=B102)*(Income!A$3:A$502&lt;&gt;"")*Income!C$3:C$502)</f>
        <v>0</v>
      </c>
      <c r="F102" s="52" t="n">
        <f aca="false">SUMPRODUCT((Expenses!E$3:E$1002="INR")*(Expenses!A$3:A$1002=B102)*(Expenses!A$3:A$1002&lt;&gt;"")*Expenses!D$3:D$1002)</f>
        <v>0</v>
      </c>
      <c r="G102" s="53" t="n">
        <f aca="false">C102+D102</f>
        <v>0</v>
      </c>
      <c r="H102" s="26"/>
    </row>
    <row r="103" customFormat="false" ht="15" hidden="false" customHeight="false" outlineLevel="0" collapsed="false">
      <c r="A103" s="5" t="n">
        <v>15</v>
      </c>
      <c r="B103" s="57" t="n">
        <v>46123</v>
      </c>
      <c r="C103" s="52" t="n">
        <f aca="false">G102</f>
        <v>0</v>
      </c>
      <c r="D103" s="53" t="n">
        <f aca="false">E103-F103</f>
        <v>0</v>
      </c>
      <c r="E103" s="52" t="n">
        <f aca="false">SUMPRODUCT((Income!D$3:D$502="INR")*(Income!A$3:A$502=B103)*(Income!A$3:A$502&lt;&gt;"")*Income!C$3:C$502)</f>
        <v>0</v>
      </c>
      <c r="F103" s="52" t="n">
        <f aca="false">SUMPRODUCT((Expenses!E$3:E$1002="INR")*(Expenses!A$3:A$1002=B103)*(Expenses!A$3:A$1002&lt;&gt;"")*Expenses!D$3:D$1002)</f>
        <v>0</v>
      </c>
      <c r="G103" s="53" t="n">
        <f aca="false">C103+D103</f>
        <v>0</v>
      </c>
      <c r="H103" s="26"/>
    </row>
    <row r="104" customFormat="false" ht="15" hidden="false" customHeight="false" outlineLevel="0" collapsed="false">
      <c r="A104" s="5" t="n">
        <v>15</v>
      </c>
      <c r="B104" s="57" t="n">
        <v>46124</v>
      </c>
      <c r="C104" s="52" t="n">
        <f aca="false">G103</f>
        <v>0</v>
      </c>
      <c r="D104" s="53" t="n">
        <f aca="false">E104-F104</f>
        <v>0</v>
      </c>
      <c r="E104" s="52" t="n">
        <f aca="false">SUMPRODUCT((Income!D$3:D$502="INR")*(Income!A$3:A$502=B104)*(Income!A$3:A$502&lt;&gt;"")*Income!C$3:C$502)</f>
        <v>0</v>
      </c>
      <c r="F104" s="52" t="n">
        <f aca="false">SUMPRODUCT((Expenses!E$3:E$1002="INR")*(Expenses!A$3:A$1002=B104)*(Expenses!A$3:A$1002&lt;&gt;"")*Expenses!D$3:D$1002)</f>
        <v>0</v>
      </c>
      <c r="G104" s="53" t="n">
        <f aca="false">C104+D104</f>
        <v>0</v>
      </c>
      <c r="H104" s="26"/>
    </row>
    <row r="105" customFormat="false" ht="15" hidden="false" customHeight="false" outlineLevel="0" collapsed="false">
      <c r="A105" s="5" t="n">
        <v>16</v>
      </c>
      <c r="B105" s="57" t="n">
        <v>46125</v>
      </c>
      <c r="C105" s="52" t="n">
        <f aca="false">G104</f>
        <v>0</v>
      </c>
      <c r="D105" s="53" t="n">
        <f aca="false">E105-F105</f>
        <v>0</v>
      </c>
      <c r="E105" s="52" t="n">
        <f aca="false">SUMPRODUCT((Income!D$3:D$502="INR")*(Income!A$3:A$502=B105)*(Income!A$3:A$502&lt;&gt;"")*Income!C$3:C$502)</f>
        <v>0</v>
      </c>
      <c r="F105" s="52" t="n">
        <f aca="false">SUMPRODUCT((Expenses!E$3:E$1002="INR")*(Expenses!A$3:A$1002=B105)*(Expenses!A$3:A$1002&lt;&gt;"")*Expenses!D$3:D$1002)</f>
        <v>0</v>
      </c>
      <c r="G105" s="53" t="n">
        <f aca="false">C105+D105</f>
        <v>0</v>
      </c>
      <c r="H105" s="26"/>
    </row>
    <row r="106" customFormat="false" ht="15" hidden="false" customHeight="false" outlineLevel="0" collapsed="false">
      <c r="A106" s="5" t="n">
        <v>16</v>
      </c>
      <c r="B106" s="57" t="n">
        <v>46126</v>
      </c>
      <c r="C106" s="52" t="n">
        <f aca="false">G105</f>
        <v>0</v>
      </c>
      <c r="D106" s="53" t="n">
        <f aca="false">E106-F106</f>
        <v>0</v>
      </c>
      <c r="E106" s="52" t="n">
        <f aca="false">SUMPRODUCT((Income!D$3:D$502="INR")*(Income!A$3:A$502=B106)*(Income!A$3:A$502&lt;&gt;"")*Income!C$3:C$502)</f>
        <v>0</v>
      </c>
      <c r="F106" s="52" t="n">
        <f aca="false">SUMPRODUCT((Expenses!E$3:E$1002="INR")*(Expenses!A$3:A$1002=B106)*(Expenses!A$3:A$1002&lt;&gt;"")*Expenses!D$3:D$1002)</f>
        <v>0</v>
      </c>
      <c r="G106" s="53" t="n">
        <f aca="false">C106+D106</f>
        <v>0</v>
      </c>
      <c r="H106" s="26"/>
    </row>
    <row r="107" customFormat="false" ht="15" hidden="false" customHeight="false" outlineLevel="0" collapsed="false">
      <c r="A107" s="5" t="n">
        <v>16</v>
      </c>
      <c r="B107" s="57" t="n">
        <v>46127</v>
      </c>
      <c r="C107" s="52" t="n">
        <f aca="false">G106</f>
        <v>0</v>
      </c>
      <c r="D107" s="53" t="n">
        <f aca="false">E107-F107</f>
        <v>0</v>
      </c>
      <c r="E107" s="52" t="n">
        <f aca="false">SUMPRODUCT((Income!D$3:D$502="INR")*(Income!A$3:A$502=B107)*(Income!A$3:A$502&lt;&gt;"")*Income!C$3:C$502)</f>
        <v>0</v>
      </c>
      <c r="F107" s="52" t="n">
        <f aca="false">SUMPRODUCT((Expenses!E$3:E$1002="INR")*(Expenses!A$3:A$1002=B107)*(Expenses!A$3:A$1002&lt;&gt;"")*Expenses!D$3:D$1002)</f>
        <v>0</v>
      </c>
      <c r="G107" s="53" t="n">
        <f aca="false">C107+D107</f>
        <v>0</v>
      </c>
      <c r="H107" s="26"/>
    </row>
    <row r="108" customFormat="false" ht="15" hidden="false" customHeight="false" outlineLevel="0" collapsed="false">
      <c r="A108" s="5" t="n">
        <v>16</v>
      </c>
      <c r="B108" s="57" t="n">
        <v>46128</v>
      </c>
      <c r="C108" s="52" t="n">
        <f aca="false">G107</f>
        <v>0</v>
      </c>
      <c r="D108" s="53" t="n">
        <f aca="false">E108-F108</f>
        <v>0</v>
      </c>
      <c r="E108" s="52" t="n">
        <f aca="false">SUMPRODUCT((Income!D$3:D$502="INR")*(Income!A$3:A$502=B108)*(Income!A$3:A$502&lt;&gt;"")*Income!C$3:C$502)</f>
        <v>0</v>
      </c>
      <c r="F108" s="52" t="n">
        <f aca="false">SUMPRODUCT((Expenses!E$3:E$1002="INR")*(Expenses!A$3:A$1002=B108)*(Expenses!A$3:A$1002&lt;&gt;"")*Expenses!D$3:D$1002)</f>
        <v>0</v>
      </c>
      <c r="G108" s="53" t="n">
        <f aca="false">C108+D108</f>
        <v>0</v>
      </c>
      <c r="H108" s="26"/>
    </row>
    <row r="109" customFormat="false" ht="15" hidden="false" customHeight="false" outlineLevel="0" collapsed="false">
      <c r="A109" s="5" t="n">
        <v>16</v>
      </c>
      <c r="B109" s="57" t="n">
        <v>46129</v>
      </c>
      <c r="C109" s="52" t="n">
        <f aca="false">G108</f>
        <v>0</v>
      </c>
      <c r="D109" s="53" t="n">
        <f aca="false">E109-F109</f>
        <v>0</v>
      </c>
      <c r="E109" s="52" t="n">
        <f aca="false">SUMPRODUCT((Income!D$3:D$502="INR")*(Income!A$3:A$502=B109)*(Income!A$3:A$502&lt;&gt;"")*Income!C$3:C$502)</f>
        <v>0</v>
      </c>
      <c r="F109" s="52" t="n">
        <f aca="false">SUMPRODUCT((Expenses!E$3:E$1002="INR")*(Expenses!A$3:A$1002=B109)*(Expenses!A$3:A$1002&lt;&gt;"")*Expenses!D$3:D$1002)</f>
        <v>0</v>
      </c>
      <c r="G109" s="53" t="n">
        <f aca="false">C109+D109</f>
        <v>0</v>
      </c>
      <c r="H109" s="26"/>
    </row>
    <row r="110" customFormat="false" ht="15" hidden="false" customHeight="false" outlineLevel="0" collapsed="false">
      <c r="A110" s="5" t="n">
        <v>16</v>
      </c>
      <c r="B110" s="57" t="n">
        <v>46130</v>
      </c>
      <c r="C110" s="52" t="n">
        <f aca="false">G109</f>
        <v>0</v>
      </c>
      <c r="D110" s="53" t="n">
        <f aca="false">E110-F110</f>
        <v>0</v>
      </c>
      <c r="E110" s="52" t="n">
        <f aca="false">SUMPRODUCT((Income!D$3:D$502="INR")*(Income!A$3:A$502=B110)*(Income!A$3:A$502&lt;&gt;"")*Income!C$3:C$502)</f>
        <v>0</v>
      </c>
      <c r="F110" s="52" t="n">
        <f aca="false">SUMPRODUCT((Expenses!E$3:E$1002="INR")*(Expenses!A$3:A$1002=B110)*(Expenses!A$3:A$1002&lt;&gt;"")*Expenses!D$3:D$1002)</f>
        <v>0</v>
      </c>
      <c r="G110" s="53" t="n">
        <f aca="false">C110+D110</f>
        <v>0</v>
      </c>
      <c r="H110" s="26"/>
    </row>
    <row r="111" customFormat="false" ht="15" hidden="false" customHeight="false" outlineLevel="0" collapsed="false">
      <c r="A111" s="5" t="n">
        <v>16</v>
      </c>
      <c r="B111" s="57" t="n">
        <v>46131</v>
      </c>
      <c r="C111" s="52" t="n">
        <f aca="false">G110</f>
        <v>0</v>
      </c>
      <c r="D111" s="53" t="n">
        <f aca="false">E111-F111</f>
        <v>0</v>
      </c>
      <c r="E111" s="52" t="n">
        <f aca="false">SUMPRODUCT((Income!D$3:D$502="INR")*(Income!A$3:A$502=B111)*(Income!A$3:A$502&lt;&gt;"")*Income!C$3:C$502)</f>
        <v>0</v>
      </c>
      <c r="F111" s="52" t="n">
        <f aca="false">SUMPRODUCT((Expenses!E$3:E$1002="INR")*(Expenses!A$3:A$1002=B111)*(Expenses!A$3:A$1002&lt;&gt;"")*Expenses!D$3:D$1002)</f>
        <v>0</v>
      </c>
      <c r="G111" s="53" t="n">
        <f aca="false">C111+D111</f>
        <v>0</v>
      </c>
      <c r="H111" s="26"/>
    </row>
    <row r="112" customFormat="false" ht="15" hidden="false" customHeight="false" outlineLevel="0" collapsed="false">
      <c r="A112" s="5" t="n">
        <v>17</v>
      </c>
      <c r="B112" s="57" t="n">
        <v>46132</v>
      </c>
      <c r="C112" s="52" t="n">
        <f aca="false">G111</f>
        <v>0</v>
      </c>
      <c r="D112" s="53" t="n">
        <f aca="false">E112-F112</f>
        <v>0</v>
      </c>
      <c r="E112" s="52" t="n">
        <f aca="false">SUMPRODUCT((Income!D$3:D$502="INR")*(Income!A$3:A$502=B112)*(Income!A$3:A$502&lt;&gt;"")*Income!C$3:C$502)</f>
        <v>0</v>
      </c>
      <c r="F112" s="52" t="n">
        <f aca="false">SUMPRODUCT((Expenses!E$3:E$1002="INR")*(Expenses!A$3:A$1002=B112)*(Expenses!A$3:A$1002&lt;&gt;"")*Expenses!D$3:D$1002)</f>
        <v>0</v>
      </c>
      <c r="G112" s="53" t="n">
        <f aca="false">C112+D112</f>
        <v>0</v>
      </c>
      <c r="H112" s="26"/>
    </row>
    <row r="113" customFormat="false" ht="15" hidden="false" customHeight="false" outlineLevel="0" collapsed="false">
      <c r="A113" s="5" t="n">
        <v>17</v>
      </c>
      <c r="B113" s="57" t="n">
        <v>46133</v>
      </c>
      <c r="C113" s="52" t="n">
        <f aca="false">G112</f>
        <v>0</v>
      </c>
      <c r="D113" s="53" t="n">
        <f aca="false">E113-F113</f>
        <v>0</v>
      </c>
      <c r="E113" s="52" t="n">
        <f aca="false">SUMPRODUCT((Income!D$3:D$502="INR")*(Income!A$3:A$502=B113)*(Income!A$3:A$502&lt;&gt;"")*Income!C$3:C$502)</f>
        <v>0</v>
      </c>
      <c r="F113" s="52" t="n">
        <f aca="false">SUMPRODUCT((Expenses!E$3:E$1002="INR")*(Expenses!A$3:A$1002=B113)*(Expenses!A$3:A$1002&lt;&gt;"")*Expenses!D$3:D$1002)</f>
        <v>0</v>
      </c>
      <c r="G113" s="53" t="n">
        <f aca="false">C113+D113</f>
        <v>0</v>
      </c>
      <c r="H113" s="26"/>
    </row>
    <row r="114" customFormat="false" ht="15" hidden="false" customHeight="false" outlineLevel="0" collapsed="false">
      <c r="A114" s="5" t="n">
        <v>17</v>
      </c>
      <c r="B114" s="57" t="n">
        <v>46134</v>
      </c>
      <c r="C114" s="52" t="n">
        <f aca="false">G113</f>
        <v>0</v>
      </c>
      <c r="D114" s="53" t="n">
        <f aca="false">E114-F114</f>
        <v>0</v>
      </c>
      <c r="E114" s="52" t="n">
        <f aca="false">SUMPRODUCT((Income!D$3:D$502="INR")*(Income!A$3:A$502=B114)*(Income!A$3:A$502&lt;&gt;"")*Income!C$3:C$502)</f>
        <v>0</v>
      </c>
      <c r="F114" s="52" t="n">
        <f aca="false">SUMPRODUCT((Expenses!E$3:E$1002="INR")*(Expenses!A$3:A$1002=B114)*(Expenses!A$3:A$1002&lt;&gt;"")*Expenses!D$3:D$1002)</f>
        <v>0</v>
      </c>
      <c r="G114" s="53" t="n">
        <f aca="false">C114+D114</f>
        <v>0</v>
      </c>
      <c r="H114" s="26"/>
    </row>
    <row r="115" customFormat="false" ht="15" hidden="false" customHeight="false" outlineLevel="0" collapsed="false">
      <c r="A115" s="5" t="n">
        <v>17</v>
      </c>
      <c r="B115" s="57" t="n">
        <v>46135</v>
      </c>
      <c r="C115" s="52" t="n">
        <f aca="false">G114</f>
        <v>0</v>
      </c>
      <c r="D115" s="53" t="n">
        <f aca="false">E115-F115</f>
        <v>0</v>
      </c>
      <c r="E115" s="52" t="n">
        <f aca="false">SUMPRODUCT((Income!D$3:D$502="INR")*(Income!A$3:A$502=B115)*(Income!A$3:A$502&lt;&gt;"")*Income!C$3:C$502)</f>
        <v>0</v>
      </c>
      <c r="F115" s="52" t="n">
        <f aca="false">SUMPRODUCT((Expenses!E$3:E$1002="INR")*(Expenses!A$3:A$1002=B115)*(Expenses!A$3:A$1002&lt;&gt;"")*Expenses!D$3:D$1002)</f>
        <v>0</v>
      </c>
      <c r="G115" s="53" t="n">
        <f aca="false">C115+D115</f>
        <v>0</v>
      </c>
      <c r="H115" s="26"/>
    </row>
    <row r="116" customFormat="false" ht="15" hidden="false" customHeight="false" outlineLevel="0" collapsed="false">
      <c r="A116" s="5" t="n">
        <v>17</v>
      </c>
      <c r="B116" s="57" t="n">
        <v>46136</v>
      </c>
      <c r="C116" s="52" t="n">
        <f aca="false">G115</f>
        <v>0</v>
      </c>
      <c r="D116" s="53" t="n">
        <f aca="false">E116-F116</f>
        <v>0</v>
      </c>
      <c r="E116" s="52" t="n">
        <f aca="false">SUMPRODUCT((Income!D$3:D$502="INR")*(Income!A$3:A$502=B116)*(Income!A$3:A$502&lt;&gt;"")*Income!C$3:C$502)</f>
        <v>0</v>
      </c>
      <c r="F116" s="52" t="n">
        <f aca="false">SUMPRODUCT((Expenses!E$3:E$1002="INR")*(Expenses!A$3:A$1002=B116)*(Expenses!A$3:A$1002&lt;&gt;"")*Expenses!D$3:D$1002)</f>
        <v>0</v>
      </c>
      <c r="G116" s="53" t="n">
        <f aca="false">C116+D116</f>
        <v>0</v>
      </c>
      <c r="H116" s="26"/>
    </row>
    <row r="117" customFormat="false" ht="15" hidden="false" customHeight="false" outlineLevel="0" collapsed="false">
      <c r="A117" s="5" t="n">
        <v>17</v>
      </c>
      <c r="B117" s="57" t="n">
        <v>46137</v>
      </c>
      <c r="C117" s="52" t="n">
        <f aca="false">G116</f>
        <v>0</v>
      </c>
      <c r="D117" s="53" t="n">
        <f aca="false">E117-F117</f>
        <v>0</v>
      </c>
      <c r="E117" s="52" t="n">
        <f aca="false">SUMPRODUCT((Income!D$3:D$502="INR")*(Income!A$3:A$502=B117)*(Income!A$3:A$502&lt;&gt;"")*Income!C$3:C$502)</f>
        <v>0</v>
      </c>
      <c r="F117" s="52" t="n">
        <f aca="false">SUMPRODUCT((Expenses!E$3:E$1002="INR")*(Expenses!A$3:A$1002=B117)*(Expenses!A$3:A$1002&lt;&gt;"")*Expenses!D$3:D$1002)</f>
        <v>0</v>
      </c>
      <c r="G117" s="53" t="n">
        <f aca="false">C117+D117</f>
        <v>0</v>
      </c>
      <c r="H117" s="26"/>
    </row>
    <row r="118" customFormat="false" ht="15" hidden="false" customHeight="false" outlineLevel="0" collapsed="false">
      <c r="A118" s="5" t="n">
        <v>17</v>
      </c>
      <c r="B118" s="57" t="n">
        <v>46138</v>
      </c>
      <c r="C118" s="52" t="n">
        <f aca="false">G117</f>
        <v>0</v>
      </c>
      <c r="D118" s="53" t="n">
        <f aca="false">E118-F118</f>
        <v>0</v>
      </c>
      <c r="E118" s="52" t="n">
        <f aca="false">SUMPRODUCT((Income!D$3:D$502="INR")*(Income!A$3:A$502=B118)*(Income!A$3:A$502&lt;&gt;"")*Income!C$3:C$502)</f>
        <v>0</v>
      </c>
      <c r="F118" s="52" t="n">
        <f aca="false">SUMPRODUCT((Expenses!E$3:E$1002="INR")*(Expenses!A$3:A$1002=B118)*(Expenses!A$3:A$1002&lt;&gt;"")*Expenses!D$3:D$1002)</f>
        <v>0</v>
      </c>
      <c r="G118" s="53" t="n">
        <f aca="false">C118+D118</f>
        <v>0</v>
      </c>
      <c r="H118" s="26"/>
    </row>
    <row r="119" customFormat="false" ht="15" hidden="false" customHeight="false" outlineLevel="0" collapsed="false">
      <c r="A119" s="5" t="n">
        <v>18</v>
      </c>
      <c r="B119" s="57" t="n">
        <v>46139</v>
      </c>
      <c r="C119" s="52" t="n">
        <f aca="false">G118</f>
        <v>0</v>
      </c>
      <c r="D119" s="53" t="n">
        <f aca="false">E119-F119</f>
        <v>0</v>
      </c>
      <c r="E119" s="52" t="n">
        <f aca="false">SUMPRODUCT((Income!D$3:D$502="INR")*(Income!A$3:A$502=B119)*(Income!A$3:A$502&lt;&gt;"")*Income!C$3:C$502)</f>
        <v>0</v>
      </c>
      <c r="F119" s="52" t="n">
        <f aca="false">SUMPRODUCT((Expenses!E$3:E$1002="INR")*(Expenses!A$3:A$1002=B119)*(Expenses!A$3:A$1002&lt;&gt;"")*Expenses!D$3:D$1002)</f>
        <v>0</v>
      </c>
      <c r="G119" s="53" t="n">
        <f aca="false">C119+D119</f>
        <v>0</v>
      </c>
      <c r="H119" s="26"/>
    </row>
    <row r="120" customFormat="false" ht="15" hidden="false" customHeight="false" outlineLevel="0" collapsed="false">
      <c r="A120" s="5" t="n">
        <v>18</v>
      </c>
      <c r="B120" s="57" t="n">
        <v>46140</v>
      </c>
      <c r="C120" s="52" t="n">
        <f aca="false">G119</f>
        <v>0</v>
      </c>
      <c r="D120" s="53" t="n">
        <f aca="false">E120-F120</f>
        <v>0</v>
      </c>
      <c r="E120" s="52" t="n">
        <f aca="false">SUMPRODUCT((Income!D$3:D$502="INR")*(Income!A$3:A$502=B120)*(Income!A$3:A$502&lt;&gt;"")*Income!C$3:C$502)</f>
        <v>0</v>
      </c>
      <c r="F120" s="52" t="n">
        <f aca="false">SUMPRODUCT((Expenses!E$3:E$1002="INR")*(Expenses!A$3:A$1002=B120)*(Expenses!A$3:A$1002&lt;&gt;"")*Expenses!D$3:D$1002)</f>
        <v>0</v>
      </c>
      <c r="G120" s="53" t="n">
        <f aca="false">C120+D120</f>
        <v>0</v>
      </c>
      <c r="H120" s="26"/>
    </row>
    <row r="121" customFormat="false" ht="15" hidden="false" customHeight="false" outlineLevel="0" collapsed="false">
      <c r="A121" s="5" t="n">
        <v>18</v>
      </c>
      <c r="B121" s="57" t="n">
        <v>46141</v>
      </c>
      <c r="C121" s="52" t="n">
        <f aca="false">G120</f>
        <v>0</v>
      </c>
      <c r="D121" s="53" t="n">
        <f aca="false">E121-F121</f>
        <v>0</v>
      </c>
      <c r="E121" s="52" t="n">
        <f aca="false">SUMPRODUCT((Income!D$3:D$502="INR")*(Income!A$3:A$502=B121)*(Income!A$3:A$502&lt;&gt;"")*Income!C$3:C$502)</f>
        <v>0</v>
      </c>
      <c r="F121" s="52" t="n">
        <f aca="false">SUMPRODUCT((Expenses!E$3:E$1002="INR")*(Expenses!A$3:A$1002=B121)*(Expenses!A$3:A$1002&lt;&gt;"")*Expenses!D$3:D$1002)</f>
        <v>0</v>
      </c>
      <c r="G121" s="53" t="n">
        <f aca="false">C121+D121</f>
        <v>0</v>
      </c>
      <c r="H121" s="26"/>
    </row>
    <row r="122" customFormat="false" ht="15" hidden="false" customHeight="false" outlineLevel="0" collapsed="false">
      <c r="A122" s="5" t="n">
        <v>18</v>
      </c>
      <c r="B122" s="57" t="n">
        <v>46142</v>
      </c>
      <c r="C122" s="52" t="n">
        <f aca="false">G121</f>
        <v>0</v>
      </c>
      <c r="D122" s="53" t="n">
        <f aca="false">E122-F122</f>
        <v>0</v>
      </c>
      <c r="E122" s="52" t="n">
        <f aca="false">SUMPRODUCT((Income!D$3:D$502="INR")*(Income!A$3:A$502=B122)*(Income!A$3:A$502&lt;&gt;"")*Income!C$3:C$502)</f>
        <v>0</v>
      </c>
      <c r="F122" s="52" t="n">
        <f aca="false">SUMPRODUCT((Expenses!E$3:E$1002="INR")*(Expenses!A$3:A$1002=B122)*(Expenses!A$3:A$1002&lt;&gt;"")*Expenses!D$3:D$1002)</f>
        <v>0</v>
      </c>
      <c r="G122" s="53" t="n">
        <f aca="false">C122+D122</f>
        <v>0</v>
      </c>
      <c r="H122" s="26"/>
    </row>
    <row r="123" customFormat="false" ht="15" hidden="false" customHeight="false" outlineLevel="0" collapsed="false">
      <c r="A123" s="5" t="n">
        <v>18</v>
      </c>
      <c r="B123" s="57" t="n">
        <v>46143</v>
      </c>
      <c r="C123" s="52" t="n">
        <f aca="false">G122</f>
        <v>0</v>
      </c>
      <c r="D123" s="53" t="n">
        <f aca="false">E123-F123</f>
        <v>0</v>
      </c>
      <c r="E123" s="52" t="n">
        <f aca="false">SUMPRODUCT((Income!D$3:D$502="INR")*(Income!A$3:A$502=B123)*(Income!A$3:A$502&lt;&gt;"")*Income!C$3:C$502)</f>
        <v>0</v>
      </c>
      <c r="F123" s="52" t="n">
        <f aca="false">SUMPRODUCT((Expenses!E$3:E$1002="INR")*(Expenses!A$3:A$1002=B123)*(Expenses!A$3:A$1002&lt;&gt;"")*Expenses!D$3:D$1002)</f>
        <v>0</v>
      </c>
      <c r="G123" s="53" t="n">
        <f aca="false">C123+D123</f>
        <v>0</v>
      </c>
      <c r="H123" s="26"/>
    </row>
    <row r="124" customFormat="false" ht="15" hidden="false" customHeight="false" outlineLevel="0" collapsed="false">
      <c r="A124" s="5" t="n">
        <v>18</v>
      </c>
      <c r="B124" s="57" t="n">
        <v>46144</v>
      </c>
      <c r="C124" s="52" t="n">
        <f aca="false">G123</f>
        <v>0</v>
      </c>
      <c r="D124" s="53" t="n">
        <f aca="false">E124-F124</f>
        <v>0</v>
      </c>
      <c r="E124" s="52" t="n">
        <f aca="false">SUMPRODUCT((Income!D$3:D$502="INR")*(Income!A$3:A$502=B124)*(Income!A$3:A$502&lt;&gt;"")*Income!C$3:C$502)</f>
        <v>0</v>
      </c>
      <c r="F124" s="52" t="n">
        <f aca="false">SUMPRODUCT((Expenses!E$3:E$1002="INR")*(Expenses!A$3:A$1002=B124)*(Expenses!A$3:A$1002&lt;&gt;"")*Expenses!D$3:D$1002)</f>
        <v>0</v>
      </c>
      <c r="G124" s="53" t="n">
        <f aca="false">C124+D124</f>
        <v>0</v>
      </c>
      <c r="H124" s="26"/>
    </row>
    <row r="125" customFormat="false" ht="15" hidden="false" customHeight="false" outlineLevel="0" collapsed="false">
      <c r="A125" s="5" t="n">
        <v>18</v>
      </c>
      <c r="B125" s="57" t="n">
        <v>46145</v>
      </c>
      <c r="C125" s="52" t="n">
        <f aca="false">G124</f>
        <v>0</v>
      </c>
      <c r="D125" s="53" t="n">
        <f aca="false">E125-F125</f>
        <v>0</v>
      </c>
      <c r="E125" s="52" t="n">
        <f aca="false">SUMPRODUCT((Income!D$3:D$502="INR")*(Income!A$3:A$502=B125)*(Income!A$3:A$502&lt;&gt;"")*Income!C$3:C$502)</f>
        <v>0</v>
      </c>
      <c r="F125" s="52" t="n">
        <f aca="false">SUMPRODUCT((Expenses!E$3:E$1002="INR")*(Expenses!A$3:A$1002=B125)*(Expenses!A$3:A$1002&lt;&gt;"")*Expenses!D$3:D$1002)</f>
        <v>0</v>
      </c>
      <c r="G125" s="53" t="n">
        <f aca="false">C125+D125</f>
        <v>0</v>
      </c>
      <c r="H125" s="26"/>
    </row>
    <row r="126" customFormat="false" ht="15" hidden="false" customHeight="false" outlineLevel="0" collapsed="false">
      <c r="A126" s="5" t="n">
        <v>19</v>
      </c>
      <c r="B126" s="57" t="n">
        <v>46146</v>
      </c>
      <c r="C126" s="52" t="n">
        <f aca="false">G125</f>
        <v>0</v>
      </c>
      <c r="D126" s="53" t="n">
        <f aca="false">E126-F126</f>
        <v>0</v>
      </c>
      <c r="E126" s="52" t="n">
        <f aca="false">SUMPRODUCT((Income!D$3:D$502="INR")*(Income!A$3:A$502=B126)*(Income!A$3:A$502&lt;&gt;"")*Income!C$3:C$502)</f>
        <v>0</v>
      </c>
      <c r="F126" s="52" t="n">
        <f aca="false">SUMPRODUCT((Expenses!E$3:E$1002="INR")*(Expenses!A$3:A$1002=B126)*(Expenses!A$3:A$1002&lt;&gt;"")*Expenses!D$3:D$1002)</f>
        <v>0</v>
      </c>
      <c r="G126" s="53" t="n">
        <f aca="false">C126+D126</f>
        <v>0</v>
      </c>
      <c r="H126" s="26"/>
    </row>
    <row r="127" customFormat="false" ht="15" hidden="false" customHeight="false" outlineLevel="0" collapsed="false">
      <c r="A127" s="5" t="n">
        <v>19</v>
      </c>
      <c r="B127" s="57" t="n">
        <v>46147</v>
      </c>
      <c r="C127" s="52" t="n">
        <f aca="false">G126</f>
        <v>0</v>
      </c>
      <c r="D127" s="53" t="n">
        <f aca="false">E127-F127</f>
        <v>0</v>
      </c>
      <c r="E127" s="52" t="n">
        <f aca="false">SUMPRODUCT((Income!D$3:D$502="INR")*(Income!A$3:A$502=B127)*(Income!A$3:A$502&lt;&gt;"")*Income!C$3:C$502)</f>
        <v>0</v>
      </c>
      <c r="F127" s="52" t="n">
        <f aca="false">SUMPRODUCT((Expenses!E$3:E$1002="INR")*(Expenses!A$3:A$1002=B127)*(Expenses!A$3:A$1002&lt;&gt;"")*Expenses!D$3:D$1002)</f>
        <v>0</v>
      </c>
      <c r="G127" s="53" t="n">
        <f aca="false">C127+D127</f>
        <v>0</v>
      </c>
      <c r="H127" s="26"/>
    </row>
    <row r="128" customFormat="false" ht="15" hidden="false" customHeight="false" outlineLevel="0" collapsed="false">
      <c r="A128" s="5" t="n">
        <v>19</v>
      </c>
      <c r="B128" s="57" t="n">
        <v>46148</v>
      </c>
      <c r="C128" s="52" t="n">
        <f aca="false">G127</f>
        <v>0</v>
      </c>
      <c r="D128" s="53" t="n">
        <f aca="false">E128-F128</f>
        <v>0</v>
      </c>
      <c r="E128" s="52" t="n">
        <f aca="false">SUMPRODUCT((Income!D$3:D$502="INR")*(Income!A$3:A$502=B128)*(Income!A$3:A$502&lt;&gt;"")*Income!C$3:C$502)</f>
        <v>0</v>
      </c>
      <c r="F128" s="52" t="n">
        <f aca="false">SUMPRODUCT((Expenses!E$3:E$1002="INR")*(Expenses!A$3:A$1002=B128)*(Expenses!A$3:A$1002&lt;&gt;"")*Expenses!D$3:D$1002)</f>
        <v>0</v>
      </c>
      <c r="G128" s="53" t="n">
        <f aca="false">C128+D128</f>
        <v>0</v>
      </c>
      <c r="H128" s="26"/>
    </row>
    <row r="129" customFormat="false" ht="15" hidden="false" customHeight="false" outlineLevel="0" collapsed="false">
      <c r="A129" s="5" t="n">
        <v>19</v>
      </c>
      <c r="B129" s="57" t="n">
        <v>46149</v>
      </c>
      <c r="C129" s="52" t="n">
        <f aca="false">G128</f>
        <v>0</v>
      </c>
      <c r="D129" s="53" t="n">
        <f aca="false">E129-F129</f>
        <v>0</v>
      </c>
      <c r="E129" s="52" t="n">
        <f aca="false">SUMPRODUCT((Income!D$3:D$502="INR")*(Income!A$3:A$502=B129)*(Income!A$3:A$502&lt;&gt;"")*Income!C$3:C$502)</f>
        <v>0</v>
      </c>
      <c r="F129" s="52" t="n">
        <f aca="false">SUMPRODUCT((Expenses!E$3:E$1002="INR")*(Expenses!A$3:A$1002=B129)*(Expenses!A$3:A$1002&lt;&gt;"")*Expenses!D$3:D$1002)</f>
        <v>0</v>
      </c>
      <c r="G129" s="53" t="n">
        <f aca="false">C129+D129</f>
        <v>0</v>
      </c>
      <c r="H129" s="26"/>
    </row>
    <row r="130" customFormat="false" ht="15" hidden="false" customHeight="false" outlineLevel="0" collapsed="false">
      <c r="A130" s="5" t="n">
        <v>19</v>
      </c>
      <c r="B130" s="57" t="n">
        <v>46150</v>
      </c>
      <c r="C130" s="52" t="n">
        <f aca="false">G129</f>
        <v>0</v>
      </c>
      <c r="D130" s="53" t="n">
        <f aca="false">E130-F130</f>
        <v>0</v>
      </c>
      <c r="E130" s="52" t="n">
        <f aca="false">SUMPRODUCT((Income!D$3:D$502="INR")*(Income!A$3:A$502=B130)*(Income!A$3:A$502&lt;&gt;"")*Income!C$3:C$502)</f>
        <v>0</v>
      </c>
      <c r="F130" s="52" t="n">
        <f aca="false">SUMPRODUCT((Expenses!E$3:E$1002="INR")*(Expenses!A$3:A$1002=B130)*(Expenses!A$3:A$1002&lt;&gt;"")*Expenses!D$3:D$1002)</f>
        <v>0</v>
      </c>
      <c r="G130" s="53" t="n">
        <f aca="false">C130+D130</f>
        <v>0</v>
      </c>
      <c r="H130" s="26"/>
    </row>
    <row r="131" customFormat="false" ht="15" hidden="false" customHeight="false" outlineLevel="0" collapsed="false">
      <c r="A131" s="5" t="n">
        <v>19</v>
      </c>
      <c r="B131" s="57" t="n">
        <v>46151</v>
      </c>
      <c r="C131" s="52" t="n">
        <f aca="false">G130</f>
        <v>0</v>
      </c>
      <c r="D131" s="53" t="n">
        <f aca="false">E131-F131</f>
        <v>0</v>
      </c>
      <c r="E131" s="52" t="n">
        <f aca="false">SUMPRODUCT((Income!D$3:D$502="INR")*(Income!A$3:A$502=B131)*(Income!A$3:A$502&lt;&gt;"")*Income!C$3:C$502)</f>
        <v>0</v>
      </c>
      <c r="F131" s="52" t="n">
        <f aca="false">SUMPRODUCT((Expenses!E$3:E$1002="INR")*(Expenses!A$3:A$1002=B131)*(Expenses!A$3:A$1002&lt;&gt;"")*Expenses!D$3:D$1002)</f>
        <v>0</v>
      </c>
      <c r="G131" s="53" t="n">
        <f aca="false">C131+D131</f>
        <v>0</v>
      </c>
      <c r="H131" s="26"/>
    </row>
    <row r="132" customFormat="false" ht="15" hidden="false" customHeight="false" outlineLevel="0" collapsed="false">
      <c r="A132" s="5" t="n">
        <v>19</v>
      </c>
      <c r="B132" s="57" t="n">
        <v>46152</v>
      </c>
      <c r="C132" s="52" t="n">
        <f aca="false">G131</f>
        <v>0</v>
      </c>
      <c r="D132" s="53" t="n">
        <f aca="false">E132-F132</f>
        <v>0</v>
      </c>
      <c r="E132" s="52" t="n">
        <f aca="false">SUMPRODUCT((Income!D$3:D$502="INR")*(Income!A$3:A$502=B132)*(Income!A$3:A$502&lt;&gt;"")*Income!C$3:C$502)</f>
        <v>0</v>
      </c>
      <c r="F132" s="52" t="n">
        <f aca="false">SUMPRODUCT((Expenses!E$3:E$1002="INR")*(Expenses!A$3:A$1002=B132)*(Expenses!A$3:A$1002&lt;&gt;"")*Expenses!D$3:D$1002)</f>
        <v>0</v>
      </c>
      <c r="G132" s="53" t="n">
        <f aca="false">C132+D132</f>
        <v>0</v>
      </c>
      <c r="H132" s="26"/>
    </row>
    <row r="133" customFormat="false" ht="15" hidden="false" customHeight="false" outlineLevel="0" collapsed="false">
      <c r="A133" s="5" t="n">
        <v>20</v>
      </c>
      <c r="B133" s="57" t="n">
        <v>46153</v>
      </c>
      <c r="C133" s="52" t="n">
        <f aca="false">G132</f>
        <v>0</v>
      </c>
      <c r="D133" s="53" t="n">
        <f aca="false">E133-F133</f>
        <v>0</v>
      </c>
      <c r="E133" s="52" t="n">
        <f aca="false">SUMPRODUCT((Income!D$3:D$502="INR")*(Income!A$3:A$502=B133)*(Income!A$3:A$502&lt;&gt;"")*Income!C$3:C$502)</f>
        <v>0</v>
      </c>
      <c r="F133" s="52" t="n">
        <f aca="false">SUMPRODUCT((Expenses!E$3:E$1002="INR")*(Expenses!A$3:A$1002=B133)*(Expenses!A$3:A$1002&lt;&gt;"")*Expenses!D$3:D$1002)</f>
        <v>0</v>
      </c>
      <c r="G133" s="53" t="n">
        <f aca="false">C133+D133</f>
        <v>0</v>
      </c>
      <c r="H133" s="26"/>
    </row>
    <row r="134" customFormat="false" ht="15" hidden="false" customHeight="false" outlineLevel="0" collapsed="false">
      <c r="A134" s="5" t="n">
        <v>20</v>
      </c>
      <c r="B134" s="57" t="n">
        <v>46154</v>
      </c>
      <c r="C134" s="52" t="n">
        <f aca="false">G133</f>
        <v>0</v>
      </c>
      <c r="D134" s="53" t="n">
        <f aca="false">E134-F134</f>
        <v>0</v>
      </c>
      <c r="E134" s="52" t="n">
        <f aca="false">SUMPRODUCT((Income!D$3:D$502="INR")*(Income!A$3:A$502=B134)*(Income!A$3:A$502&lt;&gt;"")*Income!C$3:C$502)</f>
        <v>0</v>
      </c>
      <c r="F134" s="52" t="n">
        <f aca="false">SUMPRODUCT((Expenses!E$3:E$1002="INR")*(Expenses!A$3:A$1002=B134)*(Expenses!A$3:A$1002&lt;&gt;"")*Expenses!D$3:D$1002)</f>
        <v>0</v>
      </c>
      <c r="G134" s="53" t="n">
        <f aca="false">C134+D134</f>
        <v>0</v>
      </c>
      <c r="H134" s="26"/>
    </row>
    <row r="135" customFormat="false" ht="15" hidden="false" customHeight="false" outlineLevel="0" collapsed="false">
      <c r="A135" s="5" t="n">
        <v>20</v>
      </c>
      <c r="B135" s="57" t="n">
        <v>46155</v>
      </c>
      <c r="C135" s="52" t="n">
        <f aca="false">G134</f>
        <v>0</v>
      </c>
      <c r="D135" s="53" t="n">
        <f aca="false">E135-F135</f>
        <v>0</v>
      </c>
      <c r="E135" s="52" t="n">
        <f aca="false">SUMPRODUCT((Income!D$3:D$502="INR")*(Income!A$3:A$502=B135)*(Income!A$3:A$502&lt;&gt;"")*Income!C$3:C$502)</f>
        <v>0</v>
      </c>
      <c r="F135" s="52" t="n">
        <f aca="false">SUMPRODUCT((Expenses!E$3:E$1002="INR")*(Expenses!A$3:A$1002=B135)*(Expenses!A$3:A$1002&lt;&gt;"")*Expenses!D$3:D$1002)</f>
        <v>0</v>
      </c>
      <c r="G135" s="53" t="n">
        <f aca="false">C135+D135</f>
        <v>0</v>
      </c>
      <c r="H135" s="26"/>
    </row>
    <row r="136" customFormat="false" ht="15" hidden="false" customHeight="false" outlineLevel="0" collapsed="false">
      <c r="A136" s="5" t="n">
        <v>20</v>
      </c>
      <c r="B136" s="57" t="n">
        <v>46156</v>
      </c>
      <c r="C136" s="52" t="n">
        <f aca="false">G135</f>
        <v>0</v>
      </c>
      <c r="D136" s="53" t="n">
        <f aca="false">E136-F136</f>
        <v>0</v>
      </c>
      <c r="E136" s="52" t="n">
        <f aca="false">SUMPRODUCT((Income!D$3:D$502="INR")*(Income!A$3:A$502=B136)*(Income!A$3:A$502&lt;&gt;"")*Income!C$3:C$502)</f>
        <v>0</v>
      </c>
      <c r="F136" s="52" t="n">
        <f aca="false">SUMPRODUCT((Expenses!E$3:E$1002="INR")*(Expenses!A$3:A$1002=B136)*(Expenses!A$3:A$1002&lt;&gt;"")*Expenses!D$3:D$1002)</f>
        <v>0</v>
      </c>
      <c r="G136" s="53" t="n">
        <f aca="false">C136+D136</f>
        <v>0</v>
      </c>
      <c r="H136" s="26"/>
    </row>
    <row r="137" customFormat="false" ht="15" hidden="false" customHeight="false" outlineLevel="0" collapsed="false">
      <c r="A137" s="5" t="n">
        <v>20</v>
      </c>
      <c r="B137" s="57" t="n">
        <v>46157</v>
      </c>
      <c r="C137" s="52" t="n">
        <f aca="false">G136</f>
        <v>0</v>
      </c>
      <c r="D137" s="53" t="n">
        <f aca="false">E137-F137</f>
        <v>0</v>
      </c>
      <c r="E137" s="52" t="n">
        <f aca="false">SUMPRODUCT((Income!D$3:D$502="INR")*(Income!A$3:A$502=B137)*(Income!A$3:A$502&lt;&gt;"")*Income!C$3:C$502)</f>
        <v>0</v>
      </c>
      <c r="F137" s="52" t="n">
        <f aca="false">SUMPRODUCT((Expenses!E$3:E$1002="INR")*(Expenses!A$3:A$1002=B137)*(Expenses!A$3:A$1002&lt;&gt;"")*Expenses!D$3:D$1002)</f>
        <v>0</v>
      </c>
      <c r="G137" s="53" t="n">
        <f aca="false">C137+D137</f>
        <v>0</v>
      </c>
      <c r="H137" s="26"/>
    </row>
    <row r="138" customFormat="false" ht="15" hidden="false" customHeight="false" outlineLevel="0" collapsed="false">
      <c r="A138" s="5" t="n">
        <v>20</v>
      </c>
      <c r="B138" s="57" t="n">
        <v>46158</v>
      </c>
      <c r="C138" s="52" t="n">
        <f aca="false">G137</f>
        <v>0</v>
      </c>
      <c r="D138" s="53" t="n">
        <f aca="false">E138-F138</f>
        <v>0</v>
      </c>
      <c r="E138" s="52" t="n">
        <f aca="false">SUMPRODUCT((Income!D$3:D$502="INR")*(Income!A$3:A$502=B138)*(Income!A$3:A$502&lt;&gt;"")*Income!C$3:C$502)</f>
        <v>0</v>
      </c>
      <c r="F138" s="52" t="n">
        <f aca="false">SUMPRODUCT((Expenses!E$3:E$1002="INR")*(Expenses!A$3:A$1002=B138)*(Expenses!A$3:A$1002&lt;&gt;"")*Expenses!D$3:D$1002)</f>
        <v>0</v>
      </c>
      <c r="G138" s="53" t="n">
        <f aca="false">C138+D138</f>
        <v>0</v>
      </c>
      <c r="H138" s="26"/>
    </row>
    <row r="139" customFormat="false" ht="15" hidden="false" customHeight="false" outlineLevel="0" collapsed="false">
      <c r="A139" s="5" t="n">
        <v>20</v>
      </c>
      <c r="B139" s="57" t="n">
        <v>46159</v>
      </c>
      <c r="C139" s="52" t="n">
        <f aca="false">G138</f>
        <v>0</v>
      </c>
      <c r="D139" s="53" t="n">
        <f aca="false">E139-F139</f>
        <v>0</v>
      </c>
      <c r="E139" s="52" t="n">
        <f aca="false">SUMPRODUCT((Income!D$3:D$502="INR")*(Income!A$3:A$502=B139)*(Income!A$3:A$502&lt;&gt;"")*Income!C$3:C$502)</f>
        <v>0</v>
      </c>
      <c r="F139" s="52" t="n">
        <f aca="false">SUMPRODUCT((Expenses!E$3:E$1002="INR")*(Expenses!A$3:A$1002=B139)*(Expenses!A$3:A$1002&lt;&gt;"")*Expenses!D$3:D$1002)</f>
        <v>0</v>
      </c>
      <c r="G139" s="53" t="n">
        <f aca="false">C139+D139</f>
        <v>0</v>
      </c>
      <c r="H139" s="26"/>
    </row>
    <row r="140" customFormat="false" ht="15" hidden="false" customHeight="false" outlineLevel="0" collapsed="false">
      <c r="A140" s="5" t="n">
        <v>21</v>
      </c>
      <c r="B140" s="57" t="n">
        <v>46160</v>
      </c>
      <c r="C140" s="52" t="n">
        <f aca="false">G139</f>
        <v>0</v>
      </c>
      <c r="D140" s="53" t="n">
        <f aca="false">E140-F140</f>
        <v>0</v>
      </c>
      <c r="E140" s="52" t="n">
        <f aca="false">SUMPRODUCT((Income!D$3:D$502="INR")*(Income!A$3:A$502=B140)*(Income!A$3:A$502&lt;&gt;"")*Income!C$3:C$502)</f>
        <v>0</v>
      </c>
      <c r="F140" s="52" t="n">
        <f aca="false">SUMPRODUCT((Expenses!E$3:E$1002="INR")*(Expenses!A$3:A$1002=B140)*(Expenses!A$3:A$1002&lt;&gt;"")*Expenses!D$3:D$1002)</f>
        <v>0</v>
      </c>
      <c r="G140" s="53" t="n">
        <f aca="false">C140+D140</f>
        <v>0</v>
      </c>
      <c r="H140" s="26"/>
    </row>
    <row r="141" customFormat="false" ht="15" hidden="false" customHeight="false" outlineLevel="0" collapsed="false">
      <c r="A141" s="5" t="n">
        <v>21</v>
      </c>
      <c r="B141" s="57" t="n">
        <v>46161</v>
      </c>
      <c r="C141" s="52" t="n">
        <f aca="false">G140</f>
        <v>0</v>
      </c>
      <c r="D141" s="53" t="n">
        <f aca="false">E141-F141</f>
        <v>0</v>
      </c>
      <c r="E141" s="52" t="n">
        <f aca="false">SUMPRODUCT((Income!D$3:D$502="INR")*(Income!A$3:A$502=B141)*(Income!A$3:A$502&lt;&gt;"")*Income!C$3:C$502)</f>
        <v>0</v>
      </c>
      <c r="F141" s="52" t="n">
        <f aca="false">SUMPRODUCT((Expenses!E$3:E$1002="INR")*(Expenses!A$3:A$1002=B141)*(Expenses!A$3:A$1002&lt;&gt;"")*Expenses!D$3:D$1002)</f>
        <v>0</v>
      </c>
      <c r="G141" s="53" t="n">
        <f aca="false">C141+D141</f>
        <v>0</v>
      </c>
      <c r="H141" s="26"/>
    </row>
    <row r="142" customFormat="false" ht="15" hidden="false" customHeight="false" outlineLevel="0" collapsed="false">
      <c r="A142" s="5" t="n">
        <v>21</v>
      </c>
      <c r="B142" s="57" t="n">
        <v>46162</v>
      </c>
      <c r="C142" s="52" t="n">
        <f aca="false">G141</f>
        <v>0</v>
      </c>
      <c r="D142" s="53" t="n">
        <f aca="false">E142-F142</f>
        <v>0</v>
      </c>
      <c r="E142" s="52" t="n">
        <f aca="false">SUMPRODUCT((Income!D$3:D$502="INR")*(Income!A$3:A$502=B142)*(Income!A$3:A$502&lt;&gt;"")*Income!C$3:C$502)</f>
        <v>0</v>
      </c>
      <c r="F142" s="52" t="n">
        <f aca="false">SUMPRODUCT((Expenses!E$3:E$1002="INR")*(Expenses!A$3:A$1002=B142)*(Expenses!A$3:A$1002&lt;&gt;"")*Expenses!D$3:D$1002)</f>
        <v>0</v>
      </c>
      <c r="G142" s="53" t="n">
        <f aca="false">C142+D142</f>
        <v>0</v>
      </c>
      <c r="H142" s="26"/>
    </row>
    <row r="143" customFormat="false" ht="15" hidden="false" customHeight="false" outlineLevel="0" collapsed="false">
      <c r="A143" s="5" t="n">
        <v>21</v>
      </c>
      <c r="B143" s="57" t="n">
        <v>46163</v>
      </c>
      <c r="C143" s="52" t="n">
        <f aca="false">G142</f>
        <v>0</v>
      </c>
      <c r="D143" s="53" t="n">
        <f aca="false">E143-F143</f>
        <v>0</v>
      </c>
      <c r="E143" s="52" t="n">
        <f aca="false">SUMPRODUCT((Income!D$3:D$502="INR")*(Income!A$3:A$502=B143)*(Income!A$3:A$502&lt;&gt;"")*Income!C$3:C$502)</f>
        <v>0</v>
      </c>
      <c r="F143" s="52" t="n">
        <f aca="false">SUMPRODUCT((Expenses!E$3:E$1002="INR")*(Expenses!A$3:A$1002=B143)*(Expenses!A$3:A$1002&lt;&gt;"")*Expenses!D$3:D$1002)</f>
        <v>0</v>
      </c>
      <c r="G143" s="53" t="n">
        <f aca="false">C143+D143</f>
        <v>0</v>
      </c>
      <c r="H143" s="26"/>
    </row>
    <row r="144" customFormat="false" ht="15" hidden="false" customHeight="false" outlineLevel="0" collapsed="false">
      <c r="A144" s="5" t="n">
        <v>21</v>
      </c>
      <c r="B144" s="57" t="n">
        <v>46164</v>
      </c>
      <c r="C144" s="52" t="n">
        <f aca="false">G143</f>
        <v>0</v>
      </c>
      <c r="D144" s="53" t="n">
        <f aca="false">E144-F144</f>
        <v>0</v>
      </c>
      <c r="E144" s="52" t="n">
        <f aca="false">SUMPRODUCT((Income!D$3:D$502="INR")*(Income!A$3:A$502=B144)*(Income!A$3:A$502&lt;&gt;"")*Income!C$3:C$502)</f>
        <v>0</v>
      </c>
      <c r="F144" s="52" t="n">
        <f aca="false">SUMPRODUCT((Expenses!E$3:E$1002="INR")*(Expenses!A$3:A$1002=B144)*(Expenses!A$3:A$1002&lt;&gt;"")*Expenses!D$3:D$1002)</f>
        <v>0</v>
      </c>
      <c r="G144" s="53" t="n">
        <f aca="false">C144+D144</f>
        <v>0</v>
      </c>
      <c r="H144" s="26"/>
    </row>
    <row r="145" customFormat="false" ht="15" hidden="false" customHeight="false" outlineLevel="0" collapsed="false">
      <c r="A145" s="5" t="n">
        <v>21</v>
      </c>
      <c r="B145" s="57" t="n">
        <v>46165</v>
      </c>
      <c r="C145" s="52" t="n">
        <f aca="false">G144</f>
        <v>0</v>
      </c>
      <c r="D145" s="53" t="n">
        <f aca="false">E145-F145</f>
        <v>0</v>
      </c>
      <c r="E145" s="52" t="n">
        <f aca="false">SUMPRODUCT((Income!D$3:D$502="INR")*(Income!A$3:A$502=B145)*(Income!A$3:A$502&lt;&gt;"")*Income!C$3:C$502)</f>
        <v>0</v>
      </c>
      <c r="F145" s="52" t="n">
        <f aca="false">SUMPRODUCT((Expenses!E$3:E$1002="INR")*(Expenses!A$3:A$1002=B145)*(Expenses!A$3:A$1002&lt;&gt;"")*Expenses!D$3:D$1002)</f>
        <v>0</v>
      </c>
      <c r="G145" s="53" t="n">
        <f aca="false">C145+D145</f>
        <v>0</v>
      </c>
      <c r="H145" s="26"/>
    </row>
    <row r="146" customFormat="false" ht="15" hidden="false" customHeight="false" outlineLevel="0" collapsed="false">
      <c r="A146" s="5" t="n">
        <v>21</v>
      </c>
      <c r="B146" s="57" t="n">
        <v>46166</v>
      </c>
      <c r="C146" s="52" t="n">
        <f aca="false">G145</f>
        <v>0</v>
      </c>
      <c r="D146" s="53" t="n">
        <f aca="false">E146-F146</f>
        <v>0</v>
      </c>
      <c r="E146" s="52" t="n">
        <f aca="false">SUMPRODUCT((Income!D$3:D$502="INR")*(Income!A$3:A$502=B146)*(Income!A$3:A$502&lt;&gt;"")*Income!C$3:C$502)</f>
        <v>0</v>
      </c>
      <c r="F146" s="52" t="n">
        <f aca="false">SUMPRODUCT((Expenses!E$3:E$1002="INR")*(Expenses!A$3:A$1002=B146)*(Expenses!A$3:A$1002&lt;&gt;"")*Expenses!D$3:D$1002)</f>
        <v>0</v>
      </c>
      <c r="G146" s="53" t="n">
        <f aca="false">C146+D146</f>
        <v>0</v>
      </c>
      <c r="H146" s="26"/>
    </row>
    <row r="147" customFormat="false" ht="15" hidden="false" customHeight="false" outlineLevel="0" collapsed="false">
      <c r="A147" s="5" t="n">
        <v>22</v>
      </c>
      <c r="B147" s="57" t="n">
        <v>46167</v>
      </c>
      <c r="C147" s="52" t="n">
        <f aca="false">G146</f>
        <v>0</v>
      </c>
      <c r="D147" s="53" t="n">
        <f aca="false">E147-F147</f>
        <v>0</v>
      </c>
      <c r="E147" s="52" t="n">
        <f aca="false">SUMPRODUCT((Income!D$3:D$502="INR")*(Income!A$3:A$502=B147)*(Income!A$3:A$502&lt;&gt;"")*Income!C$3:C$502)</f>
        <v>0</v>
      </c>
      <c r="F147" s="52" t="n">
        <f aca="false">SUMPRODUCT((Expenses!E$3:E$1002="INR")*(Expenses!A$3:A$1002=B147)*(Expenses!A$3:A$1002&lt;&gt;"")*Expenses!D$3:D$1002)</f>
        <v>0</v>
      </c>
      <c r="G147" s="53" t="n">
        <f aca="false">C147+D147</f>
        <v>0</v>
      </c>
      <c r="H147" s="26"/>
    </row>
    <row r="148" customFormat="false" ht="15" hidden="false" customHeight="false" outlineLevel="0" collapsed="false">
      <c r="A148" s="5" t="n">
        <v>22</v>
      </c>
      <c r="B148" s="57" t="n">
        <v>46168</v>
      </c>
      <c r="C148" s="52" t="n">
        <f aca="false">G147</f>
        <v>0</v>
      </c>
      <c r="D148" s="53" t="n">
        <f aca="false">E148-F148</f>
        <v>0</v>
      </c>
      <c r="E148" s="52" t="n">
        <f aca="false">SUMPRODUCT((Income!D$3:D$502="INR")*(Income!A$3:A$502=B148)*(Income!A$3:A$502&lt;&gt;"")*Income!C$3:C$502)</f>
        <v>0</v>
      </c>
      <c r="F148" s="52" t="n">
        <f aca="false">SUMPRODUCT((Expenses!E$3:E$1002="INR")*(Expenses!A$3:A$1002=B148)*(Expenses!A$3:A$1002&lt;&gt;"")*Expenses!D$3:D$1002)</f>
        <v>0</v>
      </c>
      <c r="G148" s="53" t="n">
        <f aca="false">C148+D148</f>
        <v>0</v>
      </c>
      <c r="H148" s="26"/>
    </row>
    <row r="149" customFormat="false" ht="15" hidden="false" customHeight="false" outlineLevel="0" collapsed="false">
      <c r="A149" s="5" t="n">
        <v>22</v>
      </c>
      <c r="B149" s="57" t="n">
        <v>46169</v>
      </c>
      <c r="C149" s="52" t="n">
        <f aca="false">G148</f>
        <v>0</v>
      </c>
      <c r="D149" s="53" t="n">
        <f aca="false">E149-F149</f>
        <v>0</v>
      </c>
      <c r="E149" s="52" t="n">
        <f aca="false">SUMPRODUCT((Income!D$3:D$502="INR")*(Income!A$3:A$502=B149)*(Income!A$3:A$502&lt;&gt;"")*Income!C$3:C$502)</f>
        <v>0</v>
      </c>
      <c r="F149" s="52" t="n">
        <f aca="false">SUMPRODUCT((Expenses!E$3:E$1002="INR")*(Expenses!A$3:A$1002=B149)*(Expenses!A$3:A$1002&lt;&gt;"")*Expenses!D$3:D$1002)</f>
        <v>0</v>
      </c>
      <c r="G149" s="53" t="n">
        <f aca="false">C149+D149</f>
        <v>0</v>
      </c>
      <c r="H149" s="26"/>
    </row>
    <row r="150" customFormat="false" ht="15" hidden="false" customHeight="false" outlineLevel="0" collapsed="false">
      <c r="A150" s="5" t="n">
        <v>22</v>
      </c>
      <c r="B150" s="57" t="n">
        <v>46170</v>
      </c>
      <c r="C150" s="52" t="n">
        <f aca="false">G149</f>
        <v>0</v>
      </c>
      <c r="D150" s="53" t="n">
        <f aca="false">E150-F150</f>
        <v>0</v>
      </c>
      <c r="E150" s="52" t="n">
        <f aca="false">SUMPRODUCT((Income!D$3:D$502="INR")*(Income!A$3:A$502=B150)*(Income!A$3:A$502&lt;&gt;"")*Income!C$3:C$502)</f>
        <v>0</v>
      </c>
      <c r="F150" s="52" t="n">
        <f aca="false">SUMPRODUCT((Expenses!E$3:E$1002="INR")*(Expenses!A$3:A$1002=B150)*(Expenses!A$3:A$1002&lt;&gt;"")*Expenses!D$3:D$1002)</f>
        <v>0</v>
      </c>
      <c r="G150" s="53" t="n">
        <f aca="false">C150+D150</f>
        <v>0</v>
      </c>
      <c r="H150" s="26"/>
    </row>
    <row r="151" customFormat="false" ht="15" hidden="false" customHeight="false" outlineLevel="0" collapsed="false">
      <c r="A151" s="5" t="n">
        <v>22</v>
      </c>
      <c r="B151" s="57" t="n">
        <v>46171</v>
      </c>
      <c r="C151" s="52" t="n">
        <f aca="false">G150</f>
        <v>0</v>
      </c>
      <c r="D151" s="53" t="n">
        <f aca="false">E151-F151</f>
        <v>0</v>
      </c>
      <c r="E151" s="52" t="n">
        <f aca="false">SUMPRODUCT((Income!D$3:D$502="INR")*(Income!A$3:A$502=B151)*(Income!A$3:A$502&lt;&gt;"")*Income!C$3:C$502)</f>
        <v>0</v>
      </c>
      <c r="F151" s="52" t="n">
        <f aca="false">SUMPRODUCT((Expenses!E$3:E$1002="INR")*(Expenses!A$3:A$1002=B151)*(Expenses!A$3:A$1002&lt;&gt;"")*Expenses!D$3:D$1002)</f>
        <v>0</v>
      </c>
      <c r="G151" s="53" t="n">
        <f aca="false">C151+D151</f>
        <v>0</v>
      </c>
      <c r="H151" s="26"/>
    </row>
    <row r="152" customFormat="false" ht="15" hidden="false" customHeight="false" outlineLevel="0" collapsed="false">
      <c r="A152" s="5" t="n">
        <v>22</v>
      </c>
      <c r="B152" s="57" t="n">
        <v>46172</v>
      </c>
      <c r="C152" s="52" t="n">
        <f aca="false">G151</f>
        <v>0</v>
      </c>
      <c r="D152" s="53" t="n">
        <f aca="false">E152-F152</f>
        <v>0</v>
      </c>
      <c r="E152" s="52" t="n">
        <f aca="false">SUMPRODUCT((Income!D$3:D$502="INR")*(Income!A$3:A$502=B152)*(Income!A$3:A$502&lt;&gt;"")*Income!C$3:C$502)</f>
        <v>0</v>
      </c>
      <c r="F152" s="52" t="n">
        <f aca="false">SUMPRODUCT((Expenses!E$3:E$1002="INR")*(Expenses!A$3:A$1002=B152)*(Expenses!A$3:A$1002&lt;&gt;"")*Expenses!D$3:D$1002)</f>
        <v>0</v>
      </c>
      <c r="G152" s="53" t="n">
        <f aca="false">C152+D152</f>
        <v>0</v>
      </c>
      <c r="H152" s="26"/>
    </row>
    <row r="153" customFormat="false" ht="15" hidden="false" customHeight="false" outlineLevel="0" collapsed="false">
      <c r="A153" s="5" t="n">
        <v>22</v>
      </c>
      <c r="B153" s="57" t="n">
        <v>46173</v>
      </c>
      <c r="C153" s="52" t="n">
        <f aca="false">G152</f>
        <v>0</v>
      </c>
      <c r="D153" s="53" t="n">
        <f aca="false">E153-F153</f>
        <v>0</v>
      </c>
      <c r="E153" s="52" t="n">
        <f aca="false">SUMPRODUCT((Income!D$3:D$502="INR")*(Income!A$3:A$502=B153)*(Income!A$3:A$502&lt;&gt;"")*Income!C$3:C$502)</f>
        <v>0</v>
      </c>
      <c r="F153" s="52" t="n">
        <f aca="false">SUMPRODUCT((Expenses!E$3:E$1002="INR")*(Expenses!A$3:A$1002=B153)*(Expenses!A$3:A$1002&lt;&gt;"")*Expenses!D$3:D$1002)</f>
        <v>0</v>
      </c>
      <c r="G153" s="53" t="n">
        <f aca="false">C153+D153</f>
        <v>0</v>
      </c>
      <c r="H153" s="26"/>
    </row>
    <row r="154" customFormat="false" ht="15" hidden="false" customHeight="false" outlineLevel="0" collapsed="false">
      <c r="A154" s="5" t="n">
        <v>23</v>
      </c>
      <c r="B154" s="57" t="n">
        <v>46174</v>
      </c>
      <c r="C154" s="52" t="n">
        <f aca="false">G153</f>
        <v>0</v>
      </c>
      <c r="D154" s="53" t="n">
        <f aca="false">E154-F154</f>
        <v>0</v>
      </c>
      <c r="E154" s="52" t="n">
        <f aca="false">SUMPRODUCT((Income!D$3:D$502="INR")*(Income!A$3:A$502=B154)*(Income!A$3:A$502&lt;&gt;"")*Income!C$3:C$502)</f>
        <v>0</v>
      </c>
      <c r="F154" s="52" t="n">
        <f aca="false">SUMPRODUCT((Expenses!E$3:E$1002="INR")*(Expenses!A$3:A$1002=B154)*(Expenses!A$3:A$1002&lt;&gt;"")*Expenses!D$3:D$1002)</f>
        <v>0</v>
      </c>
      <c r="G154" s="53" t="n">
        <f aca="false">C154+D154</f>
        <v>0</v>
      </c>
      <c r="H154" s="26"/>
    </row>
    <row r="155" customFormat="false" ht="15" hidden="false" customHeight="false" outlineLevel="0" collapsed="false">
      <c r="A155" s="5" t="n">
        <v>23</v>
      </c>
      <c r="B155" s="57" t="n">
        <v>46175</v>
      </c>
      <c r="C155" s="52" t="n">
        <f aca="false">G154</f>
        <v>0</v>
      </c>
      <c r="D155" s="53" t="n">
        <f aca="false">E155-F155</f>
        <v>0</v>
      </c>
      <c r="E155" s="52" t="n">
        <f aca="false">SUMPRODUCT((Income!D$3:D$502="INR")*(Income!A$3:A$502=B155)*(Income!A$3:A$502&lt;&gt;"")*Income!C$3:C$502)</f>
        <v>0</v>
      </c>
      <c r="F155" s="52" t="n">
        <f aca="false">SUMPRODUCT((Expenses!E$3:E$1002="INR")*(Expenses!A$3:A$1002=B155)*(Expenses!A$3:A$1002&lt;&gt;"")*Expenses!D$3:D$1002)</f>
        <v>0</v>
      </c>
      <c r="G155" s="53" t="n">
        <f aca="false">C155+D155</f>
        <v>0</v>
      </c>
      <c r="H155" s="26"/>
    </row>
    <row r="156" customFormat="false" ht="15" hidden="false" customHeight="false" outlineLevel="0" collapsed="false">
      <c r="A156" s="5" t="n">
        <v>23</v>
      </c>
      <c r="B156" s="57" t="n">
        <v>46176</v>
      </c>
      <c r="C156" s="52" t="n">
        <f aca="false">G155</f>
        <v>0</v>
      </c>
      <c r="D156" s="53" t="n">
        <f aca="false">E156-F156</f>
        <v>0</v>
      </c>
      <c r="E156" s="52" t="n">
        <f aca="false">SUMPRODUCT((Income!D$3:D$502="INR")*(Income!A$3:A$502=B156)*(Income!A$3:A$502&lt;&gt;"")*Income!C$3:C$502)</f>
        <v>0</v>
      </c>
      <c r="F156" s="52" t="n">
        <f aca="false">SUMPRODUCT((Expenses!E$3:E$1002="INR")*(Expenses!A$3:A$1002=B156)*(Expenses!A$3:A$1002&lt;&gt;"")*Expenses!D$3:D$1002)</f>
        <v>0</v>
      </c>
      <c r="G156" s="53" t="n">
        <f aca="false">C156+D156</f>
        <v>0</v>
      </c>
      <c r="H156" s="26"/>
    </row>
    <row r="157" customFormat="false" ht="15" hidden="false" customHeight="false" outlineLevel="0" collapsed="false">
      <c r="A157" s="5" t="n">
        <v>23</v>
      </c>
      <c r="B157" s="57" t="n">
        <v>46177</v>
      </c>
      <c r="C157" s="52" t="n">
        <f aca="false">G156</f>
        <v>0</v>
      </c>
      <c r="D157" s="53" t="n">
        <f aca="false">E157-F157</f>
        <v>0</v>
      </c>
      <c r="E157" s="52" t="n">
        <f aca="false">SUMPRODUCT((Income!D$3:D$502="INR")*(Income!A$3:A$502=B157)*(Income!A$3:A$502&lt;&gt;"")*Income!C$3:C$502)</f>
        <v>0</v>
      </c>
      <c r="F157" s="52" t="n">
        <f aca="false">SUMPRODUCT((Expenses!E$3:E$1002="INR")*(Expenses!A$3:A$1002=B157)*(Expenses!A$3:A$1002&lt;&gt;"")*Expenses!D$3:D$1002)</f>
        <v>0</v>
      </c>
      <c r="G157" s="53" t="n">
        <f aca="false">C157+D157</f>
        <v>0</v>
      </c>
      <c r="H157" s="26"/>
    </row>
    <row r="158" customFormat="false" ht="15" hidden="false" customHeight="false" outlineLevel="0" collapsed="false">
      <c r="A158" s="5" t="n">
        <v>23</v>
      </c>
      <c r="B158" s="57" t="n">
        <v>46178</v>
      </c>
      <c r="C158" s="52" t="n">
        <f aca="false">G157</f>
        <v>0</v>
      </c>
      <c r="D158" s="53" t="n">
        <f aca="false">E158-F158</f>
        <v>0</v>
      </c>
      <c r="E158" s="52" t="n">
        <f aca="false">SUMPRODUCT((Income!D$3:D$502="INR")*(Income!A$3:A$502=B158)*(Income!A$3:A$502&lt;&gt;"")*Income!C$3:C$502)</f>
        <v>0</v>
      </c>
      <c r="F158" s="52" t="n">
        <f aca="false">SUMPRODUCT((Expenses!E$3:E$1002="INR")*(Expenses!A$3:A$1002=B158)*(Expenses!A$3:A$1002&lt;&gt;"")*Expenses!D$3:D$1002)</f>
        <v>0</v>
      </c>
      <c r="G158" s="53" t="n">
        <f aca="false">C158+D158</f>
        <v>0</v>
      </c>
      <c r="H158" s="26"/>
    </row>
    <row r="159" customFormat="false" ht="15" hidden="false" customHeight="false" outlineLevel="0" collapsed="false">
      <c r="A159" s="5" t="n">
        <v>23</v>
      </c>
      <c r="B159" s="57" t="n">
        <v>46179</v>
      </c>
      <c r="C159" s="52" t="n">
        <f aca="false">G158</f>
        <v>0</v>
      </c>
      <c r="D159" s="53" t="n">
        <f aca="false">E159-F159</f>
        <v>0</v>
      </c>
      <c r="E159" s="52" t="n">
        <f aca="false">SUMPRODUCT((Income!D$3:D$502="INR")*(Income!A$3:A$502=B159)*(Income!A$3:A$502&lt;&gt;"")*Income!C$3:C$502)</f>
        <v>0</v>
      </c>
      <c r="F159" s="52" t="n">
        <f aca="false">SUMPRODUCT((Expenses!E$3:E$1002="INR")*(Expenses!A$3:A$1002=B159)*(Expenses!A$3:A$1002&lt;&gt;"")*Expenses!D$3:D$1002)</f>
        <v>0</v>
      </c>
      <c r="G159" s="53" t="n">
        <f aca="false">C159+D159</f>
        <v>0</v>
      </c>
      <c r="H159" s="26"/>
    </row>
    <row r="160" customFormat="false" ht="15" hidden="false" customHeight="false" outlineLevel="0" collapsed="false">
      <c r="A160" s="5" t="n">
        <v>23</v>
      </c>
      <c r="B160" s="57" t="n">
        <v>46180</v>
      </c>
      <c r="C160" s="52" t="n">
        <f aca="false">G159</f>
        <v>0</v>
      </c>
      <c r="D160" s="53" t="n">
        <f aca="false">E160-F160</f>
        <v>0</v>
      </c>
      <c r="E160" s="52" t="n">
        <f aca="false">SUMPRODUCT((Income!D$3:D$502="INR")*(Income!A$3:A$502=B160)*(Income!A$3:A$502&lt;&gt;"")*Income!C$3:C$502)</f>
        <v>0</v>
      </c>
      <c r="F160" s="52" t="n">
        <f aca="false">SUMPRODUCT((Expenses!E$3:E$1002="INR")*(Expenses!A$3:A$1002=B160)*(Expenses!A$3:A$1002&lt;&gt;"")*Expenses!D$3:D$1002)</f>
        <v>0</v>
      </c>
      <c r="G160" s="53" t="n">
        <f aca="false">C160+D160</f>
        <v>0</v>
      </c>
      <c r="H160" s="26"/>
    </row>
    <row r="161" customFormat="false" ht="15" hidden="false" customHeight="false" outlineLevel="0" collapsed="false">
      <c r="A161" s="5" t="n">
        <v>24</v>
      </c>
      <c r="B161" s="57" t="n">
        <v>46181</v>
      </c>
      <c r="C161" s="52" t="n">
        <f aca="false">G160</f>
        <v>0</v>
      </c>
      <c r="D161" s="53" t="n">
        <f aca="false">E161-F161</f>
        <v>0</v>
      </c>
      <c r="E161" s="52" t="n">
        <f aca="false">SUMPRODUCT((Income!D$3:D$502="INR")*(Income!A$3:A$502=B161)*(Income!A$3:A$502&lt;&gt;"")*Income!C$3:C$502)</f>
        <v>0</v>
      </c>
      <c r="F161" s="52" t="n">
        <f aca="false">SUMPRODUCT((Expenses!E$3:E$1002="INR")*(Expenses!A$3:A$1002=B161)*(Expenses!A$3:A$1002&lt;&gt;"")*Expenses!D$3:D$1002)</f>
        <v>0</v>
      </c>
      <c r="G161" s="53" t="n">
        <f aca="false">C161+D161</f>
        <v>0</v>
      </c>
      <c r="H161" s="26"/>
    </row>
    <row r="162" customFormat="false" ht="15" hidden="false" customHeight="false" outlineLevel="0" collapsed="false">
      <c r="A162" s="5" t="n">
        <v>24</v>
      </c>
      <c r="B162" s="57" t="n">
        <v>46182</v>
      </c>
      <c r="C162" s="52" t="n">
        <f aca="false">G161</f>
        <v>0</v>
      </c>
      <c r="D162" s="53" t="n">
        <f aca="false">E162-F162</f>
        <v>0</v>
      </c>
      <c r="E162" s="52" t="n">
        <f aca="false">SUMPRODUCT((Income!D$3:D$502="INR")*(Income!A$3:A$502=B162)*(Income!A$3:A$502&lt;&gt;"")*Income!C$3:C$502)</f>
        <v>0</v>
      </c>
      <c r="F162" s="52" t="n">
        <f aca="false">SUMPRODUCT((Expenses!E$3:E$1002="INR")*(Expenses!A$3:A$1002=B162)*(Expenses!A$3:A$1002&lt;&gt;"")*Expenses!D$3:D$1002)</f>
        <v>0</v>
      </c>
      <c r="G162" s="53" t="n">
        <f aca="false">C162+D162</f>
        <v>0</v>
      </c>
      <c r="H162" s="26"/>
    </row>
    <row r="163" customFormat="false" ht="15" hidden="false" customHeight="false" outlineLevel="0" collapsed="false">
      <c r="A163" s="5" t="n">
        <v>24</v>
      </c>
      <c r="B163" s="57" t="n">
        <v>46183</v>
      </c>
      <c r="C163" s="52" t="n">
        <f aca="false">G162</f>
        <v>0</v>
      </c>
      <c r="D163" s="53" t="n">
        <f aca="false">E163-F163</f>
        <v>0</v>
      </c>
      <c r="E163" s="52" t="n">
        <f aca="false">SUMPRODUCT((Income!D$3:D$502="INR")*(Income!A$3:A$502=B163)*(Income!A$3:A$502&lt;&gt;"")*Income!C$3:C$502)</f>
        <v>0</v>
      </c>
      <c r="F163" s="52" t="n">
        <f aca="false">SUMPRODUCT((Expenses!E$3:E$1002="INR")*(Expenses!A$3:A$1002=B163)*(Expenses!A$3:A$1002&lt;&gt;"")*Expenses!D$3:D$1002)</f>
        <v>0</v>
      </c>
      <c r="G163" s="53" t="n">
        <f aca="false">C163+D163</f>
        <v>0</v>
      </c>
      <c r="H163" s="26"/>
    </row>
    <row r="164" customFormat="false" ht="15" hidden="false" customHeight="false" outlineLevel="0" collapsed="false">
      <c r="A164" s="5" t="n">
        <v>24</v>
      </c>
      <c r="B164" s="57" t="n">
        <v>46184</v>
      </c>
      <c r="C164" s="52" t="n">
        <f aca="false">G163</f>
        <v>0</v>
      </c>
      <c r="D164" s="53" t="n">
        <f aca="false">E164-F164</f>
        <v>0</v>
      </c>
      <c r="E164" s="52" t="n">
        <f aca="false">SUMPRODUCT((Income!D$3:D$502="INR")*(Income!A$3:A$502=B164)*(Income!A$3:A$502&lt;&gt;"")*Income!C$3:C$502)</f>
        <v>0</v>
      </c>
      <c r="F164" s="52" t="n">
        <f aca="false">SUMPRODUCT((Expenses!E$3:E$1002="INR")*(Expenses!A$3:A$1002=B164)*(Expenses!A$3:A$1002&lt;&gt;"")*Expenses!D$3:D$1002)</f>
        <v>0</v>
      </c>
      <c r="G164" s="53" t="n">
        <f aca="false">C164+D164</f>
        <v>0</v>
      </c>
      <c r="H164" s="26"/>
    </row>
    <row r="165" customFormat="false" ht="15" hidden="false" customHeight="false" outlineLevel="0" collapsed="false">
      <c r="A165" s="5" t="n">
        <v>24</v>
      </c>
      <c r="B165" s="57" t="n">
        <v>46185</v>
      </c>
      <c r="C165" s="52" t="n">
        <f aca="false">G164</f>
        <v>0</v>
      </c>
      <c r="D165" s="53" t="n">
        <f aca="false">E165-F165</f>
        <v>0</v>
      </c>
      <c r="E165" s="52" t="n">
        <f aca="false">SUMPRODUCT((Income!D$3:D$502="INR")*(Income!A$3:A$502=B165)*(Income!A$3:A$502&lt;&gt;"")*Income!C$3:C$502)</f>
        <v>0</v>
      </c>
      <c r="F165" s="52" t="n">
        <f aca="false">SUMPRODUCT((Expenses!E$3:E$1002="INR")*(Expenses!A$3:A$1002=B165)*(Expenses!A$3:A$1002&lt;&gt;"")*Expenses!D$3:D$1002)</f>
        <v>0</v>
      </c>
      <c r="G165" s="53" t="n">
        <f aca="false">C165+D165</f>
        <v>0</v>
      </c>
      <c r="H165" s="26"/>
    </row>
    <row r="166" customFormat="false" ht="15" hidden="false" customHeight="false" outlineLevel="0" collapsed="false">
      <c r="A166" s="5" t="n">
        <v>24</v>
      </c>
      <c r="B166" s="57" t="n">
        <v>46186</v>
      </c>
      <c r="C166" s="52" t="n">
        <f aca="false">G165</f>
        <v>0</v>
      </c>
      <c r="D166" s="53" t="n">
        <f aca="false">E166-F166</f>
        <v>0</v>
      </c>
      <c r="E166" s="52" t="n">
        <f aca="false">SUMPRODUCT((Income!D$3:D$502="INR")*(Income!A$3:A$502=B166)*(Income!A$3:A$502&lt;&gt;"")*Income!C$3:C$502)</f>
        <v>0</v>
      </c>
      <c r="F166" s="52" t="n">
        <f aca="false">SUMPRODUCT((Expenses!E$3:E$1002="INR")*(Expenses!A$3:A$1002=B166)*(Expenses!A$3:A$1002&lt;&gt;"")*Expenses!D$3:D$1002)</f>
        <v>0</v>
      </c>
      <c r="G166" s="53" t="n">
        <f aca="false">C166+D166</f>
        <v>0</v>
      </c>
      <c r="H166" s="26"/>
    </row>
    <row r="167" customFormat="false" ht="15" hidden="false" customHeight="false" outlineLevel="0" collapsed="false">
      <c r="A167" s="5" t="n">
        <v>24</v>
      </c>
      <c r="B167" s="57" t="n">
        <v>46187</v>
      </c>
      <c r="C167" s="52" t="n">
        <f aca="false">G166</f>
        <v>0</v>
      </c>
      <c r="D167" s="53" t="n">
        <f aca="false">E167-F167</f>
        <v>0</v>
      </c>
      <c r="E167" s="52" t="n">
        <f aca="false">SUMPRODUCT((Income!D$3:D$502="INR")*(Income!A$3:A$502=B167)*(Income!A$3:A$502&lt;&gt;"")*Income!C$3:C$502)</f>
        <v>0</v>
      </c>
      <c r="F167" s="52" t="n">
        <f aca="false">SUMPRODUCT((Expenses!E$3:E$1002="INR")*(Expenses!A$3:A$1002=B167)*(Expenses!A$3:A$1002&lt;&gt;"")*Expenses!D$3:D$1002)</f>
        <v>0</v>
      </c>
      <c r="G167" s="53" t="n">
        <f aca="false">C167+D167</f>
        <v>0</v>
      </c>
      <c r="H167" s="26"/>
    </row>
    <row r="168" customFormat="false" ht="15" hidden="false" customHeight="false" outlineLevel="0" collapsed="false">
      <c r="A168" s="5" t="n">
        <v>25</v>
      </c>
      <c r="B168" s="57" t="n">
        <v>46188</v>
      </c>
      <c r="C168" s="52" t="n">
        <f aca="false">G167</f>
        <v>0</v>
      </c>
      <c r="D168" s="53" t="n">
        <f aca="false">E168-F168</f>
        <v>0</v>
      </c>
      <c r="E168" s="52" t="n">
        <f aca="false">SUMPRODUCT((Income!D$3:D$502="INR")*(Income!A$3:A$502=B168)*(Income!A$3:A$502&lt;&gt;"")*Income!C$3:C$502)</f>
        <v>0</v>
      </c>
      <c r="F168" s="52" t="n">
        <f aca="false">SUMPRODUCT((Expenses!E$3:E$1002="INR")*(Expenses!A$3:A$1002=B168)*(Expenses!A$3:A$1002&lt;&gt;"")*Expenses!D$3:D$1002)</f>
        <v>0</v>
      </c>
      <c r="G168" s="53" t="n">
        <f aca="false">C168+D168</f>
        <v>0</v>
      </c>
      <c r="H168" s="26"/>
    </row>
    <row r="169" customFormat="false" ht="15" hidden="false" customHeight="false" outlineLevel="0" collapsed="false">
      <c r="A169" s="5" t="n">
        <v>25</v>
      </c>
      <c r="B169" s="57" t="n">
        <v>46189</v>
      </c>
      <c r="C169" s="52" t="n">
        <f aca="false">G168</f>
        <v>0</v>
      </c>
      <c r="D169" s="53" t="n">
        <f aca="false">E169-F169</f>
        <v>0</v>
      </c>
      <c r="E169" s="52" t="n">
        <f aca="false">SUMPRODUCT((Income!D$3:D$502="INR")*(Income!A$3:A$502=B169)*(Income!A$3:A$502&lt;&gt;"")*Income!C$3:C$502)</f>
        <v>0</v>
      </c>
      <c r="F169" s="52" t="n">
        <f aca="false">SUMPRODUCT((Expenses!E$3:E$1002="INR")*(Expenses!A$3:A$1002=B169)*(Expenses!A$3:A$1002&lt;&gt;"")*Expenses!D$3:D$1002)</f>
        <v>0</v>
      </c>
      <c r="G169" s="53" t="n">
        <f aca="false">C169+D169</f>
        <v>0</v>
      </c>
      <c r="H169" s="26"/>
    </row>
    <row r="170" customFormat="false" ht="15" hidden="false" customHeight="false" outlineLevel="0" collapsed="false">
      <c r="A170" s="5" t="n">
        <v>25</v>
      </c>
      <c r="B170" s="57" t="n">
        <v>46190</v>
      </c>
      <c r="C170" s="52" t="n">
        <f aca="false">G169</f>
        <v>0</v>
      </c>
      <c r="D170" s="53" t="n">
        <f aca="false">E170-F170</f>
        <v>0</v>
      </c>
      <c r="E170" s="52" t="n">
        <f aca="false">SUMPRODUCT((Income!D$3:D$502="INR")*(Income!A$3:A$502=B170)*(Income!A$3:A$502&lt;&gt;"")*Income!C$3:C$502)</f>
        <v>0</v>
      </c>
      <c r="F170" s="52" t="n">
        <f aca="false">SUMPRODUCT((Expenses!E$3:E$1002="INR")*(Expenses!A$3:A$1002=B170)*(Expenses!A$3:A$1002&lt;&gt;"")*Expenses!D$3:D$1002)</f>
        <v>0</v>
      </c>
      <c r="G170" s="53" t="n">
        <f aca="false">C170+D170</f>
        <v>0</v>
      </c>
      <c r="H170" s="26"/>
    </row>
    <row r="171" customFormat="false" ht="15" hidden="false" customHeight="false" outlineLevel="0" collapsed="false">
      <c r="A171" s="5" t="n">
        <v>25</v>
      </c>
      <c r="B171" s="57" t="n">
        <v>46191</v>
      </c>
      <c r="C171" s="52" t="n">
        <f aca="false">G170</f>
        <v>0</v>
      </c>
      <c r="D171" s="53" t="n">
        <f aca="false">E171-F171</f>
        <v>0</v>
      </c>
      <c r="E171" s="52" t="n">
        <f aca="false">SUMPRODUCT((Income!D$3:D$502="INR")*(Income!A$3:A$502=B171)*(Income!A$3:A$502&lt;&gt;"")*Income!C$3:C$502)</f>
        <v>0</v>
      </c>
      <c r="F171" s="52" t="n">
        <f aca="false">SUMPRODUCT((Expenses!E$3:E$1002="INR")*(Expenses!A$3:A$1002=B171)*(Expenses!A$3:A$1002&lt;&gt;"")*Expenses!D$3:D$1002)</f>
        <v>0</v>
      </c>
      <c r="G171" s="53" t="n">
        <f aca="false">C171+D171</f>
        <v>0</v>
      </c>
      <c r="H171" s="26"/>
    </row>
    <row r="172" customFormat="false" ht="15" hidden="false" customHeight="false" outlineLevel="0" collapsed="false">
      <c r="A172" s="5" t="n">
        <v>25</v>
      </c>
      <c r="B172" s="57" t="n">
        <v>46192</v>
      </c>
      <c r="C172" s="52" t="n">
        <f aca="false">G171</f>
        <v>0</v>
      </c>
      <c r="D172" s="53" t="n">
        <f aca="false">E172-F172</f>
        <v>0</v>
      </c>
      <c r="E172" s="52" t="n">
        <f aca="false">SUMPRODUCT((Income!D$3:D$502="INR")*(Income!A$3:A$502=B172)*(Income!A$3:A$502&lt;&gt;"")*Income!C$3:C$502)</f>
        <v>0</v>
      </c>
      <c r="F172" s="52" t="n">
        <f aca="false">SUMPRODUCT((Expenses!E$3:E$1002="INR")*(Expenses!A$3:A$1002=B172)*(Expenses!A$3:A$1002&lt;&gt;"")*Expenses!D$3:D$1002)</f>
        <v>0</v>
      </c>
      <c r="G172" s="53" t="n">
        <f aca="false">C172+D172</f>
        <v>0</v>
      </c>
      <c r="H172" s="26"/>
    </row>
    <row r="173" customFormat="false" ht="15" hidden="false" customHeight="false" outlineLevel="0" collapsed="false">
      <c r="A173" s="5" t="n">
        <v>25</v>
      </c>
      <c r="B173" s="57" t="n">
        <v>46193</v>
      </c>
      <c r="C173" s="52" t="n">
        <f aca="false">G172</f>
        <v>0</v>
      </c>
      <c r="D173" s="53" t="n">
        <f aca="false">E173-F173</f>
        <v>0</v>
      </c>
      <c r="E173" s="52" t="n">
        <f aca="false">SUMPRODUCT((Income!D$3:D$502="INR")*(Income!A$3:A$502=B173)*(Income!A$3:A$502&lt;&gt;"")*Income!C$3:C$502)</f>
        <v>0</v>
      </c>
      <c r="F173" s="52" t="n">
        <f aca="false">SUMPRODUCT((Expenses!E$3:E$1002="INR")*(Expenses!A$3:A$1002=B173)*(Expenses!A$3:A$1002&lt;&gt;"")*Expenses!D$3:D$1002)</f>
        <v>0</v>
      </c>
      <c r="G173" s="53" t="n">
        <f aca="false">C173+D173</f>
        <v>0</v>
      </c>
      <c r="H173" s="26"/>
    </row>
    <row r="174" customFormat="false" ht="15" hidden="false" customHeight="false" outlineLevel="0" collapsed="false">
      <c r="A174" s="5" t="n">
        <v>25</v>
      </c>
      <c r="B174" s="57" t="n">
        <v>46194</v>
      </c>
      <c r="C174" s="52" t="n">
        <f aca="false">G173</f>
        <v>0</v>
      </c>
      <c r="D174" s="53" t="n">
        <f aca="false">E174-F174</f>
        <v>0</v>
      </c>
      <c r="E174" s="52" t="n">
        <f aca="false">SUMPRODUCT((Income!D$3:D$502="INR")*(Income!A$3:A$502=B174)*(Income!A$3:A$502&lt;&gt;"")*Income!C$3:C$502)</f>
        <v>0</v>
      </c>
      <c r="F174" s="52" t="n">
        <f aca="false">SUMPRODUCT((Expenses!E$3:E$1002="INR")*(Expenses!A$3:A$1002=B174)*(Expenses!A$3:A$1002&lt;&gt;"")*Expenses!D$3:D$1002)</f>
        <v>0</v>
      </c>
      <c r="G174" s="53" t="n">
        <f aca="false">C174+D174</f>
        <v>0</v>
      </c>
      <c r="H174" s="26"/>
    </row>
    <row r="175" customFormat="false" ht="15" hidden="false" customHeight="false" outlineLevel="0" collapsed="false">
      <c r="A175" s="5" t="n">
        <v>26</v>
      </c>
      <c r="B175" s="57" t="n">
        <v>46195</v>
      </c>
      <c r="C175" s="52" t="n">
        <f aca="false">G174</f>
        <v>0</v>
      </c>
      <c r="D175" s="53" t="n">
        <f aca="false">E175-F175</f>
        <v>0</v>
      </c>
      <c r="E175" s="52" t="n">
        <f aca="false">SUMPRODUCT((Income!D$3:D$502="INR")*(Income!A$3:A$502=B175)*(Income!A$3:A$502&lt;&gt;"")*Income!C$3:C$502)</f>
        <v>0</v>
      </c>
      <c r="F175" s="52" t="n">
        <f aca="false">SUMPRODUCT((Expenses!E$3:E$1002="INR")*(Expenses!A$3:A$1002=B175)*(Expenses!A$3:A$1002&lt;&gt;"")*Expenses!D$3:D$1002)</f>
        <v>0</v>
      </c>
      <c r="G175" s="53" t="n">
        <f aca="false">C175+D175</f>
        <v>0</v>
      </c>
      <c r="H175" s="26"/>
    </row>
    <row r="176" customFormat="false" ht="15" hidden="false" customHeight="false" outlineLevel="0" collapsed="false">
      <c r="A176" s="5" t="n">
        <v>26</v>
      </c>
      <c r="B176" s="57" t="n">
        <v>46196</v>
      </c>
      <c r="C176" s="52" t="n">
        <f aca="false">G175</f>
        <v>0</v>
      </c>
      <c r="D176" s="53" t="n">
        <f aca="false">E176-F176</f>
        <v>0</v>
      </c>
      <c r="E176" s="52" t="n">
        <f aca="false">SUMPRODUCT((Income!D$3:D$502="INR")*(Income!A$3:A$502=B176)*(Income!A$3:A$502&lt;&gt;"")*Income!C$3:C$502)</f>
        <v>0</v>
      </c>
      <c r="F176" s="52" t="n">
        <f aca="false">SUMPRODUCT((Expenses!E$3:E$1002="INR")*(Expenses!A$3:A$1002=B176)*(Expenses!A$3:A$1002&lt;&gt;"")*Expenses!D$3:D$1002)</f>
        <v>0</v>
      </c>
      <c r="G176" s="53" t="n">
        <f aca="false">C176+D176</f>
        <v>0</v>
      </c>
      <c r="H176" s="26"/>
    </row>
    <row r="177" customFormat="false" ht="15" hidden="false" customHeight="false" outlineLevel="0" collapsed="false">
      <c r="A177" s="5" t="n">
        <v>26</v>
      </c>
      <c r="B177" s="57" t="n">
        <v>46197</v>
      </c>
      <c r="C177" s="52" t="n">
        <f aca="false">G176</f>
        <v>0</v>
      </c>
      <c r="D177" s="53" t="n">
        <f aca="false">E177-F177</f>
        <v>0</v>
      </c>
      <c r="E177" s="52" t="n">
        <f aca="false">SUMPRODUCT((Income!D$3:D$502="INR")*(Income!A$3:A$502=B177)*(Income!A$3:A$502&lt;&gt;"")*Income!C$3:C$502)</f>
        <v>0</v>
      </c>
      <c r="F177" s="52" t="n">
        <f aca="false">SUMPRODUCT((Expenses!E$3:E$1002="INR")*(Expenses!A$3:A$1002=B177)*(Expenses!A$3:A$1002&lt;&gt;"")*Expenses!D$3:D$1002)</f>
        <v>0</v>
      </c>
      <c r="G177" s="53" t="n">
        <f aca="false">C177+D177</f>
        <v>0</v>
      </c>
      <c r="H177" s="26"/>
    </row>
    <row r="178" customFormat="false" ht="15" hidden="false" customHeight="false" outlineLevel="0" collapsed="false">
      <c r="A178" s="5" t="n">
        <v>26</v>
      </c>
      <c r="B178" s="57" t="n">
        <v>46198</v>
      </c>
      <c r="C178" s="52" t="n">
        <f aca="false">G177</f>
        <v>0</v>
      </c>
      <c r="D178" s="53" t="n">
        <f aca="false">E178-F178</f>
        <v>0</v>
      </c>
      <c r="E178" s="52" t="n">
        <f aca="false">SUMPRODUCT((Income!D$3:D$502="INR")*(Income!A$3:A$502=B178)*(Income!A$3:A$502&lt;&gt;"")*Income!C$3:C$502)</f>
        <v>0</v>
      </c>
      <c r="F178" s="52" t="n">
        <f aca="false">SUMPRODUCT((Expenses!E$3:E$1002="INR")*(Expenses!A$3:A$1002=B178)*(Expenses!A$3:A$1002&lt;&gt;"")*Expenses!D$3:D$1002)</f>
        <v>0</v>
      </c>
      <c r="G178" s="53" t="n">
        <f aca="false">C178+D178</f>
        <v>0</v>
      </c>
      <c r="H178" s="26"/>
    </row>
    <row r="179" customFormat="false" ht="15" hidden="false" customHeight="false" outlineLevel="0" collapsed="false">
      <c r="A179" s="5" t="n">
        <v>26</v>
      </c>
      <c r="B179" s="57" t="n">
        <v>46199</v>
      </c>
      <c r="C179" s="52" t="n">
        <f aca="false">G178</f>
        <v>0</v>
      </c>
      <c r="D179" s="53" t="n">
        <f aca="false">E179-F179</f>
        <v>0</v>
      </c>
      <c r="E179" s="52" t="n">
        <f aca="false">SUMPRODUCT((Income!D$3:D$502="INR")*(Income!A$3:A$502=B179)*(Income!A$3:A$502&lt;&gt;"")*Income!C$3:C$502)</f>
        <v>0</v>
      </c>
      <c r="F179" s="52" t="n">
        <f aca="false">SUMPRODUCT((Expenses!E$3:E$1002="INR")*(Expenses!A$3:A$1002=B179)*(Expenses!A$3:A$1002&lt;&gt;"")*Expenses!D$3:D$1002)</f>
        <v>0</v>
      </c>
      <c r="G179" s="53" t="n">
        <f aca="false">C179+D179</f>
        <v>0</v>
      </c>
      <c r="H179" s="26"/>
    </row>
    <row r="180" customFormat="false" ht="15" hidden="false" customHeight="false" outlineLevel="0" collapsed="false">
      <c r="A180" s="5" t="n">
        <v>26</v>
      </c>
      <c r="B180" s="57" t="n">
        <v>46200</v>
      </c>
      <c r="C180" s="52" t="n">
        <f aca="false">G179</f>
        <v>0</v>
      </c>
      <c r="D180" s="53" t="n">
        <f aca="false">E180-F180</f>
        <v>0</v>
      </c>
      <c r="E180" s="52" t="n">
        <f aca="false">SUMPRODUCT((Income!D$3:D$502="INR")*(Income!A$3:A$502=B180)*(Income!A$3:A$502&lt;&gt;"")*Income!C$3:C$502)</f>
        <v>0</v>
      </c>
      <c r="F180" s="52" t="n">
        <f aca="false">SUMPRODUCT((Expenses!E$3:E$1002="INR")*(Expenses!A$3:A$1002=B180)*(Expenses!A$3:A$1002&lt;&gt;"")*Expenses!D$3:D$1002)</f>
        <v>0</v>
      </c>
      <c r="G180" s="53" t="n">
        <f aca="false">C180+D180</f>
        <v>0</v>
      </c>
      <c r="H180" s="26"/>
    </row>
    <row r="181" customFormat="false" ht="15" hidden="false" customHeight="false" outlineLevel="0" collapsed="false">
      <c r="A181" s="5" t="n">
        <v>26</v>
      </c>
      <c r="B181" s="57" t="n">
        <v>46201</v>
      </c>
      <c r="C181" s="52" t="n">
        <f aca="false">G180</f>
        <v>0</v>
      </c>
      <c r="D181" s="53" t="n">
        <f aca="false">E181-F181</f>
        <v>0</v>
      </c>
      <c r="E181" s="52" t="n">
        <f aca="false">SUMPRODUCT((Income!D$3:D$502="INR")*(Income!A$3:A$502=B181)*(Income!A$3:A$502&lt;&gt;"")*Income!C$3:C$502)</f>
        <v>0</v>
      </c>
      <c r="F181" s="52" t="n">
        <f aca="false">SUMPRODUCT((Expenses!E$3:E$1002="INR")*(Expenses!A$3:A$1002=B181)*(Expenses!A$3:A$1002&lt;&gt;"")*Expenses!D$3:D$1002)</f>
        <v>0</v>
      </c>
      <c r="G181" s="53" t="n">
        <f aca="false">C181+D181</f>
        <v>0</v>
      </c>
      <c r="H181" s="26"/>
    </row>
    <row r="182" customFormat="false" ht="15" hidden="false" customHeight="false" outlineLevel="0" collapsed="false">
      <c r="A182" s="5" t="n">
        <v>27</v>
      </c>
      <c r="B182" s="57" t="n">
        <v>46202</v>
      </c>
      <c r="C182" s="52" t="n">
        <f aca="false">G181</f>
        <v>0</v>
      </c>
      <c r="D182" s="53" t="n">
        <f aca="false">E182-F182</f>
        <v>0</v>
      </c>
      <c r="E182" s="52" t="n">
        <f aca="false">SUMPRODUCT((Income!D$3:D$502="INR")*(Income!A$3:A$502=B182)*(Income!A$3:A$502&lt;&gt;"")*Income!C$3:C$502)</f>
        <v>0</v>
      </c>
      <c r="F182" s="52" t="n">
        <f aca="false">SUMPRODUCT((Expenses!E$3:E$1002="INR")*(Expenses!A$3:A$1002=B182)*(Expenses!A$3:A$1002&lt;&gt;"")*Expenses!D$3:D$1002)</f>
        <v>0</v>
      </c>
      <c r="G182" s="53" t="n">
        <f aca="false">C182+D182</f>
        <v>0</v>
      </c>
      <c r="H182" s="26"/>
    </row>
    <row r="183" customFormat="false" ht="15" hidden="false" customHeight="false" outlineLevel="0" collapsed="false">
      <c r="A183" s="5" t="n">
        <v>27</v>
      </c>
      <c r="B183" s="57" t="n">
        <v>46203</v>
      </c>
      <c r="C183" s="52" t="n">
        <f aca="false">G182</f>
        <v>0</v>
      </c>
      <c r="D183" s="53" t="n">
        <f aca="false">E183-F183</f>
        <v>0</v>
      </c>
      <c r="E183" s="52" t="n">
        <f aca="false">SUMPRODUCT((Income!D$3:D$502="INR")*(Income!A$3:A$502=B183)*(Income!A$3:A$502&lt;&gt;"")*Income!C$3:C$502)</f>
        <v>0</v>
      </c>
      <c r="F183" s="52" t="n">
        <f aca="false">SUMPRODUCT((Expenses!E$3:E$1002="INR")*(Expenses!A$3:A$1002=B183)*(Expenses!A$3:A$1002&lt;&gt;"")*Expenses!D$3:D$1002)</f>
        <v>0</v>
      </c>
      <c r="G183" s="53" t="n">
        <f aca="false">C183+D183</f>
        <v>0</v>
      </c>
      <c r="H183" s="26"/>
    </row>
    <row r="184" customFormat="false" ht="15" hidden="false" customHeight="false" outlineLevel="0" collapsed="false">
      <c r="A184" s="5" t="n">
        <v>27</v>
      </c>
      <c r="B184" s="57" t="n">
        <v>46204</v>
      </c>
      <c r="C184" s="52" t="n">
        <f aca="false">G183</f>
        <v>0</v>
      </c>
      <c r="D184" s="53" t="n">
        <f aca="false">E184-F184</f>
        <v>0</v>
      </c>
      <c r="E184" s="52" t="n">
        <f aca="false">SUMPRODUCT((Income!D$3:D$502="INR")*(Income!A$3:A$502=B184)*(Income!A$3:A$502&lt;&gt;"")*Income!C$3:C$502)</f>
        <v>0</v>
      </c>
      <c r="F184" s="52" t="n">
        <f aca="false">SUMPRODUCT((Expenses!E$3:E$1002="INR")*(Expenses!A$3:A$1002=B184)*(Expenses!A$3:A$1002&lt;&gt;"")*Expenses!D$3:D$1002)</f>
        <v>0</v>
      </c>
      <c r="G184" s="53" t="n">
        <f aca="false">C184+D184</f>
        <v>0</v>
      </c>
      <c r="H184" s="26"/>
    </row>
    <row r="185" customFormat="false" ht="15" hidden="false" customHeight="false" outlineLevel="0" collapsed="false">
      <c r="A185" s="5" t="n">
        <v>27</v>
      </c>
      <c r="B185" s="57" t="n">
        <v>46205</v>
      </c>
      <c r="C185" s="52" t="n">
        <f aca="false">G184</f>
        <v>0</v>
      </c>
      <c r="D185" s="53" t="n">
        <f aca="false">E185-F185</f>
        <v>0</v>
      </c>
      <c r="E185" s="52" t="n">
        <f aca="false">SUMPRODUCT((Income!D$3:D$502="INR")*(Income!A$3:A$502=B185)*(Income!A$3:A$502&lt;&gt;"")*Income!C$3:C$502)</f>
        <v>0</v>
      </c>
      <c r="F185" s="52" t="n">
        <f aca="false">SUMPRODUCT((Expenses!E$3:E$1002="INR")*(Expenses!A$3:A$1002=B185)*(Expenses!A$3:A$1002&lt;&gt;"")*Expenses!D$3:D$1002)</f>
        <v>0</v>
      </c>
      <c r="G185" s="53" t="n">
        <f aca="false">C185+D185</f>
        <v>0</v>
      </c>
      <c r="H185" s="26"/>
    </row>
    <row r="186" customFormat="false" ht="15" hidden="false" customHeight="false" outlineLevel="0" collapsed="false">
      <c r="A186" s="5" t="n">
        <v>27</v>
      </c>
      <c r="B186" s="57" t="n">
        <v>46206</v>
      </c>
      <c r="C186" s="52" t="n">
        <f aca="false">G185</f>
        <v>0</v>
      </c>
      <c r="D186" s="53" t="n">
        <f aca="false">E186-F186</f>
        <v>0</v>
      </c>
      <c r="E186" s="52" t="n">
        <f aca="false">SUMPRODUCT((Income!D$3:D$502="INR")*(Income!A$3:A$502=B186)*(Income!A$3:A$502&lt;&gt;"")*Income!C$3:C$502)</f>
        <v>0</v>
      </c>
      <c r="F186" s="52" t="n">
        <f aca="false">SUMPRODUCT((Expenses!E$3:E$1002="INR")*(Expenses!A$3:A$1002=B186)*(Expenses!A$3:A$1002&lt;&gt;"")*Expenses!D$3:D$1002)</f>
        <v>0</v>
      </c>
      <c r="G186" s="53" t="n">
        <f aca="false">C186+D186</f>
        <v>0</v>
      </c>
      <c r="H186" s="26"/>
    </row>
    <row r="187" customFormat="false" ht="15" hidden="false" customHeight="false" outlineLevel="0" collapsed="false">
      <c r="A187" s="5" t="n">
        <v>27</v>
      </c>
      <c r="B187" s="57" t="n">
        <v>46207</v>
      </c>
      <c r="C187" s="52" t="n">
        <f aca="false">G186</f>
        <v>0</v>
      </c>
      <c r="D187" s="53" t="n">
        <f aca="false">E187-F187</f>
        <v>0</v>
      </c>
      <c r="E187" s="52" t="n">
        <f aca="false">SUMPRODUCT((Income!D$3:D$502="INR")*(Income!A$3:A$502=B187)*(Income!A$3:A$502&lt;&gt;"")*Income!C$3:C$502)</f>
        <v>0</v>
      </c>
      <c r="F187" s="52" t="n">
        <f aca="false">SUMPRODUCT((Expenses!E$3:E$1002="INR")*(Expenses!A$3:A$1002=B187)*(Expenses!A$3:A$1002&lt;&gt;"")*Expenses!D$3:D$1002)</f>
        <v>0</v>
      </c>
      <c r="G187" s="53" t="n">
        <f aca="false">C187+D187</f>
        <v>0</v>
      </c>
      <c r="H187" s="26"/>
    </row>
    <row r="188" customFormat="false" ht="15" hidden="false" customHeight="false" outlineLevel="0" collapsed="false">
      <c r="A188" s="5" t="n">
        <v>27</v>
      </c>
      <c r="B188" s="57" t="n">
        <v>46208</v>
      </c>
      <c r="C188" s="52" t="n">
        <f aca="false">G187</f>
        <v>0</v>
      </c>
      <c r="D188" s="53" t="n">
        <f aca="false">E188-F188</f>
        <v>0</v>
      </c>
      <c r="E188" s="52" t="n">
        <f aca="false">SUMPRODUCT((Income!D$3:D$502="INR")*(Income!A$3:A$502=B188)*(Income!A$3:A$502&lt;&gt;"")*Income!C$3:C$502)</f>
        <v>0</v>
      </c>
      <c r="F188" s="52" t="n">
        <f aca="false">SUMPRODUCT((Expenses!E$3:E$1002="INR")*(Expenses!A$3:A$1002=B188)*(Expenses!A$3:A$1002&lt;&gt;"")*Expenses!D$3:D$1002)</f>
        <v>0</v>
      </c>
      <c r="G188" s="53" t="n">
        <f aca="false">C188+D188</f>
        <v>0</v>
      </c>
      <c r="H188" s="26"/>
    </row>
    <row r="189" customFormat="false" ht="15" hidden="false" customHeight="false" outlineLevel="0" collapsed="false">
      <c r="A189" s="5" t="n">
        <v>28</v>
      </c>
      <c r="B189" s="57" t="n">
        <v>46209</v>
      </c>
      <c r="C189" s="52" t="n">
        <f aca="false">G188</f>
        <v>0</v>
      </c>
      <c r="D189" s="53" t="n">
        <f aca="false">E189-F189</f>
        <v>0</v>
      </c>
      <c r="E189" s="52" t="n">
        <f aca="false">SUMPRODUCT((Income!D$3:D$502="INR")*(Income!A$3:A$502=B189)*(Income!A$3:A$502&lt;&gt;"")*Income!C$3:C$502)</f>
        <v>0</v>
      </c>
      <c r="F189" s="52" t="n">
        <f aca="false">SUMPRODUCT((Expenses!E$3:E$1002="INR")*(Expenses!A$3:A$1002=B189)*(Expenses!A$3:A$1002&lt;&gt;"")*Expenses!D$3:D$1002)</f>
        <v>0</v>
      </c>
      <c r="G189" s="53" t="n">
        <f aca="false">C189+D189</f>
        <v>0</v>
      </c>
      <c r="H189" s="26"/>
    </row>
    <row r="190" customFormat="false" ht="15" hidden="false" customHeight="false" outlineLevel="0" collapsed="false">
      <c r="A190" s="5" t="n">
        <v>28</v>
      </c>
      <c r="B190" s="57" t="n">
        <v>46210</v>
      </c>
      <c r="C190" s="52" t="n">
        <f aca="false">G189</f>
        <v>0</v>
      </c>
      <c r="D190" s="53" t="n">
        <f aca="false">E190-F190</f>
        <v>0</v>
      </c>
      <c r="E190" s="52" t="n">
        <f aca="false">SUMPRODUCT((Income!D$3:D$502="INR")*(Income!A$3:A$502=B190)*(Income!A$3:A$502&lt;&gt;"")*Income!C$3:C$502)</f>
        <v>0</v>
      </c>
      <c r="F190" s="52" t="n">
        <f aca="false">SUMPRODUCT((Expenses!E$3:E$1002="INR")*(Expenses!A$3:A$1002=B190)*(Expenses!A$3:A$1002&lt;&gt;"")*Expenses!D$3:D$1002)</f>
        <v>0</v>
      </c>
      <c r="G190" s="53" t="n">
        <f aca="false">C190+D190</f>
        <v>0</v>
      </c>
      <c r="H190" s="26"/>
    </row>
    <row r="191" customFormat="false" ht="15" hidden="false" customHeight="false" outlineLevel="0" collapsed="false">
      <c r="A191" s="5" t="n">
        <v>28</v>
      </c>
      <c r="B191" s="57" t="n">
        <v>46211</v>
      </c>
      <c r="C191" s="52" t="n">
        <f aca="false">G190</f>
        <v>0</v>
      </c>
      <c r="D191" s="53" t="n">
        <f aca="false">E191-F191</f>
        <v>0</v>
      </c>
      <c r="E191" s="52" t="n">
        <f aca="false">SUMPRODUCT((Income!D$3:D$502="INR")*(Income!A$3:A$502=B191)*(Income!A$3:A$502&lt;&gt;"")*Income!C$3:C$502)</f>
        <v>0</v>
      </c>
      <c r="F191" s="52" t="n">
        <f aca="false">SUMPRODUCT((Expenses!E$3:E$1002="INR")*(Expenses!A$3:A$1002=B191)*(Expenses!A$3:A$1002&lt;&gt;"")*Expenses!D$3:D$1002)</f>
        <v>0</v>
      </c>
      <c r="G191" s="53" t="n">
        <f aca="false">C191+D191</f>
        <v>0</v>
      </c>
      <c r="H191" s="26"/>
    </row>
    <row r="192" customFormat="false" ht="15" hidden="false" customHeight="false" outlineLevel="0" collapsed="false">
      <c r="A192" s="5" t="n">
        <v>28</v>
      </c>
      <c r="B192" s="57" t="n">
        <v>46212</v>
      </c>
      <c r="C192" s="52" t="n">
        <f aca="false">G191</f>
        <v>0</v>
      </c>
      <c r="D192" s="53" t="n">
        <f aca="false">E192-F192</f>
        <v>0</v>
      </c>
      <c r="E192" s="52" t="n">
        <f aca="false">SUMPRODUCT((Income!D$3:D$502="INR")*(Income!A$3:A$502=B192)*(Income!A$3:A$502&lt;&gt;"")*Income!C$3:C$502)</f>
        <v>0</v>
      </c>
      <c r="F192" s="52" t="n">
        <f aca="false">SUMPRODUCT((Expenses!E$3:E$1002="INR")*(Expenses!A$3:A$1002=B192)*(Expenses!A$3:A$1002&lt;&gt;"")*Expenses!D$3:D$1002)</f>
        <v>0</v>
      </c>
      <c r="G192" s="53" t="n">
        <f aca="false">C192+D192</f>
        <v>0</v>
      </c>
      <c r="H192" s="26"/>
    </row>
    <row r="193" customFormat="false" ht="15" hidden="false" customHeight="false" outlineLevel="0" collapsed="false">
      <c r="A193" s="5" t="n">
        <v>28</v>
      </c>
      <c r="B193" s="57" t="n">
        <v>46213</v>
      </c>
      <c r="C193" s="52" t="n">
        <f aca="false">G192</f>
        <v>0</v>
      </c>
      <c r="D193" s="53" t="n">
        <f aca="false">E193-F193</f>
        <v>0</v>
      </c>
      <c r="E193" s="52" t="n">
        <f aca="false">SUMPRODUCT((Income!D$3:D$502="INR")*(Income!A$3:A$502=B193)*(Income!A$3:A$502&lt;&gt;"")*Income!C$3:C$502)</f>
        <v>0</v>
      </c>
      <c r="F193" s="52" t="n">
        <f aca="false">SUMPRODUCT((Expenses!E$3:E$1002="INR")*(Expenses!A$3:A$1002=B193)*(Expenses!A$3:A$1002&lt;&gt;"")*Expenses!D$3:D$1002)</f>
        <v>0</v>
      </c>
      <c r="G193" s="53" t="n">
        <f aca="false">C193+D193</f>
        <v>0</v>
      </c>
      <c r="H193" s="26"/>
    </row>
    <row r="194" customFormat="false" ht="15" hidden="false" customHeight="false" outlineLevel="0" collapsed="false">
      <c r="A194" s="5" t="n">
        <v>28</v>
      </c>
      <c r="B194" s="57" t="n">
        <v>46214</v>
      </c>
      <c r="C194" s="52" t="n">
        <f aca="false">G193</f>
        <v>0</v>
      </c>
      <c r="D194" s="53" t="n">
        <f aca="false">E194-F194</f>
        <v>0</v>
      </c>
      <c r="E194" s="52" t="n">
        <f aca="false">SUMPRODUCT((Income!D$3:D$502="INR")*(Income!A$3:A$502=B194)*(Income!A$3:A$502&lt;&gt;"")*Income!C$3:C$502)</f>
        <v>0</v>
      </c>
      <c r="F194" s="52" t="n">
        <f aca="false">SUMPRODUCT((Expenses!E$3:E$1002="INR")*(Expenses!A$3:A$1002=B194)*(Expenses!A$3:A$1002&lt;&gt;"")*Expenses!D$3:D$1002)</f>
        <v>0</v>
      </c>
      <c r="G194" s="53" t="n">
        <f aca="false">C194+D194</f>
        <v>0</v>
      </c>
      <c r="H194" s="26"/>
    </row>
    <row r="195" customFormat="false" ht="15" hidden="false" customHeight="false" outlineLevel="0" collapsed="false">
      <c r="A195" s="5" t="n">
        <v>28</v>
      </c>
      <c r="B195" s="57" t="n">
        <v>46215</v>
      </c>
      <c r="C195" s="52" t="n">
        <f aca="false">G194</f>
        <v>0</v>
      </c>
      <c r="D195" s="53" t="n">
        <f aca="false">E195-F195</f>
        <v>0</v>
      </c>
      <c r="E195" s="52" t="n">
        <f aca="false">SUMPRODUCT((Income!D$3:D$502="INR")*(Income!A$3:A$502=B195)*(Income!A$3:A$502&lt;&gt;"")*Income!C$3:C$502)</f>
        <v>0</v>
      </c>
      <c r="F195" s="52" t="n">
        <f aca="false">SUMPRODUCT((Expenses!E$3:E$1002="INR")*(Expenses!A$3:A$1002=B195)*(Expenses!A$3:A$1002&lt;&gt;"")*Expenses!D$3:D$1002)</f>
        <v>0</v>
      </c>
      <c r="G195" s="53" t="n">
        <f aca="false">C195+D195</f>
        <v>0</v>
      </c>
      <c r="H195" s="26"/>
    </row>
    <row r="196" customFormat="false" ht="15" hidden="false" customHeight="false" outlineLevel="0" collapsed="false">
      <c r="A196" s="5" t="n">
        <v>29</v>
      </c>
      <c r="B196" s="57" t="n">
        <v>46216</v>
      </c>
      <c r="C196" s="52" t="n">
        <f aca="false">G195</f>
        <v>0</v>
      </c>
      <c r="D196" s="53" t="n">
        <f aca="false">E196-F196</f>
        <v>0</v>
      </c>
      <c r="E196" s="52" t="n">
        <f aca="false">SUMPRODUCT((Income!D$3:D$502="INR")*(Income!A$3:A$502=B196)*(Income!A$3:A$502&lt;&gt;"")*Income!C$3:C$502)</f>
        <v>0</v>
      </c>
      <c r="F196" s="52" t="n">
        <f aca="false">SUMPRODUCT((Expenses!E$3:E$1002="INR")*(Expenses!A$3:A$1002=B196)*(Expenses!A$3:A$1002&lt;&gt;"")*Expenses!D$3:D$1002)</f>
        <v>0</v>
      </c>
      <c r="G196" s="53" t="n">
        <f aca="false">C196+D196</f>
        <v>0</v>
      </c>
      <c r="H196" s="26"/>
    </row>
    <row r="197" customFormat="false" ht="15" hidden="false" customHeight="false" outlineLevel="0" collapsed="false">
      <c r="A197" s="5" t="n">
        <v>29</v>
      </c>
      <c r="B197" s="57" t="n">
        <v>46217</v>
      </c>
      <c r="C197" s="52" t="n">
        <f aca="false">G196</f>
        <v>0</v>
      </c>
      <c r="D197" s="53" t="n">
        <f aca="false">E197-F197</f>
        <v>0</v>
      </c>
      <c r="E197" s="52" t="n">
        <f aca="false">SUMPRODUCT((Income!D$3:D$502="INR")*(Income!A$3:A$502=B197)*(Income!A$3:A$502&lt;&gt;"")*Income!C$3:C$502)</f>
        <v>0</v>
      </c>
      <c r="F197" s="52" t="n">
        <f aca="false">SUMPRODUCT((Expenses!E$3:E$1002="INR")*(Expenses!A$3:A$1002=B197)*(Expenses!A$3:A$1002&lt;&gt;"")*Expenses!D$3:D$1002)</f>
        <v>0</v>
      </c>
      <c r="G197" s="53" t="n">
        <f aca="false">C197+D197</f>
        <v>0</v>
      </c>
      <c r="H197" s="26"/>
    </row>
    <row r="198" customFormat="false" ht="15" hidden="false" customHeight="false" outlineLevel="0" collapsed="false">
      <c r="A198" s="5" t="n">
        <v>29</v>
      </c>
      <c r="B198" s="57" t="n">
        <v>46218</v>
      </c>
      <c r="C198" s="52" t="n">
        <f aca="false">G197</f>
        <v>0</v>
      </c>
      <c r="D198" s="53" t="n">
        <f aca="false">E198-F198</f>
        <v>0</v>
      </c>
      <c r="E198" s="52" t="n">
        <f aca="false">SUMPRODUCT((Income!D$3:D$502="INR")*(Income!A$3:A$502=B198)*(Income!A$3:A$502&lt;&gt;"")*Income!C$3:C$502)</f>
        <v>0</v>
      </c>
      <c r="F198" s="52" t="n">
        <f aca="false">SUMPRODUCT((Expenses!E$3:E$1002="INR")*(Expenses!A$3:A$1002=B198)*(Expenses!A$3:A$1002&lt;&gt;"")*Expenses!D$3:D$1002)</f>
        <v>0</v>
      </c>
      <c r="G198" s="53" t="n">
        <f aca="false">C198+D198</f>
        <v>0</v>
      </c>
      <c r="H198" s="26"/>
    </row>
    <row r="199" customFormat="false" ht="15" hidden="false" customHeight="false" outlineLevel="0" collapsed="false">
      <c r="A199" s="5" t="n">
        <v>29</v>
      </c>
      <c r="B199" s="57" t="n">
        <v>46219</v>
      </c>
      <c r="C199" s="52" t="n">
        <f aca="false">G198</f>
        <v>0</v>
      </c>
      <c r="D199" s="53" t="n">
        <f aca="false">E199-F199</f>
        <v>0</v>
      </c>
      <c r="E199" s="52" t="n">
        <f aca="false">SUMPRODUCT((Income!D$3:D$502="INR")*(Income!A$3:A$502=B199)*(Income!A$3:A$502&lt;&gt;"")*Income!C$3:C$502)</f>
        <v>0</v>
      </c>
      <c r="F199" s="52" t="n">
        <f aca="false">SUMPRODUCT((Expenses!E$3:E$1002="INR")*(Expenses!A$3:A$1002=B199)*(Expenses!A$3:A$1002&lt;&gt;"")*Expenses!D$3:D$1002)</f>
        <v>0</v>
      </c>
      <c r="G199" s="53" t="n">
        <f aca="false">C199+D199</f>
        <v>0</v>
      </c>
      <c r="H199" s="26"/>
    </row>
    <row r="200" customFormat="false" ht="15" hidden="false" customHeight="false" outlineLevel="0" collapsed="false">
      <c r="A200" s="5" t="n">
        <v>29</v>
      </c>
      <c r="B200" s="57" t="n">
        <v>46220</v>
      </c>
      <c r="C200" s="52" t="n">
        <f aca="false">G199</f>
        <v>0</v>
      </c>
      <c r="D200" s="53" t="n">
        <f aca="false">E200-F200</f>
        <v>0</v>
      </c>
      <c r="E200" s="52" t="n">
        <f aca="false">SUMPRODUCT((Income!D$3:D$502="INR")*(Income!A$3:A$502=B200)*(Income!A$3:A$502&lt;&gt;"")*Income!C$3:C$502)</f>
        <v>0</v>
      </c>
      <c r="F200" s="52" t="n">
        <f aca="false">SUMPRODUCT((Expenses!E$3:E$1002="INR")*(Expenses!A$3:A$1002=B200)*(Expenses!A$3:A$1002&lt;&gt;"")*Expenses!D$3:D$1002)</f>
        <v>0</v>
      </c>
      <c r="G200" s="53" t="n">
        <f aca="false">C200+D200</f>
        <v>0</v>
      </c>
      <c r="H200" s="26"/>
    </row>
    <row r="201" customFormat="false" ht="15" hidden="false" customHeight="false" outlineLevel="0" collapsed="false">
      <c r="A201" s="5" t="n">
        <v>29</v>
      </c>
      <c r="B201" s="57" t="n">
        <v>46221</v>
      </c>
      <c r="C201" s="52" t="n">
        <f aca="false">G200</f>
        <v>0</v>
      </c>
      <c r="D201" s="53" t="n">
        <f aca="false">E201-F201</f>
        <v>0</v>
      </c>
      <c r="E201" s="52" t="n">
        <f aca="false">SUMPRODUCT((Income!D$3:D$502="INR")*(Income!A$3:A$502=B201)*(Income!A$3:A$502&lt;&gt;"")*Income!C$3:C$502)</f>
        <v>0</v>
      </c>
      <c r="F201" s="52" t="n">
        <f aca="false">SUMPRODUCT((Expenses!E$3:E$1002="INR")*(Expenses!A$3:A$1002=B201)*(Expenses!A$3:A$1002&lt;&gt;"")*Expenses!D$3:D$1002)</f>
        <v>0</v>
      </c>
      <c r="G201" s="53" t="n">
        <f aca="false">C201+D201</f>
        <v>0</v>
      </c>
      <c r="H201" s="26"/>
    </row>
    <row r="202" customFormat="false" ht="15" hidden="false" customHeight="false" outlineLevel="0" collapsed="false">
      <c r="A202" s="5" t="n">
        <v>29</v>
      </c>
      <c r="B202" s="57" t="n">
        <v>46222</v>
      </c>
      <c r="C202" s="52" t="n">
        <f aca="false">G201</f>
        <v>0</v>
      </c>
      <c r="D202" s="53" t="n">
        <f aca="false">E202-F202</f>
        <v>0</v>
      </c>
      <c r="E202" s="52" t="n">
        <f aca="false">SUMPRODUCT((Income!D$3:D$502="INR")*(Income!A$3:A$502=B202)*(Income!A$3:A$502&lt;&gt;"")*Income!C$3:C$502)</f>
        <v>0</v>
      </c>
      <c r="F202" s="52" t="n">
        <f aca="false">SUMPRODUCT((Expenses!E$3:E$1002="INR")*(Expenses!A$3:A$1002=B202)*(Expenses!A$3:A$1002&lt;&gt;"")*Expenses!D$3:D$1002)</f>
        <v>0</v>
      </c>
      <c r="G202" s="53" t="n">
        <f aca="false">C202+D202</f>
        <v>0</v>
      </c>
      <c r="H202" s="26"/>
    </row>
    <row r="203" customFormat="false" ht="15" hidden="false" customHeight="false" outlineLevel="0" collapsed="false">
      <c r="A203" s="5" t="n">
        <v>30</v>
      </c>
      <c r="B203" s="57" t="n">
        <v>46223</v>
      </c>
      <c r="C203" s="52" t="n">
        <f aca="false">G202</f>
        <v>0</v>
      </c>
      <c r="D203" s="53" t="n">
        <f aca="false">E203-F203</f>
        <v>0</v>
      </c>
      <c r="E203" s="52" t="n">
        <f aca="false">SUMPRODUCT((Income!D$3:D$502="INR")*(Income!A$3:A$502=B203)*(Income!A$3:A$502&lt;&gt;"")*Income!C$3:C$502)</f>
        <v>0</v>
      </c>
      <c r="F203" s="52" t="n">
        <f aca="false">SUMPRODUCT((Expenses!E$3:E$1002="INR")*(Expenses!A$3:A$1002=B203)*(Expenses!A$3:A$1002&lt;&gt;"")*Expenses!D$3:D$1002)</f>
        <v>0</v>
      </c>
      <c r="G203" s="53" t="n">
        <f aca="false">C203+D203</f>
        <v>0</v>
      </c>
      <c r="H203" s="26"/>
    </row>
    <row r="204" customFormat="false" ht="15" hidden="false" customHeight="false" outlineLevel="0" collapsed="false">
      <c r="A204" s="5" t="n">
        <v>30</v>
      </c>
      <c r="B204" s="57" t="n">
        <v>46224</v>
      </c>
      <c r="C204" s="52" t="n">
        <f aca="false">G203</f>
        <v>0</v>
      </c>
      <c r="D204" s="53" t="n">
        <f aca="false">E204-F204</f>
        <v>0</v>
      </c>
      <c r="E204" s="52" t="n">
        <f aca="false">SUMPRODUCT((Income!D$3:D$502="INR")*(Income!A$3:A$502=B204)*(Income!A$3:A$502&lt;&gt;"")*Income!C$3:C$502)</f>
        <v>0</v>
      </c>
      <c r="F204" s="52" t="n">
        <f aca="false">SUMPRODUCT((Expenses!E$3:E$1002="INR")*(Expenses!A$3:A$1002=B204)*(Expenses!A$3:A$1002&lt;&gt;"")*Expenses!D$3:D$1002)</f>
        <v>0</v>
      </c>
      <c r="G204" s="53" t="n">
        <f aca="false">C204+D204</f>
        <v>0</v>
      </c>
      <c r="H204" s="26"/>
    </row>
    <row r="205" customFormat="false" ht="15" hidden="false" customHeight="false" outlineLevel="0" collapsed="false">
      <c r="A205" s="5" t="n">
        <v>30</v>
      </c>
      <c r="B205" s="57" t="n">
        <v>46225</v>
      </c>
      <c r="C205" s="52" t="n">
        <f aca="false">G204</f>
        <v>0</v>
      </c>
      <c r="D205" s="53" t="n">
        <f aca="false">E205-F205</f>
        <v>0</v>
      </c>
      <c r="E205" s="52" t="n">
        <f aca="false">SUMPRODUCT((Income!D$3:D$502="INR")*(Income!A$3:A$502=B205)*(Income!A$3:A$502&lt;&gt;"")*Income!C$3:C$502)</f>
        <v>0</v>
      </c>
      <c r="F205" s="52" t="n">
        <f aca="false">SUMPRODUCT((Expenses!E$3:E$1002="INR")*(Expenses!A$3:A$1002=B205)*(Expenses!A$3:A$1002&lt;&gt;"")*Expenses!D$3:D$1002)</f>
        <v>0</v>
      </c>
      <c r="G205" s="53" t="n">
        <f aca="false">C205+D205</f>
        <v>0</v>
      </c>
      <c r="H205" s="26"/>
    </row>
    <row r="206" customFormat="false" ht="15" hidden="false" customHeight="false" outlineLevel="0" collapsed="false">
      <c r="A206" s="5" t="n">
        <v>30</v>
      </c>
      <c r="B206" s="57" t="n">
        <v>46226</v>
      </c>
      <c r="C206" s="52" t="n">
        <f aca="false">G205</f>
        <v>0</v>
      </c>
      <c r="D206" s="53" t="n">
        <f aca="false">E206-F206</f>
        <v>0</v>
      </c>
      <c r="E206" s="52" t="n">
        <f aca="false">SUMPRODUCT((Income!D$3:D$502="INR")*(Income!A$3:A$502=B206)*(Income!A$3:A$502&lt;&gt;"")*Income!C$3:C$502)</f>
        <v>0</v>
      </c>
      <c r="F206" s="52" t="n">
        <f aca="false">SUMPRODUCT((Expenses!E$3:E$1002="INR")*(Expenses!A$3:A$1002=B206)*(Expenses!A$3:A$1002&lt;&gt;"")*Expenses!D$3:D$1002)</f>
        <v>0</v>
      </c>
      <c r="G206" s="53" t="n">
        <f aca="false">C206+D206</f>
        <v>0</v>
      </c>
      <c r="H206" s="26"/>
    </row>
    <row r="207" customFormat="false" ht="15" hidden="false" customHeight="false" outlineLevel="0" collapsed="false">
      <c r="A207" s="5" t="n">
        <v>30</v>
      </c>
      <c r="B207" s="57" t="n">
        <v>46227</v>
      </c>
      <c r="C207" s="52" t="n">
        <f aca="false">G206</f>
        <v>0</v>
      </c>
      <c r="D207" s="53" t="n">
        <f aca="false">E207-F207</f>
        <v>0</v>
      </c>
      <c r="E207" s="52" t="n">
        <f aca="false">SUMPRODUCT((Income!D$3:D$502="INR")*(Income!A$3:A$502=B207)*(Income!A$3:A$502&lt;&gt;"")*Income!C$3:C$502)</f>
        <v>0</v>
      </c>
      <c r="F207" s="52" t="n">
        <f aca="false">SUMPRODUCT((Expenses!E$3:E$1002="INR")*(Expenses!A$3:A$1002=B207)*(Expenses!A$3:A$1002&lt;&gt;"")*Expenses!D$3:D$1002)</f>
        <v>0</v>
      </c>
      <c r="G207" s="53" t="n">
        <f aca="false">C207+D207</f>
        <v>0</v>
      </c>
      <c r="H207" s="26"/>
    </row>
    <row r="208" customFormat="false" ht="15" hidden="false" customHeight="false" outlineLevel="0" collapsed="false">
      <c r="A208" s="5" t="n">
        <v>30</v>
      </c>
      <c r="B208" s="57" t="n">
        <v>46228</v>
      </c>
      <c r="C208" s="52" t="n">
        <f aca="false">G207</f>
        <v>0</v>
      </c>
      <c r="D208" s="53" t="n">
        <f aca="false">E208-F208</f>
        <v>0</v>
      </c>
      <c r="E208" s="52" t="n">
        <f aca="false">SUMPRODUCT((Income!D$3:D$502="INR")*(Income!A$3:A$502=B208)*(Income!A$3:A$502&lt;&gt;"")*Income!C$3:C$502)</f>
        <v>0</v>
      </c>
      <c r="F208" s="52" t="n">
        <f aca="false">SUMPRODUCT((Expenses!E$3:E$1002="INR")*(Expenses!A$3:A$1002=B208)*(Expenses!A$3:A$1002&lt;&gt;"")*Expenses!D$3:D$1002)</f>
        <v>0</v>
      </c>
      <c r="G208" s="53" t="n">
        <f aca="false">C208+D208</f>
        <v>0</v>
      </c>
      <c r="H208" s="26"/>
    </row>
    <row r="209" customFormat="false" ht="15" hidden="false" customHeight="false" outlineLevel="0" collapsed="false">
      <c r="A209" s="5" t="n">
        <v>30</v>
      </c>
      <c r="B209" s="57" t="n">
        <v>46229</v>
      </c>
      <c r="C209" s="52" t="n">
        <f aca="false">G208</f>
        <v>0</v>
      </c>
      <c r="D209" s="53" t="n">
        <f aca="false">E209-F209</f>
        <v>0</v>
      </c>
      <c r="E209" s="52" t="n">
        <f aca="false">SUMPRODUCT((Income!D$3:D$502="INR")*(Income!A$3:A$502=B209)*(Income!A$3:A$502&lt;&gt;"")*Income!C$3:C$502)</f>
        <v>0</v>
      </c>
      <c r="F209" s="52" t="n">
        <f aca="false">SUMPRODUCT((Expenses!E$3:E$1002="INR")*(Expenses!A$3:A$1002=B209)*(Expenses!A$3:A$1002&lt;&gt;"")*Expenses!D$3:D$1002)</f>
        <v>0</v>
      </c>
      <c r="G209" s="53" t="n">
        <f aca="false">C209+D209</f>
        <v>0</v>
      </c>
      <c r="H209" s="26"/>
    </row>
    <row r="210" customFormat="false" ht="15" hidden="false" customHeight="false" outlineLevel="0" collapsed="false">
      <c r="A210" s="5" t="n">
        <v>31</v>
      </c>
      <c r="B210" s="57" t="n">
        <v>46230</v>
      </c>
      <c r="C210" s="52" t="n">
        <f aca="false">G209</f>
        <v>0</v>
      </c>
      <c r="D210" s="53" t="n">
        <f aca="false">E210-F210</f>
        <v>0</v>
      </c>
      <c r="E210" s="52" t="n">
        <f aca="false">SUMPRODUCT((Income!D$3:D$502="INR")*(Income!A$3:A$502=B210)*(Income!A$3:A$502&lt;&gt;"")*Income!C$3:C$502)</f>
        <v>0</v>
      </c>
      <c r="F210" s="52" t="n">
        <f aca="false">SUMPRODUCT((Expenses!E$3:E$1002="INR")*(Expenses!A$3:A$1002=B210)*(Expenses!A$3:A$1002&lt;&gt;"")*Expenses!D$3:D$1002)</f>
        <v>0</v>
      </c>
      <c r="G210" s="53" t="n">
        <f aca="false">C210+D210</f>
        <v>0</v>
      </c>
      <c r="H210" s="26"/>
    </row>
    <row r="211" customFormat="false" ht="15" hidden="false" customHeight="false" outlineLevel="0" collapsed="false">
      <c r="A211" s="5" t="n">
        <v>31</v>
      </c>
      <c r="B211" s="57" t="n">
        <v>46231</v>
      </c>
      <c r="C211" s="52" t="n">
        <f aca="false">G210</f>
        <v>0</v>
      </c>
      <c r="D211" s="53" t="n">
        <f aca="false">E211-F211</f>
        <v>0</v>
      </c>
      <c r="E211" s="52" t="n">
        <f aca="false">SUMPRODUCT((Income!D$3:D$502="INR")*(Income!A$3:A$502=B211)*(Income!A$3:A$502&lt;&gt;"")*Income!C$3:C$502)</f>
        <v>0</v>
      </c>
      <c r="F211" s="52" t="n">
        <f aca="false">SUMPRODUCT((Expenses!E$3:E$1002="INR")*(Expenses!A$3:A$1002=B211)*(Expenses!A$3:A$1002&lt;&gt;"")*Expenses!D$3:D$1002)</f>
        <v>0</v>
      </c>
      <c r="G211" s="53" t="n">
        <f aca="false">C211+D211</f>
        <v>0</v>
      </c>
      <c r="H211" s="26"/>
    </row>
    <row r="212" customFormat="false" ht="15" hidden="false" customHeight="false" outlineLevel="0" collapsed="false">
      <c r="A212" s="5" t="n">
        <v>31</v>
      </c>
      <c r="B212" s="57" t="n">
        <v>46232</v>
      </c>
      <c r="C212" s="52" t="n">
        <f aca="false">G211</f>
        <v>0</v>
      </c>
      <c r="D212" s="53" t="n">
        <f aca="false">E212-F212</f>
        <v>0</v>
      </c>
      <c r="E212" s="52" t="n">
        <f aca="false">SUMPRODUCT((Income!D$3:D$502="INR")*(Income!A$3:A$502=B212)*(Income!A$3:A$502&lt;&gt;"")*Income!C$3:C$502)</f>
        <v>0</v>
      </c>
      <c r="F212" s="52" t="n">
        <f aca="false">SUMPRODUCT((Expenses!E$3:E$1002="INR")*(Expenses!A$3:A$1002=B212)*(Expenses!A$3:A$1002&lt;&gt;"")*Expenses!D$3:D$1002)</f>
        <v>0</v>
      </c>
      <c r="G212" s="53" t="n">
        <f aca="false">C212+D212</f>
        <v>0</v>
      </c>
      <c r="H212" s="26"/>
    </row>
    <row r="213" customFormat="false" ht="15" hidden="false" customHeight="false" outlineLevel="0" collapsed="false">
      <c r="A213" s="5" t="n">
        <v>31</v>
      </c>
      <c r="B213" s="57" t="n">
        <v>46233</v>
      </c>
      <c r="C213" s="52" t="n">
        <f aca="false">G212</f>
        <v>0</v>
      </c>
      <c r="D213" s="53" t="n">
        <f aca="false">E213-F213</f>
        <v>0</v>
      </c>
      <c r="E213" s="52" t="n">
        <f aca="false">SUMPRODUCT((Income!D$3:D$502="INR")*(Income!A$3:A$502=B213)*(Income!A$3:A$502&lt;&gt;"")*Income!C$3:C$502)</f>
        <v>0</v>
      </c>
      <c r="F213" s="52" t="n">
        <f aca="false">SUMPRODUCT((Expenses!E$3:E$1002="INR")*(Expenses!A$3:A$1002=B213)*(Expenses!A$3:A$1002&lt;&gt;"")*Expenses!D$3:D$1002)</f>
        <v>0</v>
      </c>
      <c r="G213" s="53" t="n">
        <f aca="false">C213+D213</f>
        <v>0</v>
      </c>
      <c r="H213" s="26"/>
    </row>
    <row r="214" customFormat="false" ht="15" hidden="false" customHeight="false" outlineLevel="0" collapsed="false">
      <c r="A214" s="5" t="n">
        <v>31</v>
      </c>
      <c r="B214" s="57" t="n">
        <v>46234</v>
      </c>
      <c r="C214" s="52" t="n">
        <f aca="false">G213</f>
        <v>0</v>
      </c>
      <c r="D214" s="53" t="n">
        <f aca="false">E214-F214</f>
        <v>0</v>
      </c>
      <c r="E214" s="52" t="n">
        <f aca="false">SUMPRODUCT((Income!D$3:D$502="INR")*(Income!A$3:A$502=B214)*(Income!A$3:A$502&lt;&gt;"")*Income!C$3:C$502)</f>
        <v>0</v>
      </c>
      <c r="F214" s="52" t="n">
        <f aca="false">SUMPRODUCT((Expenses!E$3:E$1002="INR")*(Expenses!A$3:A$1002=B214)*(Expenses!A$3:A$1002&lt;&gt;"")*Expenses!D$3:D$1002)</f>
        <v>0</v>
      </c>
      <c r="G214" s="53" t="n">
        <f aca="false">C214+D214</f>
        <v>0</v>
      </c>
      <c r="H214" s="26"/>
    </row>
    <row r="215" customFormat="false" ht="15" hidden="false" customHeight="false" outlineLevel="0" collapsed="false">
      <c r="A215" s="5" t="n">
        <v>31</v>
      </c>
      <c r="B215" s="57" t="n">
        <v>46235</v>
      </c>
      <c r="C215" s="52" t="n">
        <f aca="false">G214</f>
        <v>0</v>
      </c>
      <c r="D215" s="53" t="n">
        <f aca="false">E215-F215</f>
        <v>0</v>
      </c>
      <c r="E215" s="52" t="n">
        <f aca="false">SUMPRODUCT((Income!D$3:D$502="INR")*(Income!A$3:A$502=B215)*(Income!A$3:A$502&lt;&gt;"")*Income!C$3:C$502)</f>
        <v>0</v>
      </c>
      <c r="F215" s="52" t="n">
        <f aca="false">SUMPRODUCT((Expenses!E$3:E$1002="INR")*(Expenses!A$3:A$1002=B215)*(Expenses!A$3:A$1002&lt;&gt;"")*Expenses!D$3:D$1002)</f>
        <v>0</v>
      </c>
      <c r="G215" s="53" t="n">
        <f aca="false">C215+D215</f>
        <v>0</v>
      </c>
      <c r="H215" s="26"/>
    </row>
    <row r="216" customFormat="false" ht="15" hidden="false" customHeight="false" outlineLevel="0" collapsed="false">
      <c r="A216" s="5" t="n">
        <v>31</v>
      </c>
      <c r="B216" s="57" t="n">
        <v>46236</v>
      </c>
      <c r="C216" s="52" t="n">
        <f aca="false">G215</f>
        <v>0</v>
      </c>
      <c r="D216" s="53" t="n">
        <f aca="false">E216-F216</f>
        <v>0</v>
      </c>
      <c r="E216" s="52" t="n">
        <f aca="false">SUMPRODUCT((Income!D$3:D$502="INR")*(Income!A$3:A$502=B216)*(Income!A$3:A$502&lt;&gt;"")*Income!C$3:C$502)</f>
        <v>0</v>
      </c>
      <c r="F216" s="52" t="n">
        <f aca="false">SUMPRODUCT((Expenses!E$3:E$1002="INR")*(Expenses!A$3:A$1002=B216)*(Expenses!A$3:A$1002&lt;&gt;"")*Expenses!D$3:D$1002)</f>
        <v>0</v>
      </c>
      <c r="G216" s="53" t="n">
        <f aca="false">C216+D216</f>
        <v>0</v>
      </c>
      <c r="H216" s="26"/>
    </row>
    <row r="217" customFormat="false" ht="15" hidden="false" customHeight="false" outlineLevel="0" collapsed="false">
      <c r="A217" s="5" t="n">
        <v>32</v>
      </c>
      <c r="B217" s="57" t="n">
        <v>46237</v>
      </c>
      <c r="C217" s="52" t="n">
        <f aca="false">G216</f>
        <v>0</v>
      </c>
      <c r="D217" s="53" t="n">
        <f aca="false">E217-F217</f>
        <v>0</v>
      </c>
      <c r="E217" s="52" t="n">
        <f aca="false">SUMPRODUCT((Income!D$3:D$502="INR")*(Income!A$3:A$502=B217)*(Income!A$3:A$502&lt;&gt;"")*Income!C$3:C$502)</f>
        <v>0</v>
      </c>
      <c r="F217" s="52" t="n">
        <f aca="false">SUMPRODUCT((Expenses!E$3:E$1002="INR")*(Expenses!A$3:A$1002=B217)*(Expenses!A$3:A$1002&lt;&gt;"")*Expenses!D$3:D$1002)</f>
        <v>0</v>
      </c>
      <c r="G217" s="53" t="n">
        <f aca="false">C217+D217</f>
        <v>0</v>
      </c>
      <c r="H217" s="26"/>
    </row>
    <row r="218" customFormat="false" ht="15" hidden="false" customHeight="false" outlineLevel="0" collapsed="false">
      <c r="A218" s="5" t="n">
        <v>32</v>
      </c>
      <c r="B218" s="57" t="n">
        <v>46238</v>
      </c>
      <c r="C218" s="52" t="n">
        <f aca="false">G217</f>
        <v>0</v>
      </c>
      <c r="D218" s="53" t="n">
        <f aca="false">E218-F218</f>
        <v>0</v>
      </c>
      <c r="E218" s="52" t="n">
        <f aca="false">SUMPRODUCT((Income!D$3:D$502="INR")*(Income!A$3:A$502=B218)*(Income!A$3:A$502&lt;&gt;"")*Income!C$3:C$502)</f>
        <v>0</v>
      </c>
      <c r="F218" s="52" t="n">
        <f aca="false">SUMPRODUCT((Expenses!E$3:E$1002="INR")*(Expenses!A$3:A$1002=B218)*(Expenses!A$3:A$1002&lt;&gt;"")*Expenses!D$3:D$1002)</f>
        <v>0</v>
      </c>
      <c r="G218" s="53" t="n">
        <f aca="false">C218+D218</f>
        <v>0</v>
      </c>
      <c r="H218" s="26"/>
    </row>
    <row r="219" customFormat="false" ht="15" hidden="false" customHeight="false" outlineLevel="0" collapsed="false">
      <c r="A219" s="5" t="n">
        <v>32</v>
      </c>
      <c r="B219" s="57" t="n">
        <v>46239</v>
      </c>
      <c r="C219" s="52" t="n">
        <f aca="false">G218</f>
        <v>0</v>
      </c>
      <c r="D219" s="53" t="n">
        <f aca="false">E219-F219</f>
        <v>0</v>
      </c>
      <c r="E219" s="52" t="n">
        <f aca="false">SUMPRODUCT((Income!D$3:D$502="INR")*(Income!A$3:A$502=B219)*(Income!A$3:A$502&lt;&gt;"")*Income!C$3:C$502)</f>
        <v>0</v>
      </c>
      <c r="F219" s="52" t="n">
        <f aca="false">SUMPRODUCT((Expenses!E$3:E$1002="INR")*(Expenses!A$3:A$1002=B219)*(Expenses!A$3:A$1002&lt;&gt;"")*Expenses!D$3:D$1002)</f>
        <v>0</v>
      </c>
      <c r="G219" s="53" t="n">
        <f aca="false">C219+D219</f>
        <v>0</v>
      </c>
      <c r="H219" s="26"/>
    </row>
    <row r="220" customFormat="false" ht="15" hidden="false" customHeight="false" outlineLevel="0" collapsed="false">
      <c r="A220" s="5" t="n">
        <v>32</v>
      </c>
      <c r="B220" s="57" t="n">
        <v>46240</v>
      </c>
      <c r="C220" s="52" t="n">
        <f aca="false">G219</f>
        <v>0</v>
      </c>
      <c r="D220" s="53" t="n">
        <f aca="false">E220-F220</f>
        <v>0</v>
      </c>
      <c r="E220" s="52" t="n">
        <f aca="false">SUMPRODUCT((Income!D$3:D$502="INR")*(Income!A$3:A$502=B220)*(Income!A$3:A$502&lt;&gt;"")*Income!C$3:C$502)</f>
        <v>0</v>
      </c>
      <c r="F220" s="52" t="n">
        <f aca="false">SUMPRODUCT((Expenses!E$3:E$1002="INR")*(Expenses!A$3:A$1002=B220)*(Expenses!A$3:A$1002&lt;&gt;"")*Expenses!D$3:D$1002)</f>
        <v>0</v>
      </c>
      <c r="G220" s="53" t="n">
        <f aca="false">C220+D220</f>
        <v>0</v>
      </c>
      <c r="H220" s="26"/>
    </row>
    <row r="221" customFormat="false" ht="15" hidden="false" customHeight="false" outlineLevel="0" collapsed="false">
      <c r="A221" s="5" t="n">
        <v>32</v>
      </c>
      <c r="B221" s="57" t="n">
        <v>46241</v>
      </c>
      <c r="C221" s="52" t="n">
        <f aca="false">G220</f>
        <v>0</v>
      </c>
      <c r="D221" s="53" t="n">
        <f aca="false">E221-F221</f>
        <v>0</v>
      </c>
      <c r="E221" s="52" t="n">
        <f aca="false">SUMPRODUCT((Income!D$3:D$502="INR")*(Income!A$3:A$502=B221)*(Income!A$3:A$502&lt;&gt;"")*Income!C$3:C$502)</f>
        <v>0</v>
      </c>
      <c r="F221" s="52" t="n">
        <f aca="false">SUMPRODUCT((Expenses!E$3:E$1002="INR")*(Expenses!A$3:A$1002=B221)*(Expenses!A$3:A$1002&lt;&gt;"")*Expenses!D$3:D$1002)</f>
        <v>0</v>
      </c>
      <c r="G221" s="53" t="n">
        <f aca="false">C221+D221</f>
        <v>0</v>
      </c>
      <c r="H221" s="26"/>
    </row>
    <row r="222" customFormat="false" ht="15" hidden="false" customHeight="false" outlineLevel="0" collapsed="false">
      <c r="A222" s="5" t="n">
        <v>32</v>
      </c>
      <c r="B222" s="57" t="n">
        <v>46242</v>
      </c>
      <c r="C222" s="52" t="n">
        <f aca="false">G221</f>
        <v>0</v>
      </c>
      <c r="D222" s="53" t="n">
        <f aca="false">E222-F222</f>
        <v>0</v>
      </c>
      <c r="E222" s="52" t="n">
        <f aca="false">SUMPRODUCT((Income!D$3:D$502="INR")*(Income!A$3:A$502=B222)*(Income!A$3:A$502&lt;&gt;"")*Income!C$3:C$502)</f>
        <v>0</v>
      </c>
      <c r="F222" s="52" t="n">
        <f aca="false">SUMPRODUCT((Expenses!E$3:E$1002="INR")*(Expenses!A$3:A$1002=B222)*(Expenses!A$3:A$1002&lt;&gt;"")*Expenses!D$3:D$1002)</f>
        <v>0</v>
      </c>
      <c r="G222" s="53" t="n">
        <f aca="false">C222+D222</f>
        <v>0</v>
      </c>
      <c r="H222" s="26"/>
    </row>
    <row r="223" customFormat="false" ht="15" hidden="false" customHeight="false" outlineLevel="0" collapsed="false">
      <c r="A223" s="5" t="n">
        <v>32</v>
      </c>
      <c r="B223" s="57" t="n">
        <v>46243</v>
      </c>
      <c r="C223" s="52" t="n">
        <f aca="false">G222</f>
        <v>0</v>
      </c>
      <c r="D223" s="53" t="n">
        <f aca="false">E223-F223</f>
        <v>0</v>
      </c>
      <c r="E223" s="52" t="n">
        <f aca="false">SUMPRODUCT((Income!D$3:D$502="INR")*(Income!A$3:A$502=B223)*(Income!A$3:A$502&lt;&gt;"")*Income!C$3:C$502)</f>
        <v>0</v>
      </c>
      <c r="F223" s="52" t="n">
        <f aca="false">SUMPRODUCT((Expenses!E$3:E$1002="INR")*(Expenses!A$3:A$1002=B223)*(Expenses!A$3:A$1002&lt;&gt;"")*Expenses!D$3:D$1002)</f>
        <v>0</v>
      </c>
      <c r="G223" s="53" t="n">
        <f aca="false">C223+D223</f>
        <v>0</v>
      </c>
      <c r="H223" s="26"/>
    </row>
    <row r="224" customFormat="false" ht="15" hidden="false" customHeight="false" outlineLevel="0" collapsed="false">
      <c r="A224" s="5" t="n">
        <v>33</v>
      </c>
      <c r="B224" s="57" t="n">
        <v>46244</v>
      </c>
      <c r="C224" s="52" t="n">
        <f aca="false">G223</f>
        <v>0</v>
      </c>
      <c r="D224" s="53" t="n">
        <f aca="false">E224-F224</f>
        <v>0</v>
      </c>
      <c r="E224" s="52" t="n">
        <f aca="false">SUMPRODUCT((Income!D$3:D$502="INR")*(Income!A$3:A$502=B224)*(Income!A$3:A$502&lt;&gt;"")*Income!C$3:C$502)</f>
        <v>0</v>
      </c>
      <c r="F224" s="52" t="n">
        <f aca="false">SUMPRODUCT((Expenses!E$3:E$1002="INR")*(Expenses!A$3:A$1002=B224)*(Expenses!A$3:A$1002&lt;&gt;"")*Expenses!D$3:D$1002)</f>
        <v>0</v>
      </c>
      <c r="G224" s="53" t="n">
        <f aca="false">C224+D224</f>
        <v>0</v>
      </c>
      <c r="H224" s="26"/>
    </row>
    <row r="225" customFormat="false" ht="15" hidden="false" customHeight="false" outlineLevel="0" collapsed="false">
      <c r="A225" s="5" t="n">
        <v>33</v>
      </c>
      <c r="B225" s="57" t="n">
        <v>46245</v>
      </c>
      <c r="C225" s="52" t="n">
        <f aca="false">G224</f>
        <v>0</v>
      </c>
      <c r="D225" s="53" t="n">
        <f aca="false">E225-F225</f>
        <v>0</v>
      </c>
      <c r="E225" s="52" t="n">
        <f aca="false">SUMPRODUCT((Income!D$3:D$502="INR")*(Income!A$3:A$502=B225)*(Income!A$3:A$502&lt;&gt;"")*Income!C$3:C$502)</f>
        <v>0</v>
      </c>
      <c r="F225" s="52" t="n">
        <f aca="false">SUMPRODUCT((Expenses!E$3:E$1002="INR")*(Expenses!A$3:A$1002=B225)*(Expenses!A$3:A$1002&lt;&gt;"")*Expenses!D$3:D$1002)</f>
        <v>0</v>
      </c>
      <c r="G225" s="53" t="n">
        <f aca="false">C225+D225</f>
        <v>0</v>
      </c>
      <c r="H225" s="26"/>
    </row>
    <row r="226" customFormat="false" ht="15" hidden="false" customHeight="false" outlineLevel="0" collapsed="false">
      <c r="A226" s="5" t="n">
        <v>33</v>
      </c>
      <c r="B226" s="57" t="n">
        <v>46246</v>
      </c>
      <c r="C226" s="52" t="n">
        <f aca="false">G225</f>
        <v>0</v>
      </c>
      <c r="D226" s="53" t="n">
        <f aca="false">E226-F226</f>
        <v>0</v>
      </c>
      <c r="E226" s="52" t="n">
        <f aca="false">SUMPRODUCT((Income!D$3:D$502="INR")*(Income!A$3:A$502=B226)*(Income!A$3:A$502&lt;&gt;"")*Income!C$3:C$502)</f>
        <v>0</v>
      </c>
      <c r="F226" s="52" t="n">
        <f aca="false">SUMPRODUCT((Expenses!E$3:E$1002="INR")*(Expenses!A$3:A$1002=B226)*(Expenses!A$3:A$1002&lt;&gt;"")*Expenses!D$3:D$1002)</f>
        <v>0</v>
      </c>
      <c r="G226" s="53" t="n">
        <f aca="false">C226+D226</f>
        <v>0</v>
      </c>
      <c r="H226" s="26"/>
    </row>
    <row r="227" customFormat="false" ht="15" hidden="false" customHeight="false" outlineLevel="0" collapsed="false">
      <c r="A227" s="5" t="n">
        <v>33</v>
      </c>
      <c r="B227" s="57" t="n">
        <v>46247</v>
      </c>
      <c r="C227" s="52" t="n">
        <f aca="false">G226</f>
        <v>0</v>
      </c>
      <c r="D227" s="53" t="n">
        <f aca="false">E227-F227</f>
        <v>0</v>
      </c>
      <c r="E227" s="52" t="n">
        <f aca="false">SUMPRODUCT((Income!D$3:D$502="INR")*(Income!A$3:A$502=B227)*(Income!A$3:A$502&lt;&gt;"")*Income!C$3:C$502)</f>
        <v>0</v>
      </c>
      <c r="F227" s="52" t="n">
        <f aca="false">SUMPRODUCT((Expenses!E$3:E$1002="INR")*(Expenses!A$3:A$1002=B227)*(Expenses!A$3:A$1002&lt;&gt;"")*Expenses!D$3:D$1002)</f>
        <v>0</v>
      </c>
      <c r="G227" s="53" t="n">
        <f aca="false">C227+D227</f>
        <v>0</v>
      </c>
      <c r="H227" s="26"/>
    </row>
    <row r="228" customFormat="false" ht="15" hidden="false" customHeight="false" outlineLevel="0" collapsed="false">
      <c r="A228" s="5" t="n">
        <v>33</v>
      </c>
      <c r="B228" s="57" t="n">
        <v>46248</v>
      </c>
      <c r="C228" s="52" t="n">
        <f aca="false">G227</f>
        <v>0</v>
      </c>
      <c r="D228" s="53" t="n">
        <f aca="false">E228-F228</f>
        <v>0</v>
      </c>
      <c r="E228" s="52" t="n">
        <f aca="false">SUMPRODUCT((Income!D$3:D$502="INR")*(Income!A$3:A$502=B228)*(Income!A$3:A$502&lt;&gt;"")*Income!C$3:C$502)</f>
        <v>0</v>
      </c>
      <c r="F228" s="52" t="n">
        <f aca="false">SUMPRODUCT((Expenses!E$3:E$1002="INR")*(Expenses!A$3:A$1002=B228)*(Expenses!A$3:A$1002&lt;&gt;"")*Expenses!D$3:D$1002)</f>
        <v>0</v>
      </c>
      <c r="G228" s="53" t="n">
        <f aca="false">C228+D228</f>
        <v>0</v>
      </c>
      <c r="H228" s="26"/>
    </row>
    <row r="229" customFormat="false" ht="15" hidden="false" customHeight="false" outlineLevel="0" collapsed="false">
      <c r="A229" s="5" t="n">
        <v>33</v>
      </c>
      <c r="B229" s="57" t="n">
        <v>46249</v>
      </c>
      <c r="C229" s="52" t="n">
        <f aca="false">G228</f>
        <v>0</v>
      </c>
      <c r="D229" s="53" t="n">
        <f aca="false">E229-F229</f>
        <v>0</v>
      </c>
      <c r="E229" s="52" t="n">
        <f aca="false">SUMPRODUCT((Income!D$3:D$502="INR")*(Income!A$3:A$502=B229)*(Income!A$3:A$502&lt;&gt;"")*Income!C$3:C$502)</f>
        <v>0</v>
      </c>
      <c r="F229" s="52" t="n">
        <f aca="false">SUMPRODUCT((Expenses!E$3:E$1002="INR")*(Expenses!A$3:A$1002=B229)*(Expenses!A$3:A$1002&lt;&gt;"")*Expenses!D$3:D$1002)</f>
        <v>0</v>
      </c>
      <c r="G229" s="53" t="n">
        <f aca="false">C229+D229</f>
        <v>0</v>
      </c>
      <c r="H229" s="26"/>
    </row>
    <row r="230" customFormat="false" ht="15" hidden="false" customHeight="false" outlineLevel="0" collapsed="false">
      <c r="A230" s="5" t="n">
        <v>33</v>
      </c>
      <c r="B230" s="57" t="n">
        <v>46250</v>
      </c>
      <c r="C230" s="52" t="n">
        <f aca="false">G229</f>
        <v>0</v>
      </c>
      <c r="D230" s="53" t="n">
        <f aca="false">E230-F230</f>
        <v>0</v>
      </c>
      <c r="E230" s="52" t="n">
        <f aca="false">SUMPRODUCT((Income!D$3:D$502="INR")*(Income!A$3:A$502=B230)*(Income!A$3:A$502&lt;&gt;"")*Income!C$3:C$502)</f>
        <v>0</v>
      </c>
      <c r="F230" s="52" t="n">
        <f aca="false">SUMPRODUCT((Expenses!E$3:E$1002="INR")*(Expenses!A$3:A$1002=B230)*(Expenses!A$3:A$1002&lt;&gt;"")*Expenses!D$3:D$1002)</f>
        <v>0</v>
      </c>
      <c r="G230" s="53" t="n">
        <f aca="false">C230+D230</f>
        <v>0</v>
      </c>
      <c r="H230" s="26"/>
    </row>
    <row r="231" customFormat="false" ht="15" hidden="false" customHeight="false" outlineLevel="0" collapsed="false">
      <c r="A231" s="5" t="n">
        <v>34</v>
      </c>
      <c r="B231" s="57" t="n">
        <v>46251</v>
      </c>
      <c r="C231" s="52" t="n">
        <f aca="false">G230</f>
        <v>0</v>
      </c>
      <c r="D231" s="53" t="n">
        <f aca="false">E231-F231</f>
        <v>0</v>
      </c>
      <c r="E231" s="52" t="n">
        <f aca="false">SUMPRODUCT((Income!D$3:D$502="INR")*(Income!A$3:A$502=B231)*(Income!A$3:A$502&lt;&gt;"")*Income!C$3:C$502)</f>
        <v>0</v>
      </c>
      <c r="F231" s="52" t="n">
        <f aca="false">SUMPRODUCT((Expenses!E$3:E$1002="INR")*(Expenses!A$3:A$1002=B231)*(Expenses!A$3:A$1002&lt;&gt;"")*Expenses!D$3:D$1002)</f>
        <v>0</v>
      </c>
      <c r="G231" s="53" t="n">
        <f aca="false">C231+D231</f>
        <v>0</v>
      </c>
      <c r="H231" s="26"/>
    </row>
    <row r="232" customFormat="false" ht="15" hidden="false" customHeight="false" outlineLevel="0" collapsed="false">
      <c r="A232" s="5" t="n">
        <v>34</v>
      </c>
      <c r="B232" s="57" t="n">
        <v>46252</v>
      </c>
      <c r="C232" s="52" t="n">
        <f aca="false">G231</f>
        <v>0</v>
      </c>
      <c r="D232" s="53" t="n">
        <f aca="false">E232-F232</f>
        <v>0</v>
      </c>
      <c r="E232" s="52" t="n">
        <f aca="false">SUMPRODUCT((Income!D$3:D$502="INR")*(Income!A$3:A$502=B232)*(Income!A$3:A$502&lt;&gt;"")*Income!C$3:C$502)</f>
        <v>0</v>
      </c>
      <c r="F232" s="52" t="n">
        <f aca="false">SUMPRODUCT((Expenses!E$3:E$1002="INR")*(Expenses!A$3:A$1002=B232)*(Expenses!A$3:A$1002&lt;&gt;"")*Expenses!D$3:D$1002)</f>
        <v>0</v>
      </c>
      <c r="G232" s="53" t="n">
        <f aca="false">C232+D232</f>
        <v>0</v>
      </c>
      <c r="H232" s="26"/>
    </row>
    <row r="233" customFormat="false" ht="15" hidden="false" customHeight="false" outlineLevel="0" collapsed="false">
      <c r="A233" s="5" t="n">
        <v>34</v>
      </c>
      <c r="B233" s="57" t="n">
        <v>46253</v>
      </c>
      <c r="C233" s="52" t="n">
        <f aca="false">G232</f>
        <v>0</v>
      </c>
      <c r="D233" s="53" t="n">
        <f aca="false">E233-F233</f>
        <v>0</v>
      </c>
      <c r="E233" s="52" t="n">
        <f aca="false">SUMPRODUCT((Income!D$3:D$502="INR")*(Income!A$3:A$502=B233)*(Income!A$3:A$502&lt;&gt;"")*Income!C$3:C$502)</f>
        <v>0</v>
      </c>
      <c r="F233" s="52" t="n">
        <f aca="false">SUMPRODUCT((Expenses!E$3:E$1002="INR")*(Expenses!A$3:A$1002=B233)*(Expenses!A$3:A$1002&lt;&gt;"")*Expenses!D$3:D$1002)</f>
        <v>0</v>
      </c>
      <c r="G233" s="53" t="n">
        <f aca="false">C233+D233</f>
        <v>0</v>
      </c>
      <c r="H233" s="26"/>
    </row>
    <row r="234" customFormat="false" ht="15" hidden="false" customHeight="false" outlineLevel="0" collapsed="false">
      <c r="A234" s="5" t="n">
        <v>34</v>
      </c>
      <c r="B234" s="57" t="n">
        <v>46254</v>
      </c>
      <c r="C234" s="52" t="n">
        <f aca="false">G233</f>
        <v>0</v>
      </c>
      <c r="D234" s="53" t="n">
        <f aca="false">E234-F234</f>
        <v>0</v>
      </c>
      <c r="E234" s="52" t="n">
        <f aca="false">SUMPRODUCT((Income!D$3:D$502="INR")*(Income!A$3:A$502=B234)*(Income!A$3:A$502&lt;&gt;"")*Income!C$3:C$502)</f>
        <v>0</v>
      </c>
      <c r="F234" s="52" t="n">
        <f aca="false">SUMPRODUCT((Expenses!E$3:E$1002="INR")*(Expenses!A$3:A$1002=B234)*(Expenses!A$3:A$1002&lt;&gt;"")*Expenses!D$3:D$1002)</f>
        <v>0</v>
      </c>
      <c r="G234" s="53" t="n">
        <f aca="false">C234+D234</f>
        <v>0</v>
      </c>
      <c r="H234" s="26"/>
    </row>
    <row r="235" customFormat="false" ht="15" hidden="false" customHeight="false" outlineLevel="0" collapsed="false">
      <c r="A235" s="5" t="n">
        <v>34</v>
      </c>
      <c r="B235" s="57" t="n">
        <v>46255</v>
      </c>
      <c r="C235" s="52" t="n">
        <f aca="false">G234</f>
        <v>0</v>
      </c>
      <c r="D235" s="53" t="n">
        <f aca="false">E235-F235</f>
        <v>0</v>
      </c>
      <c r="E235" s="52" t="n">
        <f aca="false">SUMPRODUCT((Income!D$3:D$502="INR")*(Income!A$3:A$502=B235)*(Income!A$3:A$502&lt;&gt;"")*Income!C$3:C$502)</f>
        <v>0</v>
      </c>
      <c r="F235" s="52" t="n">
        <f aca="false">SUMPRODUCT((Expenses!E$3:E$1002="INR")*(Expenses!A$3:A$1002=B235)*(Expenses!A$3:A$1002&lt;&gt;"")*Expenses!D$3:D$1002)</f>
        <v>0</v>
      </c>
      <c r="G235" s="53" t="n">
        <f aca="false">C235+D235</f>
        <v>0</v>
      </c>
      <c r="H235" s="26"/>
    </row>
    <row r="236" customFormat="false" ht="15" hidden="false" customHeight="false" outlineLevel="0" collapsed="false">
      <c r="A236" s="5" t="n">
        <v>34</v>
      </c>
      <c r="B236" s="57" t="n">
        <v>46256</v>
      </c>
      <c r="C236" s="52" t="n">
        <f aca="false">G235</f>
        <v>0</v>
      </c>
      <c r="D236" s="53" t="n">
        <f aca="false">E236-F236</f>
        <v>0</v>
      </c>
      <c r="E236" s="52" t="n">
        <f aca="false">SUMPRODUCT((Income!D$3:D$502="INR")*(Income!A$3:A$502=B236)*(Income!A$3:A$502&lt;&gt;"")*Income!C$3:C$502)</f>
        <v>0</v>
      </c>
      <c r="F236" s="52" t="n">
        <f aca="false">SUMPRODUCT((Expenses!E$3:E$1002="INR")*(Expenses!A$3:A$1002=B236)*(Expenses!A$3:A$1002&lt;&gt;"")*Expenses!D$3:D$1002)</f>
        <v>0</v>
      </c>
      <c r="G236" s="53" t="n">
        <f aca="false">C236+D236</f>
        <v>0</v>
      </c>
      <c r="H236" s="26"/>
    </row>
    <row r="237" customFormat="false" ht="15" hidden="false" customHeight="false" outlineLevel="0" collapsed="false">
      <c r="A237" s="5" t="n">
        <v>34</v>
      </c>
      <c r="B237" s="57" t="n">
        <v>46257</v>
      </c>
      <c r="C237" s="52" t="n">
        <f aca="false">G236</f>
        <v>0</v>
      </c>
      <c r="D237" s="53" t="n">
        <f aca="false">E237-F237</f>
        <v>0</v>
      </c>
      <c r="E237" s="52" t="n">
        <f aca="false">SUMPRODUCT((Income!D$3:D$502="INR")*(Income!A$3:A$502=B237)*(Income!A$3:A$502&lt;&gt;"")*Income!C$3:C$502)</f>
        <v>0</v>
      </c>
      <c r="F237" s="52" t="n">
        <f aca="false">SUMPRODUCT((Expenses!E$3:E$1002="INR")*(Expenses!A$3:A$1002=B237)*(Expenses!A$3:A$1002&lt;&gt;"")*Expenses!D$3:D$1002)</f>
        <v>0</v>
      </c>
      <c r="G237" s="53" t="n">
        <f aca="false">C237+D237</f>
        <v>0</v>
      </c>
      <c r="H237" s="26"/>
    </row>
    <row r="238" customFormat="false" ht="15" hidden="false" customHeight="false" outlineLevel="0" collapsed="false">
      <c r="A238" s="5" t="n">
        <v>35</v>
      </c>
      <c r="B238" s="57" t="n">
        <v>46258</v>
      </c>
      <c r="C238" s="52" t="n">
        <f aca="false">G237</f>
        <v>0</v>
      </c>
      <c r="D238" s="53" t="n">
        <f aca="false">E238-F238</f>
        <v>0</v>
      </c>
      <c r="E238" s="52" t="n">
        <f aca="false">SUMPRODUCT((Income!D$3:D$502="INR")*(Income!A$3:A$502=B238)*(Income!A$3:A$502&lt;&gt;"")*Income!C$3:C$502)</f>
        <v>0</v>
      </c>
      <c r="F238" s="52" t="n">
        <f aca="false">SUMPRODUCT((Expenses!E$3:E$1002="INR")*(Expenses!A$3:A$1002=B238)*(Expenses!A$3:A$1002&lt;&gt;"")*Expenses!D$3:D$1002)</f>
        <v>0</v>
      </c>
      <c r="G238" s="53" t="n">
        <f aca="false">C238+D238</f>
        <v>0</v>
      </c>
      <c r="H238" s="26"/>
    </row>
    <row r="239" customFormat="false" ht="15" hidden="false" customHeight="false" outlineLevel="0" collapsed="false">
      <c r="A239" s="5" t="n">
        <v>35</v>
      </c>
      <c r="B239" s="57" t="n">
        <v>46259</v>
      </c>
      <c r="C239" s="52" t="n">
        <f aca="false">G238</f>
        <v>0</v>
      </c>
      <c r="D239" s="53" t="n">
        <f aca="false">E239-F239</f>
        <v>0</v>
      </c>
      <c r="E239" s="52" t="n">
        <f aca="false">SUMPRODUCT((Income!D$3:D$502="INR")*(Income!A$3:A$502=B239)*(Income!A$3:A$502&lt;&gt;"")*Income!C$3:C$502)</f>
        <v>0</v>
      </c>
      <c r="F239" s="52" t="n">
        <f aca="false">SUMPRODUCT((Expenses!E$3:E$1002="INR")*(Expenses!A$3:A$1002=B239)*(Expenses!A$3:A$1002&lt;&gt;"")*Expenses!D$3:D$1002)</f>
        <v>0</v>
      </c>
      <c r="G239" s="53" t="n">
        <f aca="false">C239+D239</f>
        <v>0</v>
      </c>
      <c r="H239" s="26"/>
    </row>
    <row r="240" customFormat="false" ht="15" hidden="false" customHeight="false" outlineLevel="0" collapsed="false">
      <c r="A240" s="5" t="n">
        <v>35</v>
      </c>
      <c r="B240" s="57" t="n">
        <v>46260</v>
      </c>
      <c r="C240" s="52" t="n">
        <f aca="false">G239</f>
        <v>0</v>
      </c>
      <c r="D240" s="53" t="n">
        <f aca="false">E240-F240</f>
        <v>0</v>
      </c>
      <c r="E240" s="52" t="n">
        <f aca="false">SUMPRODUCT((Income!D$3:D$502="INR")*(Income!A$3:A$502=B240)*(Income!A$3:A$502&lt;&gt;"")*Income!C$3:C$502)</f>
        <v>0</v>
      </c>
      <c r="F240" s="52" t="n">
        <f aca="false">SUMPRODUCT((Expenses!E$3:E$1002="INR")*(Expenses!A$3:A$1002=B240)*(Expenses!A$3:A$1002&lt;&gt;"")*Expenses!D$3:D$1002)</f>
        <v>0</v>
      </c>
      <c r="G240" s="53" t="n">
        <f aca="false">C240+D240</f>
        <v>0</v>
      </c>
      <c r="H240" s="26"/>
    </row>
    <row r="241" customFormat="false" ht="15" hidden="false" customHeight="false" outlineLevel="0" collapsed="false">
      <c r="A241" s="5" t="n">
        <v>35</v>
      </c>
      <c r="B241" s="57" t="n">
        <v>46261</v>
      </c>
      <c r="C241" s="52" t="n">
        <f aca="false">G240</f>
        <v>0</v>
      </c>
      <c r="D241" s="53" t="n">
        <f aca="false">E241-F241</f>
        <v>0</v>
      </c>
      <c r="E241" s="52" t="n">
        <f aca="false">SUMPRODUCT((Income!D$3:D$502="INR")*(Income!A$3:A$502=B241)*(Income!A$3:A$502&lt;&gt;"")*Income!C$3:C$502)</f>
        <v>0</v>
      </c>
      <c r="F241" s="52" t="n">
        <f aca="false">SUMPRODUCT((Expenses!E$3:E$1002="INR")*(Expenses!A$3:A$1002=B241)*(Expenses!A$3:A$1002&lt;&gt;"")*Expenses!D$3:D$1002)</f>
        <v>0</v>
      </c>
      <c r="G241" s="53" t="n">
        <f aca="false">C241+D241</f>
        <v>0</v>
      </c>
      <c r="H241" s="26"/>
    </row>
    <row r="242" customFormat="false" ht="15" hidden="false" customHeight="false" outlineLevel="0" collapsed="false">
      <c r="A242" s="5" t="n">
        <v>35</v>
      </c>
      <c r="B242" s="57" t="n">
        <v>46262</v>
      </c>
      <c r="C242" s="52" t="n">
        <f aca="false">G241</f>
        <v>0</v>
      </c>
      <c r="D242" s="53" t="n">
        <f aca="false">E242-F242</f>
        <v>0</v>
      </c>
      <c r="E242" s="52" t="n">
        <f aca="false">SUMPRODUCT((Income!D$3:D$502="INR")*(Income!A$3:A$502=B242)*(Income!A$3:A$502&lt;&gt;"")*Income!C$3:C$502)</f>
        <v>0</v>
      </c>
      <c r="F242" s="52" t="n">
        <f aca="false">SUMPRODUCT((Expenses!E$3:E$1002="INR")*(Expenses!A$3:A$1002=B242)*(Expenses!A$3:A$1002&lt;&gt;"")*Expenses!D$3:D$1002)</f>
        <v>0</v>
      </c>
      <c r="G242" s="53" t="n">
        <f aca="false">C242+D242</f>
        <v>0</v>
      </c>
      <c r="H242" s="26"/>
    </row>
    <row r="243" customFormat="false" ht="15" hidden="false" customHeight="false" outlineLevel="0" collapsed="false">
      <c r="A243" s="5" t="n">
        <v>35</v>
      </c>
      <c r="B243" s="57" t="n">
        <v>46263</v>
      </c>
      <c r="C243" s="52" t="n">
        <f aca="false">G242</f>
        <v>0</v>
      </c>
      <c r="D243" s="53" t="n">
        <f aca="false">E243-F243</f>
        <v>0</v>
      </c>
      <c r="E243" s="52" t="n">
        <f aca="false">SUMPRODUCT((Income!D$3:D$502="INR")*(Income!A$3:A$502=B243)*(Income!A$3:A$502&lt;&gt;"")*Income!C$3:C$502)</f>
        <v>0</v>
      </c>
      <c r="F243" s="52" t="n">
        <f aca="false">SUMPRODUCT((Expenses!E$3:E$1002="INR")*(Expenses!A$3:A$1002=B243)*(Expenses!A$3:A$1002&lt;&gt;"")*Expenses!D$3:D$1002)</f>
        <v>0</v>
      </c>
      <c r="G243" s="53" t="n">
        <f aca="false">C243+D243</f>
        <v>0</v>
      </c>
      <c r="H243" s="26"/>
    </row>
    <row r="244" customFormat="false" ht="15" hidden="false" customHeight="false" outlineLevel="0" collapsed="false">
      <c r="A244" s="5" t="n">
        <v>35</v>
      </c>
      <c r="B244" s="57" t="n">
        <v>46264</v>
      </c>
      <c r="C244" s="52" t="n">
        <f aca="false">G243</f>
        <v>0</v>
      </c>
      <c r="D244" s="53" t="n">
        <f aca="false">E244-F244</f>
        <v>0</v>
      </c>
      <c r="E244" s="52" t="n">
        <f aca="false">SUMPRODUCT((Income!D$3:D$502="INR")*(Income!A$3:A$502=B244)*(Income!A$3:A$502&lt;&gt;"")*Income!C$3:C$502)</f>
        <v>0</v>
      </c>
      <c r="F244" s="52" t="n">
        <f aca="false">SUMPRODUCT((Expenses!E$3:E$1002="INR")*(Expenses!A$3:A$1002=B244)*(Expenses!A$3:A$1002&lt;&gt;"")*Expenses!D$3:D$1002)</f>
        <v>0</v>
      </c>
      <c r="G244" s="53" t="n">
        <f aca="false">C244+D244</f>
        <v>0</v>
      </c>
      <c r="H244" s="26"/>
    </row>
    <row r="245" customFormat="false" ht="15" hidden="false" customHeight="false" outlineLevel="0" collapsed="false">
      <c r="A245" s="5" t="n">
        <v>36</v>
      </c>
      <c r="B245" s="57" t="n">
        <v>46265</v>
      </c>
      <c r="C245" s="52" t="n">
        <f aca="false">G244</f>
        <v>0</v>
      </c>
      <c r="D245" s="53" t="n">
        <f aca="false">E245-F245</f>
        <v>0</v>
      </c>
      <c r="E245" s="52" t="n">
        <f aca="false">SUMPRODUCT((Income!D$3:D$502="INR")*(Income!A$3:A$502=B245)*(Income!A$3:A$502&lt;&gt;"")*Income!C$3:C$502)</f>
        <v>0</v>
      </c>
      <c r="F245" s="52" t="n">
        <f aca="false">SUMPRODUCT((Expenses!E$3:E$1002="INR")*(Expenses!A$3:A$1002=B245)*(Expenses!A$3:A$1002&lt;&gt;"")*Expenses!D$3:D$1002)</f>
        <v>0</v>
      </c>
      <c r="G245" s="53" t="n">
        <f aca="false">C245+D245</f>
        <v>0</v>
      </c>
      <c r="H245" s="26"/>
    </row>
    <row r="246" customFormat="false" ht="15" hidden="false" customHeight="false" outlineLevel="0" collapsed="false">
      <c r="A246" s="5" t="n">
        <v>36</v>
      </c>
      <c r="B246" s="57" t="n">
        <v>46266</v>
      </c>
      <c r="C246" s="52" t="n">
        <f aca="false">G245</f>
        <v>0</v>
      </c>
      <c r="D246" s="53" t="n">
        <f aca="false">E246-F246</f>
        <v>0</v>
      </c>
      <c r="E246" s="52" t="n">
        <f aca="false">SUMPRODUCT((Income!D$3:D$502="INR")*(Income!A$3:A$502=B246)*(Income!A$3:A$502&lt;&gt;"")*Income!C$3:C$502)</f>
        <v>0</v>
      </c>
      <c r="F246" s="52" t="n">
        <f aca="false">SUMPRODUCT((Expenses!E$3:E$1002="INR")*(Expenses!A$3:A$1002=B246)*(Expenses!A$3:A$1002&lt;&gt;"")*Expenses!D$3:D$1002)</f>
        <v>0</v>
      </c>
      <c r="G246" s="53" t="n">
        <f aca="false">C246+D246</f>
        <v>0</v>
      </c>
      <c r="H246" s="26"/>
    </row>
    <row r="247" customFormat="false" ht="15" hidden="false" customHeight="false" outlineLevel="0" collapsed="false">
      <c r="A247" s="5" t="n">
        <v>36</v>
      </c>
      <c r="B247" s="57" t="n">
        <v>46267</v>
      </c>
      <c r="C247" s="52" t="n">
        <f aca="false">G246</f>
        <v>0</v>
      </c>
      <c r="D247" s="53" t="n">
        <f aca="false">E247-F247</f>
        <v>0</v>
      </c>
      <c r="E247" s="52" t="n">
        <f aca="false">SUMPRODUCT((Income!D$3:D$502="INR")*(Income!A$3:A$502=B247)*(Income!A$3:A$502&lt;&gt;"")*Income!C$3:C$502)</f>
        <v>0</v>
      </c>
      <c r="F247" s="52" t="n">
        <f aca="false">SUMPRODUCT((Expenses!E$3:E$1002="INR")*(Expenses!A$3:A$1002=B247)*(Expenses!A$3:A$1002&lt;&gt;"")*Expenses!D$3:D$1002)</f>
        <v>0</v>
      </c>
      <c r="G247" s="53" t="n">
        <f aca="false">C247+D247</f>
        <v>0</v>
      </c>
      <c r="H247" s="26"/>
    </row>
    <row r="248" customFormat="false" ht="15" hidden="false" customHeight="false" outlineLevel="0" collapsed="false">
      <c r="A248" s="5" t="n">
        <v>36</v>
      </c>
      <c r="B248" s="57" t="n">
        <v>46268</v>
      </c>
      <c r="C248" s="52" t="n">
        <f aca="false">G247</f>
        <v>0</v>
      </c>
      <c r="D248" s="53" t="n">
        <f aca="false">E248-F248</f>
        <v>0</v>
      </c>
      <c r="E248" s="52" t="n">
        <f aca="false">SUMPRODUCT((Income!D$3:D$502="INR")*(Income!A$3:A$502=B248)*(Income!A$3:A$502&lt;&gt;"")*Income!C$3:C$502)</f>
        <v>0</v>
      </c>
      <c r="F248" s="52" t="n">
        <f aca="false">SUMPRODUCT((Expenses!E$3:E$1002="INR")*(Expenses!A$3:A$1002=B248)*(Expenses!A$3:A$1002&lt;&gt;"")*Expenses!D$3:D$1002)</f>
        <v>0</v>
      </c>
      <c r="G248" s="53" t="n">
        <f aca="false">C248+D248</f>
        <v>0</v>
      </c>
      <c r="H248" s="26"/>
    </row>
    <row r="249" customFormat="false" ht="15" hidden="false" customHeight="false" outlineLevel="0" collapsed="false">
      <c r="A249" s="5" t="n">
        <v>36</v>
      </c>
      <c r="B249" s="57" t="n">
        <v>46269</v>
      </c>
      <c r="C249" s="52" t="n">
        <f aca="false">G248</f>
        <v>0</v>
      </c>
      <c r="D249" s="53" t="n">
        <f aca="false">E249-F249</f>
        <v>0</v>
      </c>
      <c r="E249" s="52" t="n">
        <f aca="false">SUMPRODUCT((Income!D$3:D$502="INR")*(Income!A$3:A$502=B249)*(Income!A$3:A$502&lt;&gt;"")*Income!C$3:C$502)</f>
        <v>0</v>
      </c>
      <c r="F249" s="52" t="n">
        <f aca="false">SUMPRODUCT((Expenses!E$3:E$1002="INR")*(Expenses!A$3:A$1002=B249)*(Expenses!A$3:A$1002&lt;&gt;"")*Expenses!D$3:D$1002)</f>
        <v>0</v>
      </c>
      <c r="G249" s="53" t="n">
        <f aca="false">C249+D249</f>
        <v>0</v>
      </c>
      <c r="H249" s="26"/>
    </row>
    <row r="250" customFormat="false" ht="15" hidden="false" customHeight="false" outlineLevel="0" collapsed="false">
      <c r="A250" s="5" t="n">
        <v>36</v>
      </c>
      <c r="B250" s="57" t="n">
        <v>46270</v>
      </c>
      <c r="C250" s="52" t="n">
        <f aca="false">G249</f>
        <v>0</v>
      </c>
      <c r="D250" s="53" t="n">
        <f aca="false">E250-F250</f>
        <v>0</v>
      </c>
      <c r="E250" s="52" t="n">
        <f aca="false">SUMPRODUCT((Income!D$3:D$502="INR")*(Income!A$3:A$502=B250)*(Income!A$3:A$502&lt;&gt;"")*Income!C$3:C$502)</f>
        <v>0</v>
      </c>
      <c r="F250" s="52" t="n">
        <f aca="false">SUMPRODUCT((Expenses!E$3:E$1002="INR")*(Expenses!A$3:A$1002=B250)*(Expenses!A$3:A$1002&lt;&gt;"")*Expenses!D$3:D$1002)</f>
        <v>0</v>
      </c>
      <c r="G250" s="53" t="n">
        <f aca="false">C250+D250</f>
        <v>0</v>
      </c>
      <c r="H250" s="26"/>
    </row>
    <row r="251" customFormat="false" ht="15" hidden="false" customHeight="false" outlineLevel="0" collapsed="false">
      <c r="A251" s="5" t="n">
        <v>36</v>
      </c>
      <c r="B251" s="57" t="n">
        <v>46271</v>
      </c>
      <c r="C251" s="52" t="n">
        <f aca="false">G250</f>
        <v>0</v>
      </c>
      <c r="D251" s="53" t="n">
        <f aca="false">E251-F251</f>
        <v>0</v>
      </c>
      <c r="E251" s="52" t="n">
        <f aca="false">SUMPRODUCT((Income!D$3:D$502="INR")*(Income!A$3:A$502=B251)*(Income!A$3:A$502&lt;&gt;"")*Income!C$3:C$502)</f>
        <v>0</v>
      </c>
      <c r="F251" s="52" t="n">
        <f aca="false">SUMPRODUCT((Expenses!E$3:E$1002="INR")*(Expenses!A$3:A$1002=B251)*(Expenses!A$3:A$1002&lt;&gt;"")*Expenses!D$3:D$1002)</f>
        <v>0</v>
      </c>
      <c r="G251" s="53" t="n">
        <f aca="false">C251+D251</f>
        <v>0</v>
      </c>
      <c r="H251" s="26"/>
    </row>
    <row r="252" customFormat="false" ht="15" hidden="false" customHeight="false" outlineLevel="0" collapsed="false">
      <c r="A252" s="5" t="n">
        <v>37</v>
      </c>
      <c r="B252" s="57" t="n">
        <v>46272</v>
      </c>
      <c r="C252" s="52" t="n">
        <f aca="false">G251</f>
        <v>0</v>
      </c>
      <c r="D252" s="53" t="n">
        <f aca="false">E252-F252</f>
        <v>0</v>
      </c>
      <c r="E252" s="52" t="n">
        <f aca="false">SUMPRODUCT((Income!D$3:D$502="INR")*(Income!A$3:A$502=B252)*(Income!A$3:A$502&lt;&gt;"")*Income!C$3:C$502)</f>
        <v>0</v>
      </c>
      <c r="F252" s="52" t="n">
        <f aca="false">SUMPRODUCT((Expenses!E$3:E$1002="INR")*(Expenses!A$3:A$1002=B252)*(Expenses!A$3:A$1002&lt;&gt;"")*Expenses!D$3:D$1002)</f>
        <v>0</v>
      </c>
      <c r="G252" s="53" t="n">
        <f aca="false">C252+D252</f>
        <v>0</v>
      </c>
      <c r="H252" s="26"/>
    </row>
    <row r="253" customFormat="false" ht="15" hidden="false" customHeight="false" outlineLevel="0" collapsed="false">
      <c r="A253" s="5" t="n">
        <v>37</v>
      </c>
      <c r="B253" s="57" t="n">
        <v>46273</v>
      </c>
      <c r="C253" s="52" t="n">
        <f aca="false">G252</f>
        <v>0</v>
      </c>
      <c r="D253" s="53" t="n">
        <f aca="false">E253-F253</f>
        <v>0</v>
      </c>
      <c r="E253" s="52" t="n">
        <f aca="false">SUMPRODUCT((Income!D$3:D$502="INR")*(Income!A$3:A$502=B253)*(Income!A$3:A$502&lt;&gt;"")*Income!C$3:C$502)</f>
        <v>0</v>
      </c>
      <c r="F253" s="52" t="n">
        <f aca="false">SUMPRODUCT((Expenses!E$3:E$1002="INR")*(Expenses!A$3:A$1002=B253)*(Expenses!A$3:A$1002&lt;&gt;"")*Expenses!D$3:D$1002)</f>
        <v>0</v>
      </c>
      <c r="G253" s="53" t="n">
        <f aca="false">C253+D253</f>
        <v>0</v>
      </c>
      <c r="H253" s="26"/>
    </row>
    <row r="254" customFormat="false" ht="15" hidden="false" customHeight="false" outlineLevel="0" collapsed="false">
      <c r="A254" s="5" t="n">
        <v>37</v>
      </c>
      <c r="B254" s="57" t="n">
        <v>46274</v>
      </c>
      <c r="C254" s="52" t="n">
        <f aca="false">G253</f>
        <v>0</v>
      </c>
      <c r="D254" s="53" t="n">
        <f aca="false">E254-F254</f>
        <v>0</v>
      </c>
      <c r="E254" s="52" t="n">
        <f aca="false">SUMPRODUCT((Income!D$3:D$502="INR")*(Income!A$3:A$502=B254)*(Income!A$3:A$502&lt;&gt;"")*Income!C$3:C$502)</f>
        <v>0</v>
      </c>
      <c r="F254" s="52" t="n">
        <f aca="false">SUMPRODUCT((Expenses!E$3:E$1002="INR")*(Expenses!A$3:A$1002=B254)*(Expenses!A$3:A$1002&lt;&gt;"")*Expenses!D$3:D$1002)</f>
        <v>0</v>
      </c>
      <c r="G254" s="53" t="n">
        <f aca="false">C254+D254</f>
        <v>0</v>
      </c>
      <c r="H254" s="26"/>
    </row>
    <row r="255" customFormat="false" ht="15" hidden="false" customHeight="false" outlineLevel="0" collapsed="false">
      <c r="A255" s="5" t="n">
        <v>37</v>
      </c>
      <c r="B255" s="57" t="n">
        <v>46275</v>
      </c>
      <c r="C255" s="52" t="n">
        <f aca="false">G254</f>
        <v>0</v>
      </c>
      <c r="D255" s="53" t="n">
        <f aca="false">E255-F255</f>
        <v>0</v>
      </c>
      <c r="E255" s="52" t="n">
        <f aca="false">SUMPRODUCT((Income!D$3:D$502="INR")*(Income!A$3:A$502=B255)*(Income!A$3:A$502&lt;&gt;"")*Income!C$3:C$502)</f>
        <v>0</v>
      </c>
      <c r="F255" s="52" t="n">
        <f aca="false">SUMPRODUCT((Expenses!E$3:E$1002="INR")*(Expenses!A$3:A$1002=B255)*(Expenses!A$3:A$1002&lt;&gt;"")*Expenses!D$3:D$1002)</f>
        <v>0</v>
      </c>
      <c r="G255" s="53" t="n">
        <f aca="false">C255+D255</f>
        <v>0</v>
      </c>
      <c r="H255" s="26"/>
    </row>
    <row r="256" customFormat="false" ht="15" hidden="false" customHeight="false" outlineLevel="0" collapsed="false">
      <c r="A256" s="5" t="n">
        <v>37</v>
      </c>
      <c r="B256" s="57" t="n">
        <v>46276</v>
      </c>
      <c r="C256" s="52" t="n">
        <f aca="false">G255</f>
        <v>0</v>
      </c>
      <c r="D256" s="53" t="n">
        <f aca="false">E256-F256</f>
        <v>0</v>
      </c>
      <c r="E256" s="52" t="n">
        <f aca="false">SUMPRODUCT((Income!D$3:D$502="INR")*(Income!A$3:A$502=B256)*(Income!A$3:A$502&lt;&gt;"")*Income!C$3:C$502)</f>
        <v>0</v>
      </c>
      <c r="F256" s="52" t="n">
        <f aca="false">SUMPRODUCT((Expenses!E$3:E$1002="INR")*(Expenses!A$3:A$1002=B256)*(Expenses!A$3:A$1002&lt;&gt;"")*Expenses!D$3:D$1002)</f>
        <v>0</v>
      </c>
      <c r="G256" s="53" t="n">
        <f aca="false">C256+D256</f>
        <v>0</v>
      </c>
      <c r="H256" s="26"/>
    </row>
    <row r="257" customFormat="false" ht="15" hidden="false" customHeight="false" outlineLevel="0" collapsed="false">
      <c r="A257" s="5" t="n">
        <v>37</v>
      </c>
      <c r="B257" s="57" t="n">
        <v>46277</v>
      </c>
      <c r="C257" s="52" t="n">
        <f aca="false">G256</f>
        <v>0</v>
      </c>
      <c r="D257" s="53" t="n">
        <f aca="false">E257-F257</f>
        <v>0</v>
      </c>
      <c r="E257" s="52" t="n">
        <f aca="false">SUMPRODUCT((Income!D$3:D$502="INR")*(Income!A$3:A$502=B257)*(Income!A$3:A$502&lt;&gt;"")*Income!C$3:C$502)</f>
        <v>0</v>
      </c>
      <c r="F257" s="52" t="n">
        <f aca="false">SUMPRODUCT((Expenses!E$3:E$1002="INR")*(Expenses!A$3:A$1002=B257)*(Expenses!A$3:A$1002&lt;&gt;"")*Expenses!D$3:D$1002)</f>
        <v>0</v>
      </c>
      <c r="G257" s="53" t="n">
        <f aca="false">C257+D257</f>
        <v>0</v>
      </c>
      <c r="H257" s="26"/>
    </row>
    <row r="258" customFormat="false" ht="15" hidden="false" customHeight="false" outlineLevel="0" collapsed="false">
      <c r="A258" s="5" t="n">
        <v>37</v>
      </c>
      <c r="B258" s="57" t="n">
        <v>46278</v>
      </c>
      <c r="C258" s="52" t="n">
        <f aca="false">G257</f>
        <v>0</v>
      </c>
      <c r="D258" s="53" t="n">
        <f aca="false">E258-F258</f>
        <v>0</v>
      </c>
      <c r="E258" s="52" t="n">
        <f aca="false">SUMPRODUCT((Income!D$3:D$502="INR")*(Income!A$3:A$502=B258)*(Income!A$3:A$502&lt;&gt;"")*Income!C$3:C$502)</f>
        <v>0</v>
      </c>
      <c r="F258" s="52" t="n">
        <f aca="false">SUMPRODUCT((Expenses!E$3:E$1002="INR")*(Expenses!A$3:A$1002=B258)*(Expenses!A$3:A$1002&lt;&gt;"")*Expenses!D$3:D$1002)</f>
        <v>0</v>
      </c>
      <c r="G258" s="53" t="n">
        <f aca="false">C258+D258</f>
        <v>0</v>
      </c>
      <c r="H258" s="26"/>
    </row>
    <row r="259" customFormat="false" ht="15" hidden="false" customHeight="false" outlineLevel="0" collapsed="false">
      <c r="A259" s="5" t="n">
        <v>38</v>
      </c>
      <c r="B259" s="57" t="n">
        <v>46279</v>
      </c>
      <c r="C259" s="52" t="n">
        <f aca="false">G258</f>
        <v>0</v>
      </c>
      <c r="D259" s="53" t="n">
        <f aca="false">E259-F259</f>
        <v>0</v>
      </c>
      <c r="E259" s="52" t="n">
        <f aca="false">SUMPRODUCT((Income!D$3:D$502="INR")*(Income!A$3:A$502=B259)*(Income!A$3:A$502&lt;&gt;"")*Income!C$3:C$502)</f>
        <v>0</v>
      </c>
      <c r="F259" s="52" t="n">
        <f aca="false">SUMPRODUCT((Expenses!E$3:E$1002="INR")*(Expenses!A$3:A$1002=B259)*(Expenses!A$3:A$1002&lt;&gt;"")*Expenses!D$3:D$1002)</f>
        <v>0</v>
      </c>
      <c r="G259" s="53" t="n">
        <f aca="false">C259+D259</f>
        <v>0</v>
      </c>
      <c r="H259" s="26"/>
    </row>
    <row r="260" customFormat="false" ht="15" hidden="false" customHeight="false" outlineLevel="0" collapsed="false">
      <c r="A260" s="5" t="n">
        <v>38</v>
      </c>
      <c r="B260" s="57" t="n">
        <v>46280</v>
      </c>
      <c r="C260" s="52" t="n">
        <f aca="false">G259</f>
        <v>0</v>
      </c>
      <c r="D260" s="53" t="n">
        <f aca="false">E260-F260</f>
        <v>0</v>
      </c>
      <c r="E260" s="52" t="n">
        <f aca="false">SUMPRODUCT((Income!D$3:D$502="INR")*(Income!A$3:A$502=B260)*(Income!A$3:A$502&lt;&gt;"")*Income!C$3:C$502)</f>
        <v>0</v>
      </c>
      <c r="F260" s="52" t="n">
        <f aca="false">SUMPRODUCT((Expenses!E$3:E$1002="INR")*(Expenses!A$3:A$1002=B260)*(Expenses!A$3:A$1002&lt;&gt;"")*Expenses!D$3:D$1002)</f>
        <v>0</v>
      </c>
      <c r="G260" s="53" t="n">
        <f aca="false">C260+D260</f>
        <v>0</v>
      </c>
      <c r="H260" s="26"/>
    </row>
    <row r="261" customFormat="false" ht="15" hidden="false" customHeight="false" outlineLevel="0" collapsed="false">
      <c r="A261" s="5" t="n">
        <v>38</v>
      </c>
      <c r="B261" s="57" t="n">
        <v>46281</v>
      </c>
      <c r="C261" s="52" t="n">
        <f aca="false">G260</f>
        <v>0</v>
      </c>
      <c r="D261" s="53" t="n">
        <f aca="false">E261-F261</f>
        <v>0</v>
      </c>
      <c r="E261" s="52" t="n">
        <f aca="false">SUMPRODUCT((Income!D$3:D$502="INR")*(Income!A$3:A$502=B261)*(Income!A$3:A$502&lt;&gt;"")*Income!C$3:C$502)</f>
        <v>0</v>
      </c>
      <c r="F261" s="52" t="n">
        <f aca="false">SUMPRODUCT((Expenses!E$3:E$1002="INR")*(Expenses!A$3:A$1002=B261)*(Expenses!A$3:A$1002&lt;&gt;"")*Expenses!D$3:D$1002)</f>
        <v>0</v>
      </c>
      <c r="G261" s="53" t="n">
        <f aca="false">C261+D261</f>
        <v>0</v>
      </c>
      <c r="H261" s="26"/>
    </row>
    <row r="262" customFormat="false" ht="15" hidden="false" customHeight="false" outlineLevel="0" collapsed="false">
      <c r="A262" s="5" t="n">
        <v>38</v>
      </c>
      <c r="B262" s="57" t="n">
        <v>46282</v>
      </c>
      <c r="C262" s="52" t="n">
        <f aca="false">G261</f>
        <v>0</v>
      </c>
      <c r="D262" s="53" t="n">
        <f aca="false">E262-F262</f>
        <v>0</v>
      </c>
      <c r="E262" s="52" t="n">
        <f aca="false">SUMPRODUCT((Income!D$3:D$502="INR")*(Income!A$3:A$502=B262)*(Income!A$3:A$502&lt;&gt;"")*Income!C$3:C$502)</f>
        <v>0</v>
      </c>
      <c r="F262" s="52" t="n">
        <f aca="false">SUMPRODUCT((Expenses!E$3:E$1002="INR")*(Expenses!A$3:A$1002=B262)*(Expenses!A$3:A$1002&lt;&gt;"")*Expenses!D$3:D$1002)</f>
        <v>0</v>
      </c>
      <c r="G262" s="53" t="n">
        <f aca="false">C262+D262</f>
        <v>0</v>
      </c>
      <c r="H262" s="26"/>
    </row>
    <row r="263" customFormat="false" ht="15" hidden="false" customHeight="false" outlineLevel="0" collapsed="false">
      <c r="A263" s="5" t="n">
        <v>38</v>
      </c>
      <c r="B263" s="57" t="n">
        <v>46283</v>
      </c>
      <c r="C263" s="52" t="n">
        <f aca="false">G262</f>
        <v>0</v>
      </c>
      <c r="D263" s="53" t="n">
        <f aca="false">E263-F263</f>
        <v>0</v>
      </c>
      <c r="E263" s="52" t="n">
        <f aca="false">SUMPRODUCT((Income!D$3:D$502="INR")*(Income!A$3:A$502=B263)*(Income!A$3:A$502&lt;&gt;"")*Income!C$3:C$502)</f>
        <v>0</v>
      </c>
      <c r="F263" s="52" t="n">
        <f aca="false">SUMPRODUCT((Expenses!E$3:E$1002="INR")*(Expenses!A$3:A$1002=B263)*(Expenses!A$3:A$1002&lt;&gt;"")*Expenses!D$3:D$1002)</f>
        <v>0</v>
      </c>
      <c r="G263" s="53" t="n">
        <f aca="false">C263+D263</f>
        <v>0</v>
      </c>
      <c r="H263" s="26"/>
    </row>
    <row r="264" customFormat="false" ht="15" hidden="false" customHeight="false" outlineLevel="0" collapsed="false">
      <c r="A264" s="5" t="n">
        <v>38</v>
      </c>
      <c r="B264" s="57" t="n">
        <v>46284</v>
      </c>
      <c r="C264" s="52" t="n">
        <f aca="false">G263</f>
        <v>0</v>
      </c>
      <c r="D264" s="53" t="n">
        <f aca="false">E264-F264</f>
        <v>0</v>
      </c>
      <c r="E264" s="52" t="n">
        <f aca="false">SUMPRODUCT((Income!D$3:D$502="INR")*(Income!A$3:A$502=B264)*(Income!A$3:A$502&lt;&gt;"")*Income!C$3:C$502)</f>
        <v>0</v>
      </c>
      <c r="F264" s="52" t="n">
        <f aca="false">SUMPRODUCT((Expenses!E$3:E$1002="INR")*(Expenses!A$3:A$1002=B264)*(Expenses!A$3:A$1002&lt;&gt;"")*Expenses!D$3:D$1002)</f>
        <v>0</v>
      </c>
      <c r="G264" s="53" t="n">
        <f aca="false">C264+D264</f>
        <v>0</v>
      </c>
      <c r="H264" s="26"/>
    </row>
    <row r="265" customFormat="false" ht="15" hidden="false" customHeight="false" outlineLevel="0" collapsed="false">
      <c r="A265" s="5" t="n">
        <v>38</v>
      </c>
      <c r="B265" s="57" t="n">
        <v>46285</v>
      </c>
      <c r="C265" s="52" t="n">
        <f aca="false">G264</f>
        <v>0</v>
      </c>
      <c r="D265" s="53" t="n">
        <f aca="false">E265-F265</f>
        <v>0</v>
      </c>
      <c r="E265" s="52" t="n">
        <f aca="false">SUMPRODUCT((Income!D$3:D$502="INR")*(Income!A$3:A$502=B265)*(Income!A$3:A$502&lt;&gt;"")*Income!C$3:C$502)</f>
        <v>0</v>
      </c>
      <c r="F265" s="52" t="n">
        <f aca="false">SUMPRODUCT((Expenses!E$3:E$1002="INR")*(Expenses!A$3:A$1002=B265)*(Expenses!A$3:A$1002&lt;&gt;"")*Expenses!D$3:D$1002)</f>
        <v>0</v>
      </c>
      <c r="G265" s="53" t="n">
        <f aca="false">C265+D265</f>
        <v>0</v>
      </c>
      <c r="H265" s="26"/>
    </row>
    <row r="266" customFormat="false" ht="15" hidden="false" customHeight="false" outlineLevel="0" collapsed="false">
      <c r="A266" s="5" t="n">
        <v>39</v>
      </c>
      <c r="B266" s="57" t="n">
        <v>46286</v>
      </c>
      <c r="C266" s="52" t="n">
        <f aca="false">G265</f>
        <v>0</v>
      </c>
      <c r="D266" s="53" t="n">
        <f aca="false">E266-F266</f>
        <v>0</v>
      </c>
      <c r="E266" s="52" t="n">
        <f aca="false">SUMPRODUCT((Income!D$3:D$502="INR")*(Income!A$3:A$502=B266)*(Income!A$3:A$502&lt;&gt;"")*Income!C$3:C$502)</f>
        <v>0</v>
      </c>
      <c r="F266" s="52" t="n">
        <f aca="false">SUMPRODUCT((Expenses!E$3:E$1002="INR")*(Expenses!A$3:A$1002=B266)*(Expenses!A$3:A$1002&lt;&gt;"")*Expenses!D$3:D$1002)</f>
        <v>0</v>
      </c>
      <c r="G266" s="53" t="n">
        <f aca="false">C266+D266</f>
        <v>0</v>
      </c>
      <c r="H266" s="26"/>
    </row>
    <row r="267" customFormat="false" ht="15" hidden="false" customHeight="false" outlineLevel="0" collapsed="false">
      <c r="A267" s="5" t="n">
        <v>39</v>
      </c>
      <c r="B267" s="57" t="n">
        <v>46287</v>
      </c>
      <c r="C267" s="52" t="n">
        <f aca="false">G266</f>
        <v>0</v>
      </c>
      <c r="D267" s="53" t="n">
        <f aca="false">E267-F267</f>
        <v>0</v>
      </c>
      <c r="E267" s="52" t="n">
        <f aca="false">SUMPRODUCT((Income!D$3:D$502="INR")*(Income!A$3:A$502=B267)*(Income!A$3:A$502&lt;&gt;"")*Income!C$3:C$502)</f>
        <v>0</v>
      </c>
      <c r="F267" s="52" t="n">
        <f aca="false">SUMPRODUCT((Expenses!E$3:E$1002="INR")*(Expenses!A$3:A$1002=B267)*(Expenses!A$3:A$1002&lt;&gt;"")*Expenses!D$3:D$1002)</f>
        <v>0</v>
      </c>
      <c r="G267" s="53" t="n">
        <f aca="false">C267+D267</f>
        <v>0</v>
      </c>
      <c r="H267" s="26"/>
    </row>
    <row r="268" customFormat="false" ht="15" hidden="false" customHeight="false" outlineLevel="0" collapsed="false">
      <c r="A268" s="5" t="n">
        <v>39</v>
      </c>
      <c r="B268" s="57" t="n">
        <v>46288</v>
      </c>
      <c r="C268" s="52" t="n">
        <f aca="false">G267</f>
        <v>0</v>
      </c>
      <c r="D268" s="53" t="n">
        <f aca="false">E268-F268</f>
        <v>0</v>
      </c>
      <c r="E268" s="52" t="n">
        <f aca="false">SUMPRODUCT((Income!D$3:D$502="INR")*(Income!A$3:A$502=B268)*(Income!A$3:A$502&lt;&gt;"")*Income!C$3:C$502)</f>
        <v>0</v>
      </c>
      <c r="F268" s="52" t="n">
        <f aca="false">SUMPRODUCT((Expenses!E$3:E$1002="INR")*(Expenses!A$3:A$1002=B268)*(Expenses!A$3:A$1002&lt;&gt;"")*Expenses!D$3:D$1002)</f>
        <v>0</v>
      </c>
      <c r="G268" s="53" t="n">
        <f aca="false">C268+D268</f>
        <v>0</v>
      </c>
      <c r="H268" s="26"/>
    </row>
    <row r="269" customFormat="false" ht="15" hidden="false" customHeight="false" outlineLevel="0" collapsed="false">
      <c r="A269" s="5" t="n">
        <v>39</v>
      </c>
      <c r="B269" s="57" t="n">
        <v>46289</v>
      </c>
      <c r="C269" s="52" t="n">
        <f aca="false">G268</f>
        <v>0</v>
      </c>
      <c r="D269" s="53" t="n">
        <f aca="false">E269-F269</f>
        <v>0</v>
      </c>
      <c r="E269" s="52" t="n">
        <f aca="false">SUMPRODUCT((Income!D$3:D$502="INR")*(Income!A$3:A$502=B269)*(Income!A$3:A$502&lt;&gt;"")*Income!C$3:C$502)</f>
        <v>0</v>
      </c>
      <c r="F269" s="52" t="n">
        <f aca="false">SUMPRODUCT((Expenses!E$3:E$1002="INR")*(Expenses!A$3:A$1002=B269)*(Expenses!A$3:A$1002&lt;&gt;"")*Expenses!D$3:D$1002)</f>
        <v>0</v>
      </c>
      <c r="G269" s="53" t="n">
        <f aca="false">C269+D269</f>
        <v>0</v>
      </c>
      <c r="H269" s="26"/>
    </row>
    <row r="270" customFormat="false" ht="15" hidden="false" customHeight="false" outlineLevel="0" collapsed="false">
      <c r="A270" s="5" t="n">
        <v>39</v>
      </c>
      <c r="B270" s="57" t="n">
        <v>46290</v>
      </c>
      <c r="C270" s="52" t="n">
        <f aca="false">G269</f>
        <v>0</v>
      </c>
      <c r="D270" s="53" t="n">
        <f aca="false">E270-F270</f>
        <v>0</v>
      </c>
      <c r="E270" s="52" t="n">
        <f aca="false">SUMPRODUCT((Income!D$3:D$502="INR")*(Income!A$3:A$502=B270)*(Income!A$3:A$502&lt;&gt;"")*Income!C$3:C$502)</f>
        <v>0</v>
      </c>
      <c r="F270" s="52" t="n">
        <f aca="false">SUMPRODUCT((Expenses!E$3:E$1002="INR")*(Expenses!A$3:A$1002=B270)*(Expenses!A$3:A$1002&lt;&gt;"")*Expenses!D$3:D$1002)</f>
        <v>0</v>
      </c>
      <c r="G270" s="53" t="n">
        <f aca="false">C270+D270</f>
        <v>0</v>
      </c>
      <c r="H270" s="26"/>
    </row>
    <row r="271" customFormat="false" ht="15" hidden="false" customHeight="false" outlineLevel="0" collapsed="false">
      <c r="A271" s="5" t="n">
        <v>39</v>
      </c>
      <c r="B271" s="57" t="n">
        <v>46291</v>
      </c>
      <c r="C271" s="52" t="n">
        <f aca="false">G270</f>
        <v>0</v>
      </c>
      <c r="D271" s="53" t="n">
        <f aca="false">E271-F271</f>
        <v>0</v>
      </c>
      <c r="E271" s="52" t="n">
        <f aca="false">SUMPRODUCT((Income!D$3:D$502="INR")*(Income!A$3:A$502=B271)*(Income!A$3:A$502&lt;&gt;"")*Income!C$3:C$502)</f>
        <v>0</v>
      </c>
      <c r="F271" s="52" t="n">
        <f aca="false">SUMPRODUCT((Expenses!E$3:E$1002="INR")*(Expenses!A$3:A$1002=B271)*(Expenses!A$3:A$1002&lt;&gt;"")*Expenses!D$3:D$1002)</f>
        <v>0</v>
      </c>
      <c r="G271" s="53" t="n">
        <f aca="false">C271+D271</f>
        <v>0</v>
      </c>
      <c r="H271" s="26"/>
    </row>
    <row r="272" customFormat="false" ht="15" hidden="false" customHeight="false" outlineLevel="0" collapsed="false">
      <c r="A272" s="5" t="n">
        <v>39</v>
      </c>
      <c r="B272" s="57" t="n">
        <v>46292</v>
      </c>
      <c r="C272" s="52" t="n">
        <f aca="false">G271</f>
        <v>0</v>
      </c>
      <c r="D272" s="53" t="n">
        <f aca="false">E272-F272</f>
        <v>0</v>
      </c>
      <c r="E272" s="52" t="n">
        <f aca="false">SUMPRODUCT((Income!D$3:D$502="INR")*(Income!A$3:A$502=B272)*(Income!A$3:A$502&lt;&gt;"")*Income!C$3:C$502)</f>
        <v>0</v>
      </c>
      <c r="F272" s="52" t="n">
        <f aca="false">SUMPRODUCT((Expenses!E$3:E$1002="INR")*(Expenses!A$3:A$1002=B272)*(Expenses!A$3:A$1002&lt;&gt;"")*Expenses!D$3:D$1002)</f>
        <v>0</v>
      </c>
      <c r="G272" s="53" t="n">
        <f aca="false">C272+D272</f>
        <v>0</v>
      </c>
      <c r="H272" s="26"/>
    </row>
    <row r="273" customFormat="false" ht="15" hidden="false" customHeight="false" outlineLevel="0" collapsed="false">
      <c r="A273" s="5" t="n">
        <v>40</v>
      </c>
      <c r="B273" s="57" t="n">
        <v>46293</v>
      </c>
      <c r="C273" s="52" t="n">
        <f aca="false">G272</f>
        <v>0</v>
      </c>
      <c r="D273" s="53" t="n">
        <f aca="false">E273-F273</f>
        <v>0</v>
      </c>
      <c r="E273" s="52" t="n">
        <f aca="false">SUMPRODUCT((Income!D$3:D$502="INR")*(Income!A$3:A$502=B273)*(Income!A$3:A$502&lt;&gt;"")*Income!C$3:C$502)</f>
        <v>0</v>
      </c>
      <c r="F273" s="52" t="n">
        <f aca="false">SUMPRODUCT((Expenses!E$3:E$1002="INR")*(Expenses!A$3:A$1002=B273)*(Expenses!A$3:A$1002&lt;&gt;"")*Expenses!D$3:D$1002)</f>
        <v>0</v>
      </c>
      <c r="G273" s="53" t="n">
        <f aca="false">C273+D273</f>
        <v>0</v>
      </c>
      <c r="H273" s="26"/>
    </row>
    <row r="274" customFormat="false" ht="15" hidden="false" customHeight="false" outlineLevel="0" collapsed="false">
      <c r="A274" s="5" t="n">
        <v>40</v>
      </c>
      <c r="B274" s="57" t="n">
        <v>46294</v>
      </c>
      <c r="C274" s="52" t="n">
        <f aca="false">G273</f>
        <v>0</v>
      </c>
      <c r="D274" s="53" t="n">
        <f aca="false">E274-F274</f>
        <v>0</v>
      </c>
      <c r="E274" s="52" t="n">
        <f aca="false">SUMPRODUCT((Income!D$3:D$502="INR")*(Income!A$3:A$502=B274)*(Income!A$3:A$502&lt;&gt;"")*Income!C$3:C$502)</f>
        <v>0</v>
      </c>
      <c r="F274" s="52" t="n">
        <f aca="false">SUMPRODUCT((Expenses!E$3:E$1002="INR")*(Expenses!A$3:A$1002=B274)*(Expenses!A$3:A$1002&lt;&gt;"")*Expenses!D$3:D$1002)</f>
        <v>0</v>
      </c>
      <c r="G274" s="53" t="n">
        <f aca="false">C274+D274</f>
        <v>0</v>
      </c>
      <c r="H274" s="26"/>
    </row>
    <row r="275" customFormat="false" ht="15" hidden="false" customHeight="false" outlineLevel="0" collapsed="false">
      <c r="A275" s="5" t="n">
        <v>40</v>
      </c>
      <c r="B275" s="57" t="n">
        <v>46295</v>
      </c>
      <c r="C275" s="52" t="n">
        <f aca="false">G274</f>
        <v>0</v>
      </c>
      <c r="D275" s="53" t="n">
        <f aca="false">E275-F275</f>
        <v>0</v>
      </c>
      <c r="E275" s="52" t="n">
        <f aca="false">SUMPRODUCT((Income!D$3:D$502="INR")*(Income!A$3:A$502=B275)*(Income!A$3:A$502&lt;&gt;"")*Income!C$3:C$502)</f>
        <v>0</v>
      </c>
      <c r="F275" s="52" t="n">
        <f aca="false">SUMPRODUCT((Expenses!E$3:E$1002="INR")*(Expenses!A$3:A$1002=B275)*(Expenses!A$3:A$1002&lt;&gt;"")*Expenses!D$3:D$1002)</f>
        <v>0</v>
      </c>
      <c r="G275" s="53" t="n">
        <f aca="false">C275+D275</f>
        <v>0</v>
      </c>
      <c r="H275" s="26"/>
    </row>
    <row r="276" customFormat="false" ht="15" hidden="false" customHeight="false" outlineLevel="0" collapsed="false">
      <c r="A276" s="5" t="n">
        <v>40</v>
      </c>
      <c r="B276" s="57" t="n">
        <v>46296</v>
      </c>
      <c r="C276" s="52" t="n">
        <f aca="false">G275</f>
        <v>0</v>
      </c>
      <c r="D276" s="53" t="n">
        <f aca="false">E276-F276</f>
        <v>0</v>
      </c>
      <c r="E276" s="52" t="n">
        <f aca="false">SUMPRODUCT((Income!D$3:D$502="INR")*(Income!A$3:A$502=B276)*(Income!A$3:A$502&lt;&gt;"")*Income!C$3:C$502)</f>
        <v>0</v>
      </c>
      <c r="F276" s="52" t="n">
        <f aca="false">SUMPRODUCT((Expenses!E$3:E$1002="INR")*(Expenses!A$3:A$1002=B276)*(Expenses!A$3:A$1002&lt;&gt;"")*Expenses!D$3:D$1002)</f>
        <v>0</v>
      </c>
      <c r="G276" s="53" t="n">
        <f aca="false">C276+D276</f>
        <v>0</v>
      </c>
      <c r="H276" s="26"/>
    </row>
    <row r="277" customFormat="false" ht="15" hidden="false" customHeight="false" outlineLevel="0" collapsed="false">
      <c r="A277" s="5" t="n">
        <v>40</v>
      </c>
      <c r="B277" s="57" t="n">
        <v>46297</v>
      </c>
      <c r="C277" s="52" t="n">
        <f aca="false">G276</f>
        <v>0</v>
      </c>
      <c r="D277" s="53" t="n">
        <f aca="false">E277-F277</f>
        <v>0</v>
      </c>
      <c r="E277" s="52" t="n">
        <f aca="false">SUMPRODUCT((Income!D$3:D$502="INR")*(Income!A$3:A$502=B277)*(Income!A$3:A$502&lt;&gt;"")*Income!C$3:C$502)</f>
        <v>0</v>
      </c>
      <c r="F277" s="52" t="n">
        <f aca="false">SUMPRODUCT((Expenses!E$3:E$1002="INR")*(Expenses!A$3:A$1002=B277)*(Expenses!A$3:A$1002&lt;&gt;"")*Expenses!D$3:D$1002)</f>
        <v>0</v>
      </c>
      <c r="G277" s="53" t="n">
        <f aca="false">C277+D277</f>
        <v>0</v>
      </c>
      <c r="H277" s="26"/>
    </row>
    <row r="278" customFormat="false" ht="15" hidden="false" customHeight="false" outlineLevel="0" collapsed="false">
      <c r="A278" s="5" t="n">
        <v>40</v>
      </c>
      <c r="B278" s="57" t="n">
        <v>46298</v>
      </c>
      <c r="C278" s="52" t="n">
        <f aca="false">G277</f>
        <v>0</v>
      </c>
      <c r="D278" s="53" t="n">
        <f aca="false">E278-F278</f>
        <v>0</v>
      </c>
      <c r="E278" s="52" t="n">
        <f aca="false">SUMPRODUCT((Income!D$3:D$502="INR")*(Income!A$3:A$502=B278)*(Income!A$3:A$502&lt;&gt;"")*Income!C$3:C$502)</f>
        <v>0</v>
      </c>
      <c r="F278" s="52" t="n">
        <f aca="false">SUMPRODUCT((Expenses!E$3:E$1002="INR")*(Expenses!A$3:A$1002=B278)*(Expenses!A$3:A$1002&lt;&gt;"")*Expenses!D$3:D$1002)</f>
        <v>0</v>
      </c>
      <c r="G278" s="53" t="n">
        <f aca="false">C278+D278</f>
        <v>0</v>
      </c>
      <c r="H278" s="26"/>
    </row>
    <row r="279" customFormat="false" ht="15" hidden="false" customHeight="false" outlineLevel="0" collapsed="false">
      <c r="A279" s="5" t="n">
        <v>40</v>
      </c>
      <c r="B279" s="57" t="n">
        <v>46299</v>
      </c>
      <c r="C279" s="52" t="n">
        <f aca="false">G278</f>
        <v>0</v>
      </c>
      <c r="D279" s="53" t="n">
        <f aca="false">E279-F279</f>
        <v>0</v>
      </c>
      <c r="E279" s="52" t="n">
        <f aca="false">SUMPRODUCT((Income!D$3:D$502="INR")*(Income!A$3:A$502=B279)*(Income!A$3:A$502&lt;&gt;"")*Income!C$3:C$502)</f>
        <v>0</v>
      </c>
      <c r="F279" s="52" t="n">
        <f aca="false">SUMPRODUCT((Expenses!E$3:E$1002="INR")*(Expenses!A$3:A$1002=B279)*(Expenses!A$3:A$1002&lt;&gt;"")*Expenses!D$3:D$1002)</f>
        <v>0</v>
      </c>
      <c r="G279" s="53" t="n">
        <f aca="false">C279+D279</f>
        <v>0</v>
      </c>
      <c r="H279" s="26"/>
    </row>
    <row r="280" customFormat="false" ht="15" hidden="false" customHeight="false" outlineLevel="0" collapsed="false">
      <c r="A280" s="5" t="n">
        <v>41</v>
      </c>
      <c r="B280" s="57" t="n">
        <v>46300</v>
      </c>
      <c r="C280" s="52" t="n">
        <f aca="false">G279</f>
        <v>0</v>
      </c>
      <c r="D280" s="53" t="n">
        <f aca="false">E280-F280</f>
        <v>0</v>
      </c>
      <c r="E280" s="52" t="n">
        <f aca="false">SUMPRODUCT((Income!D$3:D$502="INR")*(Income!A$3:A$502=B280)*(Income!A$3:A$502&lt;&gt;"")*Income!C$3:C$502)</f>
        <v>0</v>
      </c>
      <c r="F280" s="52" t="n">
        <f aca="false">SUMPRODUCT((Expenses!E$3:E$1002="INR")*(Expenses!A$3:A$1002=B280)*(Expenses!A$3:A$1002&lt;&gt;"")*Expenses!D$3:D$1002)</f>
        <v>0</v>
      </c>
      <c r="G280" s="53" t="n">
        <f aca="false">C280+D280</f>
        <v>0</v>
      </c>
      <c r="H280" s="26"/>
    </row>
    <row r="281" customFormat="false" ht="15" hidden="false" customHeight="false" outlineLevel="0" collapsed="false">
      <c r="A281" s="5" t="n">
        <v>41</v>
      </c>
      <c r="B281" s="57" t="n">
        <v>46301</v>
      </c>
      <c r="C281" s="52" t="n">
        <f aca="false">G280</f>
        <v>0</v>
      </c>
      <c r="D281" s="53" t="n">
        <f aca="false">E281-F281</f>
        <v>0</v>
      </c>
      <c r="E281" s="52" t="n">
        <f aca="false">SUMPRODUCT((Income!D$3:D$502="INR")*(Income!A$3:A$502=B281)*(Income!A$3:A$502&lt;&gt;"")*Income!C$3:C$502)</f>
        <v>0</v>
      </c>
      <c r="F281" s="52" t="n">
        <f aca="false">SUMPRODUCT((Expenses!E$3:E$1002="INR")*(Expenses!A$3:A$1002=B281)*(Expenses!A$3:A$1002&lt;&gt;"")*Expenses!D$3:D$1002)</f>
        <v>0</v>
      </c>
      <c r="G281" s="53" t="n">
        <f aca="false">C281+D281</f>
        <v>0</v>
      </c>
      <c r="H281" s="26"/>
    </row>
    <row r="282" customFormat="false" ht="15" hidden="false" customHeight="false" outlineLevel="0" collapsed="false">
      <c r="A282" s="5" t="n">
        <v>41</v>
      </c>
      <c r="B282" s="57" t="n">
        <v>46302</v>
      </c>
      <c r="C282" s="52" t="n">
        <f aca="false">G281</f>
        <v>0</v>
      </c>
      <c r="D282" s="53" t="n">
        <f aca="false">E282-F282</f>
        <v>0</v>
      </c>
      <c r="E282" s="52" t="n">
        <f aca="false">SUMPRODUCT((Income!D$3:D$502="INR")*(Income!A$3:A$502=B282)*(Income!A$3:A$502&lt;&gt;"")*Income!C$3:C$502)</f>
        <v>0</v>
      </c>
      <c r="F282" s="52" t="n">
        <f aca="false">SUMPRODUCT((Expenses!E$3:E$1002="INR")*(Expenses!A$3:A$1002=B282)*(Expenses!A$3:A$1002&lt;&gt;"")*Expenses!D$3:D$1002)</f>
        <v>0</v>
      </c>
      <c r="G282" s="53" t="n">
        <f aca="false">C282+D282</f>
        <v>0</v>
      </c>
      <c r="H282" s="26"/>
    </row>
    <row r="283" customFormat="false" ht="15" hidden="false" customHeight="false" outlineLevel="0" collapsed="false">
      <c r="A283" s="5" t="n">
        <v>41</v>
      </c>
      <c r="B283" s="57" t="n">
        <v>46303</v>
      </c>
      <c r="C283" s="52" t="n">
        <f aca="false">G282</f>
        <v>0</v>
      </c>
      <c r="D283" s="53" t="n">
        <f aca="false">E283-F283</f>
        <v>0</v>
      </c>
      <c r="E283" s="52" t="n">
        <f aca="false">SUMPRODUCT((Income!D$3:D$502="INR")*(Income!A$3:A$502=B283)*(Income!A$3:A$502&lt;&gt;"")*Income!C$3:C$502)</f>
        <v>0</v>
      </c>
      <c r="F283" s="52" t="n">
        <f aca="false">SUMPRODUCT((Expenses!E$3:E$1002="INR")*(Expenses!A$3:A$1002=B283)*(Expenses!A$3:A$1002&lt;&gt;"")*Expenses!D$3:D$1002)</f>
        <v>0</v>
      </c>
      <c r="G283" s="53" t="n">
        <f aca="false">C283+D283</f>
        <v>0</v>
      </c>
      <c r="H283" s="26"/>
    </row>
    <row r="284" customFormat="false" ht="15" hidden="false" customHeight="false" outlineLevel="0" collapsed="false">
      <c r="A284" s="5" t="n">
        <v>41</v>
      </c>
      <c r="B284" s="57" t="n">
        <v>46304</v>
      </c>
      <c r="C284" s="52" t="n">
        <f aca="false">G283</f>
        <v>0</v>
      </c>
      <c r="D284" s="53" t="n">
        <f aca="false">E284-F284</f>
        <v>0</v>
      </c>
      <c r="E284" s="52" t="n">
        <f aca="false">SUMPRODUCT((Income!D$3:D$502="INR")*(Income!A$3:A$502=B284)*(Income!A$3:A$502&lt;&gt;"")*Income!C$3:C$502)</f>
        <v>0</v>
      </c>
      <c r="F284" s="52" t="n">
        <f aca="false">SUMPRODUCT((Expenses!E$3:E$1002="INR")*(Expenses!A$3:A$1002=B284)*(Expenses!A$3:A$1002&lt;&gt;"")*Expenses!D$3:D$1002)</f>
        <v>0</v>
      </c>
      <c r="G284" s="53" t="n">
        <f aca="false">C284+D284</f>
        <v>0</v>
      </c>
      <c r="H284" s="26"/>
    </row>
    <row r="285" customFormat="false" ht="15" hidden="false" customHeight="false" outlineLevel="0" collapsed="false">
      <c r="A285" s="5" t="n">
        <v>41</v>
      </c>
      <c r="B285" s="57" t="n">
        <v>46305</v>
      </c>
      <c r="C285" s="52" t="n">
        <f aca="false">G284</f>
        <v>0</v>
      </c>
      <c r="D285" s="53" t="n">
        <f aca="false">E285-F285</f>
        <v>0</v>
      </c>
      <c r="E285" s="52" t="n">
        <f aca="false">SUMPRODUCT((Income!D$3:D$502="INR")*(Income!A$3:A$502=B285)*(Income!A$3:A$502&lt;&gt;"")*Income!C$3:C$502)</f>
        <v>0</v>
      </c>
      <c r="F285" s="52" t="n">
        <f aca="false">SUMPRODUCT((Expenses!E$3:E$1002="INR")*(Expenses!A$3:A$1002=B285)*(Expenses!A$3:A$1002&lt;&gt;"")*Expenses!D$3:D$1002)</f>
        <v>0</v>
      </c>
      <c r="G285" s="53" t="n">
        <f aca="false">C285+D285</f>
        <v>0</v>
      </c>
      <c r="H285" s="26"/>
    </row>
    <row r="286" customFormat="false" ht="15" hidden="false" customHeight="false" outlineLevel="0" collapsed="false">
      <c r="A286" s="5" t="n">
        <v>41</v>
      </c>
      <c r="B286" s="57" t="n">
        <v>46306</v>
      </c>
      <c r="C286" s="52" t="n">
        <f aca="false">G285</f>
        <v>0</v>
      </c>
      <c r="D286" s="53" t="n">
        <f aca="false">E286-F286</f>
        <v>0</v>
      </c>
      <c r="E286" s="52" t="n">
        <f aca="false">SUMPRODUCT((Income!D$3:D$502="INR")*(Income!A$3:A$502=B286)*(Income!A$3:A$502&lt;&gt;"")*Income!C$3:C$502)</f>
        <v>0</v>
      </c>
      <c r="F286" s="52" t="n">
        <f aca="false">SUMPRODUCT((Expenses!E$3:E$1002="INR")*(Expenses!A$3:A$1002=B286)*(Expenses!A$3:A$1002&lt;&gt;"")*Expenses!D$3:D$1002)</f>
        <v>0</v>
      </c>
      <c r="G286" s="53" t="n">
        <f aca="false">C286+D286</f>
        <v>0</v>
      </c>
      <c r="H286" s="26"/>
    </row>
    <row r="287" customFormat="false" ht="15" hidden="false" customHeight="false" outlineLevel="0" collapsed="false">
      <c r="A287" s="5" t="n">
        <v>42</v>
      </c>
      <c r="B287" s="57" t="n">
        <v>46307</v>
      </c>
      <c r="C287" s="52" t="n">
        <f aca="false">G286</f>
        <v>0</v>
      </c>
      <c r="D287" s="53" t="n">
        <f aca="false">E287-F287</f>
        <v>0</v>
      </c>
      <c r="E287" s="52" t="n">
        <f aca="false">SUMPRODUCT((Income!D$3:D$502="INR")*(Income!A$3:A$502=B287)*(Income!A$3:A$502&lt;&gt;"")*Income!C$3:C$502)</f>
        <v>0</v>
      </c>
      <c r="F287" s="52" t="n">
        <f aca="false">SUMPRODUCT((Expenses!E$3:E$1002="INR")*(Expenses!A$3:A$1002=B287)*(Expenses!A$3:A$1002&lt;&gt;"")*Expenses!D$3:D$1002)</f>
        <v>0</v>
      </c>
      <c r="G287" s="53" t="n">
        <f aca="false">C287+D287</f>
        <v>0</v>
      </c>
      <c r="H287" s="26"/>
    </row>
    <row r="288" customFormat="false" ht="15" hidden="false" customHeight="false" outlineLevel="0" collapsed="false">
      <c r="A288" s="5" t="n">
        <v>42</v>
      </c>
      <c r="B288" s="57" t="n">
        <v>46308</v>
      </c>
      <c r="C288" s="52" t="n">
        <f aca="false">G287</f>
        <v>0</v>
      </c>
      <c r="D288" s="53" t="n">
        <f aca="false">E288-F288</f>
        <v>0</v>
      </c>
      <c r="E288" s="52" t="n">
        <f aca="false">SUMPRODUCT((Income!D$3:D$502="INR")*(Income!A$3:A$502=B288)*(Income!A$3:A$502&lt;&gt;"")*Income!C$3:C$502)</f>
        <v>0</v>
      </c>
      <c r="F288" s="52" t="n">
        <f aca="false">SUMPRODUCT((Expenses!E$3:E$1002="INR")*(Expenses!A$3:A$1002=B288)*(Expenses!A$3:A$1002&lt;&gt;"")*Expenses!D$3:D$1002)</f>
        <v>0</v>
      </c>
      <c r="G288" s="53" t="n">
        <f aca="false">C288+D288</f>
        <v>0</v>
      </c>
      <c r="H288" s="26"/>
    </row>
    <row r="289" customFormat="false" ht="15" hidden="false" customHeight="false" outlineLevel="0" collapsed="false">
      <c r="A289" s="5" t="n">
        <v>42</v>
      </c>
      <c r="B289" s="57" t="n">
        <v>46309</v>
      </c>
      <c r="C289" s="52" t="n">
        <f aca="false">G288</f>
        <v>0</v>
      </c>
      <c r="D289" s="53" t="n">
        <f aca="false">E289-F289</f>
        <v>0</v>
      </c>
      <c r="E289" s="52" t="n">
        <f aca="false">SUMPRODUCT((Income!D$3:D$502="INR")*(Income!A$3:A$502=B289)*(Income!A$3:A$502&lt;&gt;"")*Income!C$3:C$502)</f>
        <v>0</v>
      </c>
      <c r="F289" s="52" t="n">
        <f aca="false">SUMPRODUCT((Expenses!E$3:E$1002="INR")*(Expenses!A$3:A$1002=B289)*(Expenses!A$3:A$1002&lt;&gt;"")*Expenses!D$3:D$1002)</f>
        <v>0</v>
      </c>
      <c r="G289" s="53" t="n">
        <f aca="false">C289+D289</f>
        <v>0</v>
      </c>
      <c r="H289" s="26"/>
    </row>
    <row r="290" customFormat="false" ht="15" hidden="false" customHeight="false" outlineLevel="0" collapsed="false">
      <c r="A290" s="5" t="n">
        <v>42</v>
      </c>
      <c r="B290" s="57" t="n">
        <v>46310</v>
      </c>
      <c r="C290" s="52" t="n">
        <f aca="false">G289</f>
        <v>0</v>
      </c>
      <c r="D290" s="53" t="n">
        <f aca="false">E290-F290</f>
        <v>0</v>
      </c>
      <c r="E290" s="52" t="n">
        <f aca="false">SUMPRODUCT((Income!D$3:D$502="INR")*(Income!A$3:A$502=B290)*(Income!A$3:A$502&lt;&gt;"")*Income!C$3:C$502)</f>
        <v>0</v>
      </c>
      <c r="F290" s="52" t="n">
        <f aca="false">SUMPRODUCT((Expenses!E$3:E$1002="INR")*(Expenses!A$3:A$1002=B290)*(Expenses!A$3:A$1002&lt;&gt;"")*Expenses!D$3:D$1002)</f>
        <v>0</v>
      </c>
      <c r="G290" s="53" t="n">
        <f aca="false">C290+D290</f>
        <v>0</v>
      </c>
      <c r="H290" s="26"/>
    </row>
    <row r="291" customFormat="false" ht="15" hidden="false" customHeight="false" outlineLevel="0" collapsed="false">
      <c r="A291" s="5" t="n">
        <v>42</v>
      </c>
      <c r="B291" s="57" t="n">
        <v>46311</v>
      </c>
      <c r="C291" s="52" t="n">
        <f aca="false">G290</f>
        <v>0</v>
      </c>
      <c r="D291" s="53" t="n">
        <f aca="false">E291-F291</f>
        <v>0</v>
      </c>
      <c r="E291" s="52" t="n">
        <f aca="false">SUMPRODUCT((Income!D$3:D$502="INR")*(Income!A$3:A$502=B291)*(Income!A$3:A$502&lt;&gt;"")*Income!C$3:C$502)</f>
        <v>0</v>
      </c>
      <c r="F291" s="52" t="n">
        <f aca="false">SUMPRODUCT((Expenses!E$3:E$1002="INR")*(Expenses!A$3:A$1002=B291)*(Expenses!A$3:A$1002&lt;&gt;"")*Expenses!D$3:D$1002)</f>
        <v>0</v>
      </c>
      <c r="G291" s="53" t="n">
        <f aca="false">C291+D291</f>
        <v>0</v>
      </c>
      <c r="H291" s="26"/>
    </row>
    <row r="292" customFormat="false" ht="15" hidden="false" customHeight="false" outlineLevel="0" collapsed="false">
      <c r="A292" s="5" t="n">
        <v>42</v>
      </c>
      <c r="B292" s="57" t="n">
        <v>46312</v>
      </c>
      <c r="C292" s="52" t="n">
        <f aca="false">G291</f>
        <v>0</v>
      </c>
      <c r="D292" s="53" t="n">
        <f aca="false">E292-F292</f>
        <v>0</v>
      </c>
      <c r="E292" s="52" t="n">
        <f aca="false">SUMPRODUCT((Income!D$3:D$502="INR")*(Income!A$3:A$502=B292)*(Income!A$3:A$502&lt;&gt;"")*Income!C$3:C$502)</f>
        <v>0</v>
      </c>
      <c r="F292" s="52" t="n">
        <f aca="false">SUMPRODUCT((Expenses!E$3:E$1002="INR")*(Expenses!A$3:A$1002=B292)*(Expenses!A$3:A$1002&lt;&gt;"")*Expenses!D$3:D$1002)</f>
        <v>0</v>
      </c>
      <c r="G292" s="53" t="n">
        <f aca="false">C292+D292</f>
        <v>0</v>
      </c>
      <c r="H292" s="26"/>
    </row>
    <row r="293" customFormat="false" ht="15" hidden="false" customHeight="false" outlineLevel="0" collapsed="false">
      <c r="A293" s="5" t="n">
        <v>42</v>
      </c>
      <c r="B293" s="57" t="n">
        <v>46313</v>
      </c>
      <c r="C293" s="52" t="n">
        <f aca="false">G292</f>
        <v>0</v>
      </c>
      <c r="D293" s="53" t="n">
        <f aca="false">E293-F293</f>
        <v>0</v>
      </c>
      <c r="E293" s="52" t="n">
        <f aca="false">SUMPRODUCT((Income!D$3:D$502="INR")*(Income!A$3:A$502=B293)*(Income!A$3:A$502&lt;&gt;"")*Income!C$3:C$502)</f>
        <v>0</v>
      </c>
      <c r="F293" s="52" t="n">
        <f aca="false">SUMPRODUCT((Expenses!E$3:E$1002="INR")*(Expenses!A$3:A$1002=B293)*(Expenses!A$3:A$1002&lt;&gt;"")*Expenses!D$3:D$1002)</f>
        <v>0</v>
      </c>
      <c r="G293" s="53" t="n">
        <f aca="false">C293+D293</f>
        <v>0</v>
      </c>
      <c r="H293" s="26"/>
    </row>
    <row r="294" customFormat="false" ht="15" hidden="false" customHeight="false" outlineLevel="0" collapsed="false">
      <c r="A294" s="5" t="n">
        <v>43</v>
      </c>
      <c r="B294" s="57" t="n">
        <v>46314</v>
      </c>
      <c r="C294" s="52" t="n">
        <f aca="false">G293</f>
        <v>0</v>
      </c>
      <c r="D294" s="53" t="n">
        <f aca="false">E294-F294</f>
        <v>0</v>
      </c>
      <c r="E294" s="52" t="n">
        <f aca="false">SUMPRODUCT((Income!D$3:D$502="INR")*(Income!A$3:A$502=B294)*(Income!A$3:A$502&lt;&gt;"")*Income!C$3:C$502)</f>
        <v>0</v>
      </c>
      <c r="F294" s="52" t="n">
        <f aca="false">SUMPRODUCT((Expenses!E$3:E$1002="INR")*(Expenses!A$3:A$1002=B294)*(Expenses!A$3:A$1002&lt;&gt;"")*Expenses!D$3:D$1002)</f>
        <v>0</v>
      </c>
      <c r="G294" s="53" t="n">
        <f aca="false">C294+D294</f>
        <v>0</v>
      </c>
      <c r="H294" s="26"/>
    </row>
    <row r="295" customFormat="false" ht="15" hidden="false" customHeight="false" outlineLevel="0" collapsed="false">
      <c r="A295" s="5" t="n">
        <v>43</v>
      </c>
      <c r="B295" s="57" t="n">
        <v>46315</v>
      </c>
      <c r="C295" s="52" t="n">
        <f aca="false">G294</f>
        <v>0</v>
      </c>
      <c r="D295" s="53" t="n">
        <f aca="false">E295-F295</f>
        <v>0</v>
      </c>
      <c r="E295" s="52" t="n">
        <f aca="false">SUMPRODUCT((Income!D$3:D$502="INR")*(Income!A$3:A$502=B295)*(Income!A$3:A$502&lt;&gt;"")*Income!C$3:C$502)</f>
        <v>0</v>
      </c>
      <c r="F295" s="52" t="n">
        <f aca="false">SUMPRODUCT((Expenses!E$3:E$1002="INR")*(Expenses!A$3:A$1002=B295)*(Expenses!A$3:A$1002&lt;&gt;"")*Expenses!D$3:D$1002)</f>
        <v>0</v>
      </c>
      <c r="G295" s="53" t="n">
        <f aca="false">C295+D295</f>
        <v>0</v>
      </c>
      <c r="H295" s="26"/>
    </row>
    <row r="296" customFormat="false" ht="15" hidden="false" customHeight="false" outlineLevel="0" collapsed="false">
      <c r="A296" s="5" t="n">
        <v>43</v>
      </c>
      <c r="B296" s="57" t="n">
        <v>46316</v>
      </c>
      <c r="C296" s="52" t="n">
        <f aca="false">G295</f>
        <v>0</v>
      </c>
      <c r="D296" s="53" t="n">
        <f aca="false">E296-F296</f>
        <v>0</v>
      </c>
      <c r="E296" s="52" t="n">
        <f aca="false">SUMPRODUCT((Income!D$3:D$502="INR")*(Income!A$3:A$502=B296)*(Income!A$3:A$502&lt;&gt;"")*Income!C$3:C$502)</f>
        <v>0</v>
      </c>
      <c r="F296" s="52" t="n">
        <f aca="false">SUMPRODUCT((Expenses!E$3:E$1002="INR")*(Expenses!A$3:A$1002=B296)*(Expenses!A$3:A$1002&lt;&gt;"")*Expenses!D$3:D$1002)</f>
        <v>0</v>
      </c>
      <c r="G296" s="53" t="n">
        <f aca="false">C296+D296</f>
        <v>0</v>
      </c>
      <c r="H296" s="26"/>
    </row>
    <row r="297" customFormat="false" ht="15" hidden="false" customHeight="false" outlineLevel="0" collapsed="false">
      <c r="A297" s="5" t="n">
        <v>43</v>
      </c>
      <c r="B297" s="57" t="n">
        <v>46317</v>
      </c>
      <c r="C297" s="52" t="n">
        <f aca="false">G296</f>
        <v>0</v>
      </c>
      <c r="D297" s="53" t="n">
        <f aca="false">E297-F297</f>
        <v>0</v>
      </c>
      <c r="E297" s="52" t="n">
        <f aca="false">SUMPRODUCT((Income!D$3:D$502="INR")*(Income!A$3:A$502=B297)*(Income!A$3:A$502&lt;&gt;"")*Income!C$3:C$502)</f>
        <v>0</v>
      </c>
      <c r="F297" s="52" t="n">
        <f aca="false">SUMPRODUCT((Expenses!E$3:E$1002="INR")*(Expenses!A$3:A$1002=B297)*(Expenses!A$3:A$1002&lt;&gt;"")*Expenses!D$3:D$1002)</f>
        <v>0</v>
      </c>
      <c r="G297" s="53" t="n">
        <f aca="false">C297+D297</f>
        <v>0</v>
      </c>
      <c r="H297" s="26"/>
    </row>
    <row r="298" customFormat="false" ht="15" hidden="false" customHeight="false" outlineLevel="0" collapsed="false">
      <c r="A298" s="5" t="n">
        <v>43</v>
      </c>
      <c r="B298" s="57" t="n">
        <v>46318</v>
      </c>
      <c r="C298" s="52" t="n">
        <f aca="false">G297</f>
        <v>0</v>
      </c>
      <c r="D298" s="53" t="n">
        <f aca="false">E298-F298</f>
        <v>0</v>
      </c>
      <c r="E298" s="52" t="n">
        <f aca="false">SUMPRODUCT((Income!D$3:D$502="INR")*(Income!A$3:A$502=B298)*(Income!A$3:A$502&lt;&gt;"")*Income!C$3:C$502)</f>
        <v>0</v>
      </c>
      <c r="F298" s="52" t="n">
        <f aca="false">SUMPRODUCT((Expenses!E$3:E$1002="INR")*(Expenses!A$3:A$1002=B298)*(Expenses!A$3:A$1002&lt;&gt;"")*Expenses!D$3:D$1002)</f>
        <v>0</v>
      </c>
      <c r="G298" s="53" t="n">
        <f aca="false">C298+D298</f>
        <v>0</v>
      </c>
      <c r="H298" s="26"/>
    </row>
    <row r="299" customFormat="false" ht="15" hidden="false" customHeight="false" outlineLevel="0" collapsed="false">
      <c r="A299" s="5" t="n">
        <v>43</v>
      </c>
      <c r="B299" s="57" t="n">
        <v>46319</v>
      </c>
      <c r="C299" s="52" t="n">
        <f aca="false">G298</f>
        <v>0</v>
      </c>
      <c r="D299" s="53" t="n">
        <f aca="false">E299-F299</f>
        <v>0</v>
      </c>
      <c r="E299" s="52" t="n">
        <f aca="false">SUMPRODUCT((Income!D$3:D$502="INR")*(Income!A$3:A$502=B299)*(Income!A$3:A$502&lt;&gt;"")*Income!C$3:C$502)</f>
        <v>0</v>
      </c>
      <c r="F299" s="52" t="n">
        <f aca="false">SUMPRODUCT((Expenses!E$3:E$1002="INR")*(Expenses!A$3:A$1002=B299)*(Expenses!A$3:A$1002&lt;&gt;"")*Expenses!D$3:D$1002)</f>
        <v>0</v>
      </c>
      <c r="G299" s="53" t="n">
        <f aca="false">C299+D299</f>
        <v>0</v>
      </c>
      <c r="H299" s="26"/>
    </row>
    <row r="300" customFormat="false" ht="15" hidden="false" customHeight="false" outlineLevel="0" collapsed="false">
      <c r="A300" s="5" t="n">
        <v>43</v>
      </c>
      <c r="B300" s="57" t="n">
        <v>46320</v>
      </c>
      <c r="C300" s="52" t="n">
        <f aca="false">G299</f>
        <v>0</v>
      </c>
      <c r="D300" s="53" t="n">
        <f aca="false">E300-F300</f>
        <v>0</v>
      </c>
      <c r="E300" s="52" t="n">
        <f aca="false">SUMPRODUCT((Income!D$3:D$502="INR")*(Income!A$3:A$502=B300)*(Income!A$3:A$502&lt;&gt;"")*Income!C$3:C$502)</f>
        <v>0</v>
      </c>
      <c r="F300" s="52" t="n">
        <f aca="false">SUMPRODUCT((Expenses!E$3:E$1002="INR")*(Expenses!A$3:A$1002=B300)*(Expenses!A$3:A$1002&lt;&gt;"")*Expenses!D$3:D$1002)</f>
        <v>0</v>
      </c>
      <c r="G300" s="53" t="n">
        <f aca="false">C300+D300</f>
        <v>0</v>
      </c>
      <c r="H300" s="26"/>
    </row>
    <row r="301" customFormat="false" ht="15" hidden="false" customHeight="false" outlineLevel="0" collapsed="false">
      <c r="A301" s="5" t="n">
        <v>44</v>
      </c>
      <c r="B301" s="57" t="n">
        <v>46321</v>
      </c>
      <c r="C301" s="52" t="n">
        <f aca="false">G300</f>
        <v>0</v>
      </c>
      <c r="D301" s="53" t="n">
        <f aca="false">E301-F301</f>
        <v>0</v>
      </c>
      <c r="E301" s="52" t="n">
        <f aca="false">SUMPRODUCT((Income!D$3:D$502="INR")*(Income!A$3:A$502=B301)*(Income!A$3:A$502&lt;&gt;"")*Income!C$3:C$502)</f>
        <v>0</v>
      </c>
      <c r="F301" s="52" t="n">
        <f aca="false">SUMPRODUCT((Expenses!E$3:E$1002="INR")*(Expenses!A$3:A$1002=B301)*(Expenses!A$3:A$1002&lt;&gt;"")*Expenses!D$3:D$1002)</f>
        <v>0</v>
      </c>
      <c r="G301" s="53" t="n">
        <f aca="false">C301+D301</f>
        <v>0</v>
      </c>
      <c r="H301" s="26"/>
    </row>
    <row r="302" customFormat="false" ht="15" hidden="false" customHeight="false" outlineLevel="0" collapsed="false">
      <c r="A302" s="5" t="n">
        <v>44</v>
      </c>
      <c r="B302" s="57" t="n">
        <v>46322</v>
      </c>
      <c r="C302" s="52" t="n">
        <f aca="false">G301</f>
        <v>0</v>
      </c>
      <c r="D302" s="53" t="n">
        <f aca="false">E302-F302</f>
        <v>0</v>
      </c>
      <c r="E302" s="52" t="n">
        <f aca="false">SUMPRODUCT((Income!D$3:D$502="INR")*(Income!A$3:A$502=B302)*(Income!A$3:A$502&lt;&gt;"")*Income!C$3:C$502)</f>
        <v>0</v>
      </c>
      <c r="F302" s="52" t="n">
        <f aca="false">SUMPRODUCT((Expenses!E$3:E$1002="INR")*(Expenses!A$3:A$1002=B302)*(Expenses!A$3:A$1002&lt;&gt;"")*Expenses!D$3:D$1002)</f>
        <v>0</v>
      </c>
      <c r="G302" s="53" t="n">
        <f aca="false">C302+D302</f>
        <v>0</v>
      </c>
      <c r="H302" s="26"/>
    </row>
    <row r="303" customFormat="false" ht="15" hidden="false" customHeight="false" outlineLevel="0" collapsed="false">
      <c r="A303" s="5" t="n">
        <v>44</v>
      </c>
      <c r="B303" s="57" t="n">
        <v>46323</v>
      </c>
      <c r="C303" s="52" t="n">
        <f aca="false">G302</f>
        <v>0</v>
      </c>
      <c r="D303" s="53" t="n">
        <f aca="false">E303-F303</f>
        <v>0</v>
      </c>
      <c r="E303" s="52" t="n">
        <f aca="false">SUMPRODUCT((Income!D$3:D$502="INR")*(Income!A$3:A$502=B303)*(Income!A$3:A$502&lt;&gt;"")*Income!C$3:C$502)</f>
        <v>0</v>
      </c>
      <c r="F303" s="52" t="n">
        <f aca="false">SUMPRODUCT((Expenses!E$3:E$1002="INR")*(Expenses!A$3:A$1002=B303)*(Expenses!A$3:A$1002&lt;&gt;"")*Expenses!D$3:D$1002)</f>
        <v>0</v>
      </c>
      <c r="G303" s="53" t="n">
        <f aca="false">C303+D303</f>
        <v>0</v>
      </c>
      <c r="H303" s="26"/>
    </row>
    <row r="304" customFormat="false" ht="15" hidden="false" customHeight="false" outlineLevel="0" collapsed="false">
      <c r="A304" s="5" t="n">
        <v>44</v>
      </c>
      <c r="B304" s="57" t="n">
        <v>46324</v>
      </c>
      <c r="C304" s="52" t="n">
        <f aca="false">G303</f>
        <v>0</v>
      </c>
      <c r="D304" s="53" t="n">
        <f aca="false">E304-F304</f>
        <v>0</v>
      </c>
      <c r="E304" s="52" t="n">
        <f aca="false">SUMPRODUCT((Income!D$3:D$502="INR")*(Income!A$3:A$502=B304)*(Income!A$3:A$502&lt;&gt;"")*Income!C$3:C$502)</f>
        <v>0</v>
      </c>
      <c r="F304" s="52" t="n">
        <f aca="false">SUMPRODUCT((Expenses!E$3:E$1002="INR")*(Expenses!A$3:A$1002=B304)*(Expenses!A$3:A$1002&lt;&gt;"")*Expenses!D$3:D$1002)</f>
        <v>0</v>
      </c>
      <c r="G304" s="53" t="n">
        <f aca="false">C304+D304</f>
        <v>0</v>
      </c>
      <c r="H304" s="26"/>
    </row>
    <row r="305" customFormat="false" ht="15" hidden="false" customHeight="false" outlineLevel="0" collapsed="false">
      <c r="A305" s="5" t="n">
        <v>44</v>
      </c>
      <c r="B305" s="57" t="n">
        <v>46325</v>
      </c>
      <c r="C305" s="52" t="n">
        <f aca="false">G304</f>
        <v>0</v>
      </c>
      <c r="D305" s="53" t="n">
        <f aca="false">E305-F305</f>
        <v>0</v>
      </c>
      <c r="E305" s="52" t="n">
        <f aca="false">SUMPRODUCT((Income!D$3:D$502="INR")*(Income!A$3:A$502=B305)*(Income!A$3:A$502&lt;&gt;"")*Income!C$3:C$502)</f>
        <v>0</v>
      </c>
      <c r="F305" s="52" t="n">
        <f aca="false">SUMPRODUCT((Expenses!E$3:E$1002="INR")*(Expenses!A$3:A$1002=B305)*(Expenses!A$3:A$1002&lt;&gt;"")*Expenses!D$3:D$1002)</f>
        <v>0</v>
      </c>
      <c r="G305" s="53" t="n">
        <f aca="false">C305+D305</f>
        <v>0</v>
      </c>
      <c r="H305" s="26"/>
    </row>
    <row r="306" customFormat="false" ht="15" hidden="false" customHeight="false" outlineLevel="0" collapsed="false">
      <c r="A306" s="5" t="n">
        <v>44</v>
      </c>
      <c r="B306" s="57" t="n">
        <v>46326</v>
      </c>
      <c r="C306" s="52" t="n">
        <f aca="false">G305</f>
        <v>0</v>
      </c>
      <c r="D306" s="53" t="n">
        <f aca="false">E306-F306</f>
        <v>0</v>
      </c>
      <c r="E306" s="52" t="n">
        <f aca="false">SUMPRODUCT((Income!D$3:D$502="INR")*(Income!A$3:A$502=B306)*(Income!A$3:A$502&lt;&gt;"")*Income!C$3:C$502)</f>
        <v>0</v>
      </c>
      <c r="F306" s="52" t="n">
        <f aca="false">SUMPRODUCT((Expenses!E$3:E$1002="INR")*(Expenses!A$3:A$1002=B306)*(Expenses!A$3:A$1002&lt;&gt;"")*Expenses!D$3:D$1002)</f>
        <v>0</v>
      </c>
      <c r="G306" s="53" t="n">
        <f aca="false">C306+D306</f>
        <v>0</v>
      </c>
      <c r="H306" s="26"/>
    </row>
    <row r="307" customFormat="false" ht="15" hidden="false" customHeight="false" outlineLevel="0" collapsed="false">
      <c r="A307" s="5" t="n">
        <v>44</v>
      </c>
      <c r="B307" s="57" t="n">
        <v>46327</v>
      </c>
      <c r="C307" s="52" t="n">
        <f aca="false">G306</f>
        <v>0</v>
      </c>
      <c r="D307" s="53" t="n">
        <f aca="false">E307-F307</f>
        <v>0</v>
      </c>
      <c r="E307" s="52" t="n">
        <f aca="false">SUMPRODUCT((Income!D$3:D$502="INR")*(Income!A$3:A$502=B307)*(Income!A$3:A$502&lt;&gt;"")*Income!C$3:C$502)</f>
        <v>0</v>
      </c>
      <c r="F307" s="52" t="n">
        <f aca="false">SUMPRODUCT((Expenses!E$3:E$1002="INR")*(Expenses!A$3:A$1002=B307)*(Expenses!A$3:A$1002&lt;&gt;"")*Expenses!D$3:D$1002)</f>
        <v>0</v>
      </c>
      <c r="G307" s="53" t="n">
        <f aca="false">C307+D307</f>
        <v>0</v>
      </c>
      <c r="H307" s="26"/>
    </row>
    <row r="308" customFormat="false" ht="15" hidden="false" customHeight="false" outlineLevel="0" collapsed="false">
      <c r="A308" s="5" t="n">
        <v>45</v>
      </c>
      <c r="B308" s="57" t="n">
        <v>46328</v>
      </c>
      <c r="C308" s="52" t="n">
        <f aca="false">G307</f>
        <v>0</v>
      </c>
      <c r="D308" s="53" t="n">
        <f aca="false">E308-F308</f>
        <v>0</v>
      </c>
      <c r="E308" s="52" t="n">
        <f aca="false">SUMPRODUCT((Income!D$3:D$502="INR")*(Income!A$3:A$502=B308)*(Income!A$3:A$502&lt;&gt;"")*Income!C$3:C$502)</f>
        <v>0</v>
      </c>
      <c r="F308" s="52" t="n">
        <f aca="false">SUMPRODUCT((Expenses!E$3:E$1002="INR")*(Expenses!A$3:A$1002=B308)*(Expenses!A$3:A$1002&lt;&gt;"")*Expenses!D$3:D$1002)</f>
        <v>0</v>
      </c>
      <c r="G308" s="53" t="n">
        <f aca="false">C308+D308</f>
        <v>0</v>
      </c>
      <c r="H308" s="26"/>
    </row>
    <row r="309" customFormat="false" ht="15" hidden="false" customHeight="false" outlineLevel="0" collapsed="false">
      <c r="A309" s="5" t="n">
        <v>45</v>
      </c>
      <c r="B309" s="57" t="n">
        <v>46329</v>
      </c>
      <c r="C309" s="52" t="n">
        <f aca="false">G308</f>
        <v>0</v>
      </c>
      <c r="D309" s="53" t="n">
        <f aca="false">E309-F309</f>
        <v>0</v>
      </c>
      <c r="E309" s="52" t="n">
        <f aca="false">SUMPRODUCT((Income!D$3:D$502="INR")*(Income!A$3:A$502=B309)*(Income!A$3:A$502&lt;&gt;"")*Income!C$3:C$502)</f>
        <v>0</v>
      </c>
      <c r="F309" s="52" t="n">
        <f aca="false">SUMPRODUCT((Expenses!E$3:E$1002="INR")*(Expenses!A$3:A$1002=B309)*(Expenses!A$3:A$1002&lt;&gt;"")*Expenses!D$3:D$1002)</f>
        <v>0</v>
      </c>
      <c r="G309" s="53" t="n">
        <f aca="false">C309+D309</f>
        <v>0</v>
      </c>
      <c r="H309" s="26"/>
    </row>
    <row r="310" customFormat="false" ht="15" hidden="false" customHeight="false" outlineLevel="0" collapsed="false">
      <c r="A310" s="5" t="n">
        <v>45</v>
      </c>
      <c r="B310" s="57" t="n">
        <v>46330</v>
      </c>
      <c r="C310" s="52" t="n">
        <f aca="false">G309</f>
        <v>0</v>
      </c>
      <c r="D310" s="53" t="n">
        <f aca="false">E310-F310</f>
        <v>0</v>
      </c>
      <c r="E310" s="52" t="n">
        <f aca="false">SUMPRODUCT((Income!D$3:D$502="INR")*(Income!A$3:A$502=B310)*(Income!A$3:A$502&lt;&gt;"")*Income!C$3:C$502)</f>
        <v>0</v>
      </c>
      <c r="F310" s="52" t="n">
        <f aca="false">SUMPRODUCT((Expenses!E$3:E$1002="INR")*(Expenses!A$3:A$1002=B310)*(Expenses!A$3:A$1002&lt;&gt;"")*Expenses!D$3:D$1002)</f>
        <v>0</v>
      </c>
      <c r="G310" s="53" t="n">
        <f aca="false">C310+D310</f>
        <v>0</v>
      </c>
      <c r="H310" s="26"/>
    </row>
    <row r="311" customFormat="false" ht="15" hidden="false" customHeight="false" outlineLevel="0" collapsed="false">
      <c r="A311" s="5" t="n">
        <v>45</v>
      </c>
      <c r="B311" s="57" t="n">
        <v>46331</v>
      </c>
      <c r="C311" s="52" t="n">
        <f aca="false">G310</f>
        <v>0</v>
      </c>
      <c r="D311" s="53" t="n">
        <f aca="false">E311-F311</f>
        <v>0</v>
      </c>
      <c r="E311" s="52" t="n">
        <f aca="false">SUMPRODUCT((Income!D$3:D$502="INR")*(Income!A$3:A$502=B311)*(Income!A$3:A$502&lt;&gt;"")*Income!C$3:C$502)</f>
        <v>0</v>
      </c>
      <c r="F311" s="52" t="n">
        <f aca="false">SUMPRODUCT((Expenses!E$3:E$1002="INR")*(Expenses!A$3:A$1002=B311)*(Expenses!A$3:A$1002&lt;&gt;"")*Expenses!D$3:D$1002)</f>
        <v>0</v>
      </c>
      <c r="G311" s="53" t="n">
        <f aca="false">C311+D311</f>
        <v>0</v>
      </c>
      <c r="H311" s="26"/>
    </row>
    <row r="312" customFormat="false" ht="15" hidden="false" customHeight="false" outlineLevel="0" collapsed="false">
      <c r="A312" s="5" t="n">
        <v>45</v>
      </c>
      <c r="B312" s="57" t="n">
        <v>46332</v>
      </c>
      <c r="C312" s="52" t="n">
        <f aca="false">G311</f>
        <v>0</v>
      </c>
      <c r="D312" s="53" t="n">
        <f aca="false">E312-F312</f>
        <v>0</v>
      </c>
      <c r="E312" s="52" t="n">
        <f aca="false">SUMPRODUCT((Income!D$3:D$502="INR")*(Income!A$3:A$502=B312)*(Income!A$3:A$502&lt;&gt;"")*Income!C$3:C$502)</f>
        <v>0</v>
      </c>
      <c r="F312" s="52" t="n">
        <f aca="false">SUMPRODUCT((Expenses!E$3:E$1002="INR")*(Expenses!A$3:A$1002=B312)*(Expenses!A$3:A$1002&lt;&gt;"")*Expenses!D$3:D$1002)</f>
        <v>0</v>
      </c>
      <c r="G312" s="53" t="n">
        <f aca="false">C312+D312</f>
        <v>0</v>
      </c>
      <c r="H312" s="26"/>
    </row>
    <row r="313" customFormat="false" ht="15" hidden="false" customHeight="false" outlineLevel="0" collapsed="false">
      <c r="A313" s="5" t="n">
        <v>45</v>
      </c>
      <c r="B313" s="57" t="n">
        <v>46333</v>
      </c>
      <c r="C313" s="52" t="n">
        <f aca="false">G312</f>
        <v>0</v>
      </c>
      <c r="D313" s="53" t="n">
        <f aca="false">E313-F313</f>
        <v>0</v>
      </c>
      <c r="E313" s="52" t="n">
        <f aca="false">SUMPRODUCT((Income!D$3:D$502="INR")*(Income!A$3:A$502=B313)*(Income!A$3:A$502&lt;&gt;"")*Income!C$3:C$502)</f>
        <v>0</v>
      </c>
      <c r="F313" s="52" t="n">
        <f aca="false">SUMPRODUCT((Expenses!E$3:E$1002="INR")*(Expenses!A$3:A$1002=B313)*(Expenses!A$3:A$1002&lt;&gt;"")*Expenses!D$3:D$1002)</f>
        <v>0</v>
      </c>
      <c r="G313" s="53" t="n">
        <f aca="false">C313+D313</f>
        <v>0</v>
      </c>
      <c r="H313" s="26"/>
    </row>
    <row r="314" customFormat="false" ht="15" hidden="false" customHeight="false" outlineLevel="0" collapsed="false">
      <c r="A314" s="5" t="n">
        <v>45</v>
      </c>
      <c r="B314" s="57" t="n">
        <v>46334</v>
      </c>
      <c r="C314" s="52" t="n">
        <f aca="false">G313</f>
        <v>0</v>
      </c>
      <c r="D314" s="53" t="n">
        <f aca="false">E314-F314</f>
        <v>0</v>
      </c>
      <c r="E314" s="52" t="n">
        <f aca="false">SUMPRODUCT((Income!D$3:D$502="INR")*(Income!A$3:A$502=B314)*(Income!A$3:A$502&lt;&gt;"")*Income!C$3:C$502)</f>
        <v>0</v>
      </c>
      <c r="F314" s="52" t="n">
        <f aca="false">SUMPRODUCT((Expenses!E$3:E$1002="INR")*(Expenses!A$3:A$1002=B314)*(Expenses!A$3:A$1002&lt;&gt;"")*Expenses!D$3:D$1002)</f>
        <v>0</v>
      </c>
      <c r="G314" s="53" t="n">
        <f aca="false">C314+D314</f>
        <v>0</v>
      </c>
      <c r="H314" s="26"/>
    </row>
    <row r="315" customFormat="false" ht="15" hidden="false" customHeight="false" outlineLevel="0" collapsed="false">
      <c r="A315" s="5" t="n">
        <v>46</v>
      </c>
      <c r="B315" s="57" t="n">
        <v>46335</v>
      </c>
      <c r="C315" s="52" t="n">
        <f aca="false">G314</f>
        <v>0</v>
      </c>
      <c r="D315" s="53" t="n">
        <f aca="false">E315-F315</f>
        <v>0</v>
      </c>
      <c r="E315" s="52" t="n">
        <f aca="false">SUMPRODUCT((Income!D$3:D$502="INR")*(Income!A$3:A$502=B315)*(Income!A$3:A$502&lt;&gt;"")*Income!C$3:C$502)</f>
        <v>0</v>
      </c>
      <c r="F315" s="52" t="n">
        <f aca="false">SUMPRODUCT((Expenses!E$3:E$1002="INR")*(Expenses!A$3:A$1002=B315)*(Expenses!A$3:A$1002&lt;&gt;"")*Expenses!D$3:D$1002)</f>
        <v>0</v>
      </c>
      <c r="G315" s="53" t="n">
        <f aca="false">C315+D315</f>
        <v>0</v>
      </c>
      <c r="H315" s="26"/>
    </row>
    <row r="316" customFormat="false" ht="15" hidden="false" customHeight="false" outlineLevel="0" collapsed="false">
      <c r="A316" s="5" t="n">
        <v>46</v>
      </c>
      <c r="B316" s="57" t="n">
        <v>46336</v>
      </c>
      <c r="C316" s="52" t="n">
        <f aca="false">G315</f>
        <v>0</v>
      </c>
      <c r="D316" s="53" t="n">
        <f aca="false">E316-F316</f>
        <v>0</v>
      </c>
      <c r="E316" s="52" t="n">
        <f aca="false">SUMPRODUCT((Income!D$3:D$502="INR")*(Income!A$3:A$502=B316)*(Income!A$3:A$502&lt;&gt;"")*Income!C$3:C$502)</f>
        <v>0</v>
      </c>
      <c r="F316" s="52" t="n">
        <f aca="false">SUMPRODUCT((Expenses!E$3:E$1002="INR")*(Expenses!A$3:A$1002=B316)*(Expenses!A$3:A$1002&lt;&gt;"")*Expenses!D$3:D$1002)</f>
        <v>0</v>
      </c>
      <c r="G316" s="53" t="n">
        <f aca="false">C316+D316</f>
        <v>0</v>
      </c>
      <c r="H316" s="26"/>
    </row>
    <row r="317" customFormat="false" ht="15" hidden="false" customHeight="false" outlineLevel="0" collapsed="false">
      <c r="A317" s="5" t="n">
        <v>46</v>
      </c>
      <c r="B317" s="57" t="n">
        <v>46337</v>
      </c>
      <c r="C317" s="52" t="n">
        <f aca="false">G316</f>
        <v>0</v>
      </c>
      <c r="D317" s="53" t="n">
        <f aca="false">E317-F317</f>
        <v>0</v>
      </c>
      <c r="E317" s="52" t="n">
        <f aca="false">SUMPRODUCT((Income!D$3:D$502="INR")*(Income!A$3:A$502=B317)*(Income!A$3:A$502&lt;&gt;"")*Income!C$3:C$502)</f>
        <v>0</v>
      </c>
      <c r="F317" s="52" t="n">
        <f aca="false">SUMPRODUCT((Expenses!E$3:E$1002="INR")*(Expenses!A$3:A$1002=B317)*(Expenses!A$3:A$1002&lt;&gt;"")*Expenses!D$3:D$1002)</f>
        <v>0</v>
      </c>
      <c r="G317" s="53" t="n">
        <f aca="false">C317+D317</f>
        <v>0</v>
      </c>
      <c r="H317" s="26"/>
    </row>
    <row r="318" customFormat="false" ht="15" hidden="false" customHeight="false" outlineLevel="0" collapsed="false">
      <c r="A318" s="5" t="n">
        <v>46</v>
      </c>
      <c r="B318" s="57" t="n">
        <v>46338</v>
      </c>
      <c r="C318" s="52" t="n">
        <f aca="false">G317</f>
        <v>0</v>
      </c>
      <c r="D318" s="53" t="n">
        <f aca="false">E318-F318</f>
        <v>0</v>
      </c>
      <c r="E318" s="52" t="n">
        <f aca="false">SUMPRODUCT((Income!D$3:D$502="INR")*(Income!A$3:A$502=B318)*(Income!A$3:A$502&lt;&gt;"")*Income!C$3:C$502)</f>
        <v>0</v>
      </c>
      <c r="F318" s="52" t="n">
        <f aca="false">SUMPRODUCT((Expenses!E$3:E$1002="INR")*(Expenses!A$3:A$1002=B318)*(Expenses!A$3:A$1002&lt;&gt;"")*Expenses!D$3:D$1002)</f>
        <v>0</v>
      </c>
      <c r="G318" s="53" t="n">
        <f aca="false">C318+D318</f>
        <v>0</v>
      </c>
      <c r="H318" s="26"/>
    </row>
    <row r="319" customFormat="false" ht="15" hidden="false" customHeight="false" outlineLevel="0" collapsed="false">
      <c r="A319" s="5" t="n">
        <v>46</v>
      </c>
      <c r="B319" s="57" t="n">
        <v>46339</v>
      </c>
      <c r="C319" s="52" t="n">
        <f aca="false">G318</f>
        <v>0</v>
      </c>
      <c r="D319" s="53" t="n">
        <f aca="false">E319-F319</f>
        <v>0</v>
      </c>
      <c r="E319" s="52" t="n">
        <f aca="false">SUMPRODUCT((Income!D$3:D$502="INR")*(Income!A$3:A$502=B319)*(Income!A$3:A$502&lt;&gt;"")*Income!C$3:C$502)</f>
        <v>0</v>
      </c>
      <c r="F319" s="52" t="n">
        <f aca="false">SUMPRODUCT((Expenses!E$3:E$1002="INR")*(Expenses!A$3:A$1002=B319)*(Expenses!A$3:A$1002&lt;&gt;"")*Expenses!D$3:D$1002)</f>
        <v>0</v>
      </c>
      <c r="G319" s="53" t="n">
        <f aca="false">C319+D319</f>
        <v>0</v>
      </c>
      <c r="H319" s="26"/>
    </row>
    <row r="320" customFormat="false" ht="15" hidden="false" customHeight="false" outlineLevel="0" collapsed="false">
      <c r="A320" s="5" t="n">
        <v>46</v>
      </c>
      <c r="B320" s="57" t="n">
        <v>46340</v>
      </c>
      <c r="C320" s="52" t="n">
        <f aca="false">G319</f>
        <v>0</v>
      </c>
      <c r="D320" s="53" t="n">
        <f aca="false">E320-F320</f>
        <v>0</v>
      </c>
      <c r="E320" s="52" t="n">
        <f aca="false">SUMPRODUCT((Income!D$3:D$502="INR")*(Income!A$3:A$502=B320)*(Income!A$3:A$502&lt;&gt;"")*Income!C$3:C$502)</f>
        <v>0</v>
      </c>
      <c r="F320" s="52" t="n">
        <f aca="false">SUMPRODUCT((Expenses!E$3:E$1002="INR")*(Expenses!A$3:A$1002=B320)*(Expenses!A$3:A$1002&lt;&gt;"")*Expenses!D$3:D$1002)</f>
        <v>0</v>
      </c>
      <c r="G320" s="53" t="n">
        <f aca="false">C320+D320</f>
        <v>0</v>
      </c>
      <c r="H320" s="26"/>
    </row>
    <row r="321" customFormat="false" ht="15" hidden="false" customHeight="false" outlineLevel="0" collapsed="false">
      <c r="A321" s="5" t="n">
        <v>46</v>
      </c>
      <c r="B321" s="57" t="n">
        <v>46341</v>
      </c>
      <c r="C321" s="52" t="n">
        <f aca="false">G320</f>
        <v>0</v>
      </c>
      <c r="D321" s="53" t="n">
        <f aca="false">E321-F321</f>
        <v>0</v>
      </c>
      <c r="E321" s="52" t="n">
        <f aca="false">SUMPRODUCT((Income!D$3:D$502="INR")*(Income!A$3:A$502=B321)*(Income!A$3:A$502&lt;&gt;"")*Income!C$3:C$502)</f>
        <v>0</v>
      </c>
      <c r="F321" s="52" t="n">
        <f aca="false">SUMPRODUCT((Expenses!E$3:E$1002="INR")*(Expenses!A$3:A$1002=B321)*(Expenses!A$3:A$1002&lt;&gt;"")*Expenses!D$3:D$1002)</f>
        <v>0</v>
      </c>
      <c r="G321" s="53" t="n">
        <f aca="false">C321+D321</f>
        <v>0</v>
      </c>
      <c r="H321" s="26"/>
    </row>
    <row r="322" customFormat="false" ht="15" hidden="false" customHeight="false" outlineLevel="0" collapsed="false">
      <c r="A322" s="5" t="n">
        <v>47</v>
      </c>
      <c r="B322" s="57" t="n">
        <v>46342</v>
      </c>
      <c r="C322" s="52" t="n">
        <f aca="false">G321</f>
        <v>0</v>
      </c>
      <c r="D322" s="53" t="n">
        <f aca="false">E322-F322</f>
        <v>0</v>
      </c>
      <c r="E322" s="52" t="n">
        <f aca="false">SUMPRODUCT((Income!D$3:D$502="INR")*(Income!A$3:A$502=B322)*(Income!A$3:A$502&lt;&gt;"")*Income!C$3:C$502)</f>
        <v>0</v>
      </c>
      <c r="F322" s="52" t="n">
        <f aca="false">SUMPRODUCT((Expenses!E$3:E$1002="INR")*(Expenses!A$3:A$1002=B322)*(Expenses!A$3:A$1002&lt;&gt;"")*Expenses!D$3:D$1002)</f>
        <v>0</v>
      </c>
      <c r="G322" s="53" t="n">
        <f aca="false">C322+D322</f>
        <v>0</v>
      </c>
      <c r="H322" s="26"/>
    </row>
    <row r="323" customFormat="false" ht="15" hidden="false" customHeight="false" outlineLevel="0" collapsed="false">
      <c r="A323" s="5" t="n">
        <v>47</v>
      </c>
      <c r="B323" s="57" t="n">
        <v>46343</v>
      </c>
      <c r="C323" s="52" t="n">
        <f aca="false">G322</f>
        <v>0</v>
      </c>
      <c r="D323" s="53" t="n">
        <f aca="false">E323-F323</f>
        <v>0</v>
      </c>
      <c r="E323" s="52" t="n">
        <f aca="false">SUMPRODUCT((Income!D$3:D$502="INR")*(Income!A$3:A$502=B323)*(Income!A$3:A$502&lt;&gt;"")*Income!C$3:C$502)</f>
        <v>0</v>
      </c>
      <c r="F323" s="52" t="n">
        <f aca="false">SUMPRODUCT((Expenses!E$3:E$1002="INR")*(Expenses!A$3:A$1002=B323)*(Expenses!A$3:A$1002&lt;&gt;"")*Expenses!D$3:D$1002)</f>
        <v>0</v>
      </c>
      <c r="G323" s="53" t="n">
        <f aca="false">C323+D323</f>
        <v>0</v>
      </c>
      <c r="H323" s="26"/>
    </row>
    <row r="324" customFormat="false" ht="15" hidden="false" customHeight="false" outlineLevel="0" collapsed="false">
      <c r="A324" s="5" t="n">
        <v>47</v>
      </c>
      <c r="B324" s="57" t="n">
        <v>46344</v>
      </c>
      <c r="C324" s="52" t="n">
        <f aca="false">G323</f>
        <v>0</v>
      </c>
      <c r="D324" s="53" t="n">
        <f aca="false">E324-F324</f>
        <v>0</v>
      </c>
      <c r="E324" s="52" t="n">
        <f aca="false">SUMPRODUCT((Income!D$3:D$502="INR")*(Income!A$3:A$502=B324)*(Income!A$3:A$502&lt;&gt;"")*Income!C$3:C$502)</f>
        <v>0</v>
      </c>
      <c r="F324" s="52" t="n">
        <f aca="false">SUMPRODUCT((Expenses!E$3:E$1002="INR")*(Expenses!A$3:A$1002=B324)*(Expenses!A$3:A$1002&lt;&gt;"")*Expenses!D$3:D$1002)</f>
        <v>0</v>
      </c>
      <c r="G324" s="53" t="n">
        <f aca="false">C324+D324</f>
        <v>0</v>
      </c>
      <c r="H324" s="26"/>
    </row>
    <row r="325" customFormat="false" ht="15" hidden="false" customHeight="false" outlineLevel="0" collapsed="false">
      <c r="A325" s="5" t="n">
        <v>47</v>
      </c>
      <c r="B325" s="57" t="n">
        <v>46345</v>
      </c>
      <c r="C325" s="52" t="n">
        <f aca="false">G324</f>
        <v>0</v>
      </c>
      <c r="D325" s="53" t="n">
        <f aca="false">E325-F325</f>
        <v>0</v>
      </c>
      <c r="E325" s="52" t="n">
        <f aca="false">SUMPRODUCT((Income!D$3:D$502="INR")*(Income!A$3:A$502=B325)*(Income!A$3:A$502&lt;&gt;"")*Income!C$3:C$502)</f>
        <v>0</v>
      </c>
      <c r="F325" s="52" t="n">
        <f aca="false">SUMPRODUCT((Expenses!E$3:E$1002="INR")*(Expenses!A$3:A$1002=B325)*(Expenses!A$3:A$1002&lt;&gt;"")*Expenses!D$3:D$1002)</f>
        <v>0</v>
      </c>
      <c r="G325" s="53" t="n">
        <f aca="false">C325+D325</f>
        <v>0</v>
      </c>
      <c r="H325" s="26"/>
    </row>
    <row r="326" customFormat="false" ht="15" hidden="false" customHeight="false" outlineLevel="0" collapsed="false">
      <c r="A326" s="5" t="n">
        <v>47</v>
      </c>
      <c r="B326" s="57" t="n">
        <v>46346</v>
      </c>
      <c r="C326" s="52" t="n">
        <f aca="false">G325</f>
        <v>0</v>
      </c>
      <c r="D326" s="53" t="n">
        <f aca="false">E326-F326</f>
        <v>0</v>
      </c>
      <c r="E326" s="52" t="n">
        <f aca="false">SUMPRODUCT((Income!D$3:D$502="INR")*(Income!A$3:A$502=B326)*(Income!A$3:A$502&lt;&gt;"")*Income!C$3:C$502)</f>
        <v>0</v>
      </c>
      <c r="F326" s="52" t="n">
        <f aca="false">SUMPRODUCT((Expenses!E$3:E$1002="INR")*(Expenses!A$3:A$1002=B326)*(Expenses!A$3:A$1002&lt;&gt;"")*Expenses!D$3:D$1002)</f>
        <v>0</v>
      </c>
      <c r="G326" s="53" t="n">
        <f aca="false">C326+D326</f>
        <v>0</v>
      </c>
      <c r="H326" s="26"/>
    </row>
    <row r="327" customFormat="false" ht="15" hidden="false" customHeight="false" outlineLevel="0" collapsed="false">
      <c r="A327" s="5" t="n">
        <v>47</v>
      </c>
      <c r="B327" s="57" t="n">
        <v>46347</v>
      </c>
      <c r="C327" s="52" t="n">
        <f aca="false">G326</f>
        <v>0</v>
      </c>
      <c r="D327" s="53" t="n">
        <f aca="false">E327-F327</f>
        <v>0</v>
      </c>
      <c r="E327" s="52" t="n">
        <f aca="false">SUMPRODUCT((Income!D$3:D$502="INR")*(Income!A$3:A$502=B327)*(Income!A$3:A$502&lt;&gt;"")*Income!C$3:C$502)</f>
        <v>0</v>
      </c>
      <c r="F327" s="52" t="n">
        <f aca="false">SUMPRODUCT((Expenses!E$3:E$1002="INR")*(Expenses!A$3:A$1002=B327)*(Expenses!A$3:A$1002&lt;&gt;"")*Expenses!D$3:D$1002)</f>
        <v>0</v>
      </c>
      <c r="G327" s="53" t="n">
        <f aca="false">C327+D327</f>
        <v>0</v>
      </c>
      <c r="H327" s="26"/>
    </row>
    <row r="328" customFormat="false" ht="15" hidden="false" customHeight="false" outlineLevel="0" collapsed="false">
      <c r="A328" s="5" t="n">
        <v>47</v>
      </c>
      <c r="B328" s="57" t="n">
        <v>46348</v>
      </c>
      <c r="C328" s="52" t="n">
        <f aca="false">G327</f>
        <v>0</v>
      </c>
      <c r="D328" s="53" t="n">
        <f aca="false">E328-F328</f>
        <v>0</v>
      </c>
      <c r="E328" s="52" t="n">
        <f aca="false">SUMPRODUCT((Income!D$3:D$502="INR")*(Income!A$3:A$502=B328)*(Income!A$3:A$502&lt;&gt;"")*Income!C$3:C$502)</f>
        <v>0</v>
      </c>
      <c r="F328" s="52" t="n">
        <f aca="false">SUMPRODUCT((Expenses!E$3:E$1002="INR")*(Expenses!A$3:A$1002=B328)*(Expenses!A$3:A$1002&lt;&gt;"")*Expenses!D$3:D$1002)</f>
        <v>0</v>
      </c>
      <c r="G328" s="53" t="n">
        <f aca="false">C328+D328</f>
        <v>0</v>
      </c>
      <c r="H328" s="26"/>
    </row>
    <row r="329" customFormat="false" ht="15" hidden="false" customHeight="false" outlineLevel="0" collapsed="false">
      <c r="A329" s="5" t="n">
        <v>48</v>
      </c>
      <c r="B329" s="57" t="n">
        <v>46349</v>
      </c>
      <c r="C329" s="52" t="n">
        <f aca="false">G328</f>
        <v>0</v>
      </c>
      <c r="D329" s="53" t="n">
        <f aca="false">E329-F329</f>
        <v>0</v>
      </c>
      <c r="E329" s="52" t="n">
        <f aca="false">SUMPRODUCT((Income!D$3:D$502="INR")*(Income!A$3:A$502=B329)*(Income!A$3:A$502&lt;&gt;"")*Income!C$3:C$502)</f>
        <v>0</v>
      </c>
      <c r="F329" s="52" t="n">
        <f aca="false">SUMPRODUCT((Expenses!E$3:E$1002="INR")*(Expenses!A$3:A$1002=B329)*(Expenses!A$3:A$1002&lt;&gt;"")*Expenses!D$3:D$1002)</f>
        <v>0</v>
      </c>
      <c r="G329" s="53" t="n">
        <f aca="false">C329+D329</f>
        <v>0</v>
      </c>
      <c r="H329" s="26"/>
    </row>
    <row r="330" customFormat="false" ht="15" hidden="false" customHeight="false" outlineLevel="0" collapsed="false">
      <c r="A330" s="5" t="n">
        <v>48</v>
      </c>
      <c r="B330" s="57" t="n">
        <v>46350</v>
      </c>
      <c r="C330" s="52" t="n">
        <f aca="false">G329</f>
        <v>0</v>
      </c>
      <c r="D330" s="53" t="n">
        <f aca="false">E330-F330</f>
        <v>0</v>
      </c>
      <c r="E330" s="52" t="n">
        <f aca="false">SUMPRODUCT((Income!D$3:D$502="INR")*(Income!A$3:A$502=B330)*(Income!A$3:A$502&lt;&gt;"")*Income!C$3:C$502)</f>
        <v>0</v>
      </c>
      <c r="F330" s="52" t="n">
        <f aca="false">SUMPRODUCT((Expenses!E$3:E$1002="INR")*(Expenses!A$3:A$1002=B330)*(Expenses!A$3:A$1002&lt;&gt;"")*Expenses!D$3:D$1002)</f>
        <v>0</v>
      </c>
      <c r="G330" s="53" t="n">
        <f aca="false">C330+D330</f>
        <v>0</v>
      </c>
      <c r="H330" s="26"/>
    </row>
    <row r="331" customFormat="false" ht="15" hidden="false" customHeight="false" outlineLevel="0" collapsed="false">
      <c r="A331" s="5" t="n">
        <v>48</v>
      </c>
      <c r="B331" s="57" t="n">
        <v>46351</v>
      </c>
      <c r="C331" s="52" t="n">
        <f aca="false">G330</f>
        <v>0</v>
      </c>
      <c r="D331" s="53" t="n">
        <f aca="false">E331-F331</f>
        <v>0</v>
      </c>
      <c r="E331" s="52" t="n">
        <f aca="false">SUMPRODUCT((Income!D$3:D$502="INR")*(Income!A$3:A$502=B331)*(Income!A$3:A$502&lt;&gt;"")*Income!C$3:C$502)</f>
        <v>0</v>
      </c>
      <c r="F331" s="52" t="n">
        <f aca="false">SUMPRODUCT((Expenses!E$3:E$1002="INR")*(Expenses!A$3:A$1002=B331)*(Expenses!A$3:A$1002&lt;&gt;"")*Expenses!D$3:D$1002)</f>
        <v>0</v>
      </c>
      <c r="G331" s="53" t="n">
        <f aca="false">C331+D331</f>
        <v>0</v>
      </c>
      <c r="H331" s="26"/>
    </row>
    <row r="332" customFormat="false" ht="15" hidden="false" customHeight="false" outlineLevel="0" collapsed="false">
      <c r="A332" s="5" t="n">
        <v>48</v>
      </c>
      <c r="B332" s="57" t="n">
        <v>46352</v>
      </c>
      <c r="C332" s="52" t="n">
        <f aca="false">G331</f>
        <v>0</v>
      </c>
      <c r="D332" s="53" t="n">
        <f aca="false">E332-F332</f>
        <v>0</v>
      </c>
      <c r="E332" s="52" t="n">
        <f aca="false">SUMPRODUCT((Income!D$3:D$502="INR")*(Income!A$3:A$502=B332)*(Income!A$3:A$502&lt;&gt;"")*Income!C$3:C$502)</f>
        <v>0</v>
      </c>
      <c r="F332" s="52" t="n">
        <f aca="false">SUMPRODUCT((Expenses!E$3:E$1002="INR")*(Expenses!A$3:A$1002=B332)*(Expenses!A$3:A$1002&lt;&gt;"")*Expenses!D$3:D$1002)</f>
        <v>0</v>
      </c>
      <c r="G332" s="53" t="n">
        <f aca="false">C332+D332</f>
        <v>0</v>
      </c>
      <c r="H332" s="26"/>
    </row>
    <row r="333" customFormat="false" ht="15" hidden="false" customHeight="false" outlineLevel="0" collapsed="false">
      <c r="A333" s="5" t="n">
        <v>48</v>
      </c>
      <c r="B333" s="57" t="n">
        <v>46353</v>
      </c>
      <c r="C333" s="52" t="n">
        <f aca="false">G332</f>
        <v>0</v>
      </c>
      <c r="D333" s="53" t="n">
        <f aca="false">E333-F333</f>
        <v>0</v>
      </c>
      <c r="E333" s="52" t="n">
        <f aca="false">SUMPRODUCT((Income!D$3:D$502="INR")*(Income!A$3:A$502=B333)*(Income!A$3:A$502&lt;&gt;"")*Income!C$3:C$502)</f>
        <v>0</v>
      </c>
      <c r="F333" s="52" t="n">
        <f aca="false">SUMPRODUCT((Expenses!E$3:E$1002="INR")*(Expenses!A$3:A$1002=B333)*(Expenses!A$3:A$1002&lt;&gt;"")*Expenses!D$3:D$1002)</f>
        <v>0</v>
      </c>
      <c r="G333" s="53" t="n">
        <f aca="false">C333+D333</f>
        <v>0</v>
      </c>
      <c r="H333" s="26"/>
    </row>
    <row r="334" customFormat="false" ht="15" hidden="false" customHeight="false" outlineLevel="0" collapsed="false">
      <c r="A334" s="5" t="n">
        <v>48</v>
      </c>
      <c r="B334" s="57" t="n">
        <v>46354</v>
      </c>
      <c r="C334" s="52" t="n">
        <f aca="false">G333</f>
        <v>0</v>
      </c>
      <c r="D334" s="53" t="n">
        <f aca="false">E334-F334</f>
        <v>0</v>
      </c>
      <c r="E334" s="52" t="n">
        <f aca="false">SUMPRODUCT((Income!D$3:D$502="INR")*(Income!A$3:A$502=B334)*(Income!A$3:A$502&lt;&gt;"")*Income!C$3:C$502)</f>
        <v>0</v>
      </c>
      <c r="F334" s="52" t="n">
        <f aca="false">SUMPRODUCT((Expenses!E$3:E$1002="INR")*(Expenses!A$3:A$1002=B334)*(Expenses!A$3:A$1002&lt;&gt;"")*Expenses!D$3:D$1002)</f>
        <v>0</v>
      </c>
      <c r="G334" s="53" t="n">
        <f aca="false">C334+D334</f>
        <v>0</v>
      </c>
      <c r="H334" s="26"/>
    </row>
    <row r="335" customFormat="false" ht="15" hidden="false" customHeight="false" outlineLevel="0" collapsed="false">
      <c r="A335" s="5" t="n">
        <v>48</v>
      </c>
      <c r="B335" s="57" t="n">
        <v>46355</v>
      </c>
      <c r="C335" s="52" t="n">
        <f aca="false">G334</f>
        <v>0</v>
      </c>
      <c r="D335" s="53" t="n">
        <f aca="false">E335-F335</f>
        <v>0</v>
      </c>
      <c r="E335" s="52" t="n">
        <f aca="false">SUMPRODUCT((Income!D$3:D$502="INR")*(Income!A$3:A$502=B335)*(Income!A$3:A$502&lt;&gt;"")*Income!C$3:C$502)</f>
        <v>0</v>
      </c>
      <c r="F335" s="52" t="n">
        <f aca="false">SUMPRODUCT((Expenses!E$3:E$1002="INR")*(Expenses!A$3:A$1002=B335)*(Expenses!A$3:A$1002&lt;&gt;"")*Expenses!D$3:D$1002)</f>
        <v>0</v>
      </c>
      <c r="G335" s="53" t="n">
        <f aca="false">C335+D335</f>
        <v>0</v>
      </c>
      <c r="H335" s="26"/>
    </row>
    <row r="336" customFormat="false" ht="15" hidden="false" customHeight="false" outlineLevel="0" collapsed="false">
      <c r="A336" s="5" t="n">
        <v>49</v>
      </c>
      <c r="B336" s="57" t="n">
        <v>46356</v>
      </c>
      <c r="C336" s="52" t="n">
        <f aca="false">G335</f>
        <v>0</v>
      </c>
      <c r="D336" s="53" t="n">
        <f aca="false">E336-F336</f>
        <v>0</v>
      </c>
      <c r="E336" s="52" t="n">
        <f aca="false">SUMPRODUCT((Income!D$3:D$502="INR")*(Income!A$3:A$502=B336)*(Income!A$3:A$502&lt;&gt;"")*Income!C$3:C$502)</f>
        <v>0</v>
      </c>
      <c r="F336" s="52" t="n">
        <f aca="false">SUMPRODUCT((Expenses!E$3:E$1002="INR")*(Expenses!A$3:A$1002=B336)*(Expenses!A$3:A$1002&lt;&gt;"")*Expenses!D$3:D$1002)</f>
        <v>0</v>
      </c>
      <c r="G336" s="53" t="n">
        <f aca="false">C336+D336</f>
        <v>0</v>
      </c>
      <c r="H336" s="26"/>
    </row>
    <row r="337" customFormat="false" ht="15" hidden="false" customHeight="false" outlineLevel="0" collapsed="false">
      <c r="A337" s="5" t="n">
        <v>49</v>
      </c>
      <c r="B337" s="57" t="n">
        <v>46357</v>
      </c>
      <c r="C337" s="52" t="n">
        <f aca="false">G336</f>
        <v>0</v>
      </c>
      <c r="D337" s="53" t="n">
        <f aca="false">E337-F337</f>
        <v>0</v>
      </c>
      <c r="E337" s="52" t="n">
        <f aca="false">SUMPRODUCT((Income!D$3:D$502="INR")*(Income!A$3:A$502=B337)*(Income!A$3:A$502&lt;&gt;"")*Income!C$3:C$502)</f>
        <v>0</v>
      </c>
      <c r="F337" s="52" t="n">
        <f aca="false">SUMPRODUCT((Expenses!E$3:E$1002="INR")*(Expenses!A$3:A$1002=B337)*(Expenses!A$3:A$1002&lt;&gt;"")*Expenses!D$3:D$1002)</f>
        <v>0</v>
      </c>
      <c r="G337" s="53" t="n">
        <f aca="false">C337+D337</f>
        <v>0</v>
      </c>
      <c r="H337" s="26"/>
    </row>
    <row r="338" customFormat="false" ht="15" hidden="false" customHeight="false" outlineLevel="0" collapsed="false">
      <c r="A338" s="5" t="n">
        <v>49</v>
      </c>
      <c r="B338" s="57" t="n">
        <v>46358</v>
      </c>
      <c r="C338" s="52" t="n">
        <f aca="false">G337</f>
        <v>0</v>
      </c>
      <c r="D338" s="53" t="n">
        <f aca="false">E338-F338</f>
        <v>0</v>
      </c>
      <c r="E338" s="52" t="n">
        <f aca="false">SUMPRODUCT((Income!D$3:D$502="INR")*(Income!A$3:A$502=B338)*(Income!A$3:A$502&lt;&gt;"")*Income!C$3:C$502)</f>
        <v>0</v>
      </c>
      <c r="F338" s="52" t="n">
        <f aca="false">SUMPRODUCT((Expenses!E$3:E$1002="INR")*(Expenses!A$3:A$1002=B338)*(Expenses!A$3:A$1002&lt;&gt;"")*Expenses!D$3:D$1002)</f>
        <v>0</v>
      </c>
      <c r="G338" s="53" t="n">
        <f aca="false">C338+D338</f>
        <v>0</v>
      </c>
      <c r="H338" s="26"/>
    </row>
    <row r="339" customFormat="false" ht="15" hidden="false" customHeight="false" outlineLevel="0" collapsed="false">
      <c r="A339" s="5" t="n">
        <v>49</v>
      </c>
      <c r="B339" s="57" t="n">
        <v>46359</v>
      </c>
      <c r="C339" s="52" t="n">
        <f aca="false">G338</f>
        <v>0</v>
      </c>
      <c r="D339" s="53" t="n">
        <f aca="false">E339-F339</f>
        <v>0</v>
      </c>
      <c r="E339" s="52" t="n">
        <f aca="false">SUMPRODUCT((Income!D$3:D$502="INR")*(Income!A$3:A$502=B339)*(Income!A$3:A$502&lt;&gt;"")*Income!C$3:C$502)</f>
        <v>0</v>
      </c>
      <c r="F339" s="52" t="n">
        <f aca="false">SUMPRODUCT((Expenses!E$3:E$1002="INR")*(Expenses!A$3:A$1002=B339)*(Expenses!A$3:A$1002&lt;&gt;"")*Expenses!D$3:D$1002)</f>
        <v>0</v>
      </c>
      <c r="G339" s="53" t="n">
        <f aca="false">C339+D339</f>
        <v>0</v>
      </c>
      <c r="H339" s="26"/>
    </row>
    <row r="340" customFormat="false" ht="15" hidden="false" customHeight="false" outlineLevel="0" collapsed="false">
      <c r="A340" s="5" t="n">
        <v>49</v>
      </c>
      <c r="B340" s="57" t="n">
        <v>46360</v>
      </c>
      <c r="C340" s="52" t="n">
        <f aca="false">G339</f>
        <v>0</v>
      </c>
      <c r="D340" s="53" t="n">
        <f aca="false">E340-F340</f>
        <v>0</v>
      </c>
      <c r="E340" s="52" t="n">
        <f aca="false">SUMPRODUCT((Income!D$3:D$502="INR")*(Income!A$3:A$502=B340)*(Income!A$3:A$502&lt;&gt;"")*Income!C$3:C$502)</f>
        <v>0</v>
      </c>
      <c r="F340" s="52" t="n">
        <f aca="false">SUMPRODUCT((Expenses!E$3:E$1002="INR")*(Expenses!A$3:A$1002=B340)*(Expenses!A$3:A$1002&lt;&gt;"")*Expenses!D$3:D$1002)</f>
        <v>0</v>
      </c>
      <c r="G340" s="53" t="n">
        <f aca="false">C340+D340</f>
        <v>0</v>
      </c>
      <c r="H340" s="26"/>
    </row>
    <row r="341" customFormat="false" ht="15" hidden="false" customHeight="false" outlineLevel="0" collapsed="false">
      <c r="A341" s="5" t="n">
        <v>49</v>
      </c>
      <c r="B341" s="57" t="n">
        <v>46361</v>
      </c>
      <c r="C341" s="52" t="n">
        <f aca="false">G340</f>
        <v>0</v>
      </c>
      <c r="D341" s="53" t="n">
        <f aca="false">E341-F341</f>
        <v>0</v>
      </c>
      <c r="E341" s="52" t="n">
        <f aca="false">SUMPRODUCT((Income!D$3:D$502="INR")*(Income!A$3:A$502=B341)*(Income!A$3:A$502&lt;&gt;"")*Income!C$3:C$502)</f>
        <v>0</v>
      </c>
      <c r="F341" s="52" t="n">
        <f aca="false">SUMPRODUCT((Expenses!E$3:E$1002="INR")*(Expenses!A$3:A$1002=B341)*(Expenses!A$3:A$1002&lt;&gt;"")*Expenses!D$3:D$1002)</f>
        <v>0</v>
      </c>
      <c r="G341" s="53" t="n">
        <f aca="false">C341+D341</f>
        <v>0</v>
      </c>
      <c r="H341" s="26"/>
    </row>
    <row r="342" customFormat="false" ht="15" hidden="false" customHeight="false" outlineLevel="0" collapsed="false">
      <c r="A342" s="5" t="n">
        <v>49</v>
      </c>
      <c r="B342" s="57" t="n">
        <v>46362</v>
      </c>
      <c r="C342" s="52" t="n">
        <f aca="false">G341</f>
        <v>0</v>
      </c>
      <c r="D342" s="53" t="n">
        <f aca="false">E342-F342</f>
        <v>0</v>
      </c>
      <c r="E342" s="52" t="n">
        <f aca="false">SUMPRODUCT((Income!D$3:D$502="INR")*(Income!A$3:A$502=B342)*(Income!A$3:A$502&lt;&gt;"")*Income!C$3:C$502)</f>
        <v>0</v>
      </c>
      <c r="F342" s="52" t="n">
        <f aca="false">SUMPRODUCT((Expenses!E$3:E$1002="INR")*(Expenses!A$3:A$1002=B342)*(Expenses!A$3:A$1002&lt;&gt;"")*Expenses!D$3:D$1002)</f>
        <v>0</v>
      </c>
      <c r="G342" s="53" t="n">
        <f aca="false">C342+D342</f>
        <v>0</v>
      </c>
      <c r="H342" s="26"/>
    </row>
    <row r="343" customFormat="false" ht="15" hidden="false" customHeight="false" outlineLevel="0" collapsed="false">
      <c r="A343" s="5" t="n">
        <v>50</v>
      </c>
      <c r="B343" s="57" t="n">
        <v>46363</v>
      </c>
      <c r="C343" s="52" t="n">
        <f aca="false">G342</f>
        <v>0</v>
      </c>
      <c r="D343" s="53" t="n">
        <f aca="false">E343-F343</f>
        <v>0</v>
      </c>
      <c r="E343" s="52" t="n">
        <f aca="false">SUMPRODUCT((Income!D$3:D$502="INR")*(Income!A$3:A$502=B343)*(Income!A$3:A$502&lt;&gt;"")*Income!C$3:C$502)</f>
        <v>0</v>
      </c>
      <c r="F343" s="52" t="n">
        <f aca="false">SUMPRODUCT((Expenses!E$3:E$1002="INR")*(Expenses!A$3:A$1002=B343)*(Expenses!A$3:A$1002&lt;&gt;"")*Expenses!D$3:D$1002)</f>
        <v>0</v>
      </c>
      <c r="G343" s="53" t="n">
        <f aca="false">C343+D343</f>
        <v>0</v>
      </c>
      <c r="H343" s="26"/>
    </row>
    <row r="344" customFormat="false" ht="15" hidden="false" customHeight="false" outlineLevel="0" collapsed="false">
      <c r="A344" s="5" t="n">
        <v>50</v>
      </c>
      <c r="B344" s="57" t="n">
        <v>46364</v>
      </c>
      <c r="C344" s="52" t="n">
        <f aca="false">G343</f>
        <v>0</v>
      </c>
      <c r="D344" s="53" t="n">
        <f aca="false">E344-F344</f>
        <v>0</v>
      </c>
      <c r="E344" s="52" t="n">
        <f aca="false">SUMPRODUCT((Income!D$3:D$502="INR")*(Income!A$3:A$502=B344)*(Income!A$3:A$502&lt;&gt;"")*Income!C$3:C$502)</f>
        <v>0</v>
      </c>
      <c r="F344" s="52" t="n">
        <f aca="false">SUMPRODUCT((Expenses!E$3:E$1002="INR")*(Expenses!A$3:A$1002=B344)*(Expenses!A$3:A$1002&lt;&gt;"")*Expenses!D$3:D$1002)</f>
        <v>0</v>
      </c>
      <c r="G344" s="53" t="n">
        <f aca="false">C344+D344</f>
        <v>0</v>
      </c>
      <c r="H344" s="26"/>
    </row>
    <row r="345" customFormat="false" ht="15" hidden="false" customHeight="false" outlineLevel="0" collapsed="false">
      <c r="A345" s="5" t="n">
        <v>50</v>
      </c>
      <c r="B345" s="57" t="n">
        <v>46365</v>
      </c>
      <c r="C345" s="52" t="n">
        <f aca="false">G344</f>
        <v>0</v>
      </c>
      <c r="D345" s="53" t="n">
        <f aca="false">E345-F345</f>
        <v>0</v>
      </c>
      <c r="E345" s="52" t="n">
        <f aca="false">SUMPRODUCT((Income!D$3:D$502="INR")*(Income!A$3:A$502=B345)*(Income!A$3:A$502&lt;&gt;"")*Income!C$3:C$502)</f>
        <v>0</v>
      </c>
      <c r="F345" s="52" t="n">
        <f aca="false">SUMPRODUCT((Expenses!E$3:E$1002="INR")*(Expenses!A$3:A$1002=B345)*(Expenses!A$3:A$1002&lt;&gt;"")*Expenses!D$3:D$1002)</f>
        <v>0</v>
      </c>
      <c r="G345" s="53" t="n">
        <f aca="false">C345+D345</f>
        <v>0</v>
      </c>
      <c r="H345" s="26"/>
    </row>
    <row r="346" customFormat="false" ht="15" hidden="false" customHeight="false" outlineLevel="0" collapsed="false">
      <c r="A346" s="5" t="n">
        <v>50</v>
      </c>
      <c r="B346" s="57" t="n">
        <v>46366</v>
      </c>
      <c r="C346" s="52" t="n">
        <f aca="false">G345</f>
        <v>0</v>
      </c>
      <c r="D346" s="53" t="n">
        <f aca="false">E346-F346</f>
        <v>0</v>
      </c>
      <c r="E346" s="52" t="n">
        <f aca="false">SUMPRODUCT((Income!D$3:D$502="INR")*(Income!A$3:A$502=B346)*(Income!A$3:A$502&lt;&gt;"")*Income!C$3:C$502)</f>
        <v>0</v>
      </c>
      <c r="F346" s="52" t="n">
        <f aca="false">SUMPRODUCT((Expenses!E$3:E$1002="INR")*(Expenses!A$3:A$1002=B346)*(Expenses!A$3:A$1002&lt;&gt;"")*Expenses!D$3:D$1002)</f>
        <v>0</v>
      </c>
      <c r="G346" s="53" t="n">
        <f aca="false">C346+D346</f>
        <v>0</v>
      </c>
      <c r="H346" s="26"/>
    </row>
    <row r="347" customFormat="false" ht="15" hidden="false" customHeight="false" outlineLevel="0" collapsed="false">
      <c r="A347" s="5" t="n">
        <v>50</v>
      </c>
      <c r="B347" s="57" t="n">
        <v>46367</v>
      </c>
      <c r="C347" s="52" t="n">
        <f aca="false">G346</f>
        <v>0</v>
      </c>
      <c r="D347" s="53" t="n">
        <f aca="false">E347-F347</f>
        <v>0</v>
      </c>
      <c r="E347" s="52" t="n">
        <f aca="false">SUMPRODUCT((Income!D$3:D$502="INR")*(Income!A$3:A$502=B347)*(Income!A$3:A$502&lt;&gt;"")*Income!C$3:C$502)</f>
        <v>0</v>
      </c>
      <c r="F347" s="52" t="n">
        <f aca="false">SUMPRODUCT((Expenses!E$3:E$1002="INR")*(Expenses!A$3:A$1002=B347)*(Expenses!A$3:A$1002&lt;&gt;"")*Expenses!D$3:D$1002)</f>
        <v>0</v>
      </c>
      <c r="G347" s="53" t="n">
        <f aca="false">C347+D347</f>
        <v>0</v>
      </c>
      <c r="H347" s="26"/>
    </row>
    <row r="348" customFormat="false" ht="15" hidden="false" customHeight="false" outlineLevel="0" collapsed="false">
      <c r="A348" s="5" t="n">
        <v>50</v>
      </c>
      <c r="B348" s="57" t="n">
        <v>46368</v>
      </c>
      <c r="C348" s="52" t="n">
        <f aca="false">G347</f>
        <v>0</v>
      </c>
      <c r="D348" s="53" t="n">
        <f aca="false">E348-F348</f>
        <v>0</v>
      </c>
      <c r="E348" s="52" t="n">
        <f aca="false">SUMPRODUCT((Income!D$3:D$502="INR")*(Income!A$3:A$502=B348)*(Income!A$3:A$502&lt;&gt;"")*Income!C$3:C$502)</f>
        <v>0</v>
      </c>
      <c r="F348" s="52" t="n">
        <f aca="false">SUMPRODUCT((Expenses!E$3:E$1002="INR")*(Expenses!A$3:A$1002=B348)*(Expenses!A$3:A$1002&lt;&gt;"")*Expenses!D$3:D$1002)</f>
        <v>0</v>
      </c>
      <c r="G348" s="53" t="n">
        <f aca="false">C348+D348</f>
        <v>0</v>
      </c>
      <c r="H348" s="26"/>
    </row>
    <row r="349" customFormat="false" ht="15" hidden="false" customHeight="false" outlineLevel="0" collapsed="false">
      <c r="A349" s="5" t="n">
        <v>50</v>
      </c>
      <c r="B349" s="57" t="n">
        <v>46369</v>
      </c>
      <c r="C349" s="52" t="n">
        <f aca="false">G348</f>
        <v>0</v>
      </c>
      <c r="D349" s="53" t="n">
        <f aca="false">E349-F349</f>
        <v>0</v>
      </c>
      <c r="E349" s="52" t="n">
        <f aca="false">SUMPRODUCT((Income!D$3:D$502="INR")*(Income!A$3:A$502=B349)*(Income!A$3:A$502&lt;&gt;"")*Income!C$3:C$502)</f>
        <v>0</v>
      </c>
      <c r="F349" s="52" t="n">
        <f aca="false">SUMPRODUCT((Expenses!E$3:E$1002="INR")*(Expenses!A$3:A$1002=B349)*(Expenses!A$3:A$1002&lt;&gt;"")*Expenses!D$3:D$1002)</f>
        <v>0</v>
      </c>
      <c r="G349" s="53" t="n">
        <f aca="false">C349+D349</f>
        <v>0</v>
      </c>
      <c r="H349" s="26"/>
    </row>
    <row r="350" customFormat="false" ht="15" hidden="false" customHeight="false" outlineLevel="0" collapsed="false">
      <c r="A350" s="5" t="n">
        <v>51</v>
      </c>
      <c r="B350" s="57" t="n">
        <v>46370</v>
      </c>
      <c r="C350" s="52" t="n">
        <f aca="false">G349</f>
        <v>0</v>
      </c>
      <c r="D350" s="53" t="n">
        <f aca="false">E350-F350</f>
        <v>0</v>
      </c>
      <c r="E350" s="52" t="n">
        <f aca="false">SUMPRODUCT((Income!D$3:D$502="INR")*(Income!A$3:A$502=B350)*(Income!A$3:A$502&lt;&gt;"")*Income!C$3:C$502)</f>
        <v>0</v>
      </c>
      <c r="F350" s="52" t="n">
        <f aca="false">SUMPRODUCT((Expenses!E$3:E$1002="INR")*(Expenses!A$3:A$1002=B350)*(Expenses!A$3:A$1002&lt;&gt;"")*Expenses!D$3:D$1002)</f>
        <v>0</v>
      </c>
      <c r="G350" s="53" t="n">
        <f aca="false">C350+D350</f>
        <v>0</v>
      </c>
      <c r="H350" s="26"/>
    </row>
    <row r="351" customFormat="false" ht="15" hidden="false" customHeight="false" outlineLevel="0" collapsed="false">
      <c r="A351" s="5" t="n">
        <v>51</v>
      </c>
      <c r="B351" s="57" t="n">
        <v>46371</v>
      </c>
      <c r="C351" s="52" t="n">
        <f aca="false">G350</f>
        <v>0</v>
      </c>
      <c r="D351" s="53" t="n">
        <f aca="false">E351-F351</f>
        <v>0</v>
      </c>
      <c r="E351" s="52" t="n">
        <f aca="false">SUMPRODUCT((Income!D$3:D$502="INR")*(Income!A$3:A$502=B351)*(Income!A$3:A$502&lt;&gt;"")*Income!C$3:C$502)</f>
        <v>0</v>
      </c>
      <c r="F351" s="52" t="n">
        <f aca="false">SUMPRODUCT((Expenses!E$3:E$1002="INR")*(Expenses!A$3:A$1002=B351)*(Expenses!A$3:A$1002&lt;&gt;"")*Expenses!D$3:D$1002)</f>
        <v>0</v>
      </c>
      <c r="G351" s="53" t="n">
        <f aca="false">C351+D351</f>
        <v>0</v>
      </c>
      <c r="H351" s="26"/>
    </row>
    <row r="352" customFormat="false" ht="15" hidden="false" customHeight="false" outlineLevel="0" collapsed="false">
      <c r="A352" s="5" t="n">
        <v>51</v>
      </c>
      <c r="B352" s="57" t="n">
        <v>46372</v>
      </c>
      <c r="C352" s="52" t="n">
        <f aca="false">G351</f>
        <v>0</v>
      </c>
      <c r="D352" s="53" t="n">
        <f aca="false">E352-F352</f>
        <v>0</v>
      </c>
      <c r="E352" s="52" t="n">
        <f aca="false">SUMPRODUCT((Income!D$3:D$502="INR")*(Income!A$3:A$502=B352)*(Income!A$3:A$502&lt;&gt;"")*Income!C$3:C$502)</f>
        <v>0</v>
      </c>
      <c r="F352" s="52" t="n">
        <f aca="false">SUMPRODUCT((Expenses!E$3:E$1002="INR")*(Expenses!A$3:A$1002=B352)*(Expenses!A$3:A$1002&lt;&gt;"")*Expenses!D$3:D$1002)</f>
        <v>0</v>
      </c>
      <c r="G352" s="53" t="n">
        <f aca="false">C352+D352</f>
        <v>0</v>
      </c>
      <c r="H352" s="26"/>
    </row>
    <row r="353" customFormat="false" ht="15" hidden="false" customHeight="false" outlineLevel="0" collapsed="false">
      <c r="A353" s="5" t="n">
        <v>51</v>
      </c>
      <c r="B353" s="57" t="n">
        <v>46373</v>
      </c>
      <c r="C353" s="52" t="n">
        <f aca="false">G352</f>
        <v>0</v>
      </c>
      <c r="D353" s="53" t="n">
        <f aca="false">E353-F353</f>
        <v>0</v>
      </c>
      <c r="E353" s="52" t="n">
        <f aca="false">SUMPRODUCT((Income!D$3:D$502="INR")*(Income!A$3:A$502=B353)*(Income!A$3:A$502&lt;&gt;"")*Income!C$3:C$502)</f>
        <v>0</v>
      </c>
      <c r="F353" s="52" t="n">
        <f aca="false">SUMPRODUCT((Expenses!E$3:E$1002="INR")*(Expenses!A$3:A$1002=B353)*(Expenses!A$3:A$1002&lt;&gt;"")*Expenses!D$3:D$1002)</f>
        <v>0</v>
      </c>
      <c r="G353" s="53" t="n">
        <f aca="false">C353+D353</f>
        <v>0</v>
      </c>
      <c r="H353" s="26"/>
    </row>
    <row r="354" customFormat="false" ht="15" hidden="false" customHeight="false" outlineLevel="0" collapsed="false">
      <c r="A354" s="5" t="n">
        <v>51</v>
      </c>
      <c r="B354" s="57" t="n">
        <v>46374</v>
      </c>
      <c r="C354" s="52" t="n">
        <f aca="false">G353</f>
        <v>0</v>
      </c>
      <c r="D354" s="53" t="n">
        <f aca="false">E354-F354</f>
        <v>0</v>
      </c>
      <c r="E354" s="52" t="n">
        <f aca="false">SUMPRODUCT((Income!D$3:D$502="INR")*(Income!A$3:A$502=B354)*(Income!A$3:A$502&lt;&gt;"")*Income!C$3:C$502)</f>
        <v>0</v>
      </c>
      <c r="F354" s="52" t="n">
        <f aca="false">SUMPRODUCT((Expenses!E$3:E$1002="INR")*(Expenses!A$3:A$1002=B354)*(Expenses!A$3:A$1002&lt;&gt;"")*Expenses!D$3:D$1002)</f>
        <v>0</v>
      </c>
      <c r="G354" s="53" t="n">
        <f aca="false">C354+D354</f>
        <v>0</v>
      </c>
      <c r="H354" s="26"/>
    </row>
    <row r="355" customFormat="false" ht="15" hidden="false" customHeight="false" outlineLevel="0" collapsed="false">
      <c r="A355" s="5" t="n">
        <v>51</v>
      </c>
      <c r="B355" s="57" t="n">
        <v>46375</v>
      </c>
      <c r="C355" s="52" t="n">
        <f aca="false">G354</f>
        <v>0</v>
      </c>
      <c r="D355" s="53" t="n">
        <f aca="false">E355-F355</f>
        <v>0</v>
      </c>
      <c r="E355" s="52" t="n">
        <f aca="false">SUMPRODUCT((Income!D$3:D$502="INR")*(Income!A$3:A$502=B355)*(Income!A$3:A$502&lt;&gt;"")*Income!C$3:C$502)</f>
        <v>0</v>
      </c>
      <c r="F355" s="52" t="n">
        <f aca="false">SUMPRODUCT((Expenses!E$3:E$1002="INR")*(Expenses!A$3:A$1002=B355)*(Expenses!A$3:A$1002&lt;&gt;"")*Expenses!D$3:D$1002)</f>
        <v>0</v>
      </c>
      <c r="G355" s="53" t="n">
        <f aca="false">C355+D355</f>
        <v>0</v>
      </c>
      <c r="H355" s="26"/>
    </row>
    <row r="356" customFormat="false" ht="15" hidden="false" customHeight="false" outlineLevel="0" collapsed="false">
      <c r="A356" s="5" t="n">
        <v>51</v>
      </c>
      <c r="B356" s="57" t="n">
        <v>46376</v>
      </c>
      <c r="C356" s="52" t="n">
        <f aca="false">G355</f>
        <v>0</v>
      </c>
      <c r="D356" s="53" t="n">
        <f aca="false">E356-F356</f>
        <v>0</v>
      </c>
      <c r="E356" s="52" t="n">
        <f aca="false">SUMPRODUCT((Income!D$3:D$502="INR")*(Income!A$3:A$502=B356)*(Income!A$3:A$502&lt;&gt;"")*Income!C$3:C$502)</f>
        <v>0</v>
      </c>
      <c r="F356" s="52" t="n">
        <f aca="false">SUMPRODUCT((Expenses!E$3:E$1002="INR")*(Expenses!A$3:A$1002=B356)*(Expenses!A$3:A$1002&lt;&gt;"")*Expenses!D$3:D$1002)</f>
        <v>0</v>
      </c>
      <c r="G356" s="53" t="n">
        <f aca="false">C356+D356</f>
        <v>0</v>
      </c>
      <c r="H356" s="26"/>
    </row>
    <row r="357" customFormat="false" ht="15" hidden="false" customHeight="false" outlineLevel="0" collapsed="false">
      <c r="A357" s="5" t="n">
        <v>52</v>
      </c>
      <c r="B357" s="57" t="n">
        <v>46377</v>
      </c>
      <c r="C357" s="52" t="n">
        <f aca="false">G356</f>
        <v>0</v>
      </c>
      <c r="D357" s="53" t="n">
        <f aca="false">E357-F357</f>
        <v>0</v>
      </c>
      <c r="E357" s="52" t="n">
        <f aca="false">SUMPRODUCT((Income!D$3:D$502="INR")*(Income!A$3:A$502=B357)*(Income!A$3:A$502&lt;&gt;"")*Income!C$3:C$502)</f>
        <v>0</v>
      </c>
      <c r="F357" s="52" t="n">
        <f aca="false">SUMPRODUCT((Expenses!E$3:E$1002="INR")*(Expenses!A$3:A$1002=B357)*(Expenses!A$3:A$1002&lt;&gt;"")*Expenses!D$3:D$1002)</f>
        <v>0</v>
      </c>
      <c r="G357" s="53" t="n">
        <f aca="false">C357+D357</f>
        <v>0</v>
      </c>
      <c r="H357" s="26"/>
    </row>
    <row r="358" customFormat="false" ht="15" hidden="false" customHeight="false" outlineLevel="0" collapsed="false">
      <c r="A358" s="5" t="n">
        <v>52</v>
      </c>
      <c r="B358" s="57" t="n">
        <v>46378</v>
      </c>
      <c r="C358" s="52" t="n">
        <f aca="false">G357</f>
        <v>0</v>
      </c>
      <c r="D358" s="53" t="n">
        <f aca="false">E358-F358</f>
        <v>0</v>
      </c>
      <c r="E358" s="52" t="n">
        <f aca="false">SUMPRODUCT((Income!D$3:D$502="INR")*(Income!A$3:A$502=B358)*(Income!A$3:A$502&lt;&gt;"")*Income!C$3:C$502)</f>
        <v>0</v>
      </c>
      <c r="F358" s="52" t="n">
        <f aca="false">SUMPRODUCT((Expenses!E$3:E$1002="INR")*(Expenses!A$3:A$1002=B358)*(Expenses!A$3:A$1002&lt;&gt;"")*Expenses!D$3:D$1002)</f>
        <v>0</v>
      </c>
      <c r="G358" s="53" t="n">
        <f aca="false">C358+D358</f>
        <v>0</v>
      </c>
      <c r="H358" s="26"/>
    </row>
    <row r="359" customFormat="false" ht="15" hidden="false" customHeight="false" outlineLevel="0" collapsed="false">
      <c r="A359" s="5" t="n">
        <v>52</v>
      </c>
      <c r="B359" s="57" t="n">
        <v>46379</v>
      </c>
      <c r="C359" s="52" t="n">
        <f aca="false">G358</f>
        <v>0</v>
      </c>
      <c r="D359" s="53" t="n">
        <f aca="false">E359-F359</f>
        <v>0</v>
      </c>
      <c r="E359" s="52" t="n">
        <f aca="false">SUMPRODUCT((Income!D$3:D$502="INR")*(Income!A$3:A$502=B359)*(Income!A$3:A$502&lt;&gt;"")*Income!C$3:C$502)</f>
        <v>0</v>
      </c>
      <c r="F359" s="52" t="n">
        <f aca="false">SUMPRODUCT((Expenses!E$3:E$1002="INR")*(Expenses!A$3:A$1002=B359)*(Expenses!A$3:A$1002&lt;&gt;"")*Expenses!D$3:D$1002)</f>
        <v>0</v>
      </c>
      <c r="G359" s="53" t="n">
        <f aca="false">C359+D359</f>
        <v>0</v>
      </c>
      <c r="H359" s="26"/>
    </row>
    <row r="360" customFormat="false" ht="15" hidden="false" customHeight="false" outlineLevel="0" collapsed="false">
      <c r="A360" s="5" t="n">
        <v>52</v>
      </c>
      <c r="B360" s="57" t="n">
        <v>46380</v>
      </c>
      <c r="C360" s="52" t="n">
        <f aca="false">G359</f>
        <v>0</v>
      </c>
      <c r="D360" s="53" t="n">
        <f aca="false">E360-F360</f>
        <v>0</v>
      </c>
      <c r="E360" s="52" t="n">
        <f aca="false">SUMPRODUCT((Income!D$3:D$502="INR")*(Income!A$3:A$502=B360)*(Income!A$3:A$502&lt;&gt;"")*Income!C$3:C$502)</f>
        <v>0</v>
      </c>
      <c r="F360" s="52" t="n">
        <f aca="false">SUMPRODUCT((Expenses!E$3:E$1002="INR")*(Expenses!A$3:A$1002=B360)*(Expenses!A$3:A$1002&lt;&gt;"")*Expenses!D$3:D$1002)</f>
        <v>0</v>
      </c>
      <c r="G360" s="53" t="n">
        <f aca="false">C360+D360</f>
        <v>0</v>
      </c>
      <c r="H360" s="26"/>
    </row>
    <row r="361" customFormat="false" ht="15" hidden="false" customHeight="false" outlineLevel="0" collapsed="false">
      <c r="A361" s="5" t="n">
        <v>52</v>
      </c>
      <c r="B361" s="57" t="n">
        <v>46381</v>
      </c>
      <c r="C361" s="52" t="n">
        <f aca="false">G360</f>
        <v>0</v>
      </c>
      <c r="D361" s="53" t="n">
        <f aca="false">E361-F361</f>
        <v>0</v>
      </c>
      <c r="E361" s="52" t="n">
        <f aca="false">SUMPRODUCT((Income!D$3:D$502="INR")*(Income!A$3:A$502=B361)*(Income!A$3:A$502&lt;&gt;"")*Income!C$3:C$502)</f>
        <v>0</v>
      </c>
      <c r="F361" s="52" t="n">
        <f aca="false">SUMPRODUCT((Expenses!E$3:E$1002="INR")*(Expenses!A$3:A$1002=B361)*(Expenses!A$3:A$1002&lt;&gt;"")*Expenses!D$3:D$1002)</f>
        <v>0</v>
      </c>
      <c r="G361" s="53" t="n">
        <f aca="false">C361+D361</f>
        <v>0</v>
      </c>
      <c r="H361" s="26"/>
    </row>
    <row r="362" customFormat="false" ht="15" hidden="false" customHeight="false" outlineLevel="0" collapsed="false">
      <c r="A362" s="5" t="n">
        <v>52</v>
      </c>
      <c r="B362" s="57" t="n">
        <v>46382</v>
      </c>
      <c r="C362" s="52" t="n">
        <f aca="false">G361</f>
        <v>0</v>
      </c>
      <c r="D362" s="53" t="n">
        <f aca="false">E362-F362</f>
        <v>0</v>
      </c>
      <c r="E362" s="52" t="n">
        <f aca="false">SUMPRODUCT((Income!D$3:D$502="INR")*(Income!A$3:A$502=B362)*(Income!A$3:A$502&lt;&gt;"")*Income!C$3:C$502)</f>
        <v>0</v>
      </c>
      <c r="F362" s="52" t="n">
        <f aca="false">SUMPRODUCT((Expenses!E$3:E$1002="INR")*(Expenses!A$3:A$1002=B362)*(Expenses!A$3:A$1002&lt;&gt;"")*Expenses!D$3:D$1002)</f>
        <v>0</v>
      </c>
      <c r="G362" s="53" t="n">
        <f aca="false">C362+D362</f>
        <v>0</v>
      </c>
      <c r="H362" s="26"/>
    </row>
    <row r="363" customFormat="false" ht="15" hidden="false" customHeight="false" outlineLevel="0" collapsed="false">
      <c r="A363" s="5" t="n">
        <v>52</v>
      </c>
      <c r="B363" s="57" t="n">
        <v>46383</v>
      </c>
      <c r="C363" s="52" t="n">
        <f aca="false">G362</f>
        <v>0</v>
      </c>
      <c r="D363" s="53" t="n">
        <f aca="false">E363-F363</f>
        <v>0</v>
      </c>
      <c r="E363" s="52" t="n">
        <f aca="false">SUMPRODUCT((Income!D$3:D$502="INR")*(Income!A$3:A$502=B363)*(Income!A$3:A$502&lt;&gt;"")*Income!C$3:C$502)</f>
        <v>0</v>
      </c>
      <c r="F363" s="52" t="n">
        <f aca="false">SUMPRODUCT((Expenses!E$3:E$1002="INR")*(Expenses!A$3:A$1002=B363)*(Expenses!A$3:A$1002&lt;&gt;"")*Expenses!D$3:D$1002)</f>
        <v>0</v>
      </c>
      <c r="G363" s="53" t="n">
        <f aca="false">C363+D363</f>
        <v>0</v>
      </c>
      <c r="H363" s="26"/>
    </row>
    <row r="364" customFormat="false" ht="15" hidden="false" customHeight="false" outlineLevel="0" collapsed="false">
      <c r="A364" s="5" t="n">
        <v>53</v>
      </c>
      <c r="B364" s="57" t="n">
        <v>46384</v>
      </c>
      <c r="C364" s="52" t="n">
        <f aca="false">G363</f>
        <v>0</v>
      </c>
      <c r="D364" s="53" t="n">
        <f aca="false">E364-F364</f>
        <v>0</v>
      </c>
      <c r="E364" s="52" t="n">
        <f aca="false">SUMPRODUCT((Income!D$3:D$502="INR")*(Income!A$3:A$502=B364)*(Income!A$3:A$502&lt;&gt;"")*Income!C$3:C$502)</f>
        <v>0</v>
      </c>
      <c r="F364" s="52" t="n">
        <f aca="false">SUMPRODUCT((Expenses!E$3:E$1002="INR")*(Expenses!A$3:A$1002=B364)*(Expenses!A$3:A$1002&lt;&gt;"")*Expenses!D$3:D$1002)</f>
        <v>0</v>
      </c>
      <c r="G364" s="53" t="n">
        <f aca="false">C364+D364</f>
        <v>0</v>
      </c>
      <c r="H364" s="26"/>
    </row>
    <row r="365" customFormat="false" ht="15" hidden="false" customHeight="false" outlineLevel="0" collapsed="false">
      <c r="A365" s="5" t="n">
        <v>53</v>
      </c>
      <c r="B365" s="57" t="n">
        <v>46385</v>
      </c>
      <c r="C365" s="52" t="n">
        <f aca="false">G364</f>
        <v>0</v>
      </c>
      <c r="D365" s="53" t="n">
        <f aca="false">E365-F365</f>
        <v>0</v>
      </c>
      <c r="E365" s="52" t="n">
        <f aca="false">SUMPRODUCT((Income!D$3:D$502="INR")*(Income!A$3:A$502=B365)*(Income!A$3:A$502&lt;&gt;"")*Income!C$3:C$502)</f>
        <v>0</v>
      </c>
      <c r="F365" s="52" t="n">
        <f aca="false">SUMPRODUCT((Expenses!E$3:E$1002="INR")*(Expenses!A$3:A$1002=B365)*(Expenses!A$3:A$1002&lt;&gt;"")*Expenses!D$3:D$1002)</f>
        <v>0</v>
      </c>
      <c r="G365" s="53" t="n">
        <f aca="false">C365+D365</f>
        <v>0</v>
      </c>
      <c r="H365" s="26"/>
    </row>
    <row r="366" customFormat="false" ht="15" hidden="false" customHeight="false" outlineLevel="0" collapsed="false">
      <c r="A366" s="5" t="n">
        <v>53</v>
      </c>
      <c r="B366" s="57" t="n">
        <v>46386</v>
      </c>
      <c r="C366" s="52" t="n">
        <f aca="false">G365</f>
        <v>0</v>
      </c>
      <c r="D366" s="53" t="n">
        <f aca="false">E366-F366</f>
        <v>0</v>
      </c>
      <c r="E366" s="52" t="n">
        <f aca="false">SUMPRODUCT((Income!D$3:D$502="INR")*(Income!A$3:A$502=B366)*(Income!A$3:A$502&lt;&gt;"")*Income!C$3:C$502)</f>
        <v>0</v>
      </c>
      <c r="F366" s="52" t="n">
        <f aca="false">SUMPRODUCT((Expenses!E$3:E$1002="INR")*(Expenses!A$3:A$1002=B366)*(Expenses!A$3:A$1002&lt;&gt;"")*Expenses!D$3:D$1002)</f>
        <v>0</v>
      </c>
      <c r="G366" s="53" t="n">
        <f aca="false">C366+D366</f>
        <v>0</v>
      </c>
      <c r="H366" s="26"/>
    </row>
    <row r="367" customFormat="false" ht="15" hidden="false" customHeight="false" outlineLevel="0" collapsed="false">
      <c r="A367" s="5" t="n">
        <v>53</v>
      </c>
      <c r="B367" s="57" t="n">
        <v>46387</v>
      </c>
      <c r="C367" s="52" t="n">
        <f aca="false">G366</f>
        <v>0</v>
      </c>
      <c r="D367" s="53" t="n">
        <f aca="false">E367-F367</f>
        <v>0</v>
      </c>
      <c r="E367" s="52" t="n">
        <f aca="false">SUMPRODUCT((Income!D$3:D$502="INR")*(Income!A$3:A$502=B367)*(Income!A$3:A$502&lt;&gt;"")*Income!C$3:C$502)</f>
        <v>0</v>
      </c>
      <c r="F367" s="52" t="n">
        <f aca="false">SUMPRODUCT((Expenses!E$3:E$1002="INR")*(Expenses!A$3:A$1002=B367)*(Expenses!A$3:A$1002&lt;&gt;"")*Expenses!D$3:D$1002)</f>
        <v>0</v>
      </c>
      <c r="G367" s="53" t="n">
        <f aca="false">C367+D367</f>
        <v>0</v>
      </c>
      <c r="H367" s="26"/>
    </row>
  </sheetData>
  <mergeCells count="1">
    <mergeCell ref="A1:H1"/>
  </mergeCells>
  <conditionalFormatting sqref="D3:D367">
    <cfRule type="cellIs" priority="2" operator="lessThan" aboveAverage="0" equalAverage="0" bottom="0" percent="0" rank="0" text="" dxfId="1">
      <formula>0</formula>
    </cfRule>
    <cfRule type="cellIs" priority="3" operator="greater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R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8"/>
    <col collapsed="false" customWidth="true" hidden="false" outlineLevel="0" max="18" min="18" style="0" width="14"/>
  </cols>
  <sheetData>
    <row r="1" customFormat="false" ht="17.35" hidden="false" customHeight="fals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6.85" hidden="false" customHeight="false" outlineLevel="0" collapsed="false">
      <c r="A2" s="46" t="s">
        <v>150</v>
      </c>
      <c r="B2" s="58" t="s">
        <v>142</v>
      </c>
      <c r="C2" s="58" t="s">
        <v>151</v>
      </c>
      <c r="D2" s="58"/>
      <c r="E2" s="58" t="s">
        <v>152</v>
      </c>
      <c r="F2" s="58"/>
      <c r="G2" s="58" t="s">
        <v>153</v>
      </c>
      <c r="H2" s="58"/>
      <c r="I2" s="58" t="s">
        <v>154</v>
      </c>
      <c r="J2" s="58"/>
      <c r="K2" s="58" t="s">
        <v>155</v>
      </c>
      <c r="L2" s="58"/>
      <c r="M2" s="58" t="s">
        <v>156</v>
      </c>
      <c r="N2" s="58"/>
      <c r="O2" s="58" t="s">
        <v>157</v>
      </c>
      <c r="P2" s="58"/>
      <c r="Q2" s="46" t="s">
        <v>158</v>
      </c>
      <c r="R2" s="46" t="s">
        <v>159</v>
      </c>
    </row>
    <row r="3" customFormat="false" ht="15" hidden="false" customHeight="false" outlineLevel="0" collapsed="false">
      <c r="A3" s="59"/>
      <c r="B3" s="59"/>
      <c r="C3" s="60" t="s">
        <v>100</v>
      </c>
      <c r="D3" s="60" t="s">
        <v>3</v>
      </c>
      <c r="E3" s="60" t="s">
        <v>100</v>
      </c>
      <c r="F3" s="60" t="s">
        <v>3</v>
      </c>
      <c r="G3" s="60" t="s">
        <v>100</v>
      </c>
      <c r="H3" s="60" t="s">
        <v>3</v>
      </c>
      <c r="I3" s="60" t="s">
        <v>100</v>
      </c>
      <c r="J3" s="60" t="s">
        <v>3</v>
      </c>
      <c r="K3" s="60" t="s">
        <v>100</v>
      </c>
      <c r="L3" s="60" t="s">
        <v>3</v>
      </c>
      <c r="M3" s="60" t="s">
        <v>100</v>
      </c>
      <c r="N3" s="60" t="s">
        <v>3</v>
      </c>
      <c r="O3" s="60" t="s">
        <v>100</v>
      </c>
      <c r="P3" s="60" t="s">
        <v>3</v>
      </c>
      <c r="Q3" s="59"/>
      <c r="R3" s="59"/>
    </row>
    <row r="4" customFormat="false" ht="15" hidden="false" customHeight="false" outlineLevel="0" collapsed="false">
      <c r="A4" s="61" t="n">
        <v>46020</v>
      </c>
      <c r="B4" s="3" t="n">
        <v>1</v>
      </c>
      <c r="C4" s="62" t="str">
        <f aca="false">IF(IFERROR(-INDEX(Expenses!D$3:D$1002,SMALL(IF((Expenses!E$3:E$1002="GBP")*(Expenses!A$3:A$1002=DATE(2025,12,29)),ROW(Expenses!A$3:A$1002)-2),1)),0)+IFERROR(INDEX(Income!C$3:C$502,SMALL(IF((Income!D$3:D$502="GBP")*(Income!A$3:A$502=DATE(2025,12,29)),ROW(Income!A$3:A$502)-2),1)),0)=0,"",IFERROR(-INDEX(Expenses!D$3:D$1002,SMALL(IF((Expenses!E$3:E$1002="GBP")*(Expenses!A$3:A$1002=DATE(2025,12,29)),ROW(Expenses!A$3:A$1002)-2),1)),0)+IFERROR(INDEX(Income!C$3:C$502,SMALL(IF((Income!D$3:D$502="GBP")*(Income!A$3:A$502=DATE(2025,12,29)),ROW(Income!A$3:A$502)-2),1)),0))</f>
        <v/>
      </c>
      <c r="D4" s="38" t="str">
        <f aca="false">IF(IFERROR(INDEX(Expenses!B$3:B$1002,SMALL(IF((Expenses!E$3:E$1002="GBP")*(Expenses!A$3:A$1002=DATE(2025,12,29)),ROW(Expenses!A$3:A$1002)-2),1)),"")&lt;&gt;"",IFERROR(INDEX(Expenses!B$3:B$1002,SMALL(IF((Expenses!E$3:E$1002="GBP")*(Expenses!A$3:A$1002=DATE(2025,12,29)),ROW(Expenses!A$3:A$1002)-2),1)),""),IF(IFERROR(INDEX(Income!B$3:B$502,SMALL(IF((Income!D$3:D$502="GBP")*(Income!A$3:A$502=DATE(2025,12,29)),ROW(Income!A$3:A$502)-2),1)),"")&lt;&gt;"",IFERROR(INDEX(Income!B$3:B$502,SMALL(IF((Income!D$3:D$502="GBP")*(Income!A$3:A$502=DATE(2025,12,29)),ROW(Income!A$3:A$502)-2),1)),""),""))</f>
        <v/>
      </c>
      <c r="E4" s="62" t="str">
        <f aca="false">IF(IFERROR(-INDEX(Expenses!D$3:D$1002,SMALL(IF((Expenses!E$3:E$1002="GBP")*(Expenses!A$3:A$1002=DATE(2025,12,30)),ROW(Expenses!A$3:A$1002)-2),1)),0)+IFERROR(INDEX(Income!C$3:C$502,SMALL(IF((Income!D$3:D$502="GBP")*(Income!A$3:A$502=DATE(2025,12,30)),ROW(Income!A$3:A$502)-2),1)),0)=0,"",IFERROR(-INDEX(Expenses!D$3:D$1002,SMALL(IF((Expenses!E$3:E$1002="GBP")*(Expenses!A$3:A$1002=DATE(2025,12,30)),ROW(Expenses!A$3:A$1002)-2),1)),0)+IFERROR(INDEX(Income!C$3:C$502,SMALL(IF((Income!D$3:D$502="GBP")*(Income!A$3:A$502=DATE(2025,12,30)),ROW(Income!A$3:A$502)-2),1)),0))</f>
        <v/>
      </c>
      <c r="F4" s="38" t="str">
        <f aca="false">IF(IFERROR(INDEX(Expenses!B$3:B$1002,SMALL(IF((Expenses!E$3:E$1002="GBP")*(Expenses!A$3:A$1002=DATE(2025,12,30)),ROW(Expenses!A$3:A$1002)-2),1)),"")&lt;&gt;"",IFERROR(INDEX(Expenses!B$3:B$1002,SMALL(IF((Expenses!E$3:E$1002="GBP")*(Expenses!A$3:A$1002=DATE(2025,12,30)),ROW(Expenses!A$3:A$1002)-2),1)),""),IF(IFERROR(INDEX(Income!B$3:B$502,SMALL(IF((Income!D$3:D$502="GBP")*(Income!A$3:A$502=DATE(2025,12,30)),ROW(Income!A$3:A$502)-2),1)),"")&lt;&gt;"",IFERROR(INDEX(Income!B$3:B$502,SMALL(IF((Income!D$3:D$502="GBP")*(Income!A$3:A$502=DATE(2025,12,30)),ROW(Income!A$3:A$502)-2),1)),""),""))</f>
        <v/>
      </c>
      <c r="G4" s="62" t="str">
        <f aca="false">IF(IFERROR(-INDEX(Expenses!D$3:D$1002,SMALL(IF((Expenses!E$3:E$1002="GBP")*(Expenses!A$3:A$1002=DATE(2025,12,31)),ROW(Expenses!A$3:A$1002)-2),1)),0)+IFERROR(INDEX(Income!C$3:C$502,SMALL(IF((Income!D$3:D$502="GBP")*(Income!A$3:A$502=DATE(2025,12,31)),ROW(Income!A$3:A$502)-2),1)),0)=0,"",IFERROR(-INDEX(Expenses!D$3:D$1002,SMALL(IF((Expenses!E$3:E$1002="GBP")*(Expenses!A$3:A$1002=DATE(2025,12,31)),ROW(Expenses!A$3:A$1002)-2),1)),0)+IFERROR(INDEX(Income!C$3:C$502,SMALL(IF((Income!D$3:D$502="GBP")*(Income!A$3:A$502=DATE(2025,12,31)),ROW(Income!A$3:A$502)-2),1)),0))</f>
        <v/>
      </c>
      <c r="H4" s="38" t="str">
        <f aca="false">IF(IFERROR(INDEX(Expenses!B$3:B$1002,SMALL(IF((Expenses!E$3:E$1002="GBP")*(Expenses!A$3:A$1002=DATE(2025,12,31)),ROW(Expenses!A$3:A$1002)-2),1)),"")&lt;&gt;"",IFERROR(INDEX(Expenses!B$3:B$1002,SMALL(IF((Expenses!E$3:E$1002="GBP")*(Expenses!A$3:A$1002=DATE(2025,12,31)),ROW(Expenses!A$3:A$1002)-2),1)),""),IF(IFERROR(INDEX(Income!B$3:B$502,SMALL(IF((Income!D$3:D$502="GBP")*(Income!A$3:A$502=DATE(2025,12,31)),ROW(Income!A$3:A$502)-2),1)),"")&lt;&gt;"",IFERROR(INDEX(Income!B$3:B$502,SMALL(IF((Income!D$3:D$502="GBP")*(Income!A$3:A$502=DATE(2025,12,31)),ROW(Income!A$3:A$502)-2),1)),""),""))</f>
        <v/>
      </c>
      <c r="I4" s="62" t="str">
        <f aca="false">IF(IFERROR(-INDEX(Expenses!D$3:D$1002,SMALL(IF((Expenses!E$3:E$1002="GBP")*(Expenses!A$3:A$1002=DATE(2026,1,1)),ROW(Expenses!A$3:A$1002)-2),1)),0)+IFERROR(INDEX(Income!C$3:C$502,SMALL(IF((Income!D$3:D$502="GBP")*(Income!A$3:A$502=DATE(2026,1,1)),ROW(Income!A$3:A$502)-2),1)),0)=0,"",IFERROR(-INDEX(Expenses!D$3:D$1002,SMALL(IF((Expenses!E$3:E$1002="GBP")*(Expenses!A$3:A$1002=DATE(2026,1,1)),ROW(Expenses!A$3:A$1002)-2),1)),0)+IFERROR(INDEX(Income!C$3:C$502,SMALL(IF((Income!D$3:D$502="GBP")*(Income!A$3:A$502=DATE(2026,1,1)),ROW(Income!A$3:A$502)-2),1)),0))</f>
        <v/>
      </c>
      <c r="J4" s="38" t="str">
        <f aca="false">IF(IFERROR(INDEX(Expenses!B$3:B$1002,SMALL(IF((Expenses!E$3:E$1002="GBP")*(Expenses!A$3:A$1002=DATE(2026,1,1)),ROW(Expenses!A$3:A$1002)-2),1)),"")&lt;&gt;"",IFERROR(INDEX(Expenses!B$3:B$1002,SMALL(IF((Expenses!E$3:E$1002="GBP")*(Expenses!A$3:A$1002=DATE(2026,1,1)),ROW(Expenses!A$3:A$1002)-2),1)),""),IF(IFERROR(INDEX(Income!B$3:B$502,SMALL(IF((Income!D$3:D$502="GBP")*(Income!A$3:A$502=DATE(2026,1,1)),ROW(Income!A$3:A$502)-2),1)),"")&lt;&gt;"",IFERROR(INDEX(Income!B$3:B$502,SMALL(IF((Income!D$3:D$502="GBP")*(Income!A$3:A$502=DATE(2026,1,1)),ROW(Income!A$3:A$502)-2),1)),""),""))</f>
        <v/>
      </c>
      <c r="K4" s="62" t="str">
        <f aca="false">IF(IFERROR(-INDEX(Expenses!D$3:D$1002,SMALL(IF((Expenses!E$3:E$1002="GBP")*(Expenses!A$3:A$1002=DATE(2026,1,2)),ROW(Expenses!A$3:A$1002)-2),1)),0)+IFERROR(INDEX(Income!C$3:C$502,SMALL(IF((Income!D$3:D$502="GBP")*(Income!A$3:A$502=DATE(2026,1,2)),ROW(Income!A$3:A$502)-2),1)),0)=0,"",IFERROR(-INDEX(Expenses!D$3:D$1002,SMALL(IF((Expenses!E$3:E$1002="GBP")*(Expenses!A$3:A$1002=DATE(2026,1,2)),ROW(Expenses!A$3:A$1002)-2),1)),0)+IFERROR(INDEX(Income!C$3:C$502,SMALL(IF((Income!D$3:D$502="GBP")*(Income!A$3:A$502=DATE(2026,1,2)),ROW(Income!A$3:A$502)-2),1)),0))</f>
        <v/>
      </c>
      <c r="L4" s="38" t="str">
        <f aca="false">IF(IFERROR(INDEX(Expenses!B$3:B$1002,SMALL(IF((Expenses!E$3:E$1002="GBP")*(Expenses!A$3:A$1002=DATE(2026,1,2)),ROW(Expenses!A$3:A$1002)-2),1)),"")&lt;&gt;"",IFERROR(INDEX(Expenses!B$3:B$1002,SMALL(IF((Expenses!E$3:E$1002="GBP")*(Expenses!A$3:A$1002=DATE(2026,1,2)),ROW(Expenses!A$3:A$1002)-2),1)),""),IF(IFERROR(INDEX(Income!B$3:B$502,SMALL(IF((Income!D$3:D$502="GBP")*(Income!A$3:A$502=DATE(2026,1,2)),ROW(Income!A$3:A$502)-2),1)),"")&lt;&gt;"",IFERROR(INDEX(Income!B$3:B$502,SMALL(IF((Income!D$3:D$502="GBP")*(Income!A$3:A$502=DATE(2026,1,2)),ROW(Income!A$3:A$502)-2),1)),""),""))</f>
        <v/>
      </c>
      <c r="M4" s="62" t="str">
        <f aca="false">IF(IFERROR(-INDEX(Expenses!D$3:D$1002,SMALL(IF((Expenses!E$3:E$1002="GBP")*(Expenses!A$3:A$1002=DATE(2026,1,3)),ROW(Expenses!A$3:A$1002)-2),1)),0)+IFERROR(INDEX(Income!C$3:C$502,SMALL(IF((Income!D$3:D$502="GBP")*(Income!A$3:A$502=DATE(2026,1,3)),ROW(Income!A$3:A$502)-2),1)),0)=0,"",IFERROR(-INDEX(Expenses!D$3:D$1002,SMALL(IF((Expenses!E$3:E$1002="GBP")*(Expenses!A$3:A$1002=DATE(2026,1,3)),ROW(Expenses!A$3:A$1002)-2),1)),0)+IFERROR(INDEX(Income!C$3:C$502,SMALL(IF((Income!D$3:D$502="GBP")*(Income!A$3:A$502=DATE(2026,1,3)),ROW(Income!A$3:A$502)-2),1)),0))</f>
        <v/>
      </c>
      <c r="N4" s="38" t="str">
        <f aca="false">IF(IFERROR(INDEX(Expenses!B$3:B$1002,SMALL(IF((Expenses!E$3:E$1002="GBP")*(Expenses!A$3:A$1002=DATE(2026,1,3)),ROW(Expenses!A$3:A$1002)-2),1)),"")&lt;&gt;"",IFERROR(INDEX(Expenses!B$3:B$1002,SMALL(IF((Expenses!E$3:E$1002="GBP")*(Expenses!A$3:A$1002=DATE(2026,1,3)),ROW(Expenses!A$3:A$1002)-2),1)),""),IF(IFERROR(INDEX(Income!B$3:B$502,SMALL(IF((Income!D$3:D$502="GBP")*(Income!A$3:A$502=DATE(2026,1,3)),ROW(Income!A$3:A$502)-2),1)),"")&lt;&gt;"",IFERROR(INDEX(Income!B$3:B$502,SMALL(IF((Income!D$3:D$502="GBP")*(Income!A$3:A$502=DATE(2026,1,3)),ROW(Income!A$3:A$502)-2),1)),""),""))</f>
        <v/>
      </c>
      <c r="O4" s="62" t="str">
        <f aca="false">IF(IFERROR(-INDEX(Expenses!D$3:D$1002,SMALL(IF((Expenses!E$3:E$1002="GBP")*(Expenses!A$3:A$1002=DATE(2026,1,4)),ROW(Expenses!A$3:A$1002)-2),1)),0)+IFERROR(INDEX(Income!C$3:C$502,SMALL(IF((Income!D$3:D$502="GBP")*(Income!A$3:A$502=DATE(2026,1,4)),ROW(Income!A$3:A$502)-2),1)),0)=0,"",IFERROR(-INDEX(Expenses!D$3:D$1002,SMALL(IF((Expenses!E$3:E$1002="GBP")*(Expenses!A$3:A$1002=DATE(2026,1,4)),ROW(Expenses!A$3:A$1002)-2),1)),0)+IFERROR(INDEX(Income!C$3:C$502,SMALL(IF((Income!D$3:D$502="GBP")*(Income!A$3:A$502=DATE(2026,1,4)),ROW(Income!A$3:A$502)-2),1)),0))</f>
        <v/>
      </c>
      <c r="P4" s="38" t="str">
        <f aca="false">IF(IFERROR(INDEX(Expenses!B$3:B$1002,SMALL(IF((Expenses!E$3:E$1002="GBP")*(Expenses!A$3:A$1002=DATE(2026,1,4)),ROW(Expenses!A$3:A$1002)-2),1)),"")&lt;&gt;"",IFERROR(INDEX(Expenses!B$3:B$1002,SMALL(IF((Expenses!E$3:E$1002="GBP")*(Expenses!A$3:A$1002=DATE(2026,1,4)),ROW(Expenses!A$3:A$1002)-2),1)),""),IF(IFERROR(INDEX(Income!B$3:B$502,SMALL(IF((Income!D$3:D$502="GBP")*(Income!A$3:A$502=DATE(2026,1,4)),ROW(Income!A$3:A$502)-2),1)),"")&lt;&gt;"",IFERROR(INDEX(Income!B$3:B$502,SMALL(IF((Income!D$3:D$502="GBP")*(Income!A$3:A$502=DATE(2026,1,4)),ROW(Income!A$3:A$502)-2),1)),""),""))</f>
        <v/>
      </c>
      <c r="Q4" s="3" t="n">
        <v>1</v>
      </c>
      <c r="R4" s="45" t="n">
        <f aca="false">SUM(C4:C8)+SUM(E4:E8)+SUM(G4:G8)+SUM(I4:I8)+SUM(K4:K8)+SUM(M4:M8)+SUM(O4:O8)</f>
        <v>0</v>
      </c>
    </row>
    <row r="5" customFormat="false" ht="15" hidden="false" customHeight="false" outlineLevel="0" collapsed="false">
      <c r="A5" s="16"/>
      <c r="B5" s="16"/>
      <c r="C5" s="62" t="str">
        <f aca="false">IF(IFERROR(-INDEX(Expenses!D$3:D$1002,SMALL(IF((Expenses!E$3:E$1002="GBP")*(Expenses!A$3:A$1002=DATE(2025,12,29)),ROW(Expenses!A$3:A$1002)-2),2)),0)+IFERROR(INDEX(Income!C$3:C$502,SMALL(IF((Income!D$3:D$502="GBP")*(Income!A$3:A$502=DATE(2025,12,29)),ROW(Income!A$3:A$502)-2),2)),0)=0,"",IFERROR(-INDEX(Expenses!D$3:D$1002,SMALL(IF((Expenses!E$3:E$1002="GBP")*(Expenses!A$3:A$1002=DATE(2025,12,29)),ROW(Expenses!A$3:A$1002)-2),2)),0)+IFERROR(INDEX(Income!C$3:C$502,SMALL(IF((Income!D$3:D$502="GBP")*(Income!A$3:A$502=DATE(2025,12,29)),ROW(Income!A$3:A$502)-2),2)),0))</f>
        <v/>
      </c>
      <c r="D5" s="38" t="str">
        <f aca="false">IF(IFERROR(INDEX(Expenses!B$3:B$1002,SMALL(IF((Expenses!E$3:E$1002="GBP")*(Expenses!A$3:A$1002=DATE(2025,12,29)),ROW(Expenses!A$3:A$1002)-2),2)),"")&lt;&gt;"",IFERROR(INDEX(Expenses!B$3:B$1002,SMALL(IF((Expenses!E$3:E$1002="GBP")*(Expenses!A$3:A$1002=DATE(2025,12,29)),ROW(Expenses!A$3:A$1002)-2),2)),""),IF(IFERROR(INDEX(Income!B$3:B$502,SMALL(IF((Income!D$3:D$502="GBP")*(Income!A$3:A$502=DATE(2025,12,29)),ROW(Income!A$3:A$502)-2),2)),"")&lt;&gt;"",IFERROR(INDEX(Income!B$3:B$502,SMALL(IF((Income!D$3:D$502="GBP")*(Income!A$3:A$502=DATE(2025,12,29)),ROW(Income!A$3:A$502)-2),2)),""),""))</f>
        <v/>
      </c>
      <c r="E5" s="62" t="str">
        <f aca="false">IF(IFERROR(-INDEX(Expenses!D$3:D$1002,SMALL(IF((Expenses!E$3:E$1002="GBP")*(Expenses!A$3:A$1002=DATE(2025,12,30)),ROW(Expenses!A$3:A$1002)-2),2)),0)+IFERROR(INDEX(Income!C$3:C$502,SMALL(IF((Income!D$3:D$502="GBP")*(Income!A$3:A$502=DATE(2025,12,30)),ROW(Income!A$3:A$502)-2),2)),0)=0,"",IFERROR(-INDEX(Expenses!D$3:D$1002,SMALL(IF((Expenses!E$3:E$1002="GBP")*(Expenses!A$3:A$1002=DATE(2025,12,30)),ROW(Expenses!A$3:A$1002)-2),2)),0)+IFERROR(INDEX(Income!C$3:C$502,SMALL(IF((Income!D$3:D$502="GBP")*(Income!A$3:A$502=DATE(2025,12,30)),ROW(Income!A$3:A$502)-2),2)),0))</f>
        <v/>
      </c>
      <c r="F5" s="38" t="str">
        <f aca="false">IF(IFERROR(INDEX(Expenses!B$3:B$1002,SMALL(IF((Expenses!E$3:E$1002="GBP")*(Expenses!A$3:A$1002=DATE(2025,12,30)),ROW(Expenses!A$3:A$1002)-2),2)),"")&lt;&gt;"",IFERROR(INDEX(Expenses!B$3:B$1002,SMALL(IF((Expenses!E$3:E$1002="GBP")*(Expenses!A$3:A$1002=DATE(2025,12,30)),ROW(Expenses!A$3:A$1002)-2),2)),""),IF(IFERROR(INDEX(Income!B$3:B$502,SMALL(IF((Income!D$3:D$502="GBP")*(Income!A$3:A$502=DATE(2025,12,30)),ROW(Income!A$3:A$502)-2),2)),"")&lt;&gt;"",IFERROR(INDEX(Income!B$3:B$502,SMALL(IF((Income!D$3:D$502="GBP")*(Income!A$3:A$502=DATE(2025,12,30)),ROW(Income!A$3:A$502)-2),2)),""),""))</f>
        <v/>
      </c>
      <c r="G5" s="62" t="str">
        <f aca="false">IF(IFERROR(-INDEX(Expenses!D$3:D$1002,SMALL(IF((Expenses!E$3:E$1002="GBP")*(Expenses!A$3:A$1002=DATE(2025,12,31)),ROW(Expenses!A$3:A$1002)-2),2)),0)+IFERROR(INDEX(Income!C$3:C$502,SMALL(IF((Income!D$3:D$502="GBP")*(Income!A$3:A$502=DATE(2025,12,31)),ROW(Income!A$3:A$502)-2),2)),0)=0,"",IFERROR(-INDEX(Expenses!D$3:D$1002,SMALL(IF((Expenses!E$3:E$1002="GBP")*(Expenses!A$3:A$1002=DATE(2025,12,31)),ROW(Expenses!A$3:A$1002)-2),2)),0)+IFERROR(INDEX(Income!C$3:C$502,SMALL(IF((Income!D$3:D$502="GBP")*(Income!A$3:A$502=DATE(2025,12,31)),ROW(Income!A$3:A$502)-2),2)),0))</f>
        <v/>
      </c>
      <c r="H5" s="38" t="str">
        <f aca="false">IF(IFERROR(INDEX(Expenses!B$3:B$1002,SMALL(IF((Expenses!E$3:E$1002="GBP")*(Expenses!A$3:A$1002=DATE(2025,12,31)),ROW(Expenses!A$3:A$1002)-2),2)),"")&lt;&gt;"",IFERROR(INDEX(Expenses!B$3:B$1002,SMALL(IF((Expenses!E$3:E$1002="GBP")*(Expenses!A$3:A$1002=DATE(2025,12,31)),ROW(Expenses!A$3:A$1002)-2),2)),""),IF(IFERROR(INDEX(Income!B$3:B$502,SMALL(IF((Income!D$3:D$502="GBP")*(Income!A$3:A$502=DATE(2025,12,31)),ROW(Income!A$3:A$502)-2),2)),"")&lt;&gt;"",IFERROR(INDEX(Income!B$3:B$502,SMALL(IF((Income!D$3:D$502="GBP")*(Income!A$3:A$502=DATE(2025,12,31)),ROW(Income!A$3:A$502)-2),2)),""),""))</f>
        <v/>
      </c>
      <c r="I5" s="62" t="str">
        <f aca="false">IF(IFERROR(-INDEX(Expenses!D$3:D$1002,SMALL(IF((Expenses!E$3:E$1002="GBP")*(Expenses!A$3:A$1002=DATE(2026,1,1)),ROW(Expenses!A$3:A$1002)-2),2)),0)+IFERROR(INDEX(Income!C$3:C$502,SMALL(IF((Income!D$3:D$502="GBP")*(Income!A$3:A$502=DATE(2026,1,1)),ROW(Income!A$3:A$502)-2),2)),0)=0,"",IFERROR(-INDEX(Expenses!D$3:D$1002,SMALL(IF((Expenses!E$3:E$1002="GBP")*(Expenses!A$3:A$1002=DATE(2026,1,1)),ROW(Expenses!A$3:A$1002)-2),2)),0)+IFERROR(INDEX(Income!C$3:C$502,SMALL(IF((Income!D$3:D$502="GBP")*(Income!A$3:A$502=DATE(2026,1,1)),ROW(Income!A$3:A$502)-2),2)),0))</f>
        <v/>
      </c>
      <c r="J5" s="38" t="str">
        <f aca="false">IF(IFERROR(INDEX(Expenses!B$3:B$1002,SMALL(IF((Expenses!E$3:E$1002="GBP")*(Expenses!A$3:A$1002=DATE(2026,1,1)),ROW(Expenses!A$3:A$1002)-2),2)),"")&lt;&gt;"",IFERROR(INDEX(Expenses!B$3:B$1002,SMALL(IF((Expenses!E$3:E$1002="GBP")*(Expenses!A$3:A$1002=DATE(2026,1,1)),ROW(Expenses!A$3:A$1002)-2),2)),""),IF(IFERROR(INDEX(Income!B$3:B$502,SMALL(IF((Income!D$3:D$502="GBP")*(Income!A$3:A$502=DATE(2026,1,1)),ROW(Income!A$3:A$502)-2),2)),"")&lt;&gt;"",IFERROR(INDEX(Income!B$3:B$502,SMALL(IF((Income!D$3:D$502="GBP")*(Income!A$3:A$502=DATE(2026,1,1)),ROW(Income!A$3:A$502)-2),2)),""),""))</f>
        <v/>
      </c>
      <c r="K5" s="62" t="str">
        <f aca="false">IF(IFERROR(-INDEX(Expenses!D$3:D$1002,SMALL(IF((Expenses!E$3:E$1002="GBP")*(Expenses!A$3:A$1002=DATE(2026,1,2)),ROW(Expenses!A$3:A$1002)-2),2)),0)+IFERROR(INDEX(Income!C$3:C$502,SMALL(IF((Income!D$3:D$502="GBP")*(Income!A$3:A$502=DATE(2026,1,2)),ROW(Income!A$3:A$502)-2),2)),0)=0,"",IFERROR(-INDEX(Expenses!D$3:D$1002,SMALL(IF((Expenses!E$3:E$1002="GBP")*(Expenses!A$3:A$1002=DATE(2026,1,2)),ROW(Expenses!A$3:A$1002)-2),2)),0)+IFERROR(INDEX(Income!C$3:C$502,SMALL(IF((Income!D$3:D$502="GBP")*(Income!A$3:A$502=DATE(2026,1,2)),ROW(Income!A$3:A$502)-2),2)),0))</f>
        <v/>
      </c>
      <c r="L5" s="38" t="str">
        <f aca="false">IF(IFERROR(INDEX(Expenses!B$3:B$1002,SMALL(IF((Expenses!E$3:E$1002="GBP")*(Expenses!A$3:A$1002=DATE(2026,1,2)),ROW(Expenses!A$3:A$1002)-2),2)),"")&lt;&gt;"",IFERROR(INDEX(Expenses!B$3:B$1002,SMALL(IF((Expenses!E$3:E$1002="GBP")*(Expenses!A$3:A$1002=DATE(2026,1,2)),ROW(Expenses!A$3:A$1002)-2),2)),""),IF(IFERROR(INDEX(Income!B$3:B$502,SMALL(IF((Income!D$3:D$502="GBP")*(Income!A$3:A$502=DATE(2026,1,2)),ROW(Income!A$3:A$502)-2),2)),"")&lt;&gt;"",IFERROR(INDEX(Income!B$3:B$502,SMALL(IF((Income!D$3:D$502="GBP")*(Income!A$3:A$502=DATE(2026,1,2)),ROW(Income!A$3:A$502)-2),2)),""),""))</f>
        <v/>
      </c>
      <c r="M5" s="62" t="str">
        <f aca="false">IF(IFERROR(-INDEX(Expenses!D$3:D$1002,SMALL(IF((Expenses!E$3:E$1002="GBP")*(Expenses!A$3:A$1002=DATE(2026,1,3)),ROW(Expenses!A$3:A$1002)-2),2)),0)+IFERROR(INDEX(Income!C$3:C$502,SMALL(IF((Income!D$3:D$502="GBP")*(Income!A$3:A$502=DATE(2026,1,3)),ROW(Income!A$3:A$502)-2),2)),0)=0,"",IFERROR(-INDEX(Expenses!D$3:D$1002,SMALL(IF((Expenses!E$3:E$1002="GBP")*(Expenses!A$3:A$1002=DATE(2026,1,3)),ROW(Expenses!A$3:A$1002)-2),2)),0)+IFERROR(INDEX(Income!C$3:C$502,SMALL(IF((Income!D$3:D$502="GBP")*(Income!A$3:A$502=DATE(2026,1,3)),ROW(Income!A$3:A$502)-2),2)),0))</f>
        <v/>
      </c>
      <c r="N5" s="38" t="str">
        <f aca="false">IF(IFERROR(INDEX(Expenses!B$3:B$1002,SMALL(IF((Expenses!E$3:E$1002="GBP")*(Expenses!A$3:A$1002=DATE(2026,1,3)),ROW(Expenses!A$3:A$1002)-2),2)),"")&lt;&gt;"",IFERROR(INDEX(Expenses!B$3:B$1002,SMALL(IF((Expenses!E$3:E$1002="GBP")*(Expenses!A$3:A$1002=DATE(2026,1,3)),ROW(Expenses!A$3:A$1002)-2),2)),""),IF(IFERROR(INDEX(Income!B$3:B$502,SMALL(IF((Income!D$3:D$502="GBP")*(Income!A$3:A$502=DATE(2026,1,3)),ROW(Income!A$3:A$502)-2),2)),"")&lt;&gt;"",IFERROR(INDEX(Income!B$3:B$502,SMALL(IF((Income!D$3:D$502="GBP")*(Income!A$3:A$502=DATE(2026,1,3)),ROW(Income!A$3:A$502)-2),2)),""),""))</f>
        <v/>
      </c>
      <c r="O5" s="62" t="str">
        <f aca="false">IF(IFERROR(-INDEX(Expenses!D$3:D$1002,SMALL(IF((Expenses!E$3:E$1002="GBP")*(Expenses!A$3:A$1002=DATE(2026,1,4)),ROW(Expenses!A$3:A$1002)-2),2)),0)+IFERROR(INDEX(Income!C$3:C$502,SMALL(IF((Income!D$3:D$502="GBP")*(Income!A$3:A$502=DATE(2026,1,4)),ROW(Income!A$3:A$502)-2),2)),0)=0,"",IFERROR(-INDEX(Expenses!D$3:D$1002,SMALL(IF((Expenses!E$3:E$1002="GBP")*(Expenses!A$3:A$1002=DATE(2026,1,4)),ROW(Expenses!A$3:A$1002)-2),2)),0)+IFERROR(INDEX(Income!C$3:C$502,SMALL(IF((Income!D$3:D$502="GBP")*(Income!A$3:A$502=DATE(2026,1,4)),ROW(Income!A$3:A$502)-2),2)),0))</f>
        <v/>
      </c>
      <c r="P5" s="38" t="str">
        <f aca="false">IF(IFERROR(INDEX(Expenses!B$3:B$1002,SMALL(IF((Expenses!E$3:E$1002="GBP")*(Expenses!A$3:A$1002=DATE(2026,1,4)),ROW(Expenses!A$3:A$1002)-2),2)),"")&lt;&gt;"",IFERROR(INDEX(Expenses!B$3:B$1002,SMALL(IF((Expenses!E$3:E$1002="GBP")*(Expenses!A$3:A$1002=DATE(2026,1,4)),ROW(Expenses!A$3:A$1002)-2),2)),""),IF(IFERROR(INDEX(Income!B$3:B$502,SMALL(IF((Income!D$3:D$502="GBP")*(Income!A$3:A$502=DATE(2026,1,4)),ROW(Income!A$3:A$502)-2),2)),"")&lt;&gt;"",IFERROR(INDEX(Income!B$3:B$502,SMALL(IF((Income!D$3:D$502="GBP")*(Income!A$3:A$502=DATE(2026,1,4)),ROW(Income!A$3:A$502)-2),2)),""),""))</f>
        <v/>
      </c>
      <c r="Q5" s="16"/>
      <c r="R5" s="16"/>
    </row>
    <row r="6" customFormat="false" ht="15" hidden="false" customHeight="false" outlineLevel="0" collapsed="false">
      <c r="A6" s="16"/>
      <c r="B6" s="16"/>
      <c r="C6" s="62" t="str">
        <f aca="false">IF(IFERROR(-INDEX(Expenses!D$3:D$1002,SMALL(IF((Expenses!E$3:E$1002="GBP")*(Expenses!A$3:A$1002=DATE(2025,12,29)),ROW(Expenses!A$3:A$1002)-2),3)),0)+IFERROR(INDEX(Income!C$3:C$502,SMALL(IF((Income!D$3:D$502="GBP")*(Income!A$3:A$502=DATE(2025,12,29)),ROW(Income!A$3:A$502)-2),3)),0)=0,"",IFERROR(-INDEX(Expenses!D$3:D$1002,SMALL(IF((Expenses!E$3:E$1002="GBP")*(Expenses!A$3:A$1002=DATE(2025,12,29)),ROW(Expenses!A$3:A$1002)-2),3)),0)+IFERROR(INDEX(Income!C$3:C$502,SMALL(IF((Income!D$3:D$502="GBP")*(Income!A$3:A$502=DATE(2025,12,29)),ROW(Income!A$3:A$502)-2),3)),0))</f>
        <v/>
      </c>
      <c r="D6" s="38" t="str">
        <f aca="false">IF(IFERROR(INDEX(Expenses!B$3:B$1002,SMALL(IF((Expenses!E$3:E$1002="GBP")*(Expenses!A$3:A$1002=DATE(2025,12,29)),ROW(Expenses!A$3:A$1002)-2),3)),"")&lt;&gt;"",IFERROR(INDEX(Expenses!B$3:B$1002,SMALL(IF((Expenses!E$3:E$1002="GBP")*(Expenses!A$3:A$1002=DATE(2025,12,29)),ROW(Expenses!A$3:A$1002)-2),3)),""),IF(IFERROR(INDEX(Income!B$3:B$502,SMALL(IF((Income!D$3:D$502="GBP")*(Income!A$3:A$502=DATE(2025,12,29)),ROW(Income!A$3:A$502)-2),3)),"")&lt;&gt;"",IFERROR(INDEX(Income!B$3:B$502,SMALL(IF((Income!D$3:D$502="GBP")*(Income!A$3:A$502=DATE(2025,12,29)),ROW(Income!A$3:A$502)-2),3)),""),""))</f>
        <v/>
      </c>
      <c r="E6" s="62" t="str">
        <f aca="false">IF(IFERROR(-INDEX(Expenses!D$3:D$1002,SMALL(IF((Expenses!E$3:E$1002="GBP")*(Expenses!A$3:A$1002=DATE(2025,12,30)),ROW(Expenses!A$3:A$1002)-2),3)),0)+IFERROR(INDEX(Income!C$3:C$502,SMALL(IF((Income!D$3:D$502="GBP")*(Income!A$3:A$502=DATE(2025,12,30)),ROW(Income!A$3:A$502)-2),3)),0)=0,"",IFERROR(-INDEX(Expenses!D$3:D$1002,SMALL(IF((Expenses!E$3:E$1002="GBP")*(Expenses!A$3:A$1002=DATE(2025,12,30)),ROW(Expenses!A$3:A$1002)-2),3)),0)+IFERROR(INDEX(Income!C$3:C$502,SMALL(IF((Income!D$3:D$502="GBP")*(Income!A$3:A$502=DATE(2025,12,30)),ROW(Income!A$3:A$502)-2),3)),0))</f>
        <v/>
      </c>
      <c r="F6" s="38" t="str">
        <f aca="false">IF(IFERROR(INDEX(Expenses!B$3:B$1002,SMALL(IF((Expenses!E$3:E$1002="GBP")*(Expenses!A$3:A$1002=DATE(2025,12,30)),ROW(Expenses!A$3:A$1002)-2),3)),"")&lt;&gt;"",IFERROR(INDEX(Expenses!B$3:B$1002,SMALL(IF((Expenses!E$3:E$1002="GBP")*(Expenses!A$3:A$1002=DATE(2025,12,30)),ROW(Expenses!A$3:A$1002)-2),3)),""),IF(IFERROR(INDEX(Income!B$3:B$502,SMALL(IF((Income!D$3:D$502="GBP")*(Income!A$3:A$502=DATE(2025,12,30)),ROW(Income!A$3:A$502)-2),3)),"")&lt;&gt;"",IFERROR(INDEX(Income!B$3:B$502,SMALL(IF((Income!D$3:D$502="GBP")*(Income!A$3:A$502=DATE(2025,12,30)),ROW(Income!A$3:A$502)-2),3)),""),""))</f>
        <v/>
      </c>
      <c r="G6" s="62" t="str">
        <f aca="false">IF(IFERROR(-INDEX(Expenses!D$3:D$1002,SMALL(IF((Expenses!E$3:E$1002="GBP")*(Expenses!A$3:A$1002=DATE(2025,12,31)),ROW(Expenses!A$3:A$1002)-2),3)),0)+IFERROR(INDEX(Income!C$3:C$502,SMALL(IF((Income!D$3:D$502="GBP")*(Income!A$3:A$502=DATE(2025,12,31)),ROW(Income!A$3:A$502)-2),3)),0)=0,"",IFERROR(-INDEX(Expenses!D$3:D$1002,SMALL(IF((Expenses!E$3:E$1002="GBP")*(Expenses!A$3:A$1002=DATE(2025,12,31)),ROW(Expenses!A$3:A$1002)-2),3)),0)+IFERROR(INDEX(Income!C$3:C$502,SMALL(IF((Income!D$3:D$502="GBP")*(Income!A$3:A$502=DATE(2025,12,31)),ROW(Income!A$3:A$502)-2),3)),0))</f>
        <v/>
      </c>
      <c r="H6" s="38" t="str">
        <f aca="false">IF(IFERROR(INDEX(Expenses!B$3:B$1002,SMALL(IF((Expenses!E$3:E$1002="GBP")*(Expenses!A$3:A$1002=DATE(2025,12,31)),ROW(Expenses!A$3:A$1002)-2),3)),"")&lt;&gt;"",IFERROR(INDEX(Expenses!B$3:B$1002,SMALL(IF((Expenses!E$3:E$1002="GBP")*(Expenses!A$3:A$1002=DATE(2025,12,31)),ROW(Expenses!A$3:A$1002)-2),3)),""),IF(IFERROR(INDEX(Income!B$3:B$502,SMALL(IF((Income!D$3:D$502="GBP")*(Income!A$3:A$502=DATE(2025,12,31)),ROW(Income!A$3:A$502)-2),3)),"")&lt;&gt;"",IFERROR(INDEX(Income!B$3:B$502,SMALL(IF((Income!D$3:D$502="GBP")*(Income!A$3:A$502=DATE(2025,12,31)),ROW(Income!A$3:A$502)-2),3)),""),""))</f>
        <v/>
      </c>
      <c r="I6" s="62" t="str">
        <f aca="false">IF(IFERROR(-INDEX(Expenses!D$3:D$1002,SMALL(IF((Expenses!E$3:E$1002="GBP")*(Expenses!A$3:A$1002=DATE(2026,1,1)),ROW(Expenses!A$3:A$1002)-2),3)),0)+IFERROR(INDEX(Income!C$3:C$502,SMALL(IF((Income!D$3:D$502="GBP")*(Income!A$3:A$502=DATE(2026,1,1)),ROW(Income!A$3:A$502)-2),3)),0)=0,"",IFERROR(-INDEX(Expenses!D$3:D$1002,SMALL(IF((Expenses!E$3:E$1002="GBP")*(Expenses!A$3:A$1002=DATE(2026,1,1)),ROW(Expenses!A$3:A$1002)-2),3)),0)+IFERROR(INDEX(Income!C$3:C$502,SMALL(IF((Income!D$3:D$502="GBP")*(Income!A$3:A$502=DATE(2026,1,1)),ROW(Income!A$3:A$502)-2),3)),0))</f>
        <v/>
      </c>
      <c r="J6" s="38" t="str">
        <f aca="false">IF(IFERROR(INDEX(Expenses!B$3:B$1002,SMALL(IF((Expenses!E$3:E$1002="GBP")*(Expenses!A$3:A$1002=DATE(2026,1,1)),ROW(Expenses!A$3:A$1002)-2),3)),"")&lt;&gt;"",IFERROR(INDEX(Expenses!B$3:B$1002,SMALL(IF((Expenses!E$3:E$1002="GBP")*(Expenses!A$3:A$1002=DATE(2026,1,1)),ROW(Expenses!A$3:A$1002)-2),3)),""),IF(IFERROR(INDEX(Income!B$3:B$502,SMALL(IF((Income!D$3:D$502="GBP")*(Income!A$3:A$502=DATE(2026,1,1)),ROW(Income!A$3:A$502)-2),3)),"")&lt;&gt;"",IFERROR(INDEX(Income!B$3:B$502,SMALL(IF((Income!D$3:D$502="GBP")*(Income!A$3:A$502=DATE(2026,1,1)),ROW(Income!A$3:A$502)-2),3)),""),""))</f>
        <v/>
      </c>
      <c r="K6" s="62" t="str">
        <f aca="false">IF(IFERROR(-INDEX(Expenses!D$3:D$1002,SMALL(IF((Expenses!E$3:E$1002="GBP")*(Expenses!A$3:A$1002=DATE(2026,1,2)),ROW(Expenses!A$3:A$1002)-2),3)),0)+IFERROR(INDEX(Income!C$3:C$502,SMALL(IF((Income!D$3:D$502="GBP")*(Income!A$3:A$502=DATE(2026,1,2)),ROW(Income!A$3:A$502)-2),3)),0)=0,"",IFERROR(-INDEX(Expenses!D$3:D$1002,SMALL(IF((Expenses!E$3:E$1002="GBP")*(Expenses!A$3:A$1002=DATE(2026,1,2)),ROW(Expenses!A$3:A$1002)-2),3)),0)+IFERROR(INDEX(Income!C$3:C$502,SMALL(IF((Income!D$3:D$502="GBP")*(Income!A$3:A$502=DATE(2026,1,2)),ROW(Income!A$3:A$502)-2),3)),0))</f>
        <v/>
      </c>
      <c r="L6" s="38" t="str">
        <f aca="false">IF(IFERROR(INDEX(Expenses!B$3:B$1002,SMALL(IF((Expenses!E$3:E$1002="GBP")*(Expenses!A$3:A$1002=DATE(2026,1,2)),ROW(Expenses!A$3:A$1002)-2),3)),"")&lt;&gt;"",IFERROR(INDEX(Expenses!B$3:B$1002,SMALL(IF((Expenses!E$3:E$1002="GBP")*(Expenses!A$3:A$1002=DATE(2026,1,2)),ROW(Expenses!A$3:A$1002)-2),3)),""),IF(IFERROR(INDEX(Income!B$3:B$502,SMALL(IF((Income!D$3:D$502="GBP")*(Income!A$3:A$502=DATE(2026,1,2)),ROW(Income!A$3:A$502)-2),3)),"")&lt;&gt;"",IFERROR(INDEX(Income!B$3:B$502,SMALL(IF((Income!D$3:D$502="GBP")*(Income!A$3:A$502=DATE(2026,1,2)),ROW(Income!A$3:A$502)-2),3)),""),""))</f>
        <v/>
      </c>
      <c r="M6" s="62" t="str">
        <f aca="false">IF(IFERROR(-INDEX(Expenses!D$3:D$1002,SMALL(IF((Expenses!E$3:E$1002="GBP")*(Expenses!A$3:A$1002=DATE(2026,1,3)),ROW(Expenses!A$3:A$1002)-2),3)),0)+IFERROR(INDEX(Income!C$3:C$502,SMALL(IF((Income!D$3:D$502="GBP")*(Income!A$3:A$502=DATE(2026,1,3)),ROW(Income!A$3:A$502)-2),3)),0)=0,"",IFERROR(-INDEX(Expenses!D$3:D$1002,SMALL(IF((Expenses!E$3:E$1002="GBP")*(Expenses!A$3:A$1002=DATE(2026,1,3)),ROW(Expenses!A$3:A$1002)-2),3)),0)+IFERROR(INDEX(Income!C$3:C$502,SMALL(IF((Income!D$3:D$502="GBP")*(Income!A$3:A$502=DATE(2026,1,3)),ROW(Income!A$3:A$502)-2),3)),0))</f>
        <v/>
      </c>
      <c r="N6" s="38" t="str">
        <f aca="false">IF(IFERROR(INDEX(Expenses!B$3:B$1002,SMALL(IF((Expenses!E$3:E$1002="GBP")*(Expenses!A$3:A$1002=DATE(2026,1,3)),ROW(Expenses!A$3:A$1002)-2),3)),"")&lt;&gt;"",IFERROR(INDEX(Expenses!B$3:B$1002,SMALL(IF((Expenses!E$3:E$1002="GBP")*(Expenses!A$3:A$1002=DATE(2026,1,3)),ROW(Expenses!A$3:A$1002)-2),3)),""),IF(IFERROR(INDEX(Income!B$3:B$502,SMALL(IF((Income!D$3:D$502="GBP")*(Income!A$3:A$502=DATE(2026,1,3)),ROW(Income!A$3:A$502)-2),3)),"")&lt;&gt;"",IFERROR(INDEX(Income!B$3:B$502,SMALL(IF((Income!D$3:D$502="GBP")*(Income!A$3:A$502=DATE(2026,1,3)),ROW(Income!A$3:A$502)-2),3)),""),""))</f>
        <v/>
      </c>
      <c r="O6" s="62" t="str">
        <f aca="false">IF(IFERROR(-INDEX(Expenses!D$3:D$1002,SMALL(IF((Expenses!E$3:E$1002="GBP")*(Expenses!A$3:A$1002=DATE(2026,1,4)),ROW(Expenses!A$3:A$1002)-2),3)),0)+IFERROR(INDEX(Income!C$3:C$502,SMALL(IF((Income!D$3:D$502="GBP")*(Income!A$3:A$502=DATE(2026,1,4)),ROW(Income!A$3:A$502)-2),3)),0)=0,"",IFERROR(-INDEX(Expenses!D$3:D$1002,SMALL(IF((Expenses!E$3:E$1002="GBP")*(Expenses!A$3:A$1002=DATE(2026,1,4)),ROW(Expenses!A$3:A$1002)-2),3)),0)+IFERROR(INDEX(Income!C$3:C$502,SMALL(IF((Income!D$3:D$502="GBP")*(Income!A$3:A$502=DATE(2026,1,4)),ROW(Income!A$3:A$502)-2),3)),0))</f>
        <v/>
      </c>
      <c r="P6" s="38" t="str">
        <f aca="false">IF(IFERROR(INDEX(Expenses!B$3:B$1002,SMALL(IF((Expenses!E$3:E$1002="GBP")*(Expenses!A$3:A$1002=DATE(2026,1,4)),ROW(Expenses!A$3:A$1002)-2),3)),"")&lt;&gt;"",IFERROR(INDEX(Expenses!B$3:B$1002,SMALL(IF((Expenses!E$3:E$1002="GBP")*(Expenses!A$3:A$1002=DATE(2026,1,4)),ROW(Expenses!A$3:A$1002)-2),3)),""),IF(IFERROR(INDEX(Income!B$3:B$502,SMALL(IF((Income!D$3:D$502="GBP")*(Income!A$3:A$502=DATE(2026,1,4)),ROW(Income!A$3:A$502)-2),3)),"")&lt;&gt;"",IFERROR(INDEX(Income!B$3:B$502,SMALL(IF((Income!D$3:D$502="GBP")*(Income!A$3:A$502=DATE(2026,1,4)),ROW(Income!A$3:A$502)-2),3)),""),""))</f>
        <v/>
      </c>
      <c r="Q6" s="16"/>
      <c r="R6" s="16"/>
    </row>
    <row r="7" customFormat="false" ht="15" hidden="false" customHeight="false" outlineLevel="0" collapsed="false">
      <c r="A7" s="16"/>
      <c r="B7" s="16"/>
      <c r="C7" s="62" t="str">
        <f aca="false">IF(IFERROR(-INDEX(Expenses!D$3:D$1002,SMALL(IF((Expenses!E$3:E$1002="GBP")*(Expenses!A$3:A$1002=DATE(2025,12,29)),ROW(Expenses!A$3:A$1002)-2),4)),0)+IFERROR(INDEX(Income!C$3:C$502,SMALL(IF((Income!D$3:D$502="GBP")*(Income!A$3:A$502=DATE(2025,12,29)),ROW(Income!A$3:A$502)-2),4)),0)=0,"",IFERROR(-INDEX(Expenses!D$3:D$1002,SMALL(IF((Expenses!E$3:E$1002="GBP")*(Expenses!A$3:A$1002=DATE(2025,12,29)),ROW(Expenses!A$3:A$1002)-2),4)),0)+IFERROR(INDEX(Income!C$3:C$502,SMALL(IF((Income!D$3:D$502="GBP")*(Income!A$3:A$502=DATE(2025,12,29)),ROW(Income!A$3:A$502)-2),4)),0))</f>
        <v/>
      </c>
      <c r="D7" s="38" t="str">
        <f aca="false">IF(IFERROR(INDEX(Expenses!B$3:B$1002,SMALL(IF((Expenses!E$3:E$1002="GBP")*(Expenses!A$3:A$1002=DATE(2025,12,29)),ROW(Expenses!A$3:A$1002)-2),4)),"")&lt;&gt;"",IFERROR(INDEX(Expenses!B$3:B$1002,SMALL(IF((Expenses!E$3:E$1002="GBP")*(Expenses!A$3:A$1002=DATE(2025,12,29)),ROW(Expenses!A$3:A$1002)-2),4)),""),IF(IFERROR(INDEX(Income!B$3:B$502,SMALL(IF((Income!D$3:D$502="GBP")*(Income!A$3:A$502=DATE(2025,12,29)),ROW(Income!A$3:A$502)-2),4)),"")&lt;&gt;"",IFERROR(INDEX(Income!B$3:B$502,SMALL(IF((Income!D$3:D$502="GBP")*(Income!A$3:A$502=DATE(2025,12,29)),ROW(Income!A$3:A$502)-2),4)),""),""))</f>
        <v/>
      </c>
      <c r="E7" s="62" t="str">
        <f aca="false">IF(IFERROR(-INDEX(Expenses!D$3:D$1002,SMALL(IF((Expenses!E$3:E$1002="GBP")*(Expenses!A$3:A$1002=DATE(2025,12,30)),ROW(Expenses!A$3:A$1002)-2),4)),0)+IFERROR(INDEX(Income!C$3:C$502,SMALL(IF((Income!D$3:D$502="GBP")*(Income!A$3:A$502=DATE(2025,12,30)),ROW(Income!A$3:A$502)-2),4)),0)=0,"",IFERROR(-INDEX(Expenses!D$3:D$1002,SMALL(IF((Expenses!E$3:E$1002="GBP")*(Expenses!A$3:A$1002=DATE(2025,12,30)),ROW(Expenses!A$3:A$1002)-2),4)),0)+IFERROR(INDEX(Income!C$3:C$502,SMALL(IF((Income!D$3:D$502="GBP")*(Income!A$3:A$502=DATE(2025,12,30)),ROW(Income!A$3:A$502)-2),4)),0))</f>
        <v/>
      </c>
      <c r="F7" s="38" t="str">
        <f aca="false">IF(IFERROR(INDEX(Expenses!B$3:B$1002,SMALL(IF((Expenses!E$3:E$1002="GBP")*(Expenses!A$3:A$1002=DATE(2025,12,30)),ROW(Expenses!A$3:A$1002)-2),4)),"")&lt;&gt;"",IFERROR(INDEX(Expenses!B$3:B$1002,SMALL(IF((Expenses!E$3:E$1002="GBP")*(Expenses!A$3:A$1002=DATE(2025,12,30)),ROW(Expenses!A$3:A$1002)-2),4)),""),IF(IFERROR(INDEX(Income!B$3:B$502,SMALL(IF((Income!D$3:D$502="GBP")*(Income!A$3:A$502=DATE(2025,12,30)),ROW(Income!A$3:A$502)-2),4)),"")&lt;&gt;"",IFERROR(INDEX(Income!B$3:B$502,SMALL(IF((Income!D$3:D$502="GBP")*(Income!A$3:A$502=DATE(2025,12,30)),ROW(Income!A$3:A$502)-2),4)),""),""))</f>
        <v/>
      </c>
      <c r="G7" s="62" t="str">
        <f aca="false">IF(IFERROR(-INDEX(Expenses!D$3:D$1002,SMALL(IF((Expenses!E$3:E$1002="GBP")*(Expenses!A$3:A$1002=DATE(2025,12,31)),ROW(Expenses!A$3:A$1002)-2),4)),0)+IFERROR(INDEX(Income!C$3:C$502,SMALL(IF((Income!D$3:D$502="GBP")*(Income!A$3:A$502=DATE(2025,12,31)),ROW(Income!A$3:A$502)-2),4)),0)=0,"",IFERROR(-INDEX(Expenses!D$3:D$1002,SMALL(IF((Expenses!E$3:E$1002="GBP")*(Expenses!A$3:A$1002=DATE(2025,12,31)),ROW(Expenses!A$3:A$1002)-2),4)),0)+IFERROR(INDEX(Income!C$3:C$502,SMALL(IF((Income!D$3:D$502="GBP")*(Income!A$3:A$502=DATE(2025,12,31)),ROW(Income!A$3:A$502)-2),4)),0))</f>
        <v/>
      </c>
      <c r="H7" s="38" t="str">
        <f aca="false">IF(IFERROR(INDEX(Expenses!B$3:B$1002,SMALL(IF((Expenses!E$3:E$1002="GBP")*(Expenses!A$3:A$1002=DATE(2025,12,31)),ROW(Expenses!A$3:A$1002)-2),4)),"")&lt;&gt;"",IFERROR(INDEX(Expenses!B$3:B$1002,SMALL(IF((Expenses!E$3:E$1002="GBP")*(Expenses!A$3:A$1002=DATE(2025,12,31)),ROW(Expenses!A$3:A$1002)-2),4)),""),IF(IFERROR(INDEX(Income!B$3:B$502,SMALL(IF((Income!D$3:D$502="GBP")*(Income!A$3:A$502=DATE(2025,12,31)),ROW(Income!A$3:A$502)-2),4)),"")&lt;&gt;"",IFERROR(INDEX(Income!B$3:B$502,SMALL(IF((Income!D$3:D$502="GBP")*(Income!A$3:A$502=DATE(2025,12,31)),ROW(Income!A$3:A$502)-2),4)),""),""))</f>
        <v/>
      </c>
      <c r="I7" s="62" t="str">
        <f aca="false">IF(IFERROR(-INDEX(Expenses!D$3:D$1002,SMALL(IF((Expenses!E$3:E$1002="GBP")*(Expenses!A$3:A$1002=DATE(2026,1,1)),ROW(Expenses!A$3:A$1002)-2),4)),0)+IFERROR(INDEX(Income!C$3:C$502,SMALL(IF((Income!D$3:D$502="GBP")*(Income!A$3:A$502=DATE(2026,1,1)),ROW(Income!A$3:A$502)-2),4)),0)=0,"",IFERROR(-INDEX(Expenses!D$3:D$1002,SMALL(IF((Expenses!E$3:E$1002="GBP")*(Expenses!A$3:A$1002=DATE(2026,1,1)),ROW(Expenses!A$3:A$1002)-2),4)),0)+IFERROR(INDEX(Income!C$3:C$502,SMALL(IF((Income!D$3:D$502="GBP")*(Income!A$3:A$502=DATE(2026,1,1)),ROW(Income!A$3:A$502)-2),4)),0))</f>
        <v/>
      </c>
      <c r="J7" s="38" t="str">
        <f aca="false">IF(IFERROR(INDEX(Expenses!B$3:B$1002,SMALL(IF((Expenses!E$3:E$1002="GBP")*(Expenses!A$3:A$1002=DATE(2026,1,1)),ROW(Expenses!A$3:A$1002)-2),4)),"")&lt;&gt;"",IFERROR(INDEX(Expenses!B$3:B$1002,SMALL(IF((Expenses!E$3:E$1002="GBP")*(Expenses!A$3:A$1002=DATE(2026,1,1)),ROW(Expenses!A$3:A$1002)-2),4)),""),IF(IFERROR(INDEX(Income!B$3:B$502,SMALL(IF((Income!D$3:D$502="GBP")*(Income!A$3:A$502=DATE(2026,1,1)),ROW(Income!A$3:A$502)-2),4)),"")&lt;&gt;"",IFERROR(INDEX(Income!B$3:B$502,SMALL(IF((Income!D$3:D$502="GBP")*(Income!A$3:A$502=DATE(2026,1,1)),ROW(Income!A$3:A$502)-2),4)),""),""))</f>
        <v/>
      </c>
      <c r="K7" s="62" t="str">
        <f aca="false">IF(IFERROR(-INDEX(Expenses!D$3:D$1002,SMALL(IF((Expenses!E$3:E$1002="GBP")*(Expenses!A$3:A$1002=DATE(2026,1,2)),ROW(Expenses!A$3:A$1002)-2),4)),0)+IFERROR(INDEX(Income!C$3:C$502,SMALL(IF((Income!D$3:D$502="GBP")*(Income!A$3:A$502=DATE(2026,1,2)),ROW(Income!A$3:A$502)-2),4)),0)=0,"",IFERROR(-INDEX(Expenses!D$3:D$1002,SMALL(IF((Expenses!E$3:E$1002="GBP")*(Expenses!A$3:A$1002=DATE(2026,1,2)),ROW(Expenses!A$3:A$1002)-2),4)),0)+IFERROR(INDEX(Income!C$3:C$502,SMALL(IF((Income!D$3:D$502="GBP")*(Income!A$3:A$502=DATE(2026,1,2)),ROW(Income!A$3:A$502)-2),4)),0))</f>
        <v/>
      </c>
      <c r="L7" s="38" t="str">
        <f aca="false">IF(IFERROR(INDEX(Expenses!B$3:B$1002,SMALL(IF((Expenses!E$3:E$1002="GBP")*(Expenses!A$3:A$1002=DATE(2026,1,2)),ROW(Expenses!A$3:A$1002)-2),4)),"")&lt;&gt;"",IFERROR(INDEX(Expenses!B$3:B$1002,SMALL(IF((Expenses!E$3:E$1002="GBP")*(Expenses!A$3:A$1002=DATE(2026,1,2)),ROW(Expenses!A$3:A$1002)-2),4)),""),IF(IFERROR(INDEX(Income!B$3:B$502,SMALL(IF((Income!D$3:D$502="GBP")*(Income!A$3:A$502=DATE(2026,1,2)),ROW(Income!A$3:A$502)-2),4)),"")&lt;&gt;"",IFERROR(INDEX(Income!B$3:B$502,SMALL(IF((Income!D$3:D$502="GBP")*(Income!A$3:A$502=DATE(2026,1,2)),ROW(Income!A$3:A$502)-2),4)),""),""))</f>
        <v/>
      </c>
      <c r="M7" s="62" t="str">
        <f aca="false">IF(IFERROR(-INDEX(Expenses!D$3:D$1002,SMALL(IF((Expenses!E$3:E$1002="GBP")*(Expenses!A$3:A$1002=DATE(2026,1,3)),ROW(Expenses!A$3:A$1002)-2),4)),0)+IFERROR(INDEX(Income!C$3:C$502,SMALL(IF((Income!D$3:D$502="GBP")*(Income!A$3:A$502=DATE(2026,1,3)),ROW(Income!A$3:A$502)-2),4)),0)=0,"",IFERROR(-INDEX(Expenses!D$3:D$1002,SMALL(IF((Expenses!E$3:E$1002="GBP")*(Expenses!A$3:A$1002=DATE(2026,1,3)),ROW(Expenses!A$3:A$1002)-2),4)),0)+IFERROR(INDEX(Income!C$3:C$502,SMALL(IF((Income!D$3:D$502="GBP")*(Income!A$3:A$502=DATE(2026,1,3)),ROW(Income!A$3:A$502)-2),4)),0))</f>
        <v/>
      </c>
      <c r="N7" s="38" t="str">
        <f aca="false">IF(IFERROR(INDEX(Expenses!B$3:B$1002,SMALL(IF((Expenses!E$3:E$1002="GBP")*(Expenses!A$3:A$1002=DATE(2026,1,3)),ROW(Expenses!A$3:A$1002)-2),4)),"")&lt;&gt;"",IFERROR(INDEX(Expenses!B$3:B$1002,SMALL(IF((Expenses!E$3:E$1002="GBP")*(Expenses!A$3:A$1002=DATE(2026,1,3)),ROW(Expenses!A$3:A$1002)-2),4)),""),IF(IFERROR(INDEX(Income!B$3:B$502,SMALL(IF((Income!D$3:D$502="GBP")*(Income!A$3:A$502=DATE(2026,1,3)),ROW(Income!A$3:A$502)-2),4)),"")&lt;&gt;"",IFERROR(INDEX(Income!B$3:B$502,SMALL(IF((Income!D$3:D$502="GBP")*(Income!A$3:A$502=DATE(2026,1,3)),ROW(Income!A$3:A$502)-2),4)),""),""))</f>
        <v/>
      </c>
      <c r="O7" s="62" t="str">
        <f aca="false">IF(IFERROR(-INDEX(Expenses!D$3:D$1002,SMALL(IF((Expenses!E$3:E$1002="GBP")*(Expenses!A$3:A$1002=DATE(2026,1,4)),ROW(Expenses!A$3:A$1002)-2),4)),0)+IFERROR(INDEX(Income!C$3:C$502,SMALL(IF((Income!D$3:D$502="GBP")*(Income!A$3:A$502=DATE(2026,1,4)),ROW(Income!A$3:A$502)-2),4)),0)=0,"",IFERROR(-INDEX(Expenses!D$3:D$1002,SMALL(IF((Expenses!E$3:E$1002="GBP")*(Expenses!A$3:A$1002=DATE(2026,1,4)),ROW(Expenses!A$3:A$1002)-2),4)),0)+IFERROR(INDEX(Income!C$3:C$502,SMALL(IF((Income!D$3:D$502="GBP")*(Income!A$3:A$502=DATE(2026,1,4)),ROW(Income!A$3:A$502)-2),4)),0))</f>
        <v/>
      </c>
      <c r="P7" s="38" t="str">
        <f aca="false">IF(IFERROR(INDEX(Expenses!B$3:B$1002,SMALL(IF((Expenses!E$3:E$1002="GBP")*(Expenses!A$3:A$1002=DATE(2026,1,4)),ROW(Expenses!A$3:A$1002)-2),4)),"")&lt;&gt;"",IFERROR(INDEX(Expenses!B$3:B$1002,SMALL(IF((Expenses!E$3:E$1002="GBP")*(Expenses!A$3:A$1002=DATE(2026,1,4)),ROW(Expenses!A$3:A$1002)-2),4)),""),IF(IFERROR(INDEX(Income!B$3:B$502,SMALL(IF((Income!D$3:D$502="GBP")*(Income!A$3:A$502=DATE(2026,1,4)),ROW(Income!A$3:A$502)-2),4)),"")&lt;&gt;"",IFERROR(INDEX(Income!B$3:B$502,SMALL(IF((Income!D$3:D$502="GBP")*(Income!A$3:A$502=DATE(2026,1,4)),ROW(Income!A$3:A$502)-2),4)),""),""))</f>
        <v/>
      </c>
      <c r="Q7" s="16"/>
      <c r="R7" s="16"/>
    </row>
    <row r="8" customFormat="false" ht="15" hidden="false" customHeight="false" outlineLevel="0" collapsed="false">
      <c r="A8" s="16"/>
      <c r="B8" s="16"/>
      <c r="C8" s="62" t="str">
        <f aca="false">IF(IFERROR(-INDEX(Expenses!D$3:D$1002,SMALL(IF((Expenses!E$3:E$1002="GBP")*(Expenses!A$3:A$1002=DATE(2025,12,29)),ROW(Expenses!A$3:A$1002)-2),5)),0)+IFERROR(INDEX(Income!C$3:C$502,SMALL(IF((Income!D$3:D$502="GBP")*(Income!A$3:A$502=DATE(2025,12,29)),ROW(Income!A$3:A$502)-2),5)),0)=0,"",IFERROR(-INDEX(Expenses!D$3:D$1002,SMALL(IF((Expenses!E$3:E$1002="GBP")*(Expenses!A$3:A$1002=DATE(2025,12,29)),ROW(Expenses!A$3:A$1002)-2),5)),0)+IFERROR(INDEX(Income!C$3:C$502,SMALL(IF((Income!D$3:D$502="GBP")*(Income!A$3:A$502=DATE(2025,12,29)),ROW(Income!A$3:A$502)-2),5)),0))</f>
        <v/>
      </c>
      <c r="D8" s="38" t="str">
        <f aca="false">IF(IFERROR(INDEX(Expenses!B$3:B$1002,SMALL(IF((Expenses!E$3:E$1002="GBP")*(Expenses!A$3:A$1002=DATE(2025,12,29)),ROW(Expenses!A$3:A$1002)-2),5)),"")&lt;&gt;"",IFERROR(INDEX(Expenses!B$3:B$1002,SMALL(IF((Expenses!E$3:E$1002="GBP")*(Expenses!A$3:A$1002=DATE(2025,12,29)),ROW(Expenses!A$3:A$1002)-2),5)),""),IF(IFERROR(INDEX(Income!B$3:B$502,SMALL(IF((Income!D$3:D$502="GBP")*(Income!A$3:A$502=DATE(2025,12,29)),ROW(Income!A$3:A$502)-2),5)),"")&lt;&gt;"",IFERROR(INDEX(Income!B$3:B$502,SMALL(IF((Income!D$3:D$502="GBP")*(Income!A$3:A$502=DATE(2025,12,29)),ROW(Income!A$3:A$502)-2),5)),""),""))</f>
        <v/>
      </c>
      <c r="E8" s="62" t="str">
        <f aca="false">IF(IFERROR(-INDEX(Expenses!D$3:D$1002,SMALL(IF((Expenses!E$3:E$1002="GBP")*(Expenses!A$3:A$1002=DATE(2025,12,30)),ROW(Expenses!A$3:A$1002)-2),5)),0)+IFERROR(INDEX(Income!C$3:C$502,SMALL(IF((Income!D$3:D$502="GBP")*(Income!A$3:A$502=DATE(2025,12,30)),ROW(Income!A$3:A$502)-2),5)),0)=0,"",IFERROR(-INDEX(Expenses!D$3:D$1002,SMALL(IF((Expenses!E$3:E$1002="GBP")*(Expenses!A$3:A$1002=DATE(2025,12,30)),ROW(Expenses!A$3:A$1002)-2),5)),0)+IFERROR(INDEX(Income!C$3:C$502,SMALL(IF((Income!D$3:D$502="GBP")*(Income!A$3:A$502=DATE(2025,12,30)),ROW(Income!A$3:A$502)-2),5)),0))</f>
        <v/>
      </c>
      <c r="F8" s="38" t="str">
        <f aca="false">IF(IFERROR(INDEX(Expenses!B$3:B$1002,SMALL(IF((Expenses!E$3:E$1002="GBP")*(Expenses!A$3:A$1002=DATE(2025,12,30)),ROW(Expenses!A$3:A$1002)-2),5)),"")&lt;&gt;"",IFERROR(INDEX(Expenses!B$3:B$1002,SMALL(IF((Expenses!E$3:E$1002="GBP")*(Expenses!A$3:A$1002=DATE(2025,12,30)),ROW(Expenses!A$3:A$1002)-2),5)),""),IF(IFERROR(INDEX(Income!B$3:B$502,SMALL(IF((Income!D$3:D$502="GBP")*(Income!A$3:A$502=DATE(2025,12,30)),ROW(Income!A$3:A$502)-2),5)),"")&lt;&gt;"",IFERROR(INDEX(Income!B$3:B$502,SMALL(IF((Income!D$3:D$502="GBP")*(Income!A$3:A$502=DATE(2025,12,30)),ROW(Income!A$3:A$502)-2),5)),""),""))</f>
        <v/>
      </c>
      <c r="G8" s="62" t="str">
        <f aca="false">IF(IFERROR(-INDEX(Expenses!D$3:D$1002,SMALL(IF((Expenses!E$3:E$1002="GBP")*(Expenses!A$3:A$1002=DATE(2025,12,31)),ROW(Expenses!A$3:A$1002)-2),5)),0)+IFERROR(INDEX(Income!C$3:C$502,SMALL(IF((Income!D$3:D$502="GBP")*(Income!A$3:A$502=DATE(2025,12,31)),ROW(Income!A$3:A$502)-2),5)),0)=0,"",IFERROR(-INDEX(Expenses!D$3:D$1002,SMALL(IF((Expenses!E$3:E$1002="GBP")*(Expenses!A$3:A$1002=DATE(2025,12,31)),ROW(Expenses!A$3:A$1002)-2),5)),0)+IFERROR(INDEX(Income!C$3:C$502,SMALL(IF((Income!D$3:D$502="GBP")*(Income!A$3:A$502=DATE(2025,12,31)),ROW(Income!A$3:A$502)-2),5)),0))</f>
        <v/>
      </c>
      <c r="H8" s="38" t="str">
        <f aca="false">IF(IFERROR(INDEX(Expenses!B$3:B$1002,SMALL(IF((Expenses!E$3:E$1002="GBP")*(Expenses!A$3:A$1002=DATE(2025,12,31)),ROW(Expenses!A$3:A$1002)-2),5)),"")&lt;&gt;"",IFERROR(INDEX(Expenses!B$3:B$1002,SMALL(IF((Expenses!E$3:E$1002="GBP")*(Expenses!A$3:A$1002=DATE(2025,12,31)),ROW(Expenses!A$3:A$1002)-2),5)),""),IF(IFERROR(INDEX(Income!B$3:B$502,SMALL(IF((Income!D$3:D$502="GBP")*(Income!A$3:A$502=DATE(2025,12,31)),ROW(Income!A$3:A$502)-2),5)),"")&lt;&gt;"",IFERROR(INDEX(Income!B$3:B$502,SMALL(IF((Income!D$3:D$502="GBP")*(Income!A$3:A$502=DATE(2025,12,31)),ROW(Income!A$3:A$502)-2),5)),""),""))</f>
        <v/>
      </c>
      <c r="I8" s="62" t="str">
        <f aca="false">IF(IFERROR(-INDEX(Expenses!D$3:D$1002,SMALL(IF((Expenses!E$3:E$1002="GBP")*(Expenses!A$3:A$1002=DATE(2026,1,1)),ROW(Expenses!A$3:A$1002)-2),5)),0)+IFERROR(INDEX(Income!C$3:C$502,SMALL(IF((Income!D$3:D$502="GBP")*(Income!A$3:A$502=DATE(2026,1,1)),ROW(Income!A$3:A$502)-2),5)),0)=0,"",IFERROR(-INDEX(Expenses!D$3:D$1002,SMALL(IF((Expenses!E$3:E$1002="GBP")*(Expenses!A$3:A$1002=DATE(2026,1,1)),ROW(Expenses!A$3:A$1002)-2),5)),0)+IFERROR(INDEX(Income!C$3:C$502,SMALL(IF((Income!D$3:D$502="GBP")*(Income!A$3:A$502=DATE(2026,1,1)),ROW(Income!A$3:A$502)-2),5)),0))</f>
        <v/>
      </c>
      <c r="J8" s="38" t="str">
        <f aca="false">IF(IFERROR(INDEX(Expenses!B$3:B$1002,SMALL(IF((Expenses!E$3:E$1002="GBP")*(Expenses!A$3:A$1002=DATE(2026,1,1)),ROW(Expenses!A$3:A$1002)-2),5)),"")&lt;&gt;"",IFERROR(INDEX(Expenses!B$3:B$1002,SMALL(IF((Expenses!E$3:E$1002="GBP")*(Expenses!A$3:A$1002=DATE(2026,1,1)),ROW(Expenses!A$3:A$1002)-2),5)),""),IF(IFERROR(INDEX(Income!B$3:B$502,SMALL(IF((Income!D$3:D$502="GBP")*(Income!A$3:A$502=DATE(2026,1,1)),ROW(Income!A$3:A$502)-2),5)),"")&lt;&gt;"",IFERROR(INDEX(Income!B$3:B$502,SMALL(IF((Income!D$3:D$502="GBP")*(Income!A$3:A$502=DATE(2026,1,1)),ROW(Income!A$3:A$502)-2),5)),""),""))</f>
        <v/>
      </c>
      <c r="K8" s="62" t="str">
        <f aca="false">IF(IFERROR(-INDEX(Expenses!D$3:D$1002,SMALL(IF((Expenses!E$3:E$1002="GBP")*(Expenses!A$3:A$1002=DATE(2026,1,2)),ROW(Expenses!A$3:A$1002)-2),5)),0)+IFERROR(INDEX(Income!C$3:C$502,SMALL(IF((Income!D$3:D$502="GBP")*(Income!A$3:A$502=DATE(2026,1,2)),ROW(Income!A$3:A$502)-2),5)),0)=0,"",IFERROR(-INDEX(Expenses!D$3:D$1002,SMALL(IF((Expenses!E$3:E$1002="GBP")*(Expenses!A$3:A$1002=DATE(2026,1,2)),ROW(Expenses!A$3:A$1002)-2),5)),0)+IFERROR(INDEX(Income!C$3:C$502,SMALL(IF((Income!D$3:D$502="GBP")*(Income!A$3:A$502=DATE(2026,1,2)),ROW(Income!A$3:A$502)-2),5)),0))</f>
        <v/>
      </c>
      <c r="L8" s="38" t="str">
        <f aca="false">IF(IFERROR(INDEX(Expenses!B$3:B$1002,SMALL(IF((Expenses!E$3:E$1002="GBP")*(Expenses!A$3:A$1002=DATE(2026,1,2)),ROW(Expenses!A$3:A$1002)-2),5)),"")&lt;&gt;"",IFERROR(INDEX(Expenses!B$3:B$1002,SMALL(IF((Expenses!E$3:E$1002="GBP")*(Expenses!A$3:A$1002=DATE(2026,1,2)),ROW(Expenses!A$3:A$1002)-2),5)),""),IF(IFERROR(INDEX(Income!B$3:B$502,SMALL(IF((Income!D$3:D$502="GBP")*(Income!A$3:A$502=DATE(2026,1,2)),ROW(Income!A$3:A$502)-2),5)),"")&lt;&gt;"",IFERROR(INDEX(Income!B$3:B$502,SMALL(IF((Income!D$3:D$502="GBP")*(Income!A$3:A$502=DATE(2026,1,2)),ROW(Income!A$3:A$502)-2),5)),""),""))</f>
        <v/>
      </c>
      <c r="M8" s="62" t="str">
        <f aca="false">IF(IFERROR(-INDEX(Expenses!D$3:D$1002,SMALL(IF((Expenses!E$3:E$1002="GBP")*(Expenses!A$3:A$1002=DATE(2026,1,3)),ROW(Expenses!A$3:A$1002)-2),5)),0)+IFERROR(INDEX(Income!C$3:C$502,SMALL(IF((Income!D$3:D$502="GBP")*(Income!A$3:A$502=DATE(2026,1,3)),ROW(Income!A$3:A$502)-2),5)),0)=0,"",IFERROR(-INDEX(Expenses!D$3:D$1002,SMALL(IF((Expenses!E$3:E$1002="GBP")*(Expenses!A$3:A$1002=DATE(2026,1,3)),ROW(Expenses!A$3:A$1002)-2),5)),0)+IFERROR(INDEX(Income!C$3:C$502,SMALL(IF((Income!D$3:D$502="GBP")*(Income!A$3:A$502=DATE(2026,1,3)),ROW(Income!A$3:A$502)-2),5)),0))</f>
        <v/>
      </c>
      <c r="N8" s="38" t="str">
        <f aca="false">IF(IFERROR(INDEX(Expenses!B$3:B$1002,SMALL(IF((Expenses!E$3:E$1002="GBP")*(Expenses!A$3:A$1002=DATE(2026,1,3)),ROW(Expenses!A$3:A$1002)-2),5)),"")&lt;&gt;"",IFERROR(INDEX(Expenses!B$3:B$1002,SMALL(IF((Expenses!E$3:E$1002="GBP")*(Expenses!A$3:A$1002=DATE(2026,1,3)),ROW(Expenses!A$3:A$1002)-2),5)),""),IF(IFERROR(INDEX(Income!B$3:B$502,SMALL(IF((Income!D$3:D$502="GBP")*(Income!A$3:A$502=DATE(2026,1,3)),ROW(Income!A$3:A$502)-2),5)),"")&lt;&gt;"",IFERROR(INDEX(Income!B$3:B$502,SMALL(IF((Income!D$3:D$502="GBP")*(Income!A$3:A$502=DATE(2026,1,3)),ROW(Income!A$3:A$502)-2),5)),""),""))</f>
        <v/>
      </c>
      <c r="O8" s="62" t="str">
        <f aca="false">IF(IFERROR(-INDEX(Expenses!D$3:D$1002,SMALL(IF((Expenses!E$3:E$1002="GBP")*(Expenses!A$3:A$1002=DATE(2026,1,4)),ROW(Expenses!A$3:A$1002)-2),5)),0)+IFERROR(INDEX(Income!C$3:C$502,SMALL(IF((Income!D$3:D$502="GBP")*(Income!A$3:A$502=DATE(2026,1,4)),ROW(Income!A$3:A$502)-2),5)),0)=0,"",IFERROR(-INDEX(Expenses!D$3:D$1002,SMALL(IF((Expenses!E$3:E$1002="GBP")*(Expenses!A$3:A$1002=DATE(2026,1,4)),ROW(Expenses!A$3:A$1002)-2),5)),0)+IFERROR(INDEX(Income!C$3:C$502,SMALL(IF((Income!D$3:D$502="GBP")*(Income!A$3:A$502=DATE(2026,1,4)),ROW(Income!A$3:A$502)-2),5)),0))</f>
        <v/>
      </c>
      <c r="P8" s="38" t="str">
        <f aca="false">IF(IFERROR(INDEX(Expenses!B$3:B$1002,SMALL(IF((Expenses!E$3:E$1002="GBP")*(Expenses!A$3:A$1002=DATE(2026,1,4)),ROW(Expenses!A$3:A$1002)-2),5)),"")&lt;&gt;"",IFERROR(INDEX(Expenses!B$3:B$1002,SMALL(IF((Expenses!E$3:E$1002="GBP")*(Expenses!A$3:A$1002=DATE(2026,1,4)),ROW(Expenses!A$3:A$1002)-2),5)),""),IF(IFERROR(INDEX(Income!B$3:B$502,SMALL(IF((Income!D$3:D$502="GBP")*(Income!A$3:A$502=DATE(2026,1,4)),ROW(Income!A$3:A$502)-2),5)),"")&lt;&gt;"",IFERROR(INDEX(Income!B$3:B$502,SMALL(IF((Income!D$3:D$502="GBP")*(Income!A$3:A$502=DATE(2026,1,4)),ROW(Income!A$3:A$502)-2),5)),""),""))</f>
        <v/>
      </c>
      <c r="Q8" s="16"/>
      <c r="R8" s="16"/>
    </row>
    <row r="9" customFormat="false" ht="15" hidden="false" customHeight="false" outlineLevel="0" collapsed="false">
      <c r="A9" s="61" t="n">
        <v>46027</v>
      </c>
      <c r="B9" s="3" t="n">
        <v>2</v>
      </c>
      <c r="C9" s="62" t="str">
        <f aca="false">IF(IFERROR(-INDEX(Expenses!D$3:D$1002,SMALL(IF((Expenses!E$3:E$1002="GBP")*(Expenses!A$3:A$1002=DATE(2026,1,5)),ROW(Expenses!A$3:A$1002)-2),1)),0)+IFERROR(INDEX(Income!C$3:C$502,SMALL(IF((Income!D$3:D$502="GBP")*(Income!A$3:A$502=DATE(2026,1,5)),ROW(Income!A$3:A$502)-2),1)),0)=0,"",IFERROR(-INDEX(Expenses!D$3:D$1002,SMALL(IF((Expenses!E$3:E$1002="GBP")*(Expenses!A$3:A$1002=DATE(2026,1,5)),ROW(Expenses!A$3:A$1002)-2),1)),0)+IFERROR(INDEX(Income!C$3:C$502,SMALL(IF((Income!D$3:D$502="GBP")*(Income!A$3:A$502=DATE(2026,1,5)),ROW(Income!A$3:A$502)-2),1)),0))</f>
        <v/>
      </c>
      <c r="D9" s="38" t="str">
        <f aca="false">IF(IFERROR(INDEX(Expenses!B$3:B$1002,SMALL(IF((Expenses!E$3:E$1002="GBP")*(Expenses!A$3:A$1002=DATE(2026,1,5)),ROW(Expenses!A$3:A$1002)-2),1)),"")&lt;&gt;"",IFERROR(INDEX(Expenses!B$3:B$1002,SMALL(IF((Expenses!E$3:E$1002="GBP")*(Expenses!A$3:A$1002=DATE(2026,1,5)),ROW(Expenses!A$3:A$1002)-2),1)),""),IF(IFERROR(INDEX(Income!B$3:B$502,SMALL(IF((Income!D$3:D$502="GBP")*(Income!A$3:A$502=DATE(2026,1,5)),ROW(Income!A$3:A$502)-2),1)),"")&lt;&gt;"",IFERROR(INDEX(Income!B$3:B$502,SMALL(IF((Income!D$3:D$502="GBP")*(Income!A$3:A$502=DATE(2026,1,5)),ROW(Income!A$3:A$502)-2),1)),""),""))</f>
        <v/>
      </c>
      <c r="E9" s="62" t="str">
        <f aca="false">IF(IFERROR(-INDEX(Expenses!D$3:D$1002,SMALL(IF((Expenses!E$3:E$1002="GBP")*(Expenses!A$3:A$1002=DATE(2026,1,6)),ROW(Expenses!A$3:A$1002)-2),1)),0)+IFERROR(INDEX(Income!C$3:C$502,SMALL(IF((Income!D$3:D$502="GBP")*(Income!A$3:A$502=DATE(2026,1,6)),ROW(Income!A$3:A$502)-2),1)),0)=0,"",IFERROR(-INDEX(Expenses!D$3:D$1002,SMALL(IF((Expenses!E$3:E$1002="GBP")*(Expenses!A$3:A$1002=DATE(2026,1,6)),ROW(Expenses!A$3:A$1002)-2),1)),0)+IFERROR(INDEX(Income!C$3:C$502,SMALL(IF((Income!D$3:D$502="GBP")*(Income!A$3:A$502=DATE(2026,1,6)),ROW(Income!A$3:A$502)-2),1)),0))</f>
        <v/>
      </c>
      <c r="F9" s="38" t="str">
        <f aca="false">IF(IFERROR(INDEX(Expenses!B$3:B$1002,SMALL(IF((Expenses!E$3:E$1002="GBP")*(Expenses!A$3:A$1002=DATE(2026,1,6)),ROW(Expenses!A$3:A$1002)-2),1)),"")&lt;&gt;"",IFERROR(INDEX(Expenses!B$3:B$1002,SMALL(IF((Expenses!E$3:E$1002="GBP")*(Expenses!A$3:A$1002=DATE(2026,1,6)),ROW(Expenses!A$3:A$1002)-2),1)),""),IF(IFERROR(INDEX(Income!B$3:B$502,SMALL(IF((Income!D$3:D$502="GBP")*(Income!A$3:A$502=DATE(2026,1,6)),ROW(Income!A$3:A$502)-2),1)),"")&lt;&gt;"",IFERROR(INDEX(Income!B$3:B$502,SMALL(IF((Income!D$3:D$502="GBP")*(Income!A$3:A$502=DATE(2026,1,6)),ROW(Income!A$3:A$502)-2),1)),""),""))</f>
        <v/>
      </c>
      <c r="G9" s="62" t="str">
        <f aca="false">IF(IFERROR(-INDEX(Expenses!D$3:D$1002,SMALL(IF((Expenses!E$3:E$1002="GBP")*(Expenses!A$3:A$1002=DATE(2026,1,7)),ROW(Expenses!A$3:A$1002)-2),1)),0)+IFERROR(INDEX(Income!C$3:C$502,SMALL(IF((Income!D$3:D$502="GBP")*(Income!A$3:A$502=DATE(2026,1,7)),ROW(Income!A$3:A$502)-2),1)),0)=0,"",IFERROR(-INDEX(Expenses!D$3:D$1002,SMALL(IF((Expenses!E$3:E$1002="GBP")*(Expenses!A$3:A$1002=DATE(2026,1,7)),ROW(Expenses!A$3:A$1002)-2),1)),0)+IFERROR(INDEX(Income!C$3:C$502,SMALL(IF((Income!D$3:D$502="GBP")*(Income!A$3:A$502=DATE(2026,1,7)),ROW(Income!A$3:A$502)-2),1)),0))</f>
        <v/>
      </c>
      <c r="H9" s="38" t="str">
        <f aca="false">IF(IFERROR(INDEX(Expenses!B$3:B$1002,SMALL(IF((Expenses!E$3:E$1002="GBP")*(Expenses!A$3:A$1002=DATE(2026,1,7)),ROW(Expenses!A$3:A$1002)-2),1)),"")&lt;&gt;"",IFERROR(INDEX(Expenses!B$3:B$1002,SMALL(IF((Expenses!E$3:E$1002="GBP")*(Expenses!A$3:A$1002=DATE(2026,1,7)),ROW(Expenses!A$3:A$1002)-2),1)),""),IF(IFERROR(INDEX(Income!B$3:B$502,SMALL(IF((Income!D$3:D$502="GBP")*(Income!A$3:A$502=DATE(2026,1,7)),ROW(Income!A$3:A$502)-2),1)),"")&lt;&gt;"",IFERROR(INDEX(Income!B$3:B$502,SMALL(IF((Income!D$3:D$502="GBP")*(Income!A$3:A$502=DATE(2026,1,7)),ROW(Income!A$3:A$502)-2),1)),""),""))</f>
        <v/>
      </c>
      <c r="I9" s="62" t="str">
        <f aca="false">IF(IFERROR(-INDEX(Expenses!D$3:D$1002,SMALL(IF((Expenses!E$3:E$1002="GBP")*(Expenses!A$3:A$1002=DATE(2026,1,8)),ROW(Expenses!A$3:A$1002)-2),1)),0)+IFERROR(INDEX(Income!C$3:C$502,SMALL(IF((Income!D$3:D$502="GBP")*(Income!A$3:A$502=DATE(2026,1,8)),ROW(Income!A$3:A$502)-2),1)),0)=0,"",IFERROR(-INDEX(Expenses!D$3:D$1002,SMALL(IF((Expenses!E$3:E$1002="GBP")*(Expenses!A$3:A$1002=DATE(2026,1,8)),ROW(Expenses!A$3:A$1002)-2),1)),0)+IFERROR(INDEX(Income!C$3:C$502,SMALL(IF((Income!D$3:D$502="GBP")*(Income!A$3:A$502=DATE(2026,1,8)),ROW(Income!A$3:A$502)-2),1)),0))</f>
        <v/>
      </c>
      <c r="J9" s="38" t="str">
        <f aca="false">IF(IFERROR(INDEX(Expenses!B$3:B$1002,SMALL(IF((Expenses!E$3:E$1002="GBP")*(Expenses!A$3:A$1002=DATE(2026,1,8)),ROW(Expenses!A$3:A$1002)-2),1)),"")&lt;&gt;"",IFERROR(INDEX(Expenses!B$3:B$1002,SMALL(IF((Expenses!E$3:E$1002="GBP")*(Expenses!A$3:A$1002=DATE(2026,1,8)),ROW(Expenses!A$3:A$1002)-2),1)),""),IF(IFERROR(INDEX(Income!B$3:B$502,SMALL(IF((Income!D$3:D$502="GBP")*(Income!A$3:A$502=DATE(2026,1,8)),ROW(Income!A$3:A$502)-2),1)),"")&lt;&gt;"",IFERROR(INDEX(Income!B$3:B$502,SMALL(IF((Income!D$3:D$502="GBP")*(Income!A$3:A$502=DATE(2026,1,8)),ROW(Income!A$3:A$502)-2),1)),""),""))</f>
        <v/>
      </c>
      <c r="K9" s="62" t="str">
        <f aca="false">IF(IFERROR(-INDEX(Expenses!D$3:D$1002,SMALL(IF((Expenses!E$3:E$1002="GBP")*(Expenses!A$3:A$1002=DATE(2026,1,9)),ROW(Expenses!A$3:A$1002)-2),1)),0)+IFERROR(INDEX(Income!C$3:C$502,SMALL(IF((Income!D$3:D$502="GBP")*(Income!A$3:A$502=DATE(2026,1,9)),ROW(Income!A$3:A$502)-2),1)),0)=0,"",IFERROR(-INDEX(Expenses!D$3:D$1002,SMALL(IF((Expenses!E$3:E$1002="GBP")*(Expenses!A$3:A$1002=DATE(2026,1,9)),ROW(Expenses!A$3:A$1002)-2),1)),0)+IFERROR(INDEX(Income!C$3:C$502,SMALL(IF((Income!D$3:D$502="GBP")*(Income!A$3:A$502=DATE(2026,1,9)),ROW(Income!A$3:A$502)-2),1)),0))</f>
        <v/>
      </c>
      <c r="L9" s="38" t="str">
        <f aca="false">IF(IFERROR(INDEX(Expenses!B$3:B$1002,SMALL(IF((Expenses!E$3:E$1002="GBP")*(Expenses!A$3:A$1002=DATE(2026,1,9)),ROW(Expenses!A$3:A$1002)-2),1)),"")&lt;&gt;"",IFERROR(INDEX(Expenses!B$3:B$1002,SMALL(IF((Expenses!E$3:E$1002="GBP")*(Expenses!A$3:A$1002=DATE(2026,1,9)),ROW(Expenses!A$3:A$1002)-2),1)),""),IF(IFERROR(INDEX(Income!B$3:B$502,SMALL(IF((Income!D$3:D$502="GBP")*(Income!A$3:A$502=DATE(2026,1,9)),ROW(Income!A$3:A$502)-2),1)),"")&lt;&gt;"",IFERROR(INDEX(Income!B$3:B$502,SMALL(IF((Income!D$3:D$502="GBP")*(Income!A$3:A$502=DATE(2026,1,9)),ROW(Income!A$3:A$502)-2),1)),""),""))</f>
        <v/>
      </c>
      <c r="M9" s="62" t="str">
        <f aca="false">IF(IFERROR(-INDEX(Expenses!D$3:D$1002,SMALL(IF((Expenses!E$3:E$1002="GBP")*(Expenses!A$3:A$1002=DATE(2026,1,10)),ROW(Expenses!A$3:A$1002)-2),1)),0)+IFERROR(INDEX(Income!C$3:C$502,SMALL(IF((Income!D$3:D$502="GBP")*(Income!A$3:A$502=DATE(2026,1,10)),ROW(Income!A$3:A$502)-2),1)),0)=0,"",IFERROR(-INDEX(Expenses!D$3:D$1002,SMALL(IF((Expenses!E$3:E$1002="GBP")*(Expenses!A$3:A$1002=DATE(2026,1,10)),ROW(Expenses!A$3:A$1002)-2),1)),0)+IFERROR(INDEX(Income!C$3:C$502,SMALL(IF((Income!D$3:D$502="GBP")*(Income!A$3:A$502=DATE(2026,1,10)),ROW(Income!A$3:A$502)-2),1)),0))</f>
        <v/>
      </c>
      <c r="N9" s="38" t="str">
        <f aca="false">IF(IFERROR(INDEX(Expenses!B$3:B$1002,SMALL(IF((Expenses!E$3:E$1002="GBP")*(Expenses!A$3:A$1002=DATE(2026,1,10)),ROW(Expenses!A$3:A$1002)-2),1)),"")&lt;&gt;"",IFERROR(INDEX(Expenses!B$3:B$1002,SMALL(IF((Expenses!E$3:E$1002="GBP")*(Expenses!A$3:A$1002=DATE(2026,1,10)),ROW(Expenses!A$3:A$1002)-2),1)),""),IF(IFERROR(INDEX(Income!B$3:B$502,SMALL(IF((Income!D$3:D$502="GBP")*(Income!A$3:A$502=DATE(2026,1,10)),ROW(Income!A$3:A$502)-2),1)),"")&lt;&gt;"",IFERROR(INDEX(Income!B$3:B$502,SMALL(IF((Income!D$3:D$502="GBP")*(Income!A$3:A$502=DATE(2026,1,10)),ROW(Income!A$3:A$502)-2),1)),""),""))</f>
        <v/>
      </c>
      <c r="O9" s="62" t="str">
        <f aca="false">IF(IFERROR(-INDEX(Expenses!D$3:D$1002,SMALL(IF((Expenses!E$3:E$1002="GBP")*(Expenses!A$3:A$1002=DATE(2026,1,11)),ROW(Expenses!A$3:A$1002)-2),1)),0)+IFERROR(INDEX(Income!C$3:C$502,SMALL(IF((Income!D$3:D$502="GBP")*(Income!A$3:A$502=DATE(2026,1,11)),ROW(Income!A$3:A$502)-2),1)),0)=0,"",IFERROR(-INDEX(Expenses!D$3:D$1002,SMALL(IF((Expenses!E$3:E$1002="GBP")*(Expenses!A$3:A$1002=DATE(2026,1,11)),ROW(Expenses!A$3:A$1002)-2),1)),0)+IFERROR(INDEX(Income!C$3:C$502,SMALL(IF((Income!D$3:D$502="GBP")*(Income!A$3:A$502=DATE(2026,1,11)),ROW(Income!A$3:A$502)-2),1)),0))</f>
        <v/>
      </c>
      <c r="P9" s="38" t="str">
        <f aca="false">IF(IFERROR(INDEX(Expenses!B$3:B$1002,SMALL(IF((Expenses!E$3:E$1002="GBP")*(Expenses!A$3:A$1002=DATE(2026,1,11)),ROW(Expenses!A$3:A$1002)-2),1)),"")&lt;&gt;"",IFERROR(INDEX(Expenses!B$3:B$1002,SMALL(IF((Expenses!E$3:E$1002="GBP")*(Expenses!A$3:A$1002=DATE(2026,1,11)),ROW(Expenses!A$3:A$1002)-2),1)),""),IF(IFERROR(INDEX(Income!B$3:B$502,SMALL(IF((Income!D$3:D$502="GBP")*(Income!A$3:A$502=DATE(2026,1,11)),ROW(Income!A$3:A$502)-2),1)),"")&lt;&gt;"",IFERROR(INDEX(Income!B$3:B$502,SMALL(IF((Income!D$3:D$502="GBP")*(Income!A$3:A$502=DATE(2026,1,11)),ROW(Income!A$3:A$502)-2),1)),""),""))</f>
        <v/>
      </c>
      <c r="Q9" s="3" t="n">
        <v>2</v>
      </c>
      <c r="R9" s="45" t="n">
        <f aca="false">SUM(C9:C13)+SUM(E9:E13)+SUM(G9:G13)+SUM(I9:I13)+SUM(K9:K13)+SUM(M9:M13)+SUM(O9:O13)</f>
        <v>0</v>
      </c>
    </row>
    <row r="10" customFormat="false" ht="15" hidden="false" customHeight="false" outlineLevel="0" collapsed="false">
      <c r="A10" s="16"/>
      <c r="B10" s="16"/>
      <c r="C10" s="62" t="str">
        <f aca="false">IF(IFERROR(-INDEX(Expenses!D$3:D$1002,SMALL(IF((Expenses!E$3:E$1002="GBP")*(Expenses!A$3:A$1002=DATE(2026,1,5)),ROW(Expenses!A$3:A$1002)-2),2)),0)+IFERROR(INDEX(Income!C$3:C$502,SMALL(IF((Income!D$3:D$502="GBP")*(Income!A$3:A$502=DATE(2026,1,5)),ROW(Income!A$3:A$502)-2),2)),0)=0,"",IFERROR(-INDEX(Expenses!D$3:D$1002,SMALL(IF((Expenses!E$3:E$1002="GBP")*(Expenses!A$3:A$1002=DATE(2026,1,5)),ROW(Expenses!A$3:A$1002)-2),2)),0)+IFERROR(INDEX(Income!C$3:C$502,SMALL(IF((Income!D$3:D$502="GBP")*(Income!A$3:A$502=DATE(2026,1,5)),ROW(Income!A$3:A$502)-2),2)),0))</f>
        <v/>
      </c>
      <c r="D10" s="38" t="str">
        <f aca="false">IF(IFERROR(INDEX(Expenses!B$3:B$1002,SMALL(IF((Expenses!E$3:E$1002="GBP")*(Expenses!A$3:A$1002=DATE(2026,1,5)),ROW(Expenses!A$3:A$1002)-2),2)),"")&lt;&gt;"",IFERROR(INDEX(Expenses!B$3:B$1002,SMALL(IF((Expenses!E$3:E$1002="GBP")*(Expenses!A$3:A$1002=DATE(2026,1,5)),ROW(Expenses!A$3:A$1002)-2),2)),""),IF(IFERROR(INDEX(Income!B$3:B$502,SMALL(IF((Income!D$3:D$502="GBP")*(Income!A$3:A$502=DATE(2026,1,5)),ROW(Income!A$3:A$502)-2),2)),"")&lt;&gt;"",IFERROR(INDEX(Income!B$3:B$502,SMALL(IF((Income!D$3:D$502="GBP")*(Income!A$3:A$502=DATE(2026,1,5)),ROW(Income!A$3:A$502)-2),2)),""),""))</f>
        <v/>
      </c>
      <c r="E10" s="62" t="str">
        <f aca="false">IF(IFERROR(-INDEX(Expenses!D$3:D$1002,SMALL(IF((Expenses!E$3:E$1002="GBP")*(Expenses!A$3:A$1002=DATE(2026,1,6)),ROW(Expenses!A$3:A$1002)-2),2)),0)+IFERROR(INDEX(Income!C$3:C$502,SMALL(IF((Income!D$3:D$502="GBP")*(Income!A$3:A$502=DATE(2026,1,6)),ROW(Income!A$3:A$502)-2),2)),0)=0,"",IFERROR(-INDEX(Expenses!D$3:D$1002,SMALL(IF((Expenses!E$3:E$1002="GBP")*(Expenses!A$3:A$1002=DATE(2026,1,6)),ROW(Expenses!A$3:A$1002)-2),2)),0)+IFERROR(INDEX(Income!C$3:C$502,SMALL(IF((Income!D$3:D$502="GBP")*(Income!A$3:A$502=DATE(2026,1,6)),ROW(Income!A$3:A$502)-2),2)),0))</f>
        <v/>
      </c>
      <c r="F10" s="38" t="str">
        <f aca="false">IF(IFERROR(INDEX(Expenses!B$3:B$1002,SMALL(IF((Expenses!E$3:E$1002="GBP")*(Expenses!A$3:A$1002=DATE(2026,1,6)),ROW(Expenses!A$3:A$1002)-2),2)),"")&lt;&gt;"",IFERROR(INDEX(Expenses!B$3:B$1002,SMALL(IF((Expenses!E$3:E$1002="GBP")*(Expenses!A$3:A$1002=DATE(2026,1,6)),ROW(Expenses!A$3:A$1002)-2),2)),""),IF(IFERROR(INDEX(Income!B$3:B$502,SMALL(IF((Income!D$3:D$502="GBP")*(Income!A$3:A$502=DATE(2026,1,6)),ROW(Income!A$3:A$502)-2),2)),"")&lt;&gt;"",IFERROR(INDEX(Income!B$3:B$502,SMALL(IF((Income!D$3:D$502="GBP")*(Income!A$3:A$502=DATE(2026,1,6)),ROW(Income!A$3:A$502)-2),2)),""),""))</f>
        <v/>
      </c>
      <c r="G10" s="62" t="str">
        <f aca="false">IF(IFERROR(-INDEX(Expenses!D$3:D$1002,SMALL(IF((Expenses!E$3:E$1002="GBP")*(Expenses!A$3:A$1002=DATE(2026,1,7)),ROW(Expenses!A$3:A$1002)-2),2)),0)+IFERROR(INDEX(Income!C$3:C$502,SMALL(IF((Income!D$3:D$502="GBP")*(Income!A$3:A$502=DATE(2026,1,7)),ROW(Income!A$3:A$502)-2),2)),0)=0,"",IFERROR(-INDEX(Expenses!D$3:D$1002,SMALL(IF((Expenses!E$3:E$1002="GBP")*(Expenses!A$3:A$1002=DATE(2026,1,7)),ROW(Expenses!A$3:A$1002)-2),2)),0)+IFERROR(INDEX(Income!C$3:C$502,SMALL(IF((Income!D$3:D$502="GBP")*(Income!A$3:A$502=DATE(2026,1,7)),ROW(Income!A$3:A$502)-2),2)),0))</f>
        <v/>
      </c>
      <c r="H10" s="38" t="str">
        <f aca="false">IF(IFERROR(INDEX(Expenses!B$3:B$1002,SMALL(IF((Expenses!E$3:E$1002="GBP")*(Expenses!A$3:A$1002=DATE(2026,1,7)),ROW(Expenses!A$3:A$1002)-2),2)),"")&lt;&gt;"",IFERROR(INDEX(Expenses!B$3:B$1002,SMALL(IF((Expenses!E$3:E$1002="GBP")*(Expenses!A$3:A$1002=DATE(2026,1,7)),ROW(Expenses!A$3:A$1002)-2),2)),""),IF(IFERROR(INDEX(Income!B$3:B$502,SMALL(IF((Income!D$3:D$502="GBP")*(Income!A$3:A$502=DATE(2026,1,7)),ROW(Income!A$3:A$502)-2),2)),"")&lt;&gt;"",IFERROR(INDEX(Income!B$3:B$502,SMALL(IF((Income!D$3:D$502="GBP")*(Income!A$3:A$502=DATE(2026,1,7)),ROW(Income!A$3:A$502)-2),2)),""),""))</f>
        <v/>
      </c>
      <c r="I10" s="62" t="str">
        <f aca="false">IF(IFERROR(-INDEX(Expenses!D$3:D$1002,SMALL(IF((Expenses!E$3:E$1002="GBP")*(Expenses!A$3:A$1002=DATE(2026,1,8)),ROW(Expenses!A$3:A$1002)-2),2)),0)+IFERROR(INDEX(Income!C$3:C$502,SMALL(IF((Income!D$3:D$502="GBP")*(Income!A$3:A$502=DATE(2026,1,8)),ROW(Income!A$3:A$502)-2),2)),0)=0,"",IFERROR(-INDEX(Expenses!D$3:D$1002,SMALL(IF((Expenses!E$3:E$1002="GBP")*(Expenses!A$3:A$1002=DATE(2026,1,8)),ROW(Expenses!A$3:A$1002)-2),2)),0)+IFERROR(INDEX(Income!C$3:C$502,SMALL(IF((Income!D$3:D$502="GBP")*(Income!A$3:A$502=DATE(2026,1,8)),ROW(Income!A$3:A$502)-2),2)),0))</f>
        <v/>
      </c>
      <c r="J10" s="38" t="str">
        <f aca="false">IF(IFERROR(INDEX(Expenses!B$3:B$1002,SMALL(IF((Expenses!E$3:E$1002="GBP")*(Expenses!A$3:A$1002=DATE(2026,1,8)),ROW(Expenses!A$3:A$1002)-2),2)),"")&lt;&gt;"",IFERROR(INDEX(Expenses!B$3:B$1002,SMALL(IF((Expenses!E$3:E$1002="GBP")*(Expenses!A$3:A$1002=DATE(2026,1,8)),ROW(Expenses!A$3:A$1002)-2),2)),""),IF(IFERROR(INDEX(Income!B$3:B$502,SMALL(IF((Income!D$3:D$502="GBP")*(Income!A$3:A$502=DATE(2026,1,8)),ROW(Income!A$3:A$502)-2),2)),"")&lt;&gt;"",IFERROR(INDEX(Income!B$3:B$502,SMALL(IF((Income!D$3:D$502="GBP")*(Income!A$3:A$502=DATE(2026,1,8)),ROW(Income!A$3:A$502)-2),2)),""),""))</f>
        <v/>
      </c>
      <c r="K10" s="62" t="str">
        <f aca="false">IF(IFERROR(-INDEX(Expenses!D$3:D$1002,SMALL(IF((Expenses!E$3:E$1002="GBP")*(Expenses!A$3:A$1002=DATE(2026,1,9)),ROW(Expenses!A$3:A$1002)-2),2)),0)+IFERROR(INDEX(Income!C$3:C$502,SMALL(IF((Income!D$3:D$502="GBP")*(Income!A$3:A$502=DATE(2026,1,9)),ROW(Income!A$3:A$502)-2),2)),0)=0,"",IFERROR(-INDEX(Expenses!D$3:D$1002,SMALL(IF((Expenses!E$3:E$1002="GBP")*(Expenses!A$3:A$1002=DATE(2026,1,9)),ROW(Expenses!A$3:A$1002)-2),2)),0)+IFERROR(INDEX(Income!C$3:C$502,SMALL(IF((Income!D$3:D$502="GBP")*(Income!A$3:A$502=DATE(2026,1,9)),ROW(Income!A$3:A$502)-2),2)),0))</f>
        <v/>
      </c>
      <c r="L10" s="38" t="str">
        <f aca="false">IF(IFERROR(INDEX(Expenses!B$3:B$1002,SMALL(IF((Expenses!E$3:E$1002="GBP")*(Expenses!A$3:A$1002=DATE(2026,1,9)),ROW(Expenses!A$3:A$1002)-2),2)),"")&lt;&gt;"",IFERROR(INDEX(Expenses!B$3:B$1002,SMALL(IF((Expenses!E$3:E$1002="GBP")*(Expenses!A$3:A$1002=DATE(2026,1,9)),ROW(Expenses!A$3:A$1002)-2),2)),""),IF(IFERROR(INDEX(Income!B$3:B$502,SMALL(IF((Income!D$3:D$502="GBP")*(Income!A$3:A$502=DATE(2026,1,9)),ROW(Income!A$3:A$502)-2),2)),"")&lt;&gt;"",IFERROR(INDEX(Income!B$3:B$502,SMALL(IF((Income!D$3:D$502="GBP")*(Income!A$3:A$502=DATE(2026,1,9)),ROW(Income!A$3:A$502)-2),2)),""),""))</f>
        <v/>
      </c>
      <c r="M10" s="62" t="str">
        <f aca="false">IF(IFERROR(-INDEX(Expenses!D$3:D$1002,SMALL(IF((Expenses!E$3:E$1002="GBP")*(Expenses!A$3:A$1002=DATE(2026,1,10)),ROW(Expenses!A$3:A$1002)-2),2)),0)+IFERROR(INDEX(Income!C$3:C$502,SMALL(IF((Income!D$3:D$502="GBP")*(Income!A$3:A$502=DATE(2026,1,10)),ROW(Income!A$3:A$502)-2),2)),0)=0,"",IFERROR(-INDEX(Expenses!D$3:D$1002,SMALL(IF((Expenses!E$3:E$1002="GBP")*(Expenses!A$3:A$1002=DATE(2026,1,10)),ROW(Expenses!A$3:A$1002)-2),2)),0)+IFERROR(INDEX(Income!C$3:C$502,SMALL(IF((Income!D$3:D$502="GBP")*(Income!A$3:A$502=DATE(2026,1,10)),ROW(Income!A$3:A$502)-2),2)),0))</f>
        <v/>
      </c>
      <c r="N10" s="38" t="str">
        <f aca="false">IF(IFERROR(INDEX(Expenses!B$3:B$1002,SMALL(IF((Expenses!E$3:E$1002="GBP")*(Expenses!A$3:A$1002=DATE(2026,1,10)),ROW(Expenses!A$3:A$1002)-2),2)),"")&lt;&gt;"",IFERROR(INDEX(Expenses!B$3:B$1002,SMALL(IF((Expenses!E$3:E$1002="GBP")*(Expenses!A$3:A$1002=DATE(2026,1,10)),ROW(Expenses!A$3:A$1002)-2),2)),""),IF(IFERROR(INDEX(Income!B$3:B$502,SMALL(IF((Income!D$3:D$502="GBP")*(Income!A$3:A$502=DATE(2026,1,10)),ROW(Income!A$3:A$502)-2),2)),"")&lt;&gt;"",IFERROR(INDEX(Income!B$3:B$502,SMALL(IF((Income!D$3:D$502="GBP")*(Income!A$3:A$502=DATE(2026,1,10)),ROW(Income!A$3:A$502)-2),2)),""),""))</f>
        <v/>
      </c>
      <c r="O10" s="62" t="str">
        <f aca="false">IF(IFERROR(-INDEX(Expenses!D$3:D$1002,SMALL(IF((Expenses!E$3:E$1002="GBP")*(Expenses!A$3:A$1002=DATE(2026,1,11)),ROW(Expenses!A$3:A$1002)-2),2)),0)+IFERROR(INDEX(Income!C$3:C$502,SMALL(IF((Income!D$3:D$502="GBP")*(Income!A$3:A$502=DATE(2026,1,11)),ROW(Income!A$3:A$502)-2),2)),0)=0,"",IFERROR(-INDEX(Expenses!D$3:D$1002,SMALL(IF((Expenses!E$3:E$1002="GBP")*(Expenses!A$3:A$1002=DATE(2026,1,11)),ROW(Expenses!A$3:A$1002)-2),2)),0)+IFERROR(INDEX(Income!C$3:C$502,SMALL(IF((Income!D$3:D$502="GBP")*(Income!A$3:A$502=DATE(2026,1,11)),ROW(Income!A$3:A$502)-2),2)),0))</f>
        <v/>
      </c>
      <c r="P10" s="38" t="str">
        <f aca="false">IF(IFERROR(INDEX(Expenses!B$3:B$1002,SMALL(IF((Expenses!E$3:E$1002="GBP")*(Expenses!A$3:A$1002=DATE(2026,1,11)),ROW(Expenses!A$3:A$1002)-2),2)),"")&lt;&gt;"",IFERROR(INDEX(Expenses!B$3:B$1002,SMALL(IF((Expenses!E$3:E$1002="GBP")*(Expenses!A$3:A$1002=DATE(2026,1,11)),ROW(Expenses!A$3:A$1002)-2),2)),""),IF(IFERROR(INDEX(Income!B$3:B$502,SMALL(IF((Income!D$3:D$502="GBP")*(Income!A$3:A$502=DATE(2026,1,11)),ROW(Income!A$3:A$502)-2),2)),"")&lt;&gt;"",IFERROR(INDEX(Income!B$3:B$502,SMALL(IF((Income!D$3:D$502="GBP")*(Income!A$3:A$502=DATE(2026,1,11)),ROW(Income!A$3:A$502)-2),2)),""),""))</f>
        <v/>
      </c>
      <c r="Q10" s="16"/>
      <c r="R10" s="16"/>
    </row>
    <row r="11" customFormat="false" ht="15" hidden="false" customHeight="false" outlineLevel="0" collapsed="false">
      <c r="A11" s="16"/>
      <c r="B11" s="16"/>
      <c r="C11" s="62" t="str">
        <f aca="false">IF(IFERROR(-INDEX(Expenses!D$3:D$1002,SMALL(IF((Expenses!E$3:E$1002="GBP")*(Expenses!A$3:A$1002=DATE(2026,1,5)),ROW(Expenses!A$3:A$1002)-2),3)),0)+IFERROR(INDEX(Income!C$3:C$502,SMALL(IF((Income!D$3:D$502="GBP")*(Income!A$3:A$502=DATE(2026,1,5)),ROW(Income!A$3:A$502)-2),3)),0)=0,"",IFERROR(-INDEX(Expenses!D$3:D$1002,SMALL(IF((Expenses!E$3:E$1002="GBP")*(Expenses!A$3:A$1002=DATE(2026,1,5)),ROW(Expenses!A$3:A$1002)-2),3)),0)+IFERROR(INDEX(Income!C$3:C$502,SMALL(IF((Income!D$3:D$502="GBP")*(Income!A$3:A$502=DATE(2026,1,5)),ROW(Income!A$3:A$502)-2),3)),0))</f>
        <v/>
      </c>
      <c r="D11" s="38" t="str">
        <f aca="false">IF(IFERROR(INDEX(Expenses!B$3:B$1002,SMALL(IF((Expenses!E$3:E$1002="GBP")*(Expenses!A$3:A$1002=DATE(2026,1,5)),ROW(Expenses!A$3:A$1002)-2),3)),"")&lt;&gt;"",IFERROR(INDEX(Expenses!B$3:B$1002,SMALL(IF((Expenses!E$3:E$1002="GBP")*(Expenses!A$3:A$1002=DATE(2026,1,5)),ROW(Expenses!A$3:A$1002)-2),3)),""),IF(IFERROR(INDEX(Income!B$3:B$502,SMALL(IF((Income!D$3:D$502="GBP")*(Income!A$3:A$502=DATE(2026,1,5)),ROW(Income!A$3:A$502)-2),3)),"")&lt;&gt;"",IFERROR(INDEX(Income!B$3:B$502,SMALL(IF((Income!D$3:D$502="GBP")*(Income!A$3:A$502=DATE(2026,1,5)),ROW(Income!A$3:A$502)-2),3)),""),""))</f>
        <v/>
      </c>
      <c r="E11" s="62" t="str">
        <f aca="false">IF(IFERROR(-INDEX(Expenses!D$3:D$1002,SMALL(IF((Expenses!E$3:E$1002="GBP")*(Expenses!A$3:A$1002=DATE(2026,1,6)),ROW(Expenses!A$3:A$1002)-2),3)),0)+IFERROR(INDEX(Income!C$3:C$502,SMALL(IF((Income!D$3:D$502="GBP")*(Income!A$3:A$502=DATE(2026,1,6)),ROW(Income!A$3:A$502)-2),3)),0)=0,"",IFERROR(-INDEX(Expenses!D$3:D$1002,SMALL(IF((Expenses!E$3:E$1002="GBP")*(Expenses!A$3:A$1002=DATE(2026,1,6)),ROW(Expenses!A$3:A$1002)-2),3)),0)+IFERROR(INDEX(Income!C$3:C$502,SMALL(IF((Income!D$3:D$502="GBP")*(Income!A$3:A$502=DATE(2026,1,6)),ROW(Income!A$3:A$502)-2),3)),0))</f>
        <v/>
      </c>
      <c r="F11" s="38" t="str">
        <f aca="false">IF(IFERROR(INDEX(Expenses!B$3:B$1002,SMALL(IF((Expenses!E$3:E$1002="GBP")*(Expenses!A$3:A$1002=DATE(2026,1,6)),ROW(Expenses!A$3:A$1002)-2),3)),"")&lt;&gt;"",IFERROR(INDEX(Expenses!B$3:B$1002,SMALL(IF((Expenses!E$3:E$1002="GBP")*(Expenses!A$3:A$1002=DATE(2026,1,6)),ROW(Expenses!A$3:A$1002)-2),3)),""),IF(IFERROR(INDEX(Income!B$3:B$502,SMALL(IF((Income!D$3:D$502="GBP")*(Income!A$3:A$502=DATE(2026,1,6)),ROW(Income!A$3:A$502)-2),3)),"")&lt;&gt;"",IFERROR(INDEX(Income!B$3:B$502,SMALL(IF((Income!D$3:D$502="GBP")*(Income!A$3:A$502=DATE(2026,1,6)),ROW(Income!A$3:A$502)-2),3)),""),""))</f>
        <v/>
      </c>
      <c r="G11" s="62" t="str">
        <f aca="false">IF(IFERROR(-INDEX(Expenses!D$3:D$1002,SMALL(IF((Expenses!E$3:E$1002="GBP")*(Expenses!A$3:A$1002=DATE(2026,1,7)),ROW(Expenses!A$3:A$1002)-2),3)),0)+IFERROR(INDEX(Income!C$3:C$502,SMALL(IF((Income!D$3:D$502="GBP")*(Income!A$3:A$502=DATE(2026,1,7)),ROW(Income!A$3:A$502)-2),3)),0)=0,"",IFERROR(-INDEX(Expenses!D$3:D$1002,SMALL(IF((Expenses!E$3:E$1002="GBP")*(Expenses!A$3:A$1002=DATE(2026,1,7)),ROW(Expenses!A$3:A$1002)-2),3)),0)+IFERROR(INDEX(Income!C$3:C$502,SMALL(IF((Income!D$3:D$502="GBP")*(Income!A$3:A$502=DATE(2026,1,7)),ROW(Income!A$3:A$502)-2),3)),0))</f>
        <v/>
      </c>
      <c r="H11" s="38" t="str">
        <f aca="false">IF(IFERROR(INDEX(Expenses!B$3:B$1002,SMALL(IF((Expenses!E$3:E$1002="GBP")*(Expenses!A$3:A$1002=DATE(2026,1,7)),ROW(Expenses!A$3:A$1002)-2),3)),"")&lt;&gt;"",IFERROR(INDEX(Expenses!B$3:B$1002,SMALL(IF((Expenses!E$3:E$1002="GBP")*(Expenses!A$3:A$1002=DATE(2026,1,7)),ROW(Expenses!A$3:A$1002)-2),3)),""),IF(IFERROR(INDEX(Income!B$3:B$502,SMALL(IF((Income!D$3:D$502="GBP")*(Income!A$3:A$502=DATE(2026,1,7)),ROW(Income!A$3:A$502)-2),3)),"")&lt;&gt;"",IFERROR(INDEX(Income!B$3:B$502,SMALL(IF((Income!D$3:D$502="GBP")*(Income!A$3:A$502=DATE(2026,1,7)),ROW(Income!A$3:A$502)-2),3)),""),""))</f>
        <v/>
      </c>
      <c r="I11" s="62" t="str">
        <f aca="false">IF(IFERROR(-INDEX(Expenses!D$3:D$1002,SMALL(IF((Expenses!E$3:E$1002="GBP")*(Expenses!A$3:A$1002=DATE(2026,1,8)),ROW(Expenses!A$3:A$1002)-2),3)),0)+IFERROR(INDEX(Income!C$3:C$502,SMALL(IF((Income!D$3:D$502="GBP")*(Income!A$3:A$502=DATE(2026,1,8)),ROW(Income!A$3:A$502)-2),3)),0)=0,"",IFERROR(-INDEX(Expenses!D$3:D$1002,SMALL(IF((Expenses!E$3:E$1002="GBP")*(Expenses!A$3:A$1002=DATE(2026,1,8)),ROW(Expenses!A$3:A$1002)-2),3)),0)+IFERROR(INDEX(Income!C$3:C$502,SMALL(IF((Income!D$3:D$502="GBP")*(Income!A$3:A$502=DATE(2026,1,8)),ROW(Income!A$3:A$502)-2),3)),0))</f>
        <v/>
      </c>
      <c r="J11" s="38" t="str">
        <f aca="false">IF(IFERROR(INDEX(Expenses!B$3:B$1002,SMALL(IF((Expenses!E$3:E$1002="GBP")*(Expenses!A$3:A$1002=DATE(2026,1,8)),ROW(Expenses!A$3:A$1002)-2),3)),"")&lt;&gt;"",IFERROR(INDEX(Expenses!B$3:B$1002,SMALL(IF((Expenses!E$3:E$1002="GBP")*(Expenses!A$3:A$1002=DATE(2026,1,8)),ROW(Expenses!A$3:A$1002)-2),3)),""),IF(IFERROR(INDEX(Income!B$3:B$502,SMALL(IF((Income!D$3:D$502="GBP")*(Income!A$3:A$502=DATE(2026,1,8)),ROW(Income!A$3:A$502)-2),3)),"")&lt;&gt;"",IFERROR(INDEX(Income!B$3:B$502,SMALL(IF((Income!D$3:D$502="GBP")*(Income!A$3:A$502=DATE(2026,1,8)),ROW(Income!A$3:A$502)-2),3)),""),""))</f>
        <v/>
      </c>
      <c r="K11" s="62" t="str">
        <f aca="false">IF(IFERROR(-INDEX(Expenses!D$3:D$1002,SMALL(IF((Expenses!E$3:E$1002="GBP")*(Expenses!A$3:A$1002=DATE(2026,1,9)),ROW(Expenses!A$3:A$1002)-2),3)),0)+IFERROR(INDEX(Income!C$3:C$502,SMALL(IF((Income!D$3:D$502="GBP")*(Income!A$3:A$502=DATE(2026,1,9)),ROW(Income!A$3:A$502)-2),3)),0)=0,"",IFERROR(-INDEX(Expenses!D$3:D$1002,SMALL(IF((Expenses!E$3:E$1002="GBP")*(Expenses!A$3:A$1002=DATE(2026,1,9)),ROW(Expenses!A$3:A$1002)-2),3)),0)+IFERROR(INDEX(Income!C$3:C$502,SMALL(IF((Income!D$3:D$502="GBP")*(Income!A$3:A$502=DATE(2026,1,9)),ROW(Income!A$3:A$502)-2),3)),0))</f>
        <v/>
      </c>
      <c r="L11" s="38" t="str">
        <f aca="false">IF(IFERROR(INDEX(Expenses!B$3:B$1002,SMALL(IF((Expenses!E$3:E$1002="GBP")*(Expenses!A$3:A$1002=DATE(2026,1,9)),ROW(Expenses!A$3:A$1002)-2),3)),"")&lt;&gt;"",IFERROR(INDEX(Expenses!B$3:B$1002,SMALL(IF((Expenses!E$3:E$1002="GBP")*(Expenses!A$3:A$1002=DATE(2026,1,9)),ROW(Expenses!A$3:A$1002)-2),3)),""),IF(IFERROR(INDEX(Income!B$3:B$502,SMALL(IF((Income!D$3:D$502="GBP")*(Income!A$3:A$502=DATE(2026,1,9)),ROW(Income!A$3:A$502)-2),3)),"")&lt;&gt;"",IFERROR(INDEX(Income!B$3:B$502,SMALL(IF((Income!D$3:D$502="GBP")*(Income!A$3:A$502=DATE(2026,1,9)),ROW(Income!A$3:A$502)-2),3)),""),""))</f>
        <v/>
      </c>
      <c r="M11" s="62" t="str">
        <f aca="false">IF(IFERROR(-INDEX(Expenses!D$3:D$1002,SMALL(IF((Expenses!E$3:E$1002="GBP")*(Expenses!A$3:A$1002=DATE(2026,1,10)),ROW(Expenses!A$3:A$1002)-2),3)),0)+IFERROR(INDEX(Income!C$3:C$502,SMALL(IF((Income!D$3:D$502="GBP")*(Income!A$3:A$502=DATE(2026,1,10)),ROW(Income!A$3:A$502)-2),3)),0)=0,"",IFERROR(-INDEX(Expenses!D$3:D$1002,SMALL(IF((Expenses!E$3:E$1002="GBP")*(Expenses!A$3:A$1002=DATE(2026,1,10)),ROW(Expenses!A$3:A$1002)-2),3)),0)+IFERROR(INDEX(Income!C$3:C$502,SMALL(IF((Income!D$3:D$502="GBP")*(Income!A$3:A$502=DATE(2026,1,10)),ROW(Income!A$3:A$502)-2),3)),0))</f>
        <v/>
      </c>
      <c r="N11" s="38" t="str">
        <f aca="false">IF(IFERROR(INDEX(Expenses!B$3:B$1002,SMALL(IF((Expenses!E$3:E$1002="GBP")*(Expenses!A$3:A$1002=DATE(2026,1,10)),ROW(Expenses!A$3:A$1002)-2),3)),"")&lt;&gt;"",IFERROR(INDEX(Expenses!B$3:B$1002,SMALL(IF((Expenses!E$3:E$1002="GBP")*(Expenses!A$3:A$1002=DATE(2026,1,10)),ROW(Expenses!A$3:A$1002)-2),3)),""),IF(IFERROR(INDEX(Income!B$3:B$502,SMALL(IF((Income!D$3:D$502="GBP")*(Income!A$3:A$502=DATE(2026,1,10)),ROW(Income!A$3:A$502)-2),3)),"")&lt;&gt;"",IFERROR(INDEX(Income!B$3:B$502,SMALL(IF((Income!D$3:D$502="GBP")*(Income!A$3:A$502=DATE(2026,1,10)),ROW(Income!A$3:A$502)-2),3)),""),""))</f>
        <v/>
      </c>
      <c r="O11" s="62" t="str">
        <f aca="false">IF(IFERROR(-INDEX(Expenses!D$3:D$1002,SMALL(IF((Expenses!E$3:E$1002="GBP")*(Expenses!A$3:A$1002=DATE(2026,1,11)),ROW(Expenses!A$3:A$1002)-2),3)),0)+IFERROR(INDEX(Income!C$3:C$502,SMALL(IF((Income!D$3:D$502="GBP")*(Income!A$3:A$502=DATE(2026,1,11)),ROW(Income!A$3:A$502)-2),3)),0)=0,"",IFERROR(-INDEX(Expenses!D$3:D$1002,SMALL(IF((Expenses!E$3:E$1002="GBP")*(Expenses!A$3:A$1002=DATE(2026,1,11)),ROW(Expenses!A$3:A$1002)-2),3)),0)+IFERROR(INDEX(Income!C$3:C$502,SMALL(IF((Income!D$3:D$502="GBP")*(Income!A$3:A$502=DATE(2026,1,11)),ROW(Income!A$3:A$502)-2),3)),0))</f>
        <v/>
      </c>
      <c r="P11" s="38" t="str">
        <f aca="false">IF(IFERROR(INDEX(Expenses!B$3:B$1002,SMALL(IF((Expenses!E$3:E$1002="GBP")*(Expenses!A$3:A$1002=DATE(2026,1,11)),ROW(Expenses!A$3:A$1002)-2),3)),"")&lt;&gt;"",IFERROR(INDEX(Expenses!B$3:B$1002,SMALL(IF((Expenses!E$3:E$1002="GBP")*(Expenses!A$3:A$1002=DATE(2026,1,11)),ROW(Expenses!A$3:A$1002)-2),3)),""),IF(IFERROR(INDEX(Income!B$3:B$502,SMALL(IF((Income!D$3:D$502="GBP")*(Income!A$3:A$502=DATE(2026,1,11)),ROW(Income!A$3:A$502)-2),3)),"")&lt;&gt;"",IFERROR(INDEX(Income!B$3:B$502,SMALL(IF((Income!D$3:D$502="GBP")*(Income!A$3:A$502=DATE(2026,1,11)),ROW(Income!A$3:A$502)-2),3)),""),""))</f>
        <v/>
      </c>
      <c r="Q11" s="16"/>
      <c r="R11" s="16"/>
    </row>
    <row r="12" customFormat="false" ht="15" hidden="false" customHeight="false" outlineLevel="0" collapsed="false">
      <c r="A12" s="16"/>
      <c r="B12" s="16"/>
      <c r="C12" s="62" t="str">
        <f aca="false">IF(IFERROR(-INDEX(Expenses!D$3:D$1002,SMALL(IF((Expenses!E$3:E$1002="GBP")*(Expenses!A$3:A$1002=DATE(2026,1,5)),ROW(Expenses!A$3:A$1002)-2),4)),0)+IFERROR(INDEX(Income!C$3:C$502,SMALL(IF((Income!D$3:D$502="GBP")*(Income!A$3:A$502=DATE(2026,1,5)),ROW(Income!A$3:A$502)-2),4)),0)=0,"",IFERROR(-INDEX(Expenses!D$3:D$1002,SMALL(IF((Expenses!E$3:E$1002="GBP")*(Expenses!A$3:A$1002=DATE(2026,1,5)),ROW(Expenses!A$3:A$1002)-2),4)),0)+IFERROR(INDEX(Income!C$3:C$502,SMALL(IF((Income!D$3:D$502="GBP")*(Income!A$3:A$502=DATE(2026,1,5)),ROW(Income!A$3:A$502)-2),4)),0))</f>
        <v/>
      </c>
      <c r="D12" s="38" t="str">
        <f aca="false">IF(IFERROR(INDEX(Expenses!B$3:B$1002,SMALL(IF((Expenses!E$3:E$1002="GBP")*(Expenses!A$3:A$1002=DATE(2026,1,5)),ROW(Expenses!A$3:A$1002)-2),4)),"")&lt;&gt;"",IFERROR(INDEX(Expenses!B$3:B$1002,SMALL(IF((Expenses!E$3:E$1002="GBP")*(Expenses!A$3:A$1002=DATE(2026,1,5)),ROW(Expenses!A$3:A$1002)-2),4)),""),IF(IFERROR(INDEX(Income!B$3:B$502,SMALL(IF((Income!D$3:D$502="GBP")*(Income!A$3:A$502=DATE(2026,1,5)),ROW(Income!A$3:A$502)-2),4)),"")&lt;&gt;"",IFERROR(INDEX(Income!B$3:B$502,SMALL(IF((Income!D$3:D$502="GBP")*(Income!A$3:A$502=DATE(2026,1,5)),ROW(Income!A$3:A$502)-2),4)),""),""))</f>
        <v/>
      </c>
      <c r="E12" s="62" t="str">
        <f aca="false">IF(IFERROR(-INDEX(Expenses!D$3:D$1002,SMALL(IF((Expenses!E$3:E$1002="GBP")*(Expenses!A$3:A$1002=DATE(2026,1,6)),ROW(Expenses!A$3:A$1002)-2),4)),0)+IFERROR(INDEX(Income!C$3:C$502,SMALL(IF((Income!D$3:D$502="GBP")*(Income!A$3:A$502=DATE(2026,1,6)),ROW(Income!A$3:A$502)-2),4)),0)=0,"",IFERROR(-INDEX(Expenses!D$3:D$1002,SMALL(IF((Expenses!E$3:E$1002="GBP")*(Expenses!A$3:A$1002=DATE(2026,1,6)),ROW(Expenses!A$3:A$1002)-2),4)),0)+IFERROR(INDEX(Income!C$3:C$502,SMALL(IF((Income!D$3:D$502="GBP")*(Income!A$3:A$502=DATE(2026,1,6)),ROW(Income!A$3:A$502)-2),4)),0))</f>
        <v/>
      </c>
      <c r="F12" s="38" t="str">
        <f aca="false">IF(IFERROR(INDEX(Expenses!B$3:B$1002,SMALL(IF((Expenses!E$3:E$1002="GBP")*(Expenses!A$3:A$1002=DATE(2026,1,6)),ROW(Expenses!A$3:A$1002)-2),4)),"")&lt;&gt;"",IFERROR(INDEX(Expenses!B$3:B$1002,SMALL(IF((Expenses!E$3:E$1002="GBP")*(Expenses!A$3:A$1002=DATE(2026,1,6)),ROW(Expenses!A$3:A$1002)-2),4)),""),IF(IFERROR(INDEX(Income!B$3:B$502,SMALL(IF((Income!D$3:D$502="GBP")*(Income!A$3:A$502=DATE(2026,1,6)),ROW(Income!A$3:A$502)-2),4)),"")&lt;&gt;"",IFERROR(INDEX(Income!B$3:B$502,SMALL(IF((Income!D$3:D$502="GBP")*(Income!A$3:A$502=DATE(2026,1,6)),ROW(Income!A$3:A$502)-2),4)),""),""))</f>
        <v/>
      </c>
      <c r="G12" s="62" t="str">
        <f aca="false">IF(IFERROR(-INDEX(Expenses!D$3:D$1002,SMALL(IF((Expenses!E$3:E$1002="GBP")*(Expenses!A$3:A$1002=DATE(2026,1,7)),ROW(Expenses!A$3:A$1002)-2),4)),0)+IFERROR(INDEX(Income!C$3:C$502,SMALL(IF((Income!D$3:D$502="GBP")*(Income!A$3:A$502=DATE(2026,1,7)),ROW(Income!A$3:A$502)-2),4)),0)=0,"",IFERROR(-INDEX(Expenses!D$3:D$1002,SMALL(IF((Expenses!E$3:E$1002="GBP")*(Expenses!A$3:A$1002=DATE(2026,1,7)),ROW(Expenses!A$3:A$1002)-2),4)),0)+IFERROR(INDEX(Income!C$3:C$502,SMALL(IF((Income!D$3:D$502="GBP")*(Income!A$3:A$502=DATE(2026,1,7)),ROW(Income!A$3:A$502)-2),4)),0))</f>
        <v/>
      </c>
      <c r="H12" s="38" t="str">
        <f aca="false">IF(IFERROR(INDEX(Expenses!B$3:B$1002,SMALL(IF((Expenses!E$3:E$1002="GBP")*(Expenses!A$3:A$1002=DATE(2026,1,7)),ROW(Expenses!A$3:A$1002)-2),4)),"")&lt;&gt;"",IFERROR(INDEX(Expenses!B$3:B$1002,SMALL(IF((Expenses!E$3:E$1002="GBP")*(Expenses!A$3:A$1002=DATE(2026,1,7)),ROW(Expenses!A$3:A$1002)-2),4)),""),IF(IFERROR(INDEX(Income!B$3:B$502,SMALL(IF((Income!D$3:D$502="GBP")*(Income!A$3:A$502=DATE(2026,1,7)),ROW(Income!A$3:A$502)-2),4)),"")&lt;&gt;"",IFERROR(INDEX(Income!B$3:B$502,SMALL(IF((Income!D$3:D$502="GBP")*(Income!A$3:A$502=DATE(2026,1,7)),ROW(Income!A$3:A$502)-2),4)),""),""))</f>
        <v/>
      </c>
      <c r="I12" s="62" t="str">
        <f aca="false">IF(IFERROR(-INDEX(Expenses!D$3:D$1002,SMALL(IF((Expenses!E$3:E$1002="GBP")*(Expenses!A$3:A$1002=DATE(2026,1,8)),ROW(Expenses!A$3:A$1002)-2),4)),0)+IFERROR(INDEX(Income!C$3:C$502,SMALL(IF((Income!D$3:D$502="GBP")*(Income!A$3:A$502=DATE(2026,1,8)),ROW(Income!A$3:A$502)-2),4)),0)=0,"",IFERROR(-INDEX(Expenses!D$3:D$1002,SMALL(IF((Expenses!E$3:E$1002="GBP")*(Expenses!A$3:A$1002=DATE(2026,1,8)),ROW(Expenses!A$3:A$1002)-2),4)),0)+IFERROR(INDEX(Income!C$3:C$502,SMALL(IF((Income!D$3:D$502="GBP")*(Income!A$3:A$502=DATE(2026,1,8)),ROW(Income!A$3:A$502)-2),4)),0))</f>
        <v/>
      </c>
      <c r="J12" s="38" t="str">
        <f aca="false">IF(IFERROR(INDEX(Expenses!B$3:B$1002,SMALL(IF((Expenses!E$3:E$1002="GBP")*(Expenses!A$3:A$1002=DATE(2026,1,8)),ROW(Expenses!A$3:A$1002)-2),4)),"")&lt;&gt;"",IFERROR(INDEX(Expenses!B$3:B$1002,SMALL(IF((Expenses!E$3:E$1002="GBP")*(Expenses!A$3:A$1002=DATE(2026,1,8)),ROW(Expenses!A$3:A$1002)-2),4)),""),IF(IFERROR(INDEX(Income!B$3:B$502,SMALL(IF((Income!D$3:D$502="GBP")*(Income!A$3:A$502=DATE(2026,1,8)),ROW(Income!A$3:A$502)-2),4)),"")&lt;&gt;"",IFERROR(INDEX(Income!B$3:B$502,SMALL(IF((Income!D$3:D$502="GBP")*(Income!A$3:A$502=DATE(2026,1,8)),ROW(Income!A$3:A$502)-2),4)),""),""))</f>
        <v/>
      </c>
      <c r="K12" s="62" t="str">
        <f aca="false">IF(IFERROR(-INDEX(Expenses!D$3:D$1002,SMALL(IF((Expenses!E$3:E$1002="GBP")*(Expenses!A$3:A$1002=DATE(2026,1,9)),ROW(Expenses!A$3:A$1002)-2),4)),0)+IFERROR(INDEX(Income!C$3:C$502,SMALL(IF((Income!D$3:D$502="GBP")*(Income!A$3:A$502=DATE(2026,1,9)),ROW(Income!A$3:A$502)-2),4)),0)=0,"",IFERROR(-INDEX(Expenses!D$3:D$1002,SMALL(IF((Expenses!E$3:E$1002="GBP")*(Expenses!A$3:A$1002=DATE(2026,1,9)),ROW(Expenses!A$3:A$1002)-2),4)),0)+IFERROR(INDEX(Income!C$3:C$502,SMALL(IF((Income!D$3:D$502="GBP")*(Income!A$3:A$502=DATE(2026,1,9)),ROW(Income!A$3:A$502)-2),4)),0))</f>
        <v/>
      </c>
      <c r="L12" s="38" t="str">
        <f aca="false">IF(IFERROR(INDEX(Expenses!B$3:B$1002,SMALL(IF((Expenses!E$3:E$1002="GBP")*(Expenses!A$3:A$1002=DATE(2026,1,9)),ROW(Expenses!A$3:A$1002)-2),4)),"")&lt;&gt;"",IFERROR(INDEX(Expenses!B$3:B$1002,SMALL(IF((Expenses!E$3:E$1002="GBP")*(Expenses!A$3:A$1002=DATE(2026,1,9)),ROW(Expenses!A$3:A$1002)-2),4)),""),IF(IFERROR(INDEX(Income!B$3:B$502,SMALL(IF((Income!D$3:D$502="GBP")*(Income!A$3:A$502=DATE(2026,1,9)),ROW(Income!A$3:A$502)-2),4)),"")&lt;&gt;"",IFERROR(INDEX(Income!B$3:B$502,SMALL(IF((Income!D$3:D$502="GBP")*(Income!A$3:A$502=DATE(2026,1,9)),ROW(Income!A$3:A$502)-2),4)),""),""))</f>
        <v/>
      </c>
      <c r="M12" s="62" t="str">
        <f aca="false">IF(IFERROR(-INDEX(Expenses!D$3:D$1002,SMALL(IF((Expenses!E$3:E$1002="GBP")*(Expenses!A$3:A$1002=DATE(2026,1,10)),ROW(Expenses!A$3:A$1002)-2),4)),0)+IFERROR(INDEX(Income!C$3:C$502,SMALL(IF((Income!D$3:D$502="GBP")*(Income!A$3:A$502=DATE(2026,1,10)),ROW(Income!A$3:A$502)-2),4)),0)=0,"",IFERROR(-INDEX(Expenses!D$3:D$1002,SMALL(IF((Expenses!E$3:E$1002="GBP")*(Expenses!A$3:A$1002=DATE(2026,1,10)),ROW(Expenses!A$3:A$1002)-2),4)),0)+IFERROR(INDEX(Income!C$3:C$502,SMALL(IF((Income!D$3:D$502="GBP")*(Income!A$3:A$502=DATE(2026,1,10)),ROW(Income!A$3:A$502)-2),4)),0))</f>
        <v/>
      </c>
      <c r="N12" s="38" t="str">
        <f aca="false">IF(IFERROR(INDEX(Expenses!B$3:B$1002,SMALL(IF((Expenses!E$3:E$1002="GBP")*(Expenses!A$3:A$1002=DATE(2026,1,10)),ROW(Expenses!A$3:A$1002)-2),4)),"")&lt;&gt;"",IFERROR(INDEX(Expenses!B$3:B$1002,SMALL(IF((Expenses!E$3:E$1002="GBP")*(Expenses!A$3:A$1002=DATE(2026,1,10)),ROW(Expenses!A$3:A$1002)-2),4)),""),IF(IFERROR(INDEX(Income!B$3:B$502,SMALL(IF((Income!D$3:D$502="GBP")*(Income!A$3:A$502=DATE(2026,1,10)),ROW(Income!A$3:A$502)-2),4)),"")&lt;&gt;"",IFERROR(INDEX(Income!B$3:B$502,SMALL(IF((Income!D$3:D$502="GBP")*(Income!A$3:A$502=DATE(2026,1,10)),ROW(Income!A$3:A$502)-2),4)),""),""))</f>
        <v/>
      </c>
      <c r="O12" s="62" t="str">
        <f aca="false">IF(IFERROR(-INDEX(Expenses!D$3:D$1002,SMALL(IF((Expenses!E$3:E$1002="GBP")*(Expenses!A$3:A$1002=DATE(2026,1,11)),ROW(Expenses!A$3:A$1002)-2),4)),0)+IFERROR(INDEX(Income!C$3:C$502,SMALL(IF((Income!D$3:D$502="GBP")*(Income!A$3:A$502=DATE(2026,1,11)),ROW(Income!A$3:A$502)-2),4)),0)=0,"",IFERROR(-INDEX(Expenses!D$3:D$1002,SMALL(IF((Expenses!E$3:E$1002="GBP")*(Expenses!A$3:A$1002=DATE(2026,1,11)),ROW(Expenses!A$3:A$1002)-2),4)),0)+IFERROR(INDEX(Income!C$3:C$502,SMALL(IF((Income!D$3:D$502="GBP")*(Income!A$3:A$502=DATE(2026,1,11)),ROW(Income!A$3:A$502)-2),4)),0))</f>
        <v/>
      </c>
      <c r="P12" s="38" t="str">
        <f aca="false">IF(IFERROR(INDEX(Expenses!B$3:B$1002,SMALL(IF((Expenses!E$3:E$1002="GBP")*(Expenses!A$3:A$1002=DATE(2026,1,11)),ROW(Expenses!A$3:A$1002)-2),4)),"")&lt;&gt;"",IFERROR(INDEX(Expenses!B$3:B$1002,SMALL(IF((Expenses!E$3:E$1002="GBP")*(Expenses!A$3:A$1002=DATE(2026,1,11)),ROW(Expenses!A$3:A$1002)-2),4)),""),IF(IFERROR(INDEX(Income!B$3:B$502,SMALL(IF((Income!D$3:D$502="GBP")*(Income!A$3:A$502=DATE(2026,1,11)),ROW(Income!A$3:A$502)-2),4)),"")&lt;&gt;"",IFERROR(INDEX(Income!B$3:B$502,SMALL(IF((Income!D$3:D$502="GBP")*(Income!A$3:A$502=DATE(2026,1,11)),ROW(Income!A$3:A$502)-2),4)),""),""))</f>
        <v/>
      </c>
      <c r="Q12" s="16"/>
      <c r="R12" s="16"/>
    </row>
    <row r="13" customFormat="false" ht="15" hidden="false" customHeight="false" outlineLevel="0" collapsed="false">
      <c r="A13" s="16"/>
      <c r="B13" s="16"/>
      <c r="C13" s="62" t="str">
        <f aca="false">IF(IFERROR(-INDEX(Expenses!D$3:D$1002,SMALL(IF((Expenses!E$3:E$1002="GBP")*(Expenses!A$3:A$1002=DATE(2026,1,5)),ROW(Expenses!A$3:A$1002)-2),5)),0)+IFERROR(INDEX(Income!C$3:C$502,SMALL(IF((Income!D$3:D$502="GBP")*(Income!A$3:A$502=DATE(2026,1,5)),ROW(Income!A$3:A$502)-2),5)),0)=0,"",IFERROR(-INDEX(Expenses!D$3:D$1002,SMALL(IF((Expenses!E$3:E$1002="GBP")*(Expenses!A$3:A$1002=DATE(2026,1,5)),ROW(Expenses!A$3:A$1002)-2),5)),0)+IFERROR(INDEX(Income!C$3:C$502,SMALL(IF((Income!D$3:D$502="GBP")*(Income!A$3:A$502=DATE(2026,1,5)),ROW(Income!A$3:A$502)-2),5)),0))</f>
        <v/>
      </c>
      <c r="D13" s="38" t="str">
        <f aca="false">IF(IFERROR(INDEX(Expenses!B$3:B$1002,SMALL(IF((Expenses!E$3:E$1002="GBP")*(Expenses!A$3:A$1002=DATE(2026,1,5)),ROW(Expenses!A$3:A$1002)-2),5)),"")&lt;&gt;"",IFERROR(INDEX(Expenses!B$3:B$1002,SMALL(IF((Expenses!E$3:E$1002="GBP")*(Expenses!A$3:A$1002=DATE(2026,1,5)),ROW(Expenses!A$3:A$1002)-2),5)),""),IF(IFERROR(INDEX(Income!B$3:B$502,SMALL(IF((Income!D$3:D$502="GBP")*(Income!A$3:A$502=DATE(2026,1,5)),ROW(Income!A$3:A$502)-2),5)),"")&lt;&gt;"",IFERROR(INDEX(Income!B$3:B$502,SMALL(IF((Income!D$3:D$502="GBP")*(Income!A$3:A$502=DATE(2026,1,5)),ROW(Income!A$3:A$502)-2),5)),""),""))</f>
        <v/>
      </c>
      <c r="E13" s="62" t="str">
        <f aca="false">IF(IFERROR(-INDEX(Expenses!D$3:D$1002,SMALL(IF((Expenses!E$3:E$1002="GBP")*(Expenses!A$3:A$1002=DATE(2026,1,6)),ROW(Expenses!A$3:A$1002)-2),5)),0)+IFERROR(INDEX(Income!C$3:C$502,SMALL(IF((Income!D$3:D$502="GBP")*(Income!A$3:A$502=DATE(2026,1,6)),ROW(Income!A$3:A$502)-2),5)),0)=0,"",IFERROR(-INDEX(Expenses!D$3:D$1002,SMALL(IF((Expenses!E$3:E$1002="GBP")*(Expenses!A$3:A$1002=DATE(2026,1,6)),ROW(Expenses!A$3:A$1002)-2),5)),0)+IFERROR(INDEX(Income!C$3:C$502,SMALL(IF((Income!D$3:D$502="GBP")*(Income!A$3:A$502=DATE(2026,1,6)),ROW(Income!A$3:A$502)-2),5)),0))</f>
        <v/>
      </c>
      <c r="F13" s="38" t="str">
        <f aca="false">IF(IFERROR(INDEX(Expenses!B$3:B$1002,SMALL(IF((Expenses!E$3:E$1002="GBP")*(Expenses!A$3:A$1002=DATE(2026,1,6)),ROW(Expenses!A$3:A$1002)-2),5)),"")&lt;&gt;"",IFERROR(INDEX(Expenses!B$3:B$1002,SMALL(IF((Expenses!E$3:E$1002="GBP")*(Expenses!A$3:A$1002=DATE(2026,1,6)),ROW(Expenses!A$3:A$1002)-2),5)),""),IF(IFERROR(INDEX(Income!B$3:B$502,SMALL(IF((Income!D$3:D$502="GBP")*(Income!A$3:A$502=DATE(2026,1,6)),ROW(Income!A$3:A$502)-2),5)),"")&lt;&gt;"",IFERROR(INDEX(Income!B$3:B$502,SMALL(IF((Income!D$3:D$502="GBP")*(Income!A$3:A$502=DATE(2026,1,6)),ROW(Income!A$3:A$502)-2),5)),""),""))</f>
        <v/>
      </c>
      <c r="G13" s="62" t="str">
        <f aca="false">IF(IFERROR(-INDEX(Expenses!D$3:D$1002,SMALL(IF((Expenses!E$3:E$1002="GBP")*(Expenses!A$3:A$1002=DATE(2026,1,7)),ROW(Expenses!A$3:A$1002)-2),5)),0)+IFERROR(INDEX(Income!C$3:C$502,SMALL(IF((Income!D$3:D$502="GBP")*(Income!A$3:A$502=DATE(2026,1,7)),ROW(Income!A$3:A$502)-2),5)),0)=0,"",IFERROR(-INDEX(Expenses!D$3:D$1002,SMALL(IF((Expenses!E$3:E$1002="GBP")*(Expenses!A$3:A$1002=DATE(2026,1,7)),ROW(Expenses!A$3:A$1002)-2),5)),0)+IFERROR(INDEX(Income!C$3:C$502,SMALL(IF((Income!D$3:D$502="GBP")*(Income!A$3:A$502=DATE(2026,1,7)),ROW(Income!A$3:A$502)-2),5)),0))</f>
        <v/>
      </c>
      <c r="H13" s="38" t="str">
        <f aca="false">IF(IFERROR(INDEX(Expenses!B$3:B$1002,SMALL(IF((Expenses!E$3:E$1002="GBP")*(Expenses!A$3:A$1002=DATE(2026,1,7)),ROW(Expenses!A$3:A$1002)-2),5)),"")&lt;&gt;"",IFERROR(INDEX(Expenses!B$3:B$1002,SMALL(IF((Expenses!E$3:E$1002="GBP")*(Expenses!A$3:A$1002=DATE(2026,1,7)),ROW(Expenses!A$3:A$1002)-2),5)),""),IF(IFERROR(INDEX(Income!B$3:B$502,SMALL(IF((Income!D$3:D$502="GBP")*(Income!A$3:A$502=DATE(2026,1,7)),ROW(Income!A$3:A$502)-2),5)),"")&lt;&gt;"",IFERROR(INDEX(Income!B$3:B$502,SMALL(IF((Income!D$3:D$502="GBP")*(Income!A$3:A$502=DATE(2026,1,7)),ROW(Income!A$3:A$502)-2),5)),""),""))</f>
        <v/>
      </c>
      <c r="I13" s="62" t="str">
        <f aca="false">IF(IFERROR(-INDEX(Expenses!D$3:D$1002,SMALL(IF((Expenses!E$3:E$1002="GBP")*(Expenses!A$3:A$1002=DATE(2026,1,8)),ROW(Expenses!A$3:A$1002)-2),5)),0)+IFERROR(INDEX(Income!C$3:C$502,SMALL(IF((Income!D$3:D$502="GBP")*(Income!A$3:A$502=DATE(2026,1,8)),ROW(Income!A$3:A$502)-2),5)),0)=0,"",IFERROR(-INDEX(Expenses!D$3:D$1002,SMALL(IF((Expenses!E$3:E$1002="GBP")*(Expenses!A$3:A$1002=DATE(2026,1,8)),ROW(Expenses!A$3:A$1002)-2),5)),0)+IFERROR(INDEX(Income!C$3:C$502,SMALL(IF((Income!D$3:D$502="GBP")*(Income!A$3:A$502=DATE(2026,1,8)),ROW(Income!A$3:A$502)-2),5)),0))</f>
        <v/>
      </c>
      <c r="J13" s="38" t="str">
        <f aca="false">IF(IFERROR(INDEX(Expenses!B$3:B$1002,SMALL(IF((Expenses!E$3:E$1002="GBP")*(Expenses!A$3:A$1002=DATE(2026,1,8)),ROW(Expenses!A$3:A$1002)-2),5)),"")&lt;&gt;"",IFERROR(INDEX(Expenses!B$3:B$1002,SMALL(IF((Expenses!E$3:E$1002="GBP")*(Expenses!A$3:A$1002=DATE(2026,1,8)),ROW(Expenses!A$3:A$1002)-2),5)),""),IF(IFERROR(INDEX(Income!B$3:B$502,SMALL(IF((Income!D$3:D$502="GBP")*(Income!A$3:A$502=DATE(2026,1,8)),ROW(Income!A$3:A$502)-2),5)),"")&lt;&gt;"",IFERROR(INDEX(Income!B$3:B$502,SMALL(IF((Income!D$3:D$502="GBP")*(Income!A$3:A$502=DATE(2026,1,8)),ROW(Income!A$3:A$502)-2),5)),""),""))</f>
        <v/>
      </c>
      <c r="K13" s="62" t="str">
        <f aca="false">IF(IFERROR(-INDEX(Expenses!D$3:D$1002,SMALL(IF((Expenses!E$3:E$1002="GBP")*(Expenses!A$3:A$1002=DATE(2026,1,9)),ROW(Expenses!A$3:A$1002)-2),5)),0)+IFERROR(INDEX(Income!C$3:C$502,SMALL(IF((Income!D$3:D$502="GBP")*(Income!A$3:A$502=DATE(2026,1,9)),ROW(Income!A$3:A$502)-2),5)),0)=0,"",IFERROR(-INDEX(Expenses!D$3:D$1002,SMALL(IF((Expenses!E$3:E$1002="GBP")*(Expenses!A$3:A$1002=DATE(2026,1,9)),ROW(Expenses!A$3:A$1002)-2),5)),0)+IFERROR(INDEX(Income!C$3:C$502,SMALL(IF((Income!D$3:D$502="GBP")*(Income!A$3:A$502=DATE(2026,1,9)),ROW(Income!A$3:A$502)-2),5)),0))</f>
        <v/>
      </c>
      <c r="L13" s="38" t="str">
        <f aca="false">IF(IFERROR(INDEX(Expenses!B$3:B$1002,SMALL(IF((Expenses!E$3:E$1002="GBP")*(Expenses!A$3:A$1002=DATE(2026,1,9)),ROW(Expenses!A$3:A$1002)-2),5)),"")&lt;&gt;"",IFERROR(INDEX(Expenses!B$3:B$1002,SMALL(IF((Expenses!E$3:E$1002="GBP")*(Expenses!A$3:A$1002=DATE(2026,1,9)),ROW(Expenses!A$3:A$1002)-2),5)),""),IF(IFERROR(INDEX(Income!B$3:B$502,SMALL(IF((Income!D$3:D$502="GBP")*(Income!A$3:A$502=DATE(2026,1,9)),ROW(Income!A$3:A$502)-2),5)),"")&lt;&gt;"",IFERROR(INDEX(Income!B$3:B$502,SMALL(IF((Income!D$3:D$502="GBP")*(Income!A$3:A$502=DATE(2026,1,9)),ROW(Income!A$3:A$502)-2),5)),""),""))</f>
        <v/>
      </c>
      <c r="M13" s="62" t="str">
        <f aca="false">IF(IFERROR(-INDEX(Expenses!D$3:D$1002,SMALL(IF((Expenses!E$3:E$1002="GBP")*(Expenses!A$3:A$1002=DATE(2026,1,10)),ROW(Expenses!A$3:A$1002)-2),5)),0)+IFERROR(INDEX(Income!C$3:C$502,SMALL(IF((Income!D$3:D$502="GBP")*(Income!A$3:A$502=DATE(2026,1,10)),ROW(Income!A$3:A$502)-2),5)),0)=0,"",IFERROR(-INDEX(Expenses!D$3:D$1002,SMALL(IF((Expenses!E$3:E$1002="GBP")*(Expenses!A$3:A$1002=DATE(2026,1,10)),ROW(Expenses!A$3:A$1002)-2),5)),0)+IFERROR(INDEX(Income!C$3:C$502,SMALL(IF((Income!D$3:D$502="GBP")*(Income!A$3:A$502=DATE(2026,1,10)),ROW(Income!A$3:A$502)-2),5)),0))</f>
        <v/>
      </c>
      <c r="N13" s="38" t="str">
        <f aca="false">IF(IFERROR(INDEX(Expenses!B$3:B$1002,SMALL(IF((Expenses!E$3:E$1002="GBP")*(Expenses!A$3:A$1002=DATE(2026,1,10)),ROW(Expenses!A$3:A$1002)-2),5)),"")&lt;&gt;"",IFERROR(INDEX(Expenses!B$3:B$1002,SMALL(IF((Expenses!E$3:E$1002="GBP")*(Expenses!A$3:A$1002=DATE(2026,1,10)),ROW(Expenses!A$3:A$1002)-2),5)),""),IF(IFERROR(INDEX(Income!B$3:B$502,SMALL(IF((Income!D$3:D$502="GBP")*(Income!A$3:A$502=DATE(2026,1,10)),ROW(Income!A$3:A$502)-2),5)),"")&lt;&gt;"",IFERROR(INDEX(Income!B$3:B$502,SMALL(IF((Income!D$3:D$502="GBP")*(Income!A$3:A$502=DATE(2026,1,10)),ROW(Income!A$3:A$502)-2),5)),""),""))</f>
        <v/>
      </c>
      <c r="O13" s="62" t="str">
        <f aca="false">IF(IFERROR(-INDEX(Expenses!D$3:D$1002,SMALL(IF((Expenses!E$3:E$1002="GBP")*(Expenses!A$3:A$1002=DATE(2026,1,11)),ROW(Expenses!A$3:A$1002)-2),5)),0)+IFERROR(INDEX(Income!C$3:C$502,SMALL(IF((Income!D$3:D$502="GBP")*(Income!A$3:A$502=DATE(2026,1,11)),ROW(Income!A$3:A$502)-2),5)),0)=0,"",IFERROR(-INDEX(Expenses!D$3:D$1002,SMALL(IF((Expenses!E$3:E$1002="GBP")*(Expenses!A$3:A$1002=DATE(2026,1,11)),ROW(Expenses!A$3:A$1002)-2),5)),0)+IFERROR(INDEX(Income!C$3:C$502,SMALL(IF((Income!D$3:D$502="GBP")*(Income!A$3:A$502=DATE(2026,1,11)),ROW(Income!A$3:A$502)-2),5)),0))</f>
        <v/>
      </c>
      <c r="P13" s="38" t="str">
        <f aca="false">IF(IFERROR(INDEX(Expenses!B$3:B$1002,SMALL(IF((Expenses!E$3:E$1002="GBP")*(Expenses!A$3:A$1002=DATE(2026,1,11)),ROW(Expenses!A$3:A$1002)-2),5)),"")&lt;&gt;"",IFERROR(INDEX(Expenses!B$3:B$1002,SMALL(IF((Expenses!E$3:E$1002="GBP")*(Expenses!A$3:A$1002=DATE(2026,1,11)),ROW(Expenses!A$3:A$1002)-2),5)),""),IF(IFERROR(INDEX(Income!B$3:B$502,SMALL(IF((Income!D$3:D$502="GBP")*(Income!A$3:A$502=DATE(2026,1,11)),ROW(Income!A$3:A$502)-2),5)),"")&lt;&gt;"",IFERROR(INDEX(Income!B$3:B$502,SMALL(IF((Income!D$3:D$502="GBP")*(Income!A$3:A$502=DATE(2026,1,11)),ROW(Income!A$3:A$502)-2),5)),""),""))</f>
        <v/>
      </c>
      <c r="Q13" s="16"/>
      <c r="R13" s="16"/>
    </row>
    <row r="14" customFormat="false" ht="15" hidden="false" customHeight="false" outlineLevel="0" collapsed="false">
      <c r="A14" s="61" t="n">
        <v>46034</v>
      </c>
      <c r="B14" s="3" t="n">
        <v>3</v>
      </c>
      <c r="C14" s="62" t="str">
        <f aca="false">IF(IFERROR(-INDEX(Expenses!D$3:D$1002,SMALL(IF((Expenses!E$3:E$1002="GBP")*(Expenses!A$3:A$1002=DATE(2026,1,12)),ROW(Expenses!A$3:A$1002)-2),1)),0)+IFERROR(INDEX(Income!C$3:C$502,SMALL(IF((Income!D$3:D$502="GBP")*(Income!A$3:A$502=DATE(2026,1,12)),ROW(Income!A$3:A$502)-2),1)),0)=0,"",IFERROR(-INDEX(Expenses!D$3:D$1002,SMALL(IF((Expenses!E$3:E$1002="GBP")*(Expenses!A$3:A$1002=DATE(2026,1,12)),ROW(Expenses!A$3:A$1002)-2),1)),0)+IFERROR(INDEX(Income!C$3:C$502,SMALL(IF((Income!D$3:D$502="GBP")*(Income!A$3:A$502=DATE(2026,1,12)),ROW(Income!A$3:A$502)-2),1)),0))</f>
        <v/>
      </c>
      <c r="D14" s="38" t="str">
        <f aca="false">IF(IFERROR(INDEX(Expenses!B$3:B$1002,SMALL(IF((Expenses!E$3:E$1002="GBP")*(Expenses!A$3:A$1002=DATE(2026,1,12)),ROW(Expenses!A$3:A$1002)-2),1)),"")&lt;&gt;"",IFERROR(INDEX(Expenses!B$3:B$1002,SMALL(IF((Expenses!E$3:E$1002="GBP")*(Expenses!A$3:A$1002=DATE(2026,1,12)),ROW(Expenses!A$3:A$1002)-2),1)),""),IF(IFERROR(INDEX(Income!B$3:B$502,SMALL(IF((Income!D$3:D$502="GBP")*(Income!A$3:A$502=DATE(2026,1,12)),ROW(Income!A$3:A$502)-2),1)),"")&lt;&gt;"",IFERROR(INDEX(Income!B$3:B$502,SMALL(IF((Income!D$3:D$502="GBP")*(Income!A$3:A$502=DATE(2026,1,12)),ROW(Income!A$3:A$502)-2),1)),""),""))</f>
        <v/>
      </c>
      <c r="E14" s="62" t="str">
        <f aca="false">IF(IFERROR(-INDEX(Expenses!D$3:D$1002,SMALL(IF((Expenses!E$3:E$1002="GBP")*(Expenses!A$3:A$1002=DATE(2026,1,13)),ROW(Expenses!A$3:A$1002)-2),1)),0)+IFERROR(INDEX(Income!C$3:C$502,SMALL(IF((Income!D$3:D$502="GBP")*(Income!A$3:A$502=DATE(2026,1,13)),ROW(Income!A$3:A$502)-2),1)),0)=0,"",IFERROR(-INDEX(Expenses!D$3:D$1002,SMALL(IF((Expenses!E$3:E$1002="GBP")*(Expenses!A$3:A$1002=DATE(2026,1,13)),ROW(Expenses!A$3:A$1002)-2),1)),0)+IFERROR(INDEX(Income!C$3:C$502,SMALL(IF((Income!D$3:D$502="GBP")*(Income!A$3:A$502=DATE(2026,1,13)),ROW(Income!A$3:A$502)-2),1)),0))</f>
        <v/>
      </c>
      <c r="F14" s="38" t="str">
        <f aca="false">IF(IFERROR(INDEX(Expenses!B$3:B$1002,SMALL(IF((Expenses!E$3:E$1002="GBP")*(Expenses!A$3:A$1002=DATE(2026,1,13)),ROW(Expenses!A$3:A$1002)-2),1)),"")&lt;&gt;"",IFERROR(INDEX(Expenses!B$3:B$1002,SMALL(IF((Expenses!E$3:E$1002="GBP")*(Expenses!A$3:A$1002=DATE(2026,1,13)),ROW(Expenses!A$3:A$1002)-2),1)),""),IF(IFERROR(INDEX(Income!B$3:B$502,SMALL(IF((Income!D$3:D$502="GBP")*(Income!A$3:A$502=DATE(2026,1,13)),ROW(Income!A$3:A$502)-2),1)),"")&lt;&gt;"",IFERROR(INDEX(Income!B$3:B$502,SMALL(IF((Income!D$3:D$502="GBP")*(Income!A$3:A$502=DATE(2026,1,13)),ROW(Income!A$3:A$502)-2),1)),""),""))</f>
        <v/>
      </c>
      <c r="G14" s="62" t="str">
        <f aca="false">IF(IFERROR(-INDEX(Expenses!D$3:D$1002,SMALL(IF((Expenses!E$3:E$1002="GBP")*(Expenses!A$3:A$1002=DATE(2026,1,14)),ROW(Expenses!A$3:A$1002)-2),1)),0)+IFERROR(INDEX(Income!C$3:C$502,SMALL(IF((Income!D$3:D$502="GBP")*(Income!A$3:A$502=DATE(2026,1,14)),ROW(Income!A$3:A$502)-2),1)),0)=0,"",IFERROR(-INDEX(Expenses!D$3:D$1002,SMALL(IF((Expenses!E$3:E$1002="GBP")*(Expenses!A$3:A$1002=DATE(2026,1,14)),ROW(Expenses!A$3:A$1002)-2),1)),0)+IFERROR(INDEX(Income!C$3:C$502,SMALL(IF((Income!D$3:D$502="GBP")*(Income!A$3:A$502=DATE(2026,1,14)),ROW(Income!A$3:A$502)-2),1)),0))</f>
        <v/>
      </c>
      <c r="H14" s="38" t="str">
        <f aca="false">IF(IFERROR(INDEX(Expenses!B$3:B$1002,SMALL(IF((Expenses!E$3:E$1002="GBP")*(Expenses!A$3:A$1002=DATE(2026,1,14)),ROW(Expenses!A$3:A$1002)-2),1)),"")&lt;&gt;"",IFERROR(INDEX(Expenses!B$3:B$1002,SMALL(IF((Expenses!E$3:E$1002="GBP")*(Expenses!A$3:A$1002=DATE(2026,1,14)),ROW(Expenses!A$3:A$1002)-2),1)),""),IF(IFERROR(INDEX(Income!B$3:B$502,SMALL(IF((Income!D$3:D$502="GBP")*(Income!A$3:A$502=DATE(2026,1,14)),ROW(Income!A$3:A$502)-2),1)),"")&lt;&gt;"",IFERROR(INDEX(Income!B$3:B$502,SMALL(IF((Income!D$3:D$502="GBP")*(Income!A$3:A$502=DATE(2026,1,14)),ROW(Income!A$3:A$502)-2),1)),""),""))</f>
        <v/>
      </c>
      <c r="I14" s="62" t="str">
        <f aca="false">IF(IFERROR(-INDEX(Expenses!D$3:D$1002,SMALL(IF((Expenses!E$3:E$1002="GBP")*(Expenses!A$3:A$1002=DATE(2026,1,15)),ROW(Expenses!A$3:A$1002)-2),1)),0)+IFERROR(INDEX(Income!C$3:C$502,SMALL(IF((Income!D$3:D$502="GBP")*(Income!A$3:A$502=DATE(2026,1,15)),ROW(Income!A$3:A$502)-2),1)),0)=0,"",IFERROR(-INDEX(Expenses!D$3:D$1002,SMALL(IF((Expenses!E$3:E$1002="GBP")*(Expenses!A$3:A$1002=DATE(2026,1,15)),ROW(Expenses!A$3:A$1002)-2),1)),0)+IFERROR(INDEX(Income!C$3:C$502,SMALL(IF((Income!D$3:D$502="GBP")*(Income!A$3:A$502=DATE(2026,1,15)),ROW(Income!A$3:A$502)-2),1)),0))</f>
        <v/>
      </c>
      <c r="J14" s="38" t="str">
        <f aca="false">IF(IFERROR(INDEX(Expenses!B$3:B$1002,SMALL(IF((Expenses!E$3:E$1002="GBP")*(Expenses!A$3:A$1002=DATE(2026,1,15)),ROW(Expenses!A$3:A$1002)-2),1)),"")&lt;&gt;"",IFERROR(INDEX(Expenses!B$3:B$1002,SMALL(IF((Expenses!E$3:E$1002="GBP")*(Expenses!A$3:A$1002=DATE(2026,1,15)),ROW(Expenses!A$3:A$1002)-2),1)),""),IF(IFERROR(INDEX(Income!B$3:B$502,SMALL(IF((Income!D$3:D$502="GBP")*(Income!A$3:A$502=DATE(2026,1,15)),ROW(Income!A$3:A$502)-2),1)),"")&lt;&gt;"",IFERROR(INDEX(Income!B$3:B$502,SMALL(IF((Income!D$3:D$502="GBP")*(Income!A$3:A$502=DATE(2026,1,15)),ROW(Income!A$3:A$502)-2),1)),""),""))</f>
        <v/>
      </c>
      <c r="K14" s="62" t="str">
        <f aca="false">IF(IFERROR(-INDEX(Expenses!D$3:D$1002,SMALL(IF((Expenses!E$3:E$1002="GBP")*(Expenses!A$3:A$1002=DATE(2026,1,16)),ROW(Expenses!A$3:A$1002)-2),1)),0)+IFERROR(INDEX(Income!C$3:C$502,SMALL(IF((Income!D$3:D$502="GBP")*(Income!A$3:A$502=DATE(2026,1,16)),ROW(Income!A$3:A$502)-2),1)),0)=0,"",IFERROR(-INDEX(Expenses!D$3:D$1002,SMALL(IF((Expenses!E$3:E$1002="GBP")*(Expenses!A$3:A$1002=DATE(2026,1,16)),ROW(Expenses!A$3:A$1002)-2),1)),0)+IFERROR(INDEX(Income!C$3:C$502,SMALL(IF((Income!D$3:D$502="GBP")*(Income!A$3:A$502=DATE(2026,1,16)),ROW(Income!A$3:A$502)-2),1)),0))</f>
        <v/>
      </c>
      <c r="L14" s="38" t="str">
        <f aca="false">IF(IFERROR(INDEX(Expenses!B$3:B$1002,SMALL(IF((Expenses!E$3:E$1002="GBP")*(Expenses!A$3:A$1002=DATE(2026,1,16)),ROW(Expenses!A$3:A$1002)-2),1)),"")&lt;&gt;"",IFERROR(INDEX(Expenses!B$3:B$1002,SMALL(IF((Expenses!E$3:E$1002="GBP")*(Expenses!A$3:A$1002=DATE(2026,1,16)),ROW(Expenses!A$3:A$1002)-2),1)),""),IF(IFERROR(INDEX(Income!B$3:B$502,SMALL(IF((Income!D$3:D$502="GBP")*(Income!A$3:A$502=DATE(2026,1,16)),ROW(Income!A$3:A$502)-2),1)),"")&lt;&gt;"",IFERROR(INDEX(Income!B$3:B$502,SMALL(IF((Income!D$3:D$502="GBP")*(Income!A$3:A$502=DATE(2026,1,16)),ROW(Income!A$3:A$502)-2),1)),""),""))</f>
        <v/>
      </c>
      <c r="M14" s="62" t="str">
        <f aca="false">IF(IFERROR(-INDEX(Expenses!D$3:D$1002,SMALL(IF((Expenses!E$3:E$1002="GBP")*(Expenses!A$3:A$1002=DATE(2026,1,17)),ROW(Expenses!A$3:A$1002)-2),1)),0)+IFERROR(INDEX(Income!C$3:C$502,SMALL(IF((Income!D$3:D$502="GBP")*(Income!A$3:A$502=DATE(2026,1,17)),ROW(Income!A$3:A$502)-2),1)),0)=0,"",IFERROR(-INDEX(Expenses!D$3:D$1002,SMALL(IF((Expenses!E$3:E$1002="GBP")*(Expenses!A$3:A$1002=DATE(2026,1,17)),ROW(Expenses!A$3:A$1002)-2),1)),0)+IFERROR(INDEX(Income!C$3:C$502,SMALL(IF((Income!D$3:D$502="GBP")*(Income!A$3:A$502=DATE(2026,1,17)),ROW(Income!A$3:A$502)-2),1)),0))</f>
        <v/>
      </c>
      <c r="N14" s="38" t="str">
        <f aca="false">IF(IFERROR(INDEX(Expenses!B$3:B$1002,SMALL(IF((Expenses!E$3:E$1002="GBP")*(Expenses!A$3:A$1002=DATE(2026,1,17)),ROW(Expenses!A$3:A$1002)-2),1)),"")&lt;&gt;"",IFERROR(INDEX(Expenses!B$3:B$1002,SMALL(IF((Expenses!E$3:E$1002="GBP")*(Expenses!A$3:A$1002=DATE(2026,1,17)),ROW(Expenses!A$3:A$1002)-2),1)),""),IF(IFERROR(INDEX(Income!B$3:B$502,SMALL(IF((Income!D$3:D$502="GBP")*(Income!A$3:A$502=DATE(2026,1,17)),ROW(Income!A$3:A$502)-2),1)),"")&lt;&gt;"",IFERROR(INDEX(Income!B$3:B$502,SMALL(IF((Income!D$3:D$502="GBP")*(Income!A$3:A$502=DATE(2026,1,17)),ROW(Income!A$3:A$502)-2),1)),""),""))</f>
        <v/>
      </c>
      <c r="O14" s="62" t="str">
        <f aca="false">IF(IFERROR(-INDEX(Expenses!D$3:D$1002,SMALL(IF((Expenses!E$3:E$1002="GBP")*(Expenses!A$3:A$1002=DATE(2026,1,18)),ROW(Expenses!A$3:A$1002)-2),1)),0)+IFERROR(INDEX(Income!C$3:C$502,SMALL(IF((Income!D$3:D$502="GBP")*(Income!A$3:A$502=DATE(2026,1,18)),ROW(Income!A$3:A$502)-2),1)),0)=0,"",IFERROR(-INDEX(Expenses!D$3:D$1002,SMALL(IF((Expenses!E$3:E$1002="GBP")*(Expenses!A$3:A$1002=DATE(2026,1,18)),ROW(Expenses!A$3:A$1002)-2),1)),0)+IFERROR(INDEX(Income!C$3:C$502,SMALL(IF((Income!D$3:D$502="GBP")*(Income!A$3:A$502=DATE(2026,1,18)),ROW(Income!A$3:A$502)-2),1)),0))</f>
        <v/>
      </c>
      <c r="P14" s="38" t="str">
        <f aca="false">IF(IFERROR(INDEX(Expenses!B$3:B$1002,SMALL(IF((Expenses!E$3:E$1002="GBP")*(Expenses!A$3:A$1002=DATE(2026,1,18)),ROW(Expenses!A$3:A$1002)-2),1)),"")&lt;&gt;"",IFERROR(INDEX(Expenses!B$3:B$1002,SMALL(IF((Expenses!E$3:E$1002="GBP")*(Expenses!A$3:A$1002=DATE(2026,1,18)),ROW(Expenses!A$3:A$1002)-2),1)),""),IF(IFERROR(INDEX(Income!B$3:B$502,SMALL(IF((Income!D$3:D$502="GBP")*(Income!A$3:A$502=DATE(2026,1,18)),ROW(Income!A$3:A$502)-2),1)),"")&lt;&gt;"",IFERROR(INDEX(Income!B$3:B$502,SMALL(IF((Income!D$3:D$502="GBP")*(Income!A$3:A$502=DATE(2026,1,18)),ROW(Income!A$3:A$502)-2),1)),""),""))</f>
        <v/>
      </c>
      <c r="Q14" s="3" t="n">
        <v>3</v>
      </c>
      <c r="R14" s="45" t="n">
        <f aca="false">SUM(C14:C18)+SUM(E14:E18)+SUM(G14:G18)+SUM(I14:I18)+SUM(K14:K18)+SUM(M14:M18)+SUM(O14:O18)</f>
        <v>0</v>
      </c>
    </row>
    <row r="15" customFormat="false" ht="15" hidden="false" customHeight="false" outlineLevel="0" collapsed="false">
      <c r="A15" s="16"/>
      <c r="B15" s="16"/>
      <c r="C15" s="62" t="str">
        <f aca="false">IF(IFERROR(-INDEX(Expenses!D$3:D$1002,SMALL(IF((Expenses!E$3:E$1002="GBP")*(Expenses!A$3:A$1002=DATE(2026,1,12)),ROW(Expenses!A$3:A$1002)-2),2)),0)+IFERROR(INDEX(Income!C$3:C$502,SMALL(IF((Income!D$3:D$502="GBP")*(Income!A$3:A$502=DATE(2026,1,12)),ROW(Income!A$3:A$502)-2),2)),0)=0,"",IFERROR(-INDEX(Expenses!D$3:D$1002,SMALL(IF((Expenses!E$3:E$1002="GBP")*(Expenses!A$3:A$1002=DATE(2026,1,12)),ROW(Expenses!A$3:A$1002)-2),2)),0)+IFERROR(INDEX(Income!C$3:C$502,SMALL(IF((Income!D$3:D$502="GBP")*(Income!A$3:A$502=DATE(2026,1,12)),ROW(Income!A$3:A$502)-2),2)),0))</f>
        <v/>
      </c>
      <c r="D15" s="38" t="str">
        <f aca="false">IF(IFERROR(INDEX(Expenses!B$3:B$1002,SMALL(IF((Expenses!E$3:E$1002="GBP")*(Expenses!A$3:A$1002=DATE(2026,1,12)),ROW(Expenses!A$3:A$1002)-2),2)),"")&lt;&gt;"",IFERROR(INDEX(Expenses!B$3:B$1002,SMALL(IF((Expenses!E$3:E$1002="GBP")*(Expenses!A$3:A$1002=DATE(2026,1,12)),ROW(Expenses!A$3:A$1002)-2),2)),""),IF(IFERROR(INDEX(Income!B$3:B$502,SMALL(IF((Income!D$3:D$502="GBP")*(Income!A$3:A$502=DATE(2026,1,12)),ROW(Income!A$3:A$502)-2),2)),"")&lt;&gt;"",IFERROR(INDEX(Income!B$3:B$502,SMALL(IF((Income!D$3:D$502="GBP")*(Income!A$3:A$502=DATE(2026,1,12)),ROW(Income!A$3:A$502)-2),2)),""),""))</f>
        <v/>
      </c>
      <c r="E15" s="62" t="str">
        <f aca="false">IF(IFERROR(-INDEX(Expenses!D$3:D$1002,SMALL(IF((Expenses!E$3:E$1002="GBP")*(Expenses!A$3:A$1002=DATE(2026,1,13)),ROW(Expenses!A$3:A$1002)-2),2)),0)+IFERROR(INDEX(Income!C$3:C$502,SMALL(IF((Income!D$3:D$502="GBP")*(Income!A$3:A$502=DATE(2026,1,13)),ROW(Income!A$3:A$502)-2),2)),0)=0,"",IFERROR(-INDEX(Expenses!D$3:D$1002,SMALL(IF((Expenses!E$3:E$1002="GBP")*(Expenses!A$3:A$1002=DATE(2026,1,13)),ROW(Expenses!A$3:A$1002)-2),2)),0)+IFERROR(INDEX(Income!C$3:C$502,SMALL(IF((Income!D$3:D$502="GBP")*(Income!A$3:A$502=DATE(2026,1,13)),ROW(Income!A$3:A$502)-2),2)),0))</f>
        <v/>
      </c>
      <c r="F15" s="38" t="str">
        <f aca="false">IF(IFERROR(INDEX(Expenses!B$3:B$1002,SMALL(IF((Expenses!E$3:E$1002="GBP")*(Expenses!A$3:A$1002=DATE(2026,1,13)),ROW(Expenses!A$3:A$1002)-2),2)),"")&lt;&gt;"",IFERROR(INDEX(Expenses!B$3:B$1002,SMALL(IF((Expenses!E$3:E$1002="GBP")*(Expenses!A$3:A$1002=DATE(2026,1,13)),ROW(Expenses!A$3:A$1002)-2),2)),""),IF(IFERROR(INDEX(Income!B$3:B$502,SMALL(IF((Income!D$3:D$502="GBP")*(Income!A$3:A$502=DATE(2026,1,13)),ROW(Income!A$3:A$502)-2),2)),"")&lt;&gt;"",IFERROR(INDEX(Income!B$3:B$502,SMALL(IF((Income!D$3:D$502="GBP")*(Income!A$3:A$502=DATE(2026,1,13)),ROW(Income!A$3:A$502)-2),2)),""),""))</f>
        <v/>
      </c>
      <c r="G15" s="62" t="str">
        <f aca="false">IF(IFERROR(-INDEX(Expenses!D$3:D$1002,SMALL(IF((Expenses!E$3:E$1002="GBP")*(Expenses!A$3:A$1002=DATE(2026,1,14)),ROW(Expenses!A$3:A$1002)-2),2)),0)+IFERROR(INDEX(Income!C$3:C$502,SMALL(IF((Income!D$3:D$502="GBP")*(Income!A$3:A$502=DATE(2026,1,14)),ROW(Income!A$3:A$502)-2),2)),0)=0,"",IFERROR(-INDEX(Expenses!D$3:D$1002,SMALL(IF((Expenses!E$3:E$1002="GBP")*(Expenses!A$3:A$1002=DATE(2026,1,14)),ROW(Expenses!A$3:A$1002)-2),2)),0)+IFERROR(INDEX(Income!C$3:C$502,SMALL(IF((Income!D$3:D$502="GBP")*(Income!A$3:A$502=DATE(2026,1,14)),ROW(Income!A$3:A$502)-2),2)),0))</f>
        <v/>
      </c>
      <c r="H15" s="38" t="str">
        <f aca="false">IF(IFERROR(INDEX(Expenses!B$3:B$1002,SMALL(IF((Expenses!E$3:E$1002="GBP")*(Expenses!A$3:A$1002=DATE(2026,1,14)),ROW(Expenses!A$3:A$1002)-2),2)),"")&lt;&gt;"",IFERROR(INDEX(Expenses!B$3:B$1002,SMALL(IF((Expenses!E$3:E$1002="GBP")*(Expenses!A$3:A$1002=DATE(2026,1,14)),ROW(Expenses!A$3:A$1002)-2),2)),""),IF(IFERROR(INDEX(Income!B$3:B$502,SMALL(IF((Income!D$3:D$502="GBP")*(Income!A$3:A$502=DATE(2026,1,14)),ROW(Income!A$3:A$502)-2),2)),"")&lt;&gt;"",IFERROR(INDEX(Income!B$3:B$502,SMALL(IF((Income!D$3:D$502="GBP")*(Income!A$3:A$502=DATE(2026,1,14)),ROW(Income!A$3:A$502)-2),2)),""),""))</f>
        <v/>
      </c>
      <c r="I15" s="62" t="str">
        <f aca="false">IF(IFERROR(-INDEX(Expenses!D$3:D$1002,SMALL(IF((Expenses!E$3:E$1002="GBP")*(Expenses!A$3:A$1002=DATE(2026,1,15)),ROW(Expenses!A$3:A$1002)-2),2)),0)+IFERROR(INDEX(Income!C$3:C$502,SMALL(IF((Income!D$3:D$502="GBP")*(Income!A$3:A$502=DATE(2026,1,15)),ROW(Income!A$3:A$502)-2),2)),0)=0,"",IFERROR(-INDEX(Expenses!D$3:D$1002,SMALL(IF((Expenses!E$3:E$1002="GBP")*(Expenses!A$3:A$1002=DATE(2026,1,15)),ROW(Expenses!A$3:A$1002)-2),2)),0)+IFERROR(INDEX(Income!C$3:C$502,SMALL(IF((Income!D$3:D$502="GBP")*(Income!A$3:A$502=DATE(2026,1,15)),ROW(Income!A$3:A$502)-2),2)),0))</f>
        <v/>
      </c>
      <c r="J15" s="38" t="str">
        <f aca="false">IF(IFERROR(INDEX(Expenses!B$3:B$1002,SMALL(IF((Expenses!E$3:E$1002="GBP")*(Expenses!A$3:A$1002=DATE(2026,1,15)),ROW(Expenses!A$3:A$1002)-2),2)),"")&lt;&gt;"",IFERROR(INDEX(Expenses!B$3:B$1002,SMALL(IF((Expenses!E$3:E$1002="GBP")*(Expenses!A$3:A$1002=DATE(2026,1,15)),ROW(Expenses!A$3:A$1002)-2),2)),""),IF(IFERROR(INDEX(Income!B$3:B$502,SMALL(IF((Income!D$3:D$502="GBP")*(Income!A$3:A$502=DATE(2026,1,15)),ROW(Income!A$3:A$502)-2),2)),"")&lt;&gt;"",IFERROR(INDEX(Income!B$3:B$502,SMALL(IF((Income!D$3:D$502="GBP")*(Income!A$3:A$502=DATE(2026,1,15)),ROW(Income!A$3:A$502)-2),2)),""),""))</f>
        <v/>
      </c>
      <c r="K15" s="62" t="str">
        <f aca="false">IF(IFERROR(-INDEX(Expenses!D$3:D$1002,SMALL(IF((Expenses!E$3:E$1002="GBP")*(Expenses!A$3:A$1002=DATE(2026,1,16)),ROW(Expenses!A$3:A$1002)-2),2)),0)+IFERROR(INDEX(Income!C$3:C$502,SMALL(IF((Income!D$3:D$502="GBP")*(Income!A$3:A$502=DATE(2026,1,16)),ROW(Income!A$3:A$502)-2),2)),0)=0,"",IFERROR(-INDEX(Expenses!D$3:D$1002,SMALL(IF((Expenses!E$3:E$1002="GBP")*(Expenses!A$3:A$1002=DATE(2026,1,16)),ROW(Expenses!A$3:A$1002)-2),2)),0)+IFERROR(INDEX(Income!C$3:C$502,SMALL(IF((Income!D$3:D$502="GBP")*(Income!A$3:A$502=DATE(2026,1,16)),ROW(Income!A$3:A$502)-2),2)),0))</f>
        <v/>
      </c>
      <c r="L15" s="38" t="str">
        <f aca="false">IF(IFERROR(INDEX(Expenses!B$3:B$1002,SMALL(IF((Expenses!E$3:E$1002="GBP")*(Expenses!A$3:A$1002=DATE(2026,1,16)),ROW(Expenses!A$3:A$1002)-2),2)),"")&lt;&gt;"",IFERROR(INDEX(Expenses!B$3:B$1002,SMALL(IF((Expenses!E$3:E$1002="GBP")*(Expenses!A$3:A$1002=DATE(2026,1,16)),ROW(Expenses!A$3:A$1002)-2),2)),""),IF(IFERROR(INDEX(Income!B$3:B$502,SMALL(IF((Income!D$3:D$502="GBP")*(Income!A$3:A$502=DATE(2026,1,16)),ROW(Income!A$3:A$502)-2),2)),"")&lt;&gt;"",IFERROR(INDEX(Income!B$3:B$502,SMALL(IF((Income!D$3:D$502="GBP")*(Income!A$3:A$502=DATE(2026,1,16)),ROW(Income!A$3:A$502)-2),2)),""),""))</f>
        <v/>
      </c>
      <c r="M15" s="62" t="str">
        <f aca="false">IF(IFERROR(-INDEX(Expenses!D$3:D$1002,SMALL(IF((Expenses!E$3:E$1002="GBP")*(Expenses!A$3:A$1002=DATE(2026,1,17)),ROW(Expenses!A$3:A$1002)-2),2)),0)+IFERROR(INDEX(Income!C$3:C$502,SMALL(IF((Income!D$3:D$502="GBP")*(Income!A$3:A$502=DATE(2026,1,17)),ROW(Income!A$3:A$502)-2),2)),0)=0,"",IFERROR(-INDEX(Expenses!D$3:D$1002,SMALL(IF((Expenses!E$3:E$1002="GBP")*(Expenses!A$3:A$1002=DATE(2026,1,17)),ROW(Expenses!A$3:A$1002)-2),2)),0)+IFERROR(INDEX(Income!C$3:C$502,SMALL(IF((Income!D$3:D$502="GBP")*(Income!A$3:A$502=DATE(2026,1,17)),ROW(Income!A$3:A$502)-2),2)),0))</f>
        <v/>
      </c>
      <c r="N15" s="38" t="str">
        <f aca="false">IF(IFERROR(INDEX(Expenses!B$3:B$1002,SMALL(IF((Expenses!E$3:E$1002="GBP")*(Expenses!A$3:A$1002=DATE(2026,1,17)),ROW(Expenses!A$3:A$1002)-2),2)),"")&lt;&gt;"",IFERROR(INDEX(Expenses!B$3:B$1002,SMALL(IF((Expenses!E$3:E$1002="GBP")*(Expenses!A$3:A$1002=DATE(2026,1,17)),ROW(Expenses!A$3:A$1002)-2),2)),""),IF(IFERROR(INDEX(Income!B$3:B$502,SMALL(IF((Income!D$3:D$502="GBP")*(Income!A$3:A$502=DATE(2026,1,17)),ROW(Income!A$3:A$502)-2),2)),"")&lt;&gt;"",IFERROR(INDEX(Income!B$3:B$502,SMALL(IF((Income!D$3:D$502="GBP")*(Income!A$3:A$502=DATE(2026,1,17)),ROW(Income!A$3:A$502)-2),2)),""),""))</f>
        <v/>
      </c>
      <c r="O15" s="62" t="str">
        <f aca="false">IF(IFERROR(-INDEX(Expenses!D$3:D$1002,SMALL(IF((Expenses!E$3:E$1002="GBP")*(Expenses!A$3:A$1002=DATE(2026,1,18)),ROW(Expenses!A$3:A$1002)-2),2)),0)+IFERROR(INDEX(Income!C$3:C$502,SMALL(IF((Income!D$3:D$502="GBP")*(Income!A$3:A$502=DATE(2026,1,18)),ROW(Income!A$3:A$502)-2),2)),0)=0,"",IFERROR(-INDEX(Expenses!D$3:D$1002,SMALL(IF((Expenses!E$3:E$1002="GBP")*(Expenses!A$3:A$1002=DATE(2026,1,18)),ROW(Expenses!A$3:A$1002)-2),2)),0)+IFERROR(INDEX(Income!C$3:C$502,SMALL(IF((Income!D$3:D$502="GBP")*(Income!A$3:A$502=DATE(2026,1,18)),ROW(Income!A$3:A$502)-2),2)),0))</f>
        <v/>
      </c>
      <c r="P15" s="38" t="str">
        <f aca="false">IF(IFERROR(INDEX(Expenses!B$3:B$1002,SMALL(IF((Expenses!E$3:E$1002="GBP")*(Expenses!A$3:A$1002=DATE(2026,1,18)),ROW(Expenses!A$3:A$1002)-2),2)),"")&lt;&gt;"",IFERROR(INDEX(Expenses!B$3:B$1002,SMALL(IF((Expenses!E$3:E$1002="GBP")*(Expenses!A$3:A$1002=DATE(2026,1,18)),ROW(Expenses!A$3:A$1002)-2),2)),""),IF(IFERROR(INDEX(Income!B$3:B$502,SMALL(IF((Income!D$3:D$502="GBP")*(Income!A$3:A$502=DATE(2026,1,18)),ROW(Income!A$3:A$502)-2),2)),"")&lt;&gt;"",IFERROR(INDEX(Income!B$3:B$502,SMALL(IF((Income!D$3:D$502="GBP")*(Income!A$3:A$502=DATE(2026,1,18)),ROW(Income!A$3:A$502)-2),2)),""),""))</f>
        <v/>
      </c>
      <c r="Q15" s="16"/>
      <c r="R15" s="16"/>
    </row>
    <row r="16" customFormat="false" ht="15" hidden="false" customHeight="false" outlineLevel="0" collapsed="false">
      <c r="A16" s="16"/>
      <c r="B16" s="16"/>
      <c r="C16" s="62" t="str">
        <f aca="false">IF(IFERROR(-INDEX(Expenses!D$3:D$1002,SMALL(IF((Expenses!E$3:E$1002="GBP")*(Expenses!A$3:A$1002=DATE(2026,1,12)),ROW(Expenses!A$3:A$1002)-2),3)),0)+IFERROR(INDEX(Income!C$3:C$502,SMALL(IF((Income!D$3:D$502="GBP")*(Income!A$3:A$502=DATE(2026,1,12)),ROW(Income!A$3:A$502)-2),3)),0)=0,"",IFERROR(-INDEX(Expenses!D$3:D$1002,SMALL(IF((Expenses!E$3:E$1002="GBP")*(Expenses!A$3:A$1002=DATE(2026,1,12)),ROW(Expenses!A$3:A$1002)-2),3)),0)+IFERROR(INDEX(Income!C$3:C$502,SMALL(IF((Income!D$3:D$502="GBP")*(Income!A$3:A$502=DATE(2026,1,12)),ROW(Income!A$3:A$502)-2),3)),0))</f>
        <v/>
      </c>
      <c r="D16" s="38" t="str">
        <f aca="false">IF(IFERROR(INDEX(Expenses!B$3:B$1002,SMALL(IF((Expenses!E$3:E$1002="GBP")*(Expenses!A$3:A$1002=DATE(2026,1,12)),ROW(Expenses!A$3:A$1002)-2),3)),"")&lt;&gt;"",IFERROR(INDEX(Expenses!B$3:B$1002,SMALL(IF((Expenses!E$3:E$1002="GBP")*(Expenses!A$3:A$1002=DATE(2026,1,12)),ROW(Expenses!A$3:A$1002)-2),3)),""),IF(IFERROR(INDEX(Income!B$3:B$502,SMALL(IF((Income!D$3:D$502="GBP")*(Income!A$3:A$502=DATE(2026,1,12)),ROW(Income!A$3:A$502)-2),3)),"")&lt;&gt;"",IFERROR(INDEX(Income!B$3:B$502,SMALL(IF((Income!D$3:D$502="GBP")*(Income!A$3:A$502=DATE(2026,1,12)),ROW(Income!A$3:A$502)-2),3)),""),""))</f>
        <v/>
      </c>
      <c r="E16" s="62" t="str">
        <f aca="false">IF(IFERROR(-INDEX(Expenses!D$3:D$1002,SMALL(IF((Expenses!E$3:E$1002="GBP")*(Expenses!A$3:A$1002=DATE(2026,1,13)),ROW(Expenses!A$3:A$1002)-2),3)),0)+IFERROR(INDEX(Income!C$3:C$502,SMALL(IF((Income!D$3:D$502="GBP")*(Income!A$3:A$502=DATE(2026,1,13)),ROW(Income!A$3:A$502)-2),3)),0)=0,"",IFERROR(-INDEX(Expenses!D$3:D$1002,SMALL(IF((Expenses!E$3:E$1002="GBP")*(Expenses!A$3:A$1002=DATE(2026,1,13)),ROW(Expenses!A$3:A$1002)-2),3)),0)+IFERROR(INDEX(Income!C$3:C$502,SMALL(IF((Income!D$3:D$502="GBP")*(Income!A$3:A$502=DATE(2026,1,13)),ROW(Income!A$3:A$502)-2),3)),0))</f>
        <v/>
      </c>
      <c r="F16" s="38" t="str">
        <f aca="false">IF(IFERROR(INDEX(Expenses!B$3:B$1002,SMALL(IF((Expenses!E$3:E$1002="GBP")*(Expenses!A$3:A$1002=DATE(2026,1,13)),ROW(Expenses!A$3:A$1002)-2),3)),"")&lt;&gt;"",IFERROR(INDEX(Expenses!B$3:B$1002,SMALL(IF((Expenses!E$3:E$1002="GBP")*(Expenses!A$3:A$1002=DATE(2026,1,13)),ROW(Expenses!A$3:A$1002)-2),3)),""),IF(IFERROR(INDEX(Income!B$3:B$502,SMALL(IF((Income!D$3:D$502="GBP")*(Income!A$3:A$502=DATE(2026,1,13)),ROW(Income!A$3:A$502)-2),3)),"")&lt;&gt;"",IFERROR(INDEX(Income!B$3:B$502,SMALL(IF((Income!D$3:D$502="GBP")*(Income!A$3:A$502=DATE(2026,1,13)),ROW(Income!A$3:A$502)-2),3)),""),""))</f>
        <v/>
      </c>
      <c r="G16" s="62" t="str">
        <f aca="false">IF(IFERROR(-INDEX(Expenses!D$3:D$1002,SMALL(IF((Expenses!E$3:E$1002="GBP")*(Expenses!A$3:A$1002=DATE(2026,1,14)),ROW(Expenses!A$3:A$1002)-2),3)),0)+IFERROR(INDEX(Income!C$3:C$502,SMALL(IF((Income!D$3:D$502="GBP")*(Income!A$3:A$502=DATE(2026,1,14)),ROW(Income!A$3:A$502)-2),3)),0)=0,"",IFERROR(-INDEX(Expenses!D$3:D$1002,SMALL(IF((Expenses!E$3:E$1002="GBP")*(Expenses!A$3:A$1002=DATE(2026,1,14)),ROW(Expenses!A$3:A$1002)-2),3)),0)+IFERROR(INDEX(Income!C$3:C$502,SMALL(IF((Income!D$3:D$502="GBP")*(Income!A$3:A$502=DATE(2026,1,14)),ROW(Income!A$3:A$502)-2),3)),0))</f>
        <v/>
      </c>
      <c r="H16" s="38" t="str">
        <f aca="false">IF(IFERROR(INDEX(Expenses!B$3:B$1002,SMALL(IF((Expenses!E$3:E$1002="GBP")*(Expenses!A$3:A$1002=DATE(2026,1,14)),ROW(Expenses!A$3:A$1002)-2),3)),"")&lt;&gt;"",IFERROR(INDEX(Expenses!B$3:B$1002,SMALL(IF((Expenses!E$3:E$1002="GBP")*(Expenses!A$3:A$1002=DATE(2026,1,14)),ROW(Expenses!A$3:A$1002)-2),3)),""),IF(IFERROR(INDEX(Income!B$3:B$502,SMALL(IF((Income!D$3:D$502="GBP")*(Income!A$3:A$502=DATE(2026,1,14)),ROW(Income!A$3:A$502)-2),3)),"")&lt;&gt;"",IFERROR(INDEX(Income!B$3:B$502,SMALL(IF((Income!D$3:D$502="GBP")*(Income!A$3:A$502=DATE(2026,1,14)),ROW(Income!A$3:A$502)-2),3)),""),""))</f>
        <v/>
      </c>
      <c r="I16" s="62" t="str">
        <f aca="false">IF(IFERROR(-INDEX(Expenses!D$3:D$1002,SMALL(IF((Expenses!E$3:E$1002="GBP")*(Expenses!A$3:A$1002=DATE(2026,1,15)),ROW(Expenses!A$3:A$1002)-2),3)),0)+IFERROR(INDEX(Income!C$3:C$502,SMALL(IF((Income!D$3:D$502="GBP")*(Income!A$3:A$502=DATE(2026,1,15)),ROW(Income!A$3:A$502)-2),3)),0)=0,"",IFERROR(-INDEX(Expenses!D$3:D$1002,SMALL(IF((Expenses!E$3:E$1002="GBP")*(Expenses!A$3:A$1002=DATE(2026,1,15)),ROW(Expenses!A$3:A$1002)-2),3)),0)+IFERROR(INDEX(Income!C$3:C$502,SMALL(IF((Income!D$3:D$502="GBP")*(Income!A$3:A$502=DATE(2026,1,15)),ROW(Income!A$3:A$502)-2),3)),0))</f>
        <v/>
      </c>
      <c r="J16" s="38" t="str">
        <f aca="false">IF(IFERROR(INDEX(Expenses!B$3:B$1002,SMALL(IF((Expenses!E$3:E$1002="GBP")*(Expenses!A$3:A$1002=DATE(2026,1,15)),ROW(Expenses!A$3:A$1002)-2),3)),"")&lt;&gt;"",IFERROR(INDEX(Expenses!B$3:B$1002,SMALL(IF((Expenses!E$3:E$1002="GBP")*(Expenses!A$3:A$1002=DATE(2026,1,15)),ROW(Expenses!A$3:A$1002)-2),3)),""),IF(IFERROR(INDEX(Income!B$3:B$502,SMALL(IF((Income!D$3:D$502="GBP")*(Income!A$3:A$502=DATE(2026,1,15)),ROW(Income!A$3:A$502)-2),3)),"")&lt;&gt;"",IFERROR(INDEX(Income!B$3:B$502,SMALL(IF((Income!D$3:D$502="GBP")*(Income!A$3:A$502=DATE(2026,1,15)),ROW(Income!A$3:A$502)-2),3)),""),""))</f>
        <v/>
      </c>
      <c r="K16" s="62" t="str">
        <f aca="false">IF(IFERROR(-INDEX(Expenses!D$3:D$1002,SMALL(IF((Expenses!E$3:E$1002="GBP")*(Expenses!A$3:A$1002=DATE(2026,1,16)),ROW(Expenses!A$3:A$1002)-2),3)),0)+IFERROR(INDEX(Income!C$3:C$502,SMALL(IF((Income!D$3:D$502="GBP")*(Income!A$3:A$502=DATE(2026,1,16)),ROW(Income!A$3:A$502)-2),3)),0)=0,"",IFERROR(-INDEX(Expenses!D$3:D$1002,SMALL(IF((Expenses!E$3:E$1002="GBP")*(Expenses!A$3:A$1002=DATE(2026,1,16)),ROW(Expenses!A$3:A$1002)-2),3)),0)+IFERROR(INDEX(Income!C$3:C$502,SMALL(IF((Income!D$3:D$502="GBP")*(Income!A$3:A$502=DATE(2026,1,16)),ROW(Income!A$3:A$502)-2),3)),0))</f>
        <v/>
      </c>
      <c r="L16" s="38" t="str">
        <f aca="false">IF(IFERROR(INDEX(Expenses!B$3:B$1002,SMALL(IF((Expenses!E$3:E$1002="GBP")*(Expenses!A$3:A$1002=DATE(2026,1,16)),ROW(Expenses!A$3:A$1002)-2),3)),"")&lt;&gt;"",IFERROR(INDEX(Expenses!B$3:B$1002,SMALL(IF((Expenses!E$3:E$1002="GBP")*(Expenses!A$3:A$1002=DATE(2026,1,16)),ROW(Expenses!A$3:A$1002)-2),3)),""),IF(IFERROR(INDEX(Income!B$3:B$502,SMALL(IF((Income!D$3:D$502="GBP")*(Income!A$3:A$502=DATE(2026,1,16)),ROW(Income!A$3:A$502)-2),3)),"")&lt;&gt;"",IFERROR(INDEX(Income!B$3:B$502,SMALL(IF((Income!D$3:D$502="GBP")*(Income!A$3:A$502=DATE(2026,1,16)),ROW(Income!A$3:A$502)-2),3)),""),""))</f>
        <v/>
      </c>
      <c r="M16" s="62" t="str">
        <f aca="false">IF(IFERROR(-INDEX(Expenses!D$3:D$1002,SMALL(IF((Expenses!E$3:E$1002="GBP")*(Expenses!A$3:A$1002=DATE(2026,1,17)),ROW(Expenses!A$3:A$1002)-2),3)),0)+IFERROR(INDEX(Income!C$3:C$502,SMALL(IF((Income!D$3:D$502="GBP")*(Income!A$3:A$502=DATE(2026,1,17)),ROW(Income!A$3:A$502)-2),3)),0)=0,"",IFERROR(-INDEX(Expenses!D$3:D$1002,SMALL(IF((Expenses!E$3:E$1002="GBP")*(Expenses!A$3:A$1002=DATE(2026,1,17)),ROW(Expenses!A$3:A$1002)-2),3)),0)+IFERROR(INDEX(Income!C$3:C$502,SMALL(IF((Income!D$3:D$502="GBP")*(Income!A$3:A$502=DATE(2026,1,17)),ROW(Income!A$3:A$502)-2),3)),0))</f>
        <v/>
      </c>
      <c r="N16" s="38" t="str">
        <f aca="false">IF(IFERROR(INDEX(Expenses!B$3:B$1002,SMALL(IF((Expenses!E$3:E$1002="GBP")*(Expenses!A$3:A$1002=DATE(2026,1,17)),ROW(Expenses!A$3:A$1002)-2),3)),"")&lt;&gt;"",IFERROR(INDEX(Expenses!B$3:B$1002,SMALL(IF((Expenses!E$3:E$1002="GBP")*(Expenses!A$3:A$1002=DATE(2026,1,17)),ROW(Expenses!A$3:A$1002)-2),3)),""),IF(IFERROR(INDEX(Income!B$3:B$502,SMALL(IF((Income!D$3:D$502="GBP")*(Income!A$3:A$502=DATE(2026,1,17)),ROW(Income!A$3:A$502)-2),3)),"")&lt;&gt;"",IFERROR(INDEX(Income!B$3:B$502,SMALL(IF((Income!D$3:D$502="GBP")*(Income!A$3:A$502=DATE(2026,1,17)),ROW(Income!A$3:A$502)-2),3)),""),""))</f>
        <v/>
      </c>
      <c r="O16" s="62" t="str">
        <f aca="false">IF(IFERROR(-INDEX(Expenses!D$3:D$1002,SMALL(IF((Expenses!E$3:E$1002="GBP")*(Expenses!A$3:A$1002=DATE(2026,1,18)),ROW(Expenses!A$3:A$1002)-2),3)),0)+IFERROR(INDEX(Income!C$3:C$502,SMALL(IF((Income!D$3:D$502="GBP")*(Income!A$3:A$502=DATE(2026,1,18)),ROW(Income!A$3:A$502)-2),3)),0)=0,"",IFERROR(-INDEX(Expenses!D$3:D$1002,SMALL(IF((Expenses!E$3:E$1002="GBP")*(Expenses!A$3:A$1002=DATE(2026,1,18)),ROW(Expenses!A$3:A$1002)-2),3)),0)+IFERROR(INDEX(Income!C$3:C$502,SMALL(IF((Income!D$3:D$502="GBP")*(Income!A$3:A$502=DATE(2026,1,18)),ROW(Income!A$3:A$502)-2),3)),0))</f>
        <v/>
      </c>
      <c r="P16" s="38" t="str">
        <f aca="false">IF(IFERROR(INDEX(Expenses!B$3:B$1002,SMALL(IF((Expenses!E$3:E$1002="GBP")*(Expenses!A$3:A$1002=DATE(2026,1,18)),ROW(Expenses!A$3:A$1002)-2),3)),"")&lt;&gt;"",IFERROR(INDEX(Expenses!B$3:B$1002,SMALL(IF((Expenses!E$3:E$1002="GBP")*(Expenses!A$3:A$1002=DATE(2026,1,18)),ROW(Expenses!A$3:A$1002)-2),3)),""),IF(IFERROR(INDEX(Income!B$3:B$502,SMALL(IF((Income!D$3:D$502="GBP")*(Income!A$3:A$502=DATE(2026,1,18)),ROW(Income!A$3:A$502)-2),3)),"")&lt;&gt;"",IFERROR(INDEX(Income!B$3:B$502,SMALL(IF((Income!D$3:D$502="GBP")*(Income!A$3:A$502=DATE(2026,1,18)),ROW(Income!A$3:A$502)-2),3)),""),""))</f>
        <v/>
      </c>
      <c r="Q16" s="16"/>
      <c r="R16" s="16"/>
    </row>
    <row r="17" customFormat="false" ht="15" hidden="false" customHeight="false" outlineLevel="0" collapsed="false">
      <c r="A17" s="16"/>
      <c r="B17" s="16"/>
      <c r="C17" s="62" t="str">
        <f aca="false">IF(IFERROR(-INDEX(Expenses!D$3:D$1002,SMALL(IF((Expenses!E$3:E$1002="GBP")*(Expenses!A$3:A$1002=DATE(2026,1,12)),ROW(Expenses!A$3:A$1002)-2),4)),0)+IFERROR(INDEX(Income!C$3:C$502,SMALL(IF((Income!D$3:D$502="GBP")*(Income!A$3:A$502=DATE(2026,1,12)),ROW(Income!A$3:A$502)-2),4)),0)=0,"",IFERROR(-INDEX(Expenses!D$3:D$1002,SMALL(IF((Expenses!E$3:E$1002="GBP")*(Expenses!A$3:A$1002=DATE(2026,1,12)),ROW(Expenses!A$3:A$1002)-2),4)),0)+IFERROR(INDEX(Income!C$3:C$502,SMALL(IF((Income!D$3:D$502="GBP")*(Income!A$3:A$502=DATE(2026,1,12)),ROW(Income!A$3:A$502)-2),4)),0))</f>
        <v/>
      </c>
      <c r="D17" s="38" t="str">
        <f aca="false">IF(IFERROR(INDEX(Expenses!B$3:B$1002,SMALL(IF((Expenses!E$3:E$1002="GBP")*(Expenses!A$3:A$1002=DATE(2026,1,12)),ROW(Expenses!A$3:A$1002)-2),4)),"")&lt;&gt;"",IFERROR(INDEX(Expenses!B$3:B$1002,SMALL(IF((Expenses!E$3:E$1002="GBP")*(Expenses!A$3:A$1002=DATE(2026,1,12)),ROW(Expenses!A$3:A$1002)-2),4)),""),IF(IFERROR(INDEX(Income!B$3:B$502,SMALL(IF((Income!D$3:D$502="GBP")*(Income!A$3:A$502=DATE(2026,1,12)),ROW(Income!A$3:A$502)-2),4)),"")&lt;&gt;"",IFERROR(INDEX(Income!B$3:B$502,SMALL(IF((Income!D$3:D$502="GBP")*(Income!A$3:A$502=DATE(2026,1,12)),ROW(Income!A$3:A$502)-2),4)),""),""))</f>
        <v/>
      </c>
      <c r="E17" s="62" t="str">
        <f aca="false">IF(IFERROR(-INDEX(Expenses!D$3:D$1002,SMALL(IF((Expenses!E$3:E$1002="GBP")*(Expenses!A$3:A$1002=DATE(2026,1,13)),ROW(Expenses!A$3:A$1002)-2),4)),0)+IFERROR(INDEX(Income!C$3:C$502,SMALL(IF((Income!D$3:D$502="GBP")*(Income!A$3:A$502=DATE(2026,1,13)),ROW(Income!A$3:A$502)-2),4)),0)=0,"",IFERROR(-INDEX(Expenses!D$3:D$1002,SMALL(IF((Expenses!E$3:E$1002="GBP")*(Expenses!A$3:A$1002=DATE(2026,1,13)),ROW(Expenses!A$3:A$1002)-2),4)),0)+IFERROR(INDEX(Income!C$3:C$502,SMALL(IF((Income!D$3:D$502="GBP")*(Income!A$3:A$502=DATE(2026,1,13)),ROW(Income!A$3:A$502)-2),4)),0))</f>
        <v/>
      </c>
      <c r="F17" s="38" t="str">
        <f aca="false">IF(IFERROR(INDEX(Expenses!B$3:B$1002,SMALL(IF((Expenses!E$3:E$1002="GBP")*(Expenses!A$3:A$1002=DATE(2026,1,13)),ROW(Expenses!A$3:A$1002)-2),4)),"")&lt;&gt;"",IFERROR(INDEX(Expenses!B$3:B$1002,SMALL(IF((Expenses!E$3:E$1002="GBP")*(Expenses!A$3:A$1002=DATE(2026,1,13)),ROW(Expenses!A$3:A$1002)-2),4)),""),IF(IFERROR(INDEX(Income!B$3:B$502,SMALL(IF((Income!D$3:D$502="GBP")*(Income!A$3:A$502=DATE(2026,1,13)),ROW(Income!A$3:A$502)-2),4)),"")&lt;&gt;"",IFERROR(INDEX(Income!B$3:B$502,SMALL(IF((Income!D$3:D$502="GBP")*(Income!A$3:A$502=DATE(2026,1,13)),ROW(Income!A$3:A$502)-2),4)),""),""))</f>
        <v/>
      </c>
      <c r="G17" s="62" t="str">
        <f aca="false">IF(IFERROR(-INDEX(Expenses!D$3:D$1002,SMALL(IF((Expenses!E$3:E$1002="GBP")*(Expenses!A$3:A$1002=DATE(2026,1,14)),ROW(Expenses!A$3:A$1002)-2),4)),0)+IFERROR(INDEX(Income!C$3:C$502,SMALL(IF((Income!D$3:D$502="GBP")*(Income!A$3:A$502=DATE(2026,1,14)),ROW(Income!A$3:A$502)-2),4)),0)=0,"",IFERROR(-INDEX(Expenses!D$3:D$1002,SMALL(IF((Expenses!E$3:E$1002="GBP")*(Expenses!A$3:A$1002=DATE(2026,1,14)),ROW(Expenses!A$3:A$1002)-2),4)),0)+IFERROR(INDEX(Income!C$3:C$502,SMALL(IF((Income!D$3:D$502="GBP")*(Income!A$3:A$502=DATE(2026,1,14)),ROW(Income!A$3:A$502)-2),4)),0))</f>
        <v/>
      </c>
      <c r="H17" s="38" t="str">
        <f aca="false">IF(IFERROR(INDEX(Expenses!B$3:B$1002,SMALL(IF((Expenses!E$3:E$1002="GBP")*(Expenses!A$3:A$1002=DATE(2026,1,14)),ROW(Expenses!A$3:A$1002)-2),4)),"")&lt;&gt;"",IFERROR(INDEX(Expenses!B$3:B$1002,SMALL(IF((Expenses!E$3:E$1002="GBP")*(Expenses!A$3:A$1002=DATE(2026,1,14)),ROW(Expenses!A$3:A$1002)-2),4)),""),IF(IFERROR(INDEX(Income!B$3:B$502,SMALL(IF((Income!D$3:D$502="GBP")*(Income!A$3:A$502=DATE(2026,1,14)),ROW(Income!A$3:A$502)-2),4)),"")&lt;&gt;"",IFERROR(INDEX(Income!B$3:B$502,SMALL(IF((Income!D$3:D$502="GBP")*(Income!A$3:A$502=DATE(2026,1,14)),ROW(Income!A$3:A$502)-2),4)),""),""))</f>
        <v/>
      </c>
      <c r="I17" s="62" t="str">
        <f aca="false">IF(IFERROR(-INDEX(Expenses!D$3:D$1002,SMALL(IF((Expenses!E$3:E$1002="GBP")*(Expenses!A$3:A$1002=DATE(2026,1,15)),ROW(Expenses!A$3:A$1002)-2),4)),0)+IFERROR(INDEX(Income!C$3:C$502,SMALL(IF((Income!D$3:D$502="GBP")*(Income!A$3:A$502=DATE(2026,1,15)),ROW(Income!A$3:A$502)-2),4)),0)=0,"",IFERROR(-INDEX(Expenses!D$3:D$1002,SMALL(IF((Expenses!E$3:E$1002="GBP")*(Expenses!A$3:A$1002=DATE(2026,1,15)),ROW(Expenses!A$3:A$1002)-2),4)),0)+IFERROR(INDEX(Income!C$3:C$502,SMALL(IF((Income!D$3:D$502="GBP")*(Income!A$3:A$502=DATE(2026,1,15)),ROW(Income!A$3:A$502)-2),4)),0))</f>
        <v/>
      </c>
      <c r="J17" s="38" t="str">
        <f aca="false">IF(IFERROR(INDEX(Expenses!B$3:B$1002,SMALL(IF((Expenses!E$3:E$1002="GBP")*(Expenses!A$3:A$1002=DATE(2026,1,15)),ROW(Expenses!A$3:A$1002)-2),4)),"")&lt;&gt;"",IFERROR(INDEX(Expenses!B$3:B$1002,SMALL(IF((Expenses!E$3:E$1002="GBP")*(Expenses!A$3:A$1002=DATE(2026,1,15)),ROW(Expenses!A$3:A$1002)-2),4)),""),IF(IFERROR(INDEX(Income!B$3:B$502,SMALL(IF((Income!D$3:D$502="GBP")*(Income!A$3:A$502=DATE(2026,1,15)),ROW(Income!A$3:A$502)-2),4)),"")&lt;&gt;"",IFERROR(INDEX(Income!B$3:B$502,SMALL(IF((Income!D$3:D$502="GBP")*(Income!A$3:A$502=DATE(2026,1,15)),ROW(Income!A$3:A$502)-2),4)),""),""))</f>
        <v/>
      </c>
      <c r="K17" s="62" t="str">
        <f aca="false">IF(IFERROR(-INDEX(Expenses!D$3:D$1002,SMALL(IF((Expenses!E$3:E$1002="GBP")*(Expenses!A$3:A$1002=DATE(2026,1,16)),ROW(Expenses!A$3:A$1002)-2),4)),0)+IFERROR(INDEX(Income!C$3:C$502,SMALL(IF((Income!D$3:D$502="GBP")*(Income!A$3:A$502=DATE(2026,1,16)),ROW(Income!A$3:A$502)-2),4)),0)=0,"",IFERROR(-INDEX(Expenses!D$3:D$1002,SMALL(IF((Expenses!E$3:E$1002="GBP")*(Expenses!A$3:A$1002=DATE(2026,1,16)),ROW(Expenses!A$3:A$1002)-2),4)),0)+IFERROR(INDEX(Income!C$3:C$502,SMALL(IF((Income!D$3:D$502="GBP")*(Income!A$3:A$502=DATE(2026,1,16)),ROW(Income!A$3:A$502)-2),4)),0))</f>
        <v/>
      </c>
      <c r="L17" s="38" t="str">
        <f aca="false">IF(IFERROR(INDEX(Expenses!B$3:B$1002,SMALL(IF((Expenses!E$3:E$1002="GBP")*(Expenses!A$3:A$1002=DATE(2026,1,16)),ROW(Expenses!A$3:A$1002)-2),4)),"")&lt;&gt;"",IFERROR(INDEX(Expenses!B$3:B$1002,SMALL(IF((Expenses!E$3:E$1002="GBP")*(Expenses!A$3:A$1002=DATE(2026,1,16)),ROW(Expenses!A$3:A$1002)-2),4)),""),IF(IFERROR(INDEX(Income!B$3:B$502,SMALL(IF((Income!D$3:D$502="GBP")*(Income!A$3:A$502=DATE(2026,1,16)),ROW(Income!A$3:A$502)-2),4)),"")&lt;&gt;"",IFERROR(INDEX(Income!B$3:B$502,SMALL(IF((Income!D$3:D$502="GBP")*(Income!A$3:A$502=DATE(2026,1,16)),ROW(Income!A$3:A$502)-2),4)),""),""))</f>
        <v/>
      </c>
      <c r="M17" s="62" t="str">
        <f aca="false">IF(IFERROR(-INDEX(Expenses!D$3:D$1002,SMALL(IF((Expenses!E$3:E$1002="GBP")*(Expenses!A$3:A$1002=DATE(2026,1,17)),ROW(Expenses!A$3:A$1002)-2),4)),0)+IFERROR(INDEX(Income!C$3:C$502,SMALL(IF((Income!D$3:D$502="GBP")*(Income!A$3:A$502=DATE(2026,1,17)),ROW(Income!A$3:A$502)-2),4)),0)=0,"",IFERROR(-INDEX(Expenses!D$3:D$1002,SMALL(IF((Expenses!E$3:E$1002="GBP")*(Expenses!A$3:A$1002=DATE(2026,1,17)),ROW(Expenses!A$3:A$1002)-2),4)),0)+IFERROR(INDEX(Income!C$3:C$502,SMALL(IF((Income!D$3:D$502="GBP")*(Income!A$3:A$502=DATE(2026,1,17)),ROW(Income!A$3:A$502)-2),4)),0))</f>
        <v/>
      </c>
      <c r="N17" s="38" t="str">
        <f aca="false">IF(IFERROR(INDEX(Expenses!B$3:B$1002,SMALL(IF((Expenses!E$3:E$1002="GBP")*(Expenses!A$3:A$1002=DATE(2026,1,17)),ROW(Expenses!A$3:A$1002)-2),4)),"")&lt;&gt;"",IFERROR(INDEX(Expenses!B$3:B$1002,SMALL(IF((Expenses!E$3:E$1002="GBP")*(Expenses!A$3:A$1002=DATE(2026,1,17)),ROW(Expenses!A$3:A$1002)-2),4)),""),IF(IFERROR(INDEX(Income!B$3:B$502,SMALL(IF((Income!D$3:D$502="GBP")*(Income!A$3:A$502=DATE(2026,1,17)),ROW(Income!A$3:A$502)-2),4)),"")&lt;&gt;"",IFERROR(INDEX(Income!B$3:B$502,SMALL(IF((Income!D$3:D$502="GBP")*(Income!A$3:A$502=DATE(2026,1,17)),ROW(Income!A$3:A$502)-2),4)),""),""))</f>
        <v/>
      </c>
      <c r="O17" s="62" t="str">
        <f aca="false">IF(IFERROR(-INDEX(Expenses!D$3:D$1002,SMALL(IF((Expenses!E$3:E$1002="GBP")*(Expenses!A$3:A$1002=DATE(2026,1,18)),ROW(Expenses!A$3:A$1002)-2),4)),0)+IFERROR(INDEX(Income!C$3:C$502,SMALL(IF((Income!D$3:D$502="GBP")*(Income!A$3:A$502=DATE(2026,1,18)),ROW(Income!A$3:A$502)-2),4)),0)=0,"",IFERROR(-INDEX(Expenses!D$3:D$1002,SMALL(IF((Expenses!E$3:E$1002="GBP")*(Expenses!A$3:A$1002=DATE(2026,1,18)),ROW(Expenses!A$3:A$1002)-2),4)),0)+IFERROR(INDEX(Income!C$3:C$502,SMALL(IF((Income!D$3:D$502="GBP")*(Income!A$3:A$502=DATE(2026,1,18)),ROW(Income!A$3:A$502)-2),4)),0))</f>
        <v/>
      </c>
      <c r="P17" s="38" t="str">
        <f aca="false">IF(IFERROR(INDEX(Expenses!B$3:B$1002,SMALL(IF((Expenses!E$3:E$1002="GBP")*(Expenses!A$3:A$1002=DATE(2026,1,18)),ROW(Expenses!A$3:A$1002)-2),4)),"")&lt;&gt;"",IFERROR(INDEX(Expenses!B$3:B$1002,SMALL(IF((Expenses!E$3:E$1002="GBP")*(Expenses!A$3:A$1002=DATE(2026,1,18)),ROW(Expenses!A$3:A$1002)-2),4)),""),IF(IFERROR(INDEX(Income!B$3:B$502,SMALL(IF((Income!D$3:D$502="GBP")*(Income!A$3:A$502=DATE(2026,1,18)),ROW(Income!A$3:A$502)-2),4)),"")&lt;&gt;"",IFERROR(INDEX(Income!B$3:B$502,SMALL(IF((Income!D$3:D$502="GBP")*(Income!A$3:A$502=DATE(2026,1,18)),ROW(Income!A$3:A$502)-2),4)),""),""))</f>
        <v/>
      </c>
      <c r="Q17" s="16"/>
      <c r="R17" s="16"/>
    </row>
    <row r="18" customFormat="false" ht="15" hidden="false" customHeight="false" outlineLevel="0" collapsed="false">
      <c r="A18" s="16"/>
      <c r="B18" s="16"/>
      <c r="C18" s="62" t="str">
        <f aca="false">IF(IFERROR(-INDEX(Expenses!D$3:D$1002,SMALL(IF((Expenses!E$3:E$1002="GBP")*(Expenses!A$3:A$1002=DATE(2026,1,12)),ROW(Expenses!A$3:A$1002)-2),5)),0)+IFERROR(INDEX(Income!C$3:C$502,SMALL(IF((Income!D$3:D$502="GBP")*(Income!A$3:A$502=DATE(2026,1,12)),ROW(Income!A$3:A$502)-2),5)),0)=0,"",IFERROR(-INDEX(Expenses!D$3:D$1002,SMALL(IF((Expenses!E$3:E$1002="GBP")*(Expenses!A$3:A$1002=DATE(2026,1,12)),ROW(Expenses!A$3:A$1002)-2),5)),0)+IFERROR(INDEX(Income!C$3:C$502,SMALL(IF((Income!D$3:D$502="GBP")*(Income!A$3:A$502=DATE(2026,1,12)),ROW(Income!A$3:A$502)-2),5)),0))</f>
        <v/>
      </c>
      <c r="D18" s="38" t="str">
        <f aca="false">IF(IFERROR(INDEX(Expenses!B$3:B$1002,SMALL(IF((Expenses!E$3:E$1002="GBP")*(Expenses!A$3:A$1002=DATE(2026,1,12)),ROW(Expenses!A$3:A$1002)-2),5)),"")&lt;&gt;"",IFERROR(INDEX(Expenses!B$3:B$1002,SMALL(IF((Expenses!E$3:E$1002="GBP")*(Expenses!A$3:A$1002=DATE(2026,1,12)),ROW(Expenses!A$3:A$1002)-2),5)),""),IF(IFERROR(INDEX(Income!B$3:B$502,SMALL(IF((Income!D$3:D$502="GBP")*(Income!A$3:A$502=DATE(2026,1,12)),ROW(Income!A$3:A$502)-2),5)),"")&lt;&gt;"",IFERROR(INDEX(Income!B$3:B$502,SMALL(IF((Income!D$3:D$502="GBP")*(Income!A$3:A$502=DATE(2026,1,12)),ROW(Income!A$3:A$502)-2),5)),""),""))</f>
        <v/>
      </c>
      <c r="E18" s="62" t="str">
        <f aca="false">IF(IFERROR(-INDEX(Expenses!D$3:D$1002,SMALL(IF((Expenses!E$3:E$1002="GBP")*(Expenses!A$3:A$1002=DATE(2026,1,13)),ROW(Expenses!A$3:A$1002)-2),5)),0)+IFERROR(INDEX(Income!C$3:C$502,SMALL(IF((Income!D$3:D$502="GBP")*(Income!A$3:A$502=DATE(2026,1,13)),ROW(Income!A$3:A$502)-2),5)),0)=0,"",IFERROR(-INDEX(Expenses!D$3:D$1002,SMALL(IF((Expenses!E$3:E$1002="GBP")*(Expenses!A$3:A$1002=DATE(2026,1,13)),ROW(Expenses!A$3:A$1002)-2),5)),0)+IFERROR(INDEX(Income!C$3:C$502,SMALL(IF((Income!D$3:D$502="GBP")*(Income!A$3:A$502=DATE(2026,1,13)),ROW(Income!A$3:A$502)-2),5)),0))</f>
        <v/>
      </c>
      <c r="F18" s="38" t="str">
        <f aca="false">IF(IFERROR(INDEX(Expenses!B$3:B$1002,SMALL(IF((Expenses!E$3:E$1002="GBP")*(Expenses!A$3:A$1002=DATE(2026,1,13)),ROW(Expenses!A$3:A$1002)-2),5)),"")&lt;&gt;"",IFERROR(INDEX(Expenses!B$3:B$1002,SMALL(IF((Expenses!E$3:E$1002="GBP")*(Expenses!A$3:A$1002=DATE(2026,1,13)),ROW(Expenses!A$3:A$1002)-2),5)),""),IF(IFERROR(INDEX(Income!B$3:B$502,SMALL(IF((Income!D$3:D$502="GBP")*(Income!A$3:A$502=DATE(2026,1,13)),ROW(Income!A$3:A$502)-2),5)),"")&lt;&gt;"",IFERROR(INDEX(Income!B$3:B$502,SMALL(IF((Income!D$3:D$502="GBP")*(Income!A$3:A$502=DATE(2026,1,13)),ROW(Income!A$3:A$502)-2),5)),""),""))</f>
        <v/>
      </c>
      <c r="G18" s="62" t="str">
        <f aca="false">IF(IFERROR(-INDEX(Expenses!D$3:D$1002,SMALL(IF((Expenses!E$3:E$1002="GBP")*(Expenses!A$3:A$1002=DATE(2026,1,14)),ROW(Expenses!A$3:A$1002)-2),5)),0)+IFERROR(INDEX(Income!C$3:C$502,SMALL(IF((Income!D$3:D$502="GBP")*(Income!A$3:A$502=DATE(2026,1,14)),ROW(Income!A$3:A$502)-2),5)),0)=0,"",IFERROR(-INDEX(Expenses!D$3:D$1002,SMALL(IF((Expenses!E$3:E$1002="GBP")*(Expenses!A$3:A$1002=DATE(2026,1,14)),ROW(Expenses!A$3:A$1002)-2),5)),0)+IFERROR(INDEX(Income!C$3:C$502,SMALL(IF((Income!D$3:D$502="GBP")*(Income!A$3:A$502=DATE(2026,1,14)),ROW(Income!A$3:A$502)-2),5)),0))</f>
        <v/>
      </c>
      <c r="H18" s="38" t="str">
        <f aca="false">IF(IFERROR(INDEX(Expenses!B$3:B$1002,SMALL(IF((Expenses!E$3:E$1002="GBP")*(Expenses!A$3:A$1002=DATE(2026,1,14)),ROW(Expenses!A$3:A$1002)-2),5)),"")&lt;&gt;"",IFERROR(INDEX(Expenses!B$3:B$1002,SMALL(IF((Expenses!E$3:E$1002="GBP")*(Expenses!A$3:A$1002=DATE(2026,1,14)),ROW(Expenses!A$3:A$1002)-2),5)),""),IF(IFERROR(INDEX(Income!B$3:B$502,SMALL(IF((Income!D$3:D$502="GBP")*(Income!A$3:A$502=DATE(2026,1,14)),ROW(Income!A$3:A$502)-2),5)),"")&lt;&gt;"",IFERROR(INDEX(Income!B$3:B$502,SMALL(IF((Income!D$3:D$502="GBP")*(Income!A$3:A$502=DATE(2026,1,14)),ROW(Income!A$3:A$502)-2),5)),""),""))</f>
        <v/>
      </c>
      <c r="I18" s="62" t="str">
        <f aca="false">IF(IFERROR(-INDEX(Expenses!D$3:D$1002,SMALL(IF((Expenses!E$3:E$1002="GBP")*(Expenses!A$3:A$1002=DATE(2026,1,15)),ROW(Expenses!A$3:A$1002)-2),5)),0)+IFERROR(INDEX(Income!C$3:C$502,SMALL(IF((Income!D$3:D$502="GBP")*(Income!A$3:A$502=DATE(2026,1,15)),ROW(Income!A$3:A$502)-2),5)),0)=0,"",IFERROR(-INDEX(Expenses!D$3:D$1002,SMALL(IF((Expenses!E$3:E$1002="GBP")*(Expenses!A$3:A$1002=DATE(2026,1,15)),ROW(Expenses!A$3:A$1002)-2),5)),0)+IFERROR(INDEX(Income!C$3:C$502,SMALL(IF((Income!D$3:D$502="GBP")*(Income!A$3:A$502=DATE(2026,1,15)),ROW(Income!A$3:A$502)-2),5)),0))</f>
        <v/>
      </c>
      <c r="J18" s="38" t="str">
        <f aca="false">IF(IFERROR(INDEX(Expenses!B$3:B$1002,SMALL(IF((Expenses!E$3:E$1002="GBP")*(Expenses!A$3:A$1002=DATE(2026,1,15)),ROW(Expenses!A$3:A$1002)-2),5)),"")&lt;&gt;"",IFERROR(INDEX(Expenses!B$3:B$1002,SMALL(IF((Expenses!E$3:E$1002="GBP")*(Expenses!A$3:A$1002=DATE(2026,1,15)),ROW(Expenses!A$3:A$1002)-2),5)),""),IF(IFERROR(INDEX(Income!B$3:B$502,SMALL(IF((Income!D$3:D$502="GBP")*(Income!A$3:A$502=DATE(2026,1,15)),ROW(Income!A$3:A$502)-2),5)),"")&lt;&gt;"",IFERROR(INDEX(Income!B$3:B$502,SMALL(IF((Income!D$3:D$502="GBP")*(Income!A$3:A$502=DATE(2026,1,15)),ROW(Income!A$3:A$502)-2),5)),""),""))</f>
        <v/>
      </c>
      <c r="K18" s="62" t="str">
        <f aca="false">IF(IFERROR(-INDEX(Expenses!D$3:D$1002,SMALL(IF((Expenses!E$3:E$1002="GBP")*(Expenses!A$3:A$1002=DATE(2026,1,16)),ROW(Expenses!A$3:A$1002)-2),5)),0)+IFERROR(INDEX(Income!C$3:C$502,SMALL(IF((Income!D$3:D$502="GBP")*(Income!A$3:A$502=DATE(2026,1,16)),ROW(Income!A$3:A$502)-2),5)),0)=0,"",IFERROR(-INDEX(Expenses!D$3:D$1002,SMALL(IF((Expenses!E$3:E$1002="GBP")*(Expenses!A$3:A$1002=DATE(2026,1,16)),ROW(Expenses!A$3:A$1002)-2),5)),0)+IFERROR(INDEX(Income!C$3:C$502,SMALL(IF((Income!D$3:D$502="GBP")*(Income!A$3:A$502=DATE(2026,1,16)),ROW(Income!A$3:A$502)-2),5)),0))</f>
        <v/>
      </c>
      <c r="L18" s="38" t="str">
        <f aca="false">IF(IFERROR(INDEX(Expenses!B$3:B$1002,SMALL(IF((Expenses!E$3:E$1002="GBP")*(Expenses!A$3:A$1002=DATE(2026,1,16)),ROW(Expenses!A$3:A$1002)-2),5)),"")&lt;&gt;"",IFERROR(INDEX(Expenses!B$3:B$1002,SMALL(IF((Expenses!E$3:E$1002="GBP")*(Expenses!A$3:A$1002=DATE(2026,1,16)),ROW(Expenses!A$3:A$1002)-2),5)),""),IF(IFERROR(INDEX(Income!B$3:B$502,SMALL(IF((Income!D$3:D$502="GBP")*(Income!A$3:A$502=DATE(2026,1,16)),ROW(Income!A$3:A$502)-2),5)),"")&lt;&gt;"",IFERROR(INDEX(Income!B$3:B$502,SMALL(IF((Income!D$3:D$502="GBP")*(Income!A$3:A$502=DATE(2026,1,16)),ROW(Income!A$3:A$502)-2),5)),""),""))</f>
        <v/>
      </c>
      <c r="M18" s="62" t="str">
        <f aca="false">IF(IFERROR(-INDEX(Expenses!D$3:D$1002,SMALL(IF((Expenses!E$3:E$1002="GBP")*(Expenses!A$3:A$1002=DATE(2026,1,17)),ROW(Expenses!A$3:A$1002)-2),5)),0)+IFERROR(INDEX(Income!C$3:C$502,SMALL(IF((Income!D$3:D$502="GBP")*(Income!A$3:A$502=DATE(2026,1,17)),ROW(Income!A$3:A$502)-2),5)),0)=0,"",IFERROR(-INDEX(Expenses!D$3:D$1002,SMALL(IF((Expenses!E$3:E$1002="GBP")*(Expenses!A$3:A$1002=DATE(2026,1,17)),ROW(Expenses!A$3:A$1002)-2),5)),0)+IFERROR(INDEX(Income!C$3:C$502,SMALL(IF((Income!D$3:D$502="GBP")*(Income!A$3:A$502=DATE(2026,1,17)),ROW(Income!A$3:A$502)-2),5)),0))</f>
        <v/>
      </c>
      <c r="N18" s="38" t="str">
        <f aca="false">IF(IFERROR(INDEX(Expenses!B$3:B$1002,SMALL(IF((Expenses!E$3:E$1002="GBP")*(Expenses!A$3:A$1002=DATE(2026,1,17)),ROW(Expenses!A$3:A$1002)-2),5)),"")&lt;&gt;"",IFERROR(INDEX(Expenses!B$3:B$1002,SMALL(IF((Expenses!E$3:E$1002="GBP")*(Expenses!A$3:A$1002=DATE(2026,1,17)),ROW(Expenses!A$3:A$1002)-2),5)),""),IF(IFERROR(INDEX(Income!B$3:B$502,SMALL(IF((Income!D$3:D$502="GBP")*(Income!A$3:A$502=DATE(2026,1,17)),ROW(Income!A$3:A$502)-2),5)),"")&lt;&gt;"",IFERROR(INDEX(Income!B$3:B$502,SMALL(IF((Income!D$3:D$502="GBP")*(Income!A$3:A$502=DATE(2026,1,17)),ROW(Income!A$3:A$502)-2),5)),""),""))</f>
        <v/>
      </c>
      <c r="O18" s="62" t="str">
        <f aca="false">IF(IFERROR(-INDEX(Expenses!D$3:D$1002,SMALL(IF((Expenses!E$3:E$1002="GBP")*(Expenses!A$3:A$1002=DATE(2026,1,18)),ROW(Expenses!A$3:A$1002)-2),5)),0)+IFERROR(INDEX(Income!C$3:C$502,SMALL(IF((Income!D$3:D$502="GBP")*(Income!A$3:A$502=DATE(2026,1,18)),ROW(Income!A$3:A$502)-2),5)),0)=0,"",IFERROR(-INDEX(Expenses!D$3:D$1002,SMALL(IF((Expenses!E$3:E$1002="GBP")*(Expenses!A$3:A$1002=DATE(2026,1,18)),ROW(Expenses!A$3:A$1002)-2),5)),0)+IFERROR(INDEX(Income!C$3:C$502,SMALL(IF((Income!D$3:D$502="GBP")*(Income!A$3:A$502=DATE(2026,1,18)),ROW(Income!A$3:A$502)-2),5)),0))</f>
        <v/>
      </c>
      <c r="P18" s="38" t="str">
        <f aca="false">IF(IFERROR(INDEX(Expenses!B$3:B$1002,SMALL(IF((Expenses!E$3:E$1002="GBP")*(Expenses!A$3:A$1002=DATE(2026,1,18)),ROW(Expenses!A$3:A$1002)-2),5)),"")&lt;&gt;"",IFERROR(INDEX(Expenses!B$3:B$1002,SMALL(IF((Expenses!E$3:E$1002="GBP")*(Expenses!A$3:A$1002=DATE(2026,1,18)),ROW(Expenses!A$3:A$1002)-2),5)),""),IF(IFERROR(INDEX(Income!B$3:B$502,SMALL(IF((Income!D$3:D$502="GBP")*(Income!A$3:A$502=DATE(2026,1,18)),ROW(Income!A$3:A$502)-2),5)),"")&lt;&gt;"",IFERROR(INDEX(Income!B$3:B$502,SMALL(IF((Income!D$3:D$502="GBP")*(Income!A$3:A$502=DATE(2026,1,18)),ROW(Income!A$3:A$502)-2),5)),""),""))</f>
        <v/>
      </c>
      <c r="Q18" s="16"/>
      <c r="R18" s="16"/>
    </row>
    <row r="19" customFormat="false" ht="15" hidden="false" customHeight="false" outlineLevel="0" collapsed="false">
      <c r="A19" s="61" t="n">
        <v>46041</v>
      </c>
      <c r="B19" s="3" t="n">
        <v>4</v>
      </c>
      <c r="C19" s="62" t="str">
        <f aca="false">IF(IFERROR(-INDEX(Expenses!D$3:D$1002,SMALL(IF((Expenses!E$3:E$1002="GBP")*(Expenses!A$3:A$1002=DATE(2026,1,19)),ROW(Expenses!A$3:A$1002)-2),1)),0)+IFERROR(INDEX(Income!C$3:C$502,SMALL(IF((Income!D$3:D$502="GBP")*(Income!A$3:A$502=DATE(2026,1,19)),ROW(Income!A$3:A$502)-2),1)),0)=0,"",IFERROR(-INDEX(Expenses!D$3:D$1002,SMALL(IF((Expenses!E$3:E$1002="GBP")*(Expenses!A$3:A$1002=DATE(2026,1,19)),ROW(Expenses!A$3:A$1002)-2),1)),0)+IFERROR(INDEX(Income!C$3:C$502,SMALL(IF((Income!D$3:D$502="GBP")*(Income!A$3:A$502=DATE(2026,1,19)),ROW(Income!A$3:A$502)-2),1)),0))</f>
        <v/>
      </c>
      <c r="D19" s="38" t="str">
        <f aca="false">IF(IFERROR(INDEX(Expenses!B$3:B$1002,SMALL(IF((Expenses!E$3:E$1002="GBP")*(Expenses!A$3:A$1002=DATE(2026,1,19)),ROW(Expenses!A$3:A$1002)-2),1)),"")&lt;&gt;"",IFERROR(INDEX(Expenses!B$3:B$1002,SMALL(IF((Expenses!E$3:E$1002="GBP")*(Expenses!A$3:A$1002=DATE(2026,1,19)),ROW(Expenses!A$3:A$1002)-2),1)),""),IF(IFERROR(INDEX(Income!B$3:B$502,SMALL(IF((Income!D$3:D$502="GBP")*(Income!A$3:A$502=DATE(2026,1,19)),ROW(Income!A$3:A$502)-2),1)),"")&lt;&gt;"",IFERROR(INDEX(Income!B$3:B$502,SMALL(IF((Income!D$3:D$502="GBP")*(Income!A$3:A$502=DATE(2026,1,19)),ROW(Income!A$3:A$502)-2),1)),""),""))</f>
        <v/>
      </c>
      <c r="E19" s="62" t="str">
        <f aca="false">IF(IFERROR(-INDEX(Expenses!D$3:D$1002,SMALL(IF((Expenses!E$3:E$1002="GBP")*(Expenses!A$3:A$1002=DATE(2026,1,20)),ROW(Expenses!A$3:A$1002)-2),1)),0)+IFERROR(INDEX(Income!C$3:C$502,SMALL(IF((Income!D$3:D$502="GBP")*(Income!A$3:A$502=DATE(2026,1,20)),ROW(Income!A$3:A$502)-2),1)),0)=0,"",IFERROR(-INDEX(Expenses!D$3:D$1002,SMALL(IF((Expenses!E$3:E$1002="GBP")*(Expenses!A$3:A$1002=DATE(2026,1,20)),ROW(Expenses!A$3:A$1002)-2),1)),0)+IFERROR(INDEX(Income!C$3:C$502,SMALL(IF((Income!D$3:D$502="GBP")*(Income!A$3:A$502=DATE(2026,1,20)),ROW(Income!A$3:A$502)-2),1)),0))</f>
        <v/>
      </c>
      <c r="F19" s="38" t="str">
        <f aca="false">IF(IFERROR(INDEX(Expenses!B$3:B$1002,SMALL(IF((Expenses!E$3:E$1002="GBP")*(Expenses!A$3:A$1002=DATE(2026,1,20)),ROW(Expenses!A$3:A$1002)-2),1)),"")&lt;&gt;"",IFERROR(INDEX(Expenses!B$3:B$1002,SMALL(IF((Expenses!E$3:E$1002="GBP")*(Expenses!A$3:A$1002=DATE(2026,1,20)),ROW(Expenses!A$3:A$1002)-2),1)),""),IF(IFERROR(INDEX(Income!B$3:B$502,SMALL(IF((Income!D$3:D$502="GBP")*(Income!A$3:A$502=DATE(2026,1,20)),ROW(Income!A$3:A$502)-2),1)),"")&lt;&gt;"",IFERROR(INDEX(Income!B$3:B$502,SMALL(IF((Income!D$3:D$502="GBP")*(Income!A$3:A$502=DATE(2026,1,20)),ROW(Income!A$3:A$502)-2),1)),""),""))</f>
        <v/>
      </c>
      <c r="G19" s="62" t="str">
        <f aca="false">IF(IFERROR(-INDEX(Expenses!D$3:D$1002,SMALL(IF((Expenses!E$3:E$1002="GBP")*(Expenses!A$3:A$1002=DATE(2026,1,21)),ROW(Expenses!A$3:A$1002)-2),1)),0)+IFERROR(INDEX(Income!C$3:C$502,SMALL(IF((Income!D$3:D$502="GBP")*(Income!A$3:A$502=DATE(2026,1,21)),ROW(Income!A$3:A$502)-2),1)),0)=0,"",IFERROR(-INDEX(Expenses!D$3:D$1002,SMALL(IF((Expenses!E$3:E$1002="GBP")*(Expenses!A$3:A$1002=DATE(2026,1,21)),ROW(Expenses!A$3:A$1002)-2),1)),0)+IFERROR(INDEX(Income!C$3:C$502,SMALL(IF((Income!D$3:D$502="GBP")*(Income!A$3:A$502=DATE(2026,1,21)),ROW(Income!A$3:A$502)-2),1)),0))</f>
        <v/>
      </c>
      <c r="H19" s="38" t="str">
        <f aca="false">IF(IFERROR(INDEX(Expenses!B$3:B$1002,SMALL(IF((Expenses!E$3:E$1002="GBP")*(Expenses!A$3:A$1002=DATE(2026,1,21)),ROW(Expenses!A$3:A$1002)-2),1)),"")&lt;&gt;"",IFERROR(INDEX(Expenses!B$3:B$1002,SMALL(IF((Expenses!E$3:E$1002="GBP")*(Expenses!A$3:A$1002=DATE(2026,1,21)),ROW(Expenses!A$3:A$1002)-2),1)),""),IF(IFERROR(INDEX(Income!B$3:B$502,SMALL(IF((Income!D$3:D$502="GBP")*(Income!A$3:A$502=DATE(2026,1,21)),ROW(Income!A$3:A$502)-2),1)),"")&lt;&gt;"",IFERROR(INDEX(Income!B$3:B$502,SMALL(IF((Income!D$3:D$502="GBP")*(Income!A$3:A$502=DATE(2026,1,21)),ROW(Income!A$3:A$502)-2),1)),""),""))</f>
        <v/>
      </c>
      <c r="I19" s="62" t="str">
        <f aca="false">IF(IFERROR(-INDEX(Expenses!D$3:D$1002,SMALL(IF((Expenses!E$3:E$1002="GBP")*(Expenses!A$3:A$1002=DATE(2026,1,22)),ROW(Expenses!A$3:A$1002)-2),1)),0)+IFERROR(INDEX(Income!C$3:C$502,SMALL(IF((Income!D$3:D$502="GBP")*(Income!A$3:A$502=DATE(2026,1,22)),ROW(Income!A$3:A$502)-2),1)),0)=0,"",IFERROR(-INDEX(Expenses!D$3:D$1002,SMALL(IF((Expenses!E$3:E$1002="GBP")*(Expenses!A$3:A$1002=DATE(2026,1,22)),ROW(Expenses!A$3:A$1002)-2),1)),0)+IFERROR(INDEX(Income!C$3:C$502,SMALL(IF((Income!D$3:D$502="GBP")*(Income!A$3:A$502=DATE(2026,1,22)),ROW(Income!A$3:A$502)-2),1)),0))</f>
        <v/>
      </c>
      <c r="J19" s="38" t="str">
        <f aca="false">IF(IFERROR(INDEX(Expenses!B$3:B$1002,SMALL(IF((Expenses!E$3:E$1002="GBP")*(Expenses!A$3:A$1002=DATE(2026,1,22)),ROW(Expenses!A$3:A$1002)-2),1)),"")&lt;&gt;"",IFERROR(INDEX(Expenses!B$3:B$1002,SMALL(IF((Expenses!E$3:E$1002="GBP")*(Expenses!A$3:A$1002=DATE(2026,1,22)),ROW(Expenses!A$3:A$1002)-2),1)),""),IF(IFERROR(INDEX(Income!B$3:B$502,SMALL(IF((Income!D$3:D$502="GBP")*(Income!A$3:A$502=DATE(2026,1,22)),ROW(Income!A$3:A$502)-2),1)),"")&lt;&gt;"",IFERROR(INDEX(Income!B$3:B$502,SMALL(IF((Income!D$3:D$502="GBP")*(Income!A$3:A$502=DATE(2026,1,22)),ROW(Income!A$3:A$502)-2),1)),""),""))</f>
        <v/>
      </c>
      <c r="K19" s="62" t="str">
        <f aca="false">IF(IFERROR(-INDEX(Expenses!D$3:D$1002,SMALL(IF((Expenses!E$3:E$1002="GBP")*(Expenses!A$3:A$1002=DATE(2026,1,23)),ROW(Expenses!A$3:A$1002)-2),1)),0)+IFERROR(INDEX(Income!C$3:C$502,SMALL(IF((Income!D$3:D$502="GBP")*(Income!A$3:A$502=DATE(2026,1,23)),ROW(Income!A$3:A$502)-2),1)),0)=0,"",IFERROR(-INDEX(Expenses!D$3:D$1002,SMALL(IF((Expenses!E$3:E$1002="GBP")*(Expenses!A$3:A$1002=DATE(2026,1,23)),ROW(Expenses!A$3:A$1002)-2),1)),0)+IFERROR(INDEX(Income!C$3:C$502,SMALL(IF((Income!D$3:D$502="GBP")*(Income!A$3:A$502=DATE(2026,1,23)),ROW(Income!A$3:A$502)-2),1)),0))</f>
        <v/>
      </c>
      <c r="L19" s="38" t="str">
        <f aca="false">IF(IFERROR(INDEX(Expenses!B$3:B$1002,SMALL(IF((Expenses!E$3:E$1002="GBP")*(Expenses!A$3:A$1002=DATE(2026,1,23)),ROW(Expenses!A$3:A$1002)-2),1)),"")&lt;&gt;"",IFERROR(INDEX(Expenses!B$3:B$1002,SMALL(IF((Expenses!E$3:E$1002="GBP")*(Expenses!A$3:A$1002=DATE(2026,1,23)),ROW(Expenses!A$3:A$1002)-2),1)),""),IF(IFERROR(INDEX(Income!B$3:B$502,SMALL(IF((Income!D$3:D$502="GBP")*(Income!A$3:A$502=DATE(2026,1,23)),ROW(Income!A$3:A$502)-2),1)),"")&lt;&gt;"",IFERROR(INDEX(Income!B$3:B$502,SMALL(IF((Income!D$3:D$502="GBP")*(Income!A$3:A$502=DATE(2026,1,23)),ROW(Income!A$3:A$502)-2),1)),""),""))</f>
        <v/>
      </c>
      <c r="M19" s="62" t="str">
        <f aca="false">IF(IFERROR(-INDEX(Expenses!D$3:D$1002,SMALL(IF((Expenses!E$3:E$1002="GBP")*(Expenses!A$3:A$1002=DATE(2026,1,24)),ROW(Expenses!A$3:A$1002)-2),1)),0)+IFERROR(INDEX(Income!C$3:C$502,SMALL(IF((Income!D$3:D$502="GBP")*(Income!A$3:A$502=DATE(2026,1,24)),ROW(Income!A$3:A$502)-2),1)),0)=0,"",IFERROR(-INDEX(Expenses!D$3:D$1002,SMALL(IF((Expenses!E$3:E$1002="GBP")*(Expenses!A$3:A$1002=DATE(2026,1,24)),ROW(Expenses!A$3:A$1002)-2),1)),0)+IFERROR(INDEX(Income!C$3:C$502,SMALL(IF((Income!D$3:D$502="GBP")*(Income!A$3:A$502=DATE(2026,1,24)),ROW(Income!A$3:A$502)-2),1)),0))</f>
        <v/>
      </c>
      <c r="N19" s="38" t="str">
        <f aca="false">IF(IFERROR(INDEX(Expenses!B$3:B$1002,SMALL(IF((Expenses!E$3:E$1002="GBP")*(Expenses!A$3:A$1002=DATE(2026,1,24)),ROW(Expenses!A$3:A$1002)-2),1)),"")&lt;&gt;"",IFERROR(INDEX(Expenses!B$3:B$1002,SMALL(IF((Expenses!E$3:E$1002="GBP")*(Expenses!A$3:A$1002=DATE(2026,1,24)),ROW(Expenses!A$3:A$1002)-2),1)),""),IF(IFERROR(INDEX(Income!B$3:B$502,SMALL(IF((Income!D$3:D$502="GBP")*(Income!A$3:A$502=DATE(2026,1,24)),ROW(Income!A$3:A$502)-2),1)),"")&lt;&gt;"",IFERROR(INDEX(Income!B$3:B$502,SMALL(IF((Income!D$3:D$502="GBP")*(Income!A$3:A$502=DATE(2026,1,24)),ROW(Income!A$3:A$502)-2),1)),""),""))</f>
        <v/>
      </c>
      <c r="O19" s="62" t="str">
        <f aca="false">IF(IFERROR(-INDEX(Expenses!D$3:D$1002,SMALL(IF((Expenses!E$3:E$1002="GBP")*(Expenses!A$3:A$1002=DATE(2026,1,25)),ROW(Expenses!A$3:A$1002)-2),1)),0)+IFERROR(INDEX(Income!C$3:C$502,SMALL(IF((Income!D$3:D$502="GBP")*(Income!A$3:A$502=DATE(2026,1,25)),ROW(Income!A$3:A$502)-2),1)),0)=0,"",IFERROR(-INDEX(Expenses!D$3:D$1002,SMALL(IF((Expenses!E$3:E$1002="GBP")*(Expenses!A$3:A$1002=DATE(2026,1,25)),ROW(Expenses!A$3:A$1002)-2),1)),0)+IFERROR(INDEX(Income!C$3:C$502,SMALL(IF((Income!D$3:D$502="GBP")*(Income!A$3:A$502=DATE(2026,1,25)),ROW(Income!A$3:A$502)-2),1)),0))</f>
        <v/>
      </c>
      <c r="P19" s="38" t="str">
        <f aca="false">IF(IFERROR(INDEX(Expenses!B$3:B$1002,SMALL(IF((Expenses!E$3:E$1002="GBP")*(Expenses!A$3:A$1002=DATE(2026,1,25)),ROW(Expenses!A$3:A$1002)-2),1)),"")&lt;&gt;"",IFERROR(INDEX(Expenses!B$3:B$1002,SMALL(IF((Expenses!E$3:E$1002="GBP")*(Expenses!A$3:A$1002=DATE(2026,1,25)),ROW(Expenses!A$3:A$1002)-2),1)),""),IF(IFERROR(INDEX(Income!B$3:B$502,SMALL(IF((Income!D$3:D$502="GBP")*(Income!A$3:A$502=DATE(2026,1,25)),ROW(Income!A$3:A$502)-2),1)),"")&lt;&gt;"",IFERROR(INDEX(Income!B$3:B$502,SMALL(IF((Income!D$3:D$502="GBP")*(Income!A$3:A$502=DATE(2026,1,25)),ROW(Income!A$3:A$502)-2),1)),""),""))</f>
        <v/>
      </c>
      <c r="Q19" s="3" t="n">
        <v>4</v>
      </c>
      <c r="R19" s="45" t="n">
        <f aca="false">SUM(C19:C23)+SUM(E19:E23)+SUM(G19:G23)+SUM(I19:I23)+SUM(K19:K23)+SUM(M19:M23)+SUM(O19:O23)</f>
        <v>0</v>
      </c>
    </row>
    <row r="20" customFormat="false" ht="15" hidden="false" customHeight="false" outlineLevel="0" collapsed="false">
      <c r="A20" s="16"/>
      <c r="B20" s="16"/>
      <c r="C20" s="62" t="str">
        <f aca="false">IF(IFERROR(-INDEX(Expenses!D$3:D$1002,SMALL(IF((Expenses!E$3:E$1002="GBP")*(Expenses!A$3:A$1002=DATE(2026,1,19)),ROW(Expenses!A$3:A$1002)-2),2)),0)+IFERROR(INDEX(Income!C$3:C$502,SMALL(IF((Income!D$3:D$502="GBP")*(Income!A$3:A$502=DATE(2026,1,19)),ROW(Income!A$3:A$502)-2),2)),0)=0,"",IFERROR(-INDEX(Expenses!D$3:D$1002,SMALL(IF((Expenses!E$3:E$1002="GBP")*(Expenses!A$3:A$1002=DATE(2026,1,19)),ROW(Expenses!A$3:A$1002)-2),2)),0)+IFERROR(INDEX(Income!C$3:C$502,SMALL(IF((Income!D$3:D$502="GBP")*(Income!A$3:A$502=DATE(2026,1,19)),ROW(Income!A$3:A$502)-2),2)),0))</f>
        <v/>
      </c>
      <c r="D20" s="38" t="str">
        <f aca="false">IF(IFERROR(INDEX(Expenses!B$3:B$1002,SMALL(IF((Expenses!E$3:E$1002="GBP")*(Expenses!A$3:A$1002=DATE(2026,1,19)),ROW(Expenses!A$3:A$1002)-2),2)),"")&lt;&gt;"",IFERROR(INDEX(Expenses!B$3:B$1002,SMALL(IF((Expenses!E$3:E$1002="GBP")*(Expenses!A$3:A$1002=DATE(2026,1,19)),ROW(Expenses!A$3:A$1002)-2),2)),""),IF(IFERROR(INDEX(Income!B$3:B$502,SMALL(IF((Income!D$3:D$502="GBP")*(Income!A$3:A$502=DATE(2026,1,19)),ROW(Income!A$3:A$502)-2),2)),"")&lt;&gt;"",IFERROR(INDEX(Income!B$3:B$502,SMALL(IF((Income!D$3:D$502="GBP")*(Income!A$3:A$502=DATE(2026,1,19)),ROW(Income!A$3:A$502)-2),2)),""),""))</f>
        <v/>
      </c>
      <c r="E20" s="62" t="str">
        <f aca="false">IF(IFERROR(-INDEX(Expenses!D$3:D$1002,SMALL(IF((Expenses!E$3:E$1002="GBP")*(Expenses!A$3:A$1002=DATE(2026,1,20)),ROW(Expenses!A$3:A$1002)-2),2)),0)+IFERROR(INDEX(Income!C$3:C$502,SMALL(IF((Income!D$3:D$502="GBP")*(Income!A$3:A$502=DATE(2026,1,20)),ROW(Income!A$3:A$502)-2),2)),0)=0,"",IFERROR(-INDEX(Expenses!D$3:D$1002,SMALL(IF((Expenses!E$3:E$1002="GBP")*(Expenses!A$3:A$1002=DATE(2026,1,20)),ROW(Expenses!A$3:A$1002)-2),2)),0)+IFERROR(INDEX(Income!C$3:C$502,SMALL(IF((Income!D$3:D$502="GBP")*(Income!A$3:A$502=DATE(2026,1,20)),ROW(Income!A$3:A$502)-2),2)),0))</f>
        <v/>
      </c>
      <c r="F20" s="38" t="str">
        <f aca="false">IF(IFERROR(INDEX(Expenses!B$3:B$1002,SMALL(IF((Expenses!E$3:E$1002="GBP")*(Expenses!A$3:A$1002=DATE(2026,1,20)),ROW(Expenses!A$3:A$1002)-2),2)),"")&lt;&gt;"",IFERROR(INDEX(Expenses!B$3:B$1002,SMALL(IF((Expenses!E$3:E$1002="GBP")*(Expenses!A$3:A$1002=DATE(2026,1,20)),ROW(Expenses!A$3:A$1002)-2),2)),""),IF(IFERROR(INDEX(Income!B$3:B$502,SMALL(IF((Income!D$3:D$502="GBP")*(Income!A$3:A$502=DATE(2026,1,20)),ROW(Income!A$3:A$502)-2),2)),"")&lt;&gt;"",IFERROR(INDEX(Income!B$3:B$502,SMALL(IF((Income!D$3:D$502="GBP")*(Income!A$3:A$502=DATE(2026,1,20)),ROW(Income!A$3:A$502)-2),2)),""),""))</f>
        <v/>
      </c>
      <c r="G20" s="62" t="str">
        <f aca="false">IF(IFERROR(-INDEX(Expenses!D$3:D$1002,SMALL(IF((Expenses!E$3:E$1002="GBP")*(Expenses!A$3:A$1002=DATE(2026,1,21)),ROW(Expenses!A$3:A$1002)-2),2)),0)+IFERROR(INDEX(Income!C$3:C$502,SMALL(IF((Income!D$3:D$502="GBP")*(Income!A$3:A$502=DATE(2026,1,21)),ROW(Income!A$3:A$502)-2),2)),0)=0,"",IFERROR(-INDEX(Expenses!D$3:D$1002,SMALL(IF((Expenses!E$3:E$1002="GBP")*(Expenses!A$3:A$1002=DATE(2026,1,21)),ROW(Expenses!A$3:A$1002)-2),2)),0)+IFERROR(INDEX(Income!C$3:C$502,SMALL(IF((Income!D$3:D$502="GBP")*(Income!A$3:A$502=DATE(2026,1,21)),ROW(Income!A$3:A$502)-2),2)),0))</f>
        <v/>
      </c>
      <c r="H20" s="38" t="str">
        <f aca="false">IF(IFERROR(INDEX(Expenses!B$3:B$1002,SMALL(IF((Expenses!E$3:E$1002="GBP")*(Expenses!A$3:A$1002=DATE(2026,1,21)),ROW(Expenses!A$3:A$1002)-2),2)),"")&lt;&gt;"",IFERROR(INDEX(Expenses!B$3:B$1002,SMALL(IF((Expenses!E$3:E$1002="GBP")*(Expenses!A$3:A$1002=DATE(2026,1,21)),ROW(Expenses!A$3:A$1002)-2),2)),""),IF(IFERROR(INDEX(Income!B$3:B$502,SMALL(IF((Income!D$3:D$502="GBP")*(Income!A$3:A$502=DATE(2026,1,21)),ROW(Income!A$3:A$502)-2),2)),"")&lt;&gt;"",IFERROR(INDEX(Income!B$3:B$502,SMALL(IF((Income!D$3:D$502="GBP")*(Income!A$3:A$502=DATE(2026,1,21)),ROW(Income!A$3:A$502)-2),2)),""),""))</f>
        <v/>
      </c>
      <c r="I20" s="62" t="str">
        <f aca="false">IF(IFERROR(-INDEX(Expenses!D$3:D$1002,SMALL(IF((Expenses!E$3:E$1002="GBP")*(Expenses!A$3:A$1002=DATE(2026,1,22)),ROW(Expenses!A$3:A$1002)-2),2)),0)+IFERROR(INDEX(Income!C$3:C$502,SMALL(IF((Income!D$3:D$502="GBP")*(Income!A$3:A$502=DATE(2026,1,22)),ROW(Income!A$3:A$502)-2),2)),0)=0,"",IFERROR(-INDEX(Expenses!D$3:D$1002,SMALL(IF((Expenses!E$3:E$1002="GBP")*(Expenses!A$3:A$1002=DATE(2026,1,22)),ROW(Expenses!A$3:A$1002)-2),2)),0)+IFERROR(INDEX(Income!C$3:C$502,SMALL(IF((Income!D$3:D$502="GBP")*(Income!A$3:A$502=DATE(2026,1,22)),ROW(Income!A$3:A$502)-2),2)),0))</f>
        <v/>
      </c>
      <c r="J20" s="38" t="str">
        <f aca="false">IF(IFERROR(INDEX(Expenses!B$3:B$1002,SMALL(IF((Expenses!E$3:E$1002="GBP")*(Expenses!A$3:A$1002=DATE(2026,1,22)),ROW(Expenses!A$3:A$1002)-2),2)),"")&lt;&gt;"",IFERROR(INDEX(Expenses!B$3:B$1002,SMALL(IF((Expenses!E$3:E$1002="GBP")*(Expenses!A$3:A$1002=DATE(2026,1,22)),ROW(Expenses!A$3:A$1002)-2),2)),""),IF(IFERROR(INDEX(Income!B$3:B$502,SMALL(IF((Income!D$3:D$502="GBP")*(Income!A$3:A$502=DATE(2026,1,22)),ROW(Income!A$3:A$502)-2),2)),"")&lt;&gt;"",IFERROR(INDEX(Income!B$3:B$502,SMALL(IF((Income!D$3:D$502="GBP")*(Income!A$3:A$502=DATE(2026,1,22)),ROW(Income!A$3:A$502)-2),2)),""),""))</f>
        <v/>
      </c>
      <c r="K20" s="62" t="str">
        <f aca="false">IF(IFERROR(-INDEX(Expenses!D$3:D$1002,SMALL(IF((Expenses!E$3:E$1002="GBP")*(Expenses!A$3:A$1002=DATE(2026,1,23)),ROW(Expenses!A$3:A$1002)-2),2)),0)+IFERROR(INDEX(Income!C$3:C$502,SMALL(IF((Income!D$3:D$502="GBP")*(Income!A$3:A$502=DATE(2026,1,23)),ROW(Income!A$3:A$502)-2),2)),0)=0,"",IFERROR(-INDEX(Expenses!D$3:D$1002,SMALL(IF((Expenses!E$3:E$1002="GBP")*(Expenses!A$3:A$1002=DATE(2026,1,23)),ROW(Expenses!A$3:A$1002)-2),2)),0)+IFERROR(INDEX(Income!C$3:C$502,SMALL(IF((Income!D$3:D$502="GBP")*(Income!A$3:A$502=DATE(2026,1,23)),ROW(Income!A$3:A$502)-2),2)),0))</f>
        <v/>
      </c>
      <c r="L20" s="38" t="str">
        <f aca="false">IF(IFERROR(INDEX(Expenses!B$3:B$1002,SMALL(IF((Expenses!E$3:E$1002="GBP")*(Expenses!A$3:A$1002=DATE(2026,1,23)),ROW(Expenses!A$3:A$1002)-2),2)),"")&lt;&gt;"",IFERROR(INDEX(Expenses!B$3:B$1002,SMALL(IF((Expenses!E$3:E$1002="GBP")*(Expenses!A$3:A$1002=DATE(2026,1,23)),ROW(Expenses!A$3:A$1002)-2),2)),""),IF(IFERROR(INDEX(Income!B$3:B$502,SMALL(IF((Income!D$3:D$502="GBP")*(Income!A$3:A$502=DATE(2026,1,23)),ROW(Income!A$3:A$502)-2),2)),"")&lt;&gt;"",IFERROR(INDEX(Income!B$3:B$502,SMALL(IF((Income!D$3:D$502="GBP")*(Income!A$3:A$502=DATE(2026,1,23)),ROW(Income!A$3:A$502)-2),2)),""),""))</f>
        <v/>
      </c>
      <c r="M20" s="62" t="str">
        <f aca="false">IF(IFERROR(-INDEX(Expenses!D$3:D$1002,SMALL(IF((Expenses!E$3:E$1002="GBP")*(Expenses!A$3:A$1002=DATE(2026,1,24)),ROW(Expenses!A$3:A$1002)-2),2)),0)+IFERROR(INDEX(Income!C$3:C$502,SMALL(IF((Income!D$3:D$502="GBP")*(Income!A$3:A$502=DATE(2026,1,24)),ROW(Income!A$3:A$502)-2),2)),0)=0,"",IFERROR(-INDEX(Expenses!D$3:D$1002,SMALL(IF((Expenses!E$3:E$1002="GBP")*(Expenses!A$3:A$1002=DATE(2026,1,24)),ROW(Expenses!A$3:A$1002)-2),2)),0)+IFERROR(INDEX(Income!C$3:C$502,SMALL(IF((Income!D$3:D$502="GBP")*(Income!A$3:A$502=DATE(2026,1,24)),ROW(Income!A$3:A$502)-2),2)),0))</f>
        <v/>
      </c>
      <c r="N20" s="38" t="str">
        <f aca="false">IF(IFERROR(INDEX(Expenses!B$3:B$1002,SMALL(IF((Expenses!E$3:E$1002="GBP")*(Expenses!A$3:A$1002=DATE(2026,1,24)),ROW(Expenses!A$3:A$1002)-2),2)),"")&lt;&gt;"",IFERROR(INDEX(Expenses!B$3:B$1002,SMALL(IF((Expenses!E$3:E$1002="GBP")*(Expenses!A$3:A$1002=DATE(2026,1,24)),ROW(Expenses!A$3:A$1002)-2),2)),""),IF(IFERROR(INDEX(Income!B$3:B$502,SMALL(IF((Income!D$3:D$502="GBP")*(Income!A$3:A$502=DATE(2026,1,24)),ROW(Income!A$3:A$502)-2),2)),"")&lt;&gt;"",IFERROR(INDEX(Income!B$3:B$502,SMALL(IF((Income!D$3:D$502="GBP")*(Income!A$3:A$502=DATE(2026,1,24)),ROW(Income!A$3:A$502)-2),2)),""),""))</f>
        <v/>
      </c>
      <c r="O20" s="62" t="str">
        <f aca="false">IF(IFERROR(-INDEX(Expenses!D$3:D$1002,SMALL(IF((Expenses!E$3:E$1002="GBP")*(Expenses!A$3:A$1002=DATE(2026,1,25)),ROW(Expenses!A$3:A$1002)-2),2)),0)+IFERROR(INDEX(Income!C$3:C$502,SMALL(IF((Income!D$3:D$502="GBP")*(Income!A$3:A$502=DATE(2026,1,25)),ROW(Income!A$3:A$502)-2),2)),0)=0,"",IFERROR(-INDEX(Expenses!D$3:D$1002,SMALL(IF((Expenses!E$3:E$1002="GBP")*(Expenses!A$3:A$1002=DATE(2026,1,25)),ROW(Expenses!A$3:A$1002)-2),2)),0)+IFERROR(INDEX(Income!C$3:C$502,SMALL(IF((Income!D$3:D$502="GBP")*(Income!A$3:A$502=DATE(2026,1,25)),ROW(Income!A$3:A$502)-2),2)),0))</f>
        <v/>
      </c>
      <c r="P20" s="38" t="str">
        <f aca="false">IF(IFERROR(INDEX(Expenses!B$3:B$1002,SMALL(IF((Expenses!E$3:E$1002="GBP")*(Expenses!A$3:A$1002=DATE(2026,1,25)),ROW(Expenses!A$3:A$1002)-2),2)),"")&lt;&gt;"",IFERROR(INDEX(Expenses!B$3:B$1002,SMALL(IF((Expenses!E$3:E$1002="GBP")*(Expenses!A$3:A$1002=DATE(2026,1,25)),ROW(Expenses!A$3:A$1002)-2),2)),""),IF(IFERROR(INDEX(Income!B$3:B$502,SMALL(IF((Income!D$3:D$502="GBP")*(Income!A$3:A$502=DATE(2026,1,25)),ROW(Income!A$3:A$502)-2),2)),"")&lt;&gt;"",IFERROR(INDEX(Income!B$3:B$502,SMALL(IF((Income!D$3:D$502="GBP")*(Income!A$3:A$502=DATE(2026,1,25)),ROW(Income!A$3:A$502)-2),2)),""),""))</f>
        <v/>
      </c>
      <c r="Q20" s="16"/>
      <c r="R20" s="16"/>
    </row>
    <row r="21" customFormat="false" ht="15" hidden="false" customHeight="false" outlineLevel="0" collapsed="false">
      <c r="A21" s="16"/>
      <c r="B21" s="16"/>
      <c r="C21" s="62" t="str">
        <f aca="false">IF(IFERROR(-INDEX(Expenses!D$3:D$1002,SMALL(IF((Expenses!E$3:E$1002="GBP")*(Expenses!A$3:A$1002=DATE(2026,1,19)),ROW(Expenses!A$3:A$1002)-2),3)),0)+IFERROR(INDEX(Income!C$3:C$502,SMALL(IF((Income!D$3:D$502="GBP")*(Income!A$3:A$502=DATE(2026,1,19)),ROW(Income!A$3:A$502)-2),3)),0)=0,"",IFERROR(-INDEX(Expenses!D$3:D$1002,SMALL(IF((Expenses!E$3:E$1002="GBP")*(Expenses!A$3:A$1002=DATE(2026,1,19)),ROW(Expenses!A$3:A$1002)-2),3)),0)+IFERROR(INDEX(Income!C$3:C$502,SMALL(IF((Income!D$3:D$502="GBP")*(Income!A$3:A$502=DATE(2026,1,19)),ROW(Income!A$3:A$502)-2),3)),0))</f>
        <v/>
      </c>
      <c r="D21" s="38" t="str">
        <f aca="false">IF(IFERROR(INDEX(Expenses!B$3:B$1002,SMALL(IF((Expenses!E$3:E$1002="GBP")*(Expenses!A$3:A$1002=DATE(2026,1,19)),ROW(Expenses!A$3:A$1002)-2),3)),"")&lt;&gt;"",IFERROR(INDEX(Expenses!B$3:B$1002,SMALL(IF((Expenses!E$3:E$1002="GBP")*(Expenses!A$3:A$1002=DATE(2026,1,19)),ROW(Expenses!A$3:A$1002)-2),3)),""),IF(IFERROR(INDEX(Income!B$3:B$502,SMALL(IF((Income!D$3:D$502="GBP")*(Income!A$3:A$502=DATE(2026,1,19)),ROW(Income!A$3:A$502)-2),3)),"")&lt;&gt;"",IFERROR(INDEX(Income!B$3:B$502,SMALL(IF((Income!D$3:D$502="GBP")*(Income!A$3:A$502=DATE(2026,1,19)),ROW(Income!A$3:A$502)-2),3)),""),""))</f>
        <v/>
      </c>
      <c r="E21" s="62" t="str">
        <f aca="false">IF(IFERROR(-INDEX(Expenses!D$3:D$1002,SMALL(IF((Expenses!E$3:E$1002="GBP")*(Expenses!A$3:A$1002=DATE(2026,1,20)),ROW(Expenses!A$3:A$1002)-2),3)),0)+IFERROR(INDEX(Income!C$3:C$502,SMALL(IF((Income!D$3:D$502="GBP")*(Income!A$3:A$502=DATE(2026,1,20)),ROW(Income!A$3:A$502)-2),3)),0)=0,"",IFERROR(-INDEX(Expenses!D$3:D$1002,SMALL(IF((Expenses!E$3:E$1002="GBP")*(Expenses!A$3:A$1002=DATE(2026,1,20)),ROW(Expenses!A$3:A$1002)-2),3)),0)+IFERROR(INDEX(Income!C$3:C$502,SMALL(IF((Income!D$3:D$502="GBP")*(Income!A$3:A$502=DATE(2026,1,20)),ROW(Income!A$3:A$502)-2),3)),0))</f>
        <v/>
      </c>
      <c r="F21" s="38" t="str">
        <f aca="false">IF(IFERROR(INDEX(Expenses!B$3:B$1002,SMALL(IF((Expenses!E$3:E$1002="GBP")*(Expenses!A$3:A$1002=DATE(2026,1,20)),ROW(Expenses!A$3:A$1002)-2),3)),"")&lt;&gt;"",IFERROR(INDEX(Expenses!B$3:B$1002,SMALL(IF((Expenses!E$3:E$1002="GBP")*(Expenses!A$3:A$1002=DATE(2026,1,20)),ROW(Expenses!A$3:A$1002)-2),3)),""),IF(IFERROR(INDEX(Income!B$3:B$502,SMALL(IF((Income!D$3:D$502="GBP")*(Income!A$3:A$502=DATE(2026,1,20)),ROW(Income!A$3:A$502)-2),3)),"")&lt;&gt;"",IFERROR(INDEX(Income!B$3:B$502,SMALL(IF((Income!D$3:D$502="GBP")*(Income!A$3:A$502=DATE(2026,1,20)),ROW(Income!A$3:A$502)-2),3)),""),""))</f>
        <v/>
      </c>
      <c r="G21" s="62" t="str">
        <f aca="false">IF(IFERROR(-INDEX(Expenses!D$3:D$1002,SMALL(IF((Expenses!E$3:E$1002="GBP")*(Expenses!A$3:A$1002=DATE(2026,1,21)),ROW(Expenses!A$3:A$1002)-2),3)),0)+IFERROR(INDEX(Income!C$3:C$502,SMALL(IF((Income!D$3:D$502="GBP")*(Income!A$3:A$502=DATE(2026,1,21)),ROW(Income!A$3:A$502)-2),3)),0)=0,"",IFERROR(-INDEX(Expenses!D$3:D$1002,SMALL(IF((Expenses!E$3:E$1002="GBP")*(Expenses!A$3:A$1002=DATE(2026,1,21)),ROW(Expenses!A$3:A$1002)-2),3)),0)+IFERROR(INDEX(Income!C$3:C$502,SMALL(IF((Income!D$3:D$502="GBP")*(Income!A$3:A$502=DATE(2026,1,21)),ROW(Income!A$3:A$502)-2),3)),0))</f>
        <v/>
      </c>
      <c r="H21" s="38" t="str">
        <f aca="false">IF(IFERROR(INDEX(Expenses!B$3:B$1002,SMALL(IF((Expenses!E$3:E$1002="GBP")*(Expenses!A$3:A$1002=DATE(2026,1,21)),ROW(Expenses!A$3:A$1002)-2),3)),"")&lt;&gt;"",IFERROR(INDEX(Expenses!B$3:B$1002,SMALL(IF((Expenses!E$3:E$1002="GBP")*(Expenses!A$3:A$1002=DATE(2026,1,21)),ROW(Expenses!A$3:A$1002)-2),3)),""),IF(IFERROR(INDEX(Income!B$3:B$502,SMALL(IF((Income!D$3:D$502="GBP")*(Income!A$3:A$502=DATE(2026,1,21)),ROW(Income!A$3:A$502)-2),3)),"")&lt;&gt;"",IFERROR(INDEX(Income!B$3:B$502,SMALL(IF((Income!D$3:D$502="GBP")*(Income!A$3:A$502=DATE(2026,1,21)),ROW(Income!A$3:A$502)-2),3)),""),""))</f>
        <v/>
      </c>
      <c r="I21" s="62" t="str">
        <f aca="false">IF(IFERROR(-INDEX(Expenses!D$3:D$1002,SMALL(IF((Expenses!E$3:E$1002="GBP")*(Expenses!A$3:A$1002=DATE(2026,1,22)),ROW(Expenses!A$3:A$1002)-2),3)),0)+IFERROR(INDEX(Income!C$3:C$502,SMALL(IF((Income!D$3:D$502="GBP")*(Income!A$3:A$502=DATE(2026,1,22)),ROW(Income!A$3:A$502)-2),3)),0)=0,"",IFERROR(-INDEX(Expenses!D$3:D$1002,SMALL(IF((Expenses!E$3:E$1002="GBP")*(Expenses!A$3:A$1002=DATE(2026,1,22)),ROW(Expenses!A$3:A$1002)-2),3)),0)+IFERROR(INDEX(Income!C$3:C$502,SMALL(IF((Income!D$3:D$502="GBP")*(Income!A$3:A$502=DATE(2026,1,22)),ROW(Income!A$3:A$502)-2),3)),0))</f>
        <v/>
      </c>
      <c r="J21" s="38" t="str">
        <f aca="false">IF(IFERROR(INDEX(Expenses!B$3:B$1002,SMALL(IF((Expenses!E$3:E$1002="GBP")*(Expenses!A$3:A$1002=DATE(2026,1,22)),ROW(Expenses!A$3:A$1002)-2),3)),"")&lt;&gt;"",IFERROR(INDEX(Expenses!B$3:B$1002,SMALL(IF((Expenses!E$3:E$1002="GBP")*(Expenses!A$3:A$1002=DATE(2026,1,22)),ROW(Expenses!A$3:A$1002)-2),3)),""),IF(IFERROR(INDEX(Income!B$3:B$502,SMALL(IF((Income!D$3:D$502="GBP")*(Income!A$3:A$502=DATE(2026,1,22)),ROW(Income!A$3:A$502)-2),3)),"")&lt;&gt;"",IFERROR(INDEX(Income!B$3:B$502,SMALL(IF((Income!D$3:D$502="GBP")*(Income!A$3:A$502=DATE(2026,1,22)),ROW(Income!A$3:A$502)-2),3)),""),""))</f>
        <v/>
      </c>
      <c r="K21" s="62" t="str">
        <f aca="false">IF(IFERROR(-INDEX(Expenses!D$3:D$1002,SMALL(IF((Expenses!E$3:E$1002="GBP")*(Expenses!A$3:A$1002=DATE(2026,1,23)),ROW(Expenses!A$3:A$1002)-2),3)),0)+IFERROR(INDEX(Income!C$3:C$502,SMALL(IF((Income!D$3:D$502="GBP")*(Income!A$3:A$502=DATE(2026,1,23)),ROW(Income!A$3:A$502)-2),3)),0)=0,"",IFERROR(-INDEX(Expenses!D$3:D$1002,SMALL(IF((Expenses!E$3:E$1002="GBP")*(Expenses!A$3:A$1002=DATE(2026,1,23)),ROW(Expenses!A$3:A$1002)-2),3)),0)+IFERROR(INDEX(Income!C$3:C$502,SMALL(IF((Income!D$3:D$502="GBP")*(Income!A$3:A$502=DATE(2026,1,23)),ROW(Income!A$3:A$502)-2),3)),0))</f>
        <v/>
      </c>
      <c r="L21" s="38" t="str">
        <f aca="false">IF(IFERROR(INDEX(Expenses!B$3:B$1002,SMALL(IF((Expenses!E$3:E$1002="GBP")*(Expenses!A$3:A$1002=DATE(2026,1,23)),ROW(Expenses!A$3:A$1002)-2),3)),"")&lt;&gt;"",IFERROR(INDEX(Expenses!B$3:B$1002,SMALL(IF((Expenses!E$3:E$1002="GBP")*(Expenses!A$3:A$1002=DATE(2026,1,23)),ROW(Expenses!A$3:A$1002)-2),3)),""),IF(IFERROR(INDEX(Income!B$3:B$502,SMALL(IF((Income!D$3:D$502="GBP")*(Income!A$3:A$502=DATE(2026,1,23)),ROW(Income!A$3:A$502)-2),3)),"")&lt;&gt;"",IFERROR(INDEX(Income!B$3:B$502,SMALL(IF((Income!D$3:D$502="GBP")*(Income!A$3:A$502=DATE(2026,1,23)),ROW(Income!A$3:A$502)-2),3)),""),""))</f>
        <v/>
      </c>
      <c r="M21" s="62" t="str">
        <f aca="false">IF(IFERROR(-INDEX(Expenses!D$3:D$1002,SMALL(IF((Expenses!E$3:E$1002="GBP")*(Expenses!A$3:A$1002=DATE(2026,1,24)),ROW(Expenses!A$3:A$1002)-2),3)),0)+IFERROR(INDEX(Income!C$3:C$502,SMALL(IF((Income!D$3:D$502="GBP")*(Income!A$3:A$502=DATE(2026,1,24)),ROW(Income!A$3:A$502)-2),3)),0)=0,"",IFERROR(-INDEX(Expenses!D$3:D$1002,SMALL(IF((Expenses!E$3:E$1002="GBP")*(Expenses!A$3:A$1002=DATE(2026,1,24)),ROW(Expenses!A$3:A$1002)-2),3)),0)+IFERROR(INDEX(Income!C$3:C$502,SMALL(IF((Income!D$3:D$502="GBP")*(Income!A$3:A$502=DATE(2026,1,24)),ROW(Income!A$3:A$502)-2),3)),0))</f>
        <v/>
      </c>
      <c r="N21" s="38" t="str">
        <f aca="false">IF(IFERROR(INDEX(Expenses!B$3:B$1002,SMALL(IF((Expenses!E$3:E$1002="GBP")*(Expenses!A$3:A$1002=DATE(2026,1,24)),ROW(Expenses!A$3:A$1002)-2),3)),"")&lt;&gt;"",IFERROR(INDEX(Expenses!B$3:B$1002,SMALL(IF((Expenses!E$3:E$1002="GBP")*(Expenses!A$3:A$1002=DATE(2026,1,24)),ROW(Expenses!A$3:A$1002)-2),3)),""),IF(IFERROR(INDEX(Income!B$3:B$502,SMALL(IF((Income!D$3:D$502="GBP")*(Income!A$3:A$502=DATE(2026,1,24)),ROW(Income!A$3:A$502)-2),3)),"")&lt;&gt;"",IFERROR(INDEX(Income!B$3:B$502,SMALL(IF((Income!D$3:D$502="GBP")*(Income!A$3:A$502=DATE(2026,1,24)),ROW(Income!A$3:A$502)-2),3)),""),""))</f>
        <v/>
      </c>
      <c r="O21" s="62" t="str">
        <f aca="false">IF(IFERROR(-INDEX(Expenses!D$3:D$1002,SMALL(IF((Expenses!E$3:E$1002="GBP")*(Expenses!A$3:A$1002=DATE(2026,1,25)),ROW(Expenses!A$3:A$1002)-2),3)),0)+IFERROR(INDEX(Income!C$3:C$502,SMALL(IF((Income!D$3:D$502="GBP")*(Income!A$3:A$502=DATE(2026,1,25)),ROW(Income!A$3:A$502)-2),3)),0)=0,"",IFERROR(-INDEX(Expenses!D$3:D$1002,SMALL(IF((Expenses!E$3:E$1002="GBP")*(Expenses!A$3:A$1002=DATE(2026,1,25)),ROW(Expenses!A$3:A$1002)-2),3)),0)+IFERROR(INDEX(Income!C$3:C$502,SMALL(IF((Income!D$3:D$502="GBP")*(Income!A$3:A$502=DATE(2026,1,25)),ROW(Income!A$3:A$502)-2),3)),0))</f>
        <v/>
      </c>
      <c r="P21" s="38" t="str">
        <f aca="false">IF(IFERROR(INDEX(Expenses!B$3:B$1002,SMALL(IF((Expenses!E$3:E$1002="GBP")*(Expenses!A$3:A$1002=DATE(2026,1,25)),ROW(Expenses!A$3:A$1002)-2),3)),"")&lt;&gt;"",IFERROR(INDEX(Expenses!B$3:B$1002,SMALL(IF((Expenses!E$3:E$1002="GBP")*(Expenses!A$3:A$1002=DATE(2026,1,25)),ROW(Expenses!A$3:A$1002)-2),3)),""),IF(IFERROR(INDEX(Income!B$3:B$502,SMALL(IF((Income!D$3:D$502="GBP")*(Income!A$3:A$502=DATE(2026,1,25)),ROW(Income!A$3:A$502)-2),3)),"")&lt;&gt;"",IFERROR(INDEX(Income!B$3:B$502,SMALL(IF((Income!D$3:D$502="GBP")*(Income!A$3:A$502=DATE(2026,1,25)),ROW(Income!A$3:A$502)-2),3)),""),""))</f>
        <v/>
      </c>
      <c r="Q21" s="16"/>
      <c r="R21" s="16"/>
    </row>
    <row r="22" customFormat="false" ht="15" hidden="false" customHeight="false" outlineLevel="0" collapsed="false">
      <c r="A22" s="16"/>
      <c r="B22" s="16"/>
      <c r="C22" s="62" t="str">
        <f aca="false">IF(IFERROR(-INDEX(Expenses!D$3:D$1002,SMALL(IF((Expenses!E$3:E$1002="GBP")*(Expenses!A$3:A$1002=DATE(2026,1,19)),ROW(Expenses!A$3:A$1002)-2),4)),0)+IFERROR(INDEX(Income!C$3:C$502,SMALL(IF((Income!D$3:D$502="GBP")*(Income!A$3:A$502=DATE(2026,1,19)),ROW(Income!A$3:A$502)-2),4)),0)=0,"",IFERROR(-INDEX(Expenses!D$3:D$1002,SMALL(IF((Expenses!E$3:E$1002="GBP")*(Expenses!A$3:A$1002=DATE(2026,1,19)),ROW(Expenses!A$3:A$1002)-2),4)),0)+IFERROR(INDEX(Income!C$3:C$502,SMALL(IF((Income!D$3:D$502="GBP")*(Income!A$3:A$502=DATE(2026,1,19)),ROW(Income!A$3:A$502)-2),4)),0))</f>
        <v/>
      </c>
      <c r="D22" s="38" t="str">
        <f aca="false">IF(IFERROR(INDEX(Expenses!B$3:B$1002,SMALL(IF((Expenses!E$3:E$1002="GBP")*(Expenses!A$3:A$1002=DATE(2026,1,19)),ROW(Expenses!A$3:A$1002)-2),4)),"")&lt;&gt;"",IFERROR(INDEX(Expenses!B$3:B$1002,SMALL(IF((Expenses!E$3:E$1002="GBP")*(Expenses!A$3:A$1002=DATE(2026,1,19)),ROW(Expenses!A$3:A$1002)-2),4)),""),IF(IFERROR(INDEX(Income!B$3:B$502,SMALL(IF((Income!D$3:D$502="GBP")*(Income!A$3:A$502=DATE(2026,1,19)),ROW(Income!A$3:A$502)-2),4)),"")&lt;&gt;"",IFERROR(INDEX(Income!B$3:B$502,SMALL(IF((Income!D$3:D$502="GBP")*(Income!A$3:A$502=DATE(2026,1,19)),ROW(Income!A$3:A$502)-2),4)),""),""))</f>
        <v/>
      </c>
      <c r="E22" s="62" t="str">
        <f aca="false">IF(IFERROR(-INDEX(Expenses!D$3:D$1002,SMALL(IF((Expenses!E$3:E$1002="GBP")*(Expenses!A$3:A$1002=DATE(2026,1,20)),ROW(Expenses!A$3:A$1002)-2),4)),0)+IFERROR(INDEX(Income!C$3:C$502,SMALL(IF((Income!D$3:D$502="GBP")*(Income!A$3:A$502=DATE(2026,1,20)),ROW(Income!A$3:A$502)-2),4)),0)=0,"",IFERROR(-INDEX(Expenses!D$3:D$1002,SMALL(IF((Expenses!E$3:E$1002="GBP")*(Expenses!A$3:A$1002=DATE(2026,1,20)),ROW(Expenses!A$3:A$1002)-2),4)),0)+IFERROR(INDEX(Income!C$3:C$502,SMALL(IF((Income!D$3:D$502="GBP")*(Income!A$3:A$502=DATE(2026,1,20)),ROW(Income!A$3:A$502)-2),4)),0))</f>
        <v/>
      </c>
      <c r="F22" s="38" t="str">
        <f aca="false">IF(IFERROR(INDEX(Expenses!B$3:B$1002,SMALL(IF((Expenses!E$3:E$1002="GBP")*(Expenses!A$3:A$1002=DATE(2026,1,20)),ROW(Expenses!A$3:A$1002)-2),4)),"")&lt;&gt;"",IFERROR(INDEX(Expenses!B$3:B$1002,SMALL(IF((Expenses!E$3:E$1002="GBP")*(Expenses!A$3:A$1002=DATE(2026,1,20)),ROW(Expenses!A$3:A$1002)-2),4)),""),IF(IFERROR(INDEX(Income!B$3:B$502,SMALL(IF((Income!D$3:D$502="GBP")*(Income!A$3:A$502=DATE(2026,1,20)),ROW(Income!A$3:A$502)-2),4)),"")&lt;&gt;"",IFERROR(INDEX(Income!B$3:B$502,SMALL(IF((Income!D$3:D$502="GBP")*(Income!A$3:A$502=DATE(2026,1,20)),ROW(Income!A$3:A$502)-2),4)),""),""))</f>
        <v/>
      </c>
      <c r="G22" s="62" t="str">
        <f aca="false">IF(IFERROR(-INDEX(Expenses!D$3:D$1002,SMALL(IF((Expenses!E$3:E$1002="GBP")*(Expenses!A$3:A$1002=DATE(2026,1,21)),ROW(Expenses!A$3:A$1002)-2),4)),0)+IFERROR(INDEX(Income!C$3:C$502,SMALL(IF((Income!D$3:D$502="GBP")*(Income!A$3:A$502=DATE(2026,1,21)),ROW(Income!A$3:A$502)-2),4)),0)=0,"",IFERROR(-INDEX(Expenses!D$3:D$1002,SMALL(IF((Expenses!E$3:E$1002="GBP")*(Expenses!A$3:A$1002=DATE(2026,1,21)),ROW(Expenses!A$3:A$1002)-2),4)),0)+IFERROR(INDEX(Income!C$3:C$502,SMALL(IF((Income!D$3:D$502="GBP")*(Income!A$3:A$502=DATE(2026,1,21)),ROW(Income!A$3:A$502)-2),4)),0))</f>
        <v/>
      </c>
      <c r="H22" s="38" t="str">
        <f aca="false">IF(IFERROR(INDEX(Expenses!B$3:B$1002,SMALL(IF((Expenses!E$3:E$1002="GBP")*(Expenses!A$3:A$1002=DATE(2026,1,21)),ROW(Expenses!A$3:A$1002)-2),4)),"")&lt;&gt;"",IFERROR(INDEX(Expenses!B$3:B$1002,SMALL(IF((Expenses!E$3:E$1002="GBP")*(Expenses!A$3:A$1002=DATE(2026,1,21)),ROW(Expenses!A$3:A$1002)-2),4)),""),IF(IFERROR(INDEX(Income!B$3:B$502,SMALL(IF((Income!D$3:D$502="GBP")*(Income!A$3:A$502=DATE(2026,1,21)),ROW(Income!A$3:A$502)-2),4)),"")&lt;&gt;"",IFERROR(INDEX(Income!B$3:B$502,SMALL(IF((Income!D$3:D$502="GBP")*(Income!A$3:A$502=DATE(2026,1,21)),ROW(Income!A$3:A$502)-2),4)),""),""))</f>
        <v/>
      </c>
      <c r="I22" s="62" t="str">
        <f aca="false">IF(IFERROR(-INDEX(Expenses!D$3:D$1002,SMALL(IF((Expenses!E$3:E$1002="GBP")*(Expenses!A$3:A$1002=DATE(2026,1,22)),ROW(Expenses!A$3:A$1002)-2),4)),0)+IFERROR(INDEX(Income!C$3:C$502,SMALL(IF((Income!D$3:D$502="GBP")*(Income!A$3:A$502=DATE(2026,1,22)),ROW(Income!A$3:A$502)-2),4)),0)=0,"",IFERROR(-INDEX(Expenses!D$3:D$1002,SMALL(IF((Expenses!E$3:E$1002="GBP")*(Expenses!A$3:A$1002=DATE(2026,1,22)),ROW(Expenses!A$3:A$1002)-2),4)),0)+IFERROR(INDEX(Income!C$3:C$502,SMALL(IF((Income!D$3:D$502="GBP")*(Income!A$3:A$502=DATE(2026,1,22)),ROW(Income!A$3:A$502)-2),4)),0))</f>
        <v/>
      </c>
      <c r="J22" s="38" t="str">
        <f aca="false">IF(IFERROR(INDEX(Expenses!B$3:B$1002,SMALL(IF((Expenses!E$3:E$1002="GBP")*(Expenses!A$3:A$1002=DATE(2026,1,22)),ROW(Expenses!A$3:A$1002)-2),4)),"")&lt;&gt;"",IFERROR(INDEX(Expenses!B$3:B$1002,SMALL(IF((Expenses!E$3:E$1002="GBP")*(Expenses!A$3:A$1002=DATE(2026,1,22)),ROW(Expenses!A$3:A$1002)-2),4)),""),IF(IFERROR(INDEX(Income!B$3:B$502,SMALL(IF((Income!D$3:D$502="GBP")*(Income!A$3:A$502=DATE(2026,1,22)),ROW(Income!A$3:A$502)-2),4)),"")&lt;&gt;"",IFERROR(INDEX(Income!B$3:B$502,SMALL(IF((Income!D$3:D$502="GBP")*(Income!A$3:A$502=DATE(2026,1,22)),ROW(Income!A$3:A$502)-2),4)),""),""))</f>
        <v/>
      </c>
      <c r="K22" s="62" t="str">
        <f aca="false">IF(IFERROR(-INDEX(Expenses!D$3:D$1002,SMALL(IF((Expenses!E$3:E$1002="GBP")*(Expenses!A$3:A$1002=DATE(2026,1,23)),ROW(Expenses!A$3:A$1002)-2),4)),0)+IFERROR(INDEX(Income!C$3:C$502,SMALL(IF((Income!D$3:D$502="GBP")*(Income!A$3:A$502=DATE(2026,1,23)),ROW(Income!A$3:A$502)-2),4)),0)=0,"",IFERROR(-INDEX(Expenses!D$3:D$1002,SMALL(IF((Expenses!E$3:E$1002="GBP")*(Expenses!A$3:A$1002=DATE(2026,1,23)),ROW(Expenses!A$3:A$1002)-2),4)),0)+IFERROR(INDEX(Income!C$3:C$502,SMALL(IF((Income!D$3:D$502="GBP")*(Income!A$3:A$502=DATE(2026,1,23)),ROW(Income!A$3:A$502)-2),4)),0))</f>
        <v/>
      </c>
      <c r="L22" s="38" t="str">
        <f aca="false">IF(IFERROR(INDEX(Expenses!B$3:B$1002,SMALL(IF((Expenses!E$3:E$1002="GBP")*(Expenses!A$3:A$1002=DATE(2026,1,23)),ROW(Expenses!A$3:A$1002)-2),4)),"")&lt;&gt;"",IFERROR(INDEX(Expenses!B$3:B$1002,SMALL(IF((Expenses!E$3:E$1002="GBP")*(Expenses!A$3:A$1002=DATE(2026,1,23)),ROW(Expenses!A$3:A$1002)-2),4)),""),IF(IFERROR(INDEX(Income!B$3:B$502,SMALL(IF((Income!D$3:D$502="GBP")*(Income!A$3:A$502=DATE(2026,1,23)),ROW(Income!A$3:A$502)-2),4)),"")&lt;&gt;"",IFERROR(INDEX(Income!B$3:B$502,SMALL(IF((Income!D$3:D$502="GBP")*(Income!A$3:A$502=DATE(2026,1,23)),ROW(Income!A$3:A$502)-2),4)),""),""))</f>
        <v/>
      </c>
      <c r="M22" s="62" t="str">
        <f aca="false">IF(IFERROR(-INDEX(Expenses!D$3:D$1002,SMALL(IF((Expenses!E$3:E$1002="GBP")*(Expenses!A$3:A$1002=DATE(2026,1,24)),ROW(Expenses!A$3:A$1002)-2),4)),0)+IFERROR(INDEX(Income!C$3:C$502,SMALL(IF((Income!D$3:D$502="GBP")*(Income!A$3:A$502=DATE(2026,1,24)),ROW(Income!A$3:A$502)-2),4)),0)=0,"",IFERROR(-INDEX(Expenses!D$3:D$1002,SMALL(IF((Expenses!E$3:E$1002="GBP")*(Expenses!A$3:A$1002=DATE(2026,1,24)),ROW(Expenses!A$3:A$1002)-2),4)),0)+IFERROR(INDEX(Income!C$3:C$502,SMALL(IF((Income!D$3:D$502="GBP")*(Income!A$3:A$502=DATE(2026,1,24)),ROW(Income!A$3:A$502)-2),4)),0))</f>
        <v/>
      </c>
      <c r="N22" s="38" t="str">
        <f aca="false">IF(IFERROR(INDEX(Expenses!B$3:B$1002,SMALL(IF((Expenses!E$3:E$1002="GBP")*(Expenses!A$3:A$1002=DATE(2026,1,24)),ROW(Expenses!A$3:A$1002)-2),4)),"")&lt;&gt;"",IFERROR(INDEX(Expenses!B$3:B$1002,SMALL(IF((Expenses!E$3:E$1002="GBP")*(Expenses!A$3:A$1002=DATE(2026,1,24)),ROW(Expenses!A$3:A$1002)-2),4)),""),IF(IFERROR(INDEX(Income!B$3:B$502,SMALL(IF((Income!D$3:D$502="GBP")*(Income!A$3:A$502=DATE(2026,1,24)),ROW(Income!A$3:A$502)-2),4)),"")&lt;&gt;"",IFERROR(INDEX(Income!B$3:B$502,SMALL(IF((Income!D$3:D$502="GBP")*(Income!A$3:A$502=DATE(2026,1,24)),ROW(Income!A$3:A$502)-2),4)),""),""))</f>
        <v/>
      </c>
      <c r="O22" s="62" t="str">
        <f aca="false">IF(IFERROR(-INDEX(Expenses!D$3:D$1002,SMALL(IF((Expenses!E$3:E$1002="GBP")*(Expenses!A$3:A$1002=DATE(2026,1,25)),ROW(Expenses!A$3:A$1002)-2),4)),0)+IFERROR(INDEX(Income!C$3:C$502,SMALL(IF((Income!D$3:D$502="GBP")*(Income!A$3:A$502=DATE(2026,1,25)),ROW(Income!A$3:A$502)-2),4)),0)=0,"",IFERROR(-INDEX(Expenses!D$3:D$1002,SMALL(IF((Expenses!E$3:E$1002="GBP")*(Expenses!A$3:A$1002=DATE(2026,1,25)),ROW(Expenses!A$3:A$1002)-2),4)),0)+IFERROR(INDEX(Income!C$3:C$502,SMALL(IF((Income!D$3:D$502="GBP")*(Income!A$3:A$502=DATE(2026,1,25)),ROW(Income!A$3:A$502)-2),4)),0))</f>
        <v/>
      </c>
      <c r="P22" s="38" t="str">
        <f aca="false">IF(IFERROR(INDEX(Expenses!B$3:B$1002,SMALL(IF((Expenses!E$3:E$1002="GBP")*(Expenses!A$3:A$1002=DATE(2026,1,25)),ROW(Expenses!A$3:A$1002)-2),4)),"")&lt;&gt;"",IFERROR(INDEX(Expenses!B$3:B$1002,SMALL(IF((Expenses!E$3:E$1002="GBP")*(Expenses!A$3:A$1002=DATE(2026,1,25)),ROW(Expenses!A$3:A$1002)-2),4)),""),IF(IFERROR(INDEX(Income!B$3:B$502,SMALL(IF((Income!D$3:D$502="GBP")*(Income!A$3:A$502=DATE(2026,1,25)),ROW(Income!A$3:A$502)-2),4)),"")&lt;&gt;"",IFERROR(INDEX(Income!B$3:B$502,SMALL(IF((Income!D$3:D$502="GBP")*(Income!A$3:A$502=DATE(2026,1,25)),ROW(Income!A$3:A$502)-2),4)),""),""))</f>
        <v/>
      </c>
      <c r="Q22" s="16"/>
      <c r="R22" s="16"/>
    </row>
    <row r="23" customFormat="false" ht="15" hidden="false" customHeight="false" outlineLevel="0" collapsed="false">
      <c r="A23" s="16"/>
      <c r="B23" s="16"/>
      <c r="C23" s="62" t="str">
        <f aca="false">IF(IFERROR(-INDEX(Expenses!D$3:D$1002,SMALL(IF((Expenses!E$3:E$1002="GBP")*(Expenses!A$3:A$1002=DATE(2026,1,19)),ROW(Expenses!A$3:A$1002)-2),5)),0)+IFERROR(INDEX(Income!C$3:C$502,SMALL(IF((Income!D$3:D$502="GBP")*(Income!A$3:A$502=DATE(2026,1,19)),ROW(Income!A$3:A$502)-2),5)),0)=0,"",IFERROR(-INDEX(Expenses!D$3:D$1002,SMALL(IF((Expenses!E$3:E$1002="GBP")*(Expenses!A$3:A$1002=DATE(2026,1,19)),ROW(Expenses!A$3:A$1002)-2),5)),0)+IFERROR(INDEX(Income!C$3:C$502,SMALL(IF((Income!D$3:D$502="GBP")*(Income!A$3:A$502=DATE(2026,1,19)),ROW(Income!A$3:A$502)-2),5)),0))</f>
        <v/>
      </c>
      <c r="D23" s="38" t="str">
        <f aca="false">IF(IFERROR(INDEX(Expenses!B$3:B$1002,SMALL(IF((Expenses!E$3:E$1002="GBP")*(Expenses!A$3:A$1002=DATE(2026,1,19)),ROW(Expenses!A$3:A$1002)-2),5)),"")&lt;&gt;"",IFERROR(INDEX(Expenses!B$3:B$1002,SMALL(IF((Expenses!E$3:E$1002="GBP")*(Expenses!A$3:A$1002=DATE(2026,1,19)),ROW(Expenses!A$3:A$1002)-2),5)),""),IF(IFERROR(INDEX(Income!B$3:B$502,SMALL(IF((Income!D$3:D$502="GBP")*(Income!A$3:A$502=DATE(2026,1,19)),ROW(Income!A$3:A$502)-2),5)),"")&lt;&gt;"",IFERROR(INDEX(Income!B$3:B$502,SMALL(IF((Income!D$3:D$502="GBP")*(Income!A$3:A$502=DATE(2026,1,19)),ROW(Income!A$3:A$502)-2),5)),""),""))</f>
        <v/>
      </c>
      <c r="E23" s="62" t="str">
        <f aca="false">IF(IFERROR(-INDEX(Expenses!D$3:D$1002,SMALL(IF((Expenses!E$3:E$1002="GBP")*(Expenses!A$3:A$1002=DATE(2026,1,20)),ROW(Expenses!A$3:A$1002)-2),5)),0)+IFERROR(INDEX(Income!C$3:C$502,SMALL(IF((Income!D$3:D$502="GBP")*(Income!A$3:A$502=DATE(2026,1,20)),ROW(Income!A$3:A$502)-2),5)),0)=0,"",IFERROR(-INDEX(Expenses!D$3:D$1002,SMALL(IF((Expenses!E$3:E$1002="GBP")*(Expenses!A$3:A$1002=DATE(2026,1,20)),ROW(Expenses!A$3:A$1002)-2),5)),0)+IFERROR(INDEX(Income!C$3:C$502,SMALL(IF((Income!D$3:D$502="GBP")*(Income!A$3:A$502=DATE(2026,1,20)),ROW(Income!A$3:A$502)-2),5)),0))</f>
        <v/>
      </c>
      <c r="F23" s="38" t="str">
        <f aca="false">IF(IFERROR(INDEX(Expenses!B$3:B$1002,SMALL(IF((Expenses!E$3:E$1002="GBP")*(Expenses!A$3:A$1002=DATE(2026,1,20)),ROW(Expenses!A$3:A$1002)-2),5)),"")&lt;&gt;"",IFERROR(INDEX(Expenses!B$3:B$1002,SMALL(IF((Expenses!E$3:E$1002="GBP")*(Expenses!A$3:A$1002=DATE(2026,1,20)),ROW(Expenses!A$3:A$1002)-2),5)),""),IF(IFERROR(INDEX(Income!B$3:B$502,SMALL(IF((Income!D$3:D$502="GBP")*(Income!A$3:A$502=DATE(2026,1,20)),ROW(Income!A$3:A$502)-2),5)),"")&lt;&gt;"",IFERROR(INDEX(Income!B$3:B$502,SMALL(IF((Income!D$3:D$502="GBP")*(Income!A$3:A$502=DATE(2026,1,20)),ROW(Income!A$3:A$502)-2),5)),""),""))</f>
        <v/>
      </c>
      <c r="G23" s="62" t="str">
        <f aca="false">IF(IFERROR(-INDEX(Expenses!D$3:D$1002,SMALL(IF((Expenses!E$3:E$1002="GBP")*(Expenses!A$3:A$1002=DATE(2026,1,21)),ROW(Expenses!A$3:A$1002)-2),5)),0)+IFERROR(INDEX(Income!C$3:C$502,SMALL(IF((Income!D$3:D$502="GBP")*(Income!A$3:A$502=DATE(2026,1,21)),ROW(Income!A$3:A$502)-2),5)),0)=0,"",IFERROR(-INDEX(Expenses!D$3:D$1002,SMALL(IF((Expenses!E$3:E$1002="GBP")*(Expenses!A$3:A$1002=DATE(2026,1,21)),ROW(Expenses!A$3:A$1002)-2),5)),0)+IFERROR(INDEX(Income!C$3:C$502,SMALL(IF((Income!D$3:D$502="GBP")*(Income!A$3:A$502=DATE(2026,1,21)),ROW(Income!A$3:A$502)-2),5)),0))</f>
        <v/>
      </c>
      <c r="H23" s="38" t="str">
        <f aca="false">IF(IFERROR(INDEX(Expenses!B$3:B$1002,SMALL(IF((Expenses!E$3:E$1002="GBP")*(Expenses!A$3:A$1002=DATE(2026,1,21)),ROW(Expenses!A$3:A$1002)-2),5)),"")&lt;&gt;"",IFERROR(INDEX(Expenses!B$3:B$1002,SMALL(IF((Expenses!E$3:E$1002="GBP")*(Expenses!A$3:A$1002=DATE(2026,1,21)),ROW(Expenses!A$3:A$1002)-2),5)),""),IF(IFERROR(INDEX(Income!B$3:B$502,SMALL(IF((Income!D$3:D$502="GBP")*(Income!A$3:A$502=DATE(2026,1,21)),ROW(Income!A$3:A$502)-2),5)),"")&lt;&gt;"",IFERROR(INDEX(Income!B$3:B$502,SMALL(IF((Income!D$3:D$502="GBP")*(Income!A$3:A$502=DATE(2026,1,21)),ROW(Income!A$3:A$502)-2),5)),""),""))</f>
        <v/>
      </c>
      <c r="I23" s="62" t="str">
        <f aca="false">IF(IFERROR(-INDEX(Expenses!D$3:D$1002,SMALL(IF((Expenses!E$3:E$1002="GBP")*(Expenses!A$3:A$1002=DATE(2026,1,22)),ROW(Expenses!A$3:A$1002)-2),5)),0)+IFERROR(INDEX(Income!C$3:C$502,SMALL(IF((Income!D$3:D$502="GBP")*(Income!A$3:A$502=DATE(2026,1,22)),ROW(Income!A$3:A$502)-2),5)),0)=0,"",IFERROR(-INDEX(Expenses!D$3:D$1002,SMALL(IF((Expenses!E$3:E$1002="GBP")*(Expenses!A$3:A$1002=DATE(2026,1,22)),ROW(Expenses!A$3:A$1002)-2),5)),0)+IFERROR(INDEX(Income!C$3:C$502,SMALL(IF((Income!D$3:D$502="GBP")*(Income!A$3:A$502=DATE(2026,1,22)),ROW(Income!A$3:A$502)-2),5)),0))</f>
        <v/>
      </c>
      <c r="J23" s="38" t="str">
        <f aca="false">IF(IFERROR(INDEX(Expenses!B$3:B$1002,SMALL(IF((Expenses!E$3:E$1002="GBP")*(Expenses!A$3:A$1002=DATE(2026,1,22)),ROW(Expenses!A$3:A$1002)-2),5)),"")&lt;&gt;"",IFERROR(INDEX(Expenses!B$3:B$1002,SMALL(IF((Expenses!E$3:E$1002="GBP")*(Expenses!A$3:A$1002=DATE(2026,1,22)),ROW(Expenses!A$3:A$1002)-2),5)),""),IF(IFERROR(INDEX(Income!B$3:B$502,SMALL(IF((Income!D$3:D$502="GBP")*(Income!A$3:A$502=DATE(2026,1,22)),ROW(Income!A$3:A$502)-2),5)),"")&lt;&gt;"",IFERROR(INDEX(Income!B$3:B$502,SMALL(IF((Income!D$3:D$502="GBP")*(Income!A$3:A$502=DATE(2026,1,22)),ROW(Income!A$3:A$502)-2),5)),""),""))</f>
        <v/>
      </c>
      <c r="K23" s="62" t="str">
        <f aca="false">IF(IFERROR(-INDEX(Expenses!D$3:D$1002,SMALL(IF((Expenses!E$3:E$1002="GBP")*(Expenses!A$3:A$1002=DATE(2026,1,23)),ROW(Expenses!A$3:A$1002)-2),5)),0)+IFERROR(INDEX(Income!C$3:C$502,SMALL(IF((Income!D$3:D$502="GBP")*(Income!A$3:A$502=DATE(2026,1,23)),ROW(Income!A$3:A$502)-2),5)),0)=0,"",IFERROR(-INDEX(Expenses!D$3:D$1002,SMALL(IF((Expenses!E$3:E$1002="GBP")*(Expenses!A$3:A$1002=DATE(2026,1,23)),ROW(Expenses!A$3:A$1002)-2),5)),0)+IFERROR(INDEX(Income!C$3:C$502,SMALL(IF((Income!D$3:D$502="GBP")*(Income!A$3:A$502=DATE(2026,1,23)),ROW(Income!A$3:A$502)-2),5)),0))</f>
        <v/>
      </c>
      <c r="L23" s="38" t="str">
        <f aca="false">IF(IFERROR(INDEX(Expenses!B$3:B$1002,SMALL(IF((Expenses!E$3:E$1002="GBP")*(Expenses!A$3:A$1002=DATE(2026,1,23)),ROW(Expenses!A$3:A$1002)-2),5)),"")&lt;&gt;"",IFERROR(INDEX(Expenses!B$3:B$1002,SMALL(IF((Expenses!E$3:E$1002="GBP")*(Expenses!A$3:A$1002=DATE(2026,1,23)),ROW(Expenses!A$3:A$1002)-2),5)),""),IF(IFERROR(INDEX(Income!B$3:B$502,SMALL(IF((Income!D$3:D$502="GBP")*(Income!A$3:A$502=DATE(2026,1,23)),ROW(Income!A$3:A$502)-2),5)),"")&lt;&gt;"",IFERROR(INDEX(Income!B$3:B$502,SMALL(IF((Income!D$3:D$502="GBP")*(Income!A$3:A$502=DATE(2026,1,23)),ROW(Income!A$3:A$502)-2),5)),""),""))</f>
        <v/>
      </c>
      <c r="M23" s="62" t="str">
        <f aca="false">IF(IFERROR(-INDEX(Expenses!D$3:D$1002,SMALL(IF((Expenses!E$3:E$1002="GBP")*(Expenses!A$3:A$1002=DATE(2026,1,24)),ROW(Expenses!A$3:A$1002)-2),5)),0)+IFERROR(INDEX(Income!C$3:C$502,SMALL(IF((Income!D$3:D$502="GBP")*(Income!A$3:A$502=DATE(2026,1,24)),ROW(Income!A$3:A$502)-2),5)),0)=0,"",IFERROR(-INDEX(Expenses!D$3:D$1002,SMALL(IF((Expenses!E$3:E$1002="GBP")*(Expenses!A$3:A$1002=DATE(2026,1,24)),ROW(Expenses!A$3:A$1002)-2),5)),0)+IFERROR(INDEX(Income!C$3:C$502,SMALL(IF((Income!D$3:D$502="GBP")*(Income!A$3:A$502=DATE(2026,1,24)),ROW(Income!A$3:A$502)-2),5)),0))</f>
        <v/>
      </c>
      <c r="N23" s="38" t="str">
        <f aca="false">IF(IFERROR(INDEX(Expenses!B$3:B$1002,SMALL(IF((Expenses!E$3:E$1002="GBP")*(Expenses!A$3:A$1002=DATE(2026,1,24)),ROW(Expenses!A$3:A$1002)-2),5)),"")&lt;&gt;"",IFERROR(INDEX(Expenses!B$3:B$1002,SMALL(IF((Expenses!E$3:E$1002="GBP")*(Expenses!A$3:A$1002=DATE(2026,1,24)),ROW(Expenses!A$3:A$1002)-2),5)),""),IF(IFERROR(INDEX(Income!B$3:B$502,SMALL(IF((Income!D$3:D$502="GBP")*(Income!A$3:A$502=DATE(2026,1,24)),ROW(Income!A$3:A$502)-2),5)),"")&lt;&gt;"",IFERROR(INDEX(Income!B$3:B$502,SMALL(IF((Income!D$3:D$502="GBP")*(Income!A$3:A$502=DATE(2026,1,24)),ROW(Income!A$3:A$502)-2),5)),""),""))</f>
        <v/>
      </c>
      <c r="O23" s="62" t="str">
        <f aca="false">IF(IFERROR(-INDEX(Expenses!D$3:D$1002,SMALL(IF((Expenses!E$3:E$1002="GBP")*(Expenses!A$3:A$1002=DATE(2026,1,25)),ROW(Expenses!A$3:A$1002)-2),5)),0)+IFERROR(INDEX(Income!C$3:C$502,SMALL(IF((Income!D$3:D$502="GBP")*(Income!A$3:A$502=DATE(2026,1,25)),ROW(Income!A$3:A$502)-2),5)),0)=0,"",IFERROR(-INDEX(Expenses!D$3:D$1002,SMALL(IF((Expenses!E$3:E$1002="GBP")*(Expenses!A$3:A$1002=DATE(2026,1,25)),ROW(Expenses!A$3:A$1002)-2),5)),0)+IFERROR(INDEX(Income!C$3:C$502,SMALL(IF((Income!D$3:D$502="GBP")*(Income!A$3:A$502=DATE(2026,1,25)),ROW(Income!A$3:A$502)-2),5)),0))</f>
        <v/>
      </c>
      <c r="P23" s="38" t="str">
        <f aca="false">IF(IFERROR(INDEX(Expenses!B$3:B$1002,SMALL(IF((Expenses!E$3:E$1002="GBP")*(Expenses!A$3:A$1002=DATE(2026,1,25)),ROW(Expenses!A$3:A$1002)-2),5)),"")&lt;&gt;"",IFERROR(INDEX(Expenses!B$3:B$1002,SMALL(IF((Expenses!E$3:E$1002="GBP")*(Expenses!A$3:A$1002=DATE(2026,1,25)),ROW(Expenses!A$3:A$1002)-2),5)),""),IF(IFERROR(INDEX(Income!B$3:B$502,SMALL(IF((Income!D$3:D$502="GBP")*(Income!A$3:A$502=DATE(2026,1,25)),ROW(Income!A$3:A$502)-2),5)),"")&lt;&gt;"",IFERROR(INDEX(Income!B$3:B$502,SMALL(IF((Income!D$3:D$502="GBP")*(Income!A$3:A$502=DATE(2026,1,25)),ROW(Income!A$3:A$502)-2),5)),""),""))</f>
        <v/>
      </c>
      <c r="Q23" s="16"/>
      <c r="R23" s="16"/>
    </row>
    <row r="24" customFormat="false" ht="15" hidden="false" customHeight="false" outlineLevel="0" collapsed="false">
      <c r="A24" s="61" t="n">
        <v>46048</v>
      </c>
      <c r="B24" s="3" t="n">
        <v>5</v>
      </c>
      <c r="C24" s="62" t="str">
        <f aca="false">IF(IFERROR(-INDEX(Expenses!D$3:D$1002,SMALL(IF((Expenses!E$3:E$1002="GBP")*(Expenses!A$3:A$1002=DATE(2026,1,26)),ROW(Expenses!A$3:A$1002)-2),1)),0)+IFERROR(INDEX(Income!C$3:C$502,SMALL(IF((Income!D$3:D$502="GBP")*(Income!A$3:A$502=DATE(2026,1,26)),ROW(Income!A$3:A$502)-2),1)),0)=0,"",IFERROR(-INDEX(Expenses!D$3:D$1002,SMALL(IF((Expenses!E$3:E$1002="GBP")*(Expenses!A$3:A$1002=DATE(2026,1,26)),ROW(Expenses!A$3:A$1002)-2),1)),0)+IFERROR(INDEX(Income!C$3:C$502,SMALL(IF((Income!D$3:D$502="GBP")*(Income!A$3:A$502=DATE(2026,1,26)),ROW(Income!A$3:A$502)-2),1)),0))</f>
        <v/>
      </c>
      <c r="D24" s="38" t="str">
        <f aca="false">IF(IFERROR(INDEX(Expenses!B$3:B$1002,SMALL(IF((Expenses!E$3:E$1002="GBP")*(Expenses!A$3:A$1002=DATE(2026,1,26)),ROW(Expenses!A$3:A$1002)-2),1)),"")&lt;&gt;"",IFERROR(INDEX(Expenses!B$3:B$1002,SMALL(IF((Expenses!E$3:E$1002="GBP")*(Expenses!A$3:A$1002=DATE(2026,1,26)),ROW(Expenses!A$3:A$1002)-2),1)),""),IF(IFERROR(INDEX(Income!B$3:B$502,SMALL(IF((Income!D$3:D$502="GBP")*(Income!A$3:A$502=DATE(2026,1,26)),ROW(Income!A$3:A$502)-2),1)),"")&lt;&gt;"",IFERROR(INDEX(Income!B$3:B$502,SMALL(IF((Income!D$3:D$502="GBP")*(Income!A$3:A$502=DATE(2026,1,26)),ROW(Income!A$3:A$502)-2),1)),""),""))</f>
        <v/>
      </c>
      <c r="E24" s="62" t="str">
        <f aca="false">IF(IFERROR(-INDEX(Expenses!D$3:D$1002,SMALL(IF((Expenses!E$3:E$1002="GBP")*(Expenses!A$3:A$1002=DATE(2026,1,27)),ROW(Expenses!A$3:A$1002)-2),1)),0)+IFERROR(INDEX(Income!C$3:C$502,SMALL(IF((Income!D$3:D$502="GBP")*(Income!A$3:A$502=DATE(2026,1,27)),ROW(Income!A$3:A$502)-2),1)),0)=0,"",IFERROR(-INDEX(Expenses!D$3:D$1002,SMALL(IF((Expenses!E$3:E$1002="GBP")*(Expenses!A$3:A$1002=DATE(2026,1,27)),ROW(Expenses!A$3:A$1002)-2),1)),0)+IFERROR(INDEX(Income!C$3:C$502,SMALL(IF((Income!D$3:D$502="GBP")*(Income!A$3:A$502=DATE(2026,1,27)),ROW(Income!A$3:A$502)-2),1)),0))</f>
        <v/>
      </c>
      <c r="F24" s="38" t="str">
        <f aca="false">IF(IFERROR(INDEX(Expenses!B$3:B$1002,SMALL(IF((Expenses!E$3:E$1002="GBP")*(Expenses!A$3:A$1002=DATE(2026,1,27)),ROW(Expenses!A$3:A$1002)-2),1)),"")&lt;&gt;"",IFERROR(INDEX(Expenses!B$3:B$1002,SMALL(IF((Expenses!E$3:E$1002="GBP")*(Expenses!A$3:A$1002=DATE(2026,1,27)),ROW(Expenses!A$3:A$1002)-2),1)),""),IF(IFERROR(INDEX(Income!B$3:B$502,SMALL(IF((Income!D$3:D$502="GBP")*(Income!A$3:A$502=DATE(2026,1,27)),ROW(Income!A$3:A$502)-2),1)),"")&lt;&gt;"",IFERROR(INDEX(Income!B$3:B$502,SMALL(IF((Income!D$3:D$502="GBP")*(Income!A$3:A$502=DATE(2026,1,27)),ROW(Income!A$3:A$502)-2),1)),""),""))</f>
        <v/>
      </c>
      <c r="G24" s="62" t="str">
        <f aca="false">IF(IFERROR(-INDEX(Expenses!D$3:D$1002,SMALL(IF((Expenses!E$3:E$1002="GBP")*(Expenses!A$3:A$1002=DATE(2026,1,28)),ROW(Expenses!A$3:A$1002)-2),1)),0)+IFERROR(INDEX(Income!C$3:C$502,SMALL(IF((Income!D$3:D$502="GBP")*(Income!A$3:A$502=DATE(2026,1,28)),ROW(Income!A$3:A$502)-2),1)),0)=0,"",IFERROR(-INDEX(Expenses!D$3:D$1002,SMALL(IF((Expenses!E$3:E$1002="GBP")*(Expenses!A$3:A$1002=DATE(2026,1,28)),ROW(Expenses!A$3:A$1002)-2),1)),0)+IFERROR(INDEX(Income!C$3:C$502,SMALL(IF((Income!D$3:D$502="GBP")*(Income!A$3:A$502=DATE(2026,1,28)),ROW(Income!A$3:A$502)-2),1)),0))</f>
        <v/>
      </c>
      <c r="H24" s="38" t="str">
        <f aca="false">IF(IFERROR(INDEX(Expenses!B$3:B$1002,SMALL(IF((Expenses!E$3:E$1002="GBP")*(Expenses!A$3:A$1002=DATE(2026,1,28)),ROW(Expenses!A$3:A$1002)-2),1)),"")&lt;&gt;"",IFERROR(INDEX(Expenses!B$3:B$1002,SMALL(IF((Expenses!E$3:E$1002="GBP")*(Expenses!A$3:A$1002=DATE(2026,1,28)),ROW(Expenses!A$3:A$1002)-2),1)),""),IF(IFERROR(INDEX(Income!B$3:B$502,SMALL(IF((Income!D$3:D$502="GBP")*(Income!A$3:A$502=DATE(2026,1,28)),ROW(Income!A$3:A$502)-2),1)),"")&lt;&gt;"",IFERROR(INDEX(Income!B$3:B$502,SMALL(IF((Income!D$3:D$502="GBP")*(Income!A$3:A$502=DATE(2026,1,28)),ROW(Income!A$3:A$502)-2),1)),""),""))</f>
        <v/>
      </c>
      <c r="I24" s="62" t="str">
        <f aca="false">IF(IFERROR(-INDEX(Expenses!D$3:D$1002,SMALL(IF((Expenses!E$3:E$1002="GBP")*(Expenses!A$3:A$1002=DATE(2026,1,29)),ROW(Expenses!A$3:A$1002)-2),1)),0)+IFERROR(INDEX(Income!C$3:C$502,SMALL(IF((Income!D$3:D$502="GBP")*(Income!A$3:A$502=DATE(2026,1,29)),ROW(Income!A$3:A$502)-2),1)),0)=0,"",IFERROR(-INDEX(Expenses!D$3:D$1002,SMALL(IF((Expenses!E$3:E$1002="GBP")*(Expenses!A$3:A$1002=DATE(2026,1,29)),ROW(Expenses!A$3:A$1002)-2),1)),0)+IFERROR(INDEX(Income!C$3:C$502,SMALL(IF((Income!D$3:D$502="GBP")*(Income!A$3:A$502=DATE(2026,1,29)),ROW(Income!A$3:A$502)-2),1)),0))</f>
        <v/>
      </c>
      <c r="J24" s="38" t="str">
        <f aca="false">IF(IFERROR(INDEX(Expenses!B$3:B$1002,SMALL(IF((Expenses!E$3:E$1002="GBP")*(Expenses!A$3:A$1002=DATE(2026,1,29)),ROW(Expenses!A$3:A$1002)-2),1)),"")&lt;&gt;"",IFERROR(INDEX(Expenses!B$3:B$1002,SMALL(IF((Expenses!E$3:E$1002="GBP")*(Expenses!A$3:A$1002=DATE(2026,1,29)),ROW(Expenses!A$3:A$1002)-2),1)),""),IF(IFERROR(INDEX(Income!B$3:B$502,SMALL(IF((Income!D$3:D$502="GBP")*(Income!A$3:A$502=DATE(2026,1,29)),ROW(Income!A$3:A$502)-2),1)),"")&lt;&gt;"",IFERROR(INDEX(Income!B$3:B$502,SMALL(IF((Income!D$3:D$502="GBP")*(Income!A$3:A$502=DATE(2026,1,29)),ROW(Income!A$3:A$502)-2),1)),""),""))</f>
        <v/>
      </c>
      <c r="K24" s="62" t="str">
        <f aca="false">IF(IFERROR(-INDEX(Expenses!D$3:D$1002,SMALL(IF((Expenses!E$3:E$1002="GBP")*(Expenses!A$3:A$1002=DATE(2026,1,30)),ROW(Expenses!A$3:A$1002)-2),1)),0)+IFERROR(INDEX(Income!C$3:C$502,SMALL(IF((Income!D$3:D$502="GBP")*(Income!A$3:A$502=DATE(2026,1,30)),ROW(Income!A$3:A$502)-2),1)),0)=0,"",IFERROR(-INDEX(Expenses!D$3:D$1002,SMALL(IF((Expenses!E$3:E$1002="GBP")*(Expenses!A$3:A$1002=DATE(2026,1,30)),ROW(Expenses!A$3:A$1002)-2),1)),0)+IFERROR(INDEX(Income!C$3:C$502,SMALL(IF((Income!D$3:D$502="GBP")*(Income!A$3:A$502=DATE(2026,1,30)),ROW(Income!A$3:A$502)-2),1)),0))</f>
        <v/>
      </c>
      <c r="L24" s="38" t="str">
        <f aca="false">IF(IFERROR(INDEX(Expenses!B$3:B$1002,SMALL(IF((Expenses!E$3:E$1002="GBP")*(Expenses!A$3:A$1002=DATE(2026,1,30)),ROW(Expenses!A$3:A$1002)-2),1)),"")&lt;&gt;"",IFERROR(INDEX(Expenses!B$3:B$1002,SMALL(IF((Expenses!E$3:E$1002="GBP")*(Expenses!A$3:A$1002=DATE(2026,1,30)),ROW(Expenses!A$3:A$1002)-2),1)),""),IF(IFERROR(INDEX(Income!B$3:B$502,SMALL(IF((Income!D$3:D$502="GBP")*(Income!A$3:A$502=DATE(2026,1,30)),ROW(Income!A$3:A$502)-2),1)),"")&lt;&gt;"",IFERROR(INDEX(Income!B$3:B$502,SMALL(IF((Income!D$3:D$502="GBP")*(Income!A$3:A$502=DATE(2026,1,30)),ROW(Income!A$3:A$502)-2),1)),""),""))</f>
        <v/>
      </c>
      <c r="M24" s="62" t="str">
        <f aca="false">IF(IFERROR(-INDEX(Expenses!D$3:D$1002,SMALL(IF((Expenses!E$3:E$1002="GBP")*(Expenses!A$3:A$1002=DATE(2026,1,31)),ROW(Expenses!A$3:A$1002)-2),1)),0)+IFERROR(INDEX(Income!C$3:C$502,SMALL(IF((Income!D$3:D$502="GBP")*(Income!A$3:A$502=DATE(2026,1,31)),ROW(Income!A$3:A$502)-2),1)),0)=0,"",IFERROR(-INDEX(Expenses!D$3:D$1002,SMALL(IF((Expenses!E$3:E$1002="GBP")*(Expenses!A$3:A$1002=DATE(2026,1,31)),ROW(Expenses!A$3:A$1002)-2),1)),0)+IFERROR(INDEX(Income!C$3:C$502,SMALL(IF((Income!D$3:D$502="GBP")*(Income!A$3:A$502=DATE(2026,1,31)),ROW(Income!A$3:A$502)-2),1)),0))</f>
        <v/>
      </c>
      <c r="N24" s="38" t="str">
        <f aca="false">IF(IFERROR(INDEX(Expenses!B$3:B$1002,SMALL(IF((Expenses!E$3:E$1002="GBP")*(Expenses!A$3:A$1002=DATE(2026,1,31)),ROW(Expenses!A$3:A$1002)-2),1)),"")&lt;&gt;"",IFERROR(INDEX(Expenses!B$3:B$1002,SMALL(IF((Expenses!E$3:E$1002="GBP")*(Expenses!A$3:A$1002=DATE(2026,1,31)),ROW(Expenses!A$3:A$1002)-2),1)),""),IF(IFERROR(INDEX(Income!B$3:B$502,SMALL(IF((Income!D$3:D$502="GBP")*(Income!A$3:A$502=DATE(2026,1,31)),ROW(Income!A$3:A$502)-2),1)),"")&lt;&gt;"",IFERROR(INDEX(Income!B$3:B$502,SMALL(IF((Income!D$3:D$502="GBP")*(Income!A$3:A$502=DATE(2026,1,31)),ROW(Income!A$3:A$502)-2),1)),""),""))</f>
        <v/>
      </c>
      <c r="O24" s="62" t="str">
        <f aca="false">IF(IFERROR(-INDEX(Expenses!D$3:D$1002,SMALL(IF((Expenses!E$3:E$1002="GBP")*(Expenses!A$3:A$1002=DATE(2026,2,1)),ROW(Expenses!A$3:A$1002)-2),1)),0)+IFERROR(INDEX(Income!C$3:C$502,SMALL(IF((Income!D$3:D$502="GBP")*(Income!A$3:A$502=DATE(2026,2,1)),ROW(Income!A$3:A$502)-2),1)),0)=0,"",IFERROR(-INDEX(Expenses!D$3:D$1002,SMALL(IF((Expenses!E$3:E$1002="GBP")*(Expenses!A$3:A$1002=DATE(2026,2,1)),ROW(Expenses!A$3:A$1002)-2),1)),0)+IFERROR(INDEX(Income!C$3:C$502,SMALL(IF((Income!D$3:D$502="GBP")*(Income!A$3:A$502=DATE(2026,2,1)),ROW(Income!A$3:A$502)-2),1)),0))</f>
        <v/>
      </c>
      <c r="P24" s="38" t="str">
        <f aca="false">IF(IFERROR(INDEX(Expenses!B$3:B$1002,SMALL(IF((Expenses!E$3:E$1002="GBP")*(Expenses!A$3:A$1002=DATE(2026,2,1)),ROW(Expenses!A$3:A$1002)-2),1)),"")&lt;&gt;"",IFERROR(INDEX(Expenses!B$3:B$1002,SMALL(IF((Expenses!E$3:E$1002="GBP")*(Expenses!A$3:A$1002=DATE(2026,2,1)),ROW(Expenses!A$3:A$1002)-2),1)),""),IF(IFERROR(INDEX(Income!B$3:B$502,SMALL(IF((Income!D$3:D$502="GBP")*(Income!A$3:A$502=DATE(2026,2,1)),ROW(Income!A$3:A$502)-2),1)),"")&lt;&gt;"",IFERROR(INDEX(Income!B$3:B$502,SMALL(IF((Income!D$3:D$502="GBP")*(Income!A$3:A$502=DATE(2026,2,1)),ROW(Income!A$3:A$502)-2),1)),""),""))</f>
        <v/>
      </c>
      <c r="Q24" s="3" t="n">
        <v>5</v>
      </c>
      <c r="R24" s="45" t="n">
        <f aca="false">SUM(C24:C28)+SUM(E24:E28)+SUM(G24:G28)+SUM(I24:I28)+SUM(K24:K28)+SUM(M24:M28)+SUM(O24:O28)</f>
        <v>0</v>
      </c>
    </row>
    <row r="25" customFormat="false" ht="15" hidden="false" customHeight="false" outlineLevel="0" collapsed="false">
      <c r="A25" s="16"/>
      <c r="B25" s="16"/>
      <c r="C25" s="62" t="str">
        <f aca="false">IF(IFERROR(-INDEX(Expenses!D$3:D$1002,SMALL(IF((Expenses!E$3:E$1002="GBP")*(Expenses!A$3:A$1002=DATE(2026,1,26)),ROW(Expenses!A$3:A$1002)-2),2)),0)+IFERROR(INDEX(Income!C$3:C$502,SMALL(IF((Income!D$3:D$502="GBP")*(Income!A$3:A$502=DATE(2026,1,26)),ROW(Income!A$3:A$502)-2),2)),0)=0,"",IFERROR(-INDEX(Expenses!D$3:D$1002,SMALL(IF((Expenses!E$3:E$1002="GBP")*(Expenses!A$3:A$1002=DATE(2026,1,26)),ROW(Expenses!A$3:A$1002)-2),2)),0)+IFERROR(INDEX(Income!C$3:C$502,SMALL(IF((Income!D$3:D$502="GBP")*(Income!A$3:A$502=DATE(2026,1,26)),ROW(Income!A$3:A$502)-2),2)),0))</f>
        <v/>
      </c>
      <c r="D25" s="38" t="str">
        <f aca="false">IF(IFERROR(INDEX(Expenses!B$3:B$1002,SMALL(IF((Expenses!E$3:E$1002="GBP")*(Expenses!A$3:A$1002=DATE(2026,1,26)),ROW(Expenses!A$3:A$1002)-2),2)),"")&lt;&gt;"",IFERROR(INDEX(Expenses!B$3:B$1002,SMALL(IF((Expenses!E$3:E$1002="GBP")*(Expenses!A$3:A$1002=DATE(2026,1,26)),ROW(Expenses!A$3:A$1002)-2),2)),""),IF(IFERROR(INDEX(Income!B$3:B$502,SMALL(IF((Income!D$3:D$502="GBP")*(Income!A$3:A$502=DATE(2026,1,26)),ROW(Income!A$3:A$502)-2),2)),"")&lt;&gt;"",IFERROR(INDEX(Income!B$3:B$502,SMALL(IF((Income!D$3:D$502="GBP")*(Income!A$3:A$502=DATE(2026,1,26)),ROW(Income!A$3:A$502)-2),2)),""),""))</f>
        <v/>
      </c>
      <c r="E25" s="62" t="str">
        <f aca="false">IF(IFERROR(-INDEX(Expenses!D$3:D$1002,SMALL(IF((Expenses!E$3:E$1002="GBP")*(Expenses!A$3:A$1002=DATE(2026,1,27)),ROW(Expenses!A$3:A$1002)-2),2)),0)+IFERROR(INDEX(Income!C$3:C$502,SMALL(IF((Income!D$3:D$502="GBP")*(Income!A$3:A$502=DATE(2026,1,27)),ROW(Income!A$3:A$502)-2),2)),0)=0,"",IFERROR(-INDEX(Expenses!D$3:D$1002,SMALL(IF((Expenses!E$3:E$1002="GBP")*(Expenses!A$3:A$1002=DATE(2026,1,27)),ROW(Expenses!A$3:A$1002)-2),2)),0)+IFERROR(INDEX(Income!C$3:C$502,SMALL(IF((Income!D$3:D$502="GBP")*(Income!A$3:A$502=DATE(2026,1,27)),ROW(Income!A$3:A$502)-2),2)),0))</f>
        <v/>
      </c>
      <c r="F25" s="38" t="str">
        <f aca="false">IF(IFERROR(INDEX(Expenses!B$3:B$1002,SMALL(IF((Expenses!E$3:E$1002="GBP")*(Expenses!A$3:A$1002=DATE(2026,1,27)),ROW(Expenses!A$3:A$1002)-2),2)),"")&lt;&gt;"",IFERROR(INDEX(Expenses!B$3:B$1002,SMALL(IF((Expenses!E$3:E$1002="GBP")*(Expenses!A$3:A$1002=DATE(2026,1,27)),ROW(Expenses!A$3:A$1002)-2),2)),""),IF(IFERROR(INDEX(Income!B$3:B$502,SMALL(IF((Income!D$3:D$502="GBP")*(Income!A$3:A$502=DATE(2026,1,27)),ROW(Income!A$3:A$502)-2),2)),"")&lt;&gt;"",IFERROR(INDEX(Income!B$3:B$502,SMALL(IF((Income!D$3:D$502="GBP")*(Income!A$3:A$502=DATE(2026,1,27)),ROW(Income!A$3:A$502)-2),2)),""),""))</f>
        <v/>
      </c>
      <c r="G25" s="62" t="str">
        <f aca="false">IF(IFERROR(-INDEX(Expenses!D$3:D$1002,SMALL(IF((Expenses!E$3:E$1002="GBP")*(Expenses!A$3:A$1002=DATE(2026,1,28)),ROW(Expenses!A$3:A$1002)-2),2)),0)+IFERROR(INDEX(Income!C$3:C$502,SMALL(IF((Income!D$3:D$502="GBP")*(Income!A$3:A$502=DATE(2026,1,28)),ROW(Income!A$3:A$502)-2),2)),0)=0,"",IFERROR(-INDEX(Expenses!D$3:D$1002,SMALL(IF((Expenses!E$3:E$1002="GBP")*(Expenses!A$3:A$1002=DATE(2026,1,28)),ROW(Expenses!A$3:A$1002)-2),2)),0)+IFERROR(INDEX(Income!C$3:C$502,SMALL(IF((Income!D$3:D$502="GBP")*(Income!A$3:A$502=DATE(2026,1,28)),ROW(Income!A$3:A$502)-2),2)),0))</f>
        <v/>
      </c>
      <c r="H25" s="38" t="str">
        <f aca="false">IF(IFERROR(INDEX(Expenses!B$3:B$1002,SMALL(IF((Expenses!E$3:E$1002="GBP")*(Expenses!A$3:A$1002=DATE(2026,1,28)),ROW(Expenses!A$3:A$1002)-2),2)),"")&lt;&gt;"",IFERROR(INDEX(Expenses!B$3:B$1002,SMALL(IF((Expenses!E$3:E$1002="GBP")*(Expenses!A$3:A$1002=DATE(2026,1,28)),ROW(Expenses!A$3:A$1002)-2),2)),""),IF(IFERROR(INDEX(Income!B$3:B$502,SMALL(IF((Income!D$3:D$502="GBP")*(Income!A$3:A$502=DATE(2026,1,28)),ROW(Income!A$3:A$502)-2),2)),"")&lt;&gt;"",IFERROR(INDEX(Income!B$3:B$502,SMALL(IF((Income!D$3:D$502="GBP")*(Income!A$3:A$502=DATE(2026,1,28)),ROW(Income!A$3:A$502)-2),2)),""),""))</f>
        <v/>
      </c>
      <c r="I25" s="62" t="str">
        <f aca="false">IF(IFERROR(-INDEX(Expenses!D$3:D$1002,SMALL(IF((Expenses!E$3:E$1002="GBP")*(Expenses!A$3:A$1002=DATE(2026,1,29)),ROW(Expenses!A$3:A$1002)-2),2)),0)+IFERROR(INDEX(Income!C$3:C$502,SMALL(IF((Income!D$3:D$502="GBP")*(Income!A$3:A$502=DATE(2026,1,29)),ROW(Income!A$3:A$502)-2),2)),0)=0,"",IFERROR(-INDEX(Expenses!D$3:D$1002,SMALL(IF((Expenses!E$3:E$1002="GBP")*(Expenses!A$3:A$1002=DATE(2026,1,29)),ROW(Expenses!A$3:A$1002)-2),2)),0)+IFERROR(INDEX(Income!C$3:C$502,SMALL(IF((Income!D$3:D$502="GBP")*(Income!A$3:A$502=DATE(2026,1,29)),ROW(Income!A$3:A$502)-2),2)),0))</f>
        <v/>
      </c>
      <c r="J25" s="38" t="str">
        <f aca="false">IF(IFERROR(INDEX(Expenses!B$3:B$1002,SMALL(IF((Expenses!E$3:E$1002="GBP")*(Expenses!A$3:A$1002=DATE(2026,1,29)),ROW(Expenses!A$3:A$1002)-2),2)),"")&lt;&gt;"",IFERROR(INDEX(Expenses!B$3:B$1002,SMALL(IF((Expenses!E$3:E$1002="GBP")*(Expenses!A$3:A$1002=DATE(2026,1,29)),ROW(Expenses!A$3:A$1002)-2),2)),""),IF(IFERROR(INDEX(Income!B$3:B$502,SMALL(IF((Income!D$3:D$502="GBP")*(Income!A$3:A$502=DATE(2026,1,29)),ROW(Income!A$3:A$502)-2),2)),"")&lt;&gt;"",IFERROR(INDEX(Income!B$3:B$502,SMALL(IF((Income!D$3:D$502="GBP")*(Income!A$3:A$502=DATE(2026,1,29)),ROW(Income!A$3:A$502)-2),2)),""),""))</f>
        <v/>
      </c>
      <c r="K25" s="62" t="str">
        <f aca="false">IF(IFERROR(-INDEX(Expenses!D$3:D$1002,SMALL(IF((Expenses!E$3:E$1002="GBP")*(Expenses!A$3:A$1002=DATE(2026,1,30)),ROW(Expenses!A$3:A$1002)-2),2)),0)+IFERROR(INDEX(Income!C$3:C$502,SMALL(IF((Income!D$3:D$502="GBP")*(Income!A$3:A$502=DATE(2026,1,30)),ROW(Income!A$3:A$502)-2),2)),0)=0,"",IFERROR(-INDEX(Expenses!D$3:D$1002,SMALL(IF((Expenses!E$3:E$1002="GBP")*(Expenses!A$3:A$1002=DATE(2026,1,30)),ROW(Expenses!A$3:A$1002)-2),2)),0)+IFERROR(INDEX(Income!C$3:C$502,SMALL(IF((Income!D$3:D$502="GBP")*(Income!A$3:A$502=DATE(2026,1,30)),ROW(Income!A$3:A$502)-2),2)),0))</f>
        <v/>
      </c>
      <c r="L25" s="38" t="str">
        <f aca="false">IF(IFERROR(INDEX(Expenses!B$3:B$1002,SMALL(IF((Expenses!E$3:E$1002="GBP")*(Expenses!A$3:A$1002=DATE(2026,1,30)),ROW(Expenses!A$3:A$1002)-2),2)),"")&lt;&gt;"",IFERROR(INDEX(Expenses!B$3:B$1002,SMALL(IF((Expenses!E$3:E$1002="GBP")*(Expenses!A$3:A$1002=DATE(2026,1,30)),ROW(Expenses!A$3:A$1002)-2),2)),""),IF(IFERROR(INDEX(Income!B$3:B$502,SMALL(IF((Income!D$3:D$502="GBP")*(Income!A$3:A$502=DATE(2026,1,30)),ROW(Income!A$3:A$502)-2),2)),"")&lt;&gt;"",IFERROR(INDEX(Income!B$3:B$502,SMALL(IF((Income!D$3:D$502="GBP")*(Income!A$3:A$502=DATE(2026,1,30)),ROW(Income!A$3:A$502)-2),2)),""),""))</f>
        <v/>
      </c>
      <c r="M25" s="62" t="str">
        <f aca="false">IF(IFERROR(-INDEX(Expenses!D$3:D$1002,SMALL(IF((Expenses!E$3:E$1002="GBP")*(Expenses!A$3:A$1002=DATE(2026,1,31)),ROW(Expenses!A$3:A$1002)-2),2)),0)+IFERROR(INDEX(Income!C$3:C$502,SMALL(IF((Income!D$3:D$502="GBP")*(Income!A$3:A$502=DATE(2026,1,31)),ROW(Income!A$3:A$502)-2),2)),0)=0,"",IFERROR(-INDEX(Expenses!D$3:D$1002,SMALL(IF((Expenses!E$3:E$1002="GBP")*(Expenses!A$3:A$1002=DATE(2026,1,31)),ROW(Expenses!A$3:A$1002)-2),2)),0)+IFERROR(INDEX(Income!C$3:C$502,SMALL(IF((Income!D$3:D$502="GBP")*(Income!A$3:A$502=DATE(2026,1,31)),ROW(Income!A$3:A$502)-2),2)),0))</f>
        <v/>
      </c>
      <c r="N25" s="38" t="str">
        <f aca="false">IF(IFERROR(INDEX(Expenses!B$3:B$1002,SMALL(IF((Expenses!E$3:E$1002="GBP")*(Expenses!A$3:A$1002=DATE(2026,1,31)),ROW(Expenses!A$3:A$1002)-2),2)),"")&lt;&gt;"",IFERROR(INDEX(Expenses!B$3:B$1002,SMALL(IF((Expenses!E$3:E$1002="GBP")*(Expenses!A$3:A$1002=DATE(2026,1,31)),ROW(Expenses!A$3:A$1002)-2),2)),""),IF(IFERROR(INDEX(Income!B$3:B$502,SMALL(IF((Income!D$3:D$502="GBP")*(Income!A$3:A$502=DATE(2026,1,31)),ROW(Income!A$3:A$502)-2),2)),"")&lt;&gt;"",IFERROR(INDEX(Income!B$3:B$502,SMALL(IF((Income!D$3:D$502="GBP")*(Income!A$3:A$502=DATE(2026,1,31)),ROW(Income!A$3:A$502)-2),2)),""),""))</f>
        <v/>
      </c>
      <c r="O25" s="62" t="str">
        <f aca="false">IF(IFERROR(-INDEX(Expenses!D$3:D$1002,SMALL(IF((Expenses!E$3:E$1002="GBP")*(Expenses!A$3:A$1002=DATE(2026,2,1)),ROW(Expenses!A$3:A$1002)-2),2)),0)+IFERROR(INDEX(Income!C$3:C$502,SMALL(IF((Income!D$3:D$502="GBP")*(Income!A$3:A$502=DATE(2026,2,1)),ROW(Income!A$3:A$502)-2),2)),0)=0,"",IFERROR(-INDEX(Expenses!D$3:D$1002,SMALL(IF((Expenses!E$3:E$1002="GBP")*(Expenses!A$3:A$1002=DATE(2026,2,1)),ROW(Expenses!A$3:A$1002)-2),2)),0)+IFERROR(INDEX(Income!C$3:C$502,SMALL(IF((Income!D$3:D$502="GBP")*(Income!A$3:A$502=DATE(2026,2,1)),ROW(Income!A$3:A$502)-2),2)),0))</f>
        <v/>
      </c>
      <c r="P25" s="38" t="str">
        <f aca="false">IF(IFERROR(INDEX(Expenses!B$3:B$1002,SMALL(IF((Expenses!E$3:E$1002="GBP")*(Expenses!A$3:A$1002=DATE(2026,2,1)),ROW(Expenses!A$3:A$1002)-2),2)),"")&lt;&gt;"",IFERROR(INDEX(Expenses!B$3:B$1002,SMALL(IF((Expenses!E$3:E$1002="GBP")*(Expenses!A$3:A$1002=DATE(2026,2,1)),ROW(Expenses!A$3:A$1002)-2),2)),""),IF(IFERROR(INDEX(Income!B$3:B$502,SMALL(IF((Income!D$3:D$502="GBP")*(Income!A$3:A$502=DATE(2026,2,1)),ROW(Income!A$3:A$502)-2),2)),"")&lt;&gt;"",IFERROR(INDEX(Income!B$3:B$502,SMALL(IF((Income!D$3:D$502="GBP")*(Income!A$3:A$502=DATE(2026,2,1)),ROW(Income!A$3:A$502)-2),2)),""),""))</f>
        <v/>
      </c>
      <c r="Q25" s="16"/>
      <c r="R25" s="16"/>
    </row>
    <row r="26" customFormat="false" ht="15" hidden="false" customHeight="false" outlineLevel="0" collapsed="false">
      <c r="A26" s="16"/>
      <c r="B26" s="16"/>
      <c r="C26" s="62" t="str">
        <f aca="false">IF(IFERROR(-INDEX(Expenses!D$3:D$1002,SMALL(IF((Expenses!E$3:E$1002="GBP")*(Expenses!A$3:A$1002=DATE(2026,1,26)),ROW(Expenses!A$3:A$1002)-2),3)),0)+IFERROR(INDEX(Income!C$3:C$502,SMALL(IF((Income!D$3:D$502="GBP")*(Income!A$3:A$502=DATE(2026,1,26)),ROW(Income!A$3:A$502)-2),3)),0)=0,"",IFERROR(-INDEX(Expenses!D$3:D$1002,SMALL(IF((Expenses!E$3:E$1002="GBP")*(Expenses!A$3:A$1002=DATE(2026,1,26)),ROW(Expenses!A$3:A$1002)-2),3)),0)+IFERROR(INDEX(Income!C$3:C$502,SMALL(IF((Income!D$3:D$502="GBP")*(Income!A$3:A$502=DATE(2026,1,26)),ROW(Income!A$3:A$502)-2),3)),0))</f>
        <v/>
      </c>
      <c r="D26" s="38" t="str">
        <f aca="false">IF(IFERROR(INDEX(Expenses!B$3:B$1002,SMALL(IF((Expenses!E$3:E$1002="GBP")*(Expenses!A$3:A$1002=DATE(2026,1,26)),ROW(Expenses!A$3:A$1002)-2),3)),"")&lt;&gt;"",IFERROR(INDEX(Expenses!B$3:B$1002,SMALL(IF((Expenses!E$3:E$1002="GBP")*(Expenses!A$3:A$1002=DATE(2026,1,26)),ROW(Expenses!A$3:A$1002)-2),3)),""),IF(IFERROR(INDEX(Income!B$3:B$502,SMALL(IF((Income!D$3:D$502="GBP")*(Income!A$3:A$502=DATE(2026,1,26)),ROW(Income!A$3:A$502)-2),3)),"")&lt;&gt;"",IFERROR(INDEX(Income!B$3:B$502,SMALL(IF((Income!D$3:D$502="GBP")*(Income!A$3:A$502=DATE(2026,1,26)),ROW(Income!A$3:A$502)-2),3)),""),""))</f>
        <v/>
      </c>
      <c r="E26" s="62" t="str">
        <f aca="false">IF(IFERROR(-INDEX(Expenses!D$3:D$1002,SMALL(IF((Expenses!E$3:E$1002="GBP")*(Expenses!A$3:A$1002=DATE(2026,1,27)),ROW(Expenses!A$3:A$1002)-2),3)),0)+IFERROR(INDEX(Income!C$3:C$502,SMALL(IF((Income!D$3:D$502="GBP")*(Income!A$3:A$502=DATE(2026,1,27)),ROW(Income!A$3:A$502)-2),3)),0)=0,"",IFERROR(-INDEX(Expenses!D$3:D$1002,SMALL(IF((Expenses!E$3:E$1002="GBP")*(Expenses!A$3:A$1002=DATE(2026,1,27)),ROW(Expenses!A$3:A$1002)-2),3)),0)+IFERROR(INDEX(Income!C$3:C$502,SMALL(IF((Income!D$3:D$502="GBP")*(Income!A$3:A$502=DATE(2026,1,27)),ROW(Income!A$3:A$502)-2),3)),0))</f>
        <v/>
      </c>
      <c r="F26" s="38" t="str">
        <f aca="false">IF(IFERROR(INDEX(Expenses!B$3:B$1002,SMALL(IF((Expenses!E$3:E$1002="GBP")*(Expenses!A$3:A$1002=DATE(2026,1,27)),ROW(Expenses!A$3:A$1002)-2),3)),"")&lt;&gt;"",IFERROR(INDEX(Expenses!B$3:B$1002,SMALL(IF((Expenses!E$3:E$1002="GBP")*(Expenses!A$3:A$1002=DATE(2026,1,27)),ROW(Expenses!A$3:A$1002)-2),3)),""),IF(IFERROR(INDEX(Income!B$3:B$502,SMALL(IF((Income!D$3:D$502="GBP")*(Income!A$3:A$502=DATE(2026,1,27)),ROW(Income!A$3:A$502)-2),3)),"")&lt;&gt;"",IFERROR(INDEX(Income!B$3:B$502,SMALL(IF((Income!D$3:D$502="GBP")*(Income!A$3:A$502=DATE(2026,1,27)),ROW(Income!A$3:A$502)-2),3)),""),""))</f>
        <v/>
      </c>
      <c r="G26" s="62" t="str">
        <f aca="false">IF(IFERROR(-INDEX(Expenses!D$3:D$1002,SMALL(IF((Expenses!E$3:E$1002="GBP")*(Expenses!A$3:A$1002=DATE(2026,1,28)),ROW(Expenses!A$3:A$1002)-2),3)),0)+IFERROR(INDEX(Income!C$3:C$502,SMALL(IF((Income!D$3:D$502="GBP")*(Income!A$3:A$502=DATE(2026,1,28)),ROW(Income!A$3:A$502)-2),3)),0)=0,"",IFERROR(-INDEX(Expenses!D$3:D$1002,SMALL(IF((Expenses!E$3:E$1002="GBP")*(Expenses!A$3:A$1002=DATE(2026,1,28)),ROW(Expenses!A$3:A$1002)-2),3)),0)+IFERROR(INDEX(Income!C$3:C$502,SMALL(IF((Income!D$3:D$502="GBP")*(Income!A$3:A$502=DATE(2026,1,28)),ROW(Income!A$3:A$502)-2),3)),0))</f>
        <v/>
      </c>
      <c r="H26" s="38" t="str">
        <f aca="false">IF(IFERROR(INDEX(Expenses!B$3:B$1002,SMALL(IF((Expenses!E$3:E$1002="GBP")*(Expenses!A$3:A$1002=DATE(2026,1,28)),ROW(Expenses!A$3:A$1002)-2),3)),"")&lt;&gt;"",IFERROR(INDEX(Expenses!B$3:B$1002,SMALL(IF((Expenses!E$3:E$1002="GBP")*(Expenses!A$3:A$1002=DATE(2026,1,28)),ROW(Expenses!A$3:A$1002)-2),3)),""),IF(IFERROR(INDEX(Income!B$3:B$502,SMALL(IF((Income!D$3:D$502="GBP")*(Income!A$3:A$502=DATE(2026,1,28)),ROW(Income!A$3:A$502)-2),3)),"")&lt;&gt;"",IFERROR(INDEX(Income!B$3:B$502,SMALL(IF((Income!D$3:D$502="GBP")*(Income!A$3:A$502=DATE(2026,1,28)),ROW(Income!A$3:A$502)-2),3)),""),""))</f>
        <v/>
      </c>
      <c r="I26" s="62" t="str">
        <f aca="false">IF(IFERROR(-INDEX(Expenses!D$3:D$1002,SMALL(IF((Expenses!E$3:E$1002="GBP")*(Expenses!A$3:A$1002=DATE(2026,1,29)),ROW(Expenses!A$3:A$1002)-2),3)),0)+IFERROR(INDEX(Income!C$3:C$502,SMALL(IF((Income!D$3:D$502="GBP")*(Income!A$3:A$502=DATE(2026,1,29)),ROW(Income!A$3:A$502)-2),3)),0)=0,"",IFERROR(-INDEX(Expenses!D$3:D$1002,SMALL(IF((Expenses!E$3:E$1002="GBP")*(Expenses!A$3:A$1002=DATE(2026,1,29)),ROW(Expenses!A$3:A$1002)-2),3)),0)+IFERROR(INDEX(Income!C$3:C$502,SMALL(IF((Income!D$3:D$502="GBP")*(Income!A$3:A$502=DATE(2026,1,29)),ROW(Income!A$3:A$502)-2),3)),0))</f>
        <v/>
      </c>
      <c r="J26" s="38" t="str">
        <f aca="false">IF(IFERROR(INDEX(Expenses!B$3:B$1002,SMALL(IF((Expenses!E$3:E$1002="GBP")*(Expenses!A$3:A$1002=DATE(2026,1,29)),ROW(Expenses!A$3:A$1002)-2),3)),"")&lt;&gt;"",IFERROR(INDEX(Expenses!B$3:B$1002,SMALL(IF((Expenses!E$3:E$1002="GBP")*(Expenses!A$3:A$1002=DATE(2026,1,29)),ROW(Expenses!A$3:A$1002)-2),3)),""),IF(IFERROR(INDEX(Income!B$3:B$502,SMALL(IF((Income!D$3:D$502="GBP")*(Income!A$3:A$502=DATE(2026,1,29)),ROW(Income!A$3:A$502)-2),3)),"")&lt;&gt;"",IFERROR(INDEX(Income!B$3:B$502,SMALL(IF((Income!D$3:D$502="GBP")*(Income!A$3:A$502=DATE(2026,1,29)),ROW(Income!A$3:A$502)-2),3)),""),""))</f>
        <v/>
      </c>
      <c r="K26" s="62" t="str">
        <f aca="false">IF(IFERROR(-INDEX(Expenses!D$3:D$1002,SMALL(IF((Expenses!E$3:E$1002="GBP")*(Expenses!A$3:A$1002=DATE(2026,1,30)),ROW(Expenses!A$3:A$1002)-2),3)),0)+IFERROR(INDEX(Income!C$3:C$502,SMALL(IF((Income!D$3:D$502="GBP")*(Income!A$3:A$502=DATE(2026,1,30)),ROW(Income!A$3:A$502)-2),3)),0)=0,"",IFERROR(-INDEX(Expenses!D$3:D$1002,SMALL(IF((Expenses!E$3:E$1002="GBP")*(Expenses!A$3:A$1002=DATE(2026,1,30)),ROW(Expenses!A$3:A$1002)-2),3)),0)+IFERROR(INDEX(Income!C$3:C$502,SMALL(IF((Income!D$3:D$502="GBP")*(Income!A$3:A$502=DATE(2026,1,30)),ROW(Income!A$3:A$502)-2),3)),0))</f>
        <v/>
      </c>
      <c r="L26" s="38" t="str">
        <f aca="false">IF(IFERROR(INDEX(Expenses!B$3:B$1002,SMALL(IF((Expenses!E$3:E$1002="GBP")*(Expenses!A$3:A$1002=DATE(2026,1,30)),ROW(Expenses!A$3:A$1002)-2),3)),"")&lt;&gt;"",IFERROR(INDEX(Expenses!B$3:B$1002,SMALL(IF((Expenses!E$3:E$1002="GBP")*(Expenses!A$3:A$1002=DATE(2026,1,30)),ROW(Expenses!A$3:A$1002)-2),3)),""),IF(IFERROR(INDEX(Income!B$3:B$502,SMALL(IF((Income!D$3:D$502="GBP")*(Income!A$3:A$502=DATE(2026,1,30)),ROW(Income!A$3:A$502)-2),3)),"")&lt;&gt;"",IFERROR(INDEX(Income!B$3:B$502,SMALL(IF((Income!D$3:D$502="GBP")*(Income!A$3:A$502=DATE(2026,1,30)),ROW(Income!A$3:A$502)-2),3)),""),""))</f>
        <v/>
      </c>
      <c r="M26" s="62" t="str">
        <f aca="false">IF(IFERROR(-INDEX(Expenses!D$3:D$1002,SMALL(IF((Expenses!E$3:E$1002="GBP")*(Expenses!A$3:A$1002=DATE(2026,1,31)),ROW(Expenses!A$3:A$1002)-2),3)),0)+IFERROR(INDEX(Income!C$3:C$502,SMALL(IF((Income!D$3:D$502="GBP")*(Income!A$3:A$502=DATE(2026,1,31)),ROW(Income!A$3:A$502)-2),3)),0)=0,"",IFERROR(-INDEX(Expenses!D$3:D$1002,SMALL(IF((Expenses!E$3:E$1002="GBP")*(Expenses!A$3:A$1002=DATE(2026,1,31)),ROW(Expenses!A$3:A$1002)-2),3)),0)+IFERROR(INDEX(Income!C$3:C$502,SMALL(IF((Income!D$3:D$502="GBP")*(Income!A$3:A$502=DATE(2026,1,31)),ROW(Income!A$3:A$502)-2),3)),0))</f>
        <v/>
      </c>
      <c r="N26" s="38" t="str">
        <f aca="false">IF(IFERROR(INDEX(Expenses!B$3:B$1002,SMALL(IF((Expenses!E$3:E$1002="GBP")*(Expenses!A$3:A$1002=DATE(2026,1,31)),ROW(Expenses!A$3:A$1002)-2),3)),"")&lt;&gt;"",IFERROR(INDEX(Expenses!B$3:B$1002,SMALL(IF((Expenses!E$3:E$1002="GBP")*(Expenses!A$3:A$1002=DATE(2026,1,31)),ROW(Expenses!A$3:A$1002)-2),3)),""),IF(IFERROR(INDEX(Income!B$3:B$502,SMALL(IF((Income!D$3:D$502="GBP")*(Income!A$3:A$502=DATE(2026,1,31)),ROW(Income!A$3:A$502)-2),3)),"")&lt;&gt;"",IFERROR(INDEX(Income!B$3:B$502,SMALL(IF((Income!D$3:D$502="GBP")*(Income!A$3:A$502=DATE(2026,1,31)),ROW(Income!A$3:A$502)-2),3)),""),""))</f>
        <v/>
      </c>
      <c r="O26" s="62" t="str">
        <f aca="false">IF(IFERROR(-INDEX(Expenses!D$3:D$1002,SMALL(IF((Expenses!E$3:E$1002="GBP")*(Expenses!A$3:A$1002=DATE(2026,2,1)),ROW(Expenses!A$3:A$1002)-2),3)),0)+IFERROR(INDEX(Income!C$3:C$502,SMALL(IF((Income!D$3:D$502="GBP")*(Income!A$3:A$502=DATE(2026,2,1)),ROW(Income!A$3:A$502)-2),3)),0)=0,"",IFERROR(-INDEX(Expenses!D$3:D$1002,SMALL(IF((Expenses!E$3:E$1002="GBP")*(Expenses!A$3:A$1002=DATE(2026,2,1)),ROW(Expenses!A$3:A$1002)-2),3)),0)+IFERROR(INDEX(Income!C$3:C$502,SMALL(IF((Income!D$3:D$502="GBP")*(Income!A$3:A$502=DATE(2026,2,1)),ROW(Income!A$3:A$502)-2),3)),0))</f>
        <v/>
      </c>
      <c r="P26" s="38" t="str">
        <f aca="false">IF(IFERROR(INDEX(Expenses!B$3:B$1002,SMALL(IF((Expenses!E$3:E$1002="GBP")*(Expenses!A$3:A$1002=DATE(2026,2,1)),ROW(Expenses!A$3:A$1002)-2),3)),"")&lt;&gt;"",IFERROR(INDEX(Expenses!B$3:B$1002,SMALL(IF((Expenses!E$3:E$1002="GBP")*(Expenses!A$3:A$1002=DATE(2026,2,1)),ROW(Expenses!A$3:A$1002)-2),3)),""),IF(IFERROR(INDEX(Income!B$3:B$502,SMALL(IF((Income!D$3:D$502="GBP")*(Income!A$3:A$502=DATE(2026,2,1)),ROW(Income!A$3:A$502)-2),3)),"")&lt;&gt;"",IFERROR(INDEX(Income!B$3:B$502,SMALL(IF((Income!D$3:D$502="GBP")*(Income!A$3:A$502=DATE(2026,2,1)),ROW(Income!A$3:A$502)-2),3)),""),""))</f>
        <v/>
      </c>
      <c r="Q26" s="16"/>
      <c r="R26" s="16"/>
    </row>
    <row r="27" customFormat="false" ht="15" hidden="false" customHeight="false" outlineLevel="0" collapsed="false">
      <c r="A27" s="16"/>
      <c r="B27" s="16"/>
      <c r="C27" s="62" t="str">
        <f aca="false">IF(IFERROR(-INDEX(Expenses!D$3:D$1002,SMALL(IF((Expenses!E$3:E$1002="GBP")*(Expenses!A$3:A$1002=DATE(2026,1,26)),ROW(Expenses!A$3:A$1002)-2),4)),0)+IFERROR(INDEX(Income!C$3:C$502,SMALL(IF((Income!D$3:D$502="GBP")*(Income!A$3:A$502=DATE(2026,1,26)),ROW(Income!A$3:A$502)-2),4)),0)=0,"",IFERROR(-INDEX(Expenses!D$3:D$1002,SMALL(IF((Expenses!E$3:E$1002="GBP")*(Expenses!A$3:A$1002=DATE(2026,1,26)),ROW(Expenses!A$3:A$1002)-2),4)),0)+IFERROR(INDEX(Income!C$3:C$502,SMALL(IF((Income!D$3:D$502="GBP")*(Income!A$3:A$502=DATE(2026,1,26)),ROW(Income!A$3:A$502)-2),4)),0))</f>
        <v/>
      </c>
      <c r="D27" s="38" t="str">
        <f aca="false">IF(IFERROR(INDEX(Expenses!B$3:B$1002,SMALL(IF((Expenses!E$3:E$1002="GBP")*(Expenses!A$3:A$1002=DATE(2026,1,26)),ROW(Expenses!A$3:A$1002)-2),4)),"")&lt;&gt;"",IFERROR(INDEX(Expenses!B$3:B$1002,SMALL(IF((Expenses!E$3:E$1002="GBP")*(Expenses!A$3:A$1002=DATE(2026,1,26)),ROW(Expenses!A$3:A$1002)-2),4)),""),IF(IFERROR(INDEX(Income!B$3:B$502,SMALL(IF((Income!D$3:D$502="GBP")*(Income!A$3:A$502=DATE(2026,1,26)),ROW(Income!A$3:A$502)-2),4)),"")&lt;&gt;"",IFERROR(INDEX(Income!B$3:B$502,SMALL(IF((Income!D$3:D$502="GBP")*(Income!A$3:A$502=DATE(2026,1,26)),ROW(Income!A$3:A$502)-2),4)),""),""))</f>
        <v/>
      </c>
      <c r="E27" s="62" t="str">
        <f aca="false">IF(IFERROR(-INDEX(Expenses!D$3:D$1002,SMALL(IF((Expenses!E$3:E$1002="GBP")*(Expenses!A$3:A$1002=DATE(2026,1,27)),ROW(Expenses!A$3:A$1002)-2),4)),0)+IFERROR(INDEX(Income!C$3:C$502,SMALL(IF((Income!D$3:D$502="GBP")*(Income!A$3:A$502=DATE(2026,1,27)),ROW(Income!A$3:A$502)-2),4)),0)=0,"",IFERROR(-INDEX(Expenses!D$3:D$1002,SMALL(IF((Expenses!E$3:E$1002="GBP")*(Expenses!A$3:A$1002=DATE(2026,1,27)),ROW(Expenses!A$3:A$1002)-2),4)),0)+IFERROR(INDEX(Income!C$3:C$502,SMALL(IF((Income!D$3:D$502="GBP")*(Income!A$3:A$502=DATE(2026,1,27)),ROW(Income!A$3:A$502)-2),4)),0))</f>
        <v/>
      </c>
      <c r="F27" s="38" t="str">
        <f aca="false">IF(IFERROR(INDEX(Expenses!B$3:B$1002,SMALL(IF((Expenses!E$3:E$1002="GBP")*(Expenses!A$3:A$1002=DATE(2026,1,27)),ROW(Expenses!A$3:A$1002)-2),4)),"")&lt;&gt;"",IFERROR(INDEX(Expenses!B$3:B$1002,SMALL(IF((Expenses!E$3:E$1002="GBP")*(Expenses!A$3:A$1002=DATE(2026,1,27)),ROW(Expenses!A$3:A$1002)-2),4)),""),IF(IFERROR(INDEX(Income!B$3:B$502,SMALL(IF((Income!D$3:D$502="GBP")*(Income!A$3:A$502=DATE(2026,1,27)),ROW(Income!A$3:A$502)-2),4)),"")&lt;&gt;"",IFERROR(INDEX(Income!B$3:B$502,SMALL(IF((Income!D$3:D$502="GBP")*(Income!A$3:A$502=DATE(2026,1,27)),ROW(Income!A$3:A$502)-2),4)),""),""))</f>
        <v/>
      </c>
      <c r="G27" s="62" t="str">
        <f aca="false">IF(IFERROR(-INDEX(Expenses!D$3:D$1002,SMALL(IF((Expenses!E$3:E$1002="GBP")*(Expenses!A$3:A$1002=DATE(2026,1,28)),ROW(Expenses!A$3:A$1002)-2),4)),0)+IFERROR(INDEX(Income!C$3:C$502,SMALL(IF((Income!D$3:D$502="GBP")*(Income!A$3:A$502=DATE(2026,1,28)),ROW(Income!A$3:A$502)-2),4)),0)=0,"",IFERROR(-INDEX(Expenses!D$3:D$1002,SMALL(IF((Expenses!E$3:E$1002="GBP")*(Expenses!A$3:A$1002=DATE(2026,1,28)),ROW(Expenses!A$3:A$1002)-2),4)),0)+IFERROR(INDEX(Income!C$3:C$502,SMALL(IF((Income!D$3:D$502="GBP")*(Income!A$3:A$502=DATE(2026,1,28)),ROW(Income!A$3:A$502)-2),4)),0))</f>
        <v/>
      </c>
      <c r="H27" s="38" t="str">
        <f aca="false">IF(IFERROR(INDEX(Expenses!B$3:B$1002,SMALL(IF((Expenses!E$3:E$1002="GBP")*(Expenses!A$3:A$1002=DATE(2026,1,28)),ROW(Expenses!A$3:A$1002)-2),4)),"")&lt;&gt;"",IFERROR(INDEX(Expenses!B$3:B$1002,SMALL(IF((Expenses!E$3:E$1002="GBP")*(Expenses!A$3:A$1002=DATE(2026,1,28)),ROW(Expenses!A$3:A$1002)-2),4)),""),IF(IFERROR(INDEX(Income!B$3:B$502,SMALL(IF((Income!D$3:D$502="GBP")*(Income!A$3:A$502=DATE(2026,1,28)),ROW(Income!A$3:A$502)-2),4)),"")&lt;&gt;"",IFERROR(INDEX(Income!B$3:B$502,SMALL(IF((Income!D$3:D$502="GBP")*(Income!A$3:A$502=DATE(2026,1,28)),ROW(Income!A$3:A$502)-2),4)),""),""))</f>
        <v/>
      </c>
      <c r="I27" s="62" t="str">
        <f aca="false">IF(IFERROR(-INDEX(Expenses!D$3:D$1002,SMALL(IF((Expenses!E$3:E$1002="GBP")*(Expenses!A$3:A$1002=DATE(2026,1,29)),ROW(Expenses!A$3:A$1002)-2),4)),0)+IFERROR(INDEX(Income!C$3:C$502,SMALL(IF((Income!D$3:D$502="GBP")*(Income!A$3:A$502=DATE(2026,1,29)),ROW(Income!A$3:A$502)-2),4)),0)=0,"",IFERROR(-INDEX(Expenses!D$3:D$1002,SMALL(IF((Expenses!E$3:E$1002="GBP")*(Expenses!A$3:A$1002=DATE(2026,1,29)),ROW(Expenses!A$3:A$1002)-2),4)),0)+IFERROR(INDEX(Income!C$3:C$502,SMALL(IF((Income!D$3:D$502="GBP")*(Income!A$3:A$502=DATE(2026,1,29)),ROW(Income!A$3:A$502)-2),4)),0))</f>
        <v/>
      </c>
      <c r="J27" s="38" t="str">
        <f aca="false">IF(IFERROR(INDEX(Expenses!B$3:B$1002,SMALL(IF((Expenses!E$3:E$1002="GBP")*(Expenses!A$3:A$1002=DATE(2026,1,29)),ROW(Expenses!A$3:A$1002)-2),4)),"")&lt;&gt;"",IFERROR(INDEX(Expenses!B$3:B$1002,SMALL(IF((Expenses!E$3:E$1002="GBP")*(Expenses!A$3:A$1002=DATE(2026,1,29)),ROW(Expenses!A$3:A$1002)-2),4)),""),IF(IFERROR(INDEX(Income!B$3:B$502,SMALL(IF((Income!D$3:D$502="GBP")*(Income!A$3:A$502=DATE(2026,1,29)),ROW(Income!A$3:A$502)-2),4)),"")&lt;&gt;"",IFERROR(INDEX(Income!B$3:B$502,SMALL(IF((Income!D$3:D$502="GBP")*(Income!A$3:A$502=DATE(2026,1,29)),ROW(Income!A$3:A$502)-2),4)),""),""))</f>
        <v/>
      </c>
      <c r="K27" s="62" t="str">
        <f aca="false">IF(IFERROR(-INDEX(Expenses!D$3:D$1002,SMALL(IF((Expenses!E$3:E$1002="GBP")*(Expenses!A$3:A$1002=DATE(2026,1,30)),ROW(Expenses!A$3:A$1002)-2),4)),0)+IFERROR(INDEX(Income!C$3:C$502,SMALL(IF((Income!D$3:D$502="GBP")*(Income!A$3:A$502=DATE(2026,1,30)),ROW(Income!A$3:A$502)-2),4)),0)=0,"",IFERROR(-INDEX(Expenses!D$3:D$1002,SMALL(IF((Expenses!E$3:E$1002="GBP")*(Expenses!A$3:A$1002=DATE(2026,1,30)),ROW(Expenses!A$3:A$1002)-2),4)),0)+IFERROR(INDEX(Income!C$3:C$502,SMALL(IF((Income!D$3:D$502="GBP")*(Income!A$3:A$502=DATE(2026,1,30)),ROW(Income!A$3:A$502)-2),4)),0))</f>
        <v/>
      </c>
      <c r="L27" s="38" t="str">
        <f aca="false">IF(IFERROR(INDEX(Expenses!B$3:B$1002,SMALL(IF((Expenses!E$3:E$1002="GBP")*(Expenses!A$3:A$1002=DATE(2026,1,30)),ROW(Expenses!A$3:A$1002)-2),4)),"")&lt;&gt;"",IFERROR(INDEX(Expenses!B$3:B$1002,SMALL(IF((Expenses!E$3:E$1002="GBP")*(Expenses!A$3:A$1002=DATE(2026,1,30)),ROW(Expenses!A$3:A$1002)-2),4)),""),IF(IFERROR(INDEX(Income!B$3:B$502,SMALL(IF((Income!D$3:D$502="GBP")*(Income!A$3:A$502=DATE(2026,1,30)),ROW(Income!A$3:A$502)-2),4)),"")&lt;&gt;"",IFERROR(INDEX(Income!B$3:B$502,SMALL(IF((Income!D$3:D$502="GBP")*(Income!A$3:A$502=DATE(2026,1,30)),ROW(Income!A$3:A$502)-2),4)),""),""))</f>
        <v/>
      </c>
      <c r="M27" s="62" t="str">
        <f aca="false">IF(IFERROR(-INDEX(Expenses!D$3:D$1002,SMALL(IF((Expenses!E$3:E$1002="GBP")*(Expenses!A$3:A$1002=DATE(2026,1,31)),ROW(Expenses!A$3:A$1002)-2),4)),0)+IFERROR(INDEX(Income!C$3:C$502,SMALL(IF((Income!D$3:D$502="GBP")*(Income!A$3:A$502=DATE(2026,1,31)),ROW(Income!A$3:A$502)-2),4)),0)=0,"",IFERROR(-INDEX(Expenses!D$3:D$1002,SMALL(IF((Expenses!E$3:E$1002="GBP")*(Expenses!A$3:A$1002=DATE(2026,1,31)),ROW(Expenses!A$3:A$1002)-2),4)),0)+IFERROR(INDEX(Income!C$3:C$502,SMALL(IF((Income!D$3:D$502="GBP")*(Income!A$3:A$502=DATE(2026,1,31)),ROW(Income!A$3:A$502)-2),4)),0))</f>
        <v/>
      </c>
      <c r="N27" s="38" t="str">
        <f aca="false">IF(IFERROR(INDEX(Expenses!B$3:B$1002,SMALL(IF((Expenses!E$3:E$1002="GBP")*(Expenses!A$3:A$1002=DATE(2026,1,31)),ROW(Expenses!A$3:A$1002)-2),4)),"")&lt;&gt;"",IFERROR(INDEX(Expenses!B$3:B$1002,SMALL(IF((Expenses!E$3:E$1002="GBP")*(Expenses!A$3:A$1002=DATE(2026,1,31)),ROW(Expenses!A$3:A$1002)-2),4)),""),IF(IFERROR(INDEX(Income!B$3:B$502,SMALL(IF((Income!D$3:D$502="GBP")*(Income!A$3:A$502=DATE(2026,1,31)),ROW(Income!A$3:A$502)-2),4)),"")&lt;&gt;"",IFERROR(INDEX(Income!B$3:B$502,SMALL(IF((Income!D$3:D$502="GBP")*(Income!A$3:A$502=DATE(2026,1,31)),ROW(Income!A$3:A$502)-2),4)),""),""))</f>
        <v/>
      </c>
      <c r="O27" s="62" t="str">
        <f aca="false">IF(IFERROR(-INDEX(Expenses!D$3:D$1002,SMALL(IF((Expenses!E$3:E$1002="GBP")*(Expenses!A$3:A$1002=DATE(2026,2,1)),ROW(Expenses!A$3:A$1002)-2),4)),0)+IFERROR(INDEX(Income!C$3:C$502,SMALL(IF((Income!D$3:D$502="GBP")*(Income!A$3:A$502=DATE(2026,2,1)),ROW(Income!A$3:A$502)-2),4)),0)=0,"",IFERROR(-INDEX(Expenses!D$3:D$1002,SMALL(IF((Expenses!E$3:E$1002="GBP")*(Expenses!A$3:A$1002=DATE(2026,2,1)),ROW(Expenses!A$3:A$1002)-2),4)),0)+IFERROR(INDEX(Income!C$3:C$502,SMALL(IF((Income!D$3:D$502="GBP")*(Income!A$3:A$502=DATE(2026,2,1)),ROW(Income!A$3:A$502)-2),4)),0))</f>
        <v/>
      </c>
      <c r="P27" s="38" t="str">
        <f aca="false">IF(IFERROR(INDEX(Expenses!B$3:B$1002,SMALL(IF((Expenses!E$3:E$1002="GBP")*(Expenses!A$3:A$1002=DATE(2026,2,1)),ROW(Expenses!A$3:A$1002)-2),4)),"")&lt;&gt;"",IFERROR(INDEX(Expenses!B$3:B$1002,SMALL(IF((Expenses!E$3:E$1002="GBP")*(Expenses!A$3:A$1002=DATE(2026,2,1)),ROW(Expenses!A$3:A$1002)-2),4)),""),IF(IFERROR(INDEX(Income!B$3:B$502,SMALL(IF((Income!D$3:D$502="GBP")*(Income!A$3:A$502=DATE(2026,2,1)),ROW(Income!A$3:A$502)-2),4)),"")&lt;&gt;"",IFERROR(INDEX(Income!B$3:B$502,SMALL(IF((Income!D$3:D$502="GBP")*(Income!A$3:A$502=DATE(2026,2,1)),ROW(Income!A$3:A$502)-2),4)),""),""))</f>
        <v/>
      </c>
      <c r="Q27" s="16"/>
      <c r="R27" s="16"/>
    </row>
    <row r="28" customFormat="false" ht="15" hidden="false" customHeight="false" outlineLevel="0" collapsed="false">
      <c r="A28" s="16"/>
      <c r="B28" s="16"/>
      <c r="C28" s="62" t="str">
        <f aca="false">IF(IFERROR(-INDEX(Expenses!D$3:D$1002,SMALL(IF((Expenses!E$3:E$1002="GBP")*(Expenses!A$3:A$1002=DATE(2026,1,26)),ROW(Expenses!A$3:A$1002)-2),5)),0)+IFERROR(INDEX(Income!C$3:C$502,SMALL(IF((Income!D$3:D$502="GBP")*(Income!A$3:A$502=DATE(2026,1,26)),ROW(Income!A$3:A$502)-2),5)),0)=0,"",IFERROR(-INDEX(Expenses!D$3:D$1002,SMALL(IF((Expenses!E$3:E$1002="GBP")*(Expenses!A$3:A$1002=DATE(2026,1,26)),ROW(Expenses!A$3:A$1002)-2),5)),0)+IFERROR(INDEX(Income!C$3:C$502,SMALL(IF((Income!D$3:D$502="GBP")*(Income!A$3:A$502=DATE(2026,1,26)),ROW(Income!A$3:A$502)-2),5)),0))</f>
        <v/>
      </c>
      <c r="D28" s="38" t="str">
        <f aca="false">IF(IFERROR(INDEX(Expenses!B$3:B$1002,SMALL(IF((Expenses!E$3:E$1002="GBP")*(Expenses!A$3:A$1002=DATE(2026,1,26)),ROW(Expenses!A$3:A$1002)-2),5)),"")&lt;&gt;"",IFERROR(INDEX(Expenses!B$3:B$1002,SMALL(IF((Expenses!E$3:E$1002="GBP")*(Expenses!A$3:A$1002=DATE(2026,1,26)),ROW(Expenses!A$3:A$1002)-2),5)),""),IF(IFERROR(INDEX(Income!B$3:B$502,SMALL(IF((Income!D$3:D$502="GBP")*(Income!A$3:A$502=DATE(2026,1,26)),ROW(Income!A$3:A$502)-2),5)),"")&lt;&gt;"",IFERROR(INDEX(Income!B$3:B$502,SMALL(IF((Income!D$3:D$502="GBP")*(Income!A$3:A$502=DATE(2026,1,26)),ROW(Income!A$3:A$502)-2),5)),""),""))</f>
        <v/>
      </c>
      <c r="E28" s="62" t="str">
        <f aca="false">IF(IFERROR(-INDEX(Expenses!D$3:D$1002,SMALL(IF((Expenses!E$3:E$1002="GBP")*(Expenses!A$3:A$1002=DATE(2026,1,27)),ROW(Expenses!A$3:A$1002)-2),5)),0)+IFERROR(INDEX(Income!C$3:C$502,SMALL(IF((Income!D$3:D$502="GBP")*(Income!A$3:A$502=DATE(2026,1,27)),ROW(Income!A$3:A$502)-2),5)),0)=0,"",IFERROR(-INDEX(Expenses!D$3:D$1002,SMALL(IF((Expenses!E$3:E$1002="GBP")*(Expenses!A$3:A$1002=DATE(2026,1,27)),ROW(Expenses!A$3:A$1002)-2),5)),0)+IFERROR(INDEX(Income!C$3:C$502,SMALL(IF((Income!D$3:D$502="GBP")*(Income!A$3:A$502=DATE(2026,1,27)),ROW(Income!A$3:A$502)-2),5)),0))</f>
        <v/>
      </c>
      <c r="F28" s="38" t="str">
        <f aca="false">IF(IFERROR(INDEX(Expenses!B$3:B$1002,SMALL(IF((Expenses!E$3:E$1002="GBP")*(Expenses!A$3:A$1002=DATE(2026,1,27)),ROW(Expenses!A$3:A$1002)-2),5)),"")&lt;&gt;"",IFERROR(INDEX(Expenses!B$3:B$1002,SMALL(IF((Expenses!E$3:E$1002="GBP")*(Expenses!A$3:A$1002=DATE(2026,1,27)),ROW(Expenses!A$3:A$1002)-2),5)),""),IF(IFERROR(INDEX(Income!B$3:B$502,SMALL(IF((Income!D$3:D$502="GBP")*(Income!A$3:A$502=DATE(2026,1,27)),ROW(Income!A$3:A$502)-2),5)),"")&lt;&gt;"",IFERROR(INDEX(Income!B$3:B$502,SMALL(IF((Income!D$3:D$502="GBP")*(Income!A$3:A$502=DATE(2026,1,27)),ROW(Income!A$3:A$502)-2),5)),""),""))</f>
        <v/>
      </c>
      <c r="G28" s="62" t="str">
        <f aca="false">IF(IFERROR(-INDEX(Expenses!D$3:D$1002,SMALL(IF((Expenses!E$3:E$1002="GBP")*(Expenses!A$3:A$1002=DATE(2026,1,28)),ROW(Expenses!A$3:A$1002)-2),5)),0)+IFERROR(INDEX(Income!C$3:C$502,SMALL(IF((Income!D$3:D$502="GBP")*(Income!A$3:A$502=DATE(2026,1,28)),ROW(Income!A$3:A$502)-2),5)),0)=0,"",IFERROR(-INDEX(Expenses!D$3:D$1002,SMALL(IF((Expenses!E$3:E$1002="GBP")*(Expenses!A$3:A$1002=DATE(2026,1,28)),ROW(Expenses!A$3:A$1002)-2),5)),0)+IFERROR(INDEX(Income!C$3:C$502,SMALL(IF((Income!D$3:D$502="GBP")*(Income!A$3:A$502=DATE(2026,1,28)),ROW(Income!A$3:A$502)-2),5)),0))</f>
        <v/>
      </c>
      <c r="H28" s="38" t="str">
        <f aca="false">IF(IFERROR(INDEX(Expenses!B$3:B$1002,SMALL(IF((Expenses!E$3:E$1002="GBP")*(Expenses!A$3:A$1002=DATE(2026,1,28)),ROW(Expenses!A$3:A$1002)-2),5)),"")&lt;&gt;"",IFERROR(INDEX(Expenses!B$3:B$1002,SMALL(IF((Expenses!E$3:E$1002="GBP")*(Expenses!A$3:A$1002=DATE(2026,1,28)),ROW(Expenses!A$3:A$1002)-2),5)),""),IF(IFERROR(INDEX(Income!B$3:B$502,SMALL(IF((Income!D$3:D$502="GBP")*(Income!A$3:A$502=DATE(2026,1,28)),ROW(Income!A$3:A$502)-2),5)),"")&lt;&gt;"",IFERROR(INDEX(Income!B$3:B$502,SMALL(IF((Income!D$3:D$502="GBP")*(Income!A$3:A$502=DATE(2026,1,28)),ROW(Income!A$3:A$502)-2),5)),""),""))</f>
        <v/>
      </c>
      <c r="I28" s="62" t="str">
        <f aca="false">IF(IFERROR(-INDEX(Expenses!D$3:D$1002,SMALL(IF((Expenses!E$3:E$1002="GBP")*(Expenses!A$3:A$1002=DATE(2026,1,29)),ROW(Expenses!A$3:A$1002)-2),5)),0)+IFERROR(INDEX(Income!C$3:C$502,SMALL(IF((Income!D$3:D$502="GBP")*(Income!A$3:A$502=DATE(2026,1,29)),ROW(Income!A$3:A$502)-2),5)),0)=0,"",IFERROR(-INDEX(Expenses!D$3:D$1002,SMALL(IF((Expenses!E$3:E$1002="GBP")*(Expenses!A$3:A$1002=DATE(2026,1,29)),ROW(Expenses!A$3:A$1002)-2),5)),0)+IFERROR(INDEX(Income!C$3:C$502,SMALL(IF((Income!D$3:D$502="GBP")*(Income!A$3:A$502=DATE(2026,1,29)),ROW(Income!A$3:A$502)-2),5)),0))</f>
        <v/>
      </c>
      <c r="J28" s="38" t="str">
        <f aca="false">IF(IFERROR(INDEX(Expenses!B$3:B$1002,SMALL(IF((Expenses!E$3:E$1002="GBP")*(Expenses!A$3:A$1002=DATE(2026,1,29)),ROW(Expenses!A$3:A$1002)-2),5)),"")&lt;&gt;"",IFERROR(INDEX(Expenses!B$3:B$1002,SMALL(IF((Expenses!E$3:E$1002="GBP")*(Expenses!A$3:A$1002=DATE(2026,1,29)),ROW(Expenses!A$3:A$1002)-2),5)),""),IF(IFERROR(INDEX(Income!B$3:B$502,SMALL(IF((Income!D$3:D$502="GBP")*(Income!A$3:A$502=DATE(2026,1,29)),ROW(Income!A$3:A$502)-2),5)),"")&lt;&gt;"",IFERROR(INDEX(Income!B$3:B$502,SMALL(IF((Income!D$3:D$502="GBP")*(Income!A$3:A$502=DATE(2026,1,29)),ROW(Income!A$3:A$502)-2),5)),""),""))</f>
        <v/>
      </c>
      <c r="K28" s="62" t="str">
        <f aca="false">IF(IFERROR(-INDEX(Expenses!D$3:D$1002,SMALL(IF((Expenses!E$3:E$1002="GBP")*(Expenses!A$3:A$1002=DATE(2026,1,30)),ROW(Expenses!A$3:A$1002)-2),5)),0)+IFERROR(INDEX(Income!C$3:C$502,SMALL(IF((Income!D$3:D$502="GBP")*(Income!A$3:A$502=DATE(2026,1,30)),ROW(Income!A$3:A$502)-2),5)),0)=0,"",IFERROR(-INDEX(Expenses!D$3:D$1002,SMALL(IF((Expenses!E$3:E$1002="GBP")*(Expenses!A$3:A$1002=DATE(2026,1,30)),ROW(Expenses!A$3:A$1002)-2),5)),0)+IFERROR(INDEX(Income!C$3:C$502,SMALL(IF((Income!D$3:D$502="GBP")*(Income!A$3:A$502=DATE(2026,1,30)),ROW(Income!A$3:A$502)-2),5)),0))</f>
        <v/>
      </c>
      <c r="L28" s="38" t="str">
        <f aca="false">IF(IFERROR(INDEX(Expenses!B$3:B$1002,SMALL(IF((Expenses!E$3:E$1002="GBP")*(Expenses!A$3:A$1002=DATE(2026,1,30)),ROW(Expenses!A$3:A$1002)-2),5)),"")&lt;&gt;"",IFERROR(INDEX(Expenses!B$3:B$1002,SMALL(IF((Expenses!E$3:E$1002="GBP")*(Expenses!A$3:A$1002=DATE(2026,1,30)),ROW(Expenses!A$3:A$1002)-2),5)),""),IF(IFERROR(INDEX(Income!B$3:B$502,SMALL(IF((Income!D$3:D$502="GBP")*(Income!A$3:A$502=DATE(2026,1,30)),ROW(Income!A$3:A$502)-2),5)),"")&lt;&gt;"",IFERROR(INDEX(Income!B$3:B$502,SMALL(IF((Income!D$3:D$502="GBP")*(Income!A$3:A$502=DATE(2026,1,30)),ROW(Income!A$3:A$502)-2),5)),""),""))</f>
        <v/>
      </c>
      <c r="M28" s="62" t="str">
        <f aca="false">IF(IFERROR(-INDEX(Expenses!D$3:D$1002,SMALL(IF((Expenses!E$3:E$1002="GBP")*(Expenses!A$3:A$1002=DATE(2026,1,31)),ROW(Expenses!A$3:A$1002)-2),5)),0)+IFERROR(INDEX(Income!C$3:C$502,SMALL(IF((Income!D$3:D$502="GBP")*(Income!A$3:A$502=DATE(2026,1,31)),ROW(Income!A$3:A$502)-2),5)),0)=0,"",IFERROR(-INDEX(Expenses!D$3:D$1002,SMALL(IF((Expenses!E$3:E$1002="GBP")*(Expenses!A$3:A$1002=DATE(2026,1,31)),ROW(Expenses!A$3:A$1002)-2),5)),0)+IFERROR(INDEX(Income!C$3:C$502,SMALL(IF((Income!D$3:D$502="GBP")*(Income!A$3:A$502=DATE(2026,1,31)),ROW(Income!A$3:A$502)-2),5)),0))</f>
        <v/>
      </c>
      <c r="N28" s="38" t="str">
        <f aca="false">IF(IFERROR(INDEX(Expenses!B$3:B$1002,SMALL(IF((Expenses!E$3:E$1002="GBP")*(Expenses!A$3:A$1002=DATE(2026,1,31)),ROW(Expenses!A$3:A$1002)-2),5)),"")&lt;&gt;"",IFERROR(INDEX(Expenses!B$3:B$1002,SMALL(IF((Expenses!E$3:E$1002="GBP")*(Expenses!A$3:A$1002=DATE(2026,1,31)),ROW(Expenses!A$3:A$1002)-2),5)),""),IF(IFERROR(INDEX(Income!B$3:B$502,SMALL(IF((Income!D$3:D$502="GBP")*(Income!A$3:A$502=DATE(2026,1,31)),ROW(Income!A$3:A$502)-2),5)),"")&lt;&gt;"",IFERROR(INDEX(Income!B$3:B$502,SMALL(IF((Income!D$3:D$502="GBP")*(Income!A$3:A$502=DATE(2026,1,31)),ROW(Income!A$3:A$502)-2),5)),""),""))</f>
        <v/>
      </c>
      <c r="O28" s="62" t="str">
        <f aca="false">IF(IFERROR(-INDEX(Expenses!D$3:D$1002,SMALL(IF((Expenses!E$3:E$1002="GBP")*(Expenses!A$3:A$1002=DATE(2026,2,1)),ROW(Expenses!A$3:A$1002)-2),5)),0)+IFERROR(INDEX(Income!C$3:C$502,SMALL(IF((Income!D$3:D$502="GBP")*(Income!A$3:A$502=DATE(2026,2,1)),ROW(Income!A$3:A$502)-2),5)),0)=0,"",IFERROR(-INDEX(Expenses!D$3:D$1002,SMALL(IF((Expenses!E$3:E$1002="GBP")*(Expenses!A$3:A$1002=DATE(2026,2,1)),ROW(Expenses!A$3:A$1002)-2),5)),0)+IFERROR(INDEX(Income!C$3:C$502,SMALL(IF((Income!D$3:D$502="GBP")*(Income!A$3:A$502=DATE(2026,2,1)),ROW(Income!A$3:A$502)-2),5)),0))</f>
        <v/>
      </c>
      <c r="P28" s="38" t="str">
        <f aca="false">IF(IFERROR(INDEX(Expenses!B$3:B$1002,SMALL(IF((Expenses!E$3:E$1002="GBP")*(Expenses!A$3:A$1002=DATE(2026,2,1)),ROW(Expenses!A$3:A$1002)-2),5)),"")&lt;&gt;"",IFERROR(INDEX(Expenses!B$3:B$1002,SMALL(IF((Expenses!E$3:E$1002="GBP")*(Expenses!A$3:A$1002=DATE(2026,2,1)),ROW(Expenses!A$3:A$1002)-2),5)),""),IF(IFERROR(INDEX(Income!B$3:B$502,SMALL(IF((Income!D$3:D$502="GBP")*(Income!A$3:A$502=DATE(2026,2,1)),ROW(Income!A$3:A$502)-2),5)),"")&lt;&gt;"",IFERROR(INDEX(Income!B$3:B$502,SMALL(IF((Income!D$3:D$502="GBP")*(Income!A$3:A$502=DATE(2026,2,1)),ROW(Income!A$3:A$502)-2),5)),""),""))</f>
        <v/>
      </c>
      <c r="Q28" s="16"/>
      <c r="R28" s="16"/>
    </row>
    <row r="29" customFormat="false" ht="15" hidden="false" customHeight="false" outlineLevel="0" collapsed="false">
      <c r="A29" s="61" t="n">
        <v>46055</v>
      </c>
      <c r="B29" s="3" t="n">
        <v>6</v>
      </c>
      <c r="C29" s="62" t="str">
        <f aca="false">IF(IFERROR(-INDEX(Expenses!D$3:D$1002,SMALL(IF((Expenses!E$3:E$1002="GBP")*(Expenses!A$3:A$1002=DATE(2026,2,2)),ROW(Expenses!A$3:A$1002)-2),1)),0)+IFERROR(INDEX(Income!C$3:C$502,SMALL(IF((Income!D$3:D$502="GBP")*(Income!A$3:A$502=DATE(2026,2,2)),ROW(Income!A$3:A$502)-2),1)),0)=0,"",IFERROR(-INDEX(Expenses!D$3:D$1002,SMALL(IF((Expenses!E$3:E$1002="GBP")*(Expenses!A$3:A$1002=DATE(2026,2,2)),ROW(Expenses!A$3:A$1002)-2),1)),0)+IFERROR(INDEX(Income!C$3:C$502,SMALL(IF((Income!D$3:D$502="GBP")*(Income!A$3:A$502=DATE(2026,2,2)),ROW(Income!A$3:A$502)-2),1)),0))</f>
        <v/>
      </c>
      <c r="D29" s="38" t="str">
        <f aca="false">IF(IFERROR(INDEX(Expenses!B$3:B$1002,SMALL(IF((Expenses!E$3:E$1002="GBP")*(Expenses!A$3:A$1002=DATE(2026,2,2)),ROW(Expenses!A$3:A$1002)-2),1)),"")&lt;&gt;"",IFERROR(INDEX(Expenses!B$3:B$1002,SMALL(IF((Expenses!E$3:E$1002="GBP")*(Expenses!A$3:A$1002=DATE(2026,2,2)),ROW(Expenses!A$3:A$1002)-2),1)),""),IF(IFERROR(INDEX(Income!B$3:B$502,SMALL(IF((Income!D$3:D$502="GBP")*(Income!A$3:A$502=DATE(2026,2,2)),ROW(Income!A$3:A$502)-2),1)),"")&lt;&gt;"",IFERROR(INDEX(Income!B$3:B$502,SMALL(IF((Income!D$3:D$502="GBP")*(Income!A$3:A$502=DATE(2026,2,2)),ROW(Income!A$3:A$502)-2),1)),""),""))</f>
        <v/>
      </c>
      <c r="E29" s="62" t="str">
        <f aca="false">IF(IFERROR(-INDEX(Expenses!D$3:D$1002,SMALL(IF((Expenses!E$3:E$1002="GBP")*(Expenses!A$3:A$1002=DATE(2026,2,3)),ROW(Expenses!A$3:A$1002)-2),1)),0)+IFERROR(INDEX(Income!C$3:C$502,SMALL(IF((Income!D$3:D$502="GBP")*(Income!A$3:A$502=DATE(2026,2,3)),ROW(Income!A$3:A$502)-2),1)),0)=0,"",IFERROR(-INDEX(Expenses!D$3:D$1002,SMALL(IF((Expenses!E$3:E$1002="GBP")*(Expenses!A$3:A$1002=DATE(2026,2,3)),ROW(Expenses!A$3:A$1002)-2),1)),0)+IFERROR(INDEX(Income!C$3:C$502,SMALL(IF((Income!D$3:D$502="GBP")*(Income!A$3:A$502=DATE(2026,2,3)),ROW(Income!A$3:A$502)-2),1)),0))</f>
        <v/>
      </c>
      <c r="F29" s="38" t="str">
        <f aca="false">IF(IFERROR(INDEX(Expenses!B$3:B$1002,SMALL(IF((Expenses!E$3:E$1002="GBP")*(Expenses!A$3:A$1002=DATE(2026,2,3)),ROW(Expenses!A$3:A$1002)-2),1)),"")&lt;&gt;"",IFERROR(INDEX(Expenses!B$3:B$1002,SMALL(IF((Expenses!E$3:E$1002="GBP")*(Expenses!A$3:A$1002=DATE(2026,2,3)),ROW(Expenses!A$3:A$1002)-2),1)),""),IF(IFERROR(INDEX(Income!B$3:B$502,SMALL(IF((Income!D$3:D$502="GBP")*(Income!A$3:A$502=DATE(2026,2,3)),ROW(Income!A$3:A$502)-2),1)),"")&lt;&gt;"",IFERROR(INDEX(Income!B$3:B$502,SMALL(IF((Income!D$3:D$502="GBP")*(Income!A$3:A$502=DATE(2026,2,3)),ROW(Income!A$3:A$502)-2),1)),""),""))</f>
        <v/>
      </c>
      <c r="G29" s="62" t="str">
        <f aca="false">IF(IFERROR(-INDEX(Expenses!D$3:D$1002,SMALL(IF((Expenses!E$3:E$1002="GBP")*(Expenses!A$3:A$1002=DATE(2026,2,4)),ROW(Expenses!A$3:A$1002)-2),1)),0)+IFERROR(INDEX(Income!C$3:C$502,SMALL(IF((Income!D$3:D$502="GBP")*(Income!A$3:A$502=DATE(2026,2,4)),ROW(Income!A$3:A$502)-2),1)),0)=0,"",IFERROR(-INDEX(Expenses!D$3:D$1002,SMALL(IF((Expenses!E$3:E$1002="GBP")*(Expenses!A$3:A$1002=DATE(2026,2,4)),ROW(Expenses!A$3:A$1002)-2),1)),0)+IFERROR(INDEX(Income!C$3:C$502,SMALL(IF((Income!D$3:D$502="GBP")*(Income!A$3:A$502=DATE(2026,2,4)),ROW(Income!A$3:A$502)-2),1)),0))</f>
        <v/>
      </c>
      <c r="H29" s="38" t="str">
        <f aca="false">IF(IFERROR(INDEX(Expenses!B$3:B$1002,SMALL(IF((Expenses!E$3:E$1002="GBP")*(Expenses!A$3:A$1002=DATE(2026,2,4)),ROW(Expenses!A$3:A$1002)-2),1)),"")&lt;&gt;"",IFERROR(INDEX(Expenses!B$3:B$1002,SMALL(IF((Expenses!E$3:E$1002="GBP")*(Expenses!A$3:A$1002=DATE(2026,2,4)),ROW(Expenses!A$3:A$1002)-2),1)),""),IF(IFERROR(INDEX(Income!B$3:B$502,SMALL(IF((Income!D$3:D$502="GBP")*(Income!A$3:A$502=DATE(2026,2,4)),ROW(Income!A$3:A$502)-2),1)),"")&lt;&gt;"",IFERROR(INDEX(Income!B$3:B$502,SMALL(IF((Income!D$3:D$502="GBP")*(Income!A$3:A$502=DATE(2026,2,4)),ROW(Income!A$3:A$502)-2),1)),""),""))</f>
        <v/>
      </c>
      <c r="I29" s="62" t="str">
        <f aca="false">IF(IFERROR(-INDEX(Expenses!D$3:D$1002,SMALL(IF((Expenses!E$3:E$1002="GBP")*(Expenses!A$3:A$1002=DATE(2026,2,5)),ROW(Expenses!A$3:A$1002)-2),1)),0)+IFERROR(INDEX(Income!C$3:C$502,SMALL(IF((Income!D$3:D$502="GBP")*(Income!A$3:A$502=DATE(2026,2,5)),ROW(Income!A$3:A$502)-2),1)),0)=0,"",IFERROR(-INDEX(Expenses!D$3:D$1002,SMALL(IF((Expenses!E$3:E$1002="GBP")*(Expenses!A$3:A$1002=DATE(2026,2,5)),ROW(Expenses!A$3:A$1002)-2),1)),0)+IFERROR(INDEX(Income!C$3:C$502,SMALL(IF((Income!D$3:D$502="GBP")*(Income!A$3:A$502=DATE(2026,2,5)),ROW(Income!A$3:A$502)-2),1)),0))</f>
        <v/>
      </c>
      <c r="J29" s="38" t="str">
        <f aca="false">IF(IFERROR(INDEX(Expenses!B$3:B$1002,SMALL(IF((Expenses!E$3:E$1002="GBP")*(Expenses!A$3:A$1002=DATE(2026,2,5)),ROW(Expenses!A$3:A$1002)-2),1)),"")&lt;&gt;"",IFERROR(INDEX(Expenses!B$3:B$1002,SMALL(IF((Expenses!E$3:E$1002="GBP")*(Expenses!A$3:A$1002=DATE(2026,2,5)),ROW(Expenses!A$3:A$1002)-2),1)),""),IF(IFERROR(INDEX(Income!B$3:B$502,SMALL(IF((Income!D$3:D$502="GBP")*(Income!A$3:A$502=DATE(2026,2,5)),ROW(Income!A$3:A$502)-2),1)),"")&lt;&gt;"",IFERROR(INDEX(Income!B$3:B$502,SMALL(IF((Income!D$3:D$502="GBP")*(Income!A$3:A$502=DATE(2026,2,5)),ROW(Income!A$3:A$502)-2),1)),""),""))</f>
        <v/>
      </c>
      <c r="K29" s="62" t="str">
        <f aca="false">IF(IFERROR(-INDEX(Expenses!D$3:D$1002,SMALL(IF((Expenses!E$3:E$1002="GBP")*(Expenses!A$3:A$1002=DATE(2026,2,6)),ROW(Expenses!A$3:A$1002)-2),1)),0)+IFERROR(INDEX(Income!C$3:C$502,SMALL(IF((Income!D$3:D$502="GBP")*(Income!A$3:A$502=DATE(2026,2,6)),ROW(Income!A$3:A$502)-2),1)),0)=0,"",IFERROR(-INDEX(Expenses!D$3:D$1002,SMALL(IF((Expenses!E$3:E$1002="GBP")*(Expenses!A$3:A$1002=DATE(2026,2,6)),ROW(Expenses!A$3:A$1002)-2),1)),0)+IFERROR(INDEX(Income!C$3:C$502,SMALL(IF((Income!D$3:D$502="GBP")*(Income!A$3:A$502=DATE(2026,2,6)),ROW(Income!A$3:A$502)-2),1)),0))</f>
        <v/>
      </c>
      <c r="L29" s="38" t="str">
        <f aca="false">IF(IFERROR(INDEX(Expenses!B$3:B$1002,SMALL(IF((Expenses!E$3:E$1002="GBP")*(Expenses!A$3:A$1002=DATE(2026,2,6)),ROW(Expenses!A$3:A$1002)-2),1)),"")&lt;&gt;"",IFERROR(INDEX(Expenses!B$3:B$1002,SMALL(IF((Expenses!E$3:E$1002="GBP")*(Expenses!A$3:A$1002=DATE(2026,2,6)),ROW(Expenses!A$3:A$1002)-2),1)),""),IF(IFERROR(INDEX(Income!B$3:B$502,SMALL(IF((Income!D$3:D$502="GBP")*(Income!A$3:A$502=DATE(2026,2,6)),ROW(Income!A$3:A$502)-2),1)),"")&lt;&gt;"",IFERROR(INDEX(Income!B$3:B$502,SMALL(IF((Income!D$3:D$502="GBP")*(Income!A$3:A$502=DATE(2026,2,6)),ROW(Income!A$3:A$502)-2),1)),""),""))</f>
        <v/>
      </c>
      <c r="M29" s="62" t="str">
        <f aca="false">IF(IFERROR(-INDEX(Expenses!D$3:D$1002,SMALL(IF((Expenses!E$3:E$1002="GBP")*(Expenses!A$3:A$1002=DATE(2026,2,7)),ROW(Expenses!A$3:A$1002)-2),1)),0)+IFERROR(INDEX(Income!C$3:C$502,SMALL(IF((Income!D$3:D$502="GBP")*(Income!A$3:A$502=DATE(2026,2,7)),ROW(Income!A$3:A$502)-2),1)),0)=0,"",IFERROR(-INDEX(Expenses!D$3:D$1002,SMALL(IF((Expenses!E$3:E$1002="GBP")*(Expenses!A$3:A$1002=DATE(2026,2,7)),ROW(Expenses!A$3:A$1002)-2),1)),0)+IFERROR(INDEX(Income!C$3:C$502,SMALL(IF((Income!D$3:D$502="GBP")*(Income!A$3:A$502=DATE(2026,2,7)),ROW(Income!A$3:A$502)-2),1)),0))</f>
        <v/>
      </c>
      <c r="N29" s="38" t="str">
        <f aca="false">IF(IFERROR(INDEX(Expenses!B$3:B$1002,SMALL(IF((Expenses!E$3:E$1002="GBP")*(Expenses!A$3:A$1002=DATE(2026,2,7)),ROW(Expenses!A$3:A$1002)-2),1)),"")&lt;&gt;"",IFERROR(INDEX(Expenses!B$3:B$1002,SMALL(IF((Expenses!E$3:E$1002="GBP")*(Expenses!A$3:A$1002=DATE(2026,2,7)),ROW(Expenses!A$3:A$1002)-2),1)),""),IF(IFERROR(INDEX(Income!B$3:B$502,SMALL(IF((Income!D$3:D$502="GBP")*(Income!A$3:A$502=DATE(2026,2,7)),ROW(Income!A$3:A$502)-2),1)),"")&lt;&gt;"",IFERROR(INDEX(Income!B$3:B$502,SMALL(IF((Income!D$3:D$502="GBP")*(Income!A$3:A$502=DATE(2026,2,7)),ROW(Income!A$3:A$502)-2),1)),""),""))</f>
        <v/>
      </c>
      <c r="O29" s="62" t="str">
        <f aca="false">IF(IFERROR(-INDEX(Expenses!D$3:D$1002,SMALL(IF((Expenses!E$3:E$1002="GBP")*(Expenses!A$3:A$1002=DATE(2026,2,8)),ROW(Expenses!A$3:A$1002)-2),1)),0)+IFERROR(INDEX(Income!C$3:C$502,SMALL(IF((Income!D$3:D$502="GBP")*(Income!A$3:A$502=DATE(2026,2,8)),ROW(Income!A$3:A$502)-2),1)),0)=0,"",IFERROR(-INDEX(Expenses!D$3:D$1002,SMALL(IF((Expenses!E$3:E$1002="GBP")*(Expenses!A$3:A$1002=DATE(2026,2,8)),ROW(Expenses!A$3:A$1002)-2),1)),0)+IFERROR(INDEX(Income!C$3:C$502,SMALL(IF((Income!D$3:D$502="GBP")*(Income!A$3:A$502=DATE(2026,2,8)),ROW(Income!A$3:A$502)-2),1)),0))</f>
        <v/>
      </c>
      <c r="P29" s="38" t="str">
        <f aca="false">IF(IFERROR(INDEX(Expenses!B$3:B$1002,SMALL(IF((Expenses!E$3:E$1002="GBP")*(Expenses!A$3:A$1002=DATE(2026,2,8)),ROW(Expenses!A$3:A$1002)-2),1)),"")&lt;&gt;"",IFERROR(INDEX(Expenses!B$3:B$1002,SMALL(IF((Expenses!E$3:E$1002="GBP")*(Expenses!A$3:A$1002=DATE(2026,2,8)),ROW(Expenses!A$3:A$1002)-2),1)),""),IF(IFERROR(INDEX(Income!B$3:B$502,SMALL(IF((Income!D$3:D$502="GBP")*(Income!A$3:A$502=DATE(2026,2,8)),ROW(Income!A$3:A$502)-2),1)),"")&lt;&gt;"",IFERROR(INDEX(Income!B$3:B$502,SMALL(IF((Income!D$3:D$502="GBP")*(Income!A$3:A$502=DATE(2026,2,8)),ROW(Income!A$3:A$502)-2),1)),""),""))</f>
        <v/>
      </c>
      <c r="Q29" s="3" t="n">
        <v>6</v>
      </c>
      <c r="R29" s="45" t="n">
        <f aca="false">SUM(C29:C33)+SUM(E29:E33)+SUM(G29:G33)+SUM(I29:I33)+SUM(K29:K33)+SUM(M29:M33)+SUM(O29:O33)</f>
        <v>0</v>
      </c>
    </row>
    <row r="30" customFormat="false" ht="15" hidden="false" customHeight="false" outlineLevel="0" collapsed="false">
      <c r="A30" s="16"/>
      <c r="B30" s="16"/>
      <c r="C30" s="62" t="str">
        <f aca="false">IF(IFERROR(-INDEX(Expenses!D$3:D$1002,SMALL(IF((Expenses!E$3:E$1002="GBP")*(Expenses!A$3:A$1002=DATE(2026,2,2)),ROW(Expenses!A$3:A$1002)-2),2)),0)+IFERROR(INDEX(Income!C$3:C$502,SMALL(IF((Income!D$3:D$502="GBP")*(Income!A$3:A$502=DATE(2026,2,2)),ROW(Income!A$3:A$502)-2),2)),0)=0,"",IFERROR(-INDEX(Expenses!D$3:D$1002,SMALL(IF((Expenses!E$3:E$1002="GBP")*(Expenses!A$3:A$1002=DATE(2026,2,2)),ROW(Expenses!A$3:A$1002)-2),2)),0)+IFERROR(INDEX(Income!C$3:C$502,SMALL(IF((Income!D$3:D$502="GBP")*(Income!A$3:A$502=DATE(2026,2,2)),ROW(Income!A$3:A$502)-2),2)),0))</f>
        <v/>
      </c>
      <c r="D30" s="38" t="str">
        <f aca="false">IF(IFERROR(INDEX(Expenses!B$3:B$1002,SMALL(IF((Expenses!E$3:E$1002="GBP")*(Expenses!A$3:A$1002=DATE(2026,2,2)),ROW(Expenses!A$3:A$1002)-2),2)),"")&lt;&gt;"",IFERROR(INDEX(Expenses!B$3:B$1002,SMALL(IF((Expenses!E$3:E$1002="GBP")*(Expenses!A$3:A$1002=DATE(2026,2,2)),ROW(Expenses!A$3:A$1002)-2),2)),""),IF(IFERROR(INDEX(Income!B$3:B$502,SMALL(IF((Income!D$3:D$502="GBP")*(Income!A$3:A$502=DATE(2026,2,2)),ROW(Income!A$3:A$502)-2),2)),"")&lt;&gt;"",IFERROR(INDEX(Income!B$3:B$502,SMALL(IF((Income!D$3:D$502="GBP")*(Income!A$3:A$502=DATE(2026,2,2)),ROW(Income!A$3:A$502)-2),2)),""),""))</f>
        <v/>
      </c>
      <c r="E30" s="62" t="str">
        <f aca="false">IF(IFERROR(-INDEX(Expenses!D$3:D$1002,SMALL(IF((Expenses!E$3:E$1002="GBP")*(Expenses!A$3:A$1002=DATE(2026,2,3)),ROW(Expenses!A$3:A$1002)-2),2)),0)+IFERROR(INDEX(Income!C$3:C$502,SMALL(IF((Income!D$3:D$502="GBP")*(Income!A$3:A$502=DATE(2026,2,3)),ROW(Income!A$3:A$502)-2),2)),0)=0,"",IFERROR(-INDEX(Expenses!D$3:D$1002,SMALL(IF((Expenses!E$3:E$1002="GBP")*(Expenses!A$3:A$1002=DATE(2026,2,3)),ROW(Expenses!A$3:A$1002)-2),2)),0)+IFERROR(INDEX(Income!C$3:C$502,SMALL(IF((Income!D$3:D$502="GBP")*(Income!A$3:A$502=DATE(2026,2,3)),ROW(Income!A$3:A$502)-2),2)),0))</f>
        <v/>
      </c>
      <c r="F30" s="38" t="str">
        <f aca="false">IF(IFERROR(INDEX(Expenses!B$3:B$1002,SMALL(IF((Expenses!E$3:E$1002="GBP")*(Expenses!A$3:A$1002=DATE(2026,2,3)),ROW(Expenses!A$3:A$1002)-2),2)),"")&lt;&gt;"",IFERROR(INDEX(Expenses!B$3:B$1002,SMALL(IF((Expenses!E$3:E$1002="GBP")*(Expenses!A$3:A$1002=DATE(2026,2,3)),ROW(Expenses!A$3:A$1002)-2),2)),""),IF(IFERROR(INDEX(Income!B$3:B$502,SMALL(IF((Income!D$3:D$502="GBP")*(Income!A$3:A$502=DATE(2026,2,3)),ROW(Income!A$3:A$502)-2),2)),"")&lt;&gt;"",IFERROR(INDEX(Income!B$3:B$502,SMALL(IF((Income!D$3:D$502="GBP")*(Income!A$3:A$502=DATE(2026,2,3)),ROW(Income!A$3:A$502)-2),2)),""),""))</f>
        <v/>
      </c>
      <c r="G30" s="62" t="str">
        <f aca="false">IF(IFERROR(-INDEX(Expenses!D$3:D$1002,SMALL(IF((Expenses!E$3:E$1002="GBP")*(Expenses!A$3:A$1002=DATE(2026,2,4)),ROW(Expenses!A$3:A$1002)-2),2)),0)+IFERROR(INDEX(Income!C$3:C$502,SMALL(IF((Income!D$3:D$502="GBP")*(Income!A$3:A$502=DATE(2026,2,4)),ROW(Income!A$3:A$502)-2),2)),0)=0,"",IFERROR(-INDEX(Expenses!D$3:D$1002,SMALL(IF((Expenses!E$3:E$1002="GBP")*(Expenses!A$3:A$1002=DATE(2026,2,4)),ROW(Expenses!A$3:A$1002)-2),2)),0)+IFERROR(INDEX(Income!C$3:C$502,SMALL(IF((Income!D$3:D$502="GBP")*(Income!A$3:A$502=DATE(2026,2,4)),ROW(Income!A$3:A$502)-2),2)),0))</f>
        <v/>
      </c>
      <c r="H30" s="38" t="str">
        <f aca="false">IF(IFERROR(INDEX(Expenses!B$3:B$1002,SMALL(IF((Expenses!E$3:E$1002="GBP")*(Expenses!A$3:A$1002=DATE(2026,2,4)),ROW(Expenses!A$3:A$1002)-2),2)),"")&lt;&gt;"",IFERROR(INDEX(Expenses!B$3:B$1002,SMALL(IF((Expenses!E$3:E$1002="GBP")*(Expenses!A$3:A$1002=DATE(2026,2,4)),ROW(Expenses!A$3:A$1002)-2),2)),""),IF(IFERROR(INDEX(Income!B$3:B$502,SMALL(IF((Income!D$3:D$502="GBP")*(Income!A$3:A$502=DATE(2026,2,4)),ROW(Income!A$3:A$502)-2),2)),"")&lt;&gt;"",IFERROR(INDEX(Income!B$3:B$502,SMALL(IF((Income!D$3:D$502="GBP")*(Income!A$3:A$502=DATE(2026,2,4)),ROW(Income!A$3:A$502)-2),2)),""),""))</f>
        <v/>
      </c>
      <c r="I30" s="62" t="str">
        <f aca="false">IF(IFERROR(-INDEX(Expenses!D$3:D$1002,SMALL(IF((Expenses!E$3:E$1002="GBP")*(Expenses!A$3:A$1002=DATE(2026,2,5)),ROW(Expenses!A$3:A$1002)-2),2)),0)+IFERROR(INDEX(Income!C$3:C$502,SMALL(IF((Income!D$3:D$502="GBP")*(Income!A$3:A$502=DATE(2026,2,5)),ROW(Income!A$3:A$502)-2),2)),0)=0,"",IFERROR(-INDEX(Expenses!D$3:D$1002,SMALL(IF((Expenses!E$3:E$1002="GBP")*(Expenses!A$3:A$1002=DATE(2026,2,5)),ROW(Expenses!A$3:A$1002)-2),2)),0)+IFERROR(INDEX(Income!C$3:C$502,SMALL(IF((Income!D$3:D$502="GBP")*(Income!A$3:A$502=DATE(2026,2,5)),ROW(Income!A$3:A$502)-2),2)),0))</f>
        <v/>
      </c>
      <c r="J30" s="38" t="str">
        <f aca="false">IF(IFERROR(INDEX(Expenses!B$3:B$1002,SMALL(IF((Expenses!E$3:E$1002="GBP")*(Expenses!A$3:A$1002=DATE(2026,2,5)),ROW(Expenses!A$3:A$1002)-2),2)),"")&lt;&gt;"",IFERROR(INDEX(Expenses!B$3:B$1002,SMALL(IF((Expenses!E$3:E$1002="GBP")*(Expenses!A$3:A$1002=DATE(2026,2,5)),ROW(Expenses!A$3:A$1002)-2),2)),""),IF(IFERROR(INDEX(Income!B$3:B$502,SMALL(IF((Income!D$3:D$502="GBP")*(Income!A$3:A$502=DATE(2026,2,5)),ROW(Income!A$3:A$502)-2),2)),"")&lt;&gt;"",IFERROR(INDEX(Income!B$3:B$502,SMALL(IF((Income!D$3:D$502="GBP")*(Income!A$3:A$502=DATE(2026,2,5)),ROW(Income!A$3:A$502)-2),2)),""),""))</f>
        <v/>
      </c>
      <c r="K30" s="62" t="str">
        <f aca="false">IF(IFERROR(-INDEX(Expenses!D$3:D$1002,SMALL(IF((Expenses!E$3:E$1002="GBP")*(Expenses!A$3:A$1002=DATE(2026,2,6)),ROW(Expenses!A$3:A$1002)-2),2)),0)+IFERROR(INDEX(Income!C$3:C$502,SMALL(IF((Income!D$3:D$502="GBP")*(Income!A$3:A$502=DATE(2026,2,6)),ROW(Income!A$3:A$502)-2),2)),0)=0,"",IFERROR(-INDEX(Expenses!D$3:D$1002,SMALL(IF((Expenses!E$3:E$1002="GBP")*(Expenses!A$3:A$1002=DATE(2026,2,6)),ROW(Expenses!A$3:A$1002)-2),2)),0)+IFERROR(INDEX(Income!C$3:C$502,SMALL(IF((Income!D$3:D$502="GBP")*(Income!A$3:A$502=DATE(2026,2,6)),ROW(Income!A$3:A$502)-2),2)),0))</f>
        <v/>
      </c>
      <c r="L30" s="38" t="str">
        <f aca="false">IF(IFERROR(INDEX(Expenses!B$3:B$1002,SMALL(IF((Expenses!E$3:E$1002="GBP")*(Expenses!A$3:A$1002=DATE(2026,2,6)),ROW(Expenses!A$3:A$1002)-2),2)),"")&lt;&gt;"",IFERROR(INDEX(Expenses!B$3:B$1002,SMALL(IF((Expenses!E$3:E$1002="GBP")*(Expenses!A$3:A$1002=DATE(2026,2,6)),ROW(Expenses!A$3:A$1002)-2),2)),""),IF(IFERROR(INDEX(Income!B$3:B$502,SMALL(IF((Income!D$3:D$502="GBP")*(Income!A$3:A$502=DATE(2026,2,6)),ROW(Income!A$3:A$502)-2),2)),"")&lt;&gt;"",IFERROR(INDEX(Income!B$3:B$502,SMALL(IF((Income!D$3:D$502="GBP")*(Income!A$3:A$502=DATE(2026,2,6)),ROW(Income!A$3:A$502)-2),2)),""),""))</f>
        <v/>
      </c>
      <c r="M30" s="62" t="str">
        <f aca="false">IF(IFERROR(-INDEX(Expenses!D$3:D$1002,SMALL(IF((Expenses!E$3:E$1002="GBP")*(Expenses!A$3:A$1002=DATE(2026,2,7)),ROW(Expenses!A$3:A$1002)-2),2)),0)+IFERROR(INDEX(Income!C$3:C$502,SMALL(IF((Income!D$3:D$502="GBP")*(Income!A$3:A$502=DATE(2026,2,7)),ROW(Income!A$3:A$502)-2),2)),0)=0,"",IFERROR(-INDEX(Expenses!D$3:D$1002,SMALL(IF((Expenses!E$3:E$1002="GBP")*(Expenses!A$3:A$1002=DATE(2026,2,7)),ROW(Expenses!A$3:A$1002)-2),2)),0)+IFERROR(INDEX(Income!C$3:C$502,SMALL(IF((Income!D$3:D$502="GBP")*(Income!A$3:A$502=DATE(2026,2,7)),ROW(Income!A$3:A$502)-2),2)),0))</f>
        <v/>
      </c>
      <c r="N30" s="38" t="str">
        <f aca="false">IF(IFERROR(INDEX(Expenses!B$3:B$1002,SMALL(IF((Expenses!E$3:E$1002="GBP")*(Expenses!A$3:A$1002=DATE(2026,2,7)),ROW(Expenses!A$3:A$1002)-2),2)),"")&lt;&gt;"",IFERROR(INDEX(Expenses!B$3:B$1002,SMALL(IF((Expenses!E$3:E$1002="GBP")*(Expenses!A$3:A$1002=DATE(2026,2,7)),ROW(Expenses!A$3:A$1002)-2),2)),""),IF(IFERROR(INDEX(Income!B$3:B$502,SMALL(IF((Income!D$3:D$502="GBP")*(Income!A$3:A$502=DATE(2026,2,7)),ROW(Income!A$3:A$502)-2),2)),"")&lt;&gt;"",IFERROR(INDEX(Income!B$3:B$502,SMALL(IF((Income!D$3:D$502="GBP")*(Income!A$3:A$502=DATE(2026,2,7)),ROW(Income!A$3:A$502)-2),2)),""),""))</f>
        <v/>
      </c>
      <c r="O30" s="62" t="str">
        <f aca="false">IF(IFERROR(-INDEX(Expenses!D$3:D$1002,SMALL(IF((Expenses!E$3:E$1002="GBP")*(Expenses!A$3:A$1002=DATE(2026,2,8)),ROW(Expenses!A$3:A$1002)-2),2)),0)+IFERROR(INDEX(Income!C$3:C$502,SMALL(IF((Income!D$3:D$502="GBP")*(Income!A$3:A$502=DATE(2026,2,8)),ROW(Income!A$3:A$502)-2),2)),0)=0,"",IFERROR(-INDEX(Expenses!D$3:D$1002,SMALL(IF((Expenses!E$3:E$1002="GBP")*(Expenses!A$3:A$1002=DATE(2026,2,8)),ROW(Expenses!A$3:A$1002)-2),2)),0)+IFERROR(INDEX(Income!C$3:C$502,SMALL(IF((Income!D$3:D$502="GBP")*(Income!A$3:A$502=DATE(2026,2,8)),ROW(Income!A$3:A$502)-2),2)),0))</f>
        <v/>
      </c>
      <c r="P30" s="38" t="str">
        <f aca="false">IF(IFERROR(INDEX(Expenses!B$3:B$1002,SMALL(IF((Expenses!E$3:E$1002="GBP")*(Expenses!A$3:A$1002=DATE(2026,2,8)),ROW(Expenses!A$3:A$1002)-2),2)),"")&lt;&gt;"",IFERROR(INDEX(Expenses!B$3:B$1002,SMALL(IF((Expenses!E$3:E$1002="GBP")*(Expenses!A$3:A$1002=DATE(2026,2,8)),ROW(Expenses!A$3:A$1002)-2),2)),""),IF(IFERROR(INDEX(Income!B$3:B$502,SMALL(IF((Income!D$3:D$502="GBP")*(Income!A$3:A$502=DATE(2026,2,8)),ROW(Income!A$3:A$502)-2),2)),"")&lt;&gt;"",IFERROR(INDEX(Income!B$3:B$502,SMALL(IF((Income!D$3:D$502="GBP")*(Income!A$3:A$502=DATE(2026,2,8)),ROW(Income!A$3:A$502)-2),2)),""),""))</f>
        <v/>
      </c>
      <c r="Q30" s="16"/>
      <c r="R30" s="16"/>
    </row>
    <row r="31" customFormat="false" ht="15" hidden="false" customHeight="false" outlineLevel="0" collapsed="false">
      <c r="A31" s="16"/>
      <c r="B31" s="16"/>
      <c r="C31" s="62" t="str">
        <f aca="false">IF(IFERROR(-INDEX(Expenses!D$3:D$1002,SMALL(IF((Expenses!E$3:E$1002="GBP")*(Expenses!A$3:A$1002=DATE(2026,2,2)),ROW(Expenses!A$3:A$1002)-2),3)),0)+IFERROR(INDEX(Income!C$3:C$502,SMALL(IF((Income!D$3:D$502="GBP")*(Income!A$3:A$502=DATE(2026,2,2)),ROW(Income!A$3:A$502)-2),3)),0)=0,"",IFERROR(-INDEX(Expenses!D$3:D$1002,SMALL(IF((Expenses!E$3:E$1002="GBP")*(Expenses!A$3:A$1002=DATE(2026,2,2)),ROW(Expenses!A$3:A$1002)-2),3)),0)+IFERROR(INDEX(Income!C$3:C$502,SMALL(IF((Income!D$3:D$502="GBP")*(Income!A$3:A$502=DATE(2026,2,2)),ROW(Income!A$3:A$502)-2),3)),0))</f>
        <v/>
      </c>
      <c r="D31" s="38" t="str">
        <f aca="false">IF(IFERROR(INDEX(Expenses!B$3:B$1002,SMALL(IF((Expenses!E$3:E$1002="GBP")*(Expenses!A$3:A$1002=DATE(2026,2,2)),ROW(Expenses!A$3:A$1002)-2),3)),"")&lt;&gt;"",IFERROR(INDEX(Expenses!B$3:B$1002,SMALL(IF((Expenses!E$3:E$1002="GBP")*(Expenses!A$3:A$1002=DATE(2026,2,2)),ROW(Expenses!A$3:A$1002)-2),3)),""),IF(IFERROR(INDEX(Income!B$3:B$502,SMALL(IF((Income!D$3:D$502="GBP")*(Income!A$3:A$502=DATE(2026,2,2)),ROW(Income!A$3:A$502)-2),3)),"")&lt;&gt;"",IFERROR(INDEX(Income!B$3:B$502,SMALL(IF((Income!D$3:D$502="GBP")*(Income!A$3:A$502=DATE(2026,2,2)),ROW(Income!A$3:A$502)-2),3)),""),""))</f>
        <v/>
      </c>
      <c r="E31" s="62" t="str">
        <f aca="false">IF(IFERROR(-INDEX(Expenses!D$3:D$1002,SMALL(IF((Expenses!E$3:E$1002="GBP")*(Expenses!A$3:A$1002=DATE(2026,2,3)),ROW(Expenses!A$3:A$1002)-2),3)),0)+IFERROR(INDEX(Income!C$3:C$502,SMALL(IF((Income!D$3:D$502="GBP")*(Income!A$3:A$502=DATE(2026,2,3)),ROW(Income!A$3:A$502)-2),3)),0)=0,"",IFERROR(-INDEX(Expenses!D$3:D$1002,SMALL(IF((Expenses!E$3:E$1002="GBP")*(Expenses!A$3:A$1002=DATE(2026,2,3)),ROW(Expenses!A$3:A$1002)-2),3)),0)+IFERROR(INDEX(Income!C$3:C$502,SMALL(IF((Income!D$3:D$502="GBP")*(Income!A$3:A$502=DATE(2026,2,3)),ROW(Income!A$3:A$502)-2),3)),0))</f>
        <v/>
      </c>
      <c r="F31" s="38" t="str">
        <f aca="false">IF(IFERROR(INDEX(Expenses!B$3:B$1002,SMALL(IF((Expenses!E$3:E$1002="GBP")*(Expenses!A$3:A$1002=DATE(2026,2,3)),ROW(Expenses!A$3:A$1002)-2),3)),"")&lt;&gt;"",IFERROR(INDEX(Expenses!B$3:B$1002,SMALL(IF((Expenses!E$3:E$1002="GBP")*(Expenses!A$3:A$1002=DATE(2026,2,3)),ROW(Expenses!A$3:A$1002)-2),3)),""),IF(IFERROR(INDEX(Income!B$3:B$502,SMALL(IF((Income!D$3:D$502="GBP")*(Income!A$3:A$502=DATE(2026,2,3)),ROW(Income!A$3:A$502)-2),3)),"")&lt;&gt;"",IFERROR(INDEX(Income!B$3:B$502,SMALL(IF((Income!D$3:D$502="GBP")*(Income!A$3:A$502=DATE(2026,2,3)),ROW(Income!A$3:A$502)-2),3)),""),""))</f>
        <v/>
      </c>
      <c r="G31" s="62" t="str">
        <f aca="false">IF(IFERROR(-INDEX(Expenses!D$3:D$1002,SMALL(IF((Expenses!E$3:E$1002="GBP")*(Expenses!A$3:A$1002=DATE(2026,2,4)),ROW(Expenses!A$3:A$1002)-2),3)),0)+IFERROR(INDEX(Income!C$3:C$502,SMALL(IF((Income!D$3:D$502="GBP")*(Income!A$3:A$502=DATE(2026,2,4)),ROW(Income!A$3:A$502)-2),3)),0)=0,"",IFERROR(-INDEX(Expenses!D$3:D$1002,SMALL(IF((Expenses!E$3:E$1002="GBP")*(Expenses!A$3:A$1002=DATE(2026,2,4)),ROW(Expenses!A$3:A$1002)-2),3)),0)+IFERROR(INDEX(Income!C$3:C$502,SMALL(IF((Income!D$3:D$502="GBP")*(Income!A$3:A$502=DATE(2026,2,4)),ROW(Income!A$3:A$502)-2),3)),0))</f>
        <v/>
      </c>
      <c r="H31" s="38" t="str">
        <f aca="false">IF(IFERROR(INDEX(Expenses!B$3:B$1002,SMALL(IF((Expenses!E$3:E$1002="GBP")*(Expenses!A$3:A$1002=DATE(2026,2,4)),ROW(Expenses!A$3:A$1002)-2),3)),"")&lt;&gt;"",IFERROR(INDEX(Expenses!B$3:B$1002,SMALL(IF((Expenses!E$3:E$1002="GBP")*(Expenses!A$3:A$1002=DATE(2026,2,4)),ROW(Expenses!A$3:A$1002)-2),3)),""),IF(IFERROR(INDEX(Income!B$3:B$502,SMALL(IF((Income!D$3:D$502="GBP")*(Income!A$3:A$502=DATE(2026,2,4)),ROW(Income!A$3:A$502)-2),3)),"")&lt;&gt;"",IFERROR(INDEX(Income!B$3:B$502,SMALL(IF((Income!D$3:D$502="GBP")*(Income!A$3:A$502=DATE(2026,2,4)),ROW(Income!A$3:A$502)-2),3)),""),""))</f>
        <v/>
      </c>
      <c r="I31" s="62" t="str">
        <f aca="false">IF(IFERROR(-INDEX(Expenses!D$3:D$1002,SMALL(IF((Expenses!E$3:E$1002="GBP")*(Expenses!A$3:A$1002=DATE(2026,2,5)),ROW(Expenses!A$3:A$1002)-2),3)),0)+IFERROR(INDEX(Income!C$3:C$502,SMALL(IF((Income!D$3:D$502="GBP")*(Income!A$3:A$502=DATE(2026,2,5)),ROW(Income!A$3:A$502)-2),3)),0)=0,"",IFERROR(-INDEX(Expenses!D$3:D$1002,SMALL(IF((Expenses!E$3:E$1002="GBP")*(Expenses!A$3:A$1002=DATE(2026,2,5)),ROW(Expenses!A$3:A$1002)-2),3)),0)+IFERROR(INDEX(Income!C$3:C$502,SMALL(IF((Income!D$3:D$502="GBP")*(Income!A$3:A$502=DATE(2026,2,5)),ROW(Income!A$3:A$502)-2),3)),0))</f>
        <v/>
      </c>
      <c r="J31" s="38" t="str">
        <f aca="false">IF(IFERROR(INDEX(Expenses!B$3:B$1002,SMALL(IF((Expenses!E$3:E$1002="GBP")*(Expenses!A$3:A$1002=DATE(2026,2,5)),ROW(Expenses!A$3:A$1002)-2),3)),"")&lt;&gt;"",IFERROR(INDEX(Expenses!B$3:B$1002,SMALL(IF((Expenses!E$3:E$1002="GBP")*(Expenses!A$3:A$1002=DATE(2026,2,5)),ROW(Expenses!A$3:A$1002)-2),3)),""),IF(IFERROR(INDEX(Income!B$3:B$502,SMALL(IF((Income!D$3:D$502="GBP")*(Income!A$3:A$502=DATE(2026,2,5)),ROW(Income!A$3:A$502)-2),3)),"")&lt;&gt;"",IFERROR(INDEX(Income!B$3:B$502,SMALL(IF((Income!D$3:D$502="GBP")*(Income!A$3:A$502=DATE(2026,2,5)),ROW(Income!A$3:A$502)-2),3)),""),""))</f>
        <v/>
      </c>
      <c r="K31" s="62" t="str">
        <f aca="false">IF(IFERROR(-INDEX(Expenses!D$3:D$1002,SMALL(IF((Expenses!E$3:E$1002="GBP")*(Expenses!A$3:A$1002=DATE(2026,2,6)),ROW(Expenses!A$3:A$1002)-2),3)),0)+IFERROR(INDEX(Income!C$3:C$502,SMALL(IF((Income!D$3:D$502="GBP")*(Income!A$3:A$502=DATE(2026,2,6)),ROW(Income!A$3:A$502)-2),3)),0)=0,"",IFERROR(-INDEX(Expenses!D$3:D$1002,SMALL(IF((Expenses!E$3:E$1002="GBP")*(Expenses!A$3:A$1002=DATE(2026,2,6)),ROW(Expenses!A$3:A$1002)-2),3)),0)+IFERROR(INDEX(Income!C$3:C$502,SMALL(IF((Income!D$3:D$502="GBP")*(Income!A$3:A$502=DATE(2026,2,6)),ROW(Income!A$3:A$502)-2),3)),0))</f>
        <v/>
      </c>
      <c r="L31" s="38" t="str">
        <f aca="false">IF(IFERROR(INDEX(Expenses!B$3:B$1002,SMALL(IF((Expenses!E$3:E$1002="GBP")*(Expenses!A$3:A$1002=DATE(2026,2,6)),ROW(Expenses!A$3:A$1002)-2),3)),"")&lt;&gt;"",IFERROR(INDEX(Expenses!B$3:B$1002,SMALL(IF((Expenses!E$3:E$1002="GBP")*(Expenses!A$3:A$1002=DATE(2026,2,6)),ROW(Expenses!A$3:A$1002)-2),3)),""),IF(IFERROR(INDEX(Income!B$3:B$502,SMALL(IF((Income!D$3:D$502="GBP")*(Income!A$3:A$502=DATE(2026,2,6)),ROW(Income!A$3:A$502)-2),3)),"")&lt;&gt;"",IFERROR(INDEX(Income!B$3:B$502,SMALL(IF((Income!D$3:D$502="GBP")*(Income!A$3:A$502=DATE(2026,2,6)),ROW(Income!A$3:A$502)-2),3)),""),""))</f>
        <v/>
      </c>
      <c r="M31" s="62" t="str">
        <f aca="false">IF(IFERROR(-INDEX(Expenses!D$3:D$1002,SMALL(IF((Expenses!E$3:E$1002="GBP")*(Expenses!A$3:A$1002=DATE(2026,2,7)),ROW(Expenses!A$3:A$1002)-2),3)),0)+IFERROR(INDEX(Income!C$3:C$502,SMALL(IF((Income!D$3:D$502="GBP")*(Income!A$3:A$502=DATE(2026,2,7)),ROW(Income!A$3:A$502)-2),3)),0)=0,"",IFERROR(-INDEX(Expenses!D$3:D$1002,SMALL(IF((Expenses!E$3:E$1002="GBP")*(Expenses!A$3:A$1002=DATE(2026,2,7)),ROW(Expenses!A$3:A$1002)-2),3)),0)+IFERROR(INDEX(Income!C$3:C$502,SMALL(IF((Income!D$3:D$502="GBP")*(Income!A$3:A$502=DATE(2026,2,7)),ROW(Income!A$3:A$502)-2),3)),0))</f>
        <v/>
      </c>
      <c r="N31" s="38" t="str">
        <f aca="false">IF(IFERROR(INDEX(Expenses!B$3:B$1002,SMALL(IF((Expenses!E$3:E$1002="GBP")*(Expenses!A$3:A$1002=DATE(2026,2,7)),ROW(Expenses!A$3:A$1002)-2),3)),"")&lt;&gt;"",IFERROR(INDEX(Expenses!B$3:B$1002,SMALL(IF((Expenses!E$3:E$1002="GBP")*(Expenses!A$3:A$1002=DATE(2026,2,7)),ROW(Expenses!A$3:A$1002)-2),3)),""),IF(IFERROR(INDEX(Income!B$3:B$502,SMALL(IF((Income!D$3:D$502="GBP")*(Income!A$3:A$502=DATE(2026,2,7)),ROW(Income!A$3:A$502)-2),3)),"")&lt;&gt;"",IFERROR(INDEX(Income!B$3:B$502,SMALL(IF((Income!D$3:D$502="GBP")*(Income!A$3:A$502=DATE(2026,2,7)),ROW(Income!A$3:A$502)-2),3)),""),""))</f>
        <v/>
      </c>
      <c r="O31" s="62" t="str">
        <f aca="false">IF(IFERROR(-INDEX(Expenses!D$3:D$1002,SMALL(IF((Expenses!E$3:E$1002="GBP")*(Expenses!A$3:A$1002=DATE(2026,2,8)),ROW(Expenses!A$3:A$1002)-2),3)),0)+IFERROR(INDEX(Income!C$3:C$502,SMALL(IF((Income!D$3:D$502="GBP")*(Income!A$3:A$502=DATE(2026,2,8)),ROW(Income!A$3:A$502)-2),3)),0)=0,"",IFERROR(-INDEX(Expenses!D$3:D$1002,SMALL(IF((Expenses!E$3:E$1002="GBP")*(Expenses!A$3:A$1002=DATE(2026,2,8)),ROW(Expenses!A$3:A$1002)-2),3)),0)+IFERROR(INDEX(Income!C$3:C$502,SMALL(IF((Income!D$3:D$502="GBP")*(Income!A$3:A$502=DATE(2026,2,8)),ROW(Income!A$3:A$502)-2),3)),0))</f>
        <v/>
      </c>
      <c r="P31" s="38" t="str">
        <f aca="false">IF(IFERROR(INDEX(Expenses!B$3:B$1002,SMALL(IF((Expenses!E$3:E$1002="GBP")*(Expenses!A$3:A$1002=DATE(2026,2,8)),ROW(Expenses!A$3:A$1002)-2),3)),"")&lt;&gt;"",IFERROR(INDEX(Expenses!B$3:B$1002,SMALL(IF((Expenses!E$3:E$1002="GBP")*(Expenses!A$3:A$1002=DATE(2026,2,8)),ROW(Expenses!A$3:A$1002)-2),3)),""),IF(IFERROR(INDEX(Income!B$3:B$502,SMALL(IF((Income!D$3:D$502="GBP")*(Income!A$3:A$502=DATE(2026,2,8)),ROW(Income!A$3:A$502)-2),3)),"")&lt;&gt;"",IFERROR(INDEX(Income!B$3:B$502,SMALL(IF((Income!D$3:D$502="GBP")*(Income!A$3:A$502=DATE(2026,2,8)),ROW(Income!A$3:A$502)-2),3)),""),""))</f>
        <v/>
      </c>
      <c r="Q31" s="16"/>
      <c r="R31" s="16"/>
    </row>
    <row r="32" customFormat="false" ht="15" hidden="false" customHeight="false" outlineLevel="0" collapsed="false">
      <c r="A32" s="16"/>
      <c r="B32" s="16"/>
      <c r="C32" s="62" t="str">
        <f aca="false">IF(IFERROR(-INDEX(Expenses!D$3:D$1002,SMALL(IF((Expenses!E$3:E$1002="GBP")*(Expenses!A$3:A$1002=DATE(2026,2,2)),ROW(Expenses!A$3:A$1002)-2),4)),0)+IFERROR(INDEX(Income!C$3:C$502,SMALL(IF((Income!D$3:D$502="GBP")*(Income!A$3:A$502=DATE(2026,2,2)),ROW(Income!A$3:A$502)-2),4)),0)=0,"",IFERROR(-INDEX(Expenses!D$3:D$1002,SMALL(IF((Expenses!E$3:E$1002="GBP")*(Expenses!A$3:A$1002=DATE(2026,2,2)),ROW(Expenses!A$3:A$1002)-2),4)),0)+IFERROR(INDEX(Income!C$3:C$502,SMALL(IF((Income!D$3:D$502="GBP")*(Income!A$3:A$502=DATE(2026,2,2)),ROW(Income!A$3:A$502)-2),4)),0))</f>
        <v/>
      </c>
      <c r="D32" s="38" t="str">
        <f aca="false">IF(IFERROR(INDEX(Expenses!B$3:B$1002,SMALL(IF((Expenses!E$3:E$1002="GBP")*(Expenses!A$3:A$1002=DATE(2026,2,2)),ROW(Expenses!A$3:A$1002)-2),4)),"")&lt;&gt;"",IFERROR(INDEX(Expenses!B$3:B$1002,SMALL(IF((Expenses!E$3:E$1002="GBP")*(Expenses!A$3:A$1002=DATE(2026,2,2)),ROW(Expenses!A$3:A$1002)-2),4)),""),IF(IFERROR(INDEX(Income!B$3:B$502,SMALL(IF((Income!D$3:D$502="GBP")*(Income!A$3:A$502=DATE(2026,2,2)),ROW(Income!A$3:A$502)-2),4)),"")&lt;&gt;"",IFERROR(INDEX(Income!B$3:B$502,SMALL(IF((Income!D$3:D$502="GBP")*(Income!A$3:A$502=DATE(2026,2,2)),ROW(Income!A$3:A$502)-2),4)),""),""))</f>
        <v/>
      </c>
      <c r="E32" s="62" t="str">
        <f aca="false">IF(IFERROR(-INDEX(Expenses!D$3:D$1002,SMALL(IF((Expenses!E$3:E$1002="GBP")*(Expenses!A$3:A$1002=DATE(2026,2,3)),ROW(Expenses!A$3:A$1002)-2),4)),0)+IFERROR(INDEX(Income!C$3:C$502,SMALL(IF((Income!D$3:D$502="GBP")*(Income!A$3:A$502=DATE(2026,2,3)),ROW(Income!A$3:A$502)-2),4)),0)=0,"",IFERROR(-INDEX(Expenses!D$3:D$1002,SMALL(IF((Expenses!E$3:E$1002="GBP")*(Expenses!A$3:A$1002=DATE(2026,2,3)),ROW(Expenses!A$3:A$1002)-2),4)),0)+IFERROR(INDEX(Income!C$3:C$502,SMALL(IF((Income!D$3:D$502="GBP")*(Income!A$3:A$502=DATE(2026,2,3)),ROW(Income!A$3:A$502)-2),4)),0))</f>
        <v/>
      </c>
      <c r="F32" s="38" t="str">
        <f aca="false">IF(IFERROR(INDEX(Expenses!B$3:B$1002,SMALL(IF((Expenses!E$3:E$1002="GBP")*(Expenses!A$3:A$1002=DATE(2026,2,3)),ROW(Expenses!A$3:A$1002)-2),4)),"")&lt;&gt;"",IFERROR(INDEX(Expenses!B$3:B$1002,SMALL(IF((Expenses!E$3:E$1002="GBP")*(Expenses!A$3:A$1002=DATE(2026,2,3)),ROW(Expenses!A$3:A$1002)-2),4)),""),IF(IFERROR(INDEX(Income!B$3:B$502,SMALL(IF((Income!D$3:D$502="GBP")*(Income!A$3:A$502=DATE(2026,2,3)),ROW(Income!A$3:A$502)-2),4)),"")&lt;&gt;"",IFERROR(INDEX(Income!B$3:B$502,SMALL(IF((Income!D$3:D$502="GBP")*(Income!A$3:A$502=DATE(2026,2,3)),ROW(Income!A$3:A$502)-2),4)),""),""))</f>
        <v/>
      </c>
      <c r="G32" s="62" t="str">
        <f aca="false">IF(IFERROR(-INDEX(Expenses!D$3:D$1002,SMALL(IF((Expenses!E$3:E$1002="GBP")*(Expenses!A$3:A$1002=DATE(2026,2,4)),ROW(Expenses!A$3:A$1002)-2),4)),0)+IFERROR(INDEX(Income!C$3:C$502,SMALL(IF((Income!D$3:D$502="GBP")*(Income!A$3:A$502=DATE(2026,2,4)),ROW(Income!A$3:A$502)-2),4)),0)=0,"",IFERROR(-INDEX(Expenses!D$3:D$1002,SMALL(IF((Expenses!E$3:E$1002="GBP")*(Expenses!A$3:A$1002=DATE(2026,2,4)),ROW(Expenses!A$3:A$1002)-2),4)),0)+IFERROR(INDEX(Income!C$3:C$502,SMALL(IF((Income!D$3:D$502="GBP")*(Income!A$3:A$502=DATE(2026,2,4)),ROW(Income!A$3:A$502)-2),4)),0))</f>
        <v/>
      </c>
      <c r="H32" s="38" t="str">
        <f aca="false">IF(IFERROR(INDEX(Expenses!B$3:B$1002,SMALL(IF((Expenses!E$3:E$1002="GBP")*(Expenses!A$3:A$1002=DATE(2026,2,4)),ROW(Expenses!A$3:A$1002)-2),4)),"")&lt;&gt;"",IFERROR(INDEX(Expenses!B$3:B$1002,SMALL(IF((Expenses!E$3:E$1002="GBP")*(Expenses!A$3:A$1002=DATE(2026,2,4)),ROW(Expenses!A$3:A$1002)-2),4)),""),IF(IFERROR(INDEX(Income!B$3:B$502,SMALL(IF((Income!D$3:D$502="GBP")*(Income!A$3:A$502=DATE(2026,2,4)),ROW(Income!A$3:A$502)-2),4)),"")&lt;&gt;"",IFERROR(INDEX(Income!B$3:B$502,SMALL(IF((Income!D$3:D$502="GBP")*(Income!A$3:A$502=DATE(2026,2,4)),ROW(Income!A$3:A$502)-2),4)),""),""))</f>
        <v/>
      </c>
      <c r="I32" s="62" t="str">
        <f aca="false">IF(IFERROR(-INDEX(Expenses!D$3:D$1002,SMALL(IF((Expenses!E$3:E$1002="GBP")*(Expenses!A$3:A$1002=DATE(2026,2,5)),ROW(Expenses!A$3:A$1002)-2),4)),0)+IFERROR(INDEX(Income!C$3:C$502,SMALL(IF((Income!D$3:D$502="GBP")*(Income!A$3:A$502=DATE(2026,2,5)),ROW(Income!A$3:A$502)-2),4)),0)=0,"",IFERROR(-INDEX(Expenses!D$3:D$1002,SMALL(IF((Expenses!E$3:E$1002="GBP")*(Expenses!A$3:A$1002=DATE(2026,2,5)),ROW(Expenses!A$3:A$1002)-2),4)),0)+IFERROR(INDEX(Income!C$3:C$502,SMALL(IF((Income!D$3:D$502="GBP")*(Income!A$3:A$502=DATE(2026,2,5)),ROW(Income!A$3:A$502)-2),4)),0))</f>
        <v/>
      </c>
      <c r="J32" s="38" t="str">
        <f aca="false">IF(IFERROR(INDEX(Expenses!B$3:B$1002,SMALL(IF((Expenses!E$3:E$1002="GBP")*(Expenses!A$3:A$1002=DATE(2026,2,5)),ROW(Expenses!A$3:A$1002)-2),4)),"")&lt;&gt;"",IFERROR(INDEX(Expenses!B$3:B$1002,SMALL(IF((Expenses!E$3:E$1002="GBP")*(Expenses!A$3:A$1002=DATE(2026,2,5)),ROW(Expenses!A$3:A$1002)-2),4)),""),IF(IFERROR(INDEX(Income!B$3:B$502,SMALL(IF((Income!D$3:D$502="GBP")*(Income!A$3:A$502=DATE(2026,2,5)),ROW(Income!A$3:A$502)-2),4)),"")&lt;&gt;"",IFERROR(INDEX(Income!B$3:B$502,SMALL(IF((Income!D$3:D$502="GBP")*(Income!A$3:A$502=DATE(2026,2,5)),ROW(Income!A$3:A$502)-2),4)),""),""))</f>
        <v/>
      </c>
      <c r="K32" s="62" t="str">
        <f aca="false">IF(IFERROR(-INDEX(Expenses!D$3:D$1002,SMALL(IF((Expenses!E$3:E$1002="GBP")*(Expenses!A$3:A$1002=DATE(2026,2,6)),ROW(Expenses!A$3:A$1002)-2),4)),0)+IFERROR(INDEX(Income!C$3:C$502,SMALL(IF((Income!D$3:D$502="GBP")*(Income!A$3:A$502=DATE(2026,2,6)),ROW(Income!A$3:A$502)-2),4)),0)=0,"",IFERROR(-INDEX(Expenses!D$3:D$1002,SMALL(IF((Expenses!E$3:E$1002="GBP")*(Expenses!A$3:A$1002=DATE(2026,2,6)),ROW(Expenses!A$3:A$1002)-2),4)),0)+IFERROR(INDEX(Income!C$3:C$502,SMALL(IF((Income!D$3:D$502="GBP")*(Income!A$3:A$502=DATE(2026,2,6)),ROW(Income!A$3:A$502)-2),4)),0))</f>
        <v/>
      </c>
      <c r="L32" s="38" t="str">
        <f aca="false">IF(IFERROR(INDEX(Expenses!B$3:B$1002,SMALL(IF((Expenses!E$3:E$1002="GBP")*(Expenses!A$3:A$1002=DATE(2026,2,6)),ROW(Expenses!A$3:A$1002)-2),4)),"")&lt;&gt;"",IFERROR(INDEX(Expenses!B$3:B$1002,SMALL(IF((Expenses!E$3:E$1002="GBP")*(Expenses!A$3:A$1002=DATE(2026,2,6)),ROW(Expenses!A$3:A$1002)-2),4)),""),IF(IFERROR(INDEX(Income!B$3:B$502,SMALL(IF((Income!D$3:D$502="GBP")*(Income!A$3:A$502=DATE(2026,2,6)),ROW(Income!A$3:A$502)-2),4)),"")&lt;&gt;"",IFERROR(INDEX(Income!B$3:B$502,SMALL(IF((Income!D$3:D$502="GBP")*(Income!A$3:A$502=DATE(2026,2,6)),ROW(Income!A$3:A$502)-2),4)),""),""))</f>
        <v/>
      </c>
      <c r="M32" s="62" t="str">
        <f aca="false">IF(IFERROR(-INDEX(Expenses!D$3:D$1002,SMALL(IF((Expenses!E$3:E$1002="GBP")*(Expenses!A$3:A$1002=DATE(2026,2,7)),ROW(Expenses!A$3:A$1002)-2),4)),0)+IFERROR(INDEX(Income!C$3:C$502,SMALL(IF((Income!D$3:D$502="GBP")*(Income!A$3:A$502=DATE(2026,2,7)),ROW(Income!A$3:A$502)-2),4)),0)=0,"",IFERROR(-INDEX(Expenses!D$3:D$1002,SMALL(IF((Expenses!E$3:E$1002="GBP")*(Expenses!A$3:A$1002=DATE(2026,2,7)),ROW(Expenses!A$3:A$1002)-2),4)),0)+IFERROR(INDEX(Income!C$3:C$502,SMALL(IF((Income!D$3:D$502="GBP")*(Income!A$3:A$502=DATE(2026,2,7)),ROW(Income!A$3:A$502)-2),4)),0))</f>
        <v/>
      </c>
      <c r="N32" s="38" t="str">
        <f aca="false">IF(IFERROR(INDEX(Expenses!B$3:B$1002,SMALL(IF((Expenses!E$3:E$1002="GBP")*(Expenses!A$3:A$1002=DATE(2026,2,7)),ROW(Expenses!A$3:A$1002)-2),4)),"")&lt;&gt;"",IFERROR(INDEX(Expenses!B$3:B$1002,SMALL(IF((Expenses!E$3:E$1002="GBP")*(Expenses!A$3:A$1002=DATE(2026,2,7)),ROW(Expenses!A$3:A$1002)-2),4)),""),IF(IFERROR(INDEX(Income!B$3:B$502,SMALL(IF((Income!D$3:D$502="GBP")*(Income!A$3:A$502=DATE(2026,2,7)),ROW(Income!A$3:A$502)-2),4)),"")&lt;&gt;"",IFERROR(INDEX(Income!B$3:B$502,SMALL(IF((Income!D$3:D$502="GBP")*(Income!A$3:A$502=DATE(2026,2,7)),ROW(Income!A$3:A$502)-2),4)),""),""))</f>
        <v/>
      </c>
      <c r="O32" s="62" t="str">
        <f aca="false">IF(IFERROR(-INDEX(Expenses!D$3:D$1002,SMALL(IF((Expenses!E$3:E$1002="GBP")*(Expenses!A$3:A$1002=DATE(2026,2,8)),ROW(Expenses!A$3:A$1002)-2),4)),0)+IFERROR(INDEX(Income!C$3:C$502,SMALL(IF((Income!D$3:D$502="GBP")*(Income!A$3:A$502=DATE(2026,2,8)),ROW(Income!A$3:A$502)-2),4)),0)=0,"",IFERROR(-INDEX(Expenses!D$3:D$1002,SMALL(IF((Expenses!E$3:E$1002="GBP")*(Expenses!A$3:A$1002=DATE(2026,2,8)),ROW(Expenses!A$3:A$1002)-2),4)),0)+IFERROR(INDEX(Income!C$3:C$502,SMALL(IF((Income!D$3:D$502="GBP")*(Income!A$3:A$502=DATE(2026,2,8)),ROW(Income!A$3:A$502)-2),4)),0))</f>
        <v/>
      </c>
      <c r="P32" s="38" t="str">
        <f aca="false">IF(IFERROR(INDEX(Expenses!B$3:B$1002,SMALL(IF((Expenses!E$3:E$1002="GBP")*(Expenses!A$3:A$1002=DATE(2026,2,8)),ROW(Expenses!A$3:A$1002)-2),4)),"")&lt;&gt;"",IFERROR(INDEX(Expenses!B$3:B$1002,SMALL(IF((Expenses!E$3:E$1002="GBP")*(Expenses!A$3:A$1002=DATE(2026,2,8)),ROW(Expenses!A$3:A$1002)-2),4)),""),IF(IFERROR(INDEX(Income!B$3:B$502,SMALL(IF((Income!D$3:D$502="GBP")*(Income!A$3:A$502=DATE(2026,2,8)),ROW(Income!A$3:A$502)-2),4)),"")&lt;&gt;"",IFERROR(INDEX(Income!B$3:B$502,SMALL(IF((Income!D$3:D$502="GBP")*(Income!A$3:A$502=DATE(2026,2,8)),ROW(Income!A$3:A$502)-2),4)),""),""))</f>
        <v/>
      </c>
      <c r="Q32" s="16"/>
      <c r="R32" s="16"/>
    </row>
    <row r="33" customFormat="false" ht="15" hidden="false" customHeight="false" outlineLevel="0" collapsed="false">
      <c r="A33" s="16"/>
      <c r="B33" s="16"/>
      <c r="C33" s="62" t="str">
        <f aca="false">IF(IFERROR(-INDEX(Expenses!D$3:D$1002,SMALL(IF((Expenses!E$3:E$1002="GBP")*(Expenses!A$3:A$1002=DATE(2026,2,2)),ROW(Expenses!A$3:A$1002)-2),5)),0)+IFERROR(INDEX(Income!C$3:C$502,SMALL(IF((Income!D$3:D$502="GBP")*(Income!A$3:A$502=DATE(2026,2,2)),ROW(Income!A$3:A$502)-2),5)),0)=0,"",IFERROR(-INDEX(Expenses!D$3:D$1002,SMALL(IF((Expenses!E$3:E$1002="GBP")*(Expenses!A$3:A$1002=DATE(2026,2,2)),ROW(Expenses!A$3:A$1002)-2),5)),0)+IFERROR(INDEX(Income!C$3:C$502,SMALL(IF((Income!D$3:D$502="GBP")*(Income!A$3:A$502=DATE(2026,2,2)),ROW(Income!A$3:A$502)-2),5)),0))</f>
        <v/>
      </c>
      <c r="D33" s="38" t="str">
        <f aca="false">IF(IFERROR(INDEX(Expenses!B$3:B$1002,SMALL(IF((Expenses!E$3:E$1002="GBP")*(Expenses!A$3:A$1002=DATE(2026,2,2)),ROW(Expenses!A$3:A$1002)-2),5)),"")&lt;&gt;"",IFERROR(INDEX(Expenses!B$3:B$1002,SMALL(IF((Expenses!E$3:E$1002="GBP")*(Expenses!A$3:A$1002=DATE(2026,2,2)),ROW(Expenses!A$3:A$1002)-2),5)),""),IF(IFERROR(INDEX(Income!B$3:B$502,SMALL(IF((Income!D$3:D$502="GBP")*(Income!A$3:A$502=DATE(2026,2,2)),ROW(Income!A$3:A$502)-2),5)),"")&lt;&gt;"",IFERROR(INDEX(Income!B$3:B$502,SMALL(IF((Income!D$3:D$502="GBP")*(Income!A$3:A$502=DATE(2026,2,2)),ROW(Income!A$3:A$502)-2),5)),""),""))</f>
        <v/>
      </c>
      <c r="E33" s="62" t="str">
        <f aca="false">IF(IFERROR(-INDEX(Expenses!D$3:D$1002,SMALL(IF((Expenses!E$3:E$1002="GBP")*(Expenses!A$3:A$1002=DATE(2026,2,3)),ROW(Expenses!A$3:A$1002)-2),5)),0)+IFERROR(INDEX(Income!C$3:C$502,SMALL(IF((Income!D$3:D$502="GBP")*(Income!A$3:A$502=DATE(2026,2,3)),ROW(Income!A$3:A$502)-2),5)),0)=0,"",IFERROR(-INDEX(Expenses!D$3:D$1002,SMALL(IF((Expenses!E$3:E$1002="GBP")*(Expenses!A$3:A$1002=DATE(2026,2,3)),ROW(Expenses!A$3:A$1002)-2),5)),0)+IFERROR(INDEX(Income!C$3:C$502,SMALL(IF((Income!D$3:D$502="GBP")*(Income!A$3:A$502=DATE(2026,2,3)),ROW(Income!A$3:A$502)-2),5)),0))</f>
        <v/>
      </c>
      <c r="F33" s="38" t="str">
        <f aca="false">IF(IFERROR(INDEX(Expenses!B$3:B$1002,SMALL(IF((Expenses!E$3:E$1002="GBP")*(Expenses!A$3:A$1002=DATE(2026,2,3)),ROW(Expenses!A$3:A$1002)-2),5)),"")&lt;&gt;"",IFERROR(INDEX(Expenses!B$3:B$1002,SMALL(IF((Expenses!E$3:E$1002="GBP")*(Expenses!A$3:A$1002=DATE(2026,2,3)),ROW(Expenses!A$3:A$1002)-2),5)),""),IF(IFERROR(INDEX(Income!B$3:B$502,SMALL(IF((Income!D$3:D$502="GBP")*(Income!A$3:A$502=DATE(2026,2,3)),ROW(Income!A$3:A$502)-2),5)),"")&lt;&gt;"",IFERROR(INDEX(Income!B$3:B$502,SMALL(IF((Income!D$3:D$502="GBP")*(Income!A$3:A$502=DATE(2026,2,3)),ROW(Income!A$3:A$502)-2),5)),""),""))</f>
        <v/>
      </c>
      <c r="G33" s="62" t="str">
        <f aca="false">IF(IFERROR(-INDEX(Expenses!D$3:D$1002,SMALL(IF((Expenses!E$3:E$1002="GBP")*(Expenses!A$3:A$1002=DATE(2026,2,4)),ROW(Expenses!A$3:A$1002)-2),5)),0)+IFERROR(INDEX(Income!C$3:C$502,SMALL(IF((Income!D$3:D$502="GBP")*(Income!A$3:A$502=DATE(2026,2,4)),ROW(Income!A$3:A$502)-2),5)),0)=0,"",IFERROR(-INDEX(Expenses!D$3:D$1002,SMALL(IF((Expenses!E$3:E$1002="GBP")*(Expenses!A$3:A$1002=DATE(2026,2,4)),ROW(Expenses!A$3:A$1002)-2),5)),0)+IFERROR(INDEX(Income!C$3:C$502,SMALL(IF((Income!D$3:D$502="GBP")*(Income!A$3:A$502=DATE(2026,2,4)),ROW(Income!A$3:A$502)-2),5)),0))</f>
        <v/>
      </c>
      <c r="H33" s="38" t="str">
        <f aca="false">IF(IFERROR(INDEX(Expenses!B$3:B$1002,SMALL(IF((Expenses!E$3:E$1002="GBP")*(Expenses!A$3:A$1002=DATE(2026,2,4)),ROW(Expenses!A$3:A$1002)-2),5)),"")&lt;&gt;"",IFERROR(INDEX(Expenses!B$3:B$1002,SMALL(IF((Expenses!E$3:E$1002="GBP")*(Expenses!A$3:A$1002=DATE(2026,2,4)),ROW(Expenses!A$3:A$1002)-2),5)),""),IF(IFERROR(INDEX(Income!B$3:B$502,SMALL(IF((Income!D$3:D$502="GBP")*(Income!A$3:A$502=DATE(2026,2,4)),ROW(Income!A$3:A$502)-2),5)),"")&lt;&gt;"",IFERROR(INDEX(Income!B$3:B$502,SMALL(IF((Income!D$3:D$502="GBP")*(Income!A$3:A$502=DATE(2026,2,4)),ROW(Income!A$3:A$502)-2),5)),""),""))</f>
        <v/>
      </c>
      <c r="I33" s="62" t="str">
        <f aca="false">IF(IFERROR(-INDEX(Expenses!D$3:D$1002,SMALL(IF((Expenses!E$3:E$1002="GBP")*(Expenses!A$3:A$1002=DATE(2026,2,5)),ROW(Expenses!A$3:A$1002)-2),5)),0)+IFERROR(INDEX(Income!C$3:C$502,SMALL(IF((Income!D$3:D$502="GBP")*(Income!A$3:A$502=DATE(2026,2,5)),ROW(Income!A$3:A$502)-2),5)),0)=0,"",IFERROR(-INDEX(Expenses!D$3:D$1002,SMALL(IF((Expenses!E$3:E$1002="GBP")*(Expenses!A$3:A$1002=DATE(2026,2,5)),ROW(Expenses!A$3:A$1002)-2),5)),0)+IFERROR(INDEX(Income!C$3:C$502,SMALL(IF((Income!D$3:D$502="GBP")*(Income!A$3:A$502=DATE(2026,2,5)),ROW(Income!A$3:A$502)-2),5)),0))</f>
        <v/>
      </c>
      <c r="J33" s="38" t="str">
        <f aca="false">IF(IFERROR(INDEX(Expenses!B$3:B$1002,SMALL(IF((Expenses!E$3:E$1002="GBP")*(Expenses!A$3:A$1002=DATE(2026,2,5)),ROW(Expenses!A$3:A$1002)-2),5)),"")&lt;&gt;"",IFERROR(INDEX(Expenses!B$3:B$1002,SMALL(IF((Expenses!E$3:E$1002="GBP")*(Expenses!A$3:A$1002=DATE(2026,2,5)),ROW(Expenses!A$3:A$1002)-2),5)),""),IF(IFERROR(INDEX(Income!B$3:B$502,SMALL(IF((Income!D$3:D$502="GBP")*(Income!A$3:A$502=DATE(2026,2,5)),ROW(Income!A$3:A$502)-2),5)),"")&lt;&gt;"",IFERROR(INDEX(Income!B$3:B$502,SMALL(IF((Income!D$3:D$502="GBP")*(Income!A$3:A$502=DATE(2026,2,5)),ROW(Income!A$3:A$502)-2),5)),""),""))</f>
        <v/>
      </c>
      <c r="K33" s="62" t="str">
        <f aca="false">IF(IFERROR(-INDEX(Expenses!D$3:D$1002,SMALL(IF((Expenses!E$3:E$1002="GBP")*(Expenses!A$3:A$1002=DATE(2026,2,6)),ROW(Expenses!A$3:A$1002)-2),5)),0)+IFERROR(INDEX(Income!C$3:C$502,SMALL(IF((Income!D$3:D$502="GBP")*(Income!A$3:A$502=DATE(2026,2,6)),ROW(Income!A$3:A$502)-2),5)),0)=0,"",IFERROR(-INDEX(Expenses!D$3:D$1002,SMALL(IF((Expenses!E$3:E$1002="GBP")*(Expenses!A$3:A$1002=DATE(2026,2,6)),ROW(Expenses!A$3:A$1002)-2),5)),0)+IFERROR(INDEX(Income!C$3:C$502,SMALL(IF((Income!D$3:D$502="GBP")*(Income!A$3:A$502=DATE(2026,2,6)),ROW(Income!A$3:A$502)-2),5)),0))</f>
        <v/>
      </c>
      <c r="L33" s="38" t="str">
        <f aca="false">IF(IFERROR(INDEX(Expenses!B$3:B$1002,SMALL(IF((Expenses!E$3:E$1002="GBP")*(Expenses!A$3:A$1002=DATE(2026,2,6)),ROW(Expenses!A$3:A$1002)-2),5)),"")&lt;&gt;"",IFERROR(INDEX(Expenses!B$3:B$1002,SMALL(IF((Expenses!E$3:E$1002="GBP")*(Expenses!A$3:A$1002=DATE(2026,2,6)),ROW(Expenses!A$3:A$1002)-2),5)),""),IF(IFERROR(INDEX(Income!B$3:B$502,SMALL(IF((Income!D$3:D$502="GBP")*(Income!A$3:A$502=DATE(2026,2,6)),ROW(Income!A$3:A$502)-2),5)),"")&lt;&gt;"",IFERROR(INDEX(Income!B$3:B$502,SMALL(IF((Income!D$3:D$502="GBP")*(Income!A$3:A$502=DATE(2026,2,6)),ROW(Income!A$3:A$502)-2),5)),""),""))</f>
        <v/>
      </c>
      <c r="M33" s="62" t="str">
        <f aca="false">IF(IFERROR(-INDEX(Expenses!D$3:D$1002,SMALL(IF((Expenses!E$3:E$1002="GBP")*(Expenses!A$3:A$1002=DATE(2026,2,7)),ROW(Expenses!A$3:A$1002)-2),5)),0)+IFERROR(INDEX(Income!C$3:C$502,SMALL(IF((Income!D$3:D$502="GBP")*(Income!A$3:A$502=DATE(2026,2,7)),ROW(Income!A$3:A$502)-2),5)),0)=0,"",IFERROR(-INDEX(Expenses!D$3:D$1002,SMALL(IF((Expenses!E$3:E$1002="GBP")*(Expenses!A$3:A$1002=DATE(2026,2,7)),ROW(Expenses!A$3:A$1002)-2),5)),0)+IFERROR(INDEX(Income!C$3:C$502,SMALL(IF((Income!D$3:D$502="GBP")*(Income!A$3:A$502=DATE(2026,2,7)),ROW(Income!A$3:A$502)-2),5)),0))</f>
        <v/>
      </c>
      <c r="N33" s="38" t="str">
        <f aca="false">IF(IFERROR(INDEX(Expenses!B$3:B$1002,SMALL(IF((Expenses!E$3:E$1002="GBP")*(Expenses!A$3:A$1002=DATE(2026,2,7)),ROW(Expenses!A$3:A$1002)-2),5)),"")&lt;&gt;"",IFERROR(INDEX(Expenses!B$3:B$1002,SMALL(IF((Expenses!E$3:E$1002="GBP")*(Expenses!A$3:A$1002=DATE(2026,2,7)),ROW(Expenses!A$3:A$1002)-2),5)),""),IF(IFERROR(INDEX(Income!B$3:B$502,SMALL(IF((Income!D$3:D$502="GBP")*(Income!A$3:A$502=DATE(2026,2,7)),ROW(Income!A$3:A$502)-2),5)),"")&lt;&gt;"",IFERROR(INDEX(Income!B$3:B$502,SMALL(IF((Income!D$3:D$502="GBP")*(Income!A$3:A$502=DATE(2026,2,7)),ROW(Income!A$3:A$502)-2),5)),""),""))</f>
        <v/>
      </c>
      <c r="O33" s="62" t="str">
        <f aca="false">IF(IFERROR(-INDEX(Expenses!D$3:D$1002,SMALL(IF((Expenses!E$3:E$1002="GBP")*(Expenses!A$3:A$1002=DATE(2026,2,8)),ROW(Expenses!A$3:A$1002)-2),5)),0)+IFERROR(INDEX(Income!C$3:C$502,SMALL(IF((Income!D$3:D$502="GBP")*(Income!A$3:A$502=DATE(2026,2,8)),ROW(Income!A$3:A$502)-2),5)),0)=0,"",IFERROR(-INDEX(Expenses!D$3:D$1002,SMALL(IF((Expenses!E$3:E$1002="GBP")*(Expenses!A$3:A$1002=DATE(2026,2,8)),ROW(Expenses!A$3:A$1002)-2),5)),0)+IFERROR(INDEX(Income!C$3:C$502,SMALL(IF((Income!D$3:D$502="GBP")*(Income!A$3:A$502=DATE(2026,2,8)),ROW(Income!A$3:A$502)-2),5)),0))</f>
        <v/>
      </c>
      <c r="P33" s="38" t="str">
        <f aca="false">IF(IFERROR(INDEX(Expenses!B$3:B$1002,SMALL(IF((Expenses!E$3:E$1002="GBP")*(Expenses!A$3:A$1002=DATE(2026,2,8)),ROW(Expenses!A$3:A$1002)-2),5)),"")&lt;&gt;"",IFERROR(INDEX(Expenses!B$3:B$1002,SMALL(IF((Expenses!E$3:E$1002="GBP")*(Expenses!A$3:A$1002=DATE(2026,2,8)),ROW(Expenses!A$3:A$1002)-2),5)),""),IF(IFERROR(INDEX(Income!B$3:B$502,SMALL(IF((Income!D$3:D$502="GBP")*(Income!A$3:A$502=DATE(2026,2,8)),ROW(Income!A$3:A$502)-2),5)),"")&lt;&gt;"",IFERROR(INDEX(Income!B$3:B$502,SMALL(IF((Income!D$3:D$502="GBP")*(Income!A$3:A$502=DATE(2026,2,8)),ROW(Income!A$3:A$502)-2),5)),""),""))</f>
        <v/>
      </c>
      <c r="Q33" s="16"/>
      <c r="R33" s="16"/>
    </row>
    <row r="34" customFormat="false" ht="15" hidden="false" customHeight="false" outlineLevel="0" collapsed="false">
      <c r="A34" s="61" t="n">
        <v>46062</v>
      </c>
      <c r="B34" s="3" t="n">
        <v>7</v>
      </c>
      <c r="C34" s="62" t="str">
        <f aca="false">IF(IFERROR(-INDEX(Expenses!D$3:D$1002,SMALL(IF((Expenses!E$3:E$1002="GBP")*(Expenses!A$3:A$1002=DATE(2026,2,9)),ROW(Expenses!A$3:A$1002)-2),1)),0)+IFERROR(INDEX(Income!C$3:C$502,SMALL(IF((Income!D$3:D$502="GBP")*(Income!A$3:A$502=DATE(2026,2,9)),ROW(Income!A$3:A$502)-2),1)),0)=0,"",IFERROR(-INDEX(Expenses!D$3:D$1002,SMALL(IF((Expenses!E$3:E$1002="GBP")*(Expenses!A$3:A$1002=DATE(2026,2,9)),ROW(Expenses!A$3:A$1002)-2),1)),0)+IFERROR(INDEX(Income!C$3:C$502,SMALL(IF((Income!D$3:D$502="GBP")*(Income!A$3:A$502=DATE(2026,2,9)),ROW(Income!A$3:A$502)-2),1)),0))</f>
        <v/>
      </c>
      <c r="D34" s="38" t="str">
        <f aca="false">IF(IFERROR(INDEX(Expenses!B$3:B$1002,SMALL(IF((Expenses!E$3:E$1002="GBP")*(Expenses!A$3:A$1002=DATE(2026,2,9)),ROW(Expenses!A$3:A$1002)-2),1)),"")&lt;&gt;"",IFERROR(INDEX(Expenses!B$3:B$1002,SMALL(IF((Expenses!E$3:E$1002="GBP")*(Expenses!A$3:A$1002=DATE(2026,2,9)),ROW(Expenses!A$3:A$1002)-2),1)),""),IF(IFERROR(INDEX(Income!B$3:B$502,SMALL(IF((Income!D$3:D$502="GBP")*(Income!A$3:A$502=DATE(2026,2,9)),ROW(Income!A$3:A$502)-2),1)),"")&lt;&gt;"",IFERROR(INDEX(Income!B$3:B$502,SMALL(IF((Income!D$3:D$502="GBP")*(Income!A$3:A$502=DATE(2026,2,9)),ROW(Income!A$3:A$502)-2),1)),""),""))</f>
        <v/>
      </c>
      <c r="E34" s="62" t="str">
        <f aca="false">IF(IFERROR(-INDEX(Expenses!D$3:D$1002,SMALL(IF((Expenses!E$3:E$1002="GBP")*(Expenses!A$3:A$1002=DATE(2026,2,10)),ROW(Expenses!A$3:A$1002)-2),1)),0)+IFERROR(INDEX(Income!C$3:C$502,SMALL(IF((Income!D$3:D$502="GBP")*(Income!A$3:A$502=DATE(2026,2,10)),ROW(Income!A$3:A$502)-2),1)),0)=0,"",IFERROR(-INDEX(Expenses!D$3:D$1002,SMALL(IF((Expenses!E$3:E$1002="GBP")*(Expenses!A$3:A$1002=DATE(2026,2,10)),ROW(Expenses!A$3:A$1002)-2),1)),0)+IFERROR(INDEX(Income!C$3:C$502,SMALL(IF((Income!D$3:D$502="GBP")*(Income!A$3:A$502=DATE(2026,2,10)),ROW(Income!A$3:A$502)-2),1)),0))</f>
        <v/>
      </c>
      <c r="F34" s="38" t="str">
        <f aca="false">IF(IFERROR(INDEX(Expenses!B$3:B$1002,SMALL(IF((Expenses!E$3:E$1002="GBP")*(Expenses!A$3:A$1002=DATE(2026,2,10)),ROW(Expenses!A$3:A$1002)-2),1)),"")&lt;&gt;"",IFERROR(INDEX(Expenses!B$3:B$1002,SMALL(IF((Expenses!E$3:E$1002="GBP")*(Expenses!A$3:A$1002=DATE(2026,2,10)),ROW(Expenses!A$3:A$1002)-2),1)),""),IF(IFERROR(INDEX(Income!B$3:B$502,SMALL(IF((Income!D$3:D$502="GBP")*(Income!A$3:A$502=DATE(2026,2,10)),ROW(Income!A$3:A$502)-2),1)),"")&lt;&gt;"",IFERROR(INDEX(Income!B$3:B$502,SMALL(IF((Income!D$3:D$502="GBP")*(Income!A$3:A$502=DATE(2026,2,10)),ROW(Income!A$3:A$502)-2),1)),""),""))</f>
        <v/>
      </c>
      <c r="G34" s="62" t="str">
        <f aca="false">IF(IFERROR(-INDEX(Expenses!D$3:D$1002,SMALL(IF((Expenses!E$3:E$1002="GBP")*(Expenses!A$3:A$1002=DATE(2026,2,11)),ROW(Expenses!A$3:A$1002)-2),1)),0)+IFERROR(INDEX(Income!C$3:C$502,SMALL(IF((Income!D$3:D$502="GBP")*(Income!A$3:A$502=DATE(2026,2,11)),ROW(Income!A$3:A$502)-2),1)),0)=0,"",IFERROR(-INDEX(Expenses!D$3:D$1002,SMALL(IF((Expenses!E$3:E$1002="GBP")*(Expenses!A$3:A$1002=DATE(2026,2,11)),ROW(Expenses!A$3:A$1002)-2),1)),0)+IFERROR(INDEX(Income!C$3:C$502,SMALL(IF((Income!D$3:D$502="GBP")*(Income!A$3:A$502=DATE(2026,2,11)),ROW(Income!A$3:A$502)-2),1)),0))</f>
        <v/>
      </c>
      <c r="H34" s="38" t="str">
        <f aca="false">IF(IFERROR(INDEX(Expenses!B$3:B$1002,SMALL(IF((Expenses!E$3:E$1002="GBP")*(Expenses!A$3:A$1002=DATE(2026,2,11)),ROW(Expenses!A$3:A$1002)-2),1)),"")&lt;&gt;"",IFERROR(INDEX(Expenses!B$3:B$1002,SMALL(IF((Expenses!E$3:E$1002="GBP")*(Expenses!A$3:A$1002=DATE(2026,2,11)),ROW(Expenses!A$3:A$1002)-2),1)),""),IF(IFERROR(INDEX(Income!B$3:B$502,SMALL(IF((Income!D$3:D$502="GBP")*(Income!A$3:A$502=DATE(2026,2,11)),ROW(Income!A$3:A$502)-2),1)),"")&lt;&gt;"",IFERROR(INDEX(Income!B$3:B$502,SMALL(IF((Income!D$3:D$502="GBP")*(Income!A$3:A$502=DATE(2026,2,11)),ROW(Income!A$3:A$502)-2),1)),""),""))</f>
        <v/>
      </c>
      <c r="I34" s="62" t="str">
        <f aca="false">IF(IFERROR(-INDEX(Expenses!D$3:D$1002,SMALL(IF((Expenses!E$3:E$1002="GBP")*(Expenses!A$3:A$1002=DATE(2026,2,12)),ROW(Expenses!A$3:A$1002)-2),1)),0)+IFERROR(INDEX(Income!C$3:C$502,SMALL(IF((Income!D$3:D$502="GBP")*(Income!A$3:A$502=DATE(2026,2,12)),ROW(Income!A$3:A$502)-2),1)),0)=0,"",IFERROR(-INDEX(Expenses!D$3:D$1002,SMALL(IF((Expenses!E$3:E$1002="GBP")*(Expenses!A$3:A$1002=DATE(2026,2,12)),ROW(Expenses!A$3:A$1002)-2),1)),0)+IFERROR(INDEX(Income!C$3:C$502,SMALL(IF((Income!D$3:D$502="GBP")*(Income!A$3:A$502=DATE(2026,2,12)),ROW(Income!A$3:A$502)-2),1)),0))</f>
        <v/>
      </c>
      <c r="J34" s="38" t="str">
        <f aca="false">IF(IFERROR(INDEX(Expenses!B$3:B$1002,SMALL(IF((Expenses!E$3:E$1002="GBP")*(Expenses!A$3:A$1002=DATE(2026,2,12)),ROW(Expenses!A$3:A$1002)-2),1)),"")&lt;&gt;"",IFERROR(INDEX(Expenses!B$3:B$1002,SMALL(IF((Expenses!E$3:E$1002="GBP")*(Expenses!A$3:A$1002=DATE(2026,2,12)),ROW(Expenses!A$3:A$1002)-2),1)),""),IF(IFERROR(INDEX(Income!B$3:B$502,SMALL(IF((Income!D$3:D$502="GBP")*(Income!A$3:A$502=DATE(2026,2,12)),ROW(Income!A$3:A$502)-2),1)),"")&lt;&gt;"",IFERROR(INDEX(Income!B$3:B$502,SMALL(IF((Income!D$3:D$502="GBP")*(Income!A$3:A$502=DATE(2026,2,12)),ROW(Income!A$3:A$502)-2),1)),""),""))</f>
        <v/>
      </c>
      <c r="K34" s="62" t="str">
        <f aca="false">IF(IFERROR(-INDEX(Expenses!D$3:D$1002,SMALL(IF((Expenses!E$3:E$1002="GBP")*(Expenses!A$3:A$1002=DATE(2026,2,13)),ROW(Expenses!A$3:A$1002)-2),1)),0)+IFERROR(INDEX(Income!C$3:C$502,SMALL(IF((Income!D$3:D$502="GBP")*(Income!A$3:A$502=DATE(2026,2,13)),ROW(Income!A$3:A$502)-2),1)),0)=0,"",IFERROR(-INDEX(Expenses!D$3:D$1002,SMALL(IF((Expenses!E$3:E$1002="GBP")*(Expenses!A$3:A$1002=DATE(2026,2,13)),ROW(Expenses!A$3:A$1002)-2),1)),0)+IFERROR(INDEX(Income!C$3:C$502,SMALL(IF((Income!D$3:D$502="GBP")*(Income!A$3:A$502=DATE(2026,2,13)),ROW(Income!A$3:A$502)-2),1)),0))</f>
        <v/>
      </c>
      <c r="L34" s="38" t="str">
        <f aca="false">IF(IFERROR(INDEX(Expenses!B$3:B$1002,SMALL(IF((Expenses!E$3:E$1002="GBP")*(Expenses!A$3:A$1002=DATE(2026,2,13)),ROW(Expenses!A$3:A$1002)-2),1)),"")&lt;&gt;"",IFERROR(INDEX(Expenses!B$3:B$1002,SMALL(IF((Expenses!E$3:E$1002="GBP")*(Expenses!A$3:A$1002=DATE(2026,2,13)),ROW(Expenses!A$3:A$1002)-2),1)),""),IF(IFERROR(INDEX(Income!B$3:B$502,SMALL(IF((Income!D$3:D$502="GBP")*(Income!A$3:A$502=DATE(2026,2,13)),ROW(Income!A$3:A$502)-2),1)),"")&lt;&gt;"",IFERROR(INDEX(Income!B$3:B$502,SMALL(IF((Income!D$3:D$502="GBP")*(Income!A$3:A$502=DATE(2026,2,13)),ROW(Income!A$3:A$502)-2),1)),""),""))</f>
        <v/>
      </c>
      <c r="M34" s="62" t="str">
        <f aca="false">IF(IFERROR(-INDEX(Expenses!D$3:D$1002,SMALL(IF((Expenses!E$3:E$1002="GBP")*(Expenses!A$3:A$1002=DATE(2026,2,14)),ROW(Expenses!A$3:A$1002)-2),1)),0)+IFERROR(INDEX(Income!C$3:C$502,SMALL(IF((Income!D$3:D$502="GBP")*(Income!A$3:A$502=DATE(2026,2,14)),ROW(Income!A$3:A$502)-2),1)),0)=0,"",IFERROR(-INDEX(Expenses!D$3:D$1002,SMALL(IF((Expenses!E$3:E$1002="GBP")*(Expenses!A$3:A$1002=DATE(2026,2,14)),ROW(Expenses!A$3:A$1002)-2),1)),0)+IFERROR(INDEX(Income!C$3:C$502,SMALL(IF((Income!D$3:D$502="GBP")*(Income!A$3:A$502=DATE(2026,2,14)),ROW(Income!A$3:A$502)-2),1)),0))</f>
        <v/>
      </c>
      <c r="N34" s="38" t="str">
        <f aca="false">IF(IFERROR(INDEX(Expenses!B$3:B$1002,SMALL(IF((Expenses!E$3:E$1002="GBP")*(Expenses!A$3:A$1002=DATE(2026,2,14)),ROW(Expenses!A$3:A$1002)-2),1)),"")&lt;&gt;"",IFERROR(INDEX(Expenses!B$3:B$1002,SMALL(IF((Expenses!E$3:E$1002="GBP")*(Expenses!A$3:A$1002=DATE(2026,2,14)),ROW(Expenses!A$3:A$1002)-2),1)),""),IF(IFERROR(INDEX(Income!B$3:B$502,SMALL(IF((Income!D$3:D$502="GBP")*(Income!A$3:A$502=DATE(2026,2,14)),ROW(Income!A$3:A$502)-2),1)),"")&lt;&gt;"",IFERROR(INDEX(Income!B$3:B$502,SMALL(IF((Income!D$3:D$502="GBP")*(Income!A$3:A$502=DATE(2026,2,14)),ROW(Income!A$3:A$502)-2),1)),""),""))</f>
        <v/>
      </c>
      <c r="O34" s="62" t="str">
        <f aca="false">IF(IFERROR(-INDEX(Expenses!D$3:D$1002,SMALL(IF((Expenses!E$3:E$1002="GBP")*(Expenses!A$3:A$1002=DATE(2026,2,15)),ROW(Expenses!A$3:A$1002)-2),1)),0)+IFERROR(INDEX(Income!C$3:C$502,SMALL(IF((Income!D$3:D$502="GBP")*(Income!A$3:A$502=DATE(2026,2,15)),ROW(Income!A$3:A$502)-2),1)),0)=0,"",IFERROR(-INDEX(Expenses!D$3:D$1002,SMALL(IF((Expenses!E$3:E$1002="GBP")*(Expenses!A$3:A$1002=DATE(2026,2,15)),ROW(Expenses!A$3:A$1002)-2),1)),0)+IFERROR(INDEX(Income!C$3:C$502,SMALL(IF((Income!D$3:D$502="GBP")*(Income!A$3:A$502=DATE(2026,2,15)),ROW(Income!A$3:A$502)-2),1)),0))</f>
        <v/>
      </c>
      <c r="P34" s="38" t="str">
        <f aca="false">IF(IFERROR(INDEX(Expenses!B$3:B$1002,SMALL(IF((Expenses!E$3:E$1002="GBP")*(Expenses!A$3:A$1002=DATE(2026,2,15)),ROW(Expenses!A$3:A$1002)-2),1)),"")&lt;&gt;"",IFERROR(INDEX(Expenses!B$3:B$1002,SMALL(IF((Expenses!E$3:E$1002="GBP")*(Expenses!A$3:A$1002=DATE(2026,2,15)),ROW(Expenses!A$3:A$1002)-2),1)),""),IF(IFERROR(INDEX(Income!B$3:B$502,SMALL(IF((Income!D$3:D$502="GBP")*(Income!A$3:A$502=DATE(2026,2,15)),ROW(Income!A$3:A$502)-2),1)),"")&lt;&gt;"",IFERROR(INDEX(Income!B$3:B$502,SMALL(IF((Income!D$3:D$502="GBP")*(Income!A$3:A$502=DATE(2026,2,15)),ROW(Income!A$3:A$502)-2),1)),""),""))</f>
        <v/>
      </c>
      <c r="Q34" s="3" t="n">
        <v>7</v>
      </c>
      <c r="R34" s="45" t="n">
        <f aca="false">SUM(C34:C38)+SUM(E34:E38)+SUM(G34:G38)+SUM(I34:I38)+SUM(K34:K38)+SUM(M34:M38)+SUM(O34:O38)</f>
        <v>0</v>
      </c>
    </row>
    <row r="35" customFormat="false" ht="15" hidden="false" customHeight="false" outlineLevel="0" collapsed="false">
      <c r="A35" s="16"/>
      <c r="B35" s="16"/>
      <c r="C35" s="62" t="str">
        <f aca="false">IF(IFERROR(-INDEX(Expenses!D$3:D$1002,SMALL(IF((Expenses!E$3:E$1002="GBP")*(Expenses!A$3:A$1002=DATE(2026,2,9)),ROW(Expenses!A$3:A$1002)-2),2)),0)+IFERROR(INDEX(Income!C$3:C$502,SMALL(IF((Income!D$3:D$502="GBP")*(Income!A$3:A$502=DATE(2026,2,9)),ROW(Income!A$3:A$502)-2),2)),0)=0,"",IFERROR(-INDEX(Expenses!D$3:D$1002,SMALL(IF((Expenses!E$3:E$1002="GBP")*(Expenses!A$3:A$1002=DATE(2026,2,9)),ROW(Expenses!A$3:A$1002)-2),2)),0)+IFERROR(INDEX(Income!C$3:C$502,SMALL(IF((Income!D$3:D$502="GBP")*(Income!A$3:A$502=DATE(2026,2,9)),ROW(Income!A$3:A$502)-2),2)),0))</f>
        <v/>
      </c>
      <c r="D35" s="38" t="str">
        <f aca="false">IF(IFERROR(INDEX(Expenses!B$3:B$1002,SMALL(IF((Expenses!E$3:E$1002="GBP")*(Expenses!A$3:A$1002=DATE(2026,2,9)),ROW(Expenses!A$3:A$1002)-2),2)),"")&lt;&gt;"",IFERROR(INDEX(Expenses!B$3:B$1002,SMALL(IF((Expenses!E$3:E$1002="GBP")*(Expenses!A$3:A$1002=DATE(2026,2,9)),ROW(Expenses!A$3:A$1002)-2),2)),""),IF(IFERROR(INDEX(Income!B$3:B$502,SMALL(IF((Income!D$3:D$502="GBP")*(Income!A$3:A$502=DATE(2026,2,9)),ROW(Income!A$3:A$502)-2),2)),"")&lt;&gt;"",IFERROR(INDEX(Income!B$3:B$502,SMALL(IF((Income!D$3:D$502="GBP")*(Income!A$3:A$502=DATE(2026,2,9)),ROW(Income!A$3:A$502)-2),2)),""),""))</f>
        <v/>
      </c>
      <c r="E35" s="62" t="str">
        <f aca="false">IF(IFERROR(-INDEX(Expenses!D$3:D$1002,SMALL(IF((Expenses!E$3:E$1002="GBP")*(Expenses!A$3:A$1002=DATE(2026,2,10)),ROW(Expenses!A$3:A$1002)-2),2)),0)+IFERROR(INDEX(Income!C$3:C$502,SMALL(IF((Income!D$3:D$502="GBP")*(Income!A$3:A$502=DATE(2026,2,10)),ROW(Income!A$3:A$502)-2),2)),0)=0,"",IFERROR(-INDEX(Expenses!D$3:D$1002,SMALL(IF((Expenses!E$3:E$1002="GBP")*(Expenses!A$3:A$1002=DATE(2026,2,10)),ROW(Expenses!A$3:A$1002)-2),2)),0)+IFERROR(INDEX(Income!C$3:C$502,SMALL(IF((Income!D$3:D$502="GBP")*(Income!A$3:A$502=DATE(2026,2,10)),ROW(Income!A$3:A$502)-2),2)),0))</f>
        <v/>
      </c>
      <c r="F35" s="38" t="str">
        <f aca="false">IF(IFERROR(INDEX(Expenses!B$3:B$1002,SMALL(IF((Expenses!E$3:E$1002="GBP")*(Expenses!A$3:A$1002=DATE(2026,2,10)),ROW(Expenses!A$3:A$1002)-2),2)),"")&lt;&gt;"",IFERROR(INDEX(Expenses!B$3:B$1002,SMALL(IF((Expenses!E$3:E$1002="GBP")*(Expenses!A$3:A$1002=DATE(2026,2,10)),ROW(Expenses!A$3:A$1002)-2),2)),""),IF(IFERROR(INDEX(Income!B$3:B$502,SMALL(IF((Income!D$3:D$502="GBP")*(Income!A$3:A$502=DATE(2026,2,10)),ROW(Income!A$3:A$502)-2),2)),"")&lt;&gt;"",IFERROR(INDEX(Income!B$3:B$502,SMALL(IF((Income!D$3:D$502="GBP")*(Income!A$3:A$502=DATE(2026,2,10)),ROW(Income!A$3:A$502)-2),2)),""),""))</f>
        <v/>
      </c>
      <c r="G35" s="62" t="str">
        <f aca="false">IF(IFERROR(-INDEX(Expenses!D$3:D$1002,SMALL(IF((Expenses!E$3:E$1002="GBP")*(Expenses!A$3:A$1002=DATE(2026,2,11)),ROW(Expenses!A$3:A$1002)-2),2)),0)+IFERROR(INDEX(Income!C$3:C$502,SMALL(IF((Income!D$3:D$502="GBP")*(Income!A$3:A$502=DATE(2026,2,11)),ROW(Income!A$3:A$502)-2),2)),0)=0,"",IFERROR(-INDEX(Expenses!D$3:D$1002,SMALL(IF((Expenses!E$3:E$1002="GBP")*(Expenses!A$3:A$1002=DATE(2026,2,11)),ROW(Expenses!A$3:A$1002)-2),2)),0)+IFERROR(INDEX(Income!C$3:C$502,SMALL(IF((Income!D$3:D$502="GBP")*(Income!A$3:A$502=DATE(2026,2,11)),ROW(Income!A$3:A$502)-2),2)),0))</f>
        <v/>
      </c>
      <c r="H35" s="38" t="str">
        <f aca="false">IF(IFERROR(INDEX(Expenses!B$3:B$1002,SMALL(IF((Expenses!E$3:E$1002="GBP")*(Expenses!A$3:A$1002=DATE(2026,2,11)),ROW(Expenses!A$3:A$1002)-2),2)),"")&lt;&gt;"",IFERROR(INDEX(Expenses!B$3:B$1002,SMALL(IF((Expenses!E$3:E$1002="GBP")*(Expenses!A$3:A$1002=DATE(2026,2,11)),ROW(Expenses!A$3:A$1002)-2),2)),""),IF(IFERROR(INDEX(Income!B$3:B$502,SMALL(IF((Income!D$3:D$502="GBP")*(Income!A$3:A$502=DATE(2026,2,11)),ROW(Income!A$3:A$502)-2),2)),"")&lt;&gt;"",IFERROR(INDEX(Income!B$3:B$502,SMALL(IF((Income!D$3:D$502="GBP")*(Income!A$3:A$502=DATE(2026,2,11)),ROW(Income!A$3:A$502)-2),2)),""),""))</f>
        <v/>
      </c>
      <c r="I35" s="62" t="str">
        <f aca="false">IF(IFERROR(-INDEX(Expenses!D$3:D$1002,SMALL(IF((Expenses!E$3:E$1002="GBP")*(Expenses!A$3:A$1002=DATE(2026,2,12)),ROW(Expenses!A$3:A$1002)-2),2)),0)+IFERROR(INDEX(Income!C$3:C$502,SMALL(IF((Income!D$3:D$502="GBP")*(Income!A$3:A$502=DATE(2026,2,12)),ROW(Income!A$3:A$502)-2),2)),0)=0,"",IFERROR(-INDEX(Expenses!D$3:D$1002,SMALL(IF((Expenses!E$3:E$1002="GBP")*(Expenses!A$3:A$1002=DATE(2026,2,12)),ROW(Expenses!A$3:A$1002)-2),2)),0)+IFERROR(INDEX(Income!C$3:C$502,SMALL(IF((Income!D$3:D$502="GBP")*(Income!A$3:A$502=DATE(2026,2,12)),ROW(Income!A$3:A$502)-2),2)),0))</f>
        <v/>
      </c>
      <c r="J35" s="38" t="str">
        <f aca="false">IF(IFERROR(INDEX(Expenses!B$3:B$1002,SMALL(IF((Expenses!E$3:E$1002="GBP")*(Expenses!A$3:A$1002=DATE(2026,2,12)),ROW(Expenses!A$3:A$1002)-2),2)),"")&lt;&gt;"",IFERROR(INDEX(Expenses!B$3:B$1002,SMALL(IF((Expenses!E$3:E$1002="GBP")*(Expenses!A$3:A$1002=DATE(2026,2,12)),ROW(Expenses!A$3:A$1002)-2),2)),""),IF(IFERROR(INDEX(Income!B$3:B$502,SMALL(IF((Income!D$3:D$502="GBP")*(Income!A$3:A$502=DATE(2026,2,12)),ROW(Income!A$3:A$502)-2),2)),"")&lt;&gt;"",IFERROR(INDEX(Income!B$3:B$502,SMALL(IF((Income!D$3:D$502="GBP")*(Income!A$3:A$502=DATE(2026,2,12)),ROW(Income!A$3:A$502)-2),2)),""),""))</f>
        <v/>
      </c>
      <c r="K35" s="62" t="str">
        <f aca="false">IF(IFERROR(-INDEX(Expenses!D$3:D$1002,SMALL(IF((Expenses!E$3:E$1002="GBP")*(Expenses!A$3:A$1002=DATE(2026,2,13)),ROW(Expenses!A$3:A$1002)-2),2)),0)+IFERROR(INDEX(Income!C$3:C$502,SMALL(IF((Income!D$3:D$502="GBP")*(Income!A$3:A$502=DATE(2026,2,13)),ROW(Income!A$3:A$502)-2),2)),0)=0,"",IFERROR(-INDEX(Expenses!D$3:D$1002,SMALL(IF((Expenses!E$3:E$1002="GBP")*(Expenses!A$3:A$1002=DATE(2026,2,13)),ROW(Expenses!A$3:A$1002)-2),2)),0)+IFERROR(INDEX(Income!C$3:C$502,SMALL(IF((Income!D$3:D$502="GBP")*(Income!A$3:A$502=DATE(2026,2,13)),ROW(Income!A$3:A$502)-2),2)),0))</f>
        <v/>
      </c>
      <c r="L35" s="38" t="str">
        <f aca="false">IF(IFERROR(INDEX(Expenses!B$3:B$1002,SMALL(IF((Expenses!E$3:E$1002="GBP")*(Expenses!A$3:A$1002=DATE(2026,2,13)),ROW(Expenses!A$3:A$1002)-2),2)),"")&lt;&gt;"",IFERROR(INDEX(Expenses!B$3:B$1002,SMALL(IF((Expenses!E$3:E$1002="GBP")*(Expenses!A$3:A$1002=DATE(2026,2,13)),ROW(Expenses!A$3:A$1002)-2),2)),""),IF(IFERROR(INDEX(Income!B$3:B$502,SMALL(IF((Income!D$3:D$502="GBP")*(Income!A$3:A$502=DATE(2026,2,13)),ROW(Income!A$3:A$502)-2),2)),"")&lt;&gt;"",IFERROR(INDEX(Income!B$3:B$502,SMALL(IF((Income!D$3:D$502="GBP")*(Income!A$3:A$502=DATE(2026,2,13)),ROW(Income!A$3:A$502)-2),2)),""),""))</f>
        <v/>
      </c>
      <c r="M35" s="62" t="str">
        <f aca="false">IF(IFERROR(-INDEX(Expenses!D$3:D$1002,SMALL(IF((Expenses!E$3:E$1002="GBP")*(Expenses!A$3:A$1002=DATE(2026,2,14)),ROW(Expenses!A$3:A$1002)-2),2)),0)+IFERROR(INDEX(Income!C$3:C$502,SMALL(IF((Income!D$3:D$502="GBP")*(Income!A$3:A$502=DATE(2026,2,14)),ROW(Income!A$3:A$502)-2),2)),0)=0,"",IFERROR(-INDEX(Expenses!D$3:D$1002,SMALL(IF((Expenses!E$3:E$1002="GBP")*(Expenses!A$3:A$1002=DATE(2026,2,14)),ROW(Expenses!A$3:A$1002)-2),2)),0)+IFERROR(INDEX(Income!C$3:C$502,SMALL(IF((Income!D$3:D$502="GBP")*(Income!A$3:A$502=DATE(2026,2,14)),ROW(Income!A$3:A$502)-2),2)),0))</f>
        <v/>
      </c>
      <c r="N35" s="38" t="str">
        <f aca="false">IF(IFERROR(INDEX(Expenses!B$3:B$1002,SMALL(IF((Expenses!E$3:E$1002="GBP")*(Expenses!A$3:A$1002=DATE(2026,2,14)),ROW(Expenses!A$3:A$1002)-2),2)),"")&lt;&gt;"",IFERROR(INDEX(Expenses!B$3:B$1002,SMALL(IF((Expenses!E$3:E$1002="GBP")*(Expenses!A$3:A$1002=DATE(2026,2,14)),ROW(Expenses!A$3:A$1002)-2),2)),""),IF(IFERROR(INDEX(Income!B$3:B$502,SMALL(IF((Income!D$3:D$502="GBP")*(Income!A$3:A$502=DATE(2026,2,14)),ROW(Income!A$3:A$502)-2),2)),"")&lt;&gt;"",IFERROR(INDEX(Income!B$3:B$502,SMALL(IF((Income!D$3:D$502="GBP")*(Income!A$3:A$502=DATE(2026,2,14)),ROW(Income!A$3:A$502)-2),2)),""),""))</f>
        <v/>
      </c>
      <c r="O35" s="62" t="str">
        <f aca="false">IF(IFERROR(-INDEX(Expenses!D$3:D$1002,SMALL(IF((Expenses!E$3:E$1002="GBP")*(Expenses!A$3:A$1002=DATE(2026,2,15)),ROW(Expenses!A$3:A$1002)-2),2)),0)+IFERROR(INDEX(Income!C$3:C$502,SMALL(IF((Income!D$3:D$502="GBP")*(Income!A$3:A$502=DATE(2026,2,15)),ROW(Income!A$3:A$502)-2),2)),0)=0,"",IFERROR(-INDEX(Expenses!D$3:D$1002,SMALL(IF((Expenses!E$3:E$1002="GBP")*(Expenses!A$3:A$1002=DATE(2026,2,15)),ROW(Expenses!A$3:A$1002)-2),2)),0)+IFERROR(INDEX(Income!C$3:C$502,SMALL(IF((Income!D$3:D$502="GBP")*(Income!A$3:A$502=DATE(2026,2,15)),ROW(Income!A$3:A$502)-2),2)),0))</f>
        <v/>
      </c>
      <c r="P35" s="38" t="str">
        <f aca="false">IF(IFERROR(INDEX(Expenses!B$3:B$1002,SMALL(IF((Expenses!E$3:E$1002="GBP")*(Expenses!A$3:A$1002=DATE(2026,2,15)),ROW(Expenses!A$3:A$1002)-2),2)),"")&lt;&gt;"",IFERROR(INDEX(Expenses!B$3:B$1002,SMALL(IF((Expenses!E$3:E$1002="GBP")*(Expenses!A$3:A$1002=DATE(2026,2,15)),ROW(Expenses!A$3:A$1002)-2),2)),""),IF(IFERROR(INDEX(Income!B$3:B$502,SMALL(IF((Income!D$3:D$502="GBP")*(Income!A$3:A$502=DATE(2026,2,15)),ROW(Income!A$3:A$502)-2),2)),"")&lt;&gt;"",IFERROR(INDEX(Income!B$3:B$502,SMALL(IF((Income!D$3:D$502="GBP")*(Income!A$3:A$502=DATE(2026,2,15)),ROW(Income!A$3:A$502)-2),2)),""),""))</f>
        <v/>
      </c>
      <c r="Q35" s="16"/>
      <c r="R35" s="16"/>
    </row>
    <row r="36" customFormat="false" ht="15" hidden="false" customHeight="false" outlineLevel="0" collapsed="false">
      <c r="A36" s="16"/>
      <c r="B36" s="16"/>
      <c r="C36" s="62" t="str">
        <f aca="false">IF(IFERROR(-INDEX(Expenses!D$3:D$1002,SMALL(IF((Expenses!E$3:E$1002="GBP")*(Expenses!A$3:A$1002=DATE(2026,2,9)),ROW(Expenses!A$3:A$1002)-2),3)),0)+IFERROR(INDEX(Income!C$3:C$502,SMALL(IF((Income!D$3:D$502="GBP")*(Income!A$3:A$502=DATE(2026,2,9)),ROW(Income!A$3:A$502)-2),3)),0)=0,"",IFERROR(-INDEX(Expenses!D$3:D$1002,SMALL(IF((Expenses!E$3:E$1002="GBP")*(Expenses!A$3:A$1002=DATE(2026,2,9)),ROW(Expenses!A$3:A$1002)-2),3)),0)+IFERROR(INDEX(Income!C$3:C$502,SMALL(IF((Income!D$3:D$502="GBP")*(Income!A$3:A$502=DATE(2026,2,9)),ROW(Income!A$3:A$502)-2),3)),0))</f>
        <v/>
      </c>
      <c r="D36" s="38" t="str">
        <f aca="false">IF(IFERROR(INDEX(Expenses!B$3:B$1002,SMALL(IF((Expenses!E$3:E$1002="GBP")*(Expenses!A$3:A$1002=DATE(2026,2,9)),ROW(Expenses!A$3:A$1002)-2),3)),"")&lt;&gt;"",IFERROR(INDEX(Expenses!B$3:B$1002,SMALL(IF((Expenses!E$3:E$1002="GBP")*(Expenses!A$3:A$1002=DATE(2026,2,9)),ROW(Expenses!A$3:A$1002)-2),3)),""),IF(IFERROR(INDEX(Income!B$3:B$502,SMALL(IF((Income!D$3:D$502="GBP")*(Income!A$3:A$502=DATE(2026,2,9)),ROW(Income!A$3:A$502)-2),3)),"")&lt;&gt;"",IFERROR(INDEX(Income!B$3:B$502,SMALL(IF((Income!D$3:D$502="GBP")*(Income!A$3:A$502=DATE(2026,2,9)),ROW(Income!A$3:A$502)-2),3)),""),""))</f>
        <v/>
      </c>
      <c r="E36" s="62" t="str">
        <f aca="false">IF(IFERROR(-INDEX(Expenses!D$3:D$1002,SMALL(IF((Expenses!E$3:E$1002="GBP")*(Expenses!A$3:A$1002=DATE(2026,2,10)),ROW(Expenses!A$3:A$1002)-2),3)),0)+IFERROR(INDEX(Income!C$3:C$502,SMALL(IF((Income!D$3:D$502="GBP")*(Income!A$3:A$502=DATE(2026,2,10)),ROW(Income!A$3:A$502)-2),3)),0)=0,"",IFERROR(-INDEX(Expenses!D$3:D$1002,SMALL(IF((Expenses!E$3:E$1002="GBP")*(Expenses!A$3:A$1002=DATE(2026,2,10)),ROW(Expenses!A$3:A$1002)-2),3)),0)+IFERROR(INDEX(Income!C$3:C$502,SMALL(IF((Income!D$3:D$502="GBP")*(Income!A$3:A$502=DATE(2026,2,10)),ROW(Income!A$3:A$502)-2),3)),0))</f>
        <v/>
      </c>
      <c r="F36" s="38" t="str">
        <f aca="false">IF(IFERROR(INDEX(Expenses!B$3:B$1002,SMALL(IF((Expenses!E$3:E$1002="GBP")*(Expenses!A$3:A$1002=DATE(2026,2,10)),ROW(Expenses!A$3:A$1002)-2),3)),"")&lt;&gt;"",IFERROR(INDEX(Expenses!B$3:B$1002,SMALL(IF((Expenses!E$3:E$1002="GBP")*(Expenses!A$3:A$1002=DATE(2026,2,10)),ROW(Expenses!A$3:A$1002)-2),3)),""),IF(IFERROR(INDEX(Income!B$3:B$502,SMALL(IF((Income!D$3:D$502="GBP")*(Income!A$3:A$502=DATE(2026,2,10)),ROW(Income!A$3:A$502)-2),3)),"")&lt;&gt;"",IFERROR(INDEX(Income!B$3:B$502,SMALL(IF((Income!D$3:D$502="GBP")*(Income!A$3:A$502=DATE(2026,2,10)),ROW(Income!A$3:A$502)-2),3)),""),""))</f>
        <v/>
      </c>
      <c r="G36" s="62" t="str">
        <f aca="false">IF(IFERROR(-INDEX(Expenses!D$3:D$1002,SMALL(IF((Expenses!E$3:E$1002="GBP")*(Expenses!A$3:A$1002=DATE(2026,2,11)),ROW(Expenses!A$3:A$1002)-2),3)),0)+IFERROR(INDEX(Income!C$3:C$502,SMALL(IF((Income!D$3:D$502="GBP")*(Income!A$3:A$502=DATE(2026,2,11)),ROW(Income!A$3:A$502)-2),3)),0)=0,"",IFERROR(-INDEX(Expenses!D$3:D$1002,SMALL(IF((Expenses!E$3:E$1002="GBP")*(Expenses!A$3:A$1002=DATE(2026,2,11)),ROW(Expenses!A$3:A$1002)-2),3)),0)+IFERROR(INDEX(Income!C$3:C$502,SMALL(IF((Income!D$3:D$502="GBP")*(Income!A$3:A$502=DATE(2026,2,11)),ROW(Income!A$3:A$502)-2),3)),0))</f>
        <v/>
      </c>
      <c r="H36" s="38" t="str">
        <f aca="false">IF(IFERROR(INDEX(Expenses!B$3:B$1002,SMALL(IF((Expenses!E$3:E$1002="GBP")*(Expenses!A$3:A$1002=DATE(2026,2,11)),ROW(Expenses!A$3:A$1002)-2),3)),"")&lt;&gt;"",IFERROR(INDEX(Expenses!B$3:B$1002,SMALL(IF((Expenses!E$3:E$1002="GBP")*(Expenses!A$3:A$1002=DATE(2026,2,11)),ROW(Expenses!A$3:A$1002)-2),3)),""),IF(IFERROR(INDEX(Income!B$3:B$502,SMALL(IF((Income!D$3:D$502="GBP")*(Income!A$3:A$502=DATE(2026,2,11)),ROW(Income!A$3:A$502)-2),3)),"")&lt;&gt;"",IFERROR(INDEX(Income!B$3:B$502,SMALL(IF((Income!D$3:D$502="GBP")*(Income!A$3:A$502=DATE(2026,2,11)),ROW(Income!A$3:A$502)-2),3)),""),""))</f>
        <v/>
      </c>
      <c r="I36" s="62" t="str">
        <f aca="false">IF(IFERROR(-INDEX(Expenses!D$3:D$1002,SMALL(IF((Expenses!E$3:E$1002="GBP")*(Expenses!A$3:A$1002=DATE(2026,2,12)),ROW(Expenses!A$3:A$1002)-2),3)),0)+IFERROR(INDEX(Income!C$3:C$502,SMALL(IF((Income!D$3:D$502="GBP")*(Income!A$3:A$502=DATE(2026,2,12)),ROW(Income!A$3:A$502)-2),3)),0)=0,"",IFERROR(-INDEX(Expenses!D$3:D$1002,SMALL(IF((Expenses!E$3:E$1002="GBP")*(Expenses!A$3:A$1002=DATE(2026,2,12)),ROW(Expenses!A$3:A$1002)-2),3)),0)+IFERROR(INDEX(Income!C$3:C$502,SMALL(IF((Income!D$3:D$502="GBP")*(Income!A$3:A$502=DATE(2026,2,12)),ROW(Income!A$3:A$502)-2),3)),0))</f>
        <v/>
      </c>
      <c r="J36" s="38" t="str">
        <f aca="false">IF(IFERROR(INDEX(Expenses!B$3:B$1002,SMALL(IF((Expenses!E$3:E$1002="GBP")*(Expenses!A$3:A$1002=DATE(2026,2,12)),ROW(Expenses!A$3:A$1002)-2),3)),"")&lt;&gt;"",IFERROR(INDEX(Expenses!B$3:B$1002,SMALL(IF((Expenses!E$3:E$1002="GBP")*(Expenses!A$3:A$1002=DATE(2026,2,12)),ROW(Expenses!A$3:A$1002)-2),3)),""),IF(IFERROR(INDEX(Income!B$3:B$502,SMALL(IF((Income!D$3:D$502="GBP")*(Income!A$3:A$502=DATE(2026,2,12)),ROW(Income!A$3:A$502)-2),3)),"")&lt;&gt;"",IFERROR(INDEX(Income!B$3:B$502,SMALL(IF((Income!D$3:D$502="GBP")*(Income!A$3:A$502=DATE(2026,2,12)),ROW(Income!A$3:A$502)-2),3)),""),""))</f>
        <v/>
      </c>
      <c r="K36" s="62" t="str">
        <f aca="false">IF(IFERROR(-INDEX(Expenses!D$3:D$1002,SMALL(IF((Expenses!E$3:E$1002="GBP")*(Expenses!A$3:A$1002=DATE(2026,2,13)),ROW(Expenses!A$3:A$1002)-2),3)),0)+IFERROR(INDEX(Income!C$3:C$502,SMALL(IF((Income!D$3:D$502="GBP")*(Income!A$3:A$502=DATE(2026,2,13)),ROW(Income!A$3:A$502)-2),3)),0)=0,"",IFERROR(-INDEX(Expenses!D$3:D$1002,SMALL(IF((Expenses!E$3:E$1002="GBP")*(Expenses!A$3:A$1002=DATE(2026,2,13)),ROW(Expenses!A$3:A$1002)-2),3)),0)+IFERROR(INDEX(Income!C$3:C$502,SMALL(IF((Income!D$3:D$502="GBP")*(Income!A$3:A$502=DATE(2026,2,13)),ROW(Income!A$3:A$502)-2),3)),0))</f>
        <v/>
      </c>
      <c r="L36" s="38" t="str">
        <f aca="false">IF(IFERROR(INDEX(Expenses!B$3:B$1002,SMALL(IF((Expenses!E$3:E$1002="GBP")*(Expenses!A$3:A$1002=DATE(2026,2,13)),ROW(Expenses!A$3:A$1002)-2),3)),"")&lt;&gt;"",IFERROR(INDEX(Expenses!B$3:B$1002,SMALL(IF((Expenses!E$3:E$1002="GBP")*(Expenses!A$3:A$1002=DATE(2026,2,13)),ROW(Expenses!A$3:A$1002)-2),3)),""),IF(IFERROR(INDEX(Income!B$3:B$502,SMALL(IF((Income!D$3:D$502="GBP")*(Income!A$3:A$502=DATE(2026,2,13)),ROW(Income!A$3:A$502)-2),3)),"")&lt;&gt;"",IFERROR(INDEX(Income!B$3:B$502,SMALL(IF((Income!D$3:D$502="GBP")*(Income!A$3:A$502=DATE(2026,2,13)),ROW(Income!A$3:A$502)-2),3)),""),""))</f>
        <v/>
      </c>
      <c r="M36" s="62" t="str">
        <f aca="false">IF(IFERROR(-INDEX(Expenses!D$3:D$1002,SMALL(IF((Expenses!E$3:E$1002="GBP")*(Expenses!A$3:A$1002=DATE(2026,2,14)),ROW(Expenses!A$3:A$1002)-2),3)),0)+IFERROR(INDEX(Income!C$3:C$502,SMALL(IF((Income!D$3:D$502="GBP")*(Income!A$3:A$502=DATE(2026,2,14)),ROW(Income!A$3:A$502)-2),3)),0)=0,"",IFERROR(-INDEX(Expenses!D$3:D$1002,SMALL(IF((Expenses!E$3:E$1002="GBP")*(Expenses!A$3:A$1002=DATE(2026,2,14)),ROW(Expenses!A$3:A$1002)-2),3)),0)+IFERROR(INDEX(Income!C$3:C$502,SMALL(IF((Income!D$3:D$502="GBP")*(Income!A$3:A$502=DATE(2026,2,14)),ROW(Income!A$3:A$502)-2),3)),0))</f>
        <v/>
      </c>
      <c r="N36" s="38" t="str">
        <f aca="false">IF(IFERROR(INDEX(Expenses!B$3:B$1002,SMALL(IF((Expenses!E$3:E$1002="GBP")*(Expenses!A$3:A$1002=DATE(2026,2,14)),ROW(Expenses!A$3:A$1002)-2),3)),"")&lt;&gt;"",IFERROR(INDEX(Expenses!B$3:B$1002,SMALL(IF((Expenses!E$3:E$1002="GBP")*(Expenses!A$3:A$1002=DATE(2026,2,14)),ROW(Expenses!A$3:A$1002)-2),3)),""),IF(IFERROR(INDEX(Income!B$3:B$502,SMALL(IF((Income!D$3:D$502="GBP")*(Income!A$3:A$502=DATE(2026,2,14)),ROW(Income!A$3:A$502)-2),3)),"")&lt;&gt;"",IFERROR(INDEX(Income!B$3:B$502,SMALL(IF((Income!D$3:D$502="GBP")*(Income!A$3:A$502=DATE(2026,2,14)),ROW(Income!A$3:A$502)-2),3)),""),""))</f>
        <v/>
      </c>
      <c r="O36" s="62" t="str">
        <f aca="false">IF(IFERROR(-INDEX(Expenses!D$3:D$1002,SMALL(IF((Expenses!E$3:E$1002="GBP")*(Expenses!A$3:A$1002=DATE(2026,2,15)),ROW(Expenses!A$3:A$1002)-2),3)),0)+IFERROR(INDEX(Income!C$3:C$502,SMALL(IF((Income!D$3:D$502="GBP")*(Income!A$3:A$502=DATE(2026,2,15)),ROW(Income!A$3:A$502)-2),3)),0)=0,"",IFERROR(-INDEX(Expenses!D$3:D$1002,SMALL(IF((Expenses!E$3:E$1002="GBP")*(Expenses!A$3:A$1002=DATE(2026,2,15)),ROW(Expenses!A$3:A$1002)-2),3)),0)+IFERROR(INDEX(Income!C$3:C$502,SMALL(IF((Income!D$3:D$502="GBP")*(Income!A$3:A$502=DATE(2026,2,15)),ROW(Income!A$3:A$502)-2),3)),0))</f>
        <v/>
      </c>
      <c r="P36" s="38" t="str">
        <f aca="false">IF(IFERROR(INDEX(Expenses!B$3:B$1002,SMALL(IF((Expenses!E$3:E$1002="GBP")*(Expenses!A$3:A$1002=DATE(2026,2,15)),ROW(Expenses!A$3:A$1002)-2),3)),"")&lt;&gt;"",IFERROR(INDEX(Expenses!B$3:B$1002,SMALL(IF((Expenses!E$3:E$1002="GBP")*(Expenses!A$3:A$1002=DATE(2026,2,15)),ROW(Expenses!A$3:A$1002)-2),3)),""),IF(IFERROR(INDEX(Income!B$3:B$502,SMALL(IF((Income!D$3:D$502="GBP")*(Income!A$3:A$502=DATE(2026,2,15)),ROW(Income!A$3:A$502)-2),3)),"")&lt;&gt;"",IFERROR(INDEX(Income!B$3:B$502,SMALL(IF((Income!D$3:D$502="GBP")*(Income!A$3:A$502=DATE(2026,2,15)),ROW(Income!A$3:A$502)-2),3)),""),""))</f>
        <v/>
      </c>
      <c r="Q36" s="16"/>
      <c r="R36" s="16"/>
    </row>
    <row r="37" customFormat="false" ht="15" hidden="false" customHeight="false" outlineLevel="0" collapsed="false">
      <c r="A37" s="16"/>
      <c r="B37" s="16"/>
      <c r="C37" s="62" t="str">
        <f aca="false">IF(IFERROR(-INDEX(Expenses!D$3:D$1002,SMALL(IF((Expenses!E$3:E$1002="GBP")*(Expenses!A$3:A$1002=DATE(2026,2,9)),ROW(Expenses!A$3:A$1002)-2),4)),0)+IFERROR(INDEX(Income!C$3:C$502,SMALL(IF((Income!D$3:D$502="GBP")*(Income!A$3:A$502=DATE(2026,2,9)),ROW(Income!A$3:A$502)-2),4)),0)=0,"",IFERROR(-INDEX(Expenses!D$3:D$1002,SMALL(IF((Expenses!E$3:E$1002="GBP")*(Expenses!A$3:A$1002=DATE(2026,2,9)),ROW(Expenses!A$3:A$1002)-2),4)),0)+IFERROR(INDEX(Income!C$3:C$502,SMALL(IF((Income!D$3:D$502="GBP")*(Income!A$3:A$502=DATE(2026,2,9)),ROW(Income!A$3:A$502)-2),4)),0))</f>
        <v/>
      </c>
      <c r="D37" s="38" t="str">
        <f aca="false">IF(IFERROR(INDEX(Expenses!B$3:B$1002,SMALL(IF((Expenses!E$3:E$1002="GBP")*(Expenses!A$3:A$1002=DATE(2026,2,9)),ROW(Expenses!A$3:A$1002)-2),4)),"")&lt;&gt;"",IFERROR(INDEX(Expenses!B$3:B$1002,SMALL(IF((Expenses!E$3:E$1002="GBP")*(Expenses!A$3:A$1002=DATE(2026,2,9)),ROW(Expenses!A$3:A$1002)-2),4)),""),IF(IFERROR(INDEX(Income!B$3:B$502,SMALL(IF((Income!D$3:D$502="GBP")*(Income!A$3:A$502=DATE(2026,2,9)),ROW(Income!A$3:A$502)-2),4)),"")&lt;&gt;"",IFERROR(INDEX(Income!B$3:B$502,SMALL(IF((Income!D$3:D$502="GBP")*(Income!A$3:A$502=DATE(2026,2,9)),ROW(Income!A$3:A$502)-2),4)),""),""))</f>
        <v/>
      </c>
      <c r="E37" s="62" t="str">
        <f aca="false">IF(IFERROR(-INDEX(Expenses!D$3:D$1002,SMALL(IF((Expenses!E$3:E$1002="GBP")*(Expenses!A$3:A$1002=DATE(2026,2,10)),ROW(Expenses!A$3:A$1002)-2),4)),0)+IFERROR(INDEX(Income!C$3:C$502,SMALL(IF((Income!D$3:D$502="GBP")*(Income!A$3:A$502=DATE(2026,2,10)),ROW(Income!A$3:A$502)-2),4)),0)=0,"",IFERROR(-INDEX(Expenses!D$3:D$1002,SMALL(IF((Expenses!E$3:E$1002="GBP")*(Expenses!A$3:A$1002=DATE(2026,2,10)),ROW(Expenses!A$3:A$1002)-2),4)),0)+IFERROR(INDEX(Income!C$3:C$502,SMALL(IF((Income!D$3:D$502="GBP")*(Income!A$3:A$502=DATE(2026,2,10)),ROW(Income!A$3:A$502)-2),4)),0))</f>
        <v/>
      </c>
      <c r="F37" s="38" t="str">
        <f aca="false">IF(IFERROR(INDEX(Expenses!B$3:B$1002,SMALL(IF((Expenses!E$3:E$1002="GBP")*(Expenses!A$3:A$1002=DATE(2026,2,10)),ROW(Expenses!A$3:A$1002)-2),4)),"")&lt;&gt;"",IFERROR(INDEX(Expenses!B$3:B$1002,SMALL(IF((Expenses!E$3:E$1002="GBP")*(Expenses!A$3:A$1002=DATE(2026,2,10)),ROW(Expenses!A$3:A$1002)-2),4)),""),IF(IFERROR(INDEX(Income!B$3:B$502,SMALL(IF((Income!D$3:D$502="GBP")*(Income!A$3:A$502=DATE(2026,2,10)),ROW(Income!A$3:A$502)-2),4)),"")&lt;&gt;"",IFERROR(INDEX(Income!B$3:B$502,SMALL(IF((Income!D$3:D$502="GBP")*(Income!A$3:A$502=DATE(2026,2,10)),ROW(Income!A$3:A$502)-2),4)),""),""))</f>
        <v/>
      </c>
      <c r="G37" s="62" t="str">
        <f aca="false">IF(IFERROR(-INDEX(Expenses!D$3:D$1002,SMALL(IF((Expenses!E$3:E$1002="GBP")*(Expenses!A$3:A$1002=DATE(2026,2,11)),ROW(Expenses!A$3:A$1002)-2),4)),0)+IFERROR(INDEX(Income!C$3:C$502,SMALL(IF((Income!D$3:D$502="GBP")*(Income!A$3:A$502=DATE(2026,2,11)),ROW(Income!A$3:A$502)-2),4)),0)=0,"",IFERROR(-INDEX(Expenses!D$3:D$1002,SMALL(IF((Expenses!E$3:E$1002="GBP")*(Expenses!A$3:A$1002=DATE(2026,2,11)),ROW(Expenses!A$3:A$1002)-2),4)),0)+IFERROR(INDEX(Income!C$3:C$502,SMALL(IF((Income!D$3:D$502="GBP")*(Income!A$3:A$502=DATE(2026,2,11)),ROW(Income!A$3:A$502)-2),4)),0))</f>
        <v/>
      </c>
      <c r="H37" s="38" t="str">
        <f aca="false">IF(IFERROR(INDEX(Expenses!B$3:B$1002,SMALL(IF((Expenses!E$3:E$1002="GBP")*(Expenses!A$3:A$1002=DATE(2026,2,11)),ROW(Expenses!A$3:A$1002)-2),4)),"")&lt;&gt;"",IFERROR(INDEX(Expenses!B$3:B$1002,SMALL(IF((Expenses!E$3:E$1002="GBP")*(Expenses!A$3:A$1002=DATE(2026,2,11)),ROW(Expenses!A$3:A$1002)-2),4)),""),IF(IFERROR(INDEX(Income!B$3:B$502,SMALL(IF((Income!D$3:D$502="GBP")*(Income!A$3:A$502=DATE(2026,2,11)),ROW(Income!A$3:A$502)-2),4)),"")&lt;&gt;"",IFERROR(INDEX(Income!B$3:B$502,SMALL(IF((Income!D$3:D$502="GBP")*(Income!A$3:A$502=DATE(2026,2,11)),ROW(Income!A$3:A$502)-2),4)),""),""))</f>
        <v/>
      </c>
      <c r="I37" s="62" t="str">
        <f aca="false">IF(IFERROR(-INDEX(Expenses!D$3:D$1002,SMALL(IF((Expenses!E$3:E$1002="GBP")*(Expenses!A$3:A$1002=DATE(2026,2,12)),ROW(Expenses!A$3:A$1002)-2),4)),0)+IFERROR(INDEX(Income!C$3:C$502,SMALL(IF((Income!D$3:D$502="GBP")*(Income!A$3:A$502=DATE(2026,2,12)),ROW(Income!A$3:A$502)-2),4)),0)=0,"",IFERROR(-INDEX(Expenses!D$3:D$1002,SMALL(IF((Expenses!E$3:E$1002="GBP")*(Expenses!A$3:A$1002=DATE(2026,2,12)),ROW(Expenses!A$3:A$1002)-2),4)),0)+IFERROR(INDEX(Income!C$3:C$502,SMALL(IF((Income!D$3:D$502="GBP")*(Income!A$3:A$502=DATE(2026,2,12)),ROW(Income!A$3:A$502)-2),4)),0))</f>
        <v/>
      </c>
      <c r="J37" s="38" t="str">
        <f aca="false">IF(IFERROR(INDEX(Expenses!B$3:B$1002,SMALL(IF((Expenses!E$3:E$1002="GBP")*(Expenses!A$3:A$1002=DATE(2026,2,12)),ROW(Expenses!A$3:A$1002)-2),4)),"")&lt;&gt;"",IFERROR(INDEX(Expenses!B$3:B$1002,SMALL(IF((Expenses!E$3:E$1002="GBP")*(Expenses!A$3:A$1002=DATE(2026,2,12)),ROW(Expenses!A$3:A$1002)-2),4)),""),IF(IFERROR(INDEX(Income!B$3:B$502,SMALL(IF((Income!D$3:D$502="GBP")*(Income!A$3:A$502=DATE(2026,2,12)),ROW(Income!A$3:A$502)-2),4)),"")&lt;&gt;"",IFERROR(INDEX(Income!B$3:B$502,SMALL(IF((Income!D$3:D$502="GBP")*(Income!A$3:A$502=DATE(2026,2,12)),ROW(Income!A$3:A$502)-2),4)),""),""))</f>
        <v/>
      </c>
      <c r="K37" s="62" t="str">
        <f aca="false">IF(IFERROR(-INDEX(Expenses!D$3:D$1002,SMALL(IF((Expenses!E$3:E$1002="GBP")*(Expenses!A$3:A$1002=DATE(2026,2,13)),ROW(Expenses!A$3:A$1002)-2),4)),0)+IFERROR(INDEX(Income!C$3:C$502,SMALL(IF((Income!D$3:D$502="GBP")*(Income!A$3:A$502=DATE(2026,2,13)),ROW(Income!A$3:A$502)-2),4)),0)=0,"",IFERROR(-INDEX(Expenses!D$3:D$1002,SMALL(IF((Expenses!E$3:E$1002="GBP")*(Expenses!A$3:A$1002=DATE(2026,2,13)),ROW(Expenses!A$3:A$1002)-2),4)),0)+IFERROR(INDEX(Income!C$3:C$502,SMALL(IF((Income!D$3:D$502="GBP")*(Income!A$3:A$502=DATE(2026,2,13)),ROW(Income!A$3:A$502)-2),4)),0))</f>
        <v/>
      </c>
      <c r="L37" s="38" t="str">
        <f aca="false">IF(IFERROR(INDEX(Expenses!B$3:B$1002,SMALL(IF((Expenses!E$3:E$1002="GBP")*(Expenses!A$3:A$1002=DATE(2026,2,13)),ROW(Expenses!A$3:A$1002)-2),4)),"")&lt;&gt;"",IFERROR(INDEX(Expenses!B$3:B$1002,SMALL(IF((Expenses!E$3:E$1002="GBP")*(Expenses!A$3:A$1002=DATE(2026,2,13)),ROW(Expenses!A$3:A$1002)-2),4)),""),IF(IFERROR(INDEX(Income!B$3:B$502,SMALL(IF((Income!D$3:D$502="GBP")*(Income!A$3:A$502=DATE(2026,2,13)),ROW(Income!A$3:A$502)-2),4)),"")&lt;&gt;"",IFERROR(INDEX(Income!B$3:B$502,SMALL(IF((Income!D$3:D$502="GBP")*(Income!A$3:A$502=DATE(2026,2,13)),ROW(Income!A$3:A$502)-2),4)),""),""))</f>
        <v/>
      </c>
      <c r="M37" s="62" t="str">
        <f aca="false">IF(IFERROR(-INDEX(Expenses!D$3:D$1002,SMALL(IF((Expenses!E$3:E$1002="GBP")*(Expenses!A$3:A$1002=DATE(2026,2,14)),ROW(Expenses!A$3:A$1002)-2),4)),0)+IFERROR(INDEX(Income!C$3:C$502,SMALL(IF((Income!D$3:D$502="GBP")*(Income!A$3:A$502=DATE(2026,2,14)),ROW(Income!A$3:A$502)-2),4)),0)=0,"",IFERROR(-INDEX(Expenses!D$3:D$1002,SMALL(IF((Expenses!E$3:E$1002="GBP")*(Expenses!A$3:A$1002=DATE(2026,2,14)),ROW(Expenses!A$3:A$1002)-2),4)),0)+IFERROR(INDEX(Income!C$3:C$502,SMALL(IF((Income!D$3:D$502="GBP")*(Income!A$3:A$502=DATE(2026,2,14)),ROW(Income!A$3:A$502)-2),4)),0))</f>
        <v/>
      </c>
      <c r="N37" s="38" t="str">
        <f aca="false">IF(IFERROR(INDEX(Expenses!B$3:B$1002,SMALL(IF((Expenses!E$3:E$1002="GBP")*(Expenses!A$3:A$1002=DATE(2026,2,14)),ROW(Expenses!A$3:A$1002)-2),4)),"")&lt;&gt;"",IFERROR(INDEX(Expenses!B$3:B$1002,SMALL(IF((Expenses!E$3:E$1002="GBP")*(Expenses!A$3:A$1002=DATE(2026,2,14)),ROW(Expenses!A$3:A$1002)-2),4)),""),IF(IFERROR(INDEX(Income!B$3:B$502,SMALL(IF((Income!D$3:D$502="GBP")*(Income!A$3:A$502=DATE(2026,2,14)),ROW(Income!A$3:A$502)-2),4)),"")&lt;&gt;"",IFERROR(INDEX(Income!B$3:B$502,SMALL(IF((Income!D$3:D$502="GBP")*(Income!A$3:A$502=DATE(2026,2,14)),ROW(Income!A$3:A$502)-2),4)),""),""))</f>
        <v/>
      </c>
      <c r="O37" s="62" t="str">
        <f aca="false">IF(IFERROR(-INDEX(Expenses!D$3:D$1002,SMALL(IF((Expenses!E$3:E$1002="GBP")*(Expenses!A$3:A$1002=DATE(2026,2,15)),ROW(Expenses!A$3:A$1002)-2),4)),0)+IFERROR(INDEX(Income!C$3:C$502,SMALL(IF((Income!D$3:D$502="GBP")*(Income!A$3:A$502=DATE(2026,2,15)),ROW(Income!A$3:A$502)-2),4)),0)=0,"",IFERROR(-INDEX(Expenses!D$3:D$1002,SMALL(IF((Expenses!E$3:E$1002="GBP")*(Expenses!A$3:A$1002=DATE(2026,2,15)),ROW(Expenses!A$3:A$1002)-2),4)),0)+IFERROR(INDEX(Income!C$3:C$502,SMALL(IF((Income!D$3:D$502="GBP")*(Income!A$3:A$502=DATE(2026,2,15)),ROW(Income!A$3:A$502)-2),4)),0))</f>
        <v/>
      </c>
      <c r="P37" s="38" t="str">
        <f aca="false">IF(IFERROR(INDEX(Expenses!B$3:B$1002,SMALL(IF((Expenses!E$3:E$1002="GBP")*(Expenses!A$3:A$1002=DATE(2026,2,15)),ROW(Expenses!A$3:A$1002)-2),4)),"")&lt;&gt;"",IFERROR(INDEX(Expenses!B$3:B$1002,SMALL(IF((Expenses!E$3:E$1002="GBP")*(Expenses!A$3:A$1002=DATE(2026,2,15)),ROW(Expenses!A$3:A$1002)-2),4)),""),IF(IFERROR(INDEX(Income!B$3:B$502,SMALL(IF((Income!D$3:D$502="GBP")*(Income!A$3:A$502=DATE(2026,2,15)),ROW(Income!A$3:A$502)-2),4)),"")&lt;&gt;"",IFERROR(INDEX(Income!B$3:B$502,SMALL(IF((Income!D$3:D$502="GBP")*(Income!A$3:A$502=DATE(2026,2,15)),ROW(Income!A$3:A$502)-2),4)),""),""))</f>
        <v/>
      </c>
      <c r="Q37" s="16"/>
      <c r="R37" s="16"/>
    </row>
    <row r="38" customFormat="false" ht="15" hidden="false" customHeight="false" outlineLevel="0" collapsed="false">
      <c r="A38" s="16"/>
      <c r="B38" s="16"/>
      <c r="C38" s="62" t="str">
        <f aca="false">IF(IFERROR(-INDEX(Expenses!D$3:D$1002,SMALL(IF((Expenses!E$3:E$1002="GBP")*(Expenses!A$3:A$1002=DATE(2026,2,9)),ROW(Expenses!A$3:A$1002)-2),5)),0)+IFERROR(INDEX(Income!C$3:C$502,SMALL(IF((Income!D$3:D$502="GBP")*(Income!A$3:A$502=DATE(2026,2,9)),ROW(Income!A$3:A$502)-2),5)),0)=0,"",IFERROR(-INDEX(Expenses!D$3:D$1002,SMALL(IF((Expenses!E$3:E$1002="GBP")*(Expenses!A$3:A$1002=DATE(2026,2,9)),ROW(Expenses!A$3:A$1002)-2),5)),0)+IFERROR(INDEX(Income!C$3:C$502,SMALL(IF((Income!D$3:D$502="GBP")*(Income!A$3:A$502=DATE(2026,2,9)),ROW(Income!A$3:A$502)-2),5)),0))</f>
        <v/>
      </c>
      <c r="D38" s="38" t="str">
        <f aca="false">IF(IFERROR(INDEX(Expenses!B$3:B$1002,SMALL(IF((Expenses!E$3:E$1002="GBP")*(Expenses!A$3:A$1002=DATE(2026,2,9)),ROW(Expenses!A$3:A$1002)-2),5)),"")&lt;&gt;"",IFERROR(INDEX(Expenses!B$3:B$1002,SMALL(IF((Expenses!E$3:E$1002="GBP")*(Expenses!A$3:A$1002=DATE(2026,2,9)),ROW(Expenses!A$3:A$1002)-2),5)),""),IF(IFERROR(INDEX(Income!B$3:B$502,SMALL(IF((Income!D$3:D$502="GBP")*(Income!A$3:A$502=DATE(2026,2,9)),ROW(Income!A$3:A$502)-2),5)),"")&lt;&gt;"",IFERROR(INDEX(Income!B$3:B$502,SMALL(IF((Income!D$3:D$502="GBP")*(Income!A$3:A$502=DATE(2026,2,9)),ROW(Income!A$3:A$502)-2),5)),""),""))</f>
        <v/>
      </c>
      <c r="E38" s="62" t="str">
        <f aca="false">IF(IFERROR(-INDEX(Expenses!D$3:D$1002,SMALL(IF((Expenses!E$3:E$1002="GBP")*(Expenses!A$3:A$1002=DATE(2026,2,10)),ROW(Expenses!A$3:A$1002)-2),5)),0)+IFERROR(INDEX(Income!C$3:C$502,SMALL(IF((Income!D$3:D$502="GBP")*(Income!A$3:A$502=DATE(2026,2,10)),ROW(Income!A$3:A$502)-2),5)),0)=0,"",IFERROR(-INDEX(Expenses!D$3:D$1002,SMALL(IF((Expenses!E$3:E$1002="GBP")*(Expenses!A$3:A$1002=DATE(2026,2,10)),ROW(Expenses!A$3:A$1002)-2),5)),0)+IFERROR(INDEX(Income!C$3:C$502,SMALL(IF((Income!D$3:D$502="GBP")*(Income!A$3:A$502=DATE(2026,2,10)),ROW(Income!A$3:A$502)-2),5)),0))</f>
        <v/>
      </c>
      <c r="F38" s="38" t="str">
        <f aca="false">IF(IFERROR(INDEX(Expenses!B$3:B$1002,SMALL(IF((Expenses!E$3:E$1002="GBP")*(Expenses!A$3:A$1002=DATE(2026,2,10)),ROW(Expenses!A$3:A$1002)-2),5)),"")&lt;&gt;"",IFERROR(INDEX(Expenses!B$3:B$1002,SMALL(IF((Expenses!E$3:E$1002="GBP")*(Expenses!A$3:A$1002=DATE(2026,2,10)),ROW(Expenses!A$3:A$1002)-2),5)),""),IF(IFERROR(INDEX(Income!B$3:B$502,SMALL(IF((Income!D$3:D$502="GBP")*(Income!A$3:A$502=DATE(2026,2,10)),ROW(Income!A$3:A$502)-2),5)),"")&lt;&gt;"",IFERROR(INDEX(Income!B$3:B$502,SMALL(IF((Income!D$3:D$502="GBP")*(Income!A$3:A$502=DATE(2026,2,10)),ROW(Income!A$3:A$502)-2),5)),""),""))</f>
        <v/>
      </c>
      <c r="G38" s="62" t="str">
        <f aca="false">IF(IFERROR(-INDEX(Expenses!D$3:D$1002,SMALL(IF((Expenses!E$3:E$1002="GBP")*(Expenses!A$3:A$1002=DATE(2026,2,11)),ROW(Expenses!A$3:A$1002)-2),5)),0)+IFERROR(INDEX(Income!C$3:C$502,SMALL(IF((Income!D$3:D$502="GBP")*(Income!A$3:A$502=DATE(2026,2,11)),ROW(Income!A$3:A$502)-2),5)),0)=0,"",IFERROR(-INDEX(Expenses!D$3:D$1002,SMALL(IF((Expenses!E$3:E$1002="GBP")*(Expenses!A$3:A$1002=DATE(2026,2,11)),ROW(Expenses!A$3:A$1002)-2),5)),0)+IFERROR(INDEX(Income!C$3:C$502,SMALL(IF((Income!D$3:D$502="GBP")*(Income!A$3:A$502=DATE(2026,2,11)),ROW(Income!A$3:A$502)-2),5)),0))</f>
        <v/>
      </c>
      <c r="H38" s="38" t="str">
        <f aca="false">IF(IFERROR(INDEX(Expenses!B$3:B$1002,SMALL(IF((Expenses!E$3:E$1002="GBP")*(Expenses!A$3:A$1002=DATE(2026,2,11)),ROW(Expenses!A$3:A$1002)-2),5)),"")&lt;&gt;"",IFERROR(INDEX(Expenses!B$3:B$1002,SMALL(IF((Expenses!E$3:E$1002="GBP")*(Expenses!A$3:A$1002=DATE(2026,2,11)),ROW(Expenses!A$3:A$1002)-2),5)),""),IF(IFERROR(INDEX(Income!B$3:B$502,SMALL(IF((Income!D$3:D$502="GBP")*(Income!A$3:A$502=DATE(2026,2,11)),ROW(Income!A$3:A$502)-2),5)),"")&lt;&gt;"",IFERROR(INDEX(Income!B$3:B$502,SMALL(IF((Income!D$3:D$502="GBP")*(Income!A$3:A$502=DATE(2026,2,11)),ROW(Income!A$3:A$502)-2),5)),""),""))</f>
        <v/>
      </c>
      <c r="I38" s="62" t="str">
        <f aca="false">IF(IFERROR(-INDEX(Expenses!D$3:D$1002,SMALL(IF((Expenses!E$3:E$1002="GBP")*(Expenses!A$3:A$1002=DATE(2026,2,12)),ROW(Expenses!A$3:A$1002)-2),5)),0)+IFERROR(INDEX(Income!C$3:C$502,SMALL(IF((Income!D$3:D$502="GBP")*(Income!A$3:A$502=DATE(2026,2,12)),ROW(Income!A$3:A$502)-2),5)),0)=0,"",IFERROR(-INDEX(Expenses!D$3:D$1002,SMALL(IF((Expenses!E$3:E$1002="GBP")*(Expenses!A$3:A$1002=DATE(2026,2,12)),ROW(Expenses!A$3:A$1002)-2),5)),0)+IFERROR(INDEX(Income!C$3:C$502,SMALL(IF((Income!D$3:D$502="GBP")*(Income!A$3:A$502=DATE(2026,2,12)),ROW(Income!A$3:A$502)-2),5)),0))</f>
        <v/>
      </c>
      <c r="J38" s="38" t="str">
        <f aca="false">IF(IFERROR(INDEX(Expenses!B$3:B$1002,SMALL(IF((Expenses!E$3:E$1002="GBP")*(Expenses!A$3:A$1002=DATE(2026,2,12)),ROW(Expenses!A$3:A$1002)-2),5)),"")&lt;&gt;"",IFERROR(INDEX(Expenses!B$3:B$1002,SMALL(IF((Expenses!E$3:E$1002="GBP")*(Expenses!A$3:A$1002=DATE(2026,2,12)),ROW(Expenses!A$3:A$1002)-2),5)),""),IF(IFERROR(INDEX(Income!B$3:B$502,SMALL(IF((Income!D$3:D$502="GBP")*(Income!A$3:A$502=DATE(2026,2,12)),ROW(Income!A$3:A$502)-2),5)),"")&lt;&gt;"",IFERROR(INDEX(Income!B$3:B$502,SMALL(IF((Income!D$3:D$502="GBP")*(Income!A$3:A$502=DATE(2026,2,12)),ROW(Income!A$3:A$502)-2),5)),""),""))</f>
        <v/>
      </c>
      <c r="K38" s="62" t="str">
        <f aca="false">IF(IFERROR(-INDEX(Expenses!D$3:D$1002,SMALL(IF((Expenses!E$3:E$1002="GBP")*(Expenses!A$3:A$1002=DATE(2026,2,13)),ROW(Expenses!A$3:A$1002)-2),5)),0)+IFERROR(INDEX(Income!C$3:C$502,SMALL(IF((Income!D$3:D$502="GBP")*(Income!A$3:A$502=DATE(2026,2,13)),ROW(Income!A$3:A$502)-2),5)),0)=0,"",IFERROR(-INDEX(Expenses!D$3:D$1002,SMALL(IF((Expenses!E$3:E$1002="GBP")*(Expenses!A$3:A$1002=DATE(2026,2,13)),ROW(Expenses!A$3:A$1002)-2),5)),0)+IFERROR(INDEX(Income!C$3:C$502,SMALL(IF((Income!D$3:D$502="GBP")*(Income!A$3:A$502=DATE(2026,2,13)),ROW(Income!A$3:A$502)-2),5)),0))</f>
        <v/>
      </c>
      <c r="L38" s="38" t="str">
        <f aca="false">IF(IFERROR(INDEX(Expenses!B$3:B$1002,SMALL(IF((Expenses!E$3:E$1002="GBP")*(Expenses!A$3:A$1002=DATE(2026,2,13)),ROW(Expenses!A$3:A$1002)-2),5)),"")&lt;&gt;"",IFERROR(INDEX(Expenses!B$3:B$1002,SMALL(IF((Expenses!E$3:E$1002="GBP")*(Expenses!A$3:A$1002=DATE(2026,2,13)),ROW(Expenses!A$3:A$1002)-2),5)),""),IF(IFERROR(INDEX(Income!B$3:B$502,SMALL(IF((Income!D$3:D$502="GBP")*(Income!A$3:A$502=DATE(2026,2,13)),ROW(Income!A$3:A$502)-2),5)),"")&lt;&gt;"",IFERROR(INDEX(Income!B$3:B$502,SMALL(IF((Income!D$3:D$502="GBP")*(Income!A$3:A$502=DATE(2026,2,13)),ROW(Income!A$3:A$502)-2),5)),""),""))</f>
        <v/>
      </c>
      <c r="M38" s="62" t="str">
        <f aca="false">IF(IFERROR(-INDEX(Expenses!D$3:D$1002,SMALL(IF((Expenses!E$3:E$1002="GBP")*(Expenses!A$3:A$1002=DATE(2026,2,14)),ROW(Expenses!A$3:A$1002)-2),5)),0)+IFERROR(INDEX(Income!C$3:C$502,SMALL(IF((Income!D$3:D$502="GBP")*(Income!A$3:A$502=DATE(2026,2,14)),ROW(Income!A$3:A$502)-2),5)),0)=0,"",IFERROR(-INDEX(Expenses!D$3:D$1002,SMALL(IF((Expenses!E$3:E$1002="GBP")*(Expenses!A$3:A$1002=DATE(2026,2,14)),ROW(Expenses!A$3:A$1002)-2),5)),0)+IFERROR(INDEX(Income!C$3:C$502,SMALL(IF((Income!D$3:D$502="GBP")*(Income!A$3:A$502=DATE(2026,2,14)),ROW(Income!A$3:A$502)-2),5)),0))</f>
        <v/>
      </c>
      <c r="N38" s="38" t="str">
        <f aca="false">IF(IFERROR(INDEX(Expenses!B$3:B$1002,SMALL(IF((Expenses!E$3:E$1002="GBP")*(Expenses!A$3:A$1002=DATE(2026,2,14)),ROW(Expenses!A$3:A$1002)-2),5)),"")&lt;&gt;"",IFERROR(INDEX(Expenses!B$3:B$1002,SMALL(IF((Expenses!E$3:E$1002="GBP")*(Expenses!A$3:A$1002=DATE(2026,2,14)),ROW(Expenses!A$3:A$1002)-2),5)),""),IF(IFERROR(INDEX(Income!B$3:B$502,SMALL(IF((Income!D$3:D$502="GBP")*(Income!A$3:A$502=DATE(2026,2,14)),ROW(Income!A$3:A$502)-2),5)),"")&lt;&gt;"",IFERROR(INDEX(Income!B$3:B$502,SMALL(IF((Income!D$3:D$502="GBP")*(Income!A$3:A$502=DATE(2026,2,14)),ROW(Income!A$3:A$502)-2),5)),""),""))</f>
        <v/>
      </c>
      <c r="O38" s="62" t="str">
        <f aca="false">IF(IFERROR(-INDEX(Expenses!D$3:D$1002,SMALL(IF((Expenses!E$3:E$1002="GBP")*(Expenses!A$3:A$1002=DATE(2026,2,15)),ROW(Expenses!A$3:A$1002)-2),5)),0)+IFERROR(INDEX(Income!C$3:C$502,SMALL(IF((Income!D$3:D$502="GBP")*(Income!A$3:A$502=DATE(2026,2,15)),ROW(Income!A$3:A$502)-2),5)),0)=0,"",IFERROR(-INDEX(Expenses!D$3:D$1002,SMALL(IF((Expenses!E$3:E$1002="GBP")*(Expenses!A$3:A$1002=DATE(2026,2,15)),ROW(Expenses!A$3:A$1002)-2),5)),0)+IFERROR(INDEX(Income!C$3:C$502,SMALL(IF((Income!D$3:D$502="GBP")*(Income!A$3:A$502=DATE(2026,2,15)),ROW(Income!A$3:A$502)-2),5)),0))</f>
        <v/>
      </c>
      <c r="P38" s="38" t="str">
        <f aca="false">IF(IFERROR(INDEX(Expenses!B$3:B$1002,SMALL(IF((Expenses!E$3:E$1002="GBP")*(Expenses!A$3:A$1002=DATE(2026,2,15)),ROW(Expenses!A$3:A$1002)-2),5)),"")&lt;&gt;"",IFERROR(INDEX(Expenses!B$3:B$1002,SMALL(IF((Expenses!E$3:E$1002="GBP")*(Expenses!A$3:A$1002=DATE(2026,2,15)),ROW(Expenses!A$3:A$1002)-2),5)),""),IF(IFERROR(INDEX(Income!B$3:B$502,SMALL(IF((Income!D$3:D$502="GBP")*(Income!A$3:A$502=DATE(2026,2,15)),ROW(Income!A$3:A$502)-2),5)),"")&lt;&gt;"",IFERROR(INDEX(Income!B$3:B$502,SMALL(IF((Income!D$3:D$502="GBP")*(Income!A$3:A$502=DATE(2026,2,15)),ROW(Income!A$3:A$502)-2),5)),""),""))</f>
        <v/>
      </c>
      <c r="Q38" s="16"/>
      <c r="R38" s="16"/>
    </row>
    <row r="39" customFormat="false" ht="15" hidden="false" customHeight="false" outlineLevel="0" collapsed="false">
      <c r="A39" s="61" t="n">
        <v>46069</v>
      </c>
      <c r="B39" s="3" t="n">
        <v>8</v>
      </c>
      <c r="C39" s="62" t="str">
        <f aca="false">IF(IFERROR(-INDEX(Expenses!D$3:D$1002,SMALL(IF((Expenses!E$3:E$1002="GBP")*(Expenses!A$3:A$1002=DATE(2026,2,16)),ROW(Expenses!A$3:A$1002)-2),1)),0)+IFERROR(INDEX(Income!C$3:C$502,SMALL(IF((Income!D$3:D$502="GBP")*(Income!A$3:A$502=DATE(2026,2,16)),ROW(Income!A$3:A$502)-2),1)),0)=0,"",IFERROR(-INDEX(Expenses!D$3:D$1002,SMALL(IF((Expenses!E$3:E$1002="GBP")*(Expenses!A$3:A$1002=DATE(2026,2,16)),ROW(Expenses!A$3:A$1002)-2),1)),0)+IFERROR(INDEX(Income!C$3:C$502,SMALL(IF((Income!D$3:D$502="GBP")*(Income!A$3:A$502=DATE(2026,2,16)),ROW(Income!A$3:A$502)-2),1)),0))</f>
        <v/>
      </c>
      <c r="D39" s="38" t="str">
        <f aca="false">IF(IFERROR(INDEX(Expenses!B$3:B$1002,SMALL(IF((Expenses!E$3:E$1002="GBP")*(Expenses!A$3:A$1002=DATE(2026,2,16)),ROW(Expenses!A$3:A$1002)-2),1)),"")&lt;&gt;"",IFERROR(INDEX(Expenses!B$3:B$1002,SMALL(IF((Expenses!E$3:E$1002="GBP")*(Expenses!A$3:A$1002=DATE(2026,2,16)),ROW(Expenses!A$3:A$1002)-2),1)),""),IF(IFERROR(INDEX(Income!B$3:B$502,SMALL(IF((Income!D$3:D$502="GBP")*(Income!A$3:A$502=DATE(2026,2,16)),ROW(Income!A$3:A$502)-2),1)),"")&lt;&gt;"",IFERROR(INDEX(Income!B$3:B$502,SMALL(IF((Income!D$3:D$502="GBP")*(Income!A$3:A$502=DATE(2026,2,16)),ROW(Income!A$3:A$502)-2),1)),""),""))</f>
        <v/>
      </c>
      <c r="E39" s="62" t="str">
        <f aca="false">IF(IFERROR(-INDEX(Expenses!D$3:D$1002,SMALL(IF((Expenses!E$3:E$1002="GBP")*(Expenses!A$3:A$1002=DATE(2026,2,17)),ROW(Expenses!A$3:A$1002)-2),1)),0)+IFERROR(INDEX(Income!C$3:C$502,SMALL(IF((Income!D$3:D$502="GBP")*(Income!A$3:A$502=DATE(2026,2,17)),ROW(Income!A$3:A$502)-2),1)),0)=0,"",IFERROR(-INDEX(Expenses!D$3:D$1002,SMALL(IF((Expenses!E$3:E$1002="GBP")*(Expenses!A$3:A$1002=DATE(2026,2,17)),ROW(Expenses!A$3:A$1002)-2),1)),0)+IFERROR(INDEX(Income!C$3:C$502,SMALL(IF((Income!D$3:D$502="GBP")*(Income!A$3:A$502=DATE(2026,2,17)),ROW(Income!A$3:A$502)-2),1)),0))</f>
        <v/>
      </c>
      <c r="F39" s="38" t="str">
        <f aca="false">IF(IFERROR(INDEX(Expenses!B$3:B$1002,SMALL(IF((Expenses!E$3:E$1002="GBP")*(Expenses!A$3:A$1002=DATE(2026,2,17)),ROW(Expenses!A$3:A$1002)-2),1)),"")&lt;&gt;"",IFERROR(INDEX(Expenses!B$3:B$1002,SMALL(IF((Expenses!E$3:E$1002="GBP")*(Expenses!A$3:A$1002=DATE(2026,2,17)),ROW(Expenses!A$3:A$1002)-2),1)),""),IF(IFERROR(INDEX(Income!B$3:B$502,SMALL(IF((Income!D$3:D$502="GBP")*(Income!A$3:A$502=DATE(2026,2,17)),ROW(Income!A$3:A$502)-2),1)),"")&lt;&gt;"",IFERROR(INDEX(Income!B$3:B$502,SMALL(IF((Income!D$3:D$502="GBP")*(Income!A$3:A$502=DATE(2026,2,17)),ROW(Income!A$3:A$502)-2),1)),""),""))</f>
        <v/>
      </c>
      <c r="G39" s="62" t="str">
        <f aca="false">IF(IFERROR(-INDEX(Expenses!D$3:D$1002,SMALL(IF((Expenses!E$3:E$1002="GBP")*(Expenses!A$3:A$1002=DATE(2026,2,18)),ROW(Expenses!A$3:A$1002)-2),1)),0)+IFERROR(INDEX(Income!C$3:C$502,SMALL(IF((Income!D$3:D$502="GBP")*(Income!A$3:A$502=DATE(2026,2,18)),ROW(Income!A$3:A$502)-2),1)),0)=0,"",IFERROR(-INDEX(Expenses!D$3:D$1002,SMALL(IF((Expenses!E$3:E$1002="GBP")*(Expenses!A$3:A$1002=DATE(2026,2,18)),ROW(Expenses!A$3:A$1002)-2),1)),0)+IFERROR(INDEX(Income!C$3:C$502,SMALL(IF((Income!D$3:D$502="GBP")*(Income!A$3:A$502=DATE(2026,2,18)),ROW(Income!A$3:A$502)-2),1)),0))</f>
        <v/>
      </c>
      <c r="H39" s="38" t="str">
        <f aca="false">IF(IFERROR(INDEX(Expenses!B$3:B$1002,SMALL(IF((Expenses!E$3:E$1002="GBP")*(Expenses!A$3:A$1002=DATE(2026,2,18)),ROW(Expenses!A$3:A$1002)-2),1)),"")&lt;&gt;"",IFERROR(INDEX(Expenses!B$3:B$1002,SMALL(IF((Expenses!E$3:E$1002="GBP")*(Expenses!A$3:A$1002=DATE(2026,2,18)),ROW(Expenses!A$3:A$1002)-2),1)),""),IF(IFERROR(INDEX(Income!B$3:B$502,SMALL(IF((Income!D$3:D$502="GBP")*(Income!A$3:A$502=DATE(2026,2,18)),ROW(Income!A$3:A$502)-2),1)),"")&lt;&gt;"",IFERROR(INDEX(Income!B$3:B$502,SMALL(IF((Income!D$3:D$502="GBP")*(Income!A$3:A$502=DATE(2026,2,18)),ROW(Income!A$3:A$502)-2),1)),""),""))</f>
        <v/>
      </c>
      <c r="I39" s="62" t="str">
        <f aca="false">IF(IFERROR(-INDEX(Expenses!D$3:D$1002,SMALL(IF((Expenses!E$3:E$1002="GBP")*(Expenses!A$3:A$1002=DATE(2026,2,19)),ROW(Expenses!A$3:A$1002)-2),1)),0)+IFERROR(INDEX(Income!C$3:C$502,SMALL(IF((Income!D$3:D$502="GBP")*(Income!A$3:A$502=DATE(2026,2,19)),ROW(Income!A$3:A$502)-2),1)),0)=0,"",IFERROR(-INDEX(Expenses!D$3:D$1002,SMALL(IF((Expenses!E$3:E$1002="GBP")*(Expenses!A$3:A$1002=DATE(2026,2,19)),ROW(Expenses!A$3:A$1002)-2),1)),0)+IFERROR(INDEX(Income!C$3:C$502,SMALL(IF((Income!D$3:D$502="GBP")*(Income!A$3:A$502=DATE(2026,2,19)),ROW(Income!A$3:A$502)-2),1)),0))</f>
        <v/>
      </c>
      <c r="J39" s="38" t="str">
        <f aca="false">IF(IFERROR(INDEX(Expenses!B$3:B$1002,SMALL(IF((Expenses!E$3:E$1002="GBP")*(Expenses!A$3:A$1002=DATE(2026,2,19)),ROW(Expenses!A$3:A$1002)-2),1)),"")&lt;&gt;"",IFERROR(INDEX(Expenses!B$3:B$1002,SMALL(IF((Expenses!E$3:E$1002="GBP")*(Expenses!A$3:A$1002=DATE(2026,2,19)),ROW(Expenses!A$3:A$1002)-2),1)),""),IF(IFERROR(INDEX(Income!B$3:B$502,SMALL(IF((Income!D$3:D$502="GBP")*(Income!A$3:A$502=DATE(2026,2,19)),ROW(Income!A$3:A$502)-2),1)),"")&lt;&gt;"",IFERROR(INDEX(Income!B$3:B$502,SMALL(IF((Income!D$3:D$502="GBP")*(Income!A$3:A$502=DATE(2026,2,19)),ROW(Income!A$3:A$502)-2),1)),""),""))</f>
        <v/>
      </c>
      <c r="K39" s="62" t="str">
        <f aca="false">IF(IFERROR(-INDEX(Expenses!D$3:D$1002,SMALL(IF((Expenses!E$3:E$1002="GBP")*(Expenses!A$3:A$1002=DATE(2026,2,20)),ROW(Expenses!A$3:A$1002)-2),1)),0)+IFERROR(INDEX(Income!C$3:C$502,SMALL(IF((Income!D$3:D$502="GBP")*(Income!A$3:A$502=DATE(2026,2,20)),ROW(Income!A$3:A$502)-2),1)),0)=0,"",IFERROR(-INDEX(Expenses!D$3:D$1002,SMALL(IF((Expenses!E$3:E$1002="GBP")*(Expenses!A$3:A$1002=DATE(2026,2,20)),ROW(Expenses!A$3:A$1002)-2),1)),0)+IFERROR(INDEX(Income!C$3:C$502,SMALL(IF((Income!D$3:D$502="GBP")*(Income!A$3:A$502=DATE(2026,2,20)),ROW(Income!A$3:A$502)-2),1)),0))</f>
        <v/>
      </c>
      <c r="L39" s="38" t="str">
        <f aca="false">IF(IFERROR(INDEX(Expenses!B$3:B$1002,SMALL(IF((Expenses!E$3:E$1002="GBP")*(Expenses!A$3:A$1002=DATE(2026,2,20)),ROW(Expenses!A$3:A$1002)-2),1)),"")&lt;&gt;"",IFERROR(INDEX(Expenses!B$3:B$1002,SMALL(IF((Expenses!E$3:E$1002="GBP")*(Expenses!A$3:A$1002=DATE(2026,2,20)),ROW(Expenses!A$3:A$1002)-2),1)),""),IF(IFERROR(INDEX(Income!B$3:B$502,SMALL(IF((Income!D$3:D$502="GBP")*(Income!A$3:A$502=DATE(2026,2,20)),ROW(Income!A$3:A$502)-2),1)),"")&lt;&gt;"",IFERROR(INDEX(Income!B$3:B$502,SMALL(IF((Income!D$3:D$502="GBP")*(Income!A$3:A$502=DATE(2026,2,20)),ROW(Income!A$3:A$502)-2),1)),""),""))</f>
        <v/>
      </c>
      <c r="M39" s="62" t="str">
        <f aca="false">IF(IFERROR(-INDEX(Expenses!D$3:D$1002,SMALL(IF((Expenses!E$3:E$1002="GBP")*(Expenses!A$3:A$1002=DATE(2026,2,21)),ROW(Expenses!A$3:A$1002)-2),1)),0)+IFERROR(INDEX(Income!C$3:C$502,SMALL(IF((Income!D$3:D$502="GBP")*(Income!A$3:A$502=DATE(2026,2,21)),ROW(Income!A$3:A$502)-2),1)),0)=0,"",IFERROR(-INDEX(Expenses!D$3:D$1002,SMALL(IF((Expenses!E$3:E$1002="GBP")*(Expenses!A$3:A$1002=DATE(2026,2,21)),ROW(Expenses!A$3:A$1002)-2),1)),0)+IFERROR(INDEX(Income!C$3:C$502,SMALL(IF((Income!D$3:D$502="GBP")*(Income!A$3:A$502=DATE(2026,2,21)),ROW(Income!A$3:A$502)-2),1)),0))</f>
        <v/>
      </c>
      <c r="N39" s="38" t="str">
        <f aca="false">IF(IFERROR(INDEX(Expenses!B$3:B$1002,SMALL(IF((Expenses!E$3:E$1002="GBP")*(Expenses!A$3:A$1002=DATE(2026,2,21)),ROW(Expenses!A$3:A$1002)-2),1)),"")&lt;&gt;"",IFERROR(INDEX(Expenses!B$3:B$1002,SMALL(IF((Expenses!E$3:E$1002="GBP")*(Expenses!A$3:A$1002=DATE(2026,2,21)),ROW(Expenses!A$3:A$1002)-2),1)),""),IF(IFERROR(INDEX(Income!B$3:B$502,SMALL(IF((Income!D$3:D$502="GBP")*(Income!A$3:A$502=DATE(2026,2,21)),ROW(Income!A$3:A$502)-2),1)),"")&lt;&gt;"",IFERROR(INDEX(Income!B$3:B$502,SMALL(IF((Income!D$3:D$502="GBP")*(Income!A$3:A$502=DATE(2026,2,21)),ROW(Income!A$3:A$502)-2),1)),""),""))</f>
        <v/>
      </c>
      <c r="O39" s="62" t="str">
        <f aca="false">IF(IFERROR(-INDEX(Expenses!D$3:D$1002,SMALL(IF((Expenses!E$3:E$1002="GBP")*(Expenses!A$3:A$1002=DATE(2026,2,22)),ROW(Expenses!A$3:A$1002)-2),1)),0)+IFERROR(INDEX(Income!C$3:C$502,SMALL(IF((Income!D$3:D$502="GBP")*(Income!A$3:A$502=DATE(2026,2,22)),ROW(Income!A$3:A$502)-2),1)),0)=0,"",IFERROR(-INDEX(Expenses!D$3:D$1002,SMALL(IF((Expenses!E$3:E$1002="GBP")*(Expenses!A$3:A$1002=DATE(2026,2,22)),ROW(Expenses!A$3:A$1002)-2),1)),0)+IFERROR(INDEX(Income!C$3:C$502,SMALL(IF((Income!D$3:D$502="GBP")*(Income!A$3:A$502=DATE(2026,2,22)),ROW(Income!A$3:A$502)-2),1)),0))</f>
        <v/>
      </c>
      <c r="P39" s="38" t="str">
        <f aca="false">IF(IFERROR(INDEX(Expenses!B$3:B$1002,SMALL(IF((Expenses!E$3:E$1002="GBP")*(Expenses!A$3:A$1002=DATE(2026,2,22)),ROW(Expenses!A$3:A$1002)-2),1)),"")&lt;&gt;"",IFERROR(INDEX(Expenses!B$3:B$1002,SMALL(IF((Expenses!E$3:E$1002="GBP")*(Expenses!A$3:A$1002=DATE(2026,2,22)),ROW(Expenses!A$3:A$1002)-2),1)),""),IF(IFERROR(INDEX(Income!B$3:B$502,SMALL(IF((Income!D$3:D$502="GBP")*(Income!A$3:A$502=DATE(2026,2,22)),ROW(Income!A$3:A$502)-2),1)),"")&lt;&gt;"",IFERROR(INDEX(Income!B$3:B$502,SMALL(IF((Income!D$3:D$502="GBP")*(Income!A$3:A$502=DATE(2026,2,22)),ROW(Income!A$3:A$502)-2),1)),""),""))</f>
        <v/>
      </c>
      <c r="Q39" s="3" t="n">
        <v>8</v>
      </c>
      <c r="R39" s="45" t="n">
        <f aca="false">SUM(C39:C43)+SUM(E39:E43)+SUM(G39:G43)+SUM(I39:I43)+SUM(K39:K43)+SUM(M39:M43)+SUM(O39:O43)</f>
        <v>0</v>
      </c>
    </row>
    <row r="40" customFormat="false" ht="15" hidden="false" customHeight="false" outlineLevel="0" collapsed="false">
      <c r="A40" s="16"/>
      <c r="B40" s="16"/>
      <c r="C40" s="62" t="str">
        <f aca="false">IF(IFERROR(-INDEX(Expenses!D$3:D$1002,SMALL(IF((Expenses!E$3:E$1002="GBP")*(Expenses!A$3:A$1002=DATE(2026,2,16)),ROW(Expenses!A$3:A$1002)-2),2)),0)+IFERROR(INDEX(Income!C$3:C$502,SMALL(IF((Income!D$3:D$502="GBP")*(Income!A$3:A$502=DATE(2026,2,16)),ROW(Income!A$3:A$502)-2),2)),0)=0,"",IFERROR(-INDEX(Expenses!D$3:D$1002,SMALL(IF((Expenses!E$3:E$1002="GBP")*(Expenses!A$3:A$1002=DATE(2026,2,16)),ROW(Expenses!A$3:A$1002)-2),2)),0)+IFERROR(INDEX(Income!C$3:C$502,SMALL(IF((Income!D$3:D$502="GBP")*(Income!A$3:A$502=DATE(2026,2,16)),ROW(Income!A$3:A$502)-2),2)),0))</f>
        <v/>
      </c>
      <c r="D40" s="38" t="str">
        <f aca="false">IF(IFERROR(INDEX(Expenses!B$3:B$1002,SMALL(IF((Expenses!E$3:E$1002="GBP")*(Expenses!A$3:A$1002=DATE(2026,2,16)),ROW(Expenses!A$3:A$1002)-2),2)),"")&lt;&gt;"",IFERROR(INDEX(Expenses!B$3:B$1002,SMALL(IF((Expenses!E$3:E$1002="GBP")*(Expenses!A$3:A$1002=DATE(2026,2,16)),ROW(Expenses!A$3:A$1002)-2),2)),""),IF(IFERROR(INDEX(Income!B$3:B$502,SMALL(IF((Income!D$3:D$502="GBP")*(Income!A$3:A$502=DATE(2026,2,16)),ROW(Income!A$3:A$502)-2),2)),"")&lt;&gt;"",IFERROR(INDEX(Income!B$3:B$502,SMALL(IF((Income!D$3:D$502="GBP")*(Income!A$3:A$502=DATE(2026,2,16)),ROW(Income!A$3:A$502)-2),2)),""),""))</f>
        <v/>
      </c>
      <c r="E40" s="62" t="str">
        <f aca="false">IF(IFERROR(-INDEX(Expenses!D$3:D$1002,SMALL(IF((Expenses!E$3:E$1002="GBP")*(Expenses!A$3:A$1002=DATE(2026,2,17)),ROW(Expenses!A$3:A$1002)-2),2)),0)+IFERROR(INDEX(Income!C$3:C$502,SMALL(IF((Income!D$3:D$502="GBP")*(Income!A$3:A$502=DATE(2026,2,17)),ROW(Income!A$3:A$502)-2),2)),0)=0,"",IFERROR(-INDEX(Expenses!D$3:D$1002,SMALL(IF((Expenses!E$3:E$1002="GBP")*(Expenses!A$3:A$1002=DATE(2026,2,17)),ROW(Expenses!A$3:A$1002)-2),2)),0)+IFERROR(INDEX(Income!C$3:C$502,SMALL(IF((Income!D$3:D$502="GBP")*(Income!A$3:A$502=DATE(2026,2,17)),ROW(Income!A$3:A$502)-2),2)),0))</f>
        <v/>
      </c>
      <c r="F40" s="38" t="str">
        <f aca="false">IF(IFERROR(INDEX(Expenses!B$3:B$1002,SMALL(IF((Expenses!E$3:E$1002="GBP")*(Expenses!A$3:A$1002=DATE(2026,2,17)),ROW(Expenses!A$3:A$1002)-2),2)),"")&lt;&gt;"",IFERROR(INDEX(Expenses!B$3:B$1002,SMALL(IF((Expenses!E$3:E$1002="GBP")*(Expenses!A$3:A$1002=DATE(2026,2,17)),ROW(Expenses!A$3:A$1002)-2),2)),""),IF(IFERROR(INDEX(Income!B$3:B$502,SMALL(IF((Income!D$3:D$502="GBP")*(Income!A$3:A$502=DATE(2026,2,17)),ROW(Income!A$3:A$502)-2),2)),"")&lt;&gt;"",IFERROR(INDEX(Income!B$3:B$502,SMALL(IF((Income!D$3:D$502="GBP")*(Income!A$3:A$502=DATE(2026,2,17)),ROW(Income!A$3:A$502)-2),2)),""),""))</f>
        <v/>
      </c>
      <c r="G40" s="62" t="str">
        <f aca="false">IF(IFERROR(-INDEX(Expenses!D$3:D$1002,SMALL(IF((Expenses!E$3:E$1002="GBP")*(Expenses!A$3:A$1002=DATE(2026,2,18)),ROW(Expenses!A$3:A$1002)-2),2)),0)+IFERROR(INDEX(Income!C$3:C$502,SMALL(IF((Income!D$3:D$502="GBP")*(Income!A$3:A$502=DATE(2026,2,18)),ROW(Income!A$3:A$502)-2),2)),0)=0,"",IFERROR(-INDEX(Expenses!D$3:D$1002,SMALL(IF((Expenses!E$3:E$1002="GBP")*(Expenses!A$3:A$1002=DATE(2026,2,18)),ROW(Expenses!A$3:A$1002)-2),2)),0)+IFERROR(INDEX(Income!C$3:C$502,SMALL(IF((Income!D$3:D$502="GBP")*(Income!A$3:A$502=DATE(2026,2,18)),ROW(Income!A$3:A$502)-2),2)),0))</f>
        <v/>
      </c>
      <c r="H40" s="38" t="str">
        <f aca="false">IF(IFERROR(INDEX(Expenses!B$3:B$1002,SMALL(IF((Expenses!E$3:E$1002="GBP")*(Expenses!A$3:A$1002=DATE(2026,2,18)),ROW(Expenses!A$3:A$1002)-2),2)),"")&lt;&gt;"",IFERROR(INDEX(Expenses!B$3:B$1002,SMALL(IF((Expenses!E$3:E$1002="GBP")*(Expenses!A$3:A$1002=DATE(2026,2,18)),ROW(Expenses!A$3:A$1002)-2),2)),""),IF(IFERROR(INDEX(Income!B$3:B$502,SMALL(IF((Income!D$3:D$502="GBP")*(Income!A$3:A$502=DATE(2026,2,18)),ROW(Income!A$3:A$502)-2),2)),"")&lt;&gt;"",IFERROR(INDEX(Income!B$3:B$502,SMALL(IF((Income!D$3:D$502="GBP")*(Income!A$3:A$502=DATE(2026,2,18)),ROW(Income!A$3:A$502)-2),2)),""),""))</f>
        <v/>
      </c>
      <c r="I40" s="62" t="str">
        <f aca="false">IF(IFERROR(-INDEX(Expenses!D$3:D$1002,SMALL(IF((Expenses!E$3:E$1002="GBP")*(Expenses!A$3:A$1002=DATE(2026,2,19)),ROW(Expenses!A$3:A$1002)-2),2)),0)+IFERROR(INDEX(Income!C$3:C$502,SMALL(IF((Income!D$3:D$502="GBP")*(Income!A$3:A$502=DATE(2026,2,19)),ROW(Income!A$3:A$502)-2),2)),0)=0,"",IFERROR(-INDEX(Expenses!D$3:D$1002,SMALL(IF((Expenses!E$3:E$1002="GBP")*(Expenses!A$3:A$1002=DATE(2026,2,19)),ROW(Expenses!A$3:A$1002)-2),2)),0)+IFERROR(INDEX(Income!C$3:C$502,SMALL(IF((Income!D$3:D$502="GBP")*(Income!A$3:A$502=DATE(2026,2,19)),ROW(Income!A$3:A$502)-2),2)),0))</f>
        <v/>
      </c>
      <c r="J40" s="38" t="str">
        <f aca="false">IF(IFERROR(INDEX(Expenses!B$3:B$1002,SMALL(IF((Expenses!E$3:E$1002="GBP")*(Expenses!A$3:A$1002=DATE(2026,2,19)),ROW(Expenses!A$3:A$1002)-2),2)),"")&lt;&gt;"",IFERROR(INDEX(Expenses!B$3:B$1002,SMALL(IF((Expenses!E$3:E$1002="GBP")*(Expenses!A$3:A$1002=DATE(2026,2,19)),ROW(Expenses!A$3:A$1002)-2),2)),""),IF(IFERROR(INDEX(Income!B$3:B$502,SMALL(IF((Income!D$3:D$502="GBP")*(Income!A$3:A$502=DATE(2026,2,19)),ROW(Income!A$3:A$502)-2),2)),"")&lt;&gt;"",IFERROR(INDEX(Income!B$3:B$502,SMALL(IF((Income!D$3:D$502="GBP")*(Income!A$3:A$502=DATE(2026,2,19)),ROW(Income!A$3:A$502)-2),2)),""),""))</f>
        <v/>
      </c>
      <c r="K40" s="62" t="str">
        <f aca="false">IF(IFERROR(-INDEX(Expenses!D$3:D$1002,SMALL(IF((Expenses!E$3:E$1002="GBP")*(Expenses!A$3:A$1002=DATE(2026,2,20)),ROW(Expenses!A$3:A$1002)-2),2)),0)+IFERROR(INDEX(Income!C$3:C$502,SMALL(IF((Income!D$3:D$502="GBP")*(Income!A$3:A$502=DATE(2026,2,20)),ROW(Income!A$3:A$502)-2),2)),0)=0,"",IFERROR(-INDEX(Expenses!D$3:D$1002,SMALL(IF((Expenses!E$3:E$1002="GBP")*(Expenses!A$3:A$1002=DATE(2026,2,20)),ROW(Expenses!A$3:A$1002)-2),2)),0)+IFERROR(INDEX(Income!C$3:C$502,SMALL(IF((Income!D$3:D$502="GBP")*(Income!A$3:A$502=DATE(2026,2,20)),ROW(Income!A$3:A$502)-2),2)),0))</f>
        <v/>
      </c>
      <c r="L40" s="38" t="str">
        <f aca="false">IF(IFERROR(INDEX(Expenses!B$3:B$1002,SMALL(IF((Expenses!E$3:E$1002="GBP")*(Expenses!A$3:A$1002=DATE(2026,2,20)),ROW(Expenses!A$3:A$1002)-2),2)),"")&lt;&gt;"",IFERROR(INDEX(Expenses!B$3:B$1002,SMALL(IF((Expenses!E$3:E$1002="GBP")*(Expenses!A$3:A$1002=DATE(2026,2,20)),ROW(Expenses!A$3:A$1002)-2),2)),""),IF(IFERROR(INDEX(Income!B$3:B$502,SMALL(IF((Income!D$3:D$502="GBP")*(Income!A$3:A$502=DATE(2026,2,20)),ROW(Income!A$3:A$502)-2),2)),"")&lt;&gt;"",IFERROR(INDEX(Income!B$3:B$502,SMALL(IF((Income!D$3:D$502="GBP")*(Income!A$3:A$502=DATE(2026,2,20)),ROW(Income!A$3:A$502)-2),2)),""),""))</f>
        <v/>
      </c>
      <c r="M40" s="62" t="str">
        <f aca="false">IF(IFERROR(-INDEX(Expenses!D$3:D$1002,SMALL(IF((Expenses!E$3:E$1002="GBP")*(Expenses!A$3:A$1002=DATE(2026,2,21)),ROW(Expenses!A$3:A$1002)-2),2)),0)+IFERROR(INDEX(Income!C$3:C$502,SMALL(IF((Income!D$3:D$502="GBP")*(Income!A$3:A$502=DATE(2026,2,21)),ROW(Income!A$3:A$502)-2),2)),0)=0,"",IFERROR(-INDEX(Expenses!D$3:D$1002,SMALL(IF((Expenses!E$3:E$1002="GBP")*(Expenses!A$3:A$1002=DATE(2026,2,21)),ROW(Expenses!A$3:A$1002)-2),2)),0)+IFERROR(INDEX(Income!C$3:C$502,SMALL(IF((Income!D$3:D$502="GBP")*(Income!A$3:A$502=DATE(2026,2,21)),ROW(Income!A$3:A$502)-2),2)),0))</f>
        <v/>
      </c>
      <c r="N40" s="38" t="str">
        <f aca="false">IF(IFERROR(INDEX(Expenses!B$3:B$1002,SMALL(IF((Expenses!E$3:E$1002="GBP")*(Expenses!A$3:A$1002=DATE(2026,2,21)),ROW(Expenses!A$3:A$1002)-2),2)),"")&lt;&gt;"",IFERROR(INDEX(Expenses!B$3:B$1002,SMALL(IF((Expenses!E$3:E$1002="GBP")*(Expenses!A$3:A$1002=DATE(2026,2,21)),ROW(Expenses!A$3:A$1002)-2),2)),""),IF(IFERROR(INDEX(Income!B$3:B$502,SMALL(IF((Income!D$3:D$502="GBP")*(Income!A$3:A$502=DATE(2026,2,21)),ROW(Income!A$3:A$502)-2),2)),"")&lt;&gt;"",IFERROR(INDEX(Income!B$3:B$502,SMALL(IF((Income!D$3:D$502="GBP")*(Income!A$3:A$502=DATE(2026,2,21)),ROW(Income!A$3:A$502)-2),2)),""),""))</f>
        <v/>
      </c>
      <c r="O40" s="62" t="str">
        <f aca="false">IF(IFERROR(-INDEX(Expenses!D$3:D$1002,SMALL(IF((Expenses!E$3:E$1002="GBP")*(Expenses!A$3:A$1002=DATE(2026,2,22)),ROW(Expenses!A$3:A$1002)-2),2)),0)+IFERROR(INDEX(Income!C$3:C$502,SMALL(IF((Income!D$3:D$502="GBP")*(Income!A$3:A$502=DATE(2026,2,22)),ROW(Income!A$3:A$502)-2),2)),0)=0,"",IFERROR(-INDEX(Expenses!D$3:D$1002,SMALL(IF((Expenses!E$3:E$1002="GBP")*(Expenses!A$3:A$1002=DATE(2026,2,22)),ROW(Expenses!A$3:A$1002)-2),2)),0)+IFERROR(INDEX(Income!C$3:C$502,SMALL(IF((Income!D$3:D$502="GBP")*(Income!A$3:A$502=DATE(2026,2,22)),ROW(Income!A$3:A$502)-2),2)),0))</f>
        <v/>
      </c>
      <c r="P40" s="38" t="str">
        <f aca="false">IF(IFERROR(INDEX(Expenses!B$3:B$1002,SMALL(IF((Expenses!E$3:E$1002="GBP")*(Expenses!A$3:A$1002=DATE(2026,2,22)),ROW(Expenses!A$3:A$1002)-2),2)),"")&lt;&gt;"",IFERROR(INDEX(Expenses!B$3:B$1002,SMALL(IF((Expenses!E$3:E$1002="GBP")*(Expenses!A$3:A$1002=DATE(2026,2,22)),ROW(Expenses!A$3:A$1002)-2),2)),""),IF(IFERROR(INDEX(Income!B$3:B$502,SMALL(IF((Income!D$3:D$502="GBP")*(Income!A$3:A$502=DATE(2026,2,22)),ROW(Income!A$3:A$502)-2),2)),"")&lt;&gt;"",IFERROR(INDEX(Income!B$3:B$502,SMALL(IF((Income!D$3:D$502="GBP")*(Income!A$3:A$502=DATE(2026,2,22)),ROW(Income!A$3:A$502)-2),2)),""),""))</f>
        <v/>
      </c>
      <c r="Q40" s="16"/>
      <c r="R40" s="16"/>
    </row>
    <row r="41" customFormat="false" ht="15" hidden="false" customHeight="false" outlineLevel="0" collapsed="false">
      <c r="A41" s="16"/>
      <c r="B41" s="16"/>
      <c r="C41" s="62" t="str">
        <f aca="false">IF(IFERROR(-INDEX(Expenses!D$3:D$1002,SMALL(IF((Expenses!E$3:E$1002="GBP")*(Expenses!A$3:A$1002=DATE(2026,2,16)),ROW(Expenses!A$3:A$1002)-2),3)),0)+IFERROR(INDEX(Income!C$3:C$502,SMALL(IF((Income!D$3:D$502="GBP")*(Income!A$3:A$502=DATE(2026,2,16)),ROW(Income!A$3:A$502)-2),3)),0)=0,"",IFERROR(-INDEX(Expenses!D$3:D$1002,SMALL(IF((Expenses!E$3:E$1002="GBP")*(Expenses!A$3:A$1002=DATE(2026,2,16)),ROW(Expenses!A$3:A$1002)-2),3)),0)+IFERROR(INDEX(Income!C$3:C$502,SMALL(IF((Income!D$3:D$502="GBP")*(Income!A$3:A$502=DATE(2026,2,16)),ROW(Income!A$3:A$502)-2),3)),0))</f>
        <v/>
      </c>
      <c r="D41" s="38" t="str">
        <f aca="false">IF(IFERROR(INDEX(Expenses!B$3:B$1002,SMALL(IF((Expenses!E$3:E$1002="GBP")*(Expenses!A$3:A$1002=DATE(2026,2,16)),ROW(Expenses!A$3:A$1002)-2),3)),"")&lt;&gt;"",IFERROR(INDEX(Expenses!B$3:B$1002,SMALL(IF((Expenses!E$3:E$1002="GBP")*(Expenses!A$3:A$1002=DATE(2026,2,16)),ROW(Expenses!A$3:A$1002)-2),3)),""),IF(IFERROR(INDEX(Income!B$3:B$502,SMALL(IF((Income!D$3:D$502="GBP")*(Income!A$3:A$502=DATE(2026,2,16)),ROW(Income!A$3:A$502)-2),3)),"")&lt;&gt;"",IFERROR(INDEX(Income!B$3:B$502,SMALL(IF((Income!D$3:D$502="GBP")*(Income!A$3:A$502=DATE(2026,2,16)),ROW(Income!A$3:A$502)-2),3)),""),""))</f>
        <v/>
      </c>
      <c r="E41" s="62" t="str">
        <f aca="false">IF(IFERROR(-INDEX(Expenses!D$3:D$1002,SMALL(IF((Expenses!E$3:E$1002="GBP")*(Expenses!A$3:A$1002=DATE(2026,2,17)),ROW(Expenses!A$3:A$1002)-2),3)),0)+IFERROR(INDEX(Income!C$3:C$502,SMALL(IF((Income!D$3:D$502="GBP")*(Income!A$3:A$502=DATE(2026,2,17)),ROW(Income!A$3:A$502)-2),3)),0)=0,"",IFERROR(-INDEX(Expenses!D$3:D$1002,SMALL(IF((Expenses!E$3:E$1002="GBP")*(Expenses!A$3:A$1002=DATE(2026,2,17)),ROW(Expenses!A$3:A$1002)-2),3)),0)+IFERROR(INDEX(Income!C$3:C$502,SMALL(IF((Income!D$3:D$502="GBP")*(Income!A$3:A$502=DATE(2026,2,17)),ROW(Income!A$3:A$502)-2),3)),0))</f>
        <v/>
      </c>
      <c r="F41" s="38" t="str">
        <f aca="false">IF(IFERROR(INDEX(Expenses!B$3:B$1002,SMALL(IF((Expenses!E$3:E$1002="GBP")*(Expenses!A$3:A$1002=DATE(2026,2,17)),ROW(Expenses!A$3:A$1002)-2),3)),"")&lt;&gt;"",IFERROR(INDEX(Expenses!B$3:B$1002,SMALL(IF((Expenses!E$3:E$1002="GBP")*(Expenses!A$3:A$1002=DATE(2026,2,17)),ROW(Expenses!A$3:A$1002)-2),3)),""),IF(IFERROR(INDEX(Income!B$3:B$502,SMALL(IF((Income!D$3:D$502="GBP")*(Income!A$3:A$502=DATE(2026,2,17)),ROW(Income!A$3:A$502)-2),3)),"")&lt;&gt;"",IFERROR(INDEX(Income!B$3:B$502,SMALL(IF((Income!D$3:D$502="GBP")*(Income!A$3:A$502=DATE(2026,2,17)),ROW(Income!A$3:A$502)-2),3)),""),""))</f>
        <v/>
      </c>
      <c r="G41" s="62" t="str">
        <f aca="false">IF(IFERROR(-INDEX(Expenses!D$3:D$1002,SMALL(IF((Expenses!E$3:E$1002="GBP")*(Expenses!A$3:A$1002=DATE(2026,2,18)),ROW(Expenses!A$3:A$1002)-2),3)),0)+IFERROR(INDEX(Income!C$3:C$502,SMALL(IF((Income!D$3:D$502="GBP")*(Income!A$3:A$502=DATE(2026,2,18)),ROW(Income!A$3:A$502)-2),3)),0)=0,"",IFERROR(-INDEX(Expenses!D$3:D$1002,SMALL(IF((Expenses!E$3:E$1002="GBP")*(Expenses!A$3:A$1002=DATE(2026,2,18)),ROW(Expenses!A$3:A$1002)-2),3)),0)+IFERROR(INDEX(Income!C$3:C$502,SMALL(IF((Income!D$3:D$502="GBP")*(Income!A$3:A$502=DATE(2026,2,18)),ROW(Income!A$3:A$502)-2),3)),0))</f>
        <v/>
      </c>
      <c r="H41" s="38" t="str">
        <f aca="false">IF(IFERROR(INDEX(Expenses!B$3:B$1002,SMALL(IF((Expenses!E$3:E$1002="GBP")*(Expenses!A$3:A$1002=DATE(2026,2,18)),ROW(Expenses!A$3:A$1002)-2),3)),"")&lt;&gt;"",IFERROR(INDEX(Expenses!B$3:B$1002,SMALL(IF((Expenses!E$3:E$1002="GBP")*(Expenses!A$3:A$1002=DATE(2026,2,18)),ROW(Expenses!A$3:A$1002)-2),3)),""),IF(IFERROR(INDEX(Income!B$3:B$502,SMALL(IF((Income!D$3:D$502="GBP")*(Income!A$3:A$502=DATE(2026,2,18)),ROW(Income!A$3:A$502)-2),3)),"")&lt;&gt;"",IFERROR(INDEX(Income!B$3:B$502,SMALL(IF((Income!D$3:D$502="GBP")*(Income!A$3:A$502=DATE(2026,2,18)),ROW(Income!A$3:A$502)-2),3)),""),""))</f>
        <v/>
      </c>
      <c r="I41" s="62" t="str">
        <f aca="false">IF(IFERROR(-INDEX(Expenses!D$3:D$1002,SMALL(IF((Expenses!E$3:E$1002="GBP")*(Expenses!A$3:A$1002=DATE(2026,2,19)),ROW(Expenses!A$3:A$1002)-2),3)),0)+IFERROR(INDEX(Income!C$3:C$502,SMALL(IF((Income!D$3:D$502="GBP")*(Income!A$3:A$502=DATE(2026,2,19)),ROW(Income!A$3:A$502)-2),3)),0)=0,"",IFERROR(-INDEX(Expenses!D$3:D$1002,SMALL(IF((Expenses!E$3:E$1002="GBP")*(Expenses!A$3:A$1002=DATE(2026,2,19)),ROW(Expenses!A$3:A$1002)-2),3)),0)+IFERROR(INDEX(Income!C$3:C$502,SMALL(IF((Income!D$3:D$502="GBP")*(Income!A$3:A$502=DATE(2026,2,19)),ROW(Income!A$3:A$502)-2),3)),0))</f>
        <v/>
      </c>
      <c r="J41" s="38" t="str">
        <f aca="false">IF(IFERROR(INDEX(Expenses!B$3:B$1002,SMALL(IF((Expenses!E$3:E$1002="GBP")*(Expenses!A$3:A$1002=DATE(2026,2,19)),ROW(Expenses!A$3:A$1002)-2),3)),"")&lt;&gt;"",IFERROR(INDEX(Expenses!B$3:B$1002,SMALL(IF((Expenses!E$3:E$1002="GBP")*(Expenses!A$3:A$1002=DATE(2026,2,19)),ROW(Expenses!A$3:A$1002)-2),3)),""),IF(IFERROR(INDEX(Income!B$3:B$502,SMALL(IF((Income!D$3:D$502="GBP")*(Income!A$3:A$502=DATE(2026,2,19)),ROW(Income!A$3:A$502)-2),3)),"")&lt;&gt;"",IFERROR(INDEX(Income!B$3:B$502,SMALL(IF((Income!D$3:D$502="GBP")*(Income!A$3:A$502=DATE(2026,2,19)),ROW(Income!A$3:A$502)-2),3)),""),""))</f>
        <v/>
      </c>
      <c r="K41" s="62" t="str">
        <f aca="false">IF(IFERROR(-INDEX(Expenses!D$3:D$1002,SMALL(IF((Expenses!E$3:E$1002="GBP")*(Expenses!A$3:A$1002=DATE(2026,2,20)),ROW(Expenses!A$3:A$1002)-2),3)),0)+IFERROR(INDEX(Income!C$3:C$502,SMALL(IF((Income!D$3:D$502="GBP")*(Income!A$3:A$502=DATE(2026,2,20)),ROW(Income!A$3:A$502)-2),3)),0)=0,"",IFERROR(-INDEX(Expenses!D$3:D$1002,SMALL(IF((Expenses!E$3:E$1002="GBP")*(Expenses!A$3:A$1002=DATE(2026,2,20)),ROW(Expenses!A$3:A$1002)-2),3)),0)+IFERROR(INDEX(Income!C$3:C$502,SMALL(IF((Income!D$3:D$502="GBP")*(Income!A$3:A$502=DATE(2026,2,20)),ROW(Income!A$3:A$502)-2),3)),0))</f>
        <v/>
      </c>
      <c r="L41" s="38" t="str">
        <f aca="false">IF(IFERROR(INDEX(Expenses!B$3:B$1002,SMALL(IF((Expenses!E$3:E$1002="GBP")*(Expenses!A$3:A$1002=DATE(2026,2,20)),ROW(Expenses!A$3:A$1002)-2),3)),"")&lt;&gt;"",IFERROR(INDEX(Expenses!B$3:B$1002,SMALL(IF((Expenses!E$3:E$1002="GBP")*(Expenses!A$3:A$1002=DATE(2026,2,20)),ROW(Expenses!A$3:A$1002)-2),3)),""),IF(IFERROR(INDEX(Income!B$3:B$502,SMALL(IF((Income!D$3:D$502="GBP")*(Income!A$3:A$502=DATE(2026,2,20)),ROW(Income!A$3:A$502)-2),3)),"")&lt;&gt;"",IFERROR(INDEX(Income!B$3:B$502,SMALL(IF((Income!D$3:D$502="GBP")*(Income!A$3:A$502=DATE(2026,2,20)),ROW(Income!A$3:A$502)-2),3)),""),""))</f>
        <v/>
      </c>
      <c r="M41" s="62" t="str">
        <f aca="false">IF(IFERROR(-INDEX(Expenses!D$3:D$1002,SMALL(IF((Expenses!E$3:E$1002="GBP")*(Expenses!A$3:A$1002=DATE(2026,2,21)),ROW(Expenses!A$3:A$1002)-2),3)),0)+IFERROR(INDEX(Income!C$3:C$502,SMALL(IF((Income!D$3:D$502="GBP")*(Income!A$3:A$502=DATE(2026,2,21)),ROW(Income!A$3:A$502)-2),3)),0)=0,"",IFERROR(-INDEX(Expenses!D$3:D$1002,SMALL(IF((Expenses!E$3:E$1002="GBP")*(Expenses!A$3:A$1002=DATE(2026,2,21)),ROW(Expenses!A$3:A$1002)-2),3)),0)+IFERROR(INDEX(Income!C$3:C$502,SMALL(IF((Income!D$3:D$502="GBP")*(Income!A$3:A$502=DATE(2026,2,21)),ROW(Income!A$3:A$502)-2),3)),0))</f>
        <v/>
      </c>
      <c r="N41" s="38" t="str">
        <f aca="false">IF(IFERROR(INDEX(Expenses!B$3:B$1002,SMALL(IF((Expenses!E$3:E$1002="GBP")*(Expenses!A$3:A$1002=DATE(2026,2,21)),ROW(Expenses!A$3:A$1002)-2),3)),"")&lt;&gt;"",IFERROR(INDEX(Expenses!B$3:B$1002,SMALL(IF((Expenses!E$3:E$1002="GBP")*(Expenses!A$3:A$1002=DATE(2026,2,21)),ROW(Expenses!A$3:A$1002)-2),3)),""),IF(IFERROR(INDEX(Income!B$3:B$502,SMALL(IF((Income!D$3:D$502="GBP")*(Income!A$3:A$502=DATE(2026,2,21)),ROW(Income!A$3:A$502)-2),3)),"")&lt;&gt;"",IFERROR(INDEX(Income!B$3:B$502,SMALL(IF((Income!D$3:D$502="GBP")*(Income!A$3:A$502=DATE(2026,2,21)),ROW(Income!A$3:A$502)-2),3)),""),""))</f>
        <v/>
      </c>
      <c r="O41" s="62" t="str">
        <f aca="false">IF(IFERROR(-INDEX(Expenses!D$3:D$1002,SMALL(IF((Expenses!E$3:E$1002="GBP")*(Expenses!A$3:A$1002=DATE(2026,2,22)),ROW(Expenses!A$3:A$1002)-2),3)),0)+IFERROR(INDEX(Income!C$3:C$502,SMALL(IF((Income!D$3:D$502="GBP")*(Income!A$3:A$502=DATE(2026,2,22)),ROW(Income!A$3:A$502)-2),3)),0)=0,"",IFERROR(-INDEX(Expenses!D$3:D$1002,SMALL(IF((Expenses!E$3:E$1002="GBP")*(Expenses!A$3:A$1002=DATE(2026,2,22)),ROW(Expenses!A$3:A$1002)-2),3)),0)+IFERROR(INDEX(Income!C$3:C$502,SMALL(IF((Income!D$3:D$502="GBP")*(Income!A$3:A$502=DATE(2026,2,22)),ROW(Income!A$3:A$502)-2),3)),0))</f>
        <v/>
      </c>
      <c r="P41" s="38" t="str">
        <f aca="false">IF(IFERROR(INDEX(Expenses!B$3:B$1002,SMALL(IF((Expenses!E$3:E$1002="GBP")*(Expenses!A$3:A$1002=DATE(2026,2,22)),ROW(Expenses!A$3:A$1002)-2),3)),"")&lt;&gt;"",IFERROR(INDEX(Expenses!B$3:B$1002,SMALL(IF((Expenses!E$3:E$1002="GBP")*(Expenses!A$3:A$1002=DATE(2026,2,22)),ROW(Expenses!A$3:A$1002)-2),3)),""),IF(IFERROR(INDEX(Income!B$3:B$502,SMALL(IF((Income!D$3:D$502="GBP")*(Income!A$3:A$502=DATE(2026,2,22)),ROW(Income!A$3:A$502)-2),3)),"")&lt;&gt;"",IFERROR(INDEX(Income!B$3:B$502,SMALL(IF((Income!D$3:D$502="GBP")*(Income!A$3:A$502=DATE(2026,2,22)),ROW(Income!A$3:A$502)-2),3)),""),""))</f>
        <v/>
      </c>
      <c r="Q41" s="16"/>
      <c r="R41" s="16"/>
    </row>
    <row r="42" customFormat="false" ht="15" hidden="false" customHeight="false" outlineLevel="0" collapsed="false">
      <c r="A42" s="16"/>
      <c r="B42" s="16"/>
      <c r="C42" s="62" t="str">
        <f aca="false">IF(IFERROR(-INDEX(Expenses!D$3:D$1002,SMALL(IF((Expenses!E$3:E$1002="GBP")*(Expenses!A$3:A$1002=DATE(2026,2,16)),ROW(Expenses!A$3:A$1002)-2),4)),0)+IFERROR(INDEX(Income!C$3:C$502,SMALL(IF((Income!D$3:D$502="GBP")*(Income!A$3:A$502=DATE(2026,2,16)),ROW(Income!A$3:A$502)-2),4)),0)=0,"",IFERROR(-INDEX(Expenses!D$3:D$1002,SMALL(IF((Expenses!E$3:E$1002="GBP")*(Expenses!A$3:A$1002=DATE(2026,2,16)),ROW(Expenses!A$3:A$1002)-2),4)),0)+IFERROR(INDEX(Income!C$3:C$502,SMALL(IF((Income!D$3:D$502="GBP")*(Income!A$3:A$502=DATE(2026,2,16)),ROW(Income!A$3:A$502)-2),4)),0))</f>
        <v/>
      </c>
      <c r="D42" s="38" t="str">
        <f aca="false">IF(IFERROR(INDEX(Expenses!B$3:B$1002,SMALL(IF((Expenses!E$3:E$1002="GBP")*(Expenses!A$3:A$1002=DATE(2026,2,16)),ROW(Expenses!A$3:A$1002)-2),4)),"")&lt;&gt;"",IFERROR(INDEX(Expenses!B$3:B$1002,SMALL(IF((Expenses!E$3:E$1002="GBP")*(Expenses!A$3:A$1002=DATE(2026,2,16)),ROW(Expenses!A$3:A$1002)-2),4)),""),IF(IFERROR(INDEX(Income!B$3:B$502,SMALL(IF((Income!D$3:D$502="GBP")*(Income!A$3:A$502=DATE(2026,2,16)),ROW(Income!A$3:A$502)-2),4)),"")&lt;&gt;"",IFERROR(INDEX(Income!B$3:B$502,SMALL(IF((Income!D$3:D$502="GBP")*(Income!A$3:A$502=DATE(2026,2,16)),ROW(Income!A$3:A$502)-2),4)),""),""))</f>
        <v/>
      </c>
      <c r="E42" s="62" t="str">
        <f aca="false">IF(IFERROR(-INDEX(Expenses!D$3:D$1002,SMALL(IF((Expenses!E$3:E$1002="GBP")*(Expenses!A$3:A$1002=DATE(2026,2,17)),ROW(Expenses!A$3:A$1002)-2),4)),0)+IFERROR(INDEX(Income!C$3:C$502,SMALL(IF((Income!D$3:D$502="GBP")*(Income!A$3:A$502=DATE(2026,2,17)),ROW(Income!A$3:A$502)-2),4)),0)=0,"",IFERROR(-INDEX(Expenses!D$3:D$1002,SMALL(IF((Expenses!E$3:E$1002="GBP")*(Expenses!A$3:A$1002=DATE(2026,2,17)),ROW(Expenses!A$3:A$1002)-2),4)),0)+IFERROR(INDEX(Income!C$3:C$502,SMALL(IF((Income!D$3:D$502="GBP")*(Income!A$3:A$502=DATE(2026,2,17)),ROW(Income!A$3:A$502)-2),4)),0))</f>
        <v/>
      </c>
      <c r="F42" s="38" t="str">
        <f aca="false">IF(IFERROR(INDEX(Expenses!B$3:B$1002,SMALL(IF((Expenses!E$3:E$1002="GBP")*(Expenses!A$3:A$1002=DATE(2026,2,17)),ROW(Expenses!A$3:A$1002)-2),4)),"")&lt;&gt;"",IFERROR(INDEX(Expenses!B$3:B$1002,SMALL(IF((Expenses!E$3:E$1002="GBP")*(Expenses!A$3:A$1002=DATE(2026,2,17)),ROW(Expenses!A$3:A$1002)-2),4)),""),IF(IFERROR(INDEX(Income!B$3:B$502,SMALL(IF((Income!D$3:D$502="GBP")*(Income!A$3:A$502=DATE(2026,2,17)),ROW(Income!A$3:A$502)-2),4)),"")&lt;&gt;"",IFERROR(INDEX(Income!B$3:B$502,SMALL(IF((Income!D$3:D$502="GBP")*(Income!A$3:A$502=DATE(2026,2,17)),ROW(Income!A$3:A$502)-2),4)),""),""))</f>
        <v/>
      </c>
      <c r="G42" s="62" t="str">
        <f aca="false">IF(IFERROR(-INDEX(Expenses!D$3:D$1002,SMALL(IF((Expenses!E$3:E$1002="GBP")*(Expenses!A$3:A$1002=DATE(2026,2,18)),ROW(Expenses!A$3:A$1002)-2),4)),0)+IFERROR(INDEX(Income!C$3:C$502,SMALL(IF((Income!D$3:D$502="GBP")*(Income!A$3:A$502=DATE(2026,2,18)),ROW(Income!A$3:A$502)-2),4)),0)=0,"",IFERROR(-INDEX(Expenses!D$3:D$1002,SMALL(IF((Expenses!E$3:E$1002="GBP")*(Expenses!A$3:A$1002=DATE(2026,2,18)),ROW(Expenses!A$3:A$1002)-2),4)),0)+IFERROR(INDEX(Income!C$3:C$502,SMALL(IF((Income!D$3:D$502="GBP")*(Income!A$3:A$502=DATE(2026,2,18)),ROW(Income!A$3:A$502)-2),4)),0))</f>
        <v/>
      </c>
      <c r="H42" s="38" t="str">
        <f aca="false">IF(IFERROR(INDEX(Expenses!B$3:B$1002,SMALL(IF((Expenses!E$3:E$1002="GBP")*(Expenses!A$3:A$1002=DATE(2026,2,18)),ROW(Expenses!A$3:A$1002)-2),4)),"")&lt;&gt;"",IFERROR(INDEX(Expenses!B$3:B$1002,SMALL(IF((Expenses!E$3:E$1002="GBP")*(Expenses!A$3:A$1002=DATE(2026,2,18)),ROW(Expenses!A$3:A$1002)-2),4)),""),IF(IFERROR(INDEX(Income!B$3:B$502,SMALL(IF((Income!D$3:D$502="GBP")*(Income!A$3:A$502=DATE(2026,2,18)),ROW(Income!A$3:A$502)-2),4)),"")&lt;&gt;"",IFERROR(INDEX(Income!B$3:B$502,SMALL(IF((Income!D$3:D$502="GBP")*(Income!A$3:A$502=DATE(2026,2,18)),ROW(Income!A$3:A$502)-2),4)),""),""))</f>
        <v/>
      </c>
      <c r="I42" s="62" t="str">
        <f aca="false">IF(IFERROR(-INDEX(Expenses!D$3:D$1002,SMALL(IF((Expenses!E$3:E$1002="GBP")*(Expenses!A$3:A$1002=DATE(2026,2,19)),ROW(Expenses!A$3:A$1002)-2),4)),0)+IFERROR(INDEX(Income!C$3:C$502,SMALL(IF((Income!D$3:D$502="GBP")*(Income!A$3:A$502=DATE(2026,2,19)),ROW(Income!A$3:A$502)-2),4)),0)=0,"",IFERROR(-INDEX(Expenses!D$3:D$1002,SMALL(IF((Expenses!E$3:E$1002="GBP")*(Expenses!A$3:A$1002=DATE(2026,2,19)),ROW(Expenses!A$3:A$1002)-2),4)),0)+IFERROR(INDEX(Income!C$3:C$502,SMALL(IF((Income!D$3:D$502="GBP")*(Income!A$3:A$502=DATE(2026,2,19)),ROW(Income!A$3:A$502)-2),4)),0))</f>
        <v/>
      </c>
      <c r="J42" s="38" t="str">
        <f aca="false">IF(IFERROR(INDEX(Expenses!B$3:B$1002,SMALL(IF((Expenses!E$3:E$1002="GBP")*(Expenses!A$3:A$1002=DATE(2026,2,19)),ROW(Expenses!A$3:A$1002)-2),4)),"")&lt;&gt;"",IFERROR(INDEX(Expenses!B$3:B$1002,SMALL(IF((Expenses!E$3:E$1002="GBP")*(Expenses!A$3:A$1002=DATE(2026,2,19)),ROW(Expenses!A$3:A$1002)-2),4)),""),IF(IFERROR(INDEX(Income!B$3:B$502,SMALL(IF((Income!D$3:D$502="GBP")*(Income!A$3:A$502=DATE(2026,2,19)),ROW(Income!A$3:A$502)-2),4)),"")&lt;&gt;"",IFERROR(INDEX(Income!B$3:B$502,SMALL(IF((Income!D$3:D$502="GBP")*(Income!A$3:A$502=DATE(2026,2,19)),ROW(Income!A$3:A$502)-2),4)),""),""))</f>
        <v/>
      </c>
      <c r="K42" s="62" t="str">
        <f aca="false">IF(IFERROR(-INDEX(Expenses!D$3:D$1002,SMALL(IF((Expenses!E$3:E$1002="GBP")*(Expenses!A$3:A$1002=DATE(2026,2,20)),ROW(Expenses!A$3:A$1002)-2),4)),0)+IFERROR(INDEX(Income!C$3:C$502,SMALL(IF((Income!D$3:D$502="GBP")*(Income!A$3:A$502=DATE(2026,2,20)),ROW(Income!A$3:A$502)-2),4)),0)=0,"",IFERROR(-INDEX(Expenses!D$3:D$1002,SMALL(IF((Expenses!E$3:E$1002="GBP")*(Expenses!A$3:A$1002=DATE(2026,2,20)),ROW(Expenses!A$3:A$1002)-2),4)),0)+IFERROR(INDEX(Income!C$3:C$502,SMALL(IF((Income!D$3:D$502="GBP")*(Income!A$3:A$502=DATE(2026,2,20)),ROW(Income!A$3:A$502)-2),4)),0))</f>
        <v/>
      </c>
      <c r="L42" s="38" t="str">
        <f aca="false">IF(IFERROR(INDEX(Expenses!B$3:B$1002,SMALL(IF((Expenses!E$3:E$1002="GBP")*(Expenses!A$3:A$1002=DATE(2026,2,20)),ROW(Expenses!A$3:A$1002)-2),4)),"")&lt;&gt;"",IFERROR(INDEX(Expenses!B$3:B$1002,SMALL(IF((Expenses!E$3:E$1002="GBP")*(Expenses!A$3:A$1002=DATE(2026,2,20)),ROW(Expenses!A$3:A$1002)-2),4)),""),IF(IFERROR(INDEX(Income!B$3:B$502,SMALL(IF((Income!D$3:D$502="GBP")*(Income!A$3:A$502=DATE(2026,2,20)),ROW(Income!A$3:A$502)-2),4)),"")&lt;&gt;"",IFERROR(INDEX(Income!B$3:B$502,SMALL(IF((Income!D$3:D$502="GBP")*(Income!A$3:A$502=DATE(2026,2,20)),ROW(Income!A$3:A$502)-2),4)),""),""))</f>
        <v/>
      </c>
      <c r="M42" s="62" t="str">
        <f aca="false">IF(IFERROR(-INDEX(Expenses!D$3:D$1002,SMALL(IF((Expenses!E$3:E$1002="GBP")*(Expenses!A$3:A$1002=DATE(2026,2,21)),ROW(Expenses!A$3:A$1002)-2),4)),0)+IFERROR(INDEX(Income!C$3:C$502,SMALL(IF((Income!D$3:D$502="GBP")*(Income!A$3:A$502=DATE(2026,2,21)),ROW(Income!A$3:A$502)-2),4)),0)=0,"",IFERROR(-INDEX(Expenses!D$3:D$1002,SMALL(IF((Expenses!E$3:E$1002="GBP")*(Expenses!A$3:A$1002=DATE(2026,2,21)),ROW(Expenses!A$3:A$1002)-2),4)),0)+IFERROR(INDEX(Income!C$3:C$502,SMALL(IF((Income!D$3:D$502="GBP")*(Income!A$3:A$502=DATE(2026,2,21)),ROW(Income!A$3:A$502)-2),4)),0))</f>
        <v/>
      </c>
      <c r="N42" s="38" t="str">
        <f aca="false">IF(IFERROR(INDEX(Expenses!B$3:B$1002,SMALL(IF((Expenses!E$3:E$1002="GBP")*(Expenses!A$3:A$1002=DATE(2026,2,21)),ROW(Expenses!A$3:A$1002)-2),4)),"")&lt;&gt;"",IFERROR(INDEX(Expenses!B$3:B$1002,SMALL(IF((Expenses!E$3:E$1002="GBP")*(Expenses!A$3:A$1002=DATE(2026,2,21)),ROW(Expenses!A$3:A$1002)-2),4)),""),IF(IFERROR(INDEX(Income!B$3:B$502,SMALL(IF((Income!D$3:D$502="GBP")*(Income!A$3:A$502=DATE(2026,2,21)),ROW(Income!A$3:A$502)-2),4)),"")&lt;&gt;"",IFERROR(INDEX(Income!B$3:B$502,SMALL(IF((Income!D$3:D$502="GBP")*(Income!A$3:A$502=DATE(2026,2,21)),ROW(Income!A$3:A$502)-2),4)),""),""))</f>
        <v/>
      </c>
      <c r="O42" s="62" t="str">
        <f aca="false">IF(IFERROR(-INDEX(Expenses!D$3:D$1002,SMALL(IF((Expenses!E$3:E$1002="GBP")*(Expenses!A$3:A$1002=DATE(2026,2,22)),ROW(Expenses!A$3:A$1002)-2),4)),0)+IFERROR(INDEX(Income!C$3:C$502,SMALL(IF((Income!D$3:D$502="GBP")*(Income!A$3:A$502=DATE(2026,2,22)),ROW(Income!A$3:A$502)-2),4)),0)=0,"",IFERROR(-INDEX(Expenses!D$3:D$1002,SMALL(IF((Expenses!E$3:E$1002="GBP")*(Expenses!A$3:A$1002=DATE(2026,2,22)),ROW(Expenses!A$3:A$1002)-2),4)),0)+IFERROR(INDEX(Income!C$3:C$502,SMALL(IF((Income!D$3:D$502="GBP")*(Income!A$3:A$502=DATE(2026,2,22)),ROW(Income!A$3:A$502)-2),4)),0))</f>
        <v/>
      </c>
      <c r="P42" s="38" t="str">
        <f aca="false">IF(IFERROR(INDEX(Expenses!B$3:B$1002,SMALL(IF((Expenses!E$3:E$1002="GBP")*(Expenses!A$3:A$1002=DATE(2026,2,22)),ROW(Expenses!A$3:A$1002)-2),4)),"")&lt;&gt;"",IFERROR(INDEX(Expenses!B$3:B$1002,SMALL(IF((Expenses!E$3:E$1002="GBP")*(Expenses!A$3:A$1002=DATE(2026,2,22)),ROW(Expenses!A$3:A$1002)-2),4)),""),IF(IFERROR(INDEX(Income!B$3:B$502,SMALL(IF((Income!D$3:D$502="GBP")*(Income!A$3:A$502=DATE(2026,2,22)),ROW(Income!A$3:A$502)-2),4)),"")&lt;&gt;"",IFERROR(INDEX(Income!B$3:B$502,SMALL(IF((Income!D$3:D$502="GBP")*(Income!A$3:A$502=DATE(2026,2,22)),ROW(Income!A$3:A$502)-2),4)),""),""))</f>
        <v/>
      </c>
      <c r="Q42" s="16"/>
      <c r="R42" s="16"/>
    </row>
    <row r="43" customFormat="false" ht="15" hidden="false" customHeight="false" outlineLevel="0" collapsed="false">
      <c r="A43" s="16"/>
      <c r="B43" s="16"/>
      <c r="C43" s="62" t="str">
        <f aca="false">IF(IFERROR(-INDEX(Expenses!D$3:D$1002,SMALL(IF((Expenses!E$3:E$1002="GBP")*(Expenses!A$3:A$1002=DATE(2026,2,16)),ROW(Expenses!A$3:A$1002)-2),5)),0)+IFERROR(INDEX(Income!C$3:C$502,SMALL(IF((Income!D$3:D$502="GBP")*(Income!A$3:A$502=DATE(2026,2,16)),ROW(Income!A$3:A$502)-2),5)),0)=0,"",IFERROR(-INDEX(Expenses!D$3:D$1002,SMALL(IF((Expenses!E$3:E$1002="GBP")*(Expenses!A$3:A$1002=DATE(2026,2,16)),ROW(Expenses!A$3:A$1002)-2),5)),0)+IFERROR(INDEX(Income!C$3:C$502,SMALL(IF((Income!D$3:D$502="GBP")*(Income!A$3:A$502=DATE(2026,2,16)),ROW(Income!A$3:A$502)-2),5)),0))</f>
        <v/>
      </c>
      <c r="D43" s="38" t="str">
        <f aca="false">IF(IFERROR(INDEX(Expenses!B$3:B$1002,SMALL(IF((Expenses!E$3:E$1002="GBP")*(Expenses!A$3:A$1002=DATE(2026,2,16)),ROW(Expenses!A$3:A$1002)-2),5)),"")&lt;&gt;"",IFERROR(INDEX(Expenses!B$3:B$1002,SMALL(IF((Expenses!E$3:E$1002="GBP")*(Expenses!A$3:A$1002=DATE(2026,2,16)),ROW(Expenses!A$3:A$1002)-2),5)),""),IF(IFERROR(INDEX(Income!B$3:B$502,SMALL(IF((Income!D$3:D$502="GBP")*(Income!A$3:A$502=DATE(2026,2,16)),ROW(Income!A$3:A$502)-2),5)),"")&lt;&gt;"",IFERROR(INDEX(Income!B$3:B$502,SMALL(IF((Income!D$3:D$502="GBP")*(Income!A$3:A$502=DATE(2026,2,16)),ROW(Income!A$3:A$502)-2),5)),""),""))</f>
        <v/>
      </c>
      <c r="E43" s="62" t="str">
        <f aca="false">IF(IFERROR(-INDEX(Expenses!D$3:D$1002,SMALL(IF((Expenses!E$3:E$1002="GBP")*(Expenses!A$3:A$1002=DATE(2026,2,17)),ROW(Expenses!A$3:A$1002)-2),5)),0)+IFERROR(INDEX(Income!C$3:C$502,SMALL(IF((Income!D$3:D$502="GBP")*(Income!A$3:A$502=DATE(2026,2,17)),ROW(Income!A$3:A$502)-2),5)),0)=0,"",IFERROR(-INDEX(Expenses!D$3:D$1002,SMALL(IF((Expenses!E$3:E$1002="GBP")*(Expenses!A$3:A$1002=DATE(2026,2,17)),ROW(Expenses!A$3:A$1002)-2),5)),0)+IFERROR(INDEX(Income!C$3:C$502,SMALL(IF((Income!D$3:D$502="GBP")*(Income!A$3:A$502=DATE(2026,2,17)),ROW(Income!A$3:A$502)-2),5)),0))</f>
        <v/>
      </c>
      <c r="F43" s="38" t="str">
        <f aca="false">IF(IFERROR(INDEX(Expenses!B$3:B$1002,SMALL(IF((Expenses!E$3:E$1002="GBP")*(Expenses!A$3:A$1002=DATE(2026,2,17)),ROW(Expenses!A$3:A$1002)-2),5)),"")&lt;&gt;"",IFERROR(INDEX(Expenses!B$3:B$1002,SMALL(IF((Expenses!E$3:E$1002="GBP")*(Expenses!A$3:A$1002=DATE(2026,2,17)),ROW(Expenses!A$3:A$1002)-2),5)),""),IF(IFERROR(INDEX(Income!B$3:B$502,SMALL(IF((Income!D$3:D$502="GBP")*(Income!A$3:A$502=DATE(2026,2,17)),ROW(Income!A$3:A$502)-2),5)),"")&lt;&gt;"",IFERROR(INDEX(Income!B$3:B$502,SMALL(IF((Income!D$3:D$502="GBP")*(Income!A$3:A$502=DATE(2026,2,17)),ROW(Income!A$3:A$502)-2),5)),""),""))</f>
        <v/>
      </c>
      <c r="G43" s="62" t="str">
        <f aca="false">IF(IFERROR(-INDEX(Expenses!D$3:D$1002,SMALL(IF((Expenses!E$3:E$1002="GBP")*(Expenses!A$3:A$1002=DATE(2026,2,18)),ROW(Expenses!A$3:A$1002)-2),5)),0)+IFERROR(INDEX(Income!C$3:C$502,SMALL(IF((Income!D$3:D$502="GBP")*(Income!A$3:A$502=DATE(2026,2,18)),ROW(Income!A$3:A$502)-2),5)),0)=0,"",IFERROR(-INDEX(Expenses!D$3:D$1002,SMALL(IF((Expenses!E$3:E$1002="GBP")*(Expenses!A$3:A$1002=DATE(2026,2,18)),ROW(Expenses!A$3:A$1002)-2),5)),0)+IFERROR(INDEX(Income!C$3:C$502,SMALL(IF((Income!D$3:D$502="GBP")*(Income!A$3:A$502=DATE(2026,2,18)),ROW(Income!A$3:A$502)-2),5)),0))</f>
        <v/>
      </c>
      <c r="H43" s="38" t="str">
        <f aca="false">IF(IFERROR(INDEX(Expenses!B$3:B$1002,SMALL(IF((Expenses!E$3:E$1002="GBP")*(Expenses!A$3:A$1002=DATE(2026,2,18)),ROW(Expenses!A$3:A$1002)-2),5)),"")&lt;&gt;"",IFERROR(INDEX(Expenses!B$3:B$1002,SMALL(IF((Expenses!E$3:E$1002="GBP")*(Expenses!A$3:A$1002=DATE(2026,2,18)),ROW(Expenses!A$3:A$1002)-2),5)),""),IF(IFERROR(INDEX(Income!B$3:B$502,SMALL(IF((Income!D$3:D$502="GBP")*(Income!A$3:A$502=DATE(2026,2,18)),ROW(Income!A$3:A$502)-2),5)),"")&lt;&gt;"",IFERROR(INDEX(Income!B$3:B$502,SMALL(IF((Income!D$3:D$502="GBP")*(Income!A$3:A$502=DATE(2026,2,18)),ROW(Income!A$3:A$502)-2),5)),""),""))</f>
        <v/>
      </c>
      <c r="I43" s="62" t="str">
        <f aca="false">IF(IFERROR(-INDEX(Expenses!D$3:D$1002,SMALL(IF((Expenses!E$3:E$1002="GBP")*(Expenses!A$3:A$1002=DATE(2026,2,19)),ROW(Expenses!A$3:A$1002)-2),5)),0)+IFERROR(INDEX(Income!C$3:C$502,SMALL(IF((Income!D$3:D$502="GBP")*(Income!A$3:A$502=DATE(2026,2,19)),ROW(Income!A$3:A$502)-2),5)),0)=0,"",IFERROR(-INDEX(Expenses!D$3:D$1002,SMALL(IF((Expenses!E$3:E$1002="GBP")*(Expenses!A$3:A$1002=DATE(2026,2,19)),ROW(Expenses!A$3:A$1002)-2),5)),0)+IFERROR(INDEX(Income!C$3:C$502,SMALL(IF((Income!D$3:D$502="GBP")*(Income!A$3:A$502=DATE(2026,2,19)),ROW(Income!A$3:A$502)-2),5)),0))</f>
        <v/>
      </c>
      <c r="J43" s="38" t="str">
        <f aca="false">IF(IFERROR(INDEX(Expenses!B$3:B$1002,SMALL(IF((Expenses!E$3:E$1002="GBP")*(Expenses!A$3:A$1002=DATE(2026,2,19)),ROW(Expenses!A$3:A$1002)-2),5)),"")&lt;&gt;"",IFERROR(INDEX(Expenses!B$3:B$1002,SMALL(IF((Expenses!E$3:E$1002="GBP")*(Expenses!A$3:A$1002=DATE(2026,2,19)),ROW(Expenses!A$3:A$1002)-2),5)),""),IF(IFERROR(INDEX(Income!B$3:B$502,SMALL(IF((Income!D$3:D$502="GBP")*(Income!A$3:A$502=DATE(2026,2,19)),ROW(Income!A$3:A$502)-2),5)),"")&lt;&gt;"",IFERROR(INDEX(Income!B$3:B$502,SMALL(IF((Income!D$3:D$502="GBP")*(Income!A$3:A$502=DATE(2026,2,19)),ROW(Income!A$3:A$502)-2),5)),""),""))</f>
        <v/>
      </c>
      <c r="K43" s="62" t="str">
        <f aca="false">IF(IFERROR(-INDEX(Expenses!D$3:D$1002,SMALL(IF((Expenses!E$3:E$1002="GBP")*(Expenses!A$3:A$1002=DATE(2026,2,20)),ROW(Expenses!A$3:A$1002)-2),5)),0)+IFERROR(INDEX(Income!C$3:C$502,SMALL(IF((Income!D$3:D$502="GBP")*(Income!A$3:A$502=DATE(2026,2,20)),ROW(Income!A$3:A$502)-2),5)),0)=0,"",IFERROR(-INDEX(Expenses!D$3:D$1002,SMALL(IF((Expenses!E$3:E$1002="GBP")*(Expenses!A$3:A$1002=DATE(2026,2,20)),ROW(Expenses!A$3:A$1002)-2),5)),0)+IFERROR(INDEX(Income!C$3:C$502,SMALL(IF((Income!D$3:D$502="GBP")*(Income!A$3:A$502=DATE(2026,2,20)),ROW(Income!A$3:A$502)-2),5)),0))</f>
        <v/>
      </c>
      <c r="L43" s="38" t="str">
        <f aca="false">IF(IFERROR(INDEX(Expenses!B$3:B$1002,SMALL(IF((Expenses!E$3:E$1002="GBP")*(Expenses!A$3:A$1002=DATE(2026,2,20)),ROW(Expenses!A$3:A$1002)-2),5)),"")&lt;&gt;"",IFERROR(INDEX(Expenses!B$3:B$1002,SMALL(IF((Expenses!E$3:E$1002="GBP")*(Expenses!A$3:A$1002=DATE(2026,2,20)),ROW(Expenses!A$3:A$1002)-2),5)),""),IF(IFERROR(INDEX(Income!B$3:B$502,SMALL(IF((Income!D$3:D$502="GBP")*(Income!A$3:A$502=DATE(2026,2,20)),ROW(Income!A$3:A$502)-2),5)),"")&lt;&gt;"",IFERROR(INDEX(Income!B$3:B$502,SMALL(IF((Income!D$3:D$502="GBP")*(Income!A$3:A$502=DATE(2026,2,20)),ROW(Income!A$3:A$502)-2),5)),""),""))</f>
        <v/>
      </c>
      <c r="M43" s="62" t="str">
        <f aca="false">IF(IFERROR(-INDEX(Expenses!D$3:D$1002,SMALL(IF((Expenses!E$3:E$1002="GBP")*(Expenses!A$3:A$1002=DATE(2026,2,21)),ROW(Expenses!A$3:A$1002)-2),5)),0)+IFERROR(INDEX(Income!C$3:C$502,SMALL(IF((Income!D$3:D$502="GBP")*(Income!A$3:A$502=DATE(2026,2,21)),ROW(Income!A$3:A$502)-2),5)),0)=0,"",IFERROR(-INDEX(Expenses!D$3:D$1002,SMALL(IF((Expenses!E$3:E$1002="GBP")*(Expenses!A$3:A$1002=DATE(2026,2,21)),ROW(Expenses!A$3:A$1002)-2),5)),0)+IFERROR(INDEX(Income!C$3:C$502,SMALL(IF((Income!D$3:D$502="GBP")*(Income!A$3:A$502=DATE(2026,2,21)),ROW(Income!A$3:A$502)-2),5)),0))</f>
        <v/>
      </c>
      <c r="N43" s="38" t="str">
        <f aca="false">IF(IFERROR(INDEX(Expenses!B$3:B$1002,SMALL(IF((Expenses!E$3:E$1002="GBP")*(Expenses!A$3:A$1002=DATE(2026,2,21)),ROW(Expenses!A$3:A$1002)-2),5)),"")&lt;&gt;"",IFERROR(INDEX(Expenses!B$3:B$1002,SMALL(IF((Expenses!E$3:E$1002="GBP")*(Expenses!A$3:A$1002=DATE(2026,2,21)),ROW(Expenses!A$3:A$1002)-2),5)),""),IF(IFERROR(INDEX(Income!B$3:B$502,SMALL(IF((Income!D$3:D$502="GBP")*(Income!A$3:A$502=DATE(2026,2,21)),ROW(Income!A$3:A$502)-2),5)),"")&lt;&gt;"",IFERROR(INDEX(Income!B$3:B$502,SMALL(IF((Income!D$3:D$502="GBP")*(Income!A$3:A$502=DATE(2026,2,21)),ROW(Income!A$3:A$502)-2),5)),""),""))</f>
        <v/>
      </c>
      <c r="O43" s="62" t="str">
        <f aca="false">IF(IFERROR(-INDEX(Expenses!D$3:D$1002,SMALL(IF((Expenses!E$3:E$1002="GBP")*(Expenses!A$3:A$1002=DATE(2026,2,22)),ROW(Expenses!A$3:A$1002)-2),5)),0)+IFERROR(INDEX(Income!C$3:C$502,SMALL(IF((Income!D$3:D$502="GBP")*(Income!A$3:A$502=DATE(2026,2,22)),ROW(Income!A$3:A$502)-2),5)),0)=0,"",IFERROR(-INDEX(Expenses!D$3:D$1002,SMALL(IF((Expenses!E$3:E$1002="GBP")*(Expenses!A$3:A$1002=DATE(2026,2,22)),ROW(Expenses!A$3:A$1002)-2),5)),0)+IFERROR(INDEX(Income!C$3:C$502,SMALL(IF((Income!D$3:D$502="GBP")*(Income!A$3:A$502=DATE(2026,2,22)),ROW(Income!A$3:A$502)-2),5)),0))</f>
        <v/>
      </c>
      <c r="P43" s="38" t="str">
        <f aca="false">IF(IFERROR(INDEX(Expenses!B$3:B$1002,SMALL(IF((Expenses!E$3:E$1002="GBP")*(Expenses!A$3:A$1002=DATE(2026,2,22)),ROW(Expenses!A$3:A$1002)-2),5)),"")&lt;&gt;"",IFERROR(INDEX(Expenses!B$3:B$1002,SMALL(IF((Expenses!E$3:E$1002="GBP")*(Expenses!A$3:A$1002=DATE(2026,2,22)),ROW(Expenses!A$3:A$1002)-2),5)),""),IF(IFERROR(INDEX(Income!B$3:B$502,SMALL(IF((Income!D$3:D$502="GBP")*(Income!A$3:A$502=DATE(2026,2,22)),ROW(Income!A$3:A$502)-2),5)),"")&lt;&gt;"",IFERROR(INDEX(Income!B$3:B$502,SMALL(IF((Income!D$3:D$502="GBP")*(Income!A$3:A$502=DATE(2026,2,22)),ROW(Income!A$3:A$502)-2),5)),""),""))</f>
        <v/>
      </c>
      <c r="Q43" s="16"/>
      <c r="R43" s="16"/>
    </row>
    <row r="44" customFormat="false" ht="15" hidden="false" customHeight="false" outlineLevel="0" collapsed="false">
      <c r="A44" s="61" t="n">
        <v>46076</v>
      </c>
      <c r="B44" s="3" t="n">
        <v>9</v>
      </c>
      <c r="C44" s="62" t="str">
        <f aca="false">IF(IFERROR(-INDEX(Expenses!D$3:D$1002,SMALL(IF((Expenses!E$3:E$1002="GBP")*(Expenses!A$3:A$1002=DATE(2026,2,23)),ROW(Expenses!A$3:A$1002)-2),1)),0)+IFERROR(INDEX(Income!C$3:C$502,SMALL(IF((Income!D$3:D$502="GBP")*(Income!A$3:A$502=DATE(2026,2,23)),ROW(Income!A$3:A$502)-2),1)),0)=0,"",IFERROR(-INDEX(Expenses!D$3:D$1002,SMALL(IF((Expenses!E$3:E$1002="GBP")*(Expenses!A$3:A$1002=DATE(2026,2,23)),ROW(Expenses!A$3:A$1002)-2),1)),0)+IFERROR(INDEX(Income!C$3:C$502,SMALL(IF((Income!D$3:D$502="GBP")*(Income!A$3:A$502=DATE(2026,2,23)),ROW(Income!A$3:A$502)-2),1)),0))</f>
        <v/>
      </c>
      <c r="D44" s="38" t="str">
        <f aca="false">IF(IFERROR(INDEX(Expenses!B$3:B$1002,SMALL(IF((Expenses!E$3:E$1002="GBP")*(Expenses!A$3:A$1002=DATE(2026,2,23)),ROW(Expenses!A$3:A$1002)-2),1)),"")&lt;&gt;"",IFERROR(INDEX(Expenses!B$3:B$1002,SMALL(IF((Expenses!E$3:E$1002="GBP")*(Expenses!A$3:A$1002=DATE(2026,2,23)),ROW(Expenses!A$3:A$1002)-2),1)),""),IF(IFERROR(INDEX(Income!B$3:B$502,SMALL(IF((Income!D$3:D$502="GBP")*(Income!A$3:A$502=DATE(2026,2,23)),ROW(Income!A$3:A$502)-2),1)),"")&lt;&gt;"",IFERROR(INDEX(Income!B$3:B$502,SMALL(IF((Income!D$3:D$502="GBP")*(Income!A$3:A$502=DATE(2026,2,23)),ROW(Income!A$3:A$502)-2),1)),""),""))</f>
        <v/>
      </c>
      <c r="E44" s="62" t="str">
        <f aca="false">IF(IFERROR(-INDEX(Expenses!D$3:D$1002,SMALL(IF((Expenses!E$3:E$1002="GBP")*(Expenses!A$3:A$1002=DATE(2026,2,24)),ROW(Expenses!A$3:A$1002)-2),1)),0)+IFERROR(INDEX(Income!C$3:C$502,SMALL(IF((Income!D$3:D$502="GBP")*(Income!A$3:A$502=DATE(2026,2,24)),ROW(Income!A$3:A$502)-2),1)),0)=0,"",IFERROR(-INDEX(Expenses!D$3:D$1002,SMALL(IF((Expenses!E$3:E$1002="GBP")*(Expenses!A$3:A$1002=DATE(2026,2,24)),ROW(Expenses!A$3:A$1002)-2),1)),0)+IFERROR(INDEX(Income!C$3:C$502,SMALL(IF((Income!D$3:D$502="GBP")*(Income!A$3:A$502=DATE(2026,2,24)),ROW(Income!A$3:A$502)-2),1)),0))</f>
        <v/>
      </c>
      <c r="F44" s="38" t="str">
        <f aca="false">IF(IFERROR(INDEX(Expenses!B$3:B$1002,SMALL(IF((Expenses!E$3:E$1002="GBP")*(Expenses!A$3:A$1002=DATE(2026,2,24)),ROW(Expenses!A$3:A$1002)-2),1)),"")&lt;&gt;"",IFERROR(INDEX(Expenses!B$3:B$1002,SMALL(IF((Expenses!E$3:E$1002="GBP")*(Expenses!A$3:A$1002=DATE(2026,2,24)),ROW(Expenses!A$3:A$1002)-2),1)),""),IF(IFERROR(INDEX(Income!B$3:B$502,SMALL(IF((Income!D$3:D$502="GBP")*(Income!A$3:A$502=DATE(2026,2,24)),ROW(Income!A$3:A$502)-2),1)),"")&lt;&gt;"",IFERROR(INDEX(Income!B$3:B$502,SMALL(IF((Income!D$3:D$502="GBP")*(Income!A$3:A$502=DATE(2026,2,24)),ROW(Income!A$3:A$502)-2),1)),""),""))</f>
        <v/>
      </c>
      <c r="G44" s="62" t="str">
        <f aca="false">IF(IFERROR(-INDEX(Expenses!D$3:D$1002,SMALL(IF((Expenses!E$3:E$1002="GBP")*(Expenses!A$3:A$1002=DATE(2026,2,25)),ROW(Expenses!A$3:A$1002)-2),1)),0)+IFERROR(INDEX(Income!C$3:C$502,SMALL(IF((Income!D$3:D$502="GBP")*(Income!A$3:A$502=DATE(2026,2,25)),ROW(Income!A$3:A$502)-2),1)),0)=0,"",IFERROR(-INDEX(Expenses!D$3:D$1002,SMALL(IF((Expenses!E$3:E$1002="GBP")*(Expenses!A$3:A$1002=DATE(2026,2,25)),ROW(Expenses!A$3:A$1002)-2),1)),0)+IFERROR(INDEX(Income!C$3:C$502,SMALL(IF((Income!D$3:D$502="GBP")*(Income!A$3:A$502=DATE(2026,2,25)),ROW(Income!A$3:A$502)-2),1)),0))</f>
        <v/>
      </c>
      <c r="H44" s="38" t="str">
        <f aca="false">IF(IFERROR(INDEX(Expenses!B$3:B$1002,SMALL(IF((Expenses!E$3:E$1002="GBP")*(Expenses!A$3:A$1002=DATE(2026,2,25)),ROW(Expenses!A$3:A$1002)-2),1)),"")&lt;&gt;"",IFERROR(INDEX(Expenses!B$3:B$1002,SMALL(IF((Expenses!E$3:E$1002="GBP")*(Expenses!A$3:A$1002=DATE(2026,2,25)),ROW(Expenses!A$3:A$1002)-2),1)),""),IF(IFERROR(INDEX(Income!B$3:B$502,SMALL(IF((Income!D$3:D$502="GBP")*(Income!A$3:A$502=DATE(2026,2,25)),ROW(Income!A$3:A$502)-2),1)),"")&lt;&gt;"",IFERROR(INDEX(Income!B$3:B$502,SMALL(IF((Income!D$3:D$502="GBP")*(Income!A$3:A$502=DATE(2026,2,25)),ROW(Income!A$3:A$502)-2),1)),""),""))</f>
        <v/>
      </c>
      <c r="I44" s="62" t="str">
        <f aca="false">IF(IFERROR(-INDEX(Expenses!D$3:D$1002,SMALL(IF((Expenses!E$3:E$1002="GBP")*(Expenses!A$3:A$1002=DATE(2026,2,26)),ROW(Expenses!A$3:A$1002)-2),1)),0)+IFERROR(INDEX(Income!C$3:C$502,SMALL(IF((Income!D$3:D$502="GBP")*(Income!A$3:A$502=DATE(2026,2,26)),ROW(Income!A$3:A$502)-2),1)),0)=0,"",IFERROR(-INDEX(Expenses!D$3:D$1002,SMALL(IF((Expenses!E$3:E$1002="GBP")*(Expenses!A$3:A$1002=DATE(2026,2,26)),ROW(Expenses!A$3:A$1002)-2),1)),0)+IFERROR(INDEX(Income!C$3:C$502,SMALL(IF((Income!D$3:D$502="GBP")*(Income!A$3:A$502=DATE(2026,2,26)),ROW(Income!A$3:A$502)-2),1)),0))</f>
        <v/>
      </c>
      <c r="J44" s="38" t="str">
        <f aca="false">IF(IFERROR(INDEX(Expenses!B$3:B$1002,SMALL(IF((Expenses!E$3:E$1002="GBP")*(Expenses!A$3:A$1002=DATE(2026,2,26)),ROW(Expenses!A$3:A$1002)-2),1)),"")&lt;&gt;"",IFERROR(INDEX(Expenses!B$3:B$1002,SMALL(IF((Expenses!E$3:E$1002="GBP")*(Expenses!A$3:A$1002=DATE(2026,2,26)),ROW(Expenses!A$3:A$1002)-2),1)),""),IF(IFERROR(INDEX(Income!B$3:B$502,SMALL(IF((Income!D$3:D$502="GBP")*(Income!A$3:A$502=DATE(2026,2,26)),ROW(Income!A$3:A$502)-2),1)),"")&lt;&gt;"",IFERROR(INDEX(Income!B$3:B$502,SMALL(IF((Income!D$3:D$502="GBP")*(Income!A$3:A$502=DATE(2026,2,26)),ROW(Income!A$3:A$502)-2),1)),""),""))</f>
        <v/>
      </c>
      <c r="K44" s="62" t="str">
        <f aca="false">IF(IFERROR(-INDEX(Expenses!D$3:D$1002,SMALL(IF((Expenses!E$3:E$1002="GBP")*(Expenses!A$3:A$1002=DATE(2026,2,27)),ROW(Expenses!A$3:A$1002)-2),1)),0)+IFERROR(INDEX(Income!C$3:C$502,SMALL(IF((Income!D$3:D$502="GBP")*(Income!A$3:A$502=DATE(2026,2,27)),ROW(Income!A$3:A$502)-2),1)),0)=0,"",IFERROR(-INDEX(Expenses!D$3:D$1002,SMALL(IF((Expenses!E$3:E$1002="GBP")*(Expenses!A$3:A$1002=DATE(2026,2,27)),ROW(Expenses!A$3:A$1002)-2),1)),0)+IFERROR(INDEX(Income!C$3:C$502,SMALL(IF((Income!D$3:D$502="GBP")*(Income!A$3:A$502=DATE(2026,2,27)),ROW(Income!A$3:A$502)-2),1)),0))</f>
        <v/>
      </c>
      <c r="L44" s="38" t="str">
        <f aca="false">IF(IFERROR(INDEX(Expenses!B$3:B$1002,SMALL(IF((Expenses!E$3:E$1002="GBP")*(Expenses!A$3:A$1002=DATE(2026,2,27)),ROW(Expenses!A$3:A$1002)-2),1)),"")&lt;&gt;"",IFERROR(INDEX(Expenses!B$3:B$1002,SMALL(IF((Expenses!E$3:E$1002="GBP")*(Expenses!A$3:A$1002=DATE(2026,2,27)),ROW(Expenses!A$3:A$1002)-2),1)),""),IF(IFERROR(INDEX(Income!B$3:B$502,SMALL(IF((Income!D$3:D$502="GBP")*(Income!A$3:A$502=DATE(2026,2,27)),ROW(Income!A$3:A$502)-2),1)),"")&lt;&gt;"",IFERROR(INDEX(Income!B$3:B$502,SMALL(IF((Income!D$3:D$502="GBP")*(Income!A$3:A$502=DATE(2026,2,27)),ROW(Income!A$3:A$502)-2),1)),""),""))</f>
        <v/>
      </c>
      <c r="M44" s="62" t="str">
        <f aca="false">IF(IFERROR(-INDEX(Expenses!D$3:D$1002,SMALL(IF((Expenses!E$3:E$1002="GBP")*(Expenses!A$3:A$1002=DATE(2026,2,28)),ROW(Expenses!A$3:A$1002)-2),1)),0)+IFERROR(INDEX(Income!C$3:C$502,SMALL(IF((Income!D$3:D$502="GBP")*(Income!A$3:A$502=DATE(2026,2,28)),ROW(Income!A$3:A$502)-2),1)),0)=0,"",IFERROR(-INDEX(Expenses!D$3:D$1002,SMALL(IF((Expenses!E$3:E$1002="GBP")*(Expenses!A$3:A$1002=DATE(2026,2,28)),ROW(Expenses!A$3:A$1002)-2),1)),0)+IFERROR(INDEX(Income!C$3:C$502,SMALL(IF((Income!D$3:D$502="GBP")*(Income!A$3:A$502=DATE(2026,2,28)),ROW(Income!A$3:A$502)-2),1)),0))</f>
        <v/>
      </c>
      <c r="N44" s="38" t="str">
        <f aca="false">IF(IFERROR(INDEX(Expenses!B$3:B$1002,SMALL(IF((Expenses!E$3:E$1002="GBP")*(Expenses!A$3:A$1002=DATE(2026,2,28)),ROW(Expenses!A$3:A$1002)-2),1)),"")&lt;&gt;"",IFERROR(INDEX(Expenses!B$3:B$1002,SMALL(IF((Expenses!E$3:E$1002="GBP")*(Expenses!A$3:A$1002=DATE(2026,2,28)),ROW(Expenses!A$3:A$1002)-2),1)),""),IF(IFERROR(INDEX(Income!B$3:B$502,SMALL(IF((Income!D$3:D$502="GBP")*(Income!A$3:A$502=DATE(2026,2,28)),ROW(Income!A$3:A$502)-2),1)),"")&lt;&gt;"",IFERROR(INDEX(Income!B$3:B$502,SMALL(IF((Income!D$3:D$502="GBP")*(Income!A$3:A$502=DATE(2026,2,28)),ROW(Income!A$3:A$502)-2),1)),""),""))</f>
        <v/>
      </c>
      <c r="O44" s="62" t="str">
        <f aca="false">IF(IFERROR(-INDEX(Expenses!D$3:D$1002,SMALL(IF((Expenses!E$3:E$1002="GBP")*(Expenses!A$3:A$1002=DATE(2026,3,1)),ROW(Expenses!A$3:A$1002)-2),1)),0)+IFERROR(INDEX(Income!C$3:C$502,SMALL(IF((Income!D$3:D$502="GBP")*(Income!A$3:A$502=DATE(2026,3,1)),ROW(Income!A$3:A$502)-2),1)),0)=0,"",IFERROR(-INDEX(Expenses!D$3:D$1002,SMALL(IF((Expenses!E$3:E$1002="GBP")*(Expenses!A$3:A$1002=DATE(2026,3,1)),ROW(Expenses!A$3:A$1002)-2),1)),0)+IFERROR(INDEX(Income!C$3:C$502,SMALL(IF((Income!D$3:D$502="GBP")*(Income!A$3:A$502=DATE(2026,3,1)),ROW(Income!A$3:A$502)-2),1)),0))</f>
        <v/>
      </c>
      <c r="P44" s="38" t="str">
        <f aca="false">IF(IFERROR(INDEX(Expenses!B$3:B$1002,SMALL(IF((Expenses!E$3:E$1002="GBP")*(Expenses!A$3:A$1002=DATE(2026,3,1)),ROW(Expenses!A$3:A$1002)-2),1)),"")&lt;&gt;"",IFERROR(INDEX(Expenses!B$3:B$1002,SMALL(IF((Expenses!E$3:E$1002="GBP")*(Expenses!A$3:A$1002=DATE(2026,3,1)),ROW(Expenses!A$3:A$1002)-2),1)),""),IF(IFERROR(INDEX(Income!B$3:B$502,SMALL(IF((Income!D$3:D$502="GBP")*(Income!A$3:A$502=DATE(2026,3,1)),ROW(Income!A$3:A$502)-2),1)),"")&lt;&gt;"",IFERROR(INDEX(Income!B$3:B$502,SMALL(IF((Income!D$3:D$502="GBP")*(Income!A$3:A$502=DATE(2026,3,1)),ROW(Income!A$3:A$502)-2),1)),""),""))</f>
        <v/>
      </c>
      <c r="Q44" s="3" t="n">
        <v>9</v>
      </c>
      <c r="R44" s="45" t="n">
        <f aca="false">SUM(C44:C48)+SUM(E44:E48)+SUM(G44:G48)+SUM(I44:I48)+SUM(K44:K48)+SUM(M44:M48)+SUM(O44:O48)</f>
        <v>0</v>
      </c>
    </row>
    <row r="45" customFormat="false" ht="15" hidden="false" customHeight="false" outlineLevel="0" collapsed="false">
      <c r="A45" s="16"/>
      <c r="B45" s="16"/>
      <c r="C45" s="62" t="str">
        <f aca="false">IF(IFERROR(-INDEX(Expenses!D$3:D$1002,SMALL(IF((Expenses!E$3:E$1002="GBP")*(Expenses!A$3:A$1002=DATE(2026,2,23)),ROW(Expenses!A$3:A$1002)-2),2)),0)+IFERROR(INDEX(Income!C$3:C$502,SMALL(IF((Income!D$3:D$502="GBP")*(Income!A$3:A$502=DATE(2026,2,23)),ROW(Income!A$3:A$502)-2),2)),0)=0,"",IFERROR(-INDEX(Expenses!D$3:D$1002,SMALL(IF((Expenses!E$3:E$1002="GBP")*(Expenses!A$3:A$1002=DATE(2026,2,23)),ROW(Expenses!A$3:A$1002)-2),2)),0)+IFERROR(INDEX(Income!C$3:C$502,SMALL(IF((Income!D$3:D$502="GBP")*(Income!A$3:A$502=DATE(2026,2,23)),ROW(Income!A$3:A$502)-2),2)),0))</f>
        <v/>
      </c>
      <c r="D45" s="38" t="str">
        <f aca="false">IF(IFERROR(INDEX(Expenses!B$3:B$1002,SMALL(IF((Expenses!E$3:E$1002="GBP")*(Expenses!A$3:A$1002=DATE(2026,2,23)),ROW(Expenses!A$3:A$1002)-2),2)),"")&lt;&gt;"",IFERROR(INDEX(Expenses!B$3:B$1002,SMALL(IF((Expenses!E$3:E$1002="GBP")*(Expenses!A$3:A$1002=DATE(2026,2,23)),ROW(Expenses!A$3:A$1002)-2),2)),""),IF(IFERROR(INDEX(Income!B$3:B$502,SMALL(IF((Income!D$3:D$502="GBP")*(Income!A$3:A$502=DATE(2026,2,23)),ROW(Income!A$3:A$502)-2),2)),"")&lt;&gt;"",IFERROR(INDEX(Income!B$3:B$502,SMALL(IF((Income!D$3:D$502="GBP")*(Income!A$3:A$502=DATE(2026,2,23)),ROW(Income!A$3:A$502)-2),2)),""),""))</f>
        <v/>
      </c>
      <c r="E45" s="62" t="str">
        <f aca="false">IF(IFERROR(-INDEX(Expenses!D$3:D$1002,SMALL(IF((Expenses!E$3:E$1002="GBP")*(Expenses!A$3:A$1002=DATE(2026,2,24)),ROW(Expenses!A$3:A$1002)-2),2)),0)+IFERROR(INDEX(Income!C$3:C$502,SMALL(IF((Income!D$3:D$502="GBP")*(Income!A$3:A$502=DATE(2026,2,24)),ROW(Income!A$3:A$502)-2),2)),0)=0,"",IFERROR(-INDEX(Expenses!D$3:D$1002,SMALL(IF((Expenses!E$3:E$1002="GBP")*(Expenses!A$3:A$1002=DATE(2026,2,24)),ROW(Expenses!A$3:A$1002)-2),2)),0)+IFERROR(INDEX(Income!C$3:C$502,SMALL(IF((Income!D$3:D$502="GBP")*(Income!A$3:A$502=DATE(2026,2,24)),ROW(Income!A$3:A$502)-2),2)),0))</f>
        <v/>
      </c>
      <c r="F45" s="38" t="str">
        <f aca="false">IF(IFERROR(INDEX(Expenses!B$3:B$1002,SMALL(IF((Expenses!E$3:E$1002="GBP")*(Expenses!A$3:A$1002=DATE(2026,2,24)),ROW(Expenses!A$3:A$1002)-2),2)),"")&lt;&gt;"",IFERROR(INDEX(Expenses!B$3:B$1002,SMALL(IF((Expenses!E$3:E$1002="GBP")*(Expenses!A$3:A$1002=DATE(2026,2,24)),ROW(Expenses!A$3:A$1002)-2),2)),""),IF(IFERROR(INDEX(Income!B$3:B$502,SMALL(IF((Income!D$3:D$502="GBP")*(Income!A$3:A$502=DATE(2026,2,24)),ROW(Income!A$3:A$502)-2),2)),"")&lt;&gt;"",IFERROR(INDEX(Income!B$3:B$502,SMALL(IF((Income!D$3:D$502="GBP")*(Income!A$3:A$502=DATE(2026,2,24)),ROW(Income!A$3:A$502)-2),2)),""),""))</f>
        <v/>
      </c>
      <c r="G45" s="62" t="str">
        <f aca="false">IF(IFERROR(-INDEX(Expenses!D$3:D$1002,SMALL(IF((Expenses!E$3:E$1002="GBP")*(Expenses!A$3:A$1002=DATE(2026,2,25)),ROW(Expenses!A$3:A$1002)-2),2)),0)+IFERROR(INDEX(Income!C$3:C$502,SMALL(IF((Income!D$3:D$502="GBP")*(Income!A$3:A$502=DATE(2026,2,25)),ROW(Income!A$3:A$502)-2),2)),0)=0,"",IFERROR(-INDEX(Expenses!D$3:D$1002,SMALL(IF((Expenses!E$3:E$1002="GBP")*(Expenses!A$3:A$1002=DATE(2026,2,25)),ROW(Expenses!A$3:A$1002)-2),2)),0)+IFERROR(INDEX(Income!C$3:C$502,SMALL(IF((Income!D$3:D$502="GBP")*(Income!A$3:A$502=DATE(2026,2,25)),ROW(Income!A$3:A$502)-2),2)),0))</f>
        <v/>
      </c>
      <c r="H45" s="38" t="str">
        <f aca="false">IF(IFERROR(INDEX(Expenses!B$3:B$1002,SMALL(IF((Expenses!E$3:E$1002="GBP")*(Expenses!A$3:A$1002=DATE(2026,2,25)),ROW(Expenses!A$3:A$1002)-2),2)),"")&lt;&gt;"",IFERROR(INDEX(Expenses!B$3:B$1002,SMALL(IF((Expenses!E$3:E$1002="GBP")*(Expenses!A$3:A$1002=DATE(2026,2,25)),ROW(Expenses!A$3:A$1002)-2),2)),""),IF(IFERROR(INDEX(Income!B$3:B$502,SMALL(IF((Income!D$3:D$502="GBP")*(Income!A$3:A$502=DATE(2026,2,25)),ROW(Income!A$3:A$502)-2),2)),"")&lt;&gt;"",IFERROR(INDEX(Income!B$3:B$502,SMALL(IF((Income!D$3:D$502="GBP")*(Income!A$3:A$502=DATE(2026,2,25)),ROW(Income!A$3:A$502)-2),2)),""),""))</f>
        <v/>
      </c>
      <c r="I45" s="62" t="str">
        <f aca="false">IF(IFERROR(-INDEX(Expenses!D$3:D$1002,SMALL(IF((Expenses!E$3:E$1002="GBP")*(Expenses!A$3:A$1002=DATE(2026,2,26)),ROW(Expenses!A$3:A$1002)-2),2)),0)+IFERROR(INDEX(Income!C$3:C$502,SMALL(IF((Income!D$3:D$502="GBP")*(Income!A$3:A$502=DATE(2026,2,26)),ROW(Income!A$3:A$502)-2),2)),0)=0,"",IFERROR(-INDEX(Expenses!D$3:D$1002,SMALL(IF((Expenses!E$3:E$1002="GBP")*(Expenses!A$3:A$1002=DATE(2026,2,26)),ROW(Expenses!A$3:A$1002)-2),2)),0)+IFERROR(INDEX(Income!C$3:C$502,SMALL(IF((Income!D$3:D$502="GBP")*(Income!A$3:A$502=DATE(2026,2,26)),ROW(Income!A$3:A$502)-2),2)),0))</f>
        <v/>
      </c>
      <c r="J45" s="38" t="str">
        <f aca="false">IF(IFERROR(INDEX(Expenses!B$3:B$1002,SMALL(IF((Expenses!E$3:E$1002="GBP")*(Expenses!A$3:A$1002=DATE(2026,2,26)),ROW(Expenses!A$3:A$1002)-2),2)),"")&lt;&gt;"",IFERROR(INDEX(Expenses!B$3:B$1002,SMALL(IF((Expenses!E$3:E$1002="GBP")*(Expenses!A$3:A$1002=DATE(2026,2,26)),ROW(Expenses!A$3:A$1002)-2),2)),""),IF(IFERROR(INDEX(Income!B$3:B$502,SMALL(IF((Income!D$3:D$502="GBP")*(Income!A$3:A$502=DATE(2026,2,26)),ROW(Income!A$3:A$502)-2),2)),"")&lt;&gt;"",IFERROR(INDEX(Income!B$3:B$502,SMALL(IF((Income!D$3:D$502="GBP")*(Income!A$3:A$502=DATE(2026,2,26)),ROW(Income!A$3:A$502)-2),2)),""),""))</f>
        <v/>
      </c>
      <c r="K45" s="62" t="str">
        <f aca="false">IF(IFERROR(-INDEX(Expenses!D$3:D$1002,SMALL(IF((Expenses!E$3:E$1002="GBP")*(Expenses!A$3:A$1002=DATE(2026,2,27)),ROW(Expenses!A$3:A$1002)-2),2)),0)+IFERROR(INDEX(Income!C$3:C$502,SMALL(IF((Income!D$3:D$502="GBP")*(Income!A$3:A$502=DATE(2026,2,27)),ROW(Income!A$3:A$502)-2),2)),0)=0,"",IFERROR(-INDEX(Expenses!D$3:D$1002,SMALL(IF((Expenses!E$3:E$1002="GBP")*(Expenses!A$3:A$1002=DATE(2026,2,27)),ROW(Expenses!A$3:A$1002)-2),2)),0)+IFERROR(INDEX(Income!C$3:C$502,SMALL(IF((Income!D$3:D$502="GBP")*(Income!A$3:A$502=DATE(2026,2,27)),ROW(Income!A$3:A$502)-2),2)),0))</f>
        <v/>
      </c>
      <c r="L45" s="38" t="str">
        <f aca="false">IF(IFERROR(INDEX(Expenses!B$3:B$1002,SMALL(IF((Expenses!E$3:E$1002="GBP")*(Expenses!A$3:A$1002=DATE(2026,2,27)),ROW(Expenses!A$3:A$1002)-2),2)),"")&lt;&gt;"",IFERROR(INDEX(Expenses!B$3:B$1002,SMALL(IF((Expenses!E$3:E$1002="GBP")*(Expenses!A$3:A$1002=DATE(2026,2,27)),ROW(Expenses!A$3:A$1002)-2),2)),""),IF(IFERROR(INDEX(Income!B$3:B$502,SMALL(IF((Income!D$3:D$502="GBP")*(Income!A$3:A$502=DATE(2026,2,27)),ROW(Income!A$3:A$502)-2),2)),"")&lt;&gt;"",IFERROR(INDEX(Income!B$3:B$502,SMALL(IF((Income!D$3:D$502="GBP")*(Income!A$3:A$502=DATE(2026,2,27)),ROW(Income!A$3:A$502)-2),2)),""),""))</f>
        <v/>
      </c>
      <c r="M45" s="62" t="str">
        <f aca="false">IF(IFERROR(-INDEX(Expenses!D$3:D$1002,SMALL(IF((Expenses!E$3:E$1002="GBP")*(Expenses!A$3:A$1002=DATE(2026,2,28)),ROW(Expenses!A$3:A$1002)-2),2)),0)+IFERROR(INDEX(Income!C$3:C$502,SMALL(IF((Income!D$3:D$502="GBP")*(Income!A$3:A$502=DATE(2026,2,28)),ROW(Income!A$3:A$502)-2),2)),0)=0,"",IFERROR(-INDEX(Expenses!D$3:D$1002,SMALL(IF((Expenses!E$3:E$1002="GBP")*(Expenses!A$3:A$1002=DATE(2026,2,28)),ROW(Expenses!A$3:A$1002)-2),2)),0)+IFERROR(INDEX(Income!C$3:C$502,SMALL(IF((Income!D$3:D$502="GBP")*(Income!A$3:A$502=DATE(2026,2,28)),ROW(Income!A$3:A$502)-2),2)),0))</f>
        <v/>
      </c>
      <c r="N45" s="38" t="str">
        <f aca="false">IF(IFERROR(INDEX(Expenses!B$3:B$1002,SMALL(IF((Expenses!E$3:E$1002="GBP")*(Expenses!A$3:A$1002=DATE(2026,2,28)),ROW(Expenses!A$3:A$1002)-2),2)),"")&lt;&gt;"",IFERROR(INDEX(Expenses!B$3:B$1002,SMALL(IF((Expenses!E$3:E$1002="GBP")*(Expenses!A$3:A$1002=DATE(2026,2,28)),ROW(Expenses!A$3:A$1002)-2),2)),""),IF(IFERROR(INDEX(Income!B$3:B$502,SMALL(IF((Income!D$3:D$502="GBP")*(Income!A$3:A$502=DATE(2026,2,28)),ROW(Income!A$3:A$502)-2),2)),"")&lt;&gt;"",IFERROR(INDEX(Income!B$3:B$502,SMALL(IF((Income!D$3:D$502="GBP")*(Income!A$3:A$502=DATE(2026,2,28)),ROW(Income!A$3:A$502)-2),2)),""),""))</f>
        <v/>
      </c>
      <c r="O45" s="62" t="str">
        <f aca="false">IF(IFERROR(-INDEX(Expenses!D$3:D$1002,SMALL(IF((Expenses!E$3:E$1002="GBP")*(Expenses!A$3:A$1002=DATE(2026,3,1)),ROW(Expenses!A$3:A$1002)-2),2)),0)+IFERROR(INDEX(Income!C$3:C$502,SMALL(IF((Income!D$3:D$502="GBP")*(Income!A$3:A$502=DATE(2026,3,1)),ROW(Income!A$3:A$502)-2),2)),0)=0,"",IFERROR(-INDEX(Expenses!D$3:D$1002,SMALL(IF((Expenses!E$3:E$1002="GBP")*(Expenses!A$3:A$1002=DATE(2026,3,1)),ROW(Expenses!A$3:A$1002)-2),2)),0)+IFERROR(INDEX(Income!C$3:C$502,SMALL(IF((Income!D$3:D$502="GBP")*(Income!A$3:A$502=DATE(2026,3,1)),ROW(Income!A$3:A$502)-2),2)),0))</f>
        <v/>
      </c>
      <c r="P45" s="38" t="str">
        <f aca="false">IF(IFERROR(INDEX(Expenses!B$3:B$1002,SMALL(IF((Expenses!E$3:E$1002="GBP")*(Expenses!A$3:A$1002=DATE(2026,3,1)),ROW(Expenses!A$3:A$1002)-2),2)),"")&lt;&gt;"",IFERROR(INDEX(Expenses!B$3:B$1002,SMALL(IF((Expenses!E$3:E$1002="GBP")*(Expenses!A$3:A$1002=DATE(2026,3,1)),ROW(Expenses!A$3:A$1002)-2),2)),""),IF(IFERROR(INDEX(Income!B$3:B$502,SMALL(IF((Income!D$3:D$502="GBP")*(Income!A$3:A$502=DATE(2026,3,1)),ROW(Income!A$3:A$502)-2),2)),"")&lt;&gt;"",IFERROR(INDEX(Income!B$3:B$502,SMALL(IF((Income!D$3:D$502="GBP")*(Income!A$3:A$502=DATE(2026,3,1)),ROW(Income!A$3:A$502)-2),2)),""),""))</f>
        <v/>
      </c>
      <c r="Q45" s="16"/>
      <c r="R45" s="16"/>
    </row>
    <row r="46" customFormat="false" ht="15" hidden="false" customHeight="false" outlineLevel="0" collapsed="false">
      <c r="A46" s="16"/>
      <c r="B46" s="16"/>
      <c r="C46" s="62" t="str">
        <f aca="false">IF(IFERROR(-INDEX(Expenses!D$3:D$1002,SMALL(IF((Expenses!E$3:E$1002="GBP")*(Expenses!A$3:A$1002=DATE(2026,2,23)),ROW(Expenses!A$3:A$1002)-2),3)),0)+IFERROR(INDEX(Income!C$3:C$502,SMALL(IF((Income!D$3:D$502="GBP")*(Income!A$3:A$502=DATE(2026,2,23)),ROW(Income!A$3:A$502)-2),3)),0)=0,"",IFERROR(-INDEX(Expenses!D$3:D$1002,SMALL(IF((Expenses!E$3:E$1002="GBP")*(Expenses!A$3:A$1002=DATE(2026,2,23)),ROW(Expenses!A$3:A$1002)-2),3)),0)+IFERROR(INDEX(Income!C$3:C$502,SMALL(IF((Income!D$3:D$502="GBP")*(Income!A$3:A$502=DATE(2026,2,23)),ROW(Income!A$3:A$502)-2),3)),0))</f>
        <v/>
      </c>
      <c r="D46" s="38" t="str">
        <f aca="false">IF(IFERROR(INDEX(Expenses!B$3:B$1002,SMALL(IF((Expenses!E$3:E$1002="GBP")*(Expenses!A$3:A$1002=DATE(2026,2,23)),ROW(Expenses!A$3:A$1002)-2),3)),"")&lt;&gt;"",IFERROR(INDEX(Expenses!B$3:B$1002,SMALL(IF((Expenses!E$3:E$1002="GBP")*(Expenses!A$3:A$1002=DATE(2026,2,23)),ROW(Expenses!A$3:A$1002)-2),3)),""),IF(IFERROR(INDEX(Income!B$3:B$502,SMALL(IF((Income!D$3:D$502="GBP")*(Income!A$3:A$502=DATE(2026,2,23)),ROW(Income!A$3:A$502)-2),3)),"")&lt;&gt;"",IFERROR(INDEX(Income!B$3:B$502,SMALL(IF((Income!D$3:D$502="GBP")*(Income!A$3:A$502=DATE(2026,2,23)),ROW(Income!A$3:A$502)-2),3)),""),""))</f>
        <v/>
      </c>
      <c r="E46" s="62" t="str">
        <f aca="false">IF(IFERROR(-INDEX(Expenses!D$3:D$1002,SMALL(IF((Expenses!E$3:E$1002="GBP")*(Expenses!A$3:A$1002=DATE(2026,2,24)),ROW(Expenses!A$3:A$1002)-2),3)),0)+IFERROR(INDEX(Income!C$3:C$502,SMALL(IF((Income!D$3:D$502="GBP")*(Income!A$3:A$502=DATE(2026,2,24)),ROW(Income!A$3:A$502)-2),3)),0)=0,"",IFERROR(-INDEX(Expenses!D$3:D$1002,SMALL(IF((Expenses!E$3:E$1002="GBP")*(Expenses!A$3:A$1002=DATE(2026,2,24)),ROW(Expenses!A$3:A$1002)-2),3)),0)+IFERROR(INDEX(Income!C$3:C$502,SMALL(IF((Income!D$3:D$502="GBP")*(Income!A$3:A$502=DATE(2026,2,24)),ROW(Income!A$3:A$502)-2),3)),0))</f>
        <v/>
      </c>
      <c r="F46" s="38" t="str">
        <f aca="false">IF(IFERROR(INDEX(Expenses!B$3:B$1002,SMALL(IF((Expenses!E$3:E$1002="GBP")*(Expenses!A$3:A$1002=DATE(2026,2,24)),ROW(Expenses!A$3:A$1002)-2),3)),"")&lt;&gt;"",IFERROR(INDEX(Expenses!B$3:B$1002,SMALL(IF((Expenses!E$3:E$1002="GBP")*(Expenses!A$3:A$1002=DATE(2026,2,24)),ROW(Expenses!A$3:A$1002)-2),3)),""),IF(IFERROR(INDEX(Income!B$3:B$502,SMALL(IF((Income!D$3:D$502="GBP")*(Income!A$3:A$502=DATE(2026,2,24)),ROW(Income!A$3:A$502)-2),3)),"")&lt;&gt;"",IFERROR(INDEX(Income!B$3:B$502,SMALL(IF((Income!D$3:D$502="GBP")*(Income!A$3:A$502=DATE(2026,2,24)),ROW(Income!A$3:A$502)-2),3)),""),""))</f>
        <v/>
      </c>
      <c r="G46" s="62" t="str">
        <f aca="false">IF(IFERROR(-INDEX(Expenses!D$3:D$1002,SMALL(IF((Expenses!E$3:E$1002="GBP")*(Expenses!A$3:A$1002=DATE(2026,2,25)),ROW(Expenses!A$3:A$1002)-2),3)),0)+IFERROR(INDEX(Income!C$3:C$502,SMALL(IF((Income!D$3:D$502="GBP")*(Income!A$3:A$502=DATE(2026,2,25)),ROW(Income!A$3:A$502)-2),3)),0)=0,"",IFERROR(-INDEX(Expenses!D$3:D$1002,SMALL(IF((Expenses!E$3:E$1002="GBP")*(Expenses!A$3:A$1002=DATE(2026,2,25)),ROW(Expenses!A$3:A$1002)-2),3)),0)+IFERROR(INDEX(Income!C$3:C$502,SMALL(IF((Income!D$3:D$502="GBP")*(Income!A$3:A$502=DATE(2026,2,25)),ROW(Income!A$3:A$502)-2),3)),0))</f>
        <v/>
      </c>
      <c r="H46" s="38" t="str">
        <f aca="false">IF(IFERROR(INDEX(Expenses!B$3:B$1002,SMALL(IF((Expenses!E$3:E$1002="GBP")*(Expenses!A$3:A$1002=DATE(2026,2,25)),ROW(Expenses!A$3:A$1002)-2),3)),"")&lt;&gt;"",IFERROR(INDEX(Expenses!B$3:B$1002,SMALL(IF((Expenses!E$3:E$1002="GBP")*(Expenses!A$3:A$1002=DATE(2026,2,25)),ROW(Expenses!A$3:A$1002)-2),3)),""),IF(IFERROR(INDEX(Income!B$3:B$502,SMALL(IF((Income!D$3:D$502="GBP")*(Income!A$3:A$502=DATE(2026,2,25)),ROW(Income!A$3:A$502)-2),3)),"")&lt;&gt;"",IFERROR(INDEX(Income!B$3:B$502,SMALL(IF((Income!D$3:D$502="GBP")*(Income!A$3:A$502=DATE(2026,2,25)),ROW(Income!A$3:A$502)-2),3)),""),""))</f>
        <v/>
      </c>
      <c r="I46" s="62" t="str">
        <f aca="false">IF(IFERROR(-INDEX(Expenses!D$3:D$1002,SMALL(IF((Expenses!E$3:E$1002="GBP")*(Expenses!A$3:A$1002=DATE(2026,2,26)),ROW(Expenses!A$3:A$1002)-2),3)),0)+IFERROR(INDEX(Income!C$3:C$502,SMALL(IF((Income!D$3:D$502="GBP")*(Income!A$3:A$502=DATE(2026,2,26)),ROW(Income!A$3:A$502)-2),3)),0)=0,"",IFERROR(-INDEX(Expenses!D$3:D$1002,SMALL(IF((Expenses!E$3:E$1002="GBP")*(Expenses!A$3:A$1002=DATE(2026,2,26)),ROW(Expenses!A$3:A$1002)-2),3)),0)+IFERROR(INDEX(Income!C$3:C$502,SMALL(IF((Income!D$3:D$502="GBP")*(Income!A$3:A$502=DATE(2026,2,26)),ROW(Income!A$3:A$502)-2),3)),0))</f>
        <v/>
      </c>
      <c r="J46" s="38" t="str">
        <f aca="false">IF(IFERROR(INDEX(Expenses!B$3:B$1002,SMALL(IF((Expenses!E$3:E$1002="GBP")*(Expenses!A$3:A$1002=DATE(2026,2,26)),ROW(Expenses!A$3:A$1002)-2),3)),"")&lt;&gt;"",IFERROR(INDEX(Expenses!B$3:B$1002,SMALL(IF((Expenses!E$3:E$1002="GBP")*(Expenses!A$3:A$1002=DATE(2026,2,26)),ROW(Expenses!A$3:A$1002)-2),3)),""),IF(IFERROR(INDEX(Income!B$3:B$502,SMALL(IF((Income!D$3:D$502="GBP")*(Income!A$3:A$502=DATE(2026,2,26)),ROW(Income!A$3:A$502)-2),3)),"")&lt;&gt;"",IFERROR(INDEX(Income!B$3:B$502,SMALL(IF((Income!D$3:D$502="GBP")*(Income!A$3:A$502=DATE(2026,2,26)),ROW(Income!A$3:A$502)-2),3)),""),""))</f>
        <v/>
      </c>
      <c r="K46" s="62" t="str">
        <f aca="false">IF(IFERROR(-INDEX(Expenses!D$3:D$1002,SMALL(IF((Expenses!E$3:E$1002="GBP")*(Expenses!A$3:A$1002=DATE(2026,2,27)),ROW(Expenses!A$3:A$1002)-2),3)),0)+IFERROR(INDEX(Income!C$3:C$502,SMALL(IF((Income!D$3:D$502="GBP")*(Income!A$3:A$502=DATE(2026,2,27)),ROW(Income!A$3:A$502)-2),3)),0)=0,"",IFERROR(-INDEX(Expenses!D$3:D$1002,SMALL(IF((Expenses!E$3:E$1002="GBP")*(Expenses!A$3:A$1002=DATE(2026,2,27)),ROW(Expenses!A$3:A$1002)-2),3)),0)+IFERROR(INDEX(Income!C$3:C$502,SMALL(IF((Income!D$3:D$502="GBP")*(Income!A$3:A$502=DATE(2026,2,27)),ROW(Income!A$3:A$502)-2),3)),0))</f>
        <v/>
      </c>
      <c r="L46" s="38" t="str">
        <f aca="false">IF(IFERROR(INDEX(Expenses!B$3:B$1002,SMALL(IF((Expenses!E$3:E$1002="GBP")*(Expenses!A$3:A$1002=DATE(2026,2,27)),ROW(Expenses!A$3:A$1002)-2),3)),"")&lt;&gt;"",IFERROR(INDEX(Expenses!B$3:B$1002,SMALL(IF((Expenses!E$3:E$1002="GBP")*(Expenses!A$3:A$1002=DATE(2026,2,27)),ROW(Expenses!A$3:A$1002)-2),3)),""),IF(IFERROR(INDEX(Income!B$3:B$502,SMALL(IF((Income!D$3:D$502="GBP")*(Income!A$3:A$502=DATE(2026,2,27)),ROW(Income!A$3:A$502)-2),3)),"")&lt;&gt;"",IFERROR(INDEX(Income!B$3:B$502,SMALL(IF((Income!D$3:D$502="GBP")*(Income!A$3:A$502=DATE(2026,2,27)),ROW(Income!A$3:A$502)-2),3)),""),""))</f>
        <v/>
      </c>
      <c r="M46" s="62" t="str">
        <f aca="false">IF(IFERROR(-INDEX(Expenses!D$3:D$1002,SMALL(IF((Expenses!E$3:E$1002="GBP")*(Expenses!A$3:A$1002=DATE(2026,2,28)),ROW(Expenses!A$3:A$1002)-2),3)),0)+IFERROR(INDEX(Income!C$3:C$502,SMALL(IF((Income!D$3:D$502="GBP")*(Income!A$3:A$502=DATE(2026,2,28)),ROW(Income!A$3:A$502)-2),3)),0)=0,"",IFERROR(-INDEX(Expenses!D$3:D$1002,SMALL(IF((Expenses!E$3:E$1002="GBP")*(Expenses!A$3:A$1002=DATE(2026,2,28)),ROW(Expenses!A$3:A$1002)-2),3)),0)+IFERROR(INDEX(Income!C$3:C$502,SMALL(IF((Income!D$3:D$502="GBP")*(Income!A$3:A$502=DATE(2026,2,28)),ROW(Income!A$3:A$502)-2),3)),0))</f>
        <v/>
      </c>
      <c r="N46" s="38" t="str">
        <f aca="false">IF(IFERROR(INDEX(Expenses!B$3:B$1002,SMALL(IF((Expenses!E$3:E$1002="GBP")*(Expenses!A$3:A$1002=DATE(2026,2,28)),ROW(Expenses!A$3:A$1002)-2),3)),"")&lt;&gt;"",IFERROR(INDEX(Expenses!B$3:B$1002,SMALL(IF((Expenses!E$3:E$1002="GBP")*(Expenses!A$3:A$1002=DATE(2026,2,28)),ROW(Expenses!A$3:A$1002)-2),3)),""),IF(IFERROR(INDEX(Income!B$3:B$502,SMALL(IF((Income!D$3:D$502="GBP")*(Income!A$3:A$502=DATE(2026,2,28)),ROW(Income!A$3:A$502)-2),3)),"")&lt;&gt;"",IFERROR(INDEX(Income!B$3:B$502,SMALL(IF((Income!D$3:D$502="GBP")*(Income!A$3:A$502=DATE(2026,2,28)),ROW(Income!A$3:A$502)-2),3)),""),""))</f>
        <v/>
      </c>
      <c r="O46" s="62" t="str">
        <f aca="false">IF(IFERROR(-INDEX(Expenses!D$3:D$1002,SMALL(IF((Expenses!E$3:E$1002="GBP")*(Expenses!A$3:A$1002=DATE(2026,3,1)),ROW(Expenses!A$3:A$1002)-2),3)),0)+IFERROR(INDEX(Income!C$3:C$502,SMALL(IF((Income!D$3:D$502="GBP")*(Income!A$3:A$502=DATE(2026,3,1)),ROW(Income!A$3:A$502)-2),3)),0)=0,"",IFERROR(-INDEX(Expenses!D$3:D$1002,SMALL(IF((Expenses!E$3:E$1002="GBP")*(Expenses!A$3:A$1002=DATE(2026,3,1)),ROW(Expenses!A$3:A$1002)-2),3)),0)+IFERROR(INDEX(Income!C$3:C$502,SMALL(IF((Income!D$3:D$502="GBP")*(Income!A$3:A$502=DATE(2026,3,1)),ROW(Income!A$3:A$502)-2),3)),0))</f>
        <v/>
      </c>
      <c r="P46" s="38" t="str">
        <f aca="false">IF(IFERROR(INDEX(Expenses!B$3:B$1002,SMALL(IF((Expenses!E$3:E$1002="GBP")*(Expenses!A$3:A$1002=DATE(2026,3,1)),ROW(Expenses!A$3:A$1002)-2),3)),"")&lt;&gt;"",IFERROR(INDEX(Expenses!B$3:B$1002,SMALL(IF((Expenses!E$3:E$1002="GBP")*(Expenses!A$3:A$1002=DATE(2026,3,1)),ROW(Expenses!A$3:A$1002)-2),3)),""),IF(IFERROR(INDEX(Income!B$3:B$502,SMALL(IF((Income!D$3:D$502="GBP")*(Income!A$3:A$502=DATE(2026,3,1)),ROW(Income!A$3:A$502)-2),3)),"")&lt;&gt;"",IFERROR(INDEX(Income!B$3:B$502,SMALL(IF((Income!D$3:D$502="GBP")*(Income!A$3:A$502=DATE(2026,3,1)),ROW(Income!A$3:A$502)-2),3)),""),""))</f>
        <v/>
      </c>
      <c r="Q46" s="16"/>
      <c r="R46" s="16"/>
    </row>
    <row r="47" customFormat="false" ht="15" hidden="false" customHeight="false" outlineLevel="0" collapsed="false">
      <c r="A47" s="16"/>
      <c r="B47" s="16"/>
      <c r="C47" s="62" t="str">
        <f aca="false">IF(IFERROR(-INDEX(Expenses!D$3:D$1002,SMALL(IF((Expenses!E$3:E$1002="GBP")*(Expenses!A$3:A$1002=DATE(2026,2,23)),ROW(Expenses!A$3:A$1002)-2),4)),0)+IFERROR(INDEX(Income!C$3:C$502,SMALL(IF((Income!D$3:D$502="GBP")*(Income!A$3:A$502=DATE(2026,2,23)),ROW(Income!A$3:A$502)-2),4)),0)=0,"",IFERROR(-INDEX(Expenses!D$3:D$1002,SMALL(IF((Expenses!E$3:E$1002="GBP")*(Expenses!A$3:A$1002=DATE(2026,2,23)),ROW(Expenses!A$3:A$1002)-2),4)),0)+IFERROR(INDEX(Income!C$3:C$502,SMALL(IF((Income!D$3:D$502="GBP")*(Income!A$3:A$502=DATE(2026,2,23)),ROW(Income!A$3:A$502)-2),4)),0))</f>
        <v/>
      </c>
      <c r="D47" s="38" t="str">
        <f aca="false">IF(IFERROR(INDEX(Expenses!B$3:B$1002,SMALL(IF((Expenses!E$3:E$1002="GBP")*(Expenses!A$3:A$1002=DATE(2026,2,23)),ROW(Expenses!A$3:A$1002)-2),4)),"")&lt;&gt;"",IFERROR(INDEX(Expenses!B$3:B$1002,SMALL(IF((Expenses!E$3:E$1002="GBP")*(Expenses!A$3:A$1002=DATE(2026,2,23)),ROW(Expenses!A$3:A$1002)-2),4)),""),IF(IFERROR(INDEX(Income!B$3:B$502,SMALL(IF((Income!D$3:D$502="GBP")*(Income!A$3:A$502=DATE(2026,2,23)),ROW(Income!A$3:A$502)-2),4)),"")&lt;&gt;"",IFERROR(INDEX(Income!B$3:B$502,SMALL(IF((Income!D$3:D$502="GBP")*(Income!A$3:A$502=DATE(2026,2,23)),ROW(Income!A$3:A$502)-2),4)),""),""))</f>
        <v/>
      </c>
      <c r="E47" s="62" t="str">
        <f aca="false">IF(IFERROR(-INDEX(Expenses!D$3:D$1002,SMALL(IF((Expenses!E$3:E$1002="GBP")*(Expenses!A$3:A$1002=DATE(2026,2,24)),ROW(Expenses!A$3:A$1002)-2),4)),0)+IFERROR(INDEX(Income!C$3:C$502,SMALL(IF((Income!D$3:D$502="GBP")*(Income!A$3:A$502=DATE(2026,2,24)),ROW(Income!A$3:A$502)-2),4)),0)=0,"",IFERROR(-INDEX(Expenses!D$3:D$1002,SMALL(IF((Expenses!E$3:E$1002="GBP")*(Expenses!A$3:A$1002=DATE(2026,2,24)),ROW(Expenses!A$3:A$1002)-2),4)),0)+IFERROR(INDEX(Income!C$3:C$502,SMALL(IF((Income!D$3:D$502="GBP")*(Income!A$3:A$502=DATE(2026,2,24)),ROW(Income!A$3:A$502)-2),4)),0))</f>
        <v/>
      </c>
      <c r="F47" s="38" t="str">
        <f aca="false">IF(IFERROR(INDEX(Expenses!B$3:B$1002,SMALL(IF((Expenses!E$3:E$1002="GBP")*(Expenses!A$3:A$1002=DATE(2026,2,24)),ROW(Expenses!A$3:A$1002)-2),4)),"")&lt;&gt;"",IFERROR(INDEX(Expenses!B$3:B$1002,SMALL(IF((Expenses!E$3:E$1002="GBP")*(Expenses!A$3:A$1002=DATE(2026,2,24)),ROW(Expenses!A$3:A$1002)-2),4)),""),IF(IFERROR(INDEX(Income!B$3:B$502,SMALL(IF((Income!D$3:D$502="GBP")*(Income!A$3:A$502=DATE(2026,2,24)),ROW(Income!A$3:A$502)-2),4)),"")&lt;&gt;"",IFERROR(INDEX(Income!B$3:B$502,SMALL(IF((Income!D$3:D$502="GBP")*(Income!A$3:A$502=DATE(2026,2,24)),ROW(Income!A$3:A$502)-2),4)),""),""))</f>
        <v/>
      </c>
      <c r="G47" s="62" t="str">
        <f aca="false">IF(IFERROR(-INDEX(Expenses!D$3:D$1002,SMALL(IF((Expenses!E$3:E$1002="GBP")*(Expenses!A$3:A$1002=DATE(2026,2,25)),ROW(Expenses!A$3:A$1002)-2),4)),0)+IFERROR(INDEX(Income!C$3:C$502,SMALL(IF((Income!D$3:D$502="GBP")*(Income!A$3:A$502=DATE(2026,2,25)),ROW(Income!A$3:A$502)-2),4)),0)=0,"",IFERROR(-INDEX(Expenses!D$3:D$1002,SMALL(IF((Expenses!E$3:E$1002="GBP")*(Expenses!A$3:A$1002=DATE(2026,2,25)),ROW(Expenses!A$3:A$1002)-2),4)),0)+IFERROR(INDEX(Income!C$3:C$502,SMALL(IF((Income!D$3:D$502="GBP")*(Income!A$3:A$502=DATE(2026,2,25)),ROW(Income!A$3:A$502)-2),4)),0))</f>
        <v/>
      </c>
      <c r="H47" s="38" t="str">
        <f aca="false">IF(IFERROR(INDEX(Expenses!B$3:B$1002,SMALL(IF((Expenses!E$3:E$1002="GBP")*(Expenses!A$3:A$1002=DATE(2026,2,25)),ROW(Expenses!A$3:A$1002)-2),4)),"")&lt;&gt;"",IFERROR(INDEX(Expenses!B$3:B$1002,SMALL(IF((Expenses!E$3:E$1002="GBP")*(Expenses!A$3:A$1002=DATE(2026,2,25)),ROW(Expenses!A$3:A$1002)-2),4)),""),IF(IFERROR(INDEX(Income!B$3:B$502,SMALL(IF((Income!D$3:D$502="GBP")*(Income!A$3:A$502=DATE(2026,2,25)),ROW(Income!A$3:A$502)-2),4)),"")&lt;&gt;"",IFERROR(INDEX(Income!B$3:B$502,SMALL(IF((Income!D$3:D$502="GBP")*(Income!A$3:A$502=DATE(2026,2,25)),ROW(Income!A$3:A$502)-2),4)),""),""))</f>
        <v/>
      </c>
      <c r="I47" s="62" t="str">
        <f aca="false">IF(IFERROR(-INDEX(Expenses!D$3:D$1002,SMALL(IF((Expenses!E$3:E$1002="GBP")*(Expenses!A$3:A$1002=DATE(2026,2,26)),ROW(Expenses!A$3:A$1002)-2),4)),0)+IFERROR(INDEX(Income!C$3:C$502,SMALL(IF((Income!D$3:D$502="GBP")*(Income!A$3:A$502=DATE(2026,2,26)),ROW(Income!A$3:A$502)-2),4)),0)=0,"",IFERROR(-INDEX(Expenses!D$3:D$1002,SMALL(IF((Expenses!E$3:E$1002="GBP")*(Expenses!A$3:A$1002=DATE(2026,2,26)),ROW(Expenses!A$3:A$1002)-2),4)),0)+IFERROR(INDEX(Income!C$3:C$502,SMALL(IF((Income!D$3:D$502="GBP")*(Income!A$3:A$502=DATE(2026,2,26)),ROW(Income!A$3:A$502)-2),4)),0))</f>
        <v/>
      </c>
      <c r="J47" s="38" t="str">
        <f aca="false">IF(IFERROR(INDEX(Expenses!B$3:B$1002,SMALL(IF((Expenses!E$3:E$1002="GBP")*(Expenses!A$3:A$1002=DATE(2026,2,26)),ROW(Expenses!A$3:A$1002)-2),4)),"")&lt;&gt;"",IFERROR(INDEX(Expenses!B$3:B$1002,SMALL(IF((Expenses!E$3:E$1002="GBP")*(Expenses!A$3:A$1002=DATE(2026,2,26)),ROW(Expenses!A$3:A$1002)-2),4)),""),IF(IFERROR(INDEX(Income!B$3:B$502,SMALL(IF((Income!D$3:D$502="GBP")*(Income!A$3:A$502=DATE(2026,2,26)),ROW(Income!A$3:A$502)-2),4)),"")&lt;&gt;"",IFERROR(INDEX(Income!B$3:B$502,SMALL(IF((Income!D$3:D$502="GBP")*(Income!A$3:A$502=DATE(2026,2,26)),ROW(Income!A$3:A$502)-2),4)),""),""))</f>
        <v/>
      </c>
      <c r="K47" s="62" t="str">
        <f aca="false">IF(IFERROR(-INDEX(Expenses!D$3:D$1002,SMALL(IF((Expenses!E$3:E$1002="GBP")*(Expenses!A$3:A$1002=DATE(2026,2,27)),ROW(Expenses!A$3:A$1002)-2),4)),0)+IFERROR(INDEX(Income!C$3:C$502,SMALL(IF((Income!D$3:D$502="GBP")*(Income!A$3:A$502=DATE(2026,2,27)),ROW(Income!A$3:A$502)-2),4)),0)=0,"",IFERROR(-INDEX(Expenses!D$3:D$1002,SMALL(IF((Expenses!E$3:E$1002="GBP")*(Expenses!A$3:A$1002=DATE(2026,2,27)),ROW(Expenses!A$3:A$1002)-2),4)),0)+IFERROR(INDEX(Income!C$3:C$502,SMALL(IF((Income!D$3:D$502="GBP")*(Income!A$3:A$502=DATE(2026,2,27)),ROW(Income!A$3:A$502)-2),4)),0))</f>
        <v/>
      </c>
      <c r="L47" s="38" t="str">
        <f aca="false">IF(IFERROR(INDEX(Expenses!B$3:B$1002,SMALL(IF((Expenses!E$3:E$1002="GBP")*(Expenses!A$3:A$1002=DATE(2026,2,27)),ROW(Expenses!A$3:A$1002)-2),4)),"")&lt;&gt;"",IFERROR(INDEX(Expenses!B$3:B$1002,SMALL(IF((Expenses!E$3:E$1002="GBP")*(Expenses!A$3:A$1002=DATE(2026,2,27)),ROW(Expenses!A$3:A$1002)-2),4)),""),IF(IFERROR(INDEX(Income!B$3:B$502,SMALL(IF((Income!D$3:D$502="GBP")*(Income!A$3:A$502=DATE(2026,2,27)),ROW(Income!A$3:A$502)-2),4)),"")&lt;&gt;"",IFERROR(INDEX(Income!B$3:B$502,SMALL(IF((Income!D$3:D$502="GBP")*(Income!A$3:A$502=DATE(2026,2,27)),ROW(Income!A$3:A$502)-2),4)),""),""))</f>
        <v/>
      </c>
      <c r="M47" s="62" t="str">
        <f aca="false">IF(IFERROR(-INDEX(Expenses!D$3:D$1002,SMALL(IF((Expenses!E$3:E$1002="GBP")*(Expenses!A$3:A$1002=DATE(2026,2,28)),ROW(Expenses!A$3:A$1002)-2),4)),0)+IFERROR(INDEX(Income!C$3:C$502,SMALL(IF((Income!D$3:D$502="GBP")*(Income!A$3:A$502=DATE(2026,2,28)),ROW(Income!A$3:A$502)-2),4)),0)=0,"",IFERROR(-INDEX(Expenses!D$3:D$1002,SMALL(IF((Expenses!E$3:E$1002="GBP")*(Expenses!A$3:A$1002=DATE(2026,2,28)),ROW(Expenses!A$3:A$1002)-2),4)),0)+IFERROR(INDEX(Income!C$3:C$502,SMALL(IF((Income!D$3:D$502="GBP")*(Income!A$3:A$502=DATE(2026,2,28)),ROW(Income!A$3:A$502)-2),4)),0))</f>
        <v/>
      </c>
      <c r="N47" s="38" t="str">
        <f aca="false">IF(IFERROR(INDEX(Expenses!B$3:B$1002,SMALL(IF((Expenses!E$3:E$1002="GBP")*(Expenses!A$3:A$1002=DATE(2026,2,28)),ROW(Expenses!A$3:A$1002)-2),4)),"")&lt;&gt;"",IFERROR(INDEX(Expenses!B$3:B$1002,SMALL(IF((Expenses!E$3:E$1002="GBP")*(Expenses!A$3:A$1002=DATE(2026,2,28)),ROW(Expenses!A$3:A$1002)-2),4)),""),IF(IFERROR(INDEX(Income!B$3:B$502,SMALL(IF((Income!D$3:D$502="GBP")*(Income!A$3:A$502=DATE(2026,2,28)),ROW(Income!A$3:A$502)-2),4)),"")&lt;&gt;"",IFERROR(INDEX(Income!B$3:B$502,SMALL(IF((Income!D$3:D$502="GBP")*(Income!A$3:A$502=DATE(2026,2,28)),ROW(Income!A$3:A$502)-2),4)),""),""))</f>
        <v/>
      </c>
      <c r="O47" s="62" t="str">
        <f aca="false">IF(IFERROR(-INDEX(Expenses!D$3:D$1002,SMALL(IF((Expenses!E$3:E$1002="GBP")*(Expenses!A$3:A$1002=DATE(2026,3,1)),ROW(Expenses!A$3:A$1002)-2),4)),0)+IFERROR(INDEX(Income!C$3:C$502,SMALL(IF((Income!D$3:D$502="GBP")*(Income!A$3:A$502=DATE(2026,3,1)),ROW(Income!A$3:A$502)-2),4)),0)=0,"",IFERROR(-INDEX(Expenses!D$3:D$1002,SMALL(IF((Expenses!E$3:E$1002="GBP")*(Expenses!A$3:A$1002=DATE(2026,3,1)),ROW(Expenses!A$3:A$1002)-2),4)),0)+IFERROR(INDEX(Income!C$3:C$502,SMALL(IF((Income!D$3:D$502="GBP")*(Income!A$3:A$502=DATE(2026,3,1)),ROW(Income!A$3:A$502)-2),4)),0))</f>
        <v/>
      </c>
      <c r="P47" s="38" t="str">
        <f aca="false">IF(IFERROR(INDEX(Expenses!B$3:B$1002,SMALL(IF((Expenses!E$3:E$1002="GBP")*(Expenses!A$3:A$1002=DATE(2026,3,1)),ROW(Expenses!A$3:A$1002)-2),4)),"")&lt;&gt;"",IFERROR(INDEX(Expenses!B$3:B$1002,SMALL(IF((Expenses!E$3:E$1002="GBP")*(Expenses!A$3:A$1002=DATE(2026,3,1)),ROW(Expenses!A$3:A$1002)-2),4)),""),IF(IFERROR(INDEX(Income!B$3:B$502,SMALL(IF((Income!D$3:D$502="GBP")*(Income!A$3:A$502=DATE(2026,3,1)),ROW(Income!A$3:A$502)-2),4)),"")&lt;&gt;"",IFERROR(INDEX(Income!B$3:B$502,SMALL(IF((Income!D$3:D$502="GBP")*(Income!A$3:A$502=DATE(2026,3,1)),ROW(Income!A$3:A$502)-2),4)),""),""))</f>
        <v/>
      </c>
      <c r="Q47" s="16"/>
      <c r="R47" s="16"/>
    </row>
    <row r="48" customFormat="false" ht="15" hidden="false" customHeight="false" outlineLevel="0" collapsed="false">
      <c r="A48" s="16"/>
      <c r="B48" s="16"/>
      <c r="C48" s="62" t="str">
        <f aca="false">IF(IFERROR(-INDEX(Expenses!D$3:D$1002,SMALL(IF((Expenses!E$3:E$1002="GBP")*(Expenses!A$3:A$1002=DATE(2026,2,23)),ROW(Expenses!A$3:A$1002)-2),5)),0)+IFERROR(INDEX(Income!C$3:C$502,SMALL(IF((Income!D$3:D$502="GBP")*(Income!A$3:A$502=DATE(2026,2,23)),ROW(Income!A$3:A$502)-2),5)),0)=0,"",IFERROR(-INDEX(Expenses!D$3:D$1002,SMALL(IF((Expenses!E$3:E$1002="GBP")*(Expenses!A$3:A$1002=DATE(2026,2,23)),ROW(Expenses!A$3:A$1002)-2),5)),0)+IFERROR(INDEX(Income!C$3:C$502,SMALL(IF((Income!D$3:D$502="GBP")*(Income!A$3:A$502=DATE(2026,2,23)),ROW(Income!A$3:A$502)-2),5)),0))</f>
        <v/>
      </c>
      <c r="D48" s="38" t="str">
        <f aca="false">IF(IFERROR(INDEX(Expenses!B$3:B$1002,SMALL(IF((Expenses!E$3:E$1002="GBP")*(Expenses!A$3:A$1002=DATE(2026,2,23)),ROW(Expenses!A$3:A$1002)-2),5)),"")&lt;&gt;"",IFERROR(INDEX(Expenses!B$3:B$1002,SMALL(IF((Expenses!E$3:E$1002="GBP")*(Expenses!A$3:A$1002=DATE(2026,2,23)),ROW(Expenses!A$3:A$1002)-2),5)),""),IF(IFERROR(INDEX(Income!B$3:B$502,SMALL(IF((Income!D$3:D$502="GBP")*(Income!A$3:A$502=DATE(2026,2,23)),ROW(Income!A$3:A$502)-2),5)),"")&lt;&gt;"",IFERROR(INDEX(Income!B$3:B$502,SMALL(IF((Income!D$3:D$502="GBP")*(Income!A$3:A$502=DATE(2026,2,23)),ROW(Income!A$3:A$502)-2),5)),""),""))</f>
        <v/>
      </c>
      <c r="E48" s="62" t="str">
        <f aca="false">IF(IFERROR(-INDEX(Expenses!D$3:D$1002,SMALL(IF((Expenses!E$3:E$1002="GBP")*(Expenses!A$3:A$1002=DATE(2026,2,24)),ROW(Expenses!A$3:A$1002)-2),5)),0)+IFERROR(INDEX(Income!C$3:C$502,SMALL(IF((Income!D$3:D$502="GBP")*(Income!A$3:A$502=DATE(2026,2,24)),ROW(Income!A$3:A$502)-2),5)),0)=0,"",IFERROR(-INDEX(Expenses!D$3:D$1002,SMALL(IF((Expenses!E$3:E$1002="GBP")*(Expenses!A$3:A$1002=DATE(2026,2,24)),ROW(Expenses!A$3:A$1002)-2),5)),0)+IFERROR(INDEX(Income!C$3:C$502,SMALL(IF((Income!D$3:D$502="GBP")*(Income!A$3:A$502=DATE(2026,2,24)),ROW(Income!A$3:A$502)-2),5)),0))</f>
        <v/>
      </c>
      <c r="F48" s="38" t="str">
        <f aca="false">IF(IFERROR(INDEX(Expenses!B$3:B$1002,SMALL(IF((Expenses!E$3:E$1002="GBP")*(Expenses!A$3:A$1002=DATE(2026,2,24)),ROW(Expenses!A$3:A$1002)-2),5)),"")&lt;&gt;"",IFERROR(INDEX(Expenses!B$3:B$1002,SMALL(IF((Expenses!E$3:E$1002="GBP")*(Expenses!A$3:A$1002=DATE(2026,2,24)),ROW(Expenses!A$3:A$1002)-2),5)),""),IF(IFERROR(INDEX(Income!B$3:B$502,SMALL(IF((Income!D$3:D$502="GBP")*(Income!A$3:A$502=DATE(2026,2,24)),ROW(Income!A$3:A$502)-2),5)),"")&lt;&gt;"",IFERROR(INDEX(Income!B$3:B$502,SMALL(IF((Income!D$3:D$502="GBP")*(Income!A$3:A$502=DATE(2026,2,24)),ROW(Income!A$3:A$502)-2),5)),""),""))</f>
        <v/>
      </c>
      <c r="G48" s="62" t="str">
        <f aca="false">IF(IFERROR(-INDEX(Expenses!D$3:D$1002,SMALL(IF((Expenses!E$3:E$1002="GBP")*(Expenses!A$3:A$1002=DATE(2026,2,25)),ROW(Expenses!A$3:A$1002)-2),5)),0)+IFERROR(INDEX(Income!C$3:C$502,SMALL(IF((Income!D$3:D$502="GBP")*(Income!A$3:A$502=DATE(2026,2,25)),ROW(Income!A$3:A$502)-2),5)),0)=0,"",IFERROR(-INDEX(Expenses!D$3:D$1002,SMALL(IF((Expenses!E$3:E$1002="GBP")*(Expenses!A$3:A$1002=DATE(2026,2,25)),ROW(Expenses!A$3:A$1002)-2),5)),0)+IFERROR(INDEX(Income!C$3:C$502,SMALL(IF((Income!D$3:D$502="GBP")*(Income!A$3:A$502=DATE(2026,2,25)),ROW(Income!A$3:A$502)-2),5)),0))</f>
        <v/>
      </c>
      <c r="H48" s="38" t="str">
        <f aca="false">IF(IFERROR(INDEX(Expenses!B$3:B$1002,SMALL(IF((Expenses!E$3:E$1002="GBP")*(Expenses!A$3:A$1002=DATE(2026,2,25)),ROW(Expenses!A$3:A$1002)-2),5)),"")&lt;&gt;"",IFERROR(INDEX(Expenses!B$3:B$1002,SMALL(IF((Expenses!E$3:E$1002="GBP")*(Expenses!A$3:A$1002=DATE(2026,2,25)),ROW(Expenses!A$3:A$1002)-2),5)),""),IF(IFERROR(INDEX(Income!B$3:B$502,SMALL(IF((Income!D$3:D$502="GBP")*(Income!A$3:A$502=DATE(2026,2,25)),ROW(Income!A$3:A$502)-2),5)),"")&lt;&gt;"",IFERROR(INDEX(Income!B$3:B$502,SMALL(IF((Income!D$3:D$502="GBP")*(Income!A$3:A$502=DATE(2026,2,25)),ROW(Income!A$3:A$502)-2),5)),""),""))</f>
        <v/>
      </c>
      <c r="I48" s="62" t="str">
        <f aca="false">IF(IFERROR(-INDEX(Expenses!D$3:D$1002,SMALL(IF((Expenses!E$3:E$1002="GBP")*(Expenses!A$3:A$1002=DATE(2026,2,26)),ROW(Expenses!A$3:A$1002)-2),5)),0)+IFERROR(INDEX(Income!C$3:C$502,SMALL(IF((Income!D$3:D$502="GBP")*(Income!A$3:A$502=DATE(2026,2,26)),ROW(Income!A$3:A$502)-2),5)),0)=0,"",IFERROR(-INDEX(Expenses!D$3:D$1002,SMALL(IF((Expenses!E$3:E$1002="GBP")*(Expenses!A$3:A$1002=DATE(2026,2,26)),ROW(Expenses!A$3:A$1002)-2),5)),0)+IFERROR(INDEX(Income!C$3:C$502,SMALL(IF((Income!D$3:D$502="GBP")*(Income!A$3:A$502=DATE(2026,2,26)),ROW(Income!A$3:A$502)-2),5)),0))</f>
        <v/>
      </c>
      <c r="J48" s="38" t="str">
        <f aca="false">IF(IFERROR(INDEX(Expenses!B$3:B$1002,SMALL(IF((Expenses!E$3:E$1002="GBP")*(Expenses!A$3:A$1002=DATE(2026,2,26)),ROW(Expenses!A$3:A$1002)-2),5)),"")&lt;&gt;"",IFERROR(INDEX(Expenses!B$3:B$1002,SMALL(IF((Expenses!E$3:E$1002="GBP")*(Expenses!A$3:A$1002=DATE(2026,2,26)),ROW(Expenses!A$3:A$1002)-2),5)),""),IF(IFERROR(INDEX(Income!B$3:B$502,SMALL(IF((Income!D$3:D$502="GBP")*(Income!A$3:A$502=DATE(2026,2,26)),ROW(Income!A$3:A$502)-2),5)),"")&lt;&gt;"",IFERROR(INDEX(Income!B$3:B$502,SMALL(IF((Income!D$3:D$502="GBP")*(Income!A$3:A$502=DATE(2026,2,26)),ROW(Income!A$3:A$502)-2),5)),""),""))</f>
        <v/>
      </c>
      <c r="K48" s="62" t="str">
        <f aca="false">IF(IFERROR(-INDEX(Expenses!D$3:D$1002,SMALL(IF((Expenses!E$3:E$1002="GBP")*(Expenses!A$3:A$1002=DATE(2026,2,27)),ROW(Expenses!A$3:A$1002)-2),5)),0)+IFERROR(INDEX(Income!C$3:C$502,SMALL(IF((Income!D$3:D$502="GBP")*(Income!A$3:A$502=DATE(2026,2,27)),ROW(Income!A$3:A$502)-2),5)),0)=0,"",IFERROR(-INDEX(Expenses!D$3:D$1002,SMALL(IF((Expenses!E$3:E$1002="GBP")*(Expenses!A$3:A$1002=DATE(2026,2,27)),ROW(Expenses!A$3:A$1002)-2),5)),0)+IFERROR(INDEX(Income!C$3:C$502,SMALL(IF((Income!D$3:D$502="GBP")*(Income!A$3:A$502=DATE(2026,2,27)),ROW(Income!A$3:A$502)-2),5)),0))</f>
        <v/>
      </c>
      <c r="L48" s="38" t="str">
        <f aca="false">IF(IFERROR(INDEX(Expenses!B$3:B$1002,SMALL(IF((Expenses!E$3:E$1002="GBP")*(Expenses!A$3:A$1002=DATE(2026,2,27)),ROW(Expenses!A$3:A$1002)-2),5)),"")&lt;&gt;"",IFERROR(INDEX(Expenses!B$3:B$1002,SMALL(IF((Expenses!E$3:E$1002="GBP")*(Expenses!A$3:A$1002=DATE(2026,2,27)),ROW(Expenses!A$3:A$1002)-2),5)),""),IF(IFERROR(INDEX(Income!B$3:B$502,SMALL(IF((Income!D$3:D$502="GBP")*(Income!A$3:A$502=DATE(2026,2,27)),ROW(Income!A$3:A$502)-2),5)),"")&lt;&gt;"",IFERROR(INDEX(Income!B$3:B$502,SMALL(IF((Income!D$3:D$502="GBP")*(Income!A$3:A$502=DATE(2026,2,27)),ROW(Income!A$3:A$502)-2),5)),""),""))</f>
        <v/>
      </c>
      <c r="M48" s="62" t="str">
        <f aca="false">IF(IFERROR(-INDEX(Expenses!D$3:D$1002,SMALL(IF((Expenses!E$3:E$1002="GBP")*(Expenses!A$3:A$1002=DATE(2026,2,28)),ROW(Expenses!A$3:A$1002)-2),5)),0)+IFERROR(INDEX(Income!C$3:C$502,SMALL(IF((Income!D$3:D$502="GBP")*(Income!A$3:A$502=DATE(2026,2,28)),ROW(Income!A$3:A$502)-2),5)),0)=0,"",IFERROR(-INDEX(Expenses!D$3:D$1002,SMALL(IF((Expenses!E$3:E$1002="GBP")*(Expenses!A$3:A$1002=DATE(2026,2,28)),ROW(Expenses!A$3:A$1002)-2),5)),0)+IFERROR(INDEX(Income!C$3:C$502,SMALL(IF((Income!D$3:D$502="GBP")*(Income!A$3:A$502=DATE(2026,2,28)),ROW(Income!A$3:A$502)-2),5)),0))</f>
        <v/>
      </c>
      <c r="N48" s="38" t="str">
        <f aca="false">IF(IFERROR(INDEX(Expenses!B$3:B$1002,SMALL(IF((Expenses!E$3:E$1002="GBP")*(Expenses!A$3:A$1002=DATE(2026,2,28)),ROW(Expenses!A$3:A$1002)-2),5)),"")&lt;&gt;"",IFERROR(INDEX(Expenses!B$3:B$1002,SMALL(IF((Expenses!E$3:E$1002="GBP")*(Expenses!A$3:A$1002=DATE(2026,2,28)),ROW(Expenses!A$3:A$1002)-2),5)),""),IF(IFERROR(INDEX(Income!B$3:B$502,SMALL(IF((Income!D$3:D$502="GBP")*(Income!A$3:A$502=DATE(2026,2,28)),ROW(Income!A$3:A$502)-2),5)),"")&lt;&gt;"",IFERROR(INDEX(Income!B$3:B$502,SMALL(IF((Income!D$3:D$502="GBP")*(Income!A$3:A$502=DATE(2026,2,28)),ROW(Income!A$3:A$502)-2),5)),""),""))</f>
        <v/>
      </c>
      <c r="O48" s="62" t="str">
        <f aca="false">IF(IFERROR(-INDEX(Expenses!D$3:D$1002,SMALL(IF((Expenses!E$3:E$1002="GBP")*(Expenses!A$3:A$1002=DATE(2026,3,1)),ROW(Expenses!A$3:A$1002)-2),5)),0)+IFERROR(INDEX(Income!C$3:C$502,SMALL(IF((Income!D$3:D$502="GBP")*(Income!A$3:A$502=DATE(2026,3,1)),ROW(Income!A$3:A$502)-2),5)),0)=0,"",IFERROR(-INDEX(Expenses!D$3:D$1002,SMALL(IF((Expenses!E$3:E$1002="GBP")*(Expenses!A$3:A$1002=DATE(2026,3,1)),ROW(Expenses!A$3:A$1002)-2),5)),0)+IFERROR(INDEX(Income!C$3:C$502,SMALL(IF((Income!D$3:D$502="GBP")*(Income!A$3:A$502=DATE(2026,3,1)),ROW(Income!A$3:A$502)-2),5)),0))</f>
        <v/>
      </c>
      <c r="P48" s="38" t="str">
        <f aca="false">IF(IFERROR(INDEX(Expenses!B$3:B$1002,SMALL(IF((Expenses!E$3:E$1002="GBP")*(Expenses!A$3:A$1002=DATE(2026,3,1)),ROW(Expenses!A$3:A$1002)-2),5)),"")&lt;&gt;"",IFERROR(INDEX(Expenses!B$3:B$1002,SMALL(IF((Expenses!E$3:E$1002="GBP")*(Expenses!A$3:A$1002=DATE(2026,3,1)),ROW(Expenses!A$3:A$1002)-2),5)),""),IF(IFERROR(INDEX(Income!B$3:B$502,SMALL(IF((Income!D$3:D$502="GBP")*(Income!A$3:A$502=DATE(2026,3,1)),ROW(Income!A$3:A$502)-2),5)),"")&lt;&gt;"",IFERROR(INDEX(Income!B$3:B$502,SMALL(IF((Income!D$3:D$502="GBP")*(Income!A$3:A$502=DATE(2026,3,1)),ROW(Income!A$3:A$502)-2),5)),""),""))</f>
        <v/>
      </c>
      <c r="Q48" s="16"/>
      <c r="R48" s="16"/>
    </row>
    <row r="49" customFormat="false" ht="15" hidden="false" customHeight="false" outlineLevel="0" collapsed="false">
      <c r="A49" s="61" t="n">
        <v>46083</v>
      </c>
      <c r="B49" s="3" t="n">
        <v>10</v>
      </c>
      <c r="C49" s="62" t="str">
        <f aca="false">IF(IFERROR(-INDEX(Expenses!D$3:D$1002,SMALL(IF((Expenses!E$3:E$1002="GBP")*(Expenses!A$3:A$1002=DATE(2026,3,2)),ROW(Expenses!A$3:A$1002)-2),1)),0)+IFERROR(INDEX(Income!C$3:C$502,SMALL(IF((Income!D$3:D$502="GBP")*(Income!A$3:A$502=DATE(2026,3,2)),ROW(Income!A$3:A$502)-2),1)),0)=0,"",IFERROR(-INDEX(Expenses!D$3:D$1002,SMALL(IF((Expenses!E$3:E$1002="GBP")*(Expenses!A$3:A$1002=DATE(2026,3,2)),ROW(Expenses!A$3:A$1002)-2),1)),0)+IFERROR(INDEX(Income!C$3:C$502,SMALL(IF((Income!D$3:D$502="GBP")*(Income!A$3:A$502=DATE(2026,3,2)),ROW(Income!A$3:A$502)-2),1)),0))</f>
        <v/>
      </c>
      <c r="D49" s="38" t="str">
        <f aca="false">IF(IFERROR(INDEX(Expenses!B$3:B$1002,SMALL(IF((Expenses!E$3:E$1002="GBP")*(Expenses!A$3:A$1002=DATE(2026,3,2)),ROW(Expenses!A$3:A$1002)-2),1)),"")&lt;&gt;"",IFERROR(INDEX(Expenses!B$3:B$1002,SMALL(IF((Expenses!E$3:E$1002="GBP")*(Expenses!A$3:A$1002=DATE(2026,3,2)),ROW(Expenses!A$3:A$1002)-2),1)),""),IF(IFERROR(INDEX(Income!B$3:B$502,SMALL(IF((Income!D$3:D$502="GBP")*(Income!A$3:A$502=DATE(2026,3,2)),ROW(Income!A$3:A$502)-2),1)),"")&lt;&gt;"",IFERROR(INDEX(Income!B$3:B$502,SMALL(IF((Income!D$3:D$502="GBP")*(Income!A$3:A$502=DATE(2026,3,2)),ROW(Income!A$3:A$502)-2),1)),""),""))</f>
        <v/>
      </c>
      <c r="E49" s="62" t="str">
        <f aca="false">IF(IFERROR(-INDEX(Expenses!D$3:D$1002,SMALL(IF((Expenses!E$3:E$1002="GBP")*(Expenses!A$3:A$1002=DATE(2026,3,3)),ROW(Expenses!A$3:A$1002)-2),1)),0)+IFERROR(INDEX(Income!C$3:C$502,SMALL(IF((Income!D$3:D$502="GBP")*(Income!A$3:A$502=DATE(2026,3,3)),ROW(Income!A$3:A$502)-2),1)),0)=0,"",IFERROR(-INDEX(Expenses!D$3:D$1002,SMALL(IF((Expenses!E$3:E$1002="GBP")*(Expenses!A$3:A$1002=DATE(2026,3,3)),ROW(Expenses!A$3:A$1002)-2),1)),0)+IFERROR(INDEX(Income!C$3:C$502,SMALL(IF((Income!D$3:D$502="GBP")*(Income!A$3:A$502=DATE(2026,3,3)),ROW(Income!A$3:A$502)-2),1)),0))</f>
        <v/>
      </c>
      <c r="F49" s="38" t="str">
        <f aca="false">IF(IFERROR(INDEX(Expenses!B$3:B$1002,SMALL(IF((Expenses!E$3:E$1002="GBP")*(Expenses!A$3:A$1002=DATE(2026,3,3)),ROW(Expenses!A$3:A$1002)-2),1)),"")&lt;&gt;"",IFERROR(INDEX(Expenses!B$3:B$1002,SMALL(IF((Expenses!E$3:E$1002="GBP")*(Expenses!A$3:A$1002=DATE(2026,3,3)),ROW(Expenses!A$3:A$1002)-2),1)),""),IF(IFERROR(INDEX(Income!B$3:B$502,SMALL(IF((Income!D$3:D$502="GBP")*(Income!A$3:A$502=DATE(2026,3,3)),ROW(Income!A$3:A$502)-2),1)),"")&lt;&gt;"",IFERROR(INDEX(Income!B$3:B$502,SMALL(IF((Income!D$3:D$502="GBP")*(Income!A$3:A$502=DATE(2026,3,3)),ROW(Income!A$3:A$502)-2),1)),""),""))</f>
        <v/>
      </c>
      <c r="G49" s="62" t="str">
        <f aca="false">IF(IFERROR(-INDEX(Expenses!D$3:D$1002,SMALL(IF((Expenses!E$3:E$1002="GBP")*(Expenses!A$3:A$1002=DATE(2026,3,4)),ROW(Expenses!A$3:A$1002)-2),1)),0)+IFERROR(INDEX(Income!C$3:C$502,SMALL(IF((Income!D$3:D$502="GBP")*(Income!A$3:A$502=DATE(2026,3,4)),ROW(Income!A$3:A$502)-2),1)),0)=0,"",IFERROR(-INDEX(Expenses!D$3:D$1002,SMALL(IF((Expenses!E$3:E$1002="GBP")*(Expenses!A$3:A$1002=DATE(2026,3,4)),ROW(Expenses!A$3:A$1002)-2),1)),0)+IFERROR(INDEX(Income!C$3:C$502,SMALL(IF((Income!D$3:D$502="GBP")*(Income!A$3:A$502=DATE(2026,3,4)),ROW(Income!A$3:A$502)-2),1)),0))</f>
        <v/>
      </c>
      <c r="H49" s="38" t="str">
        <f aca="false">IF(IFERROR(INDEX(Expenses!B$3:B$1002,SMALL(IF((Expenses!E$3:E$1002="GBP")*(Expenses!A$3:A$1002=DATE(2026,3,4)),ROW(Expenses!A$3:A$1002)-2),1)),"")&lt;&gt;"",IFERROR(INDEX(Expenses!B$3:B$1002,SMALL(IF((Expenses!E$3:E$1002="GBP")*(Expenses!A$3:A$1002=DATE(2026,3,4)),ROW(Expenses!A$3:A$1002)-2),1)),""),IF(IFERROR(INDEX(Income!B$3:B$502,SMALL(IF((Income!D$3:D$502="GBP")*(Income!A$3:A$502=DATE(2026,3,4)),ROW(Income!A$3:A$502)-2),1)),"")&lt;&gt;"",IFERROR(INDEX(Income!B$3:B$502,SMALL(IF((Income!D$3:D$502="GBP")*(Income!A$3:A$502=DATE(2026,3,4)),ROW(Income!A$3:A$502)-2),1)),""),""))</f>
        <v/>
      </c>
      <c r="I49" s="62" t="str">
        <f aca="false">IF(IFERROR(-INDEX(Expenses!D$3:D$1002,SMALL(IF((Expenses!E$3:E$1002="GBP")*(Expenses!A$3:A$1002=DATE(2026,3,5)),ROW(Expenses!A$3:A$1002)-2),1)),0)+IFERROR(INDEX(Income!C$3:C$502,SMALL(IF((Income!D$3:D$502="GBP")*(Income!A$3:A$502=DATE(2026,3,5)),ROW(Income!A$3:A$502)-2),1)),0)=0,"",IFERROR(-INDEX(Expenses!D$3:D$1002,SMALL(IF((Expenses!E$3:E$1002="GBP")*(Expenses!A$3:A$1002=DATE(2026,3,5)),ROW(Expenses!A$3:A$1002)-2),1)),0)+IFERROR(INDEX(Income!C$3:C$502,SMALL(IF((Income!D$3:D$502="GBP")*(Income!A$3:A$502=DATE(2026,3,5)),ROW(Income!A$3:A$502)-2),1)),0))</f>
        <v/>
      </c>
      <c r="J49" s="38" t="str">
        <f aca="false">IF(IFERROR(INDEX(Expenses!B$3:B$1002,SMALL(IF((Expenses!E$3:E$1002="GBP")*(Expenses!A$3:A$1002=DATE(2026,3,5)),ROW(Expenses!A$3:A$1002)-2),1)),"")&lt;&gt;"",IFERROR(INDEX(Expenses!B$3:B$1002,SMALL(IF((Expenses!E$3:E$1002="GBP")*(Expenses!A$3:A$1002=DATE(2026,3,5)),ROW(Expenses!A$3:A$1002)-2),1)),""),IF(IFERROR(INDEX(Income!B$3:B$502,SMALL(IF((Income!D$3:D$502="GBP")*(Income!A$3:A$502=DATE(2026,3,5)),ROW(Income!A$3:A$502)-2),1)),"")&lt;&gt;"",IFERROR(INDEX(Income!B$3:B$502,SMALL(IF((Income!D$3:D$502="GBP")*(Income!A$3:A$502=DATE(2026,3,5)),ROW(Income!A$3:A$502)-2),1)),""),""))</f>
        <v/>
      </c>
      <c r="K49" s="62" t="str">
        <f aca="false">IF(IFERROR(-INDEX(Expenses!D$3:D$1002,SMALL(IF((Expenses!E$3:E$1002="GBP")*(Expenses!A$3:A$1002=DATE(2026,3,6)),ROW(Expenses!A$3:A$1002)-2),1)),0)+IFERROR(INDEX(Income!C$3:C$502,SMALL(IF((Income!D$3:D$502="GBP")*(Income!A$3:A$502=DATE(2026,3,6)),ROW(Income!A$3:A$502)-2),1)),0)=0,"",IFERROR(-INDEX(Expenses!D$3:D$1002,SMALL(IF((Expenses!E$3:E$1002="GBP")*(Expenses!A$3:A$1002=DATE(2026,3,6)),ROW(Expenses!A$3:A$1002)-2),1)),0)+IFERROR(INDEX(Income!C$3:C$502,SMALL(IF((Income!D$3:D$502="GBP")*(Income!A$3:A$502=DATE(2026,3,6)),ROW(Income!A$3:A$502)-2),1)),0))</f>
        <v/>
      </c>
      <c r="L49" s="38" t="str">
        <f aca="false">IF(IFERROR(INDEX(Expenses!B$3:B$1002,SMALL(IF((Expenses!E$3:E$1002="GBP")*(Expenses!A$3:A$1002=DATE(2026,3,6)),ROW(Expenses!A$3:A$1002)-2),1)),"")&lt;&gt;"",IFERROR(INDEX(Expenses!B$3:B$1002,SMALL(IF((Expenses!E$3:E$1002="GBP")*(Expenses!A$3:A$1002=DATE(2026,3,6)),ROW(Expenses!A$3:A$1002)-2),1)),""),IF(IFERROR(INDEX(Income!B$3:B$502,SMALL(IF((Income!D$3:D$502="GBP")*(Income!A$3:A$502=DATE(2026,3,6)),ROW(Income!A$3:A$502)-2),1)),"")&lt;&gt;"",IFERROR(INDEX(Income!B$3:B$502,SMALL(IF((Income!D$3:D$502="GBP")*(Income!A$3:A$502=DATE(2026,3,6)),ROW(Income!A$3:A$502)-2),1)),""),""))</f>
        <v/>
      </c>
      <c r="M49" s="62" t="str">
        <f aca="false">IF(IFERROR(-INDEX(Expenses!D$3:D$1002,SMALL(IF((Expenses!E$3:E$1002="GBP")*(Expenses!A$3:A$1002=DATE(2026,3,7)),ROW(Expenses!A$3:A$1002)-2),1)),0)+IFERROR(INDEX(Income!C$3:C$502,SMALL(IF((Income!D$3:D$502="GBP")*(Income!A$3:A$502=DATE(2026,3,7)),ROW(Income!A$3:A$502)-2),1)),0)=0,"",IFERROR(-INDEX(Expenses!D$3:D$1002,SMALL(IF((Expenses!E$3:E$1002="GBP")*(Expenses!A$3:A$1002=DATE(2026,3,7)),ROW(Expenses!A$3:A$1002)-2),1)),0)+IFERROR(INDEX(Income!C$3:C$502,SMALL(IF((Income!D$3:D$502="GBP")*(Income!A$3:A$502=DATE(2026,3,7)),ROW(Income!A$3:A$502)-2),1)),0))</f>
        <v/>
      </c>
      <c r="N49" s="38" t="str">
        <f aca="false">IF(IFERROR(INDEX(Expenses!B$3:B$1002,SMALL(IF((Expenses!E$3:E$1002="GBP")*(Expenses!A$3:A$1002=DATE(2026,3,7)),ROW(Expenses!A$3:A$1002)-2),1)),"")&lt;&gt;"",IFERROR(INDEX(Expenses!B$3:B$1002,SMALL(IF((Expenses!E$3:E$1002="GBP")*(Expenses!A$3:A$1002=DATE(2026,3,7)),ROW(Expenses!A$3:A$1002)-2),1)),""),IF(IFERROR(INDEX(Income!B$3:B$502,SMALL(IF((Income!D$3:D$502="GBP")*(Income!A$3:A$502=DATE(2026,3,7)),ROW(Income!A$3:A$502)-2),1)),"")&lt;&gt;"",IFERROR(INDEX(Income!B$3:B$502,SMALL(IF((Income!D$3:D$502="GBP")*(Income!A$3:A$502=DATE(2026,3,7)),ROW(Income!A$3:A$502)-2),1)),""),""))</f>
        <v/>
      </c>
      <c r="O49" s="62" t="str">
        <f aca="false">IF(IFERROR(-INDEX(Expenses!D$3:D$1002,SMALL(IF((Expenses!E$3:E$1002="GBP")*(Expenses!A$3:A$1002=DATE(2026,3,8)),ROW(Expenses!A$3:A$1002)-2),1)),0)+IFERROR(INDEX(Income!C$3:C$502,SMALL(IF((Income!D$3:D$502="GBP")*(Income!A$3:A$502=DATE(2026,3,8)),ROW(Income!A$3:A$502)-2),1)),0)=0,"",IFERROR(-INDEX(Expenses!D$3:D$1002,SMALL(IF((Expenses!E$3:E$1002="GBP")*(Expenses!A$3:A$1002=DATE(2026,3,8)),ROW(Expenses!A$3:A$1002)-2),1)),0)+IFERROR(INDEX(Income!C$3:C$502,SMALL(IF((Income!D$3:D$502="GBP")*(Income!A$3:A$502=DATE(2026,3,8)),ROW(Income!A$3:A$502)-2),1)),0))</f>
        <v/>
      </c>
      <c r="P49" s="38" t="str">
        <f aca="false">IF(IFERROR(INDEX(Expenses!B$3:B$1002,SMALL(IF((Expenses!E$3:E$1002="GBP")*(Expenses!A$3:A$1002=DATE(2026,3,8)),ROW(Expenses!A$3:A$1002)-2),1)),"")&lt;&gt;"",IFERROR(INDEX(Expenses!B$3:B$1002,SMALL(IF((Expenses!E$3:E$1002="GBP")*(Expenses!A$3:A$1002=DATE(2026,3,8)),ROW(Expenses!A$3:A$1002)-2),1)),""),IF(IFERROR(INDEX(Income!B$3:B$502,SMALL(IF((Income!D$3:D$502="GBP")*(Income!A$3:A$502=DATE(2026,3,8)),ROW(Income!A$3:A$502)-2),1)),"")&lt;&gt;"",IFERROR(INDEX(Income!B$3:B$502,SMALL(IF((Income!D$3:D$502="GBP")*(Income!A$3:A$502=DATE(2026,3,8)),ROW(Income!A$3:A$502)-2),1)),""),""))</f>
        <v/>
      </c>
      <c r="Q49" s="3" t="n">
        <v>10</v>
      </c>
      <c r="R49" s="45" t="n">
        <f aca="false">SUM(C49:C53)+SUM(E49:E53)+SUM(G49:G53)+SUM(I49:I53)+SUM(K49:K53)+SUM(M49:M53)+SUM(O49:O53)</f>
        <v>0</v>
      </c>
    </row>
    <row r="50" customFormat="false" ht="15" hidden="false" customHeight="false" outlineLevel="0" collapsed="false">
      <c r="A50" s="16"/>
      <c r="B50" s="16"/>
      <c r="C50" s="62" t="str">
        <f aca="false">IF(IFERROR(-INDEX(Expenses!D$3:D$1002,SMALL(IF((Expenses!E$3:E$1002="GBP")*(Expenses!A$3:A$1002=DATE(2026,3,2)),ROW(Expenses!A$3:A$1002)-2),2)),0)+IFERROR(INDEX(Income!C$3:C$502,SMALL(IF((Income!D$3:D$502="GBP")*(Income!A$3:A$502=DATE(2026,3,2)),ROW(Income!A$3:A$502)-2),2)),0)=0,"",IFERROR(-INDEX(Expenses!D$3:D$1002,SMALL(IF((Expenses!E$3:E$1002="GBP")*(Expenses!A$3:A$1002=DATE(2026,3,2)),ROW(Expenses!A$3:A$1002)-2),2)),0)+IFERROR(INDEX(Income!C$3:C$502,SMALL(IF((Income!D$3:D$502="GBP")*(Income!A$3:A$502=DATE(2026,3,2)),ROW(Income!A$3:A$502)-2),2)),0))</f>
        <v/>
      </c>
      <c r="D50" s="38" t="str">
        <f aca="false">IF(IFERROR(INDEX(Expenses!B$3:B$1002,SMALL(IF((Expenses!E$3:E$1002="GBP")*(Expenses!A$3:A$1002=DATE(2026,3,2)),ROW(Expenses!A$3:A$1002)-2),2)),"")&lt;&gt;"",IFERROR(INDEX(Expenses!B$3:B$1002,SMALL(IF((Expenses!E$3:E$1002="GBP")*(Expenses!A$3:A$1002=DATE(2026,3,2)),ROW(Expenses!A$3:A$1002)-2),2)),""),IF(IFERROR(INDEX(Income!B$3:B$502,SMALL(IF((Income!D$3:D$502="GBP")*(Income!A$3:A$502=DATE(2026,3,2)),ROW(Income!A$3:A$502)-2),2)),"")&lt;&gt;"",IFERROR(INDEX(Income!B$3:B$502,SMALL(IF((Income!D$3:D$502="GBP")*(Income!A$3:A$502=DATE(2026,3,2)),ROW(Income!A$3:A$502)-2),2)),""),""))</f>
        <v/>
      </c>
      <c r="E50" s="62" t="str">
        <f aca="false">IF(IFERROR(-INDEX(Expenses!D$3:D$1002,SMALL(IF((Expenses!E$3:E$1002="GBP")*(Expenses!A$3:A$1002=DATE(2026,3,3)),ROW(Expenses!A$3:A$1002)-2),2)),0)+IFERROR(INDEX(Income!C$3:C$502,SMALL(IF((Income!D$3:D$502="GBP")*(Income!A$3:A$502=DATE(2026,3,3)),ROW(Income!A$3:A$502)-2),2)),0)=0,"",IFERROR(-INDEX(Expenses!D$3:D$1002,SMALL(IF((Expenses!E$3:E$1002="GBP")*(Expenses!A$3:A$1002=DATE(2026,3,3)),ROW(Expenses!A$3:A$1002)-2),2)),0)+IFERROR(INDEX(Income!C$3:C$502,SMALL(IF((Income!D$3:D$502="GBP")*(Income!A$3:A$502=DATE(2026,3,3)),ROW(Income!A$3:A$502)-2),2)),0))</f>
        <v/>
      </c>
      <c r="F50" s="38" t="str">
        <f aca="false">IF(IFERROR(INDEX(Expenses!B$3:B$1002,SMALL(IF((Expenses!E$3:E$1002="GBP")*(Expenses!A$3:A$1002=DATE(2026,3,3)),ROW(Expenses!A$3:A$1002)-2),2)),"")&lt;&gt;"",IFERROR(INDEX(Expenses!B$3:B$1002,SMALL(IF((Expenses!E$3:E$1002="GBP")*(Expenses!A$3:A$1002=DATE(2026,3,3)),ROW(Expenses!A$3:A$1002)-2),2)),""),IF(IFERROR(INDEX(Income!B$3:B$502,SMALL(IF((Income!D$3:D$502="GBP")*(Income!A$3:A$502=DATE(2026,3,3)),ROW(Income!A$3:A$502)-2),2)),"")&lt;&gt;"",IFERROR(INDEX(Income!B$3:B$502,SMALL(IF((Income!D$3:D$502="GBP")*(Income!A$3:A$502=DATE(2026,3,3)),ROW(Income!A$3:A$502)-2),2)),""),""))</f>
        <v/>
      </c>
      <c r="G50" s="62" t="str">
        <f aca="false">IF(IFERROR(-INDEX(Expenses!D$3:D$1002,SMALL(IF((Expenses!E$3:E$1002="GBP")*(Expenses!A$3:A$1002=DATE(2026,3,4)),ROW(Expenses!A$3:A$1002)-2),2)),0)+IFERROR(INDEX(Income!C$3:C$502,SMALL(IF((Income!D$3:D$502="GBP")*(Income!A$3:A$502=DATE(2026,3,4)),ROW(Income!A$3:A$502)-2),2)),0)=0,"",IFERROR(-INDEX(Expenses!D$3:D$1002,SMALL(IF((Expenses!E$3:E$1002="GBP")*(Expenses!A$3:A$1002=DATE(2026,3,4)),ROW(Expenses!A$3:A$1002)-2),2)),0)+IFERROR(INDEX(Income!C$3:C$502,SMALL(IF((Income!D$3:D$502="GBP")*(Income!A$3:A$502=DATE(2026,3,4)),ROW(Income!A$3:A$502)-2),2)),0))</f>
        <v/>
      </c>
      <c r="H50" s="38" t="str">
        <f aca="false">IF(IFERROR(INDEX(Expenses!B$3:B$1002,SMALL(IF((Expenses!E$3:E$1002="GBP")*(Expenses!A$3:A$1002=DATE(2026,3,4)),ROW(Expenses!A$3:A$1002)-2),2)),"")&lt;&gt;"",IFERROR(INDEX(Expenses!B$3:B$1002,SMALL(IF((Expenses!E$3:E$1002="GBP")*(Expenses!A$3:A$1002=DATE(2026,3,4)),ROW(Expenses!A$3:A$1002)-2),2)),""),IF(IFERROR(INDEX(Income!B$3:B$502,SMALL(IF((Income!D$3:D$502="GBP")*(Income!A$3:A$502=DATE(2026,3,4)),ROW(Income!A$3:A$502)-2),2)),"")&lt;&gt;"",IFERROR(INDEX(Income!B$3:B$502,SMALL(IF((Income!D$3:D$502="GBP")*(Income!A$3:A$502=DATE(2026,3,4)),ROW(Income!A$3:A$502)-2),2)),""),""))</f>
        <v/>
      </c>
      <c r="I50" s="62" t="str">
        <f aca="false">IF(IFERROR(-INDEX(Expenses!D$3:D$1002,SMALL(IF((Expenses!E$3:E$1002="GBP")*(Expenses!A$3:A$1002=DATE(2026,3,5)),ROW(Expenses!A$3:A$1002)-2),2)),0)+IFERROR(INDEX(Income!C$3:C$502,SMALL(IF((Income!D$3:D$502="GBP")*(Income!A$3:A$502=DATE(2026,3,5)),ROW(Income!A$3:A$502)-2),2)),0)=0,"",IFERROR(-INDEX(Expenses!D$3:D$1002,SMALL(IF((Expenses!E$3:E$1002="GBP")*(Expenses!A$3:A$1002=DATE(2026,3,5)),ROW(Expenses!A$3:A$1002)-2),2)),0)+IFERROR(INDEX(Income!C$3:C$502,SMALL(IF((Income!D$3:D$502="GBP")*(Income!A$3:A$502=DATE(2026,3,5)),ROW(Income!A$3:A$502)-2),2)),0))</f>
        <v/>
      </c>
      <c r="J50" s="38" t="str">
        <f aca="false">IF(IFERROR(INDEX(Expenses!B$3:B$1002,SMALL(IF((Expenses!E$3:E$1002="GBP")*(Expenses!A$3:A$1002=DATE(2026,3,5)),ROW(Expenses!A$3:A$1002)-2),2)),"")&lt;&gt;"",IFERROR(INDEX(Expenses!B$3:B$1002,SMALL(IF((Expenses!E$3:E$1002="GBP")*(Expenses!A$3:A$1002=DATE(2026,3,5)),ROW(Expenses!A$3:A$1002)-2),2)),""),IF(IFERROR(INDEX(Income!B$3:B$502,SMALL(IF((Income!D$3:D$502="GBP")*(Income!A$3:A$502=DATE(2026,3,5)),ROW(Income!A$3:A$502)-2),2)),"")&lt;&gt;"",IFERROR(INDEX(Income!B$3:B$502,SMALL(IF((Income!D$3:D$502="GBP")*(Income!A$3:A$502=DATE(2026,3,5)),ROW(Income!A$3:A$502)-2),2)),""),""))</f>
        <v/>
      </c>
      <c r="K50" s="62" t="str">
        <f aca="false">IF(IFERROR(-INDEX(Expenses!D$3:D$1002,SMALL(IF((Expenses!E$3:E$1002="GBP")*(Expenses!A$3:A$1002=DATE(2026,3,6)),ROW(Expenses!A$3:A$1002)-2),2)),0)+IFERROR(INDEX(Income!C$3:C$502,SMALL(IF((Income!D$3:D$502="GBP")*(Income!A$3:A$502=DATE(2026,3,6)),ROW(Income!A$3:A$502)-2),2)),0)=0,"",IFERROR(-INDEX(Expenses!D$3:D$1002,SMALL(IF((Expenses!E$3:E$1002="GBP")*(Expenses!A$3:A$1002=DATE(2026,3,6)),ROW(Expenses!A$3:A$1002)-2),2)),0)+IFERROR(INDEX(Income!C$3:C$502,SMALL(IF((Income!D$3:D$502="GBP")*(Income!A$3:A$502=DATE(2026,3,6)),ROW(Income!A$3:A$502)-2),2)),0))</f>
        <v/>
      </c>
      <c r="L50" s="38" t="str">
        <f aca="false">IF(IFERROR(INDEX(Expenses!B$3:B$1002,SMALL(IF((Expenses!E$3:E$1002="GBP")*(Expenses!A$3:A$1002=DATE(2026,3,6)),ROW(Expenses!A$3:A$1002)-2),2)),"")&lt;&gt;"",IFERROR(INDEX(Expenses!B$3:B$1002,SMALL(IF((Expenses!E$3:E$1002="GBP")*(Expenses!A$3:A$1002=DATE(2026,3,6)),ROW(Expenses!A$3:A$1002)-2),2)),""),IF(IFERROR(INDEX(Income!B$3:B$502,SMALL(IF((Income!D$3:D$502="GBP")*(Income!A$3:A$502=DATE(2026,3,6)),ROW(Income!A$3:A$502)-2),2)),"")&lt;&gt;"",IFERROR(INDEX(Income!B$3:B$502,SMALL(IF((Income!D$3:D$502="GBP")*(Income!A$3:A$502=DATE(2026,3,6)),ROW(Income!A$3:A$502)-2),2)),""),""))</f>
        <v/>
      </c>
      <c r="M50" s="62" t="str">
        <f aca="false">IF(IFERROR(-INDEX(Expenses!D$3:D$1002,SMALL(IF((Expenses!E$3:E$1002="GBP")*(Expenses!A$3:A$1002=DATE(2026,3,7)),ROW(Expenses!A$3:A$1002)-2),2)),0)+IFERROR(INDEX(Income!C$3:C$502,SMALL(IF((Income!D$3:D$502="GBP")*(Income!A$3:A$502=DATE(2026,3,7)),ROW(Income!A$3:A$502)-2),2)),0)=0,"",IFERROR(-INDEX(Expenses!D$3:D$1002,SMALL(IF((Expenses!E$3:E$1002="GBP")*(Expenses!A$3:A$1002=DATE(2026,3,7)),ROW(Expenses!A$3:A$1002)-2),2)),0)+IFERROR(INDEX(Income!C$3:C$502,SMALL(IF((Income!D$3:D$502="GBP")*(Income!A$3:A$502=DATE(2026,3,7)),ROW(Income!A$3:A$502)-2),2)),0))</f>
        <v/>
      </c>
      <c r="N50" s="38" t="str">
        <f aca="false">IF(IFERROR(INDEX(Expenses!B$3:B$1002,SMALL(IF((Expenses!E$3:E$1002="GBP")*(Expenses!A$3:A$1002=DATE(2026,3,7)),ROW(Expenses!A$3:A$1002)-2),2)),"")&lt;&gt;"",IFERROR(INDEX(Expenses!B$3:B$1002,SMALL(IF((Expenses!E$3:E$1002="GBP")*(Expenses!A$3:A$1002=DATE(2026,3,7)),ROW(Expenses!A$3:A$1002)-2),2)),""),IF(IFERROR(INDEX(Income!B$3:B$502,SMALL(IF((Income!D$3:D$502="GBP")*(Income!A$3:A$502=DATE(2026,3,7)),ROW(Income!A$3:A$502)-2),2)),"")&lt;&gt;"",IFERROR(INDEX(Income!B$3:B$502,SMALL(IF((Income!D$3:D$502="GBP")*(Income!A$3:A$502=DATE(2026,3,7)),ROW(Income!A$3:A$502)-2),2)),""),""))</f>
        <v/>
      </c>
      <c r="O50" s="62" t="str">
        <f aca="false">IF(IFERROR(-INDEX(Expenses!D$3:D$1002,SMALL(IF((Expenses!E$3:E$1002="GBP")*(Expenses!A$3:A$1002=DATE(2026,3,8)),ROW(Expenses!A$3:A$1002)-2),2)),0)+IFERROR(INDEX(Income!C$3:C$502,SMALL(IF((Income!D$3:D$502="GBP")*(Income!A$3:A$502=DATE(2026,3,8)),ROW(Income!A$3:A$502)-2),2)),0)=0,"",IFERROR(-INDEX(Expenses!D$3:D$1002,SMALL(IF((Expenses!E$3:E$1002="GBP")*(Expenses!A$3:A$1002=DATE(2026,3,8)),ROW(Expenses!A$3:A$1002)-2),2)),0)+IFERROR(INDEX(Income!C$3:C$502,SMALL(IF((Income!D$3:D$502="GBP")*(Income!A$3:A$502=DATE(2026,3,8)),ROW(Income!A$3:A$502)-2),2)),0))</f>
        <v/>
      </c>
      <c r="P50" s="38" t="str">
        <f aca="false">IF(IFERROR(INDEX(Expenses!B$3:B$1002,SMALL(IF((Expenses!E$3:E$1002="GBP")*(Expenses!A$3:A$1002=DATE(2026,3,8)),ROW(Expenses!A$3:A$1002)-2),2)),"")&lt;&gt;"",IFERROR(INDEX(Expenses!B$3:B$1002,SMALL(IF((Expenses!E$3:E$1002="GBP")*(Expenses!A$3:A$1002=DATE(2026,3,8)),ROW(Expenses!A$3:A$1002)-2),2)),""),IF(IFERROR(INDEX(Income!B$3:B$502,SMALL(IF((Income!D$3:D$502="GBP")*(Income!A$3:A$502=DATE(2026,3,8)),ROW(Income!A$3:A$502)-2),2)),"")&lt;&gt;"",IFERROR(INDEX(Income!B$3:B$502,SMALL(IF((Income!D$3:D$502="GBP")*(Income!A$3:A$502=DATE(2026,3,8)),ROW(Income!A$3:A$502)-2),2)),""),""))</f>
        <v/>
      </c>
      <c r="Q50" s="16"/>
      <c r="R50" s="16"/>
    </row>
    <row r="51" customFormat="false" ht="15" hidden="false" customHeight="false" outlineLevel="0" collapsed="false">
      <c r="A51" s="16"/>
      <c r="B51" s="16"/>
      <c r="C51" s="62" t="str">
        <f aca="false">IF(IFERROR(-INDEX(Expenses!D$3:D$1002,SMALL(IF((Expenses!E$3:E$1002="GBP")*(Expenses!A$3:A$1002=DATE(2026,3,2)),ROW(Expenses!A$3:A$1002)-2),3)),0)+IFERROR(INDEX(Income!C$3:C$502,SMALL(IF((Income!D$3:D$502="GBP")*(Income!A$3:A$502=DATE(2026,3,2)),ROW(Income!A$3:A$502)-2),3)),0)=0,"",IFERROR(-INDEX(Expenses!D$3:D$1002,SMALL(IF((Expenses!E$3:E$1002="GBP")*(Expenses!A$3:A$1002=DATE(2026,3,2)),ROW(Expenses!A$3:A$1002)-2),3)),0)+IFERROR(INDEX(Income!C$3:C$502,SMALL(IF((Income!D$3:D$502="GBP")*(Income!A$3:A$502=DATE(2026,3,2)),ROW(Income!A$3:A$502)-2),3)),0))</f>
        <v/>
      </c>
      <c r="D51" s="38" t="str">
        <f aca="false">IF(IFERROR(INDEX(Expenses!B$3:B$1002,SMALL(IF((Expenses!E$3:E$1002="GBP")*(Expenses!A$3:A$1002=DATE(2026,3,2)),ROW(Expenses!A$3:A$1002)-2),3)),"")&lt;&gt;"",IFERROR(INDEX(Expenses!B$3:B$1002,SMALL(IF((Expenses!E$3:E$1002="GBP")*(Expenses!A$3:A$1002=DATE(2026,3,2)),ROW(Expenses!A$3:A$1002)-2),3)),""),IF(IFERROR(INDEX(Income!B$3:B$502,SMALL(IF((Income!D$3:D$502="GBP")*(Income!A$3:A$502=DATE(2026,3,2)),ROW(Income!A$3:A$502)-2),3)),"")&lt;&gt;"",IFERROR(INDEX(Income!B$3:B$502,SMALL(IF((Income!D$3:D$502="GBP")*(Income!A$3:A$502=DATE(2026,3,2)),ROW(Income!A$3:A$502)-2),3)),""),""))</f>
        <v/>
      </c>
      <c r="E51" s="62" t="str">
        <f aca="false">IF(IFERROR(-INDEX(Expenses!D$3:D$1002,SMALL(IF((Expenses!E$3:E$1002="GBP")*(Expenses!A$3:A$1002=DATE(2026,3,3)),ROW(Expenses!A$3:A$1002)-2),3)),0)+IFERROR(INDEX(Income!C$3:C$502,SMALL(IF((Income!D$3:D$502="GBP")*(Income!A$3:A$502=DATE(2026,3,3)),ROW(Income!A$3:A$502)-2),3)),0)=0,"",IFERROR(-INDEX(Expenses!D$3:D$1002,SMALL(IF((Expenses!E$3:E$1002="GBP")*(Expenses!A$3:A$1002=DATE(2026,3,3)),ROW(Expenses!A$3:A$1002)-2),3)),0)+IFERROR(INDEX(Income!C$3:C$502,SMALL(IF((Income!D$3:D$502="GBP")*(Income!A$3:A$502=DATE(2026,3,3)),ROW(Income!A$3:A$502)-2),3)),0))</f>
        <v/>
      </c>
      <c r="F51" s="38" t="str">
        <f aca="false">IF(IFERROR(INDEX(Expenses!B$3:B$1002,SMALL(IF((Expenses!E$3:E$1002="GBP")*(Expenses!A$3:A$1002=DATE(2026,3,3)),ROW(Expenses!A$3:A$1002)-2),3)),"")&lt;&gt;"",IFERROR(INDEX(Expenses!B$3:B$1002,SMALL(IF((Expenses!E$3:E$1002="GBP")*(Expenses!A$3:A$1002=DATE(2026,3,3)),ROW(Expenses!A$3:A$1002)-2),3)),""),IF(IFERROR(INDEX(Income!B$3:B$502,SMALL(IF((Income!D$3:D$502="GBP")*(Income!A$3:A$502=DATE(2026,3,3)),ROW(Income!A$3:A$502)-2),3)),"")&lt;&gt;"",IFERROR(INDEX(Income!B$3:B$502,SMALL(IF((Income!D$3:D$502="GBP")*(Income!A$3:A$502=DATE(2026,3,3)),ROW(Income!A$3:A$502)-2),3)),""),""))</f>
        <v/>
      </c>
      <c r="G51" s="62" t="str">
        <f aca="false">IF(IFERROR(-INDEX(Expenses!D$3:D$1002,SMALL(IF((Expenses!E$3:E$1002="GBP")*(Expenses!A$3:A$1002=DATE(2026,3,4)),ROW(Expenses!A$3:A$1002)-2),3)),0)+IFERROR(INDEX(Income!C$3:C$502,SMALL(IF((Income!D$3:D$502="GBP")*(Income!A$3:A$502=DATE(2026,3,4)),ROW(Income!A$3:A$502)-2),3)),0)=0,"",IFERROR(-INDEX(Expenses!D$3:D$1002,SMALL(IF((Expenses!E$3:E$1002="GBP")*(Expenses!A$3:A$1002=DATE(2026,3,4)),ROW(Expenses!A$3:A$1002)-2),3)),0)+IFERROR(INDEX(Income!C$3:C$502,SMALL(IF((Income!D$3:D$502="GBP")*(Income!A$3:A$502=DATE(2026,3,4)),ROW(Income!A$3:A$502)-2),3)),0))</f>
        <v/>
      </c>
      <c r="H51" s="38" t="str">
        <f aca="false">IF(IFERROR(INDEX(Expenses!B$3:B$1002,SMALL(IF((Expenses!E$3:E$1002="GBP")*(Expenses!A$3:A$1002=DATE(2026,3,4)),ROW(Expenses!A$3:A$1002)-2),3)),"")&lt;&gt;"",IFERROR(INDEX(Expenses!B$3:B$1002,SMALL(IF((Expenses!E$3:E$1002="GBP")*(Expenses!A$3:A$1002=DATE(2026,3,4)),ROW(Expenses!A$3:A$1002)-2),3)),""),IF(IFERROR(INDEX(Income!B$3:B$502,SMALL(IF((Income!D$3:D$502="GBP")*(Income!A$3:A$502=DATE(2026,3,4)),ROW(Income!A$3:A$502)-2),3)),"")&lt;&gt;"",IFERROR(INDEX(Income!B$3:B$502,SMALL(IF((Income!D$3:D$502="GBP")*(Income!A$3:A$502=DATE(2026,3,4)),ROW(Income!A$3:A$502)-2),3)),""),""))</f>
        <v/>
      </c>
      <c r="I51" s="62" t="str">
        <f aca="false">IF(IFERROR(-INDEX(Expenses!D$3:D$1002,SMALL(IF((Expenses!E$3:E$1002="GBP")*(Expenses!A$3:A$1002=DATE(2026,3,5)),ROW(Expenses!A$3:A$1002)-2),3)),0)+IFERROR(INDEX(Income!C$3:C$502,SMALL(IF((Income!D$3:D$502="GBP")*(Income!A$3:A$502=DATE(2026,3,5)),ROW(Income!A$3:A$502)-2),3)),0)=0,"",IFERROR(-INDEX(Expenses!D$3:D$1002,SMALL(IF((Expenses!E$3:E$1002="GBP")*(Expenses!A$3:A$1002=DATE(2026,3,5)),ROW(Expenses!A$3:A$1002)-2),3)),0)+IFERROR(INDEX(Income!C$3:C$502,SMALL(IF((Income!D$3:D$502="GBP")*(Income!A$3:A$502=DATE(2026,3,5)),ROW(Income!A$3:A$502)-2),3)),0))</f>
        <v/>
      </c>
      <c r="J51" s="38" t="str">
        <f aca="false">IF(IFERROR(INDEX(Expenses!B$3:B$1002,SMALL(IF((Expenses!E$3:E$1002="GBP")*(Expenses!A$3:A$1002=DATE(2026,3,5)),ROW(Expenses!A$3:A$1002)-2),3)),"")&lt;&gt;"",IFERROR(INDEX(Expenses!B$3:B$1002,SMALL(IF((Expenses!E$3:E$1002="GBP")*(Expenses!A$3:A$1002=DATE(2026,3,5)),ROW(Expenses!A$3:A$1002)-2),3)),""),IF(IFERROR(INDEX(Income!B$3:B$502,SMALL(IF((Income!D$3:D$502="GBP")*(Income!A$3:A$502=DATE(2026,3,5)),ROW(Income!A$3:A$502)-2),3)),"")&lt;&gt;"",IFERROR(INDEX(Income!B$3:B$502,SMALL(IF((Income!D$3:D$502="GBP")*(Income!A$3:A$502=DATE(2026,3,5)),ROW(Income!A$3:A$502)-2),3)),""),""))</f>
        <v/>
      </c>
      <c r="K51" s="62" t="str">
        <f aca="false">IF(IFERROR(-INDEX(Expenses!D$3:D$1002,SMALL(IF((Expenses!E$3:E$1002="GBP")*(Expenses!A$3:A$1002=DATE(2026,3,6)),ROW(Expenses!A$3:A$1002)-2),3)),0)+IFERROR(INDEX(Income!C$3:C$502,SMALL(IF((Income!D$3:D$502="GBP")*(Income!A$3:A$502=DATE(2026,3,6)),ROW(Income!A$3:A$502)-2),3)),0)=0,"",IFERROR(-INDEX(Expenses!D$3:D$1002,SMALL(IF((Expenses!E$3:E$1002="GBP")*(Expenses!A$3:A$1002=DATE(2026,3,6)),ROW(Expenses!A$3:A$1002)-2),3)),0)+IFERROR(INDEX(Income!C$3:C$502,SMALL(IF((Income!D$3:D$502="GBP")*(Income!A$3:A$502=DATE(2026,3,6)),ROW(Income!A$3:A$502)-2),3)),0))</f>
        <v/>
      </c>
      <c r="L51" s="38" t="str">
        <f aca="false">IF(IFERROR(INDEX(Expenses!B$3:B$1002,SMALL(IF((Expenses!E$3:E$1002="GBP")*(Expenses!A$3:A$1002=DATE(2026,3,6)),ROW(Expenses!A$3:A$1002)-2),3)),"")&lt;&gt;"",IFERROR(INDEX(Expenses!B$3:B$1002,SMALL(IF((Expenses!E$3:E$1002="GBP")*(Expenses!A$3:A$1002=DATE(2026,3,6)),ROW(Expenses!A$3:A$1002)-2),3)),""),IF(IFERROR(INDEX(Income!B$3:B$502,SMALL(IF((Income!D$3:D$502="GBP")*(Income!A$3:A$502=DATE(2026,3,6)),ROW(Income!A$3:A$502)-2),3)),"")&lt;&gt;"",IFERROR(INDEX(Income!B$3:B$502,SMALL(IF((Income!D$3:D$502="GBP")*(Income!A$3:A$502=DATE(2026,3,6)),ROW(Income!A$3:A$502)-2),3)),""),""))</f>
        <v/>
      </c>
      <c r="M51" s="62" t="str">
        <f aca="false">IF(IFERROR(-INDEX(Expenses!D$3:D$1002,SMALL(IF((Expenses!E$3:E$1002="GBP")*(Expenses!A$3:A$1002=DATE(2026,3,7)),ROW(Expenses!A$3:A$1002)-2),3)),0)+IFERROR(INDEX(Income!C$3:C$502,SMALL(IF((Income!D$3:D$502="GBP")*(Income!A$3:A$502=DATE(2026,3,7)),ROW(Income!A$3:A$502)-2),3)),0)=0,"",IFERROR(-INDEX(Expenses!D$3:D$1002,SMALL(IF((Expenses!E$3:E$1002="GBP")*(Expenses!A$3:A$1002=DATE(2026,3,7)),ROW(Expenses!A$3:A$1002)-2),3)),0)+IFERROR(INDEX(Income!C$3:C$502,SMALL(IF((Income!D$3:D$502="GBP")*(Income!A$3:A$502=DATE(2026,3,7)),ROW(Income!A$3:A$502)-2),3)),0))</f>
        <v/>
      </c>
      <c r="N51" s="38" t="str">
        <f aca="false">IF(IFERROR(INDEX(Expenses!B$3:B$1002,SMALL(IF((Expenses!E$3:E$1002="GBP")*(Expenses!A$3:A$1002=DATE(2026,3,7)),ROW(Expenses!A$3:A$1002)-2),3)),"")&lt;&gt;"",IFERROR(INDEX(Expenses!B$3:B$1002,SMALL(IF((Expenses!E$3:E$1002="GBP")*(Expenses!A$3:A$1002=DATE(2026,3,7)),ROW(Expenses!A$3:A$1002)-2),3)),""),IF(IFERROR(INDEX(Income!B$3:B$502,SMALL(IF((Income!D$3:D$502="GBP")*(Income!A$3:A$502=DATE(2026,3,7)),ROW(Income!A$3:A$502)-2),3)),"")&lt;&gt;"",IFERROR(INDEX(Income!B$3:B$502,SMALL(IF((Income!D$3:D$502="GBP")*(Income!A$3:A$502=DATE(2026,3,7)),ROW(Income!A$3:A$502)-2),3)),""),""))</f>
        <v/>
      </c>
      <c r="O51" s="62" t="str">
        <f aca="false">IF(IFERROR(-INDEX(Expenses!D$3:D$1002,SMALL(IF((Expenses!E$3:E$1002="GBP")*(Expenses!A$3:A$1002=DATE(2026,3,8)),ROW(Expenses!A$3:A$1002)-2),3)),0)+IFERROR(INDEX(Income!C$3:C$502,SMALL(IF((Income!D$3:D$502="GBP")*(Income!A$3:A$502=DATE(2026,3,8)),ROW(Income!A$3:A$502)-2),3)),0)=0,"",IFERROR(-INDEX(Expenses!D$3:D$1002,SMALL(IF((Expenses!E$3:E$1002="GBP")*(Expenses!A$3:A$1002=DATE(2026,3,8)),ROW(Expenses!A$3:A$1002)-2),3)),0)+IFERROR(INDEX(Income!C$3:C$502,SMALL(IF((Income!D$3:D$502="GBP")*(Income!A$3:A$502=DATE(2026,3,8)),ROW(Income!A$3:A$502)-2),3)),0))</f>
        <v/>
      </c>
      <c r="P51" s="38" t="str">
        <f aca="false">IF(IFERROR(INDEX(Expenses!B$3:B$1002,SMALL(IF((Expenses!E$3:E$1002="GBP")*(Expenses!A$3:A$1002=DATE(2026,3,8)),ROW(Expenses!A$3:A$1002)-2),3)),"")&lt;&gt;"",IFERROR(INDEX(Expenses!B$3:B$1002,SMALL(IF((Expenses!E$3:E$1002="GBP")*(Expenses!A$3:A$1002=DATE(2026,3,8)),ROW(Expenses!A$3:A$1002)-2),3)),""),IF(IFERROR(INDEX(Income!B$3:B$502,SMALL(IF((Income!D$3:D$502="GBP")*(Income!A$3:A$502=DATE(2026,3,8)),ROW(Income!A$3:A$502)-2),3)),"")&lt;&gt;"",IFERROR(INDEX(Income!B$3:B$502,SMALL(IF((Income!D$3:D$502="GBP")*(Income!A$3:A$502=DATE(2026,3,8)),ROW(Income!A$3:A$502)-2),3)),""),""))</f>
        <v/>
      </c>
      <c r="Q51" s="16"/>
      <c r="R51" s="16"/>
    </row>
    <row r="52" customFormat="false" ht="15" hidden="false" customHeight="false" outlineLevel="0" collapsed="false">
      <c r="A52" s="16"/>
      <c r="B52" s="16"/>
      <c r="C52" s="62" t="str">
        <f aca="false">IF(IFERROR(-INDEX(Expenses!D$3:D$1002,SMALL(IF((Expenses!E$3:E$1002="GBP")*(Expenses!A$3:A$1002=DATE(2026,3,2)),ROW(Expenses!A$3:A$1002)-2),4)),0)+IFERROR(INDEX(Income!C$3:C$502,SMALL(IF((Income!D$3:D$502="GBP")*(Income!A$3:A$502=DATE(2026,3,2)),ROW(Income!A$3:A$502)-2),4)),0)=0,"",IFERROR(-INDEX(Expenses!D$3:D$1002,SMALL(IF((Expenses!E$3:E$1002="GBP")*(Expenses!A$3:A$1002=DATE(2026,3,2)),ROW(Expenses!A$3:A$1002)-2),4)),0)+IFERROR(INDEX(Income!C$3:C$502,SMALL(IF((Income!D$3:D$502="GBP")*(Income!A$3:A$502=DATE(2026,3,2)),ROW(Income!A$3:A$502)-2),4)),0))</f>
        <v/>
      </c>
      <c r="D52" s="38" t="str">
        <f aca="false">IF(IFERROR(INDEX(Expenses!B$3:B$1002,SMALL(IF((Expenses!E$3:E$1002="GBP")*(Expenses!A$3:A$1002=DATE(2026,3,2)),ROW(Expenses!A$3:A$1002)-2),4)),"")&lt;&gt;"",IFERROR(INDEX(Expenses!B$3:B$1002,SMALL(IF((Expenses!E$3:E$1002="GBP")*(Expenses!A$3:A$1002=DATE(2026,3,2)),ROW(Expenses!A$3:A$1002)-2),4)),""),IF(IFERROR(INDEX(Income!B$3:B$502,SMALL(IF((Income!D$3:D$502="GBP")*(Income!A$3:A$502=DATE(2026,3,2)),ROW(Income!A$3:A$502)-2),4)),"")&lt;&gt;"",IFERROR(INDEX(Income!B$3:B$502,SMALL(IF((Income!D$3:D$502="GBP")*(Income!A$3:A$502=DATE(2026,3,2)),ROW(Income!A$3:A$502)-2),4)),""),""))</f>
        <v/>
      </c>
      <c r="E52" s="62" t="str">
        <f aca="false">IF(IFERROR(-INDEX(Expenses!D$3:D$1002,SMALL(IF((Expenses!E$3:E$1002="GBP")*(Expenses!A$3:A$1002=DATE(2026,3,3)),ROW(Expenses!A$3:A$1002)-2),4)),0)+IFERROR(INDEX(Income!C$3:C$502,SMALL(IF((Income!D$3:D$502="GBP")*(Income!A$3:A$502=DATE(2026,3,3)),ROW(Income!A$3:A$502)-2),4)),0)=0,"",IFERROR(-INDEX(Expenses!D$3:D$1002,SMALL(IF((Expenses!E$3:E$1002="GBP")*(Expenses!A$3:A$1002=DATE(2026,3,3)),ROW(Expenses!A$3:A$1002)-2),4)),0)+IFERROR(INDEX(Income!C$3:C$502,SMALL(IF((Income!D$3:D$502="GBP")*(Income!A$3:A$502=DATE(2026,3,3)),ROW(Income!A$3:A$502)-2),4)),0))</f>
        <v/>
      </c>
      <c r="F52" s="38" t="str">
        <f aca="false">IF(IFERROR(INDEX(Expenses!B$3:B$1002,SMALL(IF((Expenses!E$3:E$1002="GBP")*(Expenses!A$3:A$1002=DATE(2026,3,3)),ROW(Expenses!A$3:A$1002)-2),4)),"")&lt;&gt;"",IFERROR(INDEX(Expenses!B$3:B$1002,SMALL(IF((Expenses!E$3:E$1002="GBP")*(Expenses!A$3:A$1002=DATE(2026,3,3)),ROW(Expenses!A$3:A$1002)-2),4)),""),IF(IFERROR(INDEX(Income!B$3:B$502,SMALL(IF((Income!D$3:D$502="GBP")*(Income!A$3:A$502=DATE(2026,3,3)),ROW(Income!A$3:A$502)-2),4)),"")&lt;&gt;"",IFERROR(INDEX(Income!B$3:B$502,SMALL(IF((Income!D$3:D$502="GBP")*(Income!A$3:A$502=DATE(2026,3,3)),ROW(Income!A$3:A$502)-2),4)),""),""))</f>
        <v/>
      </c>
      <c r="G52" s="62" t="str">
        <f aca="false">IF(IFERROR(-INDEX(Expenses!D$3:D$1002,SMALL(IF((Expenses!E$3:E$1002="GBP")*(Expenses!A$3:A$1002=DATE(2026,3,4)),ROW(Expenses!A$3:A$1002)-2),4)),0)+IFERROR(INDEX(Income!C$3:C$502,SMALL(IF((Income!D$3:D$502="GBP")*(Income!A$3:A$502=DATE(2026,3,4)),ROW(Income!A$3:A$502)-2),4)),0)=0,"",IFERROR(-INDEX(Expenses!D$3:D$1002,SMALL(IF((Expenses!E$3:E$1002="GBP")*(Expenses!A$3:A$1002=DATE(2026,3,4)),ROW(Expenses!A$3:A$1002)-2),4)),0)+IFERROR(INDEX(Income!C$3:C$502,SMALL(IF((Income!D$3:D$502="GBP")*(Income!A$3:A$502=DATE(2026,3,4)),ROW(Income!A$3:A$502)-2),4)),0))</f>
        <v/>
      </c>
      <c r="H52" s="38" t="str">
        <f aca="false">IF(IFERROR(INDEX(Expenses!B$3:B$1002,SMALL(IF((Expenses!E$3:E$1002="GBP")*(Expenses!A$3:A$1002=DATE(2026,3,4)),ROW(Expenses!A$3:A$1002)-2),4)),"")&lt;&gt;"",IFERROR(INDEX(Expenses!B$3:B$1002,SMALL(IF((Expenses!E$3:E$1002="GBP")*(Expenses!A$3:A$1002=DATE(2026,3,4)),ROW(Expenses!A$3:A$1002)-2),4)),""),IF(IFERROR(INDEX(Income!B$3:B$502,SMALL(IF((Income!D$3:D$502="GBP")*(Income!A$3:A$502=DATE(2026,3,4)),ROW(Income!A$3:A$502)-2),4)),"")&lt;&gt;"",IFERROR(INDEX(Income!B$3:B$502,SMALL(IF((Income!D$3:D$502="GBP")*(Income!A$3:A$502=DATE(2026,3,4)),ROW(Income!A$3:A$502)-2),4)),""),""))</f>
        <v/>
      </c>
      <c r="I52" s="62" t="str">
        <f aca="false">IF(IFERROR(-INDEX(Expenses!D$3:D$1002,SMALL(IF((Expenses!E$3:E$1002="GBP")*(Expenses!A$3:A$1002=DATE(2026,3,5)),ROW(Expenses!A$3:A$1002)-2),4)),0)+IFERROR(INDEX(Income!C$3:C$502,SMALL(IF((Income!D$3:D$502="GBP")*(Income!A$3:A$502=DATE(2026,3,5)),ROW(Income!A$3:A$502)-2),4)),0)=0,"",IFERROR(-INDEX(Expenses!D$3:D$1002,SMALL(IF((Expenses!E$3:E$1002="GBP")*(Expenses!A$3:A$1002=DATE(2026,3,5)),ROW(Expenses!A$3:A$1002)-2),4)),0)+IFERROR(INDEX(Income!C$3:C$502,SMALL(IF((Income!D$3:D$502="GBP")*(Income!A$3:A$502=DATE(2026,3,5)),ROW(Income!A$3:A$502)-2),4)),0))</f>
        <v/>
      </c>
      <c r="J52" s="38" t="str">
        <f aca="false">IF(IFERROR(INDEX(Expenses!B$3:B$1002,SMALL(IF((Expenses!E$3:E$1002="GBP")*(Expenses!A$3:A$1002=DATE(2026,3,5)),ROW(Expenses!A$3:A$1002)-2),4)),"")&lt;&gt;"",IFERROR(INDEX(Expenses!B$3:B$1002,SMALL(IF((Expenses!E$3:E$1002="GBP")*(Expenses!A$3:A$1002=DATE(2026,3,5)),ROW(Expenses!A$3:A$1002)-2),4)),""),IF(IFERROR(INDEX(Income!B$3:B$502,SMALL(IF((Income!D$3:D$502="GBP")*(Income!A$3:A$502=DATE(2026,3,5)),ROW(Income!A$3:A$502)-2),4)),"")&lt;&gt;"",IFERROR(INDEX(Income!B$3:B$502,SMALL(IF((Income!D$3:D$502="GBP")*(Income!A$3:A$502=DATE(2026,3,5)),ROW(Income!A$3:A$502)-2),4)),""),""))</f>
        <v/>
      </c>
      <c r="K52" s="62" t="str">
        <f aca="false">IF(IFERROR(-INDEX(Expenses!D$3:D$1002,SMALL(IF((Expenses!E$3:E$1002="GBP")*(Expenses!A$3:A$1002=DATE(2026,3,6)),ROW(Expenses!A$3:A$1002)-2),4)),0)+IFERROR(INDEX(Income!C$3:C$502,SMALL(IF((Income!D$3:D$502="GBP")*(Income!A$3:A$502=DATE(2026,3,6)),ROW(Income!A$3:A$502)-2),4)),0)=0,"",IFERROR(-INDEX(Expenses!D$3:D$1002,SMALL(IF((Expenses!E$3:E$1002="GBP")*(Expenses!A$3:A$1002=DATE(2026,3,6)),ROW(Expenses!A$3:A$1002)-2),4)),0)+IFERROR(INDEX(Income!C$3:C$502,SMALL(IF((Income!D$3:D$502="GBP")*(Income!A$3:A$502=DATE(2026,3,6)),ROW(Income!A$3:A$502)-2),4)),0))</f>
        <v/>
      </c>
      <c r="L52" s="38" t="str">
        <f aca="false">IF(IFERROR(INDEX(Expenses!B$3:B$1002,SMALL(IF((Expenses!E$3:E$1002="GBP")*(Expenses!A$3:A$1002=DATE(2026,3,6)),ROW(Expenses!A$3:A$1002)-2),4)),"")&lt;&gt;"",IFERROR(INDEX(Expenses!B$3:B$1002,SMALL(IF((Expenses!E$3:E$1002="GBP")*(Expenses!A$3:A$1002=DATE(2026,3,6)),ROW(Expenses!A$3:A$1002)-2),4)),""),IF(IFERROR(INDEX(Income!B$3:B$502,SMALL(IF((Income!D$3:D$502="GBP")*(Income!A$3:A$502=DATE(2026,3,6)),ROW(Income!A$3:A$502)-2),4)),"")&lt;&gt;"",IFERROR(INDEX(Income!B$3:B$502,SMALL(IF((Income!D$3:D$502="GBP")*(Income!A$3:A$502=DATE(2026,3,6)),ROW(Income!A$3:A$502)-2),4)),""),""))</f>
        <v/>
      </c>
      <c r="M52" s="62" t="str">
        <f aca="false">IF(IFERROR(-INDEX(Expenses!D$3:D$1002,SMALL(IF((Expenses!E$3:E$1002="GBP")*(Expenses!A$3:A$1002=DATE(2026,3,7)),ROW(Expenses!A$3:A$1002)-2),4)),0)+IFERROR(INDEX(Income!C$3:C$502,SMALL(IF((Income!D$3:D$502="GBP")*(Income!A$3:A$502=DATE(2026,3,7)),ROW(Income!A$3:A$502)-2),4)),0)=0,"",IFERROR(-INDEX(Expenses!D$3:D$1002,SMALL(IF((Expenses!E$3:E$1002="GBP")*(Expenses!A$3:A$1002=DATE(2026,3,7)),ROW(Expenses!A$3:A$1002)-2),4)),0)+IFERROR(INDEX(Income!C$3:C$502,SMALL(IF((Income!D$3:D$502="GBP")*(Income!A$3:A$502=DATE(2026,3,7)),ROW(Income!A$3:A$502)-2),4)),0))</f>
        <v/>
      </c>
      <c r="N52" s="38" t="str">
        <f aca="false">IF(IFERROR(INDEX(Expenses!B$3:B$1002,SMALL(IF((Expenses!E$3:E$1002="GBP")*(Expenses!A$3:A$1002=DATE(2026,3,7)),ROW(Expenses!A$3:A$1002)-2),4)),"")&lt;&gt;"",IFERROR(INDEX(Expenses!B$3:B$1002,SMALL(IF((Expenses!E$3:E$1002="GBP")*(Expenses!A$3:A$1002=DATE(2026,3,7)),ROW(Expenses!A$3:A$1002)-2),4)),""),IF(IFERROR(INDEX(Income!B$3:B$502,SMALL(IF((Income!D$3:D$502="GBP")*(Income!A$3:A$502=DATE(2026,3,7)),ROW(Income!A$3:A$502)-2),4)),"")&lt;&gt;"",IFERROR(INDEX(Income!B$3:B$502,SMALL(IF((Income!D$3:D$502="GBP")*(Income!A$3:A$502=DATE(2026,3,7)),ROW(Income!A$3:A$502)-2),4)),""),""))</f>
        <v/>
      </c>
      <c r="O52" s="62" t="str">
        <f aca="false">IF(IFERROR(-INDEX(Expenses!D$3:D$1002,SMALL(IF((Expenses!E$3:E$1002="GBP")*(Expenses!A$3:A$1002=DATE(2026,3,8)),ROW(Expenses!A$3:A$1002)-2),4)),0)+IFERROR(INDEX(Income!C$3:C$502,SMALL(IF((Income!D$3:D$502="GBP")*(Income!A$3:A$502=DATE(2026,3,8)),ROW(Income!A$3:A$502)-2),4)),0)=0,"",IFERROR(-INDEX(Expenses!D$3:D$1002,SMALL(IF((Expenses!E$3:E$1002="GBP")*(Expenses!A$3:A$1002=DATE(2026,3,8)),ROW(Expenses!A$3:A$1002)-2),4)),0)+IFERROR(INDEX(Income!C$3:C$502,SMALL(IF((Income!D$3:D$502="GBP")*(Income!A$3:A$502=DATE(2026,3,8)),ROW(Income!A$3:A$502)-2),4)),0))</f>
        <v/>
      </c>
      <c r="P52" s="38" t="str">
        <f aca="false">IF(IFERROR(INDEX(Expenses!B$3:B$1002,SMALL(IF((Expenses!E$3:E$1002="GBP")*(Expenses!A$3:A$1002=DATE(2026,3,8)),ROW(Expenses!A$3:A$1002)-2),4)),"")&lt;&gt;"",IFERROR(INDEX(Expenses!B$3:B$1002,SMALL(IF((Expenses!E$3:E$1002="GBP")*(Expenses!A$3:A$1002=DATE(2026,3,8)),ROW(Expenses!A$3:A$1002)-2),4)),""),IF(IFERROR(INDEX(Income!B$3:B$502,SMALL(IF((Income!D$3:D$502="GBP")*(Income!A$3:A$502=DATE(2026,3,8)),ROW(Income!A$3:A$502)-2),4)),"")&lt;&gt;"",IFERROR(INDEX(Income!B$3:B$502,SMALL(IF((Income!D$3:D$502="GBP")*(Income!A$3:A$502=DATE(2026,3,8)),ROW(Income!A$3:A$502)-2),4)),""),""))</f>
        <v/>
      </c>
      <c r="Q52" s="16"/>
      <c r="R52" s="16"/>
    </row>
    <row r="53" customFormat="false" ht="15" hidden="false" customHeight="false" outlineLevel="0" collapsed="false">
      <c r="A53" s="16"/>
      <c r="B53" s="16"/>
      <c r="C53" s="62" t="str">
        <f aca="false">IF(IFERROR(-INDEX(Expenses!D$3:D$1002,SMALL(IF((Expenses!E$3:E$1002="GBP")*(Expenses!A$3:A$1002=DATE(2026,3,2)),ROW(Expenses!A$3:A$1002)-2),5)),0)+IFERROR(INDEX(Income!C$3:C$502,SMALL(IF((Income!D$3:D$502="GBP")*(Income!A$3:A$502=DATE(2026,3,2)),ROW(Income!A$3:A$502)-2),5)),0)=0,"",IFERROR(-INDEX(Expenses!D$3:D$1002,SMALL(IF((Expenses!E$3:E$1002="GBP")*(Expenses!A$3:A$1002=DATE(2026,3,2)),ROW(Expenses!A$3:A$1002)-2),5)),0)+IFERROR(INDEX(Income!C$3:C$502,SMALL(IF((Income!D$3:D$502="GBP")*(Income!A$3:A$502=DATE(2026,3,2)),ROW(Income!A$3:A$502)-2),5)),0))</f>
        <v/>
      </c>
      <c r="D53" s="38" t="str">
        <f aca="false">IF(IFERROR(INDEX(Expenses!B$3:B$1002,SMALL(IF((Expenses!E$3:E$1002="GBP")*(Expenses!A$3:A$1002=DATE(2026,3,2)),ROW(Expenses!A$3:A$1002)-2),5)),"")&lt;&gt;"",IFERROR(INDEX(Expenses!B$3:B$1002,SMALL(IF((Expenses!E$3:E$1002="GBP")*(Expenses!A$3:A$1002=DATE(2026,3,2)),ROW(Expenses!A$3:A$1002)-2),5)),""),IF(IFERROR(INDEX(Income!B$3:B$502,SMALL(IF((Income!D$3:D$502="GBP")*(Income!A$3:A$502=DATE(2026,3,2)),ROW(Income!A$3:A$502)-2),5)),"")&lt;&gt;"",IFERROR(INDEX(Income!B$3:B$502,SMALL(IF((Income!D$3:D$502="GBP")*(Income!A$3:A$502=DATE(2026,3,2)),ROW(Income!A$3:A$502)-2),5)),""),""))</f>
        <v/>
      </c>
      <c r="E53" s="62" t="str">
        <f aca="false">IF(IFERROR(-INDEX(Expenses!D$3:D$1002,SMALL(IF((Expenses!E$3:E$1002="GBP")*(Expenses!A$3:A$1002=DATE(2026,3,3)),ROW(Expenses!A$3:A$1002)-2),5)),0)+IFERROR(INDEX(Income!C$3:C$502,SMALL(IF((Income!D$3:D$502="GBP")*(Income!A$3:A$502=DATE(2026,3,3)),ROW(Income!A$3:A$502)-2),5)),0)=0,"",IFERROR(-INDEX(Expenses!D$3:D$1002,SMALL(IF((Expenses!E$3:E$1002="GBP")*(Expenses!A$3:A$1002=DATE(2026,3,3)),ROW(Expenses!A$3:A$1002)-2),5)),0)+IFERROR(INDEX(Income!C$3:C$502,SMALL(IF((Income!D$3:D$502="GBP")*(Income!A$3:A$502=DATE(2026,3,3)),ROW(Income!A$3:A$502)-2),5)),0))</f>
        <v/>
      </c>
      <c r="F53" s="38" t="str">
        <f aca="false">IF(IFERROR(INDEX(Expenses!B$3:B$1002,SMALL(IF((Expenses!E$3:E$1002="GBP")*(Expenses!A$3:A$1002=DATE(2026,3,3)),ROW(Expenses!A$3:A$1002)-2),5)),"")&lt;&gt;"",IFERROR(INDEX(Expenses!B$3:B$1002,SMALL(IF((Expenses!E$3:E$1002="GBP")*(Expenses!A$3:A$1002=DATE(2026,3,3)),ROW(Expenses!A$3:A$1002)-2),5)),""),IF(IFERROR(INDEX(Income!B$3:B$502,SMALL(IF((Income!D$3:D$502="GBP")*(Income!A$3:A$502=DATE(2026,3,3)),ROW(Income!A$3:A$502)-2),5)),"")&lt;&gt;"",IFERROR(INDEX(Income!B$3:B$502,SMALL(IF((Income!D$3:D$502="GBP")*(Income!A$3:A$502=DATE(2026,3,3)),ROW(Income!A$3:A$502)-2),5)),""),""))</f>
        <v/>
      </c>
      <c r="G53" s="62" t="str">
        <f aca="false">IF(IFERROR(-INDEX(Expenses!D$3:D$1002,SMALL(IF((Expenses!E$3:E$1002="GBP")*(Expenses!A$3:A$1002=DATE(2026,3,4)),ROW(Expenses!A$3:A$1002)-2),5)),0)+IFERROR(INDEX(Income!C$3:C$502,SMALL(IF((Income!D$3:D$502="GBP")*(Income!A$3:A$502=DATE(2026,3,4)),ROW(Income!A$3:A$502)-2),5)),0)=0,"",IFERROR(-INDEX(Expenses!D$3:D$1002,SMALL(IF((Expenses!E$3:E$1002="GBP")*(Expenses!A$3:A$1002=DATE(2026,3,4)),ROW(Expenses!A$3:A$1002)-2),5)),0)+IFERROR(INDEX(Income!C$3:C$502,SMALL(IF((Income!D$3:D$502="GBP")*(Income!A$3:A$502=DATE(2026,3,4)),ROW(Income!A$3:A$502)-2),5)),0))</f>
        <v/>
      </c>
      <c r="H53" s="38" t="str">
        <f aca="false">IF(IFERROR(INDEX(Expenses!B$3:B$1002,SMALL(IF((Expenses!E$3:E$1002="GBP")*(Expenses!A$3:A$1002=DATE(2026,3,4)),ROW(Expenses!A$3:A$1002)-2),5)),"")&lt;&gt;"",IFERROR(INDEX(Expenses!B$3:B$1002,SMALL(IF((Expenses!E$3:E$1002="GBP")*(Expenses!A$3:A$1002=DATE(2026,3,4)),ROW(Expenses!A$3:A$1002)-2),5)),""),IF(IFERROR(INDEX(Income!B$3:B$502,SMALL(IF((Income!D$3:D$502="GBP")*(Income!A$3:A$502=DATE(2026,3,4)),ROW(Income!A$3:A$502)-2),5)),"")&lt;&gt;"",IFERROR(INDEX(Income!B$3:B$502,SMALL(IF((Income!D$3:D$502="GBP")*(Income!A$3:A$502=DATE(2026,3,4)),ROW(Income!A$3:A$502)-2),5)),""),""))</f>
        <v/>
      </c>
      <c r="I53" s="62" t="str">
        <f aca="false">IF(IFERROR(-INDEX(Expenses!D$3:D$1002,SMALL(IF((Expenses!E$3:E$1002="GBP")*(Expenses!A$3:A$1002=DATE(2026,3,5)),ROW(Expenses!A$3:A$1002)-2),5)),0)+IFERROR(INDEX(Income!C$3:C$502,SMALL(IF((Income!D$3:D$502="GBP")*(Income!A$3:A$502=DATE(2026,3,5)),ROW(Income!A$3:A$502)-2),5)),0)=0,"",IFERROR(-INDEX(Expenses!D$3:D$1002,SMALL(IF((Expenses!E$3:E$1002="GBP")*(Expenses!A$3:A$1002=DATE(2026,3,5)),ROW(Expenses!A$3:A$1002)-2),5)),0)+IFERROR(INDEX(Income!C$3:C$502,SMALL(IF((Income!D$3:D$502="GBP")*(Income!A$3:A$502=DATE(2026,3,5)),ROW(Income!A$3:A$502)-2),5)),0))</f>
        <v/>
      </c>
      <c r="J53" s="38" t="str">
        <f aca="false">IF(IFERROR(INDEX(Expenses!B$3:B$1002,SMALL(IF((Expenses!E$3:E$1002="GBP")*(Expenses!A$3:A$1002=DATE(2026,3,5)),ROW(Expenses!A$3:A$1002)-2),5)),"")&lt;&gt;"",IFERROR(INDEX(Expenses!B$3:B$1002,SMALL(IF((Expenses!E$3:E$1002="GBP")*(Expenses!A$3:A$1002=DATE(2026,3,5)),ROW(Expenses!A$3:A$1002)-2),5)),""),IF(IFERROR(INDEX(Income!B$3:B$502,SMALL(IF((Income!D$3:D$502="GBP")*(Income!A$3:A$502=DATE(2026,3,5)),ROW(Income!A$3:A$502)-2),5)),"")&lt;&gt;"",IFERROR(INDEX(Income!B$3:B$502,SMALL(IF((Income!D$3:D$502="GBP")*(Income!A$3:A$502=DATE(2026,3,5)),ROW(Income!A$3:A$502)-2),5)),""),""))</f>
        <v/>
      </c>
      <c r="K53" s="62" t="str">
        <f aca="false">IF(IFERROR(-INDEX(Expenses!D$3:D$1002,SMALL(IF((Expenses!E$3:E$1002="GBP")*(Expenses!A$3:A$1002=DATE(2026,3,6)),ROW(Expenses!A$3:A$1002)-2),5)),0)+IFERROR(INDEX(Income!C$3:C$502,SMALL(IF((Income!D$3:D$502="GBP")*(Income!A$3:A$502=DATE(2026,3,6)),ROW(Income!A$3:A$502)-2),5)),0)=0,"",IFERROR(-INDEX(Expenses!D$3:D$1002,SMALL(IF((Expenses!E$3:E$1002="GBP")*(Expenses!A$3:A$1002=DATE(2026,3,6)),ROW(Expenses!A$3:A$1002)-2),5)),0)+IFERROR(INDEX(Income!C$3:C$502,SMALL(IF((Income!D$3:D$502="GBP")*(Income!A$3:A$502=DATE(2026,3,6)),ROW(Income!A$3:A$502)-2),5)),0))</f>
        <v/>
      </c>
      <c r="L53" s="38" t="str">
        <f aca="false">IF(IFERROR(INDEX(Expenses!B$3:B$1002,SMALL(IF((Expenses!E$3:E$1002="GBP")*(Expenses!A$3:A$1002=DATE(2026,3,6)),ROW(Expenses!A$3:A$1002)-2),5)),"")&lt;&gt;"",IFERROR(INDEX(Expenses!B$3:B$1002,SMALL(IF((Expenses!E$3:E$1002="GBP")*(Expenses!A$3:A$1002=DATE(2026,3,6)),ROW(Expenses!A$3:A$1002)-2),5)),""),IF(IFERROR(INDEX(Income!B$3:B$502,SMALL(IF((Income!D$3:D$502="GBP")*(Income!A$3:A$502=DATE(2026,3,6)),ROW(Income!A$3:A$502)-2),5)),"")&lt;&gt;"",IFERROR(INDEX(Income!B$3:B$502,SMALL(IF((Income!D$3:D$502="GBP")*(Income!A$3:A$502=DATE(2026,3,6)),ROW(Income!A$3:A$502)-2),5)),""),""))</f>
        <v/>
      </c>
      <c r="M53" s="62" t="str">
        <f aca="false">IF(IFERROR(-INDEX(Expenses!D$3:D$1002,SMALL(IF((Expenses!E$3:E$1002="GBP")*(Expenses!A$3:A$1002=DATE(2026,3,7)),ROW(Expenses!A$3:A$1002)-2),5)),0)+IFERROR(INDEX(Income!C$3:C$502,SMALL(IF((Income!D$3:D$502="GBP")*(Income!A$3:A$502=DATE(2026,3,7)),ROW(Income!A$3:A$502)-2),5)),0)=0,"",IFERROR(-INDEX(Expenses!D$3:D$1002,SMALL(IF((Expenses!E$3:E$1002="GBP")*(Expenses!A$3:A$1002=DATE(2026,3,7)),ROW(Expenses!A$3:A$1002)-2),5)),0)+IFERROR(INDEX(Income!C$3:C$502,SMALL(IF((Income!D$3:D$502="GBP")*(Income!A$3:A$502=DATE(2026,3,7)),ROW(Income!A$3:A$502)-2),5)),0))</f>
        <v/>
      </c>
      <c r="N53" s="38" t="str">
        <f aca="false">IF(IFERROR(INDEX(Expenses!B$3:B$1002,SMALL(IF((Expenses!E$3:E$1002="GBP")*(Expenses!A$3:A$1002=DATE(2026,3,7)),ROW(Expenses!A$3:A$1002)-2),5)),"")&lt;&gt;"",IFERROR(INDEX(Expenses!B$3:B$1002,SMALL(IF((Expenses!E$3:E$1002="GBP")*(Expenses!A$3:A$1002=DATE(2026,3,7)),ROW(Expenses!A$3:A$1002)-2),5)),""),IF(IFERROR(INDEX(Income!B$3:B$502,SMALL(IF((Income!D$3:D$502="GBP")*(Income!A$3:A$502=DATE(2026,3,7)),ROW(Income!A$3:A$502)-2),5)),"")&lt;&gt;"",IFERROR(INDEX(Income!B$3:B$502,SMALL(IF((Income!D$3:D$502="GBP")*(Income!A$3:A$502=DATE(2026,3,7)),ROW(Income!A$3:A$502)-2),5)),""),""))</f>
        <v/>
      </c>
      <c r="O53" s="62" t="str">
        <f aca="false">IF(IFERROR(-INDEX(Expenses!D$3:D$1002,SMALL(IF((Expenses!E$3:E$1002="GBP")*(Expenses!A$3:A$1002=DATE(2026,3,8)),ROW(Expenses!A$3:A$1002)-2),5)),0)+IFERROR(INDEX(Income!C$3:C$502,SMALL(IF((Income!D$3:D$502="GBP")*(Income!A$3:A$502=DATE(2026,3,8)),ROW(Income!A$3:A$502)-2),5)),0)=0,"",IFERROR(-INDEX(Expenses!D$3:D$1002,SMALL(IF((Expenses!E$3:E$1002="GBP")*(Expenses!A$3:A$1002=DATE(2026,3,8)),ROW(Expenses!A$3:A$1002)-2),5)),0)+IFERROR(INDEX(Income!C$3:C$502,SMALL(IF((Income!D$3:D$502="GBP")*(Income!A$3:A$502=DATE(2026,3,8)),ROW(Income!A$3:A$502)-2),5)),0))</f>
        <v/>
      </c>
      <c r="P53" s="38" t="str">
        <f aca="false">IF(IFERROR(INDEX(Expenses!B$3:B$1002,SMALL(IF((Expenses!E$3:E$1002="GBP")*(Expenses!A$3:A$1002=DATE(2026,3,8)),ROW(Expenses!A$3:A$1002)-2),5)),"")&lt;&gt;"",IFERROR(INDEX(Expenses!B$3:B$1002,SMALL(IF((Expenses!E$3:E$1002="GBP")*(Expenses!A$3:A$1002=DATE(2026,3,8)),ROW(Expenses!A$3:A$1002)-2),5)),""),IF(IFERROR(INDEX(Income!B$3:B$502,SMALL(IF((Income!D$3:D$502="GBP")*(Income!A$3:A$502=DATE(2026,3,8)),ROW(Income!A$3:A$502)-2),5)),"")&lt;&gt;"",IFERROR(INDEX(Income!B$3:B$502,SMALL(IF((Income!D$3:D$502="GBP")*(Income!A$3:A$502=DATE(2026,3,8)),ROW(Income!A$3:A$502)-2),5)),""),""))</f>
        <v/>
      </c>
      <c r="Q53" s="16"/>
      <c r="R53" s="16"/>
    </row>
    <row r="54" customFormat="false" ht="15" hidden="false" customHeight="false" outlineLevel="0" collapsed="false">
      <c r="A54" s="61" t="n">
        <v>46090</v>
      </c>
      <c r="B54" s="3" t="n">
        <v>11</v>
      </c>
      <c r="C54" s="62" t="str">
        <f aca="false">IF(IFERROR(-INDEX(Expenses!D$3:D$1002,SMALL(IF((Expenses!E$3:E$1002="GBP")*(Expenses!A$3:A$1002=DATE(2026,3,9)),ROW(Expenses!A$3:A$1002)-2),1)),0)+IFERROR(INDEX(Income!C$3:C$502,SMALL(IF((Income!D$3:D$502="GBP")*(Income!A$3:A$502=DATE(2026,3,9)),ROW(Income!A$3:A$502)-2),1)),0)=0,"",IFERROR(-INDEX(Expenses!D$3:D$1002,SMALL(IF((Expenses!E$3:E$1002="GBP")*(Expenses!A$3:A$1002=DATE(2026,3,9)),ROW(Expenses!A$3:A$1002)-2),1)),0)+IFERROR(INDEX(Income!C$3:C$502,SMALL(IF((Income!D$3:D$502="GBP")*(Income!A$3:A$502=DATE(2026,3,9)),ROW(Income!A$3:A$502)-2),1)),0))</f>
        <v/>
      </c>
      <c r="D54" s="38" t="str">
        <f aca="false">IF(IFERROR(INDEX(Expenses!B$3:B$1002,SMALL(IF((Expenses!E$3:E$1002="GBP")*(Expenses!A$3:A$1002=DATE(2026,3,9)),ROW(Expenses!A$3:A$1002)-2),1)),"")&lt;&gt;"",IFERROR(INDEX(Expenses!B$3:B$1002,SMALL(IF((Expenses!E$3:E$1002="GBP")*(Expenses!A$3:A$1002=DATE(2026,3,9)),ROW(Expenses!A$3:A$1002)-2),1)),""),IF(IFERROR(INDEX(Income!B$3:B$502,SMALL(IF((Income!D$3:D$502="GBP")*(Income!A$3:A$502=DATE(2026,3,9)),ROW(Income!A$3:A$502)-2),1)),"")&lt;&gt;"",IFERROR(INDEX(Income!B$3:B$502,SMALL(IF((Income!D$3:D$502="GBP")*(Income!A$3:A$502=DATE(2026,3,9)),ROW(Income!A$3:A$502)-2),1)),""),""))</f>
        <v/>
      </c>
      <c r="E54" s="62" t="str">
        <f aca="false">IF(IFERROR(-INDEX(Expenses!D$3:D$1002,SMALL(IF((Expenses!E$3:E$1002="GBP")*(Expenses!A$3:A$1002=DATE(2026,3,10)),ROW(Expenses!A$3:A$1002)-2),1)),0)+IFERROR(INDEX(Income!C$3:C$502,SMALL(IF((Income!D$3:D$502="GBP")*(Income!A$3:A$502=DATE(2026,3,10)),ROW(Income!A$3:A$502)-2),1)),0)=0,"",IFERROR(-INDEX(Expenses!D$3:D$1002,SMALL(IF((Expenses!E$3:E$1002="GBP")*(Expenses!A$3:A$1002=DATE(2026,3,10)),ROW(Expenses!A$3:A$1002)-2),1)),0)+IFERROR(INDEX(Income!C$3:C$502,SMALL(IF((Income!D$3:D$502="GBP")*(Income!A$3:A$502=DATE(2026,3,10)),ROW(Income!A$3:A$502)-2),1)),0))</f>
        <v/>
      </c>
      <c r="F54" s="38" t="str">
        <f aca="false">IF(IFERROR(INDEX(Expenses!B$3:B$1002,SMALL(IF((Expenses!E$3:E$1002="GBP")*(Expenses!A$3:A$1002=DATE(2026,3,10)),ROW(Expenses!A$3:A$1002)-2),1)),"")&lt;&gt;"",IFERROR(INDEX(Expenses!B$3:B$1002,SMALL(IF((Expenses!E$3:E$1002="GBP")*(Expenses!A$3:A$1002=DATE(2026,3,10)),ROW(Expenses!A$3:A$1002)-2),1)),""),IF(IFERROR(INDEX(Income!B$3:B$502,SMALL(IF((Income!D$3:D$502="GBP")*(Income!A$3:A$502=DATE(2026,3,10)),ROW(Income!A$3:A$502)-2),1)),"")&lt;&gt;"",IFERROR(INDEX(Income!B$3:B$502,SMALL(IF((Income!D$3:D$502="GBP")*(Income!A$3:A$502=DATE(2026,3,10)),ROW(Income!A$3:A$502)-2),1)),""),""))</f>
        <v/>
      </c>
      <c r="G54" s="62" t="str">
        <f aca="false">IF(IFERROR(-INDEX(Expenses!D$3:D$1002,SMALL(IF((Expenses!E$3:E$1002="GBP")*(Expenses!A$3:A$1002=DATE(2026,3,11)),ROW(Expenses!A$3:A$1002)-2),1)),0)+IFERROR(INDEX(Income!C$3:C$502,SMALL(IF((Income!D$3:D$502="GBP")*(Income!A$3:A$502=DATE(2026,3,11)),ROW(Income!A$3:A$502)-2),1)),0)=0,"",IFERROR(-INDEX(Expenses!D$3:D$1002,SMALL(IF((Expenses!E$3:E$1002="GBP")*(Expenses!A$3:A$1002=DATE(2026,3,11)),ROW(Expenses!A$3:A$1002)-2),1)),0)+IFERROR(INDEX(Income!C$3:C$502,SMALL(IF((Income!D$3:D$502="GBP")*(Income!A$3:A$502=DATE(2026,3,11)),ROW(Income!A$3:A$502)-2),1)),0))</f>
        <v/>
      </c>
      <c r="H54" s="38" t="str">
        <f aca="false">IF(IFERROR(INDEX(Expenses!B$3:B$1002,SMALL(IF((Expenses!E$3:E$1002="GBP")*(Expenses!A$3:A$1002=DATE(2026,3,11)),ROW(Expenses!A$3:A$1002)-2),1)),"")&lt;&gt;"",IFERROR(INDEX(Expenses!B$3:B$1002,SMALL(IF((Expenses!E$3:E$1002="GBP")*(Expenses!A$3:A$1002=DATE(2026,3,11)),ROW(Expenses!A$3:A$1002)-2),1)),""),IF(IFERROR(INDEX(Income!B$3:B$502,SMALL(IF((Income!D$3:D$502="GBP")*(Income!A$3:A$502=DATE(2026,3,11)),ROW(Income!A$3:A$502)-2),1)),"")&lt;&gt;"",IFERROR(INDEX(Income!B$3:B$502,SMALL(IF((Income!D$3:D$502="GBP")*(Income!A$3:A$502=DATE(2026,3,11)),ROW(Income!A$3:A$502)-2),1)),""),""))</f>
        <v/>
      </c>
      <c r="I54" s="62" t="str">
        <f aca="false">IF(IFERROR(-INDEX(Expenses!D$3:D$1002,SMALL(IF((Expenses!E$3:E$1002="GBP")*(Expenses!A$3:A$1002=DATE(2026,3,12)),ROW(Expenses!A$3:A$1002)-2),1)),0)+IFERROR(INDEX(Income!C$3:C$502,SMALL(IF((Income!D$3:D$502="GBP")*(Income!A$3:A$502=DATE(2026,3,12)),ROW(Income!A$3:A$502)-2),1)),0)=0,"",IFERROR(-INDEX(Expenses!D$3:D$1002,SMALL(IF((Expenses!E$3:E$1002="GBP")*(Expenses!A$3:A$1002=DATE(2026,3,12)),ROW(Expenses!A$3:A$1002)-2),1)),0)+IFERROR(INDEX(Income!C$3:C$502,SMALL(IF((Income!D$3:D$502="GBP")*(Income!A$3:A$502=DATE(2026,3,12)),ROW(Income!A$3:A$502)-2),1)),0))</f>
        <v/>
      </c>
      <c r="J54" s="38" t="str">
        <f aca="false">IF(IFERROR(INDEX(Expenses!B$3:B$1002,SMALL(IF((Expenses!E$3:E$1002="GBP")*(Expenses!A$3:A$1002=DATE(2026,3,12)),ROW(Expenses!A$3:A$1002)-2),1)),"")&lt;&gt;"",IFERROR(INDEX(Expenses!B$3:B$1002,SMALL(IF((Expenses!E$3:E$1002="GBP")*(Expenses!A$3:A$1002=DATE(2026,3,12)),ROW(Expenses!A$3:A$1002)-2),1)),""),IF(IFERROR(INDEX(Income!B$3:B$502,SMALL(IF((Income!D$3:D$502="GBP")*(Income!A$3:A$502=DATE(2026,3,12)),ROW(Income!A$3:A$502)-2),1)),"")&lt;&gt;"",IFERROR(INDEX(Income!B$3:B$502,SMALL(IF((Income!D$3:D$502="GBP")*(Income!A$3:A$502=DATE(2026,3,12)),ROW(Income!A$3:A$502)-2),1)),""),""))</f>
        <v/>
      </c>
      <c r="K54" s="62" t="str">
        <f aca="false">IF(IFERROR(-INDEX(Expenses!D$3:D$1002,SMALL(IF((Expenses!E$3:E$1002="GBP")*(Expenses!A$3:A$1002=DATE(2026,3,13)),ROW(Expenses!A$3:A$1002)-2),1)),0)+IFERROR(INDEX(Income!C$3:C$502,SMALL(IF((Income!D$3:D$502="GBP")*(Income!A$3:A$502=DATE(2026,3,13)),ROW(Income!A$3:A$502)-2),1)),0)=0,"",IFERROR(-INDEX(Expenses!D$3:D$1002,SMALL(IF((Expenses!E$3:E$1002="GBP")*(Expenses!A$3:A$1002=DATE(2026,3,13)),ROW(Expenses!A$3:A$1002)-2),1)),0)+IFERROR(INDEX(Income!C$3:C$502,SMALL(IF((Income!D$3:D$502="GBP")*(Income!A$3:A$502=DATE(2026,3,13)),ROW(Income!A$3:A$502)-2),1)),0))</f>
        <v/>
      </c>
      <c r="L54" s="38" t="str">
        <f aca="false">IF(IFERROR(INDEX(Expenses!B$3:B$1002,SMALL(IF((Expenses!E$3:E$1002="GBP")*(Expenses!A$3:A$1002=DATE(2026,3,13)),ROW(Expenses!A$3:A$1002)-2),1)),"")&lt;&gt;"",IFERROR(INDEX(Expenses!B$3:B$1002,SMALL(IF((Expenses!E$3:E$1002="GBP")*(Expenses!A$3:A$1002=DATE(2026,3,13)),ROW(Expenses!A$3:A$1002)-2),1)),""),IF(IFERROR(INDEX(Income!B$3:B$502,SMALL(IF((Income!D$3:D$502="GBP")*(Income!A$3:A$502=DATE(2026,3,13)),ROW(Income!A$3:A$502)-2),1)),"")&lt;&gt;"",IFERROR(INDEX(Income!B$3:B$502,SMALL(IF((Income!D$3:D$502="GBP")*(Income!A$3:A$502=DATE(2026,3,13)),ROW(Income!A$3:A$502)-2),1)),""),""))</f>
        <v/>
      </c>
      <c r="M54" s="62" t="str">
        <f aca="false">IF(IFERROR(-INDEX(Expenses!D$3:D$1002,SMALL(IF((Expenses!E$3:E$1002="GBP")*(Expenses!A$3:A$1002=DATE(2026,3,14)),ROW(Expenses!A$3:A$1002)-2),1)),0)+IFERROR(INDEX(Income!C$3:C$502,SMALL(IF((Income!D$3:D$502="GBP")*(Income!A$3:A$502=DATE(2026,3,14)),ROW(Income!A$3:A$502)-2),1)),0)=0,"",IFERROR(-INDEX(Expenses!D$3:D$1002,SMALL(IF((Expenses!E$3:E$1002="GBP")*(Expenses!A$3:A$1002=DATE(2026,3,14)),ROW(Expenses!A$3:A$1002)-2),1)),0)+IFERROR(INDEX(Income!C$3:C$502,SMALL(IF((Income!D$3:D$502="GBP")*(Income!A$3:A$502=DATE(2026,3,14)),ROW(Income!A$3:A$502)-2),1)),0))</f>
        <v/>
      </c>
      <c r="N54" s="38" t="str">
        <f aca="false">IF(IFERROR(INDEX(Expenses!B$3:B$1002,SMALL(IF((Expenses!E$3:E$1002="GBP")*(Expenses!A$3:A$1002=DATE(2026,3,14)),ROW(Expenses!A$3:A$1002)-2),1)),"")&lt;&gt;"",IFERROR(INDEX(Expenses!B$3:B$1002,SMALL(IF((Expenses!E$3:E$1002="GBP")*(Expenses!A$3:A$1002=DATE(2026,3,14)),ROW(Expenses!A$3:A$1002)-2),1)),""),IF(IFERROR(INDEX(Income!B$3:B$502,SMALL(IF((Income!D$3:D$502="GBP")*(Income!A$3:A$502=DATE(2026,3,14)),ROW(Income!A$3:A$502)-2),1)),"")&lt;&gt;"",IFERROR(INDEX(Income!B$3:B$502,SMALL(IF((Income!D$3:D$502="GBP")*(Income!A$3:A$502=DATE(2026,3,14)),ROW(Income!A$3:A$502)-2),1)),""),""))</f>
        <v/>
      </c>
      <c r="O54" s="62" t="str">
        <f aca="false">IF(IFERROR(-INDEX(Expenses!D$3:D$1002,SMALL(IF((Expenses!E$3:E$1002="GBP")*(Expenses!A$3:A$1002=DATE(2026,3,15)),ROW(Expenses!A$3:A$1002)-2),1)),0)+IFERROR(INDEX(Income!C$3:C$502,SMALL(IF((Income!D$3:D$502="GBP")*(Income!A$3:A$502=DATE(2026,3,15)),ROW(Income!A$3:A$502)-2),1)),0)=0,"",IFERROR(-INDEX(Expenses!D$3:D$1002,SMALL(IF((Expenses!E$3:E$1002="GBP")*(Expenses!A$3:A$1002=DATE(2026,3,15)),ROW(Expenses!A$3:A$1002)-2),1)),0)+IFERROR(INDEX(Income!C$3:C$502,SMALL(IF((Income!D$3:D$502="GBP")*(Income!A$3:A$502=DATE(2026,3,15)),ROW(Income!A$3:A$502)-2),1)),0))</f>
        <v/>
      </c>
      <c r="P54" s="38" t="str">
        <f aca="false">IF(IFERROR(INDEX(Expenses!B$3:B$1002,SMALL(IF((Expenses!E$3:E$1002="GBP")*(Expenses!A$3:A$1002=DATE(2026,3,15)),ROW(Expenses!A$3:A$1002)-2),1)),"")&lt;&gt;"",IFERROR(INDEX(Expenses!B$3:B$1002,SMALL(IF((Expenses!E$3:E$1002="GBP")*(Expenses!A$3:A$1002=DATE(2026,3,15)),ROW(Expenses!A$3:A$1002)-2),1)),""),IF(IFERROR(INDEX(Income!B$3:B$502,SMALL(IF((Income!D$3:D$502="GBP")*(Income!A$3:A$502=DATE(2026,3,15)),ROW(Income!A$3:A$502)-2),1)),"")&lt;&gt;"",IFERROR(INDEX(Income!B$3:B$502,SMALL(IF((Income!D$3:D$502="GBP")*(Income!A$3:A$502=DATE(2026,3,15)),ROW(Income!A$3:A$502)-2),1)),""),""))</f>
        <v/>
      </c>
      <c r="Q54" s="3" t="n">
        <v>11</v>
      </c>
      <c r="R54" s="45" t="n">
        <f aca="false">SUM(C54:C58)+SUM(E54:E58)+SUM(G54:G58)+SUM(I54:I58)+SUM(K54:K58)+SUM(M54:M58)+SUM(O54:O58)</f>
        <v>0</v>
      </c>
    </row>
    <row r="55" customFormat="false" ht="15" hidden="false" customHeight="false" outlineLevel="0" collapsed="false">
      <c r="A55" s="16"/>
      <c r="B55" s="16"/>
      <c r="C55" s="62" t="str">
        <f aca="false">IF(IFERROR(-INDEX(Expenses!D$3:D$1002,SMALL(IF((Expenses!E$3:E$1002="GBP")*(Expenses!A$3:A$1002=DATE(2026,3,9)),ROW(Expenses!A$3:A$1002)-2),2)),0)+IFERROR(INDEX(Income!C$3:C$502,SMALL(IF((Income!D$3:D$502="GBP")*(Income!A$3:A$502=DATE(2026,3,9)),ROW(Income!A$3:A$502)-2),2)),0)=0,"",IFERROR(-INDEX(Expenses!D$3:D$1002,SMALL(IF((Expenses!E$3:E$1002="GBP")*(Expenses!A$3:A$1002=DATE(2026,3,9)),ROW(Expenses!A$3:A$1002)-2),2)),0)+IFERROR(INDEX(Income!C$3:C$502,SMALL(IF((Income!D$3:D$502="GBP")*(Income!A$3:A$502=DATE(2026,3,9)),ROW(Income!A$3:A$502)-2),2)),0))</f>
        <v/>
      </c>
      <c r="D55" s="38" t="str">
        <f aca="false">IF(IFERROR(INDEX(Expenses!B$3:B$1002,SMALL(IF((Expenses!E$3:E$1002="GBP")*(Expenses!A$3:A$1002=DATE(2026,3,9)),ROW(Expenses!A$3:A$1002)-2),2)),"")&lt;&gt;"",IFERROR(INDEX(Expenses!B$3:B$1002,SMALL(IF((Expenses!E$3:E$1002="GBP")*(Expenses!A$3:A$1002=DATE(2026,3,9)),ROW(Expenses!A$3:A$1002)-2),2)),""),IF(IFERROR(INDEX(Income!B$3:B$502,SMALL(IF((Income!D$3:D$502="GBP")*(Income!A$3:A$502=DATE(2026,3,9)),ROW(Income!A$3:A$502)-2),2)),"")&lt;&gt;"",IFERROR(INDEX(Income!B$3:B$502,SMALL(IF((Income!D$3:D$502="GBP")*(Income!A$3:A$502=DATE(2026,3,9)),ROW(Income!A$3:A$502)-2),2)),""),""))</f>
        <v/>
      </c>
      <c r="E55" s="62" t="str">
        <f aca="false">IF(IFERROR(-INDEX(Expenses!D$3:D$1002,SMALL(IF((Expenses!E$3:E$1002="GBP")*(Expenses!A$3:A$1002=DATE(2026,3,10)),ROW(Expenses!A$3:A$1002)-2),2)),0)+IFERROR(INDEX(Income!C$3:C$502,SMALL(IF((Income!D$3:D$502="GBP")*(Income!A$3:A$502=DATE(2026,3,10)),ROW(Income!A$3:A$502)-2),2)),0)=0,"",IFERROR(-INDEX(Expenses!D$3:D$1002,SMALL(IF((Expenses!E$3:E$1002="GBP")*(Expenses!A$3:A$1002=DATE(2026,3,10)),ROW(Expenses!A$3:A$1002)-2),2)),0)+IFERROR(INDEX(Income!C$3:C$502,SMALL(IF((Income!D$3:D$502="GBP")*(Income!A$3:A$502=DATE(2026,3,10)),ROW(Income!A$3:A$502)-2),2)),0))</f>
        <v/>
      </c>
      <c r="F55" s="38" t="str">
        <f aca="false">IF(IFERROR(INDEX(Expenses!B$3:B$1002,SMALL(IF((Expenses!E$3:E$1002="GBP")*(Expenses!A$3:A$1002=DATE(2026,3,10)),ROW(Expenses!A$3:A$1002)-2),2)),"")&lt;&gt;"",IFERROR(INDEX(Expenses!B$3:B$1002,SMALL(IF((Expenses!E$3:E$1002="GBP")*(Expenses!A$3:A$1002=DATE(2026,3,10)),ROW(Expenses!A$3:A$1002)-2),2)),""),IF(IFERROR(INDEX(Income!B$3:B$502,SMALL(IF((Income!D$3:D$502="GBP")*(Income!A$3:A$502=DATE(2026,3,10)),ROW(Income!A$3:A$502)-2),2)),"")&lt;&gt;"",IFERROR(INDEX(Income!B$3:B$502,SMALL(IF((Income!D$3:D$502="GBP")*(Income!A$3:A$502=DATE(2026,3,10)),ROW(Income!A$3:A$502)-2),2)),""),""))</f>
        <v/>
      </c>
      <c r="G55" s="62" t="str">
        <f aca="false">IF(IFERROR(-INDEX(Expenses!D$3:D$1002,SMALL(IF((Expenses!E$3:E$1002="GBP")*(Expenses!A$3:A$1002=DATE(2026,3,11)),ROW(Expenses!A$3:A$1002)-2),2)),0)+IFERROR(INDEX(Income!C$3:C$502,SMALL(IF((Income!D$3:D$502="GBP")*(Income!A$3:A$502=DATE(2026,3,11)),ROW(Income!A$3:A$502)-2),2)),0)=0,"",IFERROR(-INDEX(Expenses!D$3:D$1002,SMALL(IF((Expenses!E$3:E$1002="GBP")*(Expenses!A$3:A$1002=DATE(2026,3,11)),ROW(Expenses!A$3:A$1002)-2),2)),0)+IFERROR(INDEX(Income!C$3:C$502,SMALL(IF((Income!D$3:D$502="GBP")*(Income!A$3:A$502=DATE(2026,3,11)),ROW(Income!A$3:A$502)-2),2)),0))</f>
        <v/>
      </c>
      <c r="H55" s="38" t="str">
        <f aca="false">IF(IFERROR(INDEX(Expenses!B$3:B$1002,SMALL(IF((Expenses!E$3:E$1002="GBP")*(Expenses!A$3:A$1002=DATE(2026,3,11)),ROW(Expenses!A$3:A$1002)-2),2)),"")&lt;&gt;"",IFERROR(INDEX(Expenses!B$3:B$1002,SMALL(IF((Expenses!E$3:E$1002="GBP")*(Expenses!A$3:A$1002=DATE(2026,3,11)),ROW(Expenses!A$3:A$1002)-2),2)),""),IF(IFERROR(INDEX(Income!B$3:B$502,SMALL(IF((Income!D$3:D$502="GBP")*(Income!A$3:A$502=DATE(2026,3,11)),ROW(Income!A$3:A$502)-2),2)),"")&lt;&gt;"",IFERROR(INDEX(Income!B$3:B$502,SMALL(IF((Income!D$3:D$502="GBP")*(Income!A$3:A$502=DATE(2026,3,11)),ROW(Income!A$3:A$502)-2),2)),""),""))</f>
        <v/>
      </c>
      <c r="I55" s="62" t="str">
        <f aca="false">IF(IFERROR(-INDEX(Expenses!D$3:D$1002,SMALL(IF((Expenses!E$3:E$1002="GBP")*(Expenses!A$3:A$1002=DATE(2026,3,12)),ROW(Expenses!A$3:A$1002)-2),2)),0)+IFERROR(INDEX(Income!C$3:C$502,SMALL(IF((Income!D$3:D$502="GBP")*(Income!A$3:A$502=DATE(2026,3,12)),ROW(Income!A$3:A$502)-2),2)),0)=0,"",IFERROR(-INDEX(Expenses!D$3:D$1002,SMALL(IF((Expenses!E$3:E$1002="GBP")*(Expenses!A$3:A$1002=DATE(2026,3,12)),ROW(Expenses!A$3:A$1002)-2),2)),0)+IFERROR(INDEX(Income!C$3:C$502,SMALL(IF((Income!D$3:D$502="GBP")*(Income!A$3:A$502=DATE(2026,3,12)),ROW(Income!A$3:A$502)-2),2)),0))</f>
        <v/>
      </c>
      <c r="J55" s="38" t="str">
        <f aca="false">IF(IFERROR(INDEX(Expenses!B$3:B$1002,SMALL(IF((Expenses!E$3:E$1002="GBP")*(Expenses!A$3:A$1002=DATE(2026,3,12)),ROW(Expenses!A$3:A$1002)-2),2)),"")&lt;&gt;"",IFERROR(INDEX(Expenses!B$3:B$1002,SMALL(IF((Expenses!E$3:E$1002="GBP")*(Expenses!A$3:A$1002=DATE(2026,3,12)),ROW(Expenses!A$3:A$1002)-2),2)),""),IF(IFERROR(INDEX(Income!B$3:B$502,SMALL(IF((Income!D$3:D$502="GBP")*(Income!A$3:A$502=DATE(2026,3,12)),ROW(Income!A$3:A$502)-2),2)),"")&lt;&gt;"",IFERROR(INDEX(Income!B$3:B$502,SMALL(IF((Income!D$3:D$502="GBP")*(Income!A$3:A$502=DATE(2026,3,12)),ROW(Income!A$3:A$502)-2),2)),""),""))</f>
        <v/>
      </c>
      <c r="K55" s="62" t="str">
        <f aca="false">IF(IFERROR(-INDEX(Expenses!D$3:D$1002,SMALL(IF((Expenses!E$3:E$1002="GBP")*(Expenses!A$3:A$1002=DATE(2026,3,13)),ROW(Expenses!A$3:A$1002)-2),2)),0)+IFERROR(INDEX(Income!C$3:C$502,SMALL(IF((Income!D$3:D$502="GBP")*(Income!A$3:A$502=DATE(2026,3,13)),ROW(Income!A$3:A$502)-2),2)),0)=0,"",IFERROR(-INDEX(Expenses!D$3:D$1002,SMALL(IF((Expenses!E$3:E$1002="GBP")*(Expenses!A$3:A$1002=DATE(2026,3,13)),ROW(Expenses!A$3:A$1002)-2),2)),0)+IFERROR(INDEX(Income!C$3:C$502,SMALL(IF((Income!D$3:D$502="GBP")*(Income!A$3:A$502=DATE(2026,3,13)),ROW(Income!A$3:A$502)-2),2)),0))</f>
        <v/>
      </c>
      <c r="L55" s="38" t="str">
        <f aca="false">IF(IFERROR(INDEX(Expenses!B$3:B$1002,SMALL(IF((Expenses!E$3:E$1002="GBP")*(Expenses!A$3:A$1002=DATE(2026,3,13)),ROW(Expenses!A$3:A$1002)-2),2)),"")&lt;&gt;"",IFERROR(INDEX(Expenses!B$3:B$1002,SMALL(IF((Expenses!E$3:E$1002="GBP")*(Expenses!A$3:A$1002=DATE(2026,3,13)),ROW(Expenses!A$3:A$1002)-2),2)),""),IF(IFERROR(INDEX(Income!B$3:B$502,SMALL(IF((Income!D$3:D$502="GBP")*(Income!A$3:A$502=DATE(2026,3,13)),ROW(Income!A$3:A$502)-2),2)),"")&lt;&gt;"",IFERROR(INDEX(Income!B$3:B$502,SMALL(IF((Income!D$3:D$502="GBP")*(Income!A$3:A$502=DATE(2026,3,13)),ROW(Income!A$3:A$502)-2),2)),""),""))</f>
        <v/>
      </c>
      <c r="M55" s="62" t="str">
        <f aca="false">IF(IFERROR(-INDEX(Expenses!D$3:D$1002,SMALL(IF((Expenses!E$3:E$1002="GBP")*(Expenses!A$3:A$1002=DATE(2026,3,14)),ROW(Expenses!A$3:A$1002)-2),2)),0)+IFERROR(INDEX(Income!C$3:C$502,SMALL(IF((Income!D$3:D$502="GBP")*(Income!A$3:A$502=DATE(2026,3,14)),ROW(Income!A$3:A$502)-2),2)),0)=0,"",IFERROR(-INDEX(Expenses!D$3:D$1002,SMALL(IF((Expenses!E$3:E$1002="GBP")*(Expenses!A$3:A$1002=DATE(2026,3,14)),ROW(Expenses!A$3:A$1002)-2),2)),0)+IFERROR(INDEX(Income!C$3:C$502,SMALL(IF((Income!D$3:D$502="GBP")*(Income!A$3:A$502=DATE(2026,3,14)),ROW(Income!A$3:A$502)-2),2)),0))</f>
        <v/>
      </c>
      <c r="N55" s="38" t="str">
        <f aca="false">IF(IFERROR(INDEX(Expenses!B$3:B$1002,SMALL(IF((Expenses!E$3:E$1002="GBP")*(Expenses!A$3:A$1002=DATE(2026,3,14)),ROW(Expenses!A$3:A$1002)-2),2)),"")&lt;&gt;"",IFERROR(INDEX(Expenses!B$3:B$1002,SMALL(IF((Expenses!E$3:E$1002="GBP")*(Expenses!A$3:A$1002=DATE(2026,3,14)),ROW(Expenses!A$3:A$1002)-2),2)),""),IF(IFERROR(INDEX(Income!B$3:B$502,SMALL(IF((Income!D$3:D$502="GBP")*(Income!A$3:A$502=DATE(2026,3,14)),ROW(Income!A$3:A$502)-2),2)),"")&lt;&gt;"",IFERROR(INDEX(Income!B$3:B$502,SMALL(IF((Income!D$3:D$502="GBP")*(Income!A$3:A$502=DATE(2026,3,14)),ROW(Income!A$3:A$502)-2),2)),""),""))</f>
        <v/>
      </c>
      <c r="O55" s="62" t="str">
        <f aca="false">IF(IFERROR(-INDEX(Expenses!D$3:D$1002,SMALL(IF((Expenses!E$3:E$1002="GBP")*(Expenses!A$3:A$1002=DATE(2026,3,15)),ROW(Expenses!A$3:A$1002)-2),2)),0)+IFERROR(INDEX(Income!C$3:C$502,SMALL(IF((Income!D$3:D$502="GBP")*(Income!A$3:A$502=DATE(2026,3,15)),ROW(Income!A$3:A$502)-2),2)),0)=0,"",IFERROR(-INDEX(Expenses!D$3:D$1002,SMALL(IF((Expenses!E$3:E$1002="GBP")*(Expenses!A$3:A$1002=DATE(2026,3,15)),ROW(Expenses!A$3:A$1002)-2),2)),0)+IFERROR(INDEX(Income!C$3:C$502,SMALL(IF((Income!D$3:D$502="GBP")*(Income!A$3:A$502=DATE(2026,3,15)),ROW(Income!A$3:A$502)-2),2)),0))</f>
        <v/>
      </c>
      <c r="P55" s="38" t="str">
        <f aca="false">IF(IFERROR(INDEX(Expenses!B$3:B$1002,SMALL(IF((Expenses!E$3:E$1002="GBP")*(Expenses!A$3:A$1002=DATE(2026,3,15)),ROW(Expenses!A$3:A$1002)-2),2)),"")&lt;&gt;"",IFERROR(INDEX(Expenses!B$3:B$1002,SMALL(IF((Expenses!E$3:E$1002="GBP")*(Expenses!A$3:A$1002=DATE(2026,3,15)),ROW(Expenses!A$3:A$1002)-2),2)),""),IF(IFERROR(INDEX(Income!B$3:B$502,SMALL(IF((Income!D$3:D$502="GBP")*(Income!A$3:A$502=DATE(2026,3,15)),ROW(Income!A$3:A$502)-2),2)),"")&lt;&gt;"",IFERROR(INDEX(Income!B$3:B$502,SMALL(IF((Income!D$3:D$502="GBP")*(Income!A$3:A$502=DATE(2026,3,15)),ROW(Income!A$3:A$502)-2),2)),""),""))</f>
        <v/>
      </c>
      <c r="Q55" s="16"/>
      <c r="R55" s="16"/>
    </row>
    <row r="56" customFormat="false" ht="15" hidden="false" customHeight="false" outlineLevel="0" collapsed="false">
      <c r="A56" s="16"/>
      <c r="B56" s="16"/>
      <c r="C56" s="62" t="str">
        <f aca="false">IF(IFERROR(-INDEX(Expenses!D$3:D$1002,SMALL(IF((Expenses!E$3:E$1002="GBP")*(Expenses!A$3:A$1002=DATE(2026,3,9)),ROW(Expenses!A$3:A$1002)-2),3)),0)+IFERROR(INDEX(Income!C$3:C$502,SMALL(IF((Income!D$3:D$502="GBP")*(Income!A$3:A$502=DATE(2026,3,9)),ROW(Income!A$3:A$502)-2),3)),0)=0,"",IFERROR(-INDEX(Expenses!D$3:D$1002,SMALL(IF((Expenses!E$3:E$1002="GBP")*(Expenses!A$3:A$1002=DATE(2026,3,9)),ROW(Expenses!A$3:A$1002)-2),3)),0)+IFERROR(INDEX(Income!C$3:C$502,SMALL(IF((Income!D$3:D$502="GBP")*(Income!A$3:A$502=DATE(2026,3,9)),ROW(Income!A$3:A$502)-2),3)),0))</f>
        <v/>
      </c>
      <c r="D56" s="38" t="str">
        <f aca="false">IF(IFERROR(INDEX(Expenses!B$3:B$1002,SMALL(IF((Expenses!E$3:E$1002="GBP")*(Expenses!A$3:A$1002=DATE(2026,3,9)),ROW(Expenses!A$3:A$1002)-2),3)),"")&lt;&gt;"",IFERROR(INDEX(Expenses!B$3:B$1002,SMALL(IF((Expenses!E$3:E$1002="GBP")*(Expenses!A$3:A$1002=DATE(2026,3,9)),ROW(Expenses!A$3:A$1002)-2),3)),""),IF(IFERROR(INDEX(Income!B$3:B$502,SMALL(IF((Income!D$3:D$502="GBP")*(Income!A$3:A$502=DATE(2026,3,9)),ROW(Income!A$3:A$502)-2),3)),"")&lt;&gt;"",IFERROR(INDEX(Income!B$3:B$502,SMALL(IF((Income!D$3:D$502="GBP")*(Income!A$3:A$502=DATE(2026,3,9)),ROW(Income!A$3:A$502)-2),3)),""),""))</f>
        <v/>
      </c>
      <c r="E56" s="62" t="str">
        <f aca="false">IF(IFERROR(-INDEX(Expenses!D$3:D$1002,SMALL(IF((Expenses!E$3:E$1002="GBP")*(Expenses!A$3:A$1002=DATE(2026,3,10)),ROW(Expenses!A$3:A$1002)-2),3)),0)+IFERROR(INDEX(Income!C$3:C$502,SMALL(IF((Income!D$3:D$502="GBP")*(Income!A$3:A$502=DATE(2026,3,10)),ROW(Income!A$3:A$502)-2),3)),0)=0,"",IFERROR(-INDEX(Expenses!D$3:D$1002,SMALL(IF((Expenses!E$3:E$1002="GBP")*(Expenses!A$3:A$1002=DATE(2026,3,10)),ROW(Expenses!A$3:A$1002)-2),3)),0)+IFERROR(INDEX(Income!C$3:C$502,SMALL(IF((Income!D$3:D$502="GBP")*(Income!A$3:A$502=DATE(2026,3,10)),ROW(Income!A$3:A$502)-2),3)),0))</f>
        <v/>
      </c>
      <c r="F56" s="38" t="str">
        <f aca="false">IF(IFERROR(INDEX(Expenses!B$3:B$1002,SMALL(IF((Expenses!E$3:E$1002="GBP")*(Expenses!A$3:A$1002=DATE(2026,3,10)),ROW(Expenses!A$3:A$1002)-2),3)),"")&lt;&gt;"",IFERROR(INDEX(Expenses!B$3:B$1002,SMALL(IF((Expenses!E$3:E$1002="GBP")*(Expenses!A$3:A$1002=DATE(2026,3,10)),ROW(Expenses!A$3:A$1002)-2),3)),""),IF(IFERROR(INDEX(Income!B$3:B$502,SMALL(IF((Income!D$3:D$502="GBP")*(Income!A$3:A$502=DATE(2026,3,10)),ROW(Income!A$3:A$502)-2),3)),"")&lt;&gt;"",IFERROR(INDEX(Income!B$3:B$502,SMALL(IF((Income!D$3:D$502="GBP")*(Income!A$3:A$502=DATE(2026,3,10)),ROW(Income!A$3:A$502)-2),3)),""),""))</f>
        <v/>
      </c>
      <c r="G56" s="62" t="str">
        <f aca="false">IF(IFERROR(-INDEX(Expenses!D$3:D$1002,SMALL(IF((Expenses!E$3:E$1002="GBP")*(Expenses!A$3:A$1002=DATE(2026,3,11)),ROW(Expenses!A$3:A$1002)-2),3)),0)+IFERROR(INDEX(Income!C$3:C$502,SMALL(IF((Income!D$3:D$502="GBP")*(Income!A$3:A$502=DATE(2026,3,11)),ROW(Income!A$3:A$502)-2),3)),0)=0,"",IFERROR(-INDEX(Expenses!D$3:D$1002,SMALL(IF((Expenses!E$3:E$1002="GBP")*(Expenses!A$3:A$1002=DATE(2026,3,11)),ROW(Expenses!A$3:A$1002)-2),3)),0)+IFERROR(INDEX(Income!C$3:C$502,SMALL(IF((Income!D$3:D$502="GBP")*(Income!A$3:A$502=DATE(2026,3,11)),ROW(Income!A$3:A$502)-2),3)),0))</f>
        <v/>
      </c>
      <c r="H56" s="38" t="str">
        <f aca="false">IF(IFERROR(INDEX(Expenses!B$3:B$1002,SMALL(IF((Expenses!E$3:E$1002="GBP")*(Expenses!A$3:A$1002=DATE(2026,3,11)),ROW(Expenses!A$3:A$1002)-2),3)),"")&lt;&gt;"",IFERROR(INDEX(Expenses!B$3:B$1002,SMALL(IF((Expenses!E$3:E$1002="GBP")*(Expenses!A$3:A$1002=DATE(2026,3,11)),ROW(Expenses!A$3:A$1002)-2),3)),""),IF(IFERROR(INDEX(Income!B$3:B$502,SMALL(IF((Income!D$3:D$502="GBP")*(Income!A$3:A$502=DATE(2026,3,11)),ROW(Income!A$3:A$502)-2),3)),"")&lt;&gt;"",IFERROR(INDEX(Income!B$3:B$502,SMALL(IF((Income!D$3:D$502="GBP")*(Income!A$3:A$502=DATE(2026,3,11)),ROW(Income!A$3:A$502)-2),3)),""),""))</f>
        <v/>
      </c>
      <c r="I56" s="62" t="str">
        <f aca="false">IF(IFERROR(-INDEX(Expenses!D$3:D$1002,SMALL(IF((Expenses!E$3:E$1002="GBP")*(Expenses!A$3:A$1002=DATE(2026,3,12)),ROW(Expenses!A$3:A$1002)-2),3)),0)+IFERROR(INDEX(Income!C$3:C$502,SMALL(IF((Income!D$3:D$502="GBP")*(Income!A$3:A$502=DATE(2026,3,12)),ROW(Income!A$3:A$502)-2),3)),0)=0,"",IFERROR(-INDEX(Expenses!D$3:D$1002,SMALL(IF((Expenses!E$3:E$1002="GBP")*(Expenses!A$3:A$1002=DATE(2026,3,12)),ROW(Expenses!A$3:A$1002)-2),3)),0)+IFERROR(INDEX(Income!C$3:C$502,SMALL(IF((Income!D$3:D$502="GBP")*(Income!A$3:A$502=DATE(2026,3,12)),ROW(Income!A$3:A$502)-2),3)),0))</f>
        <v/>
      </c>
      <c r="J56" s="38" t="str">
        <f aca="false">IF(IFERROR(INDEX(Expenses!B$3:B$1002,SMALL(IF((Expenses!E$3:E$1002="GBP")*(Expenses!A$3:A$1002=DATE(2026,3,12)),ROW(Expenses!A$3:A$1002)-2),3)),"")&lt;&gt;"",IFERROR(INDEX(Expenses!B$3:B$1002,SMALL(IF((Expenses!E$3:E$1002="GBP")*(Expenses!A$3:A$1002=DATE(2026,3,12)),ROW(Expenses!A$3:A$1002)-2),3)),""),IF(IFERROR(INDEX(Income!B$3:B$502,SMALL(IF((Income!D$3:D$502="GBP")*(Income!A$3:A$502=DATE(2026,3,12)),ROW(Income!A$3:A$502)-2),3)),"")&lt;&gt;"",IFERROR(INDEX(Income!B$3:B$502,SMALL(IF((Income!D$3:D$502="GBP")*(Income!A$3:A$502=DATE(2026,3,12)),ROW(Income!A$3:A$502)-2),3)),""),""))</f>
        <v/>
      </c>
      <c r="K56" s="62" t="str">
        <f aca="false">IF(IFERROR(-INDEX(Expenses!D$3:D$1002,SMALL(IF((Expenses!E$3:E$1002="GBP")*(Expenses!A$3:A$1002=DATE(2026,3,13)),ROW(Expenses!A$3:A$1002)-2),3)),0)+IFERROR(INDEX(Income!C$3:C$502,SMALL(IF((Income!D$3:D$502="GBP")*(Income!A$3:A$502=DATE(2026,3,13)),ROW(Income!A$3:A$502)-2),3)),0)=0,"",IFERROR(-INDEX(Expenses!D$3:D$1002,SMALL(IF((Expenses!E$3:E$1002="GBP")*(Expenses!A$3:A$1002=DATE(2026,3,13)),ROW(Expenses!A$3:A$1002)-2),3)),0)+IFERROR(INDEX(Income!C$3:C$502,SMALL(IF((Income!D$3:D$502="GBP")*(Income!A$3:A$502=DATE(2026,3,13)),ROW(Income!A$3:A$502)-2),3)),0))</f>
        <v/>
      </c>
      <c r="L56" s="38" t="str">
        <f aca="false">IF(IFERROR(INDEX(Expenses!B$3:B$1002,SMALL(IF((Expenses!E$3:E$1002="GBP")*(Expenses!A$3:A$1002=DATE(2026,3,13)),ROW(Expenses!A$3:A$1002)-2),3)),"")&lt;&gt;"",IFERROR(INDEX(Expenses!B$3:B$1002,SMALL(IF((Expenses!E$3:E$1002="GBP")*(Expenses!A$3:A$1002=DATE(2026,3,13)),ROW(Expenses!A$3:A$1002)-2),3)),""),IF(IFERROR(INDEX(Income!B$3:B$502,SMALL(IF((Income!D$3:D$502="GBP")*(Income!A$3:A$502=DATE(2026,3,13)),ROW(Income!A$3:A$502)-2),3)),"")&lt;&gt;"",IFERROR(INDEX(Income!B$3:B$502,SMALL(IF((Income!D$3:D$502="GBP")*(Income!A$3:A$502=DATE(2026,3,13)),ROW(Income!A$3:A$502)-2),3)),""),""))</f>
        <v/>
      </c>
      <c r="M56" s="62" t="str">
        <f aca="false">IF(IFERROR(-INDEX(Expenses!D$3:D$1002,SMALL(IF((Expenses!E$3:E$1002="GBP")*(Expenses!A$3:A$1002=DATE(2026,3,14)),ROW(Expenses!A$3:A$1002)-2),3)),0)+IFERROR(INDEX(Income!C$3:C$502,SMALL(IF((Income!D$3:D$502="GBP")*(Income!A$3:A$502=DATE(2026,3,14)),ROW(Income!A$3:A$502)-2),3)),0)=0,"",IFERROR(-INDEX(Expenses!D$3:D$1002,SMALL(IF((Expenses!E$3:E$1002="GBP")*(Expenses!A$3:A$1002=DATE(2026,3,14)),ROW(Expenses!A$3:A$1002)-2),3)),0)+IFERROR(INDEX(Income!C$3:C$502,SMALL(IF((Income!D$3:D$502="GBP")*(Income!A$3:A$502=DATE(2026,3,14)),ROW(Income!A$3:A$502)-2),3)),0))</f>
        <v/>
      </c>
      <c r="N56" s="38" t="str">
        <f aca="false">IF(IFERROR(INDEX(Expenses!B$3:B$1002,SMALL(IF((Expenses!E$3:E$1002="GBP")*(Expenses!A$3:A$1002=DATE(2026,3,14)),ROW(Expenses!A$3:A$1002)-2),3)),"")&lt;&gt;"",IFERROR(INDEX(Expenses!B$3:B$1002,SMALL(IF((Expenses!E$3:E$1002="GBP")*(Expenses!A$3:A$1002=DATE(2026,3,14)),ROW(Expenses!A$3:A$1002)-2),3)),""),IF(IFERROR(INDEX(Income!B$3:B$502,SMALL(IF((Income!D$3:D$502="GBP")*(Income!A$3:A$502=DATE(2026,3,14)),ROW(Income!A$3:A$502)-2),3)),"")&lt;&gt;"",IFERROR(INDEX(Income!B$3:B$502,SMALL(IF((Income!D$3:D$502="GBP")*(Income!A$3:A$502=DATE(2026,3,14)),ROW(Income!A$3:A$502)-2),3)),""),""))</f>
        <v/>
      </c>
      <c r="O56" s="62" t="str">
        <f aca="false">IF(IFERROR(-INDEX(Expenses!D$3:D$1002,SMALL(IF((Expenses!E$3:E$1002="GBP")*(Expenses!A$3:A$1002=DATE(2026,3,15)),ROW(Expenses!A$3:A$1002)-2),3)),0)+IFERROR(INDEX(Income!C$3:C$502,SMALL(IF((Income!D$3:D$502="GBP")*(Income!A$3:A$502=DATE(2026,3,15)),ROW(Income!A$3:A$502)-2),3)),0)=0,"",IFERROR(-INDEX(Expenses!D$3:D$1002,SMALL(IF((Expenses!E$3:E$1002="GBP")*(Expenses!A$3:A$1002=DATE(2026,3,15)),ROW(Expenses!A$3:A$1002)-2),3)),0)+IFERROR(INDEX(Income!C$3:C$502,SMALL(IF((Income!D$3:D$502="GBP")*(Income!A$3:A$502=DATE(2026,3,15)),ROW(Income!A$3:A$502)-2),3)),0))</f>
        <v/>
      </c>
      <c r="P56" s="38" t="str">
        <f aca="false">IF(IFERROR(INDEX(Expenses!B$3:B$1002,SMALL(IF((Expenses!E$3:E$1002="GBP")*(Expenses!A$3:A$1002=DATE(2026,3,15)),ROW(Expenses!A$3:A$1002)-2),3)),"")&lt;&gt;"",IFERROR(INDEX(Expenses!B$3:B$1002,SMALL(IF((Expenses!E$3:E$1002="GBP")*(Expenses!A$3:A$1002=DATE(2026,3,15)),ROW(Expenses!A$3:A$1002)-2),3)),""),IF(IFERROR(INDEX(Income!B$3:B$502,SMALL(IF((Income!D$3:D$502="GBP")*(Income!A$3:A$502=DATE(2026,3,15)),ROW(Income!A$3:A$502)-2),3)),"")&lt;&gt;"",IFERROR(INDEX(Income!B$3:B$502,SMALL(IF((Income!D$3:D$502="GBP")*(Income!A$3:A$502=DATE(2026,3,15)),ROW(Income!A$3:A$502)-2),3)),""),""))</f>
        <v/>
      </c>
      <c r="Q56" s="16"/>
      <c r="R56" s="16"/>
    </row>
    <row r="57" customFormat="false" ht="15" hidden="false" customHeight="false" outlineLevel="0" collapsed="false">
      <c r="A57" s="16"/>
      <c r="B57" s="16"/>
      <c r="C57" s="62" t="str">
        <f aca="false">IF(IFERROR(-INDEX(Expenses!D$3:D$1002,SMALL(IF((Expenses!E$3:E$1002="GBP")*(Expenses!A$3:A$1002=DATE(2026,3,9)),ROW(Expenses!A$3:A$1002)-2),4)),0)+IFERROR(INDEX(Income!C$3:C$502,SMALL(IF((Income!D$3:D$502="GBP")*(Income!A$3:A$502=DATE(2026,3,9)),ROW(Income!A$3:A$502)-2),4)),0)=0,"",IFERROR(-INDEX(Expenses!D$3:D$1002,SMALL(IF((Expenses!E$3:E$1002="GBP")*(Expenses!A$3:A$1002=DATE(2026,3,9)),ROW(Expenses!A$3:A$1002)-2),4)),0)+IFERROR(INDEX(Income!C$3:C$502,SMALL(IF((Income!D$3:D$502="GBP")*(Income!A$3:A$502=DATE(2026,3,9)),ROW(Income!A$3:A$502)-2),4)),0))</f>
        <v/>
      </c>
      <c r="D57" s="38" t="str">
        <f aca="false">IF(IFERROR(INDEX(Expenses!B$3:B$1002,SMALL(IF((Expenses!E$3:E$1002="GBP")*(Expenses!A$3:A$1002=DATE(2026,3,9)),ROW(Expenses!A$3:A$1002)-2),4)),"")&lt;&gt;"",IFERROR(INDEX(Expenses!B$3:B$1002,SMALL(IF((Expenses!E$3:E$1002="GBP")*(Expenses!A$3:A$1002=DATE(2026,3,9)),ROW(Expenses!A$3:A$1002)-2),4)),""),IF(IFERROR(INDEX(Income!B$3:B$502,SMALL(IF((Income!D$3:D$502="GBP")*(Income!A$3:A$502=DATE(2026,3,9)),ROW(Income!A$3:A$502)-2),4)),"")&lt;&gt;"",IFERROR(INDEX(Income!B$3:B$502,SMALL(IF((Income!D$3:D$502="GBP")*(Income!A$3:A$502=DATE(2026,3,9)),ROW(Income!A$3:A$502)-2),4)),""),""))</f>
        <v/>
      </c>
      <c r="E57" s="62" t="str">
        <f aca="false">IF(IFERROR(-INDEX(Expenses!D$3:D$1002,SMALL(IF((Expenses!E$3:E$1002="GBP")*(Expenses!A$3:A$1002=DATE(2026,3,10)),ROW(Expenses!A$3:A$1002)-2),4)),0)+IFERROR(INDEX(Income!C$3:C$502,SMALL(IF((Income!D$3:D$502="GBP")*(Income!A$3:A$502=DATE(2026,3,10)),ROW(Income!A$3:A$502)-2),4)),0)=0,"",IFERROR(-INDEX(Expenses!D$3:D$1002,SMALL(IF((Expenses!E$3:E$1002="GBP")*(Expenses!A$3:A$1002=DATE(2026,3,10)),ROW(Expenses!A$3:A$1002)-2),4)),0)+IFERROR(INDEX(Income!C$3:C$502,SMALL(IF((Income!D$3:D$502="GBP")*(Income!A$3:A$502=DATE(2026,3,10)),ROW(Income!A$3:A$502)-2),4)),0))</f>
        <v/>
      </c>
      <c r="F57" s="38" t="str">
        <f aca="false">IF(IFERROR(INDEX(Expenses!B$3:B$1002,SMALL(IF((Expenses!E$3:E$1002="GBP")*(Expenses!A$3:A$1002=DATE(2026,3,10)),ROW(Expenses!A$3:A$1002)-2),4)),"")&lt;&gt;"",IFERROR(INDEX(Expenses!B$3:B$1002,SMALL(IF((Expenses!E$3:E$1002="GBP")*(Expenses!A$3:A$1002=DATE(2026,3,10)),ROW(Expenses!A$3:A$1002)-2),4)),""),IF(IFERROR(INDEX(Income!B$3:B$502,SMALL(IF((Income!D$3:D$502="GBP")*(Income!A$3:A$502=DATE(2026,3,10)),ROW(Income!A$3:A$502)-2),4)),"")&lt;&gt;"",IFERROR(INDEX(Income!B$3:B$502,SMALL(IF((Income!D$3:D$502="GBP")*(Income!A$3:A$502=DATE(2026,3,10)),ROW(Income!A$3:A$502)-2),4)),""),""))</f>
        <v/>
      </c>
      <c r="G57" s="62" t="str">
        <f aca="false">IF(IFERROR(-INDEX(Expenses!D$3:D$1002,SMALL(IF((Expenses!E$3:E$1002="GBP")*(Expenses!A$3:A$1002=DATE(2026,3,11)),ROW(Expenses!A$3:A$1002)-2),4)),0)+IFERROR(INDEX(Income!C$3:C$502,SMALL(IF((Income!D$3:D$502="GBP")*(Income!A$3:A$502=DATE(2026,3,11)),ROW(Income!A$3:A$502)-2),4)),0)=0,"",IFERROR(-INDEX(Expenses!D$3:D$1002,SMALL(IF((Expenses!E$3:E$1002="GBP")*(Expenses!A$3:A$1002=DATE(2026,3,11)),ROW(Expenses!A$3:A$1002)-2),4)),0)+IFERROR(INDEX(Income!C$3:C$502,SMALL(IF((Income!D$3:D$502="GBP")*(Income!A$3:A$502=DATE(2026,3,11)),ROW(Income!A$3:A$502)-2),4)),0))</f>
        <v/>
      </c>
      <c r="H57" s="38" t="str">
        <f aca="false">IF(IFERROR(INDEX(Expenses!B$3:B$1002,SMALL(IF((Expenses!E$3:E$1002="GBP")*(Expenses!A$3:A$1002=DATE(2026,3,11)),ROW(Expenses!A$3:A$1002)-2),4)),"")&lt;&gt;"",IFERROR(INDEX(Expenses!B$3:B$1002,SMALL(IF((Expenses!E$3:E$1002="GBP")*(Expenses!A$3:A$1002=DATE(2026,3,11)),ROW(Expenses!A$3:A$1002)-2),4)),""),IF(IFERROR(INDEX(Income!B$3:B$502,SMALL(IF((Income!D$3:D$502="GBP")*(Income!A$3:A$502=DATE(2026,3,11)),ROW(Income!A$3:A$502)-2),4)),"")&lt;&gt;"",IFERROR(INDEX(Income!B$3:B$502,SMALL(IF((Income!D$3:D$502="GBP")*(Income!A$3:A$502=DATE(2026,3,11)),ROW(Income!A$3:A$502)-2),4)),""),""))</f>
        <v/>
      </c>
      <c r="I57" s="62" t="str">
        <f aca="false">IF(IFERROR(-INDEX(Expenses!D$3:D$1002,SMALL(IF((Expenses!E$3:E$1002="GBP")*(Expenses!A$3:A$1002=DATE(2026,3,12)),ROW(Expenses!A$3:A$1002)-2),4)),0)+IFERROR(INDEX(Income!C$3:C$502,SMALL(IF((Income!D$3:D$502="GBP")*(Income!A$3:A$502=DATE(2026,3,12)),ROW(Income!A$3:A$502)-2),4)),0)=0,"",IFERROR(-INDEX(Expenses!D$3:D$1002,SMALL(IF((Expenses!E$3:E$1002="GBP")*(Expenses!A$3:A$1002=DATE(2026,3,12)),ROW(Expenses!A$3:A$1002)-2),4)),0)+IFERROR(INDEX(Income!C$3:C$502,SMALL(IF((Income!D$3:D$502="GBP")*(Income!A$3:A$502=DATE(2026,3,12)),ROW(Income!A$3:A$502)-2),4)),0))</f>
        <v/>
      </c>
      <c r="J57" s="38" t="str">
        <f aca="false">IF(IFERROR(INDEX(Expenses!B$3:B$1002,SMALL(IF((Expenses!E$3:E$1002="GBP")*(Expenses!A$3:A$1002=DATE(2026,3,12)),ROW(Expenses!A$3:A$1002)-2),4)),"")&lt;&gt;"",IFERROR(INDEX(Expenses!B$3:B$1002,SMALL(IF((Expenses!E$3:E$1002="GBP")*(Expenses!A$3:A$1002=DATE(2026,3,12)),ROW(Expenses!A$3:A$1002)-2),4)),""),IF(IFERROR(INDEX(Income!B$3:B$502,SMALL(IF((Income!D$3:D$502="GBP")*(Income!A$3:A$502=DATE(2026,3,12)),ROW(Income!A$3:A$502)-2),4)),"")&lt;&gt;"",IFERROR(INDEX(Income!B$3:B$502,SMALL(IF((Income!D$3:D$502="GBP")*(Income!A$3:A$502=DATE(2026,3,12)),ROW(Income!A$3:A$502)-2),4)),""),""))</f>
        <v/>
      </c>
      <c r="K57" s="62" t="str">
        <f aca="false">IF(IFERROR(-INDEX(Expenses!D$3:D$1002,SMALL(IF((Expenses!E$3:E$1002="GBP")*(Expenses!A$3:A$1002=DATE(2026,3,13)),ROW(Expenses!A$3:A$1002)-2),4)),0)+IFERROR(INDEX(Income!C$3:C$502,SMALL(IF((Income!D$3:D$502="GBP")*(Income!A$3:A$502=DATE(2026,3,13)),ROW(Income!A$3:A$502)-2),4)),0)=0,"",IFERROR(-INDEX(Expenses!D$3:D$1002,SMALL(IF((Expenses!E$3:E$1002="GBP")*(Expenses!A$3:A$1002=DATE(2026,3,13)),ROW(Expenses!A$3:A$1002)-2),4)),0)+IFERROR(INDEX(Income!C$3:C$502,SMALL(IF((Income!D$3:D$502="GBP")*(Income!A$3:A$502=DATE(2026,3,13)),ROW(Income!A$3:A$502)-2),4)),0))</f>
        <v/>
      </c>
      <c r="L57" s="38" t="str">
        <f aca="false">IF(IFERROR(INDEX(Expenses!B$3:B$1002,SMALL(IF((Expenses!E$3:E$1002="GBP")*(Expenses!A$3:A$1002=DATE(2026,3,13)),ROW(Expenses!A$3:A$1002)-2),4)),"")&lt;&gt;"",IFERROR(INDEX(Expenses!B$3:B$1002,SMALL(IF((Expenses!E$3:E$1002="GBP")*(Expenses!A$3:A$1002=DATE(2026,3,13)),ROW(Expenses!A$3:A$1002)-2),4)),""),IF(IFERROR(INDEX(Income!B$3:B$502,SMALL(IF((Income!D$3:D$502="GBP")*(Income!A$3:A$502=DATE(2026,3,13)),ROW(Income!A$3:A$502)-2),4)),"")&lt;&gt;"",IFERROR(INDEX(Income!B$3:B$502,SMALL(IF((Income!D$3:D$502="GBP")*(Income!A$3:A$502=DATE(2026,3,13)),ROW(Income!A$3:A$502)-2),4)),""),""))</f>
        <v/>
      </c>
      <c r="M57" s="62" t="str">
        <f aca="false">IF(IFERROR(-INDEX(Expenses!D$3:D$1002,SMALL(IF((Expenses!E$3:E$1002="GBP")*(Expenses!A$3:A$1002=DATE(2026,3,14)),ROW(Expenses!A$3:A$1002)-2),4)),0)+IFERROR(INDEX(Income!C$3:C$502,SMALL(IF((Income!D$3:D$502="GBP")*(Income!A$3:A$502=DATE(2026,3,14)),ROW(Income!A$3:A$502)-2),4)),0)=0,"",IFERROR(-INDEX(Expenses!D$3:D$1002,SMALL(IF((Expenses!E$3:E$1002="GBP")*(Expenses!A$3:A$1002=DATE(2026,3,14)),ROW(Expenses!A$3:A$1002)-2),4)),0)+IFERROR(INDEX(Income!C$3:C$502,SMALL(IF((Income!D$3:D$502="GBP")*(Income!A$3:A$502=DATE(2026,3,14)),ROW(Income!A$3:A$502)-2),4)),0))</f>
        <v/>
      </c>
      <c r="N57" s="38" t="str">
        <f aca="false">IF(IFERROR(INDEX(Expenses!B$3:B$1002,SMALL(IF((Expenses!E$3:E$1002="GBP")*(Expenses!A$3:A$1002=DATE(2026,3,14)),ROW(Expenses!A$3:A$1002)-2),4)),"")&lt;&gt;"",IFERROR(INDEX(Expenses!B$3:B$1002,SMALL(IF((Expenses!E$3:E$1002="GBP")*(Expenses!A$3:A$1002=DATE(2026,3,14)),ROW(Expenses!A$3:A$1002)-2),4)),""),IF(IFERROR(INDEX(Income!B$3:B$502,SMALL(IF((Income!D$3:D$502="GBP")*(Income!A$3:A$502=DATE(2026,3,14)),ROW(Income!A$3:A$502)-2),4)),"")&lt;&gt;"",IFERROR(INDEX(Income!B$3:B$502,SMALL(IF((Income!D$3:D$502="GBP")*(Income!A$3:A$502=DATE(2026,3,14)),ROW(Income!A$3:A$502)-2),4)),""),""))</f>
        <v/>
      </c>
      <c r="O57" s="62" t="str">
        <f aca="false">IF(IFERROR(-INDEX(Expenses!D$3:D$1002,SMALL(IF((Expenses!E$3:E$1002="GBP")*(Expenses!A$3:A$1002=DATE(2026,3,15)),ROW(Expenses!A$3:A$1002)-2),4)),0)+IFERROR(INDEX(Income!C$3:C$502,SMALL(IF((Income!D$3:D$502="GBP")*(Income!A$3:A$502=DATE(2026,3,15)),ROW(Income!A$3:A$502)-2),4)),0)=0,"",IFERROR(-INDEX(Expenses!D$3:D$1002,SMALL(IF((Expenses!E$3:E$1002="GBP")*(Expenses!A$3:A$1002=DATE(2026,3,15)),ROW(Expenses!A$3:A$1002)-2),4)),0)+IFERROR(INDEX(Income!C$3:C$502,SMALL(IF((Income!D$3:D$502="GBP")*(Income!A$3:A$502=DATE(2026,3,15)),ROW(Income!A$3:A$502)-2),4)),0))</f>
        <v/>
      </c>
      <c r="P57" s="38" t="str">
        <f aca="false">IF(IFERROR(INDEX(Expenses!B$3:B$1002,SMALL(IF((Expenses!E$3:E$1002="GBP")*(Expenses!A$3:A$1002=DATE(2026,3,15)),ROW(Expenses!A$3:A$1002)-2),4)),"")&lt;&gt;"",IFERROR(INDEX(Expenses!B$3:B$1002,SMALL(IF((Expenses!E$3:E$1002="GBP")*(Expenses!A$3:A$1002=DATE(2026,3,15)),ROW(Expenses!A$3:A$1002)-2),4)),""),IF(IFERROR(INDEX(Income!B$3:B$502,SMALL(IF((Income!D$3:D$502="GBP")*(Income!A$3:A$502=DATE(2026,3,15)),ROW(Income!A$3:A$502)-2),4)),"")&lt;&gt;"",IFERROR(INDEX(Income!B$3:B$502,SMALL(IF((Income!D$3:D$502="GBP")*(Income!A$3:A$502=DATE(2026,3,15)),ROW(Income!A$3:A$502)-2),4)),""),""))</f>
        <v/>
      </c>
      <c r="Q57" s="16"/>
      <c r="R57" s="16"/>
    </row>
    <row r="58" customFormat="false" ht="15" hidden="false" customHeight="false" outlineLevel="0" collapsed="false">
      <c r="A58" s="16"/>
      <c r="B58" s="16"/>
      <c r="C58" s="62" t="str">
        <f aca="false">IF(IFERROR(-INDEX(Expenses!D$3:D$1002,SMALL(IF((Expenses!E$3:E$1002="GBP")*(Expenses!A$3:A$1002=DATE(2026,3,9)),ROW(Expenses!A$3:A$1002)-2),5)),0)+IFERROR(INDEX(Income!C$3:C$502,SMALL(IF((Income!D$3:D$502="GBP")*(Income!A$3:A$502=DATE(2026,3,9)),ROW(Income!A$3:A$502)-2),5)),0)=0,"",IFERROR(-INDEX(Expenses!D$3:D$1002,SMALL(IF((Expenses!E$3:E$1002="GBP")*(Expenses!A$3:A$1002=DATE(2026,3,9)),ROW(Expenses!A$3:A$1002)-2),5)),0)+IFERROR(INDEX(Income!C$3:C$502,SMALL(IF((Income!D$3:D$502="GBP")*(Income!A$3:A$502=DATE(2026,3,9)),ROW(Income!A$3:A$502)-2),5)),0))</f>
        <v/>
      </c>
      <c r="D58" s="38" t="str">
        <f aca="false">IF(IFERROR(INDEX(Expenses!B$3:B$1002,SMALL(IF((Expenses!E$3:E$1002="GBP")*(Expenses!A$3:A$1002=DATE(2026,3,9)),ROW(Expenses!A$3:A$1002)-2),5)),"")&lt;&gt;"",IFERROR(INDEX(Expenses!B$3:B$1002,SMALL(IF((Expenses!E$3:E$1002="GBP")*(Expenses!A$3:A$1002=DATE(2026,3,9)),ROW(Expenses!A$3:A$1002)-2),5)),""),IF(IFERROR(INDEX(Income!B$3:B$502,SMALL(IF((Income!D$3:D$502="GBP")*(Income!A$3:A$502=DATE(2026,3,9)),ROW(Income!A$3:A$502)-2),5)),"")&lt;&gt;"",IFERROR(INDEX(Income!B$3:B$502,SMALL(IF((Income!D$3:D$502="GBP")*(Income!A$3:A$502=DATE(2026,3,9)),ROW(Income!A$3:A$502)-2),5)),""),""))</f>
        <v/>
      </c>
      <c r="E58" s="62" t="str">
        <f aca="false">IF(IFERROR(-INDEX(Expenses!D$3:D$1002,SMALL(IF((Expenses!E$3:E$1002="GBP")*(Expenses!A$3:A$1002=DATE(2026,3,10)),ROW(Expenses!A$3:A$1002)-2),5)),0)+IFERROR(INDEX(Income!C$3:C$502,SMALL(IF((Income!D$3:D$502="GBP")*(Income!A$3:A$502=DATE(2026,3,10)),ROW(Income!A$3:A$502)-2),5)),0)=0,"",IFERROR(-INDEX(Expenses!D$3:D$1002,SMALL(IF((Expenses!E$3:E$1002="GBP")*(Expenses!A$3:A$1002=DATE(2026,3,10)),ROW(Expenses!A$3:A$1002)-2),5)),0)+IFERROR(INDEX(Income!C$3:C$502,SMALL(IF((Income!D$3:D$502="GBP")*(Income!A$3:A$502=DATE(2026,3,10)),ROW(Income!A$3:A$502)-2),5)),0))</f>
        <v/>
      </c>
      <c r="F58" s="38" t="str">
        <f aca="false">IF(IFERROR(INDEX(Expenses!B$3:B$1002,SMALL(IF((Expenses!E$3:E$1002="GBP")*(Expenses!A$3:A$1002=DATE(2026,3,10)),ROW(Expenses!A$3:A$1002)-2),5)),"")&lt;&gt;"",IFERROR(INDEX(Expenses!B$3:B$1002,SMALL(IF((Expenses!E$3:E$1002="GBP")*(Expenses!A$3:A$1002=DATE(2026,3,10)),ROW(Expenses!A$3:A$1002)-2),5)),""),IF(IFERROR(INDEX(Income!B$3:B$502,SMALL(IF((Income!D$3:D$502="GBP")*(Income!A$3:A$502=DATE(2026,3,10)),ROW(Income!A$3:A$502)-2),5)),"")&lt;&gt;"",IFERROR(INDEX(Income!B$3:B$502,SMALL(IF((Income!D$3:D$502="GBP")*(Income!A$3:A$502=DATE(2026,3,10)),ROW(Income!A$3:A$502)-2),5)),""),""))</f>
        <v/>
      </c>
      <c r="G58" s="62" t="str">
        <f aca="false">IF(IFERROR(-INDEX(Expenses!D$3:D$1002,SMALL(IF((Expenses!E$3:E$1002="GBP")*(Expenses!A$3:A$1002=DATE(2026,3,11)),ROW(Expenses!A$3:A$1002)-2),5)),0)+IFERROR(INDEX(Income!C$3:C$502,SMALL(IF((Income!D$3:D$502="GBP")*(Income!A$3:A$502=DATE(2026,3,11)),ROW(Income!A$3:A$502)-2),5)),0)=0,"",IFERROR(-INDEX(Expenses!D$3:D$1002,SMALL(IF((Expenses!E$3:E$1002="GBP")*(Expenses!A$3:A$1002=DATE(2026,3,11)),ROW(Expenses!A$3:A$1002)-2),5)),0)+IFERROR(INDEX(Income!C$3:C$502,SMALL(IF((Income!D$3:D$502="GBP")*(Income!A$3:A$502=DATE(2026,3,11)),ROW(Income!A$3:A$502)-2),5)),0))</f>
        <v/>
      </c>
      <c r="H58" s="38" t="str">
        <f aca="false">IF(IFERROR(INDEX(Expenses!B$3:B$1002,SMALL(IF((Expenses!E$3:E$1002="GBP")*(Expenses!A$3:A$1002=DATE(2026,3,11)),ROW(Expenses!A$3:A$1002)-2),5)),"")&lt;&gt;"",IFERROR(INDEX(Expenses!B$3:B$1002,SMALL(IF((Expenses!E$3:E$1002="GBP")*(Expenses!A$3:A$1002=DATE(2026,3,11)),ROW(Expenses!A$3:A$1002)-2),5)),""),IF(IFERROR(INDEX(Income!B$3:B$502,SMALL(IF((Income!D$3:D$502="GBP")*(Income!A$3:A$502=DATE(2026,3,11)),ROW(Income!A$3:A$502)-2),5)),"")&lt;&gt;"",IFERROR(INDEX(Income!B$3:B$502,SMALL(IF((Income!D$3:D$502="GBP")*(Income!A$3:A$502=DATE(2026,3,11)),ROW(Income!A$3:A$502)-2),5)),""),""))</f>
        <v/>
      </c>
      <c r="I58" s="62" t="str">
        <f aca="false">IF(IFERROR(-INDEX(Expenses!D$3:D$1002,SMALL(IF((Expenses!E$3:E$1002="GBP")*(Expenses!A$3:A$1002=DATE(2026,3,12)),ROW(Expenses!A$3:A$1002)-2),5)),0)+IFERROR(INDEX(Income!C$3:C$502,SMALL(IF((Income!D$3:D$502="GBP")*(Income!A$3:A$502=DATE(2026,3,12)),ROW(Income!A$3:A$502)-2),5)),0)=0,"",IFERROR(-INDEX(Expenses!D$3:D$1002,SMALL(IF((Expenses!E$3:E$1002="GBP")*(Expenses!A$3:A$1002=DATE(2026,3,12)),ROW(Expenses!A$3:A$1002)-2),5)),0)+IFERROR(INDEX(Income!C$3:C$502,SMALL(IF((Income!D$3:D$502="GBP")*(Income!A$3:A$502=DATE(2026,3,12)),ROW(Income!A$3:A$502)-2),5)),0))</f>
        <v/>
      </c>
      <c r="J58" s="38" t="str">
        <f aca="false">IF(IFERROR(INDEX(Expenses!B$3:B$1002,SMALL(IF((Expenses!E$3:E$1002="GBP")*(Expenses!A$3:A$1002=DATE(2026,3,12)),ROW(Expenses!A$3:A$1002)-2),5)),"")&lt;&gt;"",IFERROR(INDEX(Expenses!B$3:B$1002,SMALL(IF((Expenses!E$3:E$1002="GBP")*(Expenses!A$3:A$1002=DATE(2026,3,12)),ROW(Expenses!A$3:A$1002)-2),5)),""),IF(IFERROR(INDEX(Income!B$3:B$502,SMALL(IF((Income!D$3:D$502="GBP")*(Income!A$3:A$502=DATE(2026,3,12)),ROW(Income!A$3:A$502)-2),5)),"")&lt;&gt;"",IFERROR(INDEX(Income!B$3:B$502,SMALL(IF((Income!D$3:D$502="GBP")*(Income!A$3:A$502=DATE(2026,3,12)),ROW(Income!A$3:A$502)-2),5)),""),""))</f>
        <v/>
      </c>
      <c r="K58" s="62" t="str">
        <f aca="false">IF(IFERROR(-INDEX(Expenses!D$3:D$1002,SMALL(IF((Expenses!E$3:E$1002="GBP")*(Expenses!A$3:A$1002=DATE(2026,3,13)),ROW(Expenses!A$3:A$1002)-2),5)),0)+IFERROR(INDEX(Income!C$3:C$502,SMALL(IF((Income!D$3:D$502="GBP")*(Income!A$3:A$502=DATE(2026,3,13)),ROW(Income!A$3:A$502)-2),5)),0)=0,"",IFERROR(-INDEX(Expenses!D$3:D$1002,SMALL(IF((Expenses!E$3:E$1002="GBP")*(Expenses!A$3:A$1002=DATE(2026,3,13)),ROW(Expenses!A$3:A$1002)-2),5)),0)+IFERROR(INDEX(Income!C$3:C$502,SMALL(IF((Income!D$3:D$502="GBP")*(Income!A$3:A$502=DATE(2026,3,13)),ROW(Income!A$3:A$502)-2),5)),0))</f>
        <v/>
      </c>
      <c r="L58" s="38" t="str">
        <f aca="false">IF(IFERROR(INDEX(Expenses!B$3:B$1002,SMALL(IF((Expenses!E$3:E$1002="GBP")*(Expenses!A$3:A$1002=DATE(2026,3,13)),ROW(Expenses!A$3:A$1002)-2),5)),"")&lt;&gt;"",IFERROR(INDEX(Expenses!B$3:B$1002,SMALL(IF((Expenses!E$3:E$1002="GBP")*(Expenses!A$3:A$1002=DATE(2026,3,13)),ROW(Expenses!A$3:A$1002)-2),5)),""),IF(IFERROR(INDEX(Income!B$3:B$502,SMALL(IF((Income!D$3:D$502="GBP")*(Income!A$3:A$502=DATE(2026,3,13)),ROW(Income!A$3:A$502)-2),5)),"")&lt;&gt;"",IFERROR(INDEX(Income!B$3:B$502,SMALL(IF((Income!D$3:D$502="GBP")*(Income!A$3:A$502=DATE(2026,3,13)),ROW(Income!A$3:A$502)-2),5)),""),""))</f>
        <v/>
      </c>
      <c r="M58" s="62" t="str">
        <f aca="false">IF(IFERROR(-INDEX(Expenses!D$3:D$1002,SMALL(IF((Expenses!E$3:E$1002="GBP")*(Expenses!A$3:A$1002=DATE(2026,3,14)),ROW(Expenses!A$3:A$1002)-2),5)),0)+IFERROR(INDEX(Income!C$3:C$502,SMALL(IF((Income!D$3:D$502="GBP")*(Income!A$3:A$502=DATE(2026,3,14)),ROW(Income!A$3:A$502)-2),5)),0)=0,"",IFERROR(-INDEX(Expenses!D$3:D$1002,SMALL(IF((Expenses!E$3:E$1002="GBP")*(Expenses!A$3:A$1002=DATE(2026,3,14)),ROW(Expenses!A$3:A$1002)-2),5)),0)+IFERROR(INDEX(Income!C$3:C$502,SMALL(IF((Income!D$3:D$502="GBP")*(Income!A$3:A$502=DATE(2026,3,14)),ROW(Income!A$3:A$502)-2),5)),0))</f>
        <v/>
      </c>
      <c r="N58" s="38" t="str">
        <f aca="false">IF(IFERROR(INDEX(Expenses!B$3:B$1002,SMALL(IF((Expenses!E$3:E$1002="GBP")*(Expenses!A$3:A$1002=DATE(2026,3,14)),ROW(Expenses!A$3:A$1002)-2),5)),"")&lt;&gt;"",IFERROR(INDEX(Expenses!B$3:B$1002,SMALL(IF((Expenses!E$3:E$1002="GBP")*(Expenses!A$3:A$1002=DATE(2026,3,14)),ROW(Expenses!A$3:A$1002)-2),5)),""),IF(IFERROR(INDEX(Income!B$3:B$502,SMALL(IF((Income!D$3:D$502="GBP")*(Income!A$3:A$502=DATE(2026,3,14)),ROW(Income!A$3:A$502)-2),5)),"")&lt;&gt;"",IFERROR(INDEX(Income!B$3:B$502,SMALL(IF((Income!D$3:D$502="GBP")*(Income!A$3:A$502=DATE(2026,3,14)),ROW(Income!A$3:A$502)-2),5)),""),""))</f>
        <v/>
      </c>
      <c r="O58" s="62" t="str">
        <f aca="false">IF(IFERROR(-INDEX(Expenses!D$3:D$1002,SMALL(IF((Expenses!E$3:E$1002="GBP")*(Expenses!A$3:A$1002=DATE(2026,3,15)),ROW(Expenses!A$3:A$1002)-2),5)),0)+IFERROR(INDEX(Income!C$3:C$502,SMALL(IF((Income!D$3:D$502="GBP")*(Income!A$3:A$502=DATE(2026,3,15)),ROW(Income!A$3:A$502)-2),5)),0)=0,"",IFERROR(-INDEX(Expenses!D$3:D$1002,SMALL(IF((Expenses!E$3:E$1002="GBP")*(Expenses!A$3:A$1002=DATE(2026,3,15)),ROW(Expenses!A$3:A$1002)-2),5)),0)+IFERROR(INDEX(Income!C$3:C$502,SMALL(IF((Income!D$3:D$502="GBP")*(Income!A$3:A$502=DATE(2026,3,15)),ROW(Income!A$3:A$502)-2),5)),0))</f>
        <v/>
      </c>
      <c r="P58" s="38" t="str">
        <f aca="false">IF(IFERROR(INDEX(Expenses!B$3:B$1002,SMALL(IF((Expenses!E$3:E$1002="GBP")*(Expenses!A$3:A$1002=DATE(2026,3,15)),ROW(Expenses!A$3:A$1002)-2),5)),"")&lt;&gt;"",IFERROR(INDEX(Expenses!B$3:B$1002,SMALL(IF((Expenses!E$3:E$1002="GBP")*(Expenses!A$3:A$1002=DATE(2026,3,15)),ROW(Expenses!A$3:A$1002)-2),5)),""),IF(IFERROR(INDEX(Income!B$3:B$502,SMALL(IF((Income!D$3:D$502="GBP")*(Income!A$3:A$502=DATE(2026,3,15)),ROW(Income!A$3:A$502)-2),5)),"")&lt;&gt;"",IFERROR(INDEX(Income!B$3:B$502,SMALL(IF((Income!D$3:D$502="GBP")*(Income!A$3:A$502=DATE(2026,3,15)),ROW(Income!A$3:A$502)-2),5)),""),""))</f>
        <v/>
      </c>
      <c r="Q58" s="16"/>
      <c r="R58" s="16"/>
    </row>
    <row r="59" customFormat="false" ht="15" hidden="false" customHeight="false" outlineLevel="0" collapsed="false">
      <c r="A59" s="61" t="n">
        <v>46097</v>
      </c>
      <c r="B59" s="3" t="n">
        <v>12</v>
      </c>
      <c r="C59" s="62" t="str">
        <f aca="false">IF(IFERROR(-INDEX(Expenses!D$3:D$1002,SMALL(IF((Expenses!E$3:E$1002="GBP")*(Expenses!A$3:A$1002=DATE(2026,3,16)),ROW(Expenses!A$3:A$1002)-2),1)),0)+IFERROR(INDEX(Income!C$3:C$502,SMALL(IF((Income!D$3:D$502="GBP")*(Income!A$3:A$502=DATE(2026,3,16)),ROW(Income!A$3:A$502)-2),1)),0)=0,"",IFERROR(-INDEX(Expenses!D$3:D$1002,SMALL(IF((Expenses!E$3:E$1002="GBP")*(Expenses!A$3:A$1002=DATE(2026,3,16)),ROW(Expenses!A$3:A$1002)-2),1)),0)+IFERROR(INDEX(Income!C$3:C$502,SMALL(IF((Income!D$3:D$502="GBP")*(Income!A$3:A$502=DATE(2026,3,16)),ROW(Income!A$3:A$502)-2),1)),0))</f>
        <v/>
      </c>
      <c r="D59" s="38" t="str">
        <f aca="false">IF(IFERROR(INDEX(Expenses!B$3:B$1002,SMALL(IF((Expenses!E$3:E$1002="GBP")*(Expenses!A$3:A$1002=DATE(2026,3,16)),ROW(Expenses!A$3:A$1002)-2),1)),"")&lt;&gt;"",IFERROR(INDEX(Expenses!B$3:B$1002,SMALL(IF((Expenses!E$3:E$1002="GBP")*(Expenses!A$3:A$1002=DATE(2026,3,16)),ROW(Expenses!A$3:A$1002)-2),1)),""),IF(IFERROR(INDEX(Income!B$3:B$502,SMALL(IF((Income!D$3:D$502="GBP")*(Income!A$3:A$502=DATE(2026,3,16)),ROW(Income!A$3:A$502)-2),1)),"")&lt;&gt;"",IFERROR(INDEX(Income!B$3:B$502,SMALL(IF((Income!D$3:D$502="GBP")*(Income!A$3:A$502=DATE(2026,3,16)),ROW(Income!A$3:A$502)-2),1)),""),""))</f>
        <v/>
      </c>
      <c r="E59" s="62" t="str">
        <f aca="false">IF(IFERROR(-INDEX(Expenses!D$3:D$1002,SMALL(IF((Expenses!E$3:E$1002="GBP")*(Expenses!A$3:A$1002=DATE(2026,3,17)),ROW(Expenses!A$3:A$1002)-2),1)),0)+IFERROR(INDEX(Income!C$3:C$502,SMALL(IF((Income!D$3:D$502="GBP")*(Income!A$3:A$502=DATE(2026,3,17)),ROW(Income!A$3:A$502)-2),1)),0)=0,"",IFERROR(-INDEX(Expenses!D$3:D$1002,SMALL(IF((Expenses!E$3:E$1002="GBP")*(Expenses!A$3:A$1002=DATE(2026,3,17)),ROW(Expenses!A$3:A$1002)-2),1)),0)+IFERROR(INDEX(Income!C$3:C$502,SMALL(IF((Income!D$3:D$502="GBP")*(Income!A$3:A$502=DATE(2026,3,17)),ROW(Income!A$3:A$502)-2),1)),0))</f>
        <v/>
      </c>
      <c r="F59" s="38" t="str">
        <f aca="false">IF(IFERROR(INDEX(Expenses!B$3:B$1002,SMALL(IF((Expenses!E$3:E$1002="GBP")*(Expenses!A$3:A$1002=DATE(2026,3,17)),ROW(Expenses!A$3:A$1002)-2),1)),"")&lt;&gt;"",IFERROR(INDEX(Expenses!B$3:B$1002,SMALL(IF((Expenses!E$3:E$1002="GBP")*(Expenses!A$3:A$1002=DATE(2026,3,17)),ROW(Expenses!A$3:A$1002)-2),1)),""),IF(IFERROR(INDEX(Income!B$3:B$502,SMALL(IF((Income!D$3:D$502="GBP")*(Income!A$3:A$502=DATE(2026,3,17)),ROW(Income!A$3:A$502)-2),1)),"")&lt;&gt;"",IFERROR(INDEX(Income!B$3:B$502,SMALL(IF((Income!D$3:D$502="GBP")*(Income!A$3:A$502=DATE(2026,3,17)),ROW(Income!A$3:A$502)-2),1)),""),""))</f>
        <v/>
      </c>
      <c r="G59" s="62" t="str">
        <f aca="false">IF(IFERROR(-INDEX(Expenses!D$3:D$1002,SMALL(IF((Expenses!E$3:E$1002="GBP")*(Expenses!A$3:A$1002=DATE(2026,3,18)),ROW(Expenses!A$3:A$1002)-2),1)),0)+IFERROR(INDEX(Income!C$3:C$502,SMALL(IF((Income!D$3:D$502="GBP")*(Income!A$3:A$502=DATE(2026,3,18)),ROW(Income!A$3:A$502)-2),1)),0)=0,"",IFERROR(-INDEX(Expenses!D$3:D$1002,SMALL(IF((Expenses!E$3:E$1002="GBP")*(Expenses!A$3:A$1002=DATE(2026,3,18)),ROW(Expenses!A$3:A$1002)-2),1)),0)+IFERROR(INDEX(Income!C$3:C$502,SMALL(IF((Income!D$3:D$502="GBP")*(Income!A$3:A$502=DATE(2026,3,18)),ROW(Income!A$3:A$502)-2),1)),0))</f>
        <v/>
      </c>
      <c r="H59" s="38" t="str">
        <f aca="false">IF(IFERROR(INDEX(Expenses!B$3:B$1002,SMALL(IF((Expenses!E$3:E$1002="GBP")*(Expenses!A$3:A$1002=DATE(2026,3,18)),ROW(Expenses!A$3:A$1002)-2),1)),"")&lt;&gt;"",IFERROR(INDEX(Expenses!B$3:B$1002,SMALL(IF((Expenses!E$3:E$1002="GBP")*(Expenses!A$3:A$1002=DATE(2026,3,18)),ROW(Expenses!A$3:A$1002)-2),1)),""),IF(IFERROR(INDEX(Income!B$3:B$502,SMALL(IF((Income!D$3:D$502="GBP")*(Income!A$3:A$502=DATE(2026,3,18)),ROW(Income!A$3:A$502)-2),1)),"")&lt;&gt;"",IFERROR(INDEX(Income!B$3:B$502,SMALL(IF((Income!D$3:D$502="GBP")*(Income!A$3:A$502=DATE(2026,3,18)),ROW(Income!A$3:A$502)-2),1)),""),""))</f>
        <v/>
      </c>
      <c r="I59" s="62" t="str">
        <f aca="false">IF(IFERROR(-INDEX(Expenses!D$3:D$1002,SMALL(IF((Expenses!E$3:E$1002="GBP")*(Expenses!A$3:A$1002=DATE(2026,3,19)),ROW(Expenses!A$3:A$1002)-2),1)),0)+IFERROR(INDEX(Income!C$3:C$502,SMALL(IF((Income!D$3:D$502="GBP")*(Income!A$3:A$502=DATE(2026,3,19)),ROW(Income!A$3:A$502)-2),1)),0)=0,"",IFERROR(-INDEX(Expenses!D$3:D$1002,SMALL(IF((Expenses!E$3:E$1002="GBP")*(Expenses!A$3:A$1002=DATE(2026,3,19)),ROW(Expenses!A$3:A$1002)-2),1)),0)+IFERROR(INDEX(Income!C$3:C$502,SMALL(IF((Income!D$3:D$502="GBP")*(Income!A$3:A$502=DATE(2026,3,19)),ROW(Income!A$3:A$502)-2),1)),0))</f>
        <v/>
      </c>
      <c r="J59" s="38" t="str">
        <f aca="false">IF(IFERROR(INDEX(Expenses!B$3:B$1002,SMALL(IF((Expenses!E$3:E$1002="GBP")*(Expenses!A$3:A$1002=DATE(2026,3,19)),ROW(Expenses!A$3:A$1002)-2),1)),"")&lt;&gt;"",IFERROR(INDEX(Expenses!B$3:B$1002,SMALL(IF((Expenses!E$3:E$1002="GBP")*(Expenses!A$3:A$1002=DATE(2026,3,19)),ROW(Expenses!A$3:A$1002)-2),1)),""),IF(IFERROR(INDEX(Income!B$3:B$502,SMALL(IF((Income!D$3:D$502="GBP")*(Income!A$3:A$502=DATE(2026,3,19)),ROW(Income!A$3:A$502)-2),1)),"")&lt;&gt;"",IFERROR(INDEX(Income!B$3:B$502,SMALL(IF((Income!D$3:D$502="GBP")*(Income!A$3:A$502=DATE(2026,3,19)),ROW(Income!A$3:A$502)-2),1)),""),""))</f>
        <v/>
      </c>
      <c r="K59" s="62" t="str">
        <f aca="false">IF(IFERROR(-INDEX(Expenses!D$3:D$1002,SMALL(IF((Expenses!E$3:E$1002="GBP")*(Expenses!A$3:A$1002=DATE(2026,3,20)),ROW(Expenses!A$3:A$1002)-2),1)),0)+IFERROR(INDEX(Income!C$3:C$502,SMALL(IF((Income!D$3:D$502="GBP")*(Income!A$3:A$502=DATE(2026,3,20)),ROW(Income!A$3:A$502)-2),1)),0)=0,"",IFERROR(-INDEX(Expenses!D$3:D$1002,SMALL(IF((Expenses!E$3:E$1002="GBP")*(Expenses!A$3:A$1002=DATE(2026,3,20)),ROW(Expenses!A$3:A$1002)-2),1)),0)+IFERROR(INDEX(Income!C$3:C$502,SMALL(IF((Income!D$3:D$502="GBP")*(Income!A$3:A$502=DATE(2026,3,20)),ROW(Income!A$3:A$502)-2),1)),0))</f>
        <v/>
      </c>
      <c r="L59" s="38" t="str">
        <f aca="false">IF(IFERROR(INDEX(Expenses!B$3:B$1002,SMALL(IF((Expenses!E$3:E$1002="GBP")*(Expenses!A$3:A$1002=DATE(2026,3,20)),ROW(Expenses!A$3:A$1002)-2),1)),"")&lt;&gt;"",IFERROR(INDEX(Expenses!B$3:B$1002,SMALL(IF((Expenses!E$3:E$1002="GBP")*(Expenses!A$3:A$1002=DATE(2026,3,20)),ROW(Expenses!A$3:A$1002)-2),1)),""),IF(IFERROR(INDEX(Income!B$3:B$502,SMALL(IF((Income!D$3:D$502="GBP")*(Income!A$3:A$502=DATE(2026,3,20)),ROW(Income!A$3:A$502)-2),1)),"")&lt;&gt;"",IFERROR(INDEX(Income!B$3:B$502,SMALL(IF((Income!D$3:D$502="GBP")*(Income!A$3:A$502=DATE(2026,3,20)),ROW(Income!A$3:A$502)-2),1)),""),""))</f>
        <v/>
      </c>
      <c r="M59" s="62" t="str">
        <f aca="false">IF(IFERROR(-INDEX(Expenses!D$3:D$1002,SMALL(IF((Expenses!E$3:E$1002="GBP")*(Expenses!A$3:A$1002=DATE(2026,3,21)),ROW(Expenses!A$3:A$1002)-2),1)),0)+IFERROR(INDEX(Income!C$3:C$502,SMALL(IF((Income!D$3:D$502="GBP")*(Income!A$3:A$502=DATE(2026,3,21)),ROW(Income!A$3:A$502)-2),1)),0)=0,"",IFERROR(-INDEX(Expenses!D$3:D$1002,SMALL(IF((Expenses!E$3:E$1002="GBP")*(Expenses!A$3:A$1002=DATE(2026,3,21)),ROW(Expenses!A$3:A$1002)-2),1)),0)+IFERROR(INDEX(Income!C$3:C$502,SMALL(IF((Income!D$3:D$502="GBP")*(Income!A$3:A$502=DATE(2026,3,21)),ROW(Income!A$3:A$502)-2),1)),0))</f>
        <v/>
      </c>
      <c r="N59" s="38" t="str">
        <f aca="false">IF(IFERROR(INDEX(Expenses!B$3:B$1002,SMALL(IF((Expenses!E$3:E$1002="GBP")*(Expenses!A$3:A$1002=DATE(2026,3,21)),ROW(Expenses!A$3:A$1002)-2),1)),"")&lt;&gt;"",IFERROR(INDEX(Expenses!B$3:B$1002,SMALL(IF((Expenses!E$3:E$1002="GBP")*(Expenses!A$3:A$1002=DATE(2026,3,21)),ROW(Expenses!A$3:A$1002)-2),1)),""),IF(IFERROR(INDEX(Income!B$3:B$502,SMALL(IF((Income!D$3:D$502="GBP")*(Income!A$3:A$502=DATE(2026,3,21)),ROW(Income!A$3:A$502)-2),1)),"")&lt;&gt;"",IFERROR(INDEX(Income!B$3:B$502,SMALL(IF((Income!D$3:D$502="GBP")*(Income!A$3:A$502=DATE(2026,3,21)),ROW(Income!A$3:A$502)-2),1)),""),""))</f>
        <v/>
      </c>
      <c r="O59" s="62" t="str">
        <f aca="false">IF(IFERROR(-INDEX(Expenses!D$3:D$1002,SMALL(IF((Expenses!E$3:E$1002="GBP")*(Expenses!A$3:A$1002=DATE(2026,3,22)),ROW(Expenses!A$3:A$1002)-2),1)),0)+IFERROR(INDEX(Income!C$3:C$502,SMALL(IF((Income!D$3:D$502="GBP")*(Income!A$3:A$502=DATE(2026,3,22)),ROW(Income!A$3:A$502)-2),1)),0)=0,"",IFERROR(-INDEX(Expenses!D$3:D$1002,SMALL(IF((Expenses!E$3:E$1002="GBP")*(Expenses!A$3:A$1002=DATE(2026,3,22)),ROW(Expenses!A$3:A$1002)-2),1)),0)+IFERROR(INDEX(Income!C$3:C$502,SMALL(IF((Income!D$3:D$502="GBP")*(Income!A$3:A$502=DATE(2026,3,22)),ROW(Income!A$3:A$502)-2),1)),0))</f>
        <v/>
      </c>
      <c r="P59" s="38" t="str">
        <f aca="false">IF(IFERROR(INDEX(Expenses!B$3:B$1002,SMALL(IF((Expenses!E$3:E$1002="GBP")*(Expenses!A$3:A$1002=DATE(2026,3,22)),ROW(Expenses!A$3:A$1002)-2),1)),"")&lt;&gt;"",IFERROR(INDEX(Expenses!B$3:B$1002,SMALL(IF((Expenses!E$3:E$1002="GBP")*(Expenses!A$3:A$1002=DATE(2026,3,22)),ROW(Expenses!A$3:A$1002)-2),1)),""),IF(IFERROR(INDEX(Income!B$3:B$502,SMALL(IF((Income!D$3:D$502="GBP")*(Income!A$3:A$502=DATE(2026,3,22)),ROW(Income!A$3:A$502)-2),1)),"")&lt;&gt;"",IFERROR(INDEX(Income!B$3:B$502,SMALL(IF((Income!D$3:D$502="GBP")*(Income!A$3:A$502=DATE(2026,3,22)),ROW(Income!A$3:A$502)-2),1)),""),""))</f>
        <v/>
      </c>
      <c r="Q59" s="3" t="n">
        <v>12</v>
      </c>
      <c r="R59" s="45" t="n">
        <f aca="false">SUM(C59:C63)+SUM(E59:E63)+SUM(G59:G63)+SUM(I59:I63)+SUM(K59:K63)+SUM(M59:M63)+SUM(O59:O63)</f>
        <v>0</v>
      </c>
    </row>
    <row r="60" customFormat="false" ht="15" hidden="false" customHeight="false" outlineLevel="0" collapsed="false">
      <c r="A60" s="16"/>
      <c r="B60" s="16"/>
      <c r="C60" s="62" t="str">
        <f aca="false">IF(IFERROR(-INDEX(Expenses!D$3:D$1002,SMALL(IF((Expenses!E$3:E$1002="GBP")*(Expenses!A$3:A$1002=DATE(2026,3,16)),ROW(Expenses!A$3:A$1002)-2),2)),0)+IFERROR(INDEX(Income!C$3:C$502,SMALL(IF((Income!D$3:D$502="GBP")*(Income!A$3:A$502=DATE(2026,3,16)),ROW(Income!A$3:A$502)-2),2)),0)=0,"",IFERROR(-INDEX(Expenses!D$3:D$1002,SMALL(IF((Expenses!E$3:E$1002="GBP")*(Expenses!A$3:A$1002=DATE(2026,3,16)),ROW(Expenses!A$3:A$1002)-2),2)),0)+IFERROR(INDEX(Income!C$3:C$502,SMALL(IF((Income!D$3:D$502="GBP")*(Income!A$3:A$502=DATE(2026,3,16)),ROW(Income!A$3:A$502)-2),2)),0))</f>
        <v/>
      </c>
      <c r="D60" s="38" t="str">
        <f aca="false">IF(IFERROR(INDEX(Expenses!B$3:B$1002,SMALL(IF((Expenses!E$3:E$1002="GBP")*(Expenses!A$3:A$1002=DATE(2026,3,16)),ROW(Expenses!A$3:A$1002)-2),2)),"")&lt;&gt;"",IFERROR(INDEX(Expenses!B$3:B$1002,SMALL(IF((Expenses!E$3:E$1002="GBP")*(Expenses!A$3:A$1002=DATE(2026,3,16)),ROW(Expenses!A$3:A$1002)-2),2)),""),IF(IFERROR(INDEX(Income!B$3:B$502,SMALL(IF((Income!D$3:D$502="GBP")*(Income!A$3:A$502=DATE(2026,3,16)),ROW(Income!A$3:A$502)-2),2)),"")&lt;&gt;"",IFERROR(INDEX(Income!B$3:B$502,SMALL(IF((Income!D$3:D$502="GBP")*(Income!A$3:A$502=DATE(2026,3,16)),ROW(Income!A$3:A$502)-2),2)),""),""))</f>
        <v/>
      </c>
      <c r="E60" s="62" t="str">
        <f aca="false">IF(IFERROR(-INDEX(Expenses!D$3:D$1002,SMALL(IF((Expenses!E$3:E$1002="GBP")*(Expenses!A$3:A$1002=DATE(2026,3,17)),ROW(Expenses!A$3:A$1002)-2),2)),0)+IFERROR(INDEX(Income!C$3:C$502,SMALL(IF((Income!D$3:D$502="GBP")*(Income!A$3:A$502=DATE(2026,3,17)),ROW(Income!A$3:A$502)-2),2)),0)=0,"",IFERROR(-INDEX(Expenses!D$3:D$1002,SMALL(IF((Expenses!E$3:E$1002="GBP")*(Expenses!A$3:A$1002=DATE(2026,3,17)),ROW(Expenses!A$3:A$1002)-2),2)),0)+IFERROR(INDEX(Income!C$3:C$502,SMALL(IF((Income!D$3:D$502="GBP")*(Income!A$3:A$502=DATE(2026,3,17)),ROW(Income!A$3:A$502)-2),2)),0))</f>
        <v/>
      </c>
      <c r="F60" s="38" t="str">
        <f aca="false">IF(IFERROR(INDEX(Expenses!B$3:B$1002,SMALL(IF((Expenses!E$3:E$1002="GBP")*(Expenses!A$3:A$1002=DATE(2026,3,17)),ROW(Expenses!A$3:A$1002)-2),2)),"")&lt;&gt;"",IFERROR(INDEX(Expenses!B$3:B$1002,SMALL(IF((Expenses!E$3:E$1002="GBP")*(Expenses!A$3:A$1002=DATE(2026,3,17)),ROW(Expenses!A$3:A$1002)-2),2)),""),IF(IFERROR(INDEX(Income!B$3:B$502,SMALL(IF((Income!D$3:D$502="GBP")*(Income!A$3:A$502=DATE(2026,3,17)),ROW(Income!A$3:A$502)-2),2)),"")&lt;&gt;"",IFERROR(INDEX(Income!B$3:B$502,SMALL(IF((Income!D$3:D$502="GBP")*(Income!A$3:A$502=DATE(2026,3,17)),ROW(Income!A$3:A$502)-2),2)),""),""))</f>
        <v/>
      </c>
      <c r="G60" s="62" t="str">
        <f aca="false">IF(IFERROR(-INDEX(Expenses!D$3:D$1002,SMALL(IF((Expenses!E$3:E$1002="GBP")*(Expenses!A$3:A$1002=DATE(2026,3,18)),ROW(Expenses!A$3:A$1002)-2),2)),0)+IFERROR(INDEX(Income!C$3:C$502,SMALL(IF((Income!D$3:D$502="GBP")*(Income!A$3:A$502=DATE(2026,3,18)),ROW(Income!A$3:A$502)-2),2)),0)=0,"",IFERROR(-INDEX(Expenses!D$3:D$1002,SMALL(IF((Expenses!E$3:E$1002="GBP")*(Expenses!A$3:A$1002=DATE(2026,3,18)),ROW(Expenses!A$3:A$1002)-2),2)),0)+IFERROR(INDEX(Income!C$3:C$502,SMALL(IF((Income!D$3:D$502="GBP")*(Income!A$3:A$502=DATE(2026,3,18)),ROW(Income!A$3:A$502)-2),2)),0))</f>
        <v/>
      </c>
      <c r="H60" s="38" t="str">
        <f aca="false">IF(IFERROR(INDEX(Expenses!B$3:B$1002,SMALL(IF((Expenses!E$3:E$1002="GBP")*(Expenses!A$3:A$1002=DATE(2026,3,18)),ROW(Expenses!A$3:A$1002)-2),2)),"")&lt;&gt;"",IFERROR(INDEX(Expenses!B$3:B$1002,SMALL(IF((Expenses!E$3:E$1002="GBP")*(Expenses!A$3:A$1002=DATE(2026,3,18)),ROW(Expenses!A$3:A$1002)-2),2)),""),IF(IFERROR(INDEX(Income!B$3:B$502,SMALL(IF((Income!D$3:D$502="GBP")*(Income!A$3:A$502=DATE(2026,3,18)),ROW(Income!A$3:A$502)-2),2)),"")&lt;&gt;"",IFERROR(INDEX(Income!B$3:B$502,SMALL(IF((Income!D$3:D$502="GBP")*(Income!A$3:A$502=DATE(2026,3,18)),ROW(Income!A$3:A$502)-2),2)),""),""))</f>
        <v/>
      </c>
      <c r="I60" s="62" t="str">
        <f aca="false">IF(IFERROR(-INDEX(Expenses!D$3:D$1002,SMALL(IF((Expenses!E$3:E$1002="GBP")*(Expenses!A$3:A$1002=DATE(2026,3,19)),ROW(Expenses!A$3:A$1002)-2),2)),0)+IFERROR(INDEX(Income!C$3:C$502,SMALL(IF((Income!D$3:D$502="GBP")*(Income!A$3:A$502=DATE(2026,3,19)),ROW(Income!A$3:A$502)-2),2)),0)=0,"",IFERROR(-INDEX(Expenses!D$3:D$1002,SMALL(IF((Expenses!E$3:E$1002="GBP")*(Expenses!A$3:A$1002=DATE(2026,3,19)),ROW(Expenses!A$3:A$1002)-2),2)),0)+IFERROR(INDEX(Income!C$3:C$502,SMALL(IF((Income!D$3:D$502="GBP")*(Income!A$3:A$502=DATE(2026,3,19)),ROW(Income!A$3:A$502)-2),2)),0))</f>
        <v/>
      </c>
      <c r="J60" s="38" t="str">
        <f aca="false">IF(IFERROR(INDEX(Expenses!B$3:B$1002,SMALL(IF((Expenses!E$3:E$1002="GBP")*(Expenses!A$3:A$1002=DATE(2026,3,19)),ROW(Expenses!A$3:A$1002)-2),2)),"")&lt;&gt;"",IFERROR(INDEX(Expenses!B$3:B$1002,SMALL(IF((Expenses!E$3:E$1002="GBP")*(Expenses!A$3:A$1002=DATE(2026,3,19)),ROW(Expenses!A$3:A$1002)-2),2)),""),IF(IFERROR(INDEX(Income!B$3:B$502,SMALL(IF((Income!D$3:D$502="GBP")*(Income!A$3:A$502=DATE(2026,3,19)),ROW(Income!A$3:A$502)-2),2)),"")&lt;&gt;"",IFERROR(INDEX(Income!B$3:B$502,SMALL(IF((Income!D$3:D$502="GBP")*(Income!A$3:A$502=DATE(2026,3,19)),ROW(Income!A$3:A$502)-2),2)),""),""))</f>
        <v/>
      </c>
      <c r="K60" s="62" t="str">
        <f aca="false">IF(IFERROR(-INDEX(Expenses!D$3:D$1002,SMALL(IF((Expenses!E$3:E$1002="GBP")*(Expenses!A$3:A$1002=DATE(2026,3,20)),ROW(Expenses!A$3:A$1002)-2),2)),0)+IFERROR(INDEX(Income!C$3:C$502,SMALL(IF((Income!D$3:D$502="GBP")*(Income!A$3:A$502=DATE(2026,3,20)),ROW(Income!A$3:A$502)-2),2)),0)=0,"",IFERROR(-INDEX(Expenses!D$3:D$1002,SMALL(IF((Expenses!E$3:E$1002="GBP")*(Expenses!A$3:A$1002=DATE(2026,3,20)),ROW(Expenses!A$3:A$1002)-2),2)),0)+IFERROR(INDEX(Income!C$3:C$502,SMALL(IF((Income!D$3:D$502="GBP")*(Income!A$3:A$502=DATE(2026,3,20)),ROW(Income!A$3:A$502)-2),2)),0))</f>
        <v/>
      </c>
      <c r="L60" s="38" t="str">
        <f aca="false">IF(IFERROR(INDEX(Expenses!B$3:B$1002,SMALL(IF((Expenses!E$3:E$1002="GBP")*(Expenses!A$3:A$1002=DATE(2026,3,20)),ROW(Expenses!A$3:A$1002)-2),2)),"")&lt;&gt;"",IFERROR(INDEX(Expenses!B$3:B$1002,SMALL(IF((Expenses!E$3:E$1002="GBP")*(Expenses!A$3:A$1002=DATE(2026,3,20)),ROW(Expenses!A$3:A$1002)-2),2)),""),IF(IFERROR(INDEX(Income!B$3:B$502,SMALL(IF((Income!D$3:D$502="GBP")*(Income!A$3:A$502=DATE(2026,3,20)),ROW(Income!A$3:A$502)-2),2)),"")&lt;&gt;"",IFERROR(INDEX(Income!B$3:B$502,SMALL(IF((Income!D$3:D$502="GBP")*(Income!A$3:A$502=DATE(2026,3,20)),ROW(Income!A$3:A$502)-2),2)),""),""))</f>
        <v/>
      </c>
      <c r="M60" s="62" t="str">
        <f aca="false">IF(IFERROR(-INDEX(Expenses!D$3:D$1002,SMALL(IF((Expenses!E$3:E$1002="GBP")*(Expenses!A$3:A$1002=DATE(2026,3,21)),ROW(Expenses!A$3:A$1002)-2),2)),0)+IFERROR(INDEX(Income!C$3:C$502,SMALL(IF((Income!D$3:D$502="GBP")*(Income!A$3:A$502=DATE(2026,3,21)),ROW(Income!A$3:A$502)-2),2)),0)=0,"",IFERROR(-INDEX(Expenses!D$3:D$1002,SMALL(IF((Expenses!E$3:E$1002="GBP")*(Expenses!A$3:A$1002=DATE(2026,3,21)),ROW(Expenses!A$3:A$1002)-2),2)),0)+IFERROR(INDEX(Income!C$3:C$502,SMALL(IF((Income!D$3:D$502="GBP")*(Income!A$3:A$502=DATE(2026,3,21)),ROW(Income!A$3:A$502)-2),2)),0))</f>
        <v/>
      </c>
      <c r="N60" s="38" t="str">
        <f aca="false">IF(IFERROR(INDEX(Expenses!B$3:B$1002,SMALL(IF((Expenses!E$3:E$1002="GBP")*(Expenses!A$3:A$1002=DATE(2026,3,21)),ROW(Expenses!A$3:A$1002)-2),2)),"")&lt;&gt;"",IFERROR(INDEX(Expenses!B$3:B$1002,SMALL(IF((Expenses!E$3:E$1002="GBP")*(Expenses!A$3:A$1002=DATE(2026,3,21)),ROW(Expenses!A$3:A$1002)-2),2)),""),IF(IFERROR(INDEX(Income!B$3:B$502,SMALL(IF((Income!D$3:D$502="GBP")*(Income!A$3:A$502=DATE(2026,3,21)),ROW(Income!A$3:A$502)-2),2)),"")&lt;&gt;"",IFERROR(INDEX(Income!B$3:B$502,SMALL(IF((Income!D$3:D$502="GBP")*(Income!A$3:A$502=DATE(2026,3,21)),ROW(Income!A$3:A$502)-2),2)),""),""))</f>
        <v/>
      </c>
      <c r="O60" s="62" t="str">
        <f aca="false">IF(IFERROR(-INDEX(Expenses!D$3:D$1002,SMALL(IF((Expenses!E$3:E$1002="GBP")*(Expenses!A$3:A$1002=DATE(2026,3,22)),ROW(Expenses!A$3:A$1002)-2),2)),0)+IFERROR(INDEX(Income!C$3:C$502,SMALL(IF((Income!D$3:D$502="GBP")*(Income!A$3:A$502=DATE(2026,3,22)),ROW(Income!A$3:A$502)-2),2)),0)=0,"",IFERROR(-INDEX(Expenses!D$3:D$1002,SMALL(IF((Expenses!E$3:E$1002="GBP")*(Expenses!A$3:A$1002=DATE(2026,3,22)),ROW(Expenses!A$3:A$1002)-2),2)),0)+IFERROR(INDEX(Income!C$3:C$502,SMALL(IF((Income!D$3:D$502="GBP")*(Income!A$3:A$502=DATE(2026,3,22)),ROW(Income!A$3:A$502)-2),2)),0))</f>
        <v/>
      </c>
      <c r="P60" s="38" t="str">
        <f aca="false">IF(IFERROR(INDEX(Expenses!B$3:B$1002,SMALL(IF((Expenses!E$3:E$1002="GBP")*(Expenses!A$3:A$1002=DATE(2026,3,22)),ROW(Expenses!A$3:A$1002)-2),2)),"")&lt;&gt;"",IFERROR(INDEX(Expenses!B$3:B$1002,SMALL(IF((Expenses!E$3:E$1002="GBP")*(Expenses!A$3:A$1002=DATE(2026,3,22)),ROW(Expenses!A$3:A$1002)-2),2)),""),IF(IFERROR(INDEX(Income!B$3:B$502,SMALL(IF((Income!D$3:D$502="GBP")*(Income!A$3:A$502=DATE(2026,3,22)),ROW(Income!A$3:A$502)-2),2)),"")&lt;&gt;"",IFERROR(INDEX(Income!B$3:B$502,SMALL(IF((Income!D$3:D$502="GBP")*(Income!A$3:A$502=DATE(2026,3,22)),ROW(Income!A$3:A$502)-2),2)),""),""))</f>
        <v/>
      </c>
      <c r="Q60" s="16"/>
      <c r="R60" s="16"/>
    </row>
    <row r="61" customFormat="false" ht="15" hidden="false" customHeight="false" outlineLevel="0" collapsed="false">
      <c r="A61" s="16"/>
      <c r="B61" s="16"/>
      <c r="C61" s="62" t="str">
        <f aca="false">IF(IFERROR(-INDEX(Expenses!D$3:D$1002,SMALL(IF((Expenses!E$3:E$1002="GBP")*(Expenses!A$3:A$1002=DATE(2026,3,16)),ROW(Expenses!A$3:A$1002)-2),3)),0)+IFERROR(INDEX(Income!C$3:C$502,SMALL(IF((Income!D$3:D$502="GBP")*(Income!A$3:A$502=DATE(2026,3,16)),ROW(Income!A$3:A$502)-2),3)),0)=0,"",IFERROR(-INDEX(Expenses!D$3:D$1002,SMALL(IF((Expenses!E$3:E$1002="GBP")*(Expenses!A$3:A$1002=DATE(2026,3,16)),ROW(Expenses!A$3:A$1002)-2),3)),0)+IFERROR(INDEX(Income!C$3:C$502,SMALL(IF((Income!D$3:D$502="GBP")*(Income!A$3:A$502=DATE(2026,3,16)),ROW(Income!A$3:A$502)-2),3)),0))</f>
        <v/>
      </c>
      <c r="D61" s="38" t="str">
        <f aca="false">IF(IFERROR(INDEX(Expenses!B$3:B$1002,SMALL(IF((Expenses!E$3:E$1002="GBP")*(Expenses!A$3:A$1002=DATE(2026,3,16)),ROW(Expenses!A$3:A$1002)-2),3)),"")&lt;&gt;"",IFERROR(INDEX(Expenses!B$3:B$1002,SMALL(IF((Expenses!E$3:E$1002="GBP")*(Expenses!A$3:A$1002=DATE(2026,3,16)),ROW(Expenses!A$3:A$1002)-2),3)),""),IF(IFERROR(INDEX(Income!B$3:B$502,SMALL(IF((Income!D$3:D$502="GBP")*(Income!A$3:A$502=DATE(2026,3,16)),ROW(Income!A$3:A$502)-2),3)),"")&lt;&gt;"",IFERROR(INDEX(Income!B$3:B$502,SMALL(IF((Income!D$3:D$502="GBP")*(Income!A$3:A$502=DATE(2026,3,16)),ROW(Income!A$3:A$502)-2),3)),""),""))</f>
        <v/>
      </c>
      <c r="E61" s="62" t="str">
        <f aca="false">IF(IFERROR(-INDEX(Expenses!D$3:D$1002,SMALL(IF((Expenses!E$3:E$1002="GBP")*(Expenses!A$3:A$1002=DATE(2026,3,17)),ROW(Expenses!A$3:A$1002)-2),3)),0)+IFERROR(INDEX(Income!C$3:C$502,SMALL(IF((Income!D$3:D$502="GBP")*(Income!A$3:A$502=DATE(2026,3,17)),ROW(Income!A$3:A$502)-2),3)),0)=0,"",IFERROR(-INDEX(Expenses!D$3:D$1002,SMALL(IF((Expenses!E$3:E$1002="GBP")*(Expenses!A$3:A$1002=DATE(2026,3,17)),ROW(Expenses!A$3:A$1002)-2),3)),0)+IFERROR(INDEX(Income!C$3:C$502,SMALL(IF((Income!D$3:D$502="GBP")*(Income!A$3:A$502=DATE(2026,3,17)),ROW(Income!A$3:A$502)-2),3)),0))</f>
        <v/>
      </c>
      <c r="F61" s="38" t="str">
        <f aca="false">IF(IFERROR(INDEX(Expenses!B$3:B$1002,SMALL(IF((Expenses!E$3:E$1002="GBP")*(Expenses!A$3:A$1002=DATE(2026,3,17)),ROW(Expenses!A$3:A$1002)-2),3)),"")&lt;&gt;"",IFERROR(INDEX(Expenses!B$3:B$1002,SMALL(IF((Expenses!E$3:E$1002="GBP")*(Expenses!A$3:A$1002=DATE(2026,3,17)),ROW(Expenses!A$3:A$1002)-2),3)),""),IF(IFERROR(INDEX(Income!B$3:B$502,SMALL(IF((Income!D$3:D$502="GBP")*(Income!A$3:A$502=DATE(2026,3,17)),ROW(Income!A$3:A$502)-2),3)),"")&lt;&gt;"",IFERROR(INDEX(Income!B$3:B$502,SMALL(IF((Income!D$3:D$502="GBP")*(Income!A$3:A$502=DATE(2026,3,17)),ROW(Income!A$3:A$502)-2),3)),""),""))</f>
        <v/>
      </c>
      <c r="G61" s="62" t="str">
        <f aca="false">IF(IFERROR(-INDEX(Expenses!D$3:D$1002,SMALL(IF((Expenses!E$3:E$1002="GBP")*(Expenses!A$3:A$1002=DATE(2026,3,18)),ROW(Expenses!A$3:A$1002)-2),3)),0)+IFERROR(INDEX(Income!C$3:C$502,SMALL(IF((Income!D$3:D$502="GBP")*(Income!A$3:A$502=DATE(2026,3,18)),ROW(Income!A$3:A$502)-2),3)),0)=0,"",IFERROR(-INDEX(Expenses!D$3:D$1002,SMALL(IF((Expenses!E$3:E$1002="GBP")*(Expenses!A$3:A$1002=DATE(2026,3,18)),ROW(Expenses!A$3:A$1002)-2),3)),0)+IFERROR(INDEX(Income!C$3:C$502,SMALL(IF((Income!D$3:D$502="GBP")*(Income!A$3:A$502=DATE(2026,3,18)),ROW(Income!A$3:A$502)-2),3)),0))</f>
        <v/>
      </c>
      <c r="H61" s="38" t="str">
        <f aca="false">IF(IFERROR(INDEX(Expenses!B$3:B$1002,SMALL(IF((Expenses!E$3:E$1002="GBP")*(Expenses!A$3:A$1002=DATE(2026,3,18)),ROW(Expenses!A$3:A$1002)-2),3)),"")&lt;&gt;"",IFERROR(INDEX(Expenses!B$3:B$1002,SMALL(IF((Expenses!E$3:E$1002="GBP")*(Expenses!A$3:A$1002=DATE(2026,3,18)),ROW(Expenses!A$3:A$1002)-2),3)),""),IF(IFERROR(INDEX(Income!B$3:B$502,SMALL(IF((Income!D$3:D$502="GBP")*(Income!A$3:A$502=DATE(2026,3,18)),ROW(Income!A$3:A$502)-2),3)),"")&lt;&gt;"",IFERROR(INDEX(Income!B$3:B$502,SMALL(IF((Income!D$3:D$502="GBP")*(Income!A$3:A$502=DATE(2026,3,18)),ROW(Income!A$3:A$502)-2),3)),""),""))</f>
        <v/>
      </c>
      <c r="I61" s="62" t="str">
        <f aca="false">IF(IFERROR(-INDEX(Expenses!D$3:D$1002,SMALL(IF((Expenses!E$3:E$1002="GBP")*(Expenses!A$3:A$1002=DATE(2026,3,19)),ROW(Expenses!A$3:A$1002)-2),3)),0)+IFERROR(INDEX(Income!C$3:C$502,SMALL(IF((Income!D$3:D$502="GBP")*(Income!A$3:A$502=DATE(2026,3,19)),ROW(Income!A$3:A$502)-2),3)),0)=0,"",IFERROR(-INDEX(Expenses!D$3:D$1002,SMALL(IF((Expenses!E$3:E$1002="GBP")*(Expenses!A$3:A$1002=DATE(2026,3,19)),ROW(Expenses!A$3:A$1002)-2),3)),0)+IFERROR(INDEX(Income!C$3:C$502,SMALL(IF((Income!D$3:D$502="GBP")*(Income!A$3:A$502=DATE(2026,3,19)),ROW(Income!A$3:A$502)-2),3)),0))</f>
        <v/>
      </c>
      <c r="J61" s="38" t="str">
        <f aca="false">IF(IFERROR(INDEX(Expenses!B$3:B$1002,SMALL(IF((Expenses!E$3:E$1002="GBP")*(Expenses!A$3:A$1002=DATE(2026,3,19)),ROW(Expenses!A$3:A$1002)-2),3)),"")&lt;&gt;"",IFERROR(INDEX(Expenses!B$3:B$1002,SMALL(IF((Expenses!E$3:E$1002="GBP")*(Expenses!A$3:A$1002=DATE(2026,3,19)),ROW(Expenses!A$3:A$1002)-2),3)),""),IF(IFERROR(INDEX(Income!B$3:B$502,SMALL(IF((Income!D$3:D$502="GBP")*(Income!A$3:A$502=DATE(2026,3,19)),ROW(Income!A$3:A$502)-2),3)),"")&lt;&gt;"",IFERROR(INDEX(Income!B$3:B$502,SMALL(IF((Income!D$3:D$502="GBP")*(Income!A$3:A$502=DATE(2026,3,19)),ROW(Income!A$3:A$502)-2),3)),""),""))</f>
        <v/>
      </c>
      <c r="K61" s="62" t="str">
        <f aca="false">IF(IFERROR(-INDEX(Expenses!D$3:D$1002,SMALL(IF((Expenses!E$3:E$1002="GBP")*(Expenses!A$3:A$1002=DATE(2026,3,20)),ROW(Expenses!A$3:A$1002)-2),3)),0)+IFERROR(INDEX(Income!C$3:C$502,SMALL(IF((Income!D$3:D$502="GBP")*(Income!A$3:A$502=DATE(2026,3,20)),ROW(Income!A$3:A$502)-2),3)),0)=0,"",IFERROR(-INDEX(Expenses!D$3:D$1002,SMALL(IF((Expenses!E$3:E$1002="GBP")*(Expenses!A$3:A$1002=DATE(2026,3,20)),ROW(Expenses!A$3:A$1002)-2),3)),0)+IFERROR(INDEX(Income!C$3:C$502,SMALL(IF((Income!D$3:D$502="GBP")*(Income!A$3:A$502=DATE(2026,3,20)),ROW(Income!A$3:A$502)-2),3)),0))</f>
        <v/>
      </c>
      <c r="L61" s="38" t="str">
        <f aca="false">IF(IFERROR(INDEX(Expenses!B$3:B$1002,SMALL(IF((Expenses!E$3:E$1002="GBP")*(Expenses!A$3:A$1002=DATE(2026,3,20)),ROW(Expenses!A$3:A$1002)-2),3)),"")&lt;&gt;"",IFERROR(INDEX(Expenses!B$3:B$1002,SMALL(IF((Expenses!E$3:E$1002="GBP")*(Expenses!A$3:A$1002=DATE(2026,3,20)),ROW(Expenses!A$3:A$1002)-2),3)),""),IF(IFERROR(INDEX(Income!B$3:B$502,SMALL(IF((Income!D$3:D$502="GBP")*(Income!A$3:A$502=DATE(2026,3,20)),ROW(Income!A$3:A$502)-2),3)),"")&lt;&gt;"",IFERROR(INDEX(Income!B$3:B$502,SMALL(IF((Income!D$3:D$502="GBP")*(Income!A$3:A$502=DATE(2026,3,20)),ROW(Income!A$3:A$502)-2),3)),""),""))</f>
        <v/>
      </c>
      <c r="M61" s="62" t="str">
        <f aca="false">IF(IFERROR(-INDEX(Expenses!D$3:D$1002,SMALL(IF((Expenses!E$3:E$1002="GBP")*(Expenses!A$3:A$1002=DATE(2026,3,21)),ROW(Expenses!A$3:A$1002)-2),3)),0)+IFERROR(INDEX(Income!C$3:C$502,SMALL(IF((Income!D$3:D$502="GBP")*(Income!A$3:A$502=DATE(2026,3,21)),ROW(Income!A$3:A$502)-2),3)),0)=0,"",IFERROR(-INDEX(Expenses!D$3:D$1002,SMALL(IF((Expenses!E$3:E$1002="GBP")*(Expenses!A$3:A$1002=DATE(2026,3,21)),ROW(Expenses!A$3:A$1002)-2),3)),0)+IFERROR(INDEX(Income!C$3:C$502,SMALL(IF((Income!D$3:D$502="GBP")*(Income!A$3:A$502=DATE(2026,3,21)),ROW(Income!A$3:A$502)-2),3)),0))</f>
        <v/>
      </c>
      <c r="N61" s="38" t="str">
        <f aca="false">IF(IFERROR(INDEX(Expenses!B$3:B$1002,SMALL(IF((Expenses!E$3:E$1002="GBP")*(Expenses!A$3:A$1002=DATE(2026,3,21)),ROW(Expenses!A$3:A$1002)-2),3)),"")&lt;&gt;"",IFERROR(INDEX(Expenses!B$3:B$1002,SMALL(IF((Expenses!E$3:E$1002="GBP")*(Expenses!A$3:A$1002=DATE(2026,3,21)),ROW(Expenses!A$3:A$1002)-2),3)),""),IF(IFERROR(INDEX(Income!B$3:B$502,SMALL(IF((Income!D$3:D$502="GBP")*(Income!A$3:A$502=DATE(2026,3,21)),ROW(Income!A$3:A$502)-2),3)),"")&lt;&gt;"",IFERROR(INDEX(Income!B$3:B$502,SMALL(IF((Income!D$3:D$502="GBP")*(Income!A$3:A$502=DATE(2026,3,21)),ROW(Income!A$3:A$502)-2),3)),""),""))</f>
        <v/>
      </c>
      <c r="O61" s="62" t="str">
        <f aca="false">IF(IFERROR(-INDEX(Expenses!D$3:D$1002,SMALL(IF((Expenses!E$3:E$1002="GBP")*(Expenses!A$3:A$1002=DATE(2026,3,22)),ROW(Expenses!A$3:A$1002)-2),3)),0)+IFERROR(INDEX(Income!C$3:C$502,SMALL(IF((Income!D$3:D$502="GBP")*(Income!A$3:A$502=DATE(2026,3,22)),ROW(Income!A$3:A$502)-2),3)),0)=0,"",IFERROR(-INDEX(Expenses!D$3:D$1002,SMALL(IF((Expenses!E$3:E$1002="GBP")*(Expenses!A$3:A$1002=DATE(2026,3,22)),ROW(Expenses!A$3:A$1002)-2),3)),0)+IFERROR(INDEX(Income!C$3:C$502,SMALL(IF((Income!D$3:D$502="GBP")*(Income!A$3:A$502=DATE(2026,3,22)),ROW(Income!A$3:A$502)-2),3)),0))</f>
        <v/>
      </c>
      <c r="P61" s="38" t="str">
        <f aca="false">IF(IFERROR(INDEX(Expenses!B$3:B$1002,SMALL(IF((Expenses!E$3:E$1002="GBP")*(Expenses!A$3:A$1002=DATE(2026,3,22)),ROW(Expenses!A$3:A$1002)-2),3)),"")&lt;&gt;"",IFERROR(INDEX(Expenses!B$3:B$1002,SMALL(IF((Expenses!E$3:E$1002="GBP")*(Expenses!A$3:A$1002=DATE(2026,3,22)),ROW(Expenses!A$3:A$1002)-2),3)),""),IF(IFERROR(INDEX(Income!B$3:B$502,SMALL(IF((Income!D$3:D$502="GBP")*(Income!A$3:A$502=DATE(2026,3,22)),ROW(Income!A$3:A$502)-2),3)),"")&lt;&gt;"",IFERROR(INDEX(Income!B$3:B$502,SMALL(IF((Income!D$3:D$502="GBP")*(Income!A$3:A$502=DATE(2026,3,22)),ROW(Income!A$3:A$502)-2),3)),""),""))</f>
        <v/>
      </c>
      <c r="Q61" s="16"/>
      <c r="R61" s="16"/>
    </row>
    <row r="62" customFormat="false" ht="15" hidden="false" customHeight="false" outlineLevel="0" collapsed="false">
      <c r="A62" s="16"/>
      <c r="B62" s="16"/>
      <c r="C62" s="62" t="str">
        <f aca="false">IF(IFERROR(-INDEX(Expenses!D$3:D$1002,SMALL(IF((Expenses!E$3:E$1002="GBP")*(Expenses!A$3:A$1002=DATE(2026,3,16)),ROW(Expenses!A$3:A$1002)-2),4)),0)+IFERROR(INDEX(Income!C$3:C$502,SMALL(IF((Income!D$3:D$502="GBP")*(Income!A$3:A$502=DATE(2026,3,16)),ROW(Income!A$3:A$502)-2),4)),0)=0,"",IFERROR(-INDEX(Expenses!D$3:D$1002,SMALL(IF((Expenses!E$3:E$1002="GBP")*(Expenses!A$3:A$1002=DATE(2026,3,16)),ROW(Expenses!A$3:A$1002)-2),4)),0)+IFERROR(INDEX(Income!C$3:C$502,SMALL(IF((Income!D$3:D$502="GBP")*(Income!A$3:A$502=DATE(2026,3,16)),ROW(Income!A$3:A$502)-2),4)),0))</f>
        <v/>
      </c>
      <c r="D62" s="38" t="str">
        <f aca="false">IF(IFERROR(INDEX(Expenses!B$3:B$1002,SMALL(IF((Expenses!E$3:E$1002="GBP")*(Expenses!A$3:A$1002=DATE(2026,3,16)),ROW(Expenses!A$3:A$1002)-2),4)),"")&lt;&gt;"",IFERROR(INDEX(Expenses!B$3:B$1002,SMALL(IF((Expenses!E$3:E$1002="GBP")*(Expenses!A$3:A$1002=DATE(2026,3,16)),ROW(Expenses!A$3:A$1002)-2),4)),""),IF(IFERROR(INDEX(Income!B$3:B$502,SMALL(IF((Income!D$3:D$502="GBP")*(Income!A$3:A$502=DATE(2026,3,16)),ROW(Income!A$3:A$502)-2),4)),"")&lt;&gt;"",IFERROR(INDEX(Income!B$3:B$502,SMALL(IF((Income!D$3:D$502="GBP")*(Income!A$3:A$502=DATE(2026,3,16)),ROW(Income!A$3:A$502)-2),4)),""),""))</f>
        <v/>
      </c>
      <c r="E62" s="62" t="str">
        <f aca="false">IF(IFERROR(-INDEX(Expenses!D$3:D$1002,SMALL(IF((Expenses!E$3:E$1002="GBP")*(Expenses!A$3:A$1002=DATE(2026,3,17)),ROW(Expenses!A$3:A$1002)-2),4)),0)+IFERROR(INDEX(Income!C$3:C$502,SMALL(IF((Income!D$3:D$502="GBP")*(Income!A$3:A$502=DATE(2026,3,17)),ROW(Income!A$3:A$502)-2),4)),0)=0,"",IFERROR(-INDEX(Expenses!D$3:D$1002,SMALL(IF((Expenses!E$3:E$1002="GBP")*(Expenses!A$3:A$1002=DATE(2026,3,17)),ROW(Expenses!A$3:A$1002)-2),4)),0)+IFERROR(INDEX(Income!C$3:C$502,SMALL(IF((Income!D$3:D$502="GBP")*(Income!A$3:A$502=DATE(2026,3,17)),ROW(Income!A$3:A$502)-2),4)),0))</f>
        <v/>
      </c>
      <c r="F62" s="38" t="str">
        <f aca="false">IF(IFERROR(INDEX(Expenses!B$3:B$1002,SMALL(IF((Expenses!E$3:E$1002="GBP")*(Expenses!A$3:A$1002=DATE(2026,3,17)),ROW(Expenses!A$3:A$1002)-2),4)),"")&lt;&gt;"",IFERROR(INDEX(Expenses!B$3:B$1002,SMALL(IF((Expenses!E$3:E$1002="GBP")*(Expenses!A$3:A$1002=DATE(2026,3,17)),ROW(Expenses!A$3:A$1002)-2),4)),""),IF(IFERROR(INDEX(Income!B$3:B$502,SMALL(IF((Income!D$3:D$502="GBP")*(Income!A$3:A$502=DATE(2026,3,17)),ROW(Income!A$3:A$502)-2),4)),"")&lt;&gt;"",IFERROR(INDEX(Income!B$3:B$502,SMALL(IF((Income!D$3:D$502="GBP")*(Income!A$3:A$502=DATE(2026,3,17)),ROW(Income!A$3:A$502)-2),4)),""),""))</f>
        <v/>
      </c>
      <c r="G62" s="62" t="str">
        <f aca="false">IF(IFERROR(-INDEX(Expenses!D$3:D$1002,SMALL(IF((Expenses!E$3:E$1002="GBP")*(Expenses!A$3:A$1002=DATE(2026,3,18)),ROW(Expenses!A$3:A$1002)-2),4)),0)+IFERROR(INDEX(Income!C$3:C$502,SMALL(IF((Income!D$3:D$502="GBP")*(Income!A$3:A$502=DATE(2026,3,18)),ROW(Income!A$3:A$502)-2),4)),0)=0,"",IFERROR(-INDEX(Expenses!D$3:D$1002,SMALL(IF((Expenses!E$3:E$1002="GBP")*(Expenses!A$3:A$1002=DATE(2026,3,18)),ROW(Expenses!A$3:A$1002)-2),4)),0)+IFERROR(INDEX(Income!C$3:C$502,SMALL(IF((Income!D$3:D$502="GBP")*(Income!A$3:A$502=DATE(2026,3,18)),ROW(Income!A$3:A$502)-2),4)),0))</f>
        <v/>
      </c>
      <c r="H62" s="38" t="str">
        <f aca="false">IF(IFERROR(INDEX(Expenses!B$3:B$1002,SMALL(IF((Expenses!E$3:E$1002="GBP")*(Expenses!A$3:A$1002=DATE(2026,3,18)),ROW(Expenses!A$3:A$1002)-2),4)),"")&lt;&gt;"",IFERROR(INDEX(Expenses!B$3:B$1002,SMALL(IF((Expenses!E$3:E$1002="GBP")*(Expenses!A$3:A$1002=DATE(2026,3,18)),ROW(Expenses!A$3:A$1002)-2),4)),""),IF(IFERROR(INDEX(Income!B$3:B$502,SMALL(IF((Income!D$3:D$502="GBP")*(Income!A$3:A$502=DATE(2026,3,18)),ROW(Income!A$3:A$502)-2),4)),"")&lt;&gt;"",IFERROR(INDEX(Income!B$3:B$502,SMALL(IF((Income!D$3:D$502="GBP")*(Income!A$3:A$502=DATE(2026,3,18)),ROW(Income!A$3:A$502)-2),4)),""),""))</f>
        <v/>
      </c>
      <c r="I62" s="62" t="str">
        <f aca="false">IF(IFERROR(-INDEX(Expenses!D$3:D$1002,SMALL(IF((Expenses!E$3:E$1002="GBP")*(Expenses!A$3:A$1002=DATE(2026,3,19)),ROW(Expenses!A$3:A$1002)-2),4)),0)+IFERROR(INDEX(Income!C$3:C$502,SMALL(IF((Income!D$3:D$502="GBP")*(Income!A$3:A$502=DATE(2026,3,19)),ROW(Income!A$3:A$502)-2),4)),0)=0,"",IFERROR(-INDEX(Expenses!D$3:D$1002,SMALL(IF((Expenses!E$3:E$1002="GBP")*(Expenses!A$3:A$1002=DATE(2026,3,19)),ROW(Expenses!A$3:A$1002)-2),4)),0)+IFERROR(INDEX(Income!C$3:C$502,SMALL(IF((Income!D$3:D$502="GBP")*(Income!A$3:A$502=DATE(2026,3,19)),ROW(Income!A$3:A$502)-2),4)),0))</f>
        <v/>
      </c>
      <c r="J62" s="38" t="str">
        <f aca="false">IF(IFERROR(INDEX(Expenses!B$3:B$1002,SMALL(IF((Expenses!E$3:E$1002="GBP")*(Expenses!A$3:A$1002=DATE(2026,3,19)),ROW(Expenses!A$3:A$1002)-2),4)),"")&lt;&gt;"",IFERROR(INDEX(Expenses!B$3:B$1002,SMALL(IF((Expenses!E$3:E$1002="GBP")*(Expenses!A$3:A$1002=DATE(2026,3,19)),ROW(Expenses!A$3:A$1002)-2),4)),""),IF(IFERROR(INDEX(Income!B$3:B$502,SMALL(IF((Income!D$3:D$502="GBP")*(Income!A$3:A$502=DATE(2026,3,19)),ROW(Income!A$3:A$502)-2),4)),"")&lt;&gt;"",IFERROR(INDEX(Income!B$3:B$502,SMALL(IF((Income!D$3:D$502="GBP")*(Income!A$3:A$502=DATE(2026,3,19)),ROW(Income!A$3:A$502)-2),4)),""),""))</f>
        <v/>
      </c>
      <c r="K62" s="62" t="str">
        <f aca="false">IF(IFERROR(-INDEX(Expenses!D$3:D$1002,SMALL(IF((Expenses!E$3:E$1002="GBP")*(Expenses!A$3:A$1002=DATE(2026,3,20)),ROW(Expenses!A$3:A$1002)-2),4)),0)+IFERROR(INDEX(Income!C$3:C$502,SMALL(IF((Income!D$3:D$502="GBP")*(Income!A$3:A$502=DATE(2026,3,20)),ROW(Income!A$3:A$502)-2),4)),0)=0,"",IFERROR(-INDEX(Expenses!D$3:D$1002,SMALL(IF((Expenses!E$3:E$1002="GBP")*(Expenses!A$3:A$1002=DATE(2026,3,20)),ROW(Expenses!A$3:A$1002)-2),4)),0)+IFERROR(INDEX(Income!C$3:C$502,SMALL(IF((Income!D$3:D$502="GBP")*(Income!A$3:A$502=DATE(2026,3,20)),ROW(Income!A$3:A$502)-2),4)),0))</f>
        <v/>
      </c>
      <c r="L62" s="38" t="str">
        <f aca="false">IF(IFERROR(INDEX(Expenses!B$3:B$1002,SMALL(IF((Expenses!E$3:E$1002="GBP")*(Expenses!A$3:A$1002=DATE(2026,3,20)),ROW(Expenses!A$3:A$1002)-2),4)),"")&lt;&gt;"",IFERROR(INDEX(Expenses!B$3:B$1002,SMALL(IF((Expenses!E$3:E$1002="GBP")*(Expenses!A$3:A$1002=DATE(2026,3,20)),ROW(Expenses!A$3:A$1002)-2),4)),""),IF(IFERROR(INDEX(Income!B$3:B$502,SMALL(IF((Income!D$3:D$502="GBP")*(Income!A$3:A$502=DATE(2026,3,20)),ROW(Income!A$3:A$502)-2),4)),"")&lt;&gt;"",IFERROR(INDEX(Income!B$3:B$502,SMALL(IF((Income!D$3:D$502="GBP")*(Income!A$3:A$502=DATE(2026,3,20)),ROW(Income!A$3:A$502)-2),4)),""),""))</f>
        <v/>
      </c>
      <c r="M62" s="62" t="str">
        <f aca="false">IF(IFERROR(-INDEX(Expenses!D$3:D$1002,SMALL(IF((Expenses!E$3:E$1002="GBP")*(Expenses!A$3:A$1002=DATE(2026,3,21)),ROW(Expenses!A$3:A$1002)-2),4)),0)+IFERROR(INDEX(Income!C$3:C$502,SMALL(IF((Income!D$3:D$502="GBP")*(Income!A$3:A$502=DATE(2026,3,21)),ROW(Income!A$3:A$502)-2),4)),0)=0,"",IFERROR(-INDEX(Expenses!D$3:D$1002,SMALL(IF((Expenses!E$3:E$1002="GBP")*(Expenses!A$3:A$1002=DATE(2026,3,21)),ROW(Expenses!A$3:A$1002)-2),4)),0)+IFERROR(INDEX(Income!C$3:C$502,SMALL(IF((Income!D$3:D$502="GBP")*(Income!A$3:A$502=DATE(2026,3,21)),ROW(Income!A$3:A$502)-2),4)),0))</f>
        <v/>
      </c>
      <c r="N62" s="38" t="str">
        <f aca="false">IF(IFERROR(INDEX(Expenses!B$3:B$1002,SMALL(IF((Expenses!E$3:E$1002="GBP")*(Expenses!A$3:A$1002=DATE(2026,3,21)),ROW(Expenses!A$3:A$1002)-2),4)),"")&lt;&gt;"",IFERROR(INDEX(Expenses!B$3:B$1002,SMALL(IF((Expenses!E$3:E$1002="GBP")*(Expenses!A$3:A$1002=DATE(2026,3,21)),ROW(Expenses!A$3:A$1002)-2),4)),""),IF(IFERROR(INDEX(Income!B$3:B$502,SMALL(IF((Income!D$3:D$502="GBP")*(Income!A$3:A$502=DATE(2026,3,21)),ROW(Income!A$3:A$502)-2),4)),"")&lt;&gt;"",IFERROR(INDEX(Income!B$3:B$502,SMALL(IF((Income!D$3:D$502="GBP")*(Income!A$3:A$502=DATE(2026,3,21)),ROW(Income!A$3:A$502)-2),4)),""),""))</f>
        <v/>
      </c>
      <c r="O62" s="62" t="str">
        <f aca="false">IF(IFERROR(-INDEX(Expenses!D$3:D$1002,SMALL(IF((Expenses!E$3:E$1002="GBP")*(Expenses!A$3:A$1002=DATE(2026,3,22)),ROW(Expenses!A$3:A$1002)-2),4)),0)+IFERROR(INDEX(Income!C$3:C$502,SMALL(IF((Income!D$3:D$502="GBP")*(Income!A$3:A$502=DATE(2026,3,22)),ROW(Income!A$3:A$502)-2),4)),0)=0,"",IFERROR(-INDEX(Expenses!D$3:D$1002,SMALL(IF((Expenses!E$3:E$1002="GBP")*(Expenses!A$3:A$1002=DATE(2026,3,22)),ROW(Expenses!A$3:A$1002)-2),4)),0)+IFERROR(INDEX(Income!C$3:C$502,SMALL(IF((Income!D$3:D$502="GBP")*(Income!A$3:A$502=DATE(2026,3,22)),ROW(Income!A$3:A$502)-2),4)),0))</f>
        <v/>
      </c>
      <c r="P62" s="38" t="str">
        <f aca="false">IF(IFERROR(INDEX(Expenses!B$3:B$1002,SMALL(IF((Expenses!E$3:E$1002="GBP")*(Expenses!A$3:A$1002=DATE(2026,3,22)),ROW(Expenses!A$3:A$1002)-2),4)),"")&lt;&gt;"",IFERROR(INDEX(Expenses!B$3:B$1002,SMALL(IF((Expenses!E$3:E$1002="GBP")*(Expenses!A$3:A$1002=DATE(2026,3,22)),ROW(Expenses!A$3:A$1002)-2),4)),""),IF(IFERROR(INDEX(Income!B$3:B$502,SMALL(IF((Income!D$3:D$502="GBP")*(Income!A$3:A$502=DATE(2026,3,22)),ROW(Income!A$3:A$502)-2),4)),"")&lt;&gt;"",IFERROR(INDEX(Income!B$3:B$502,SMALL(IF((Income!D$3:D$502="GBP")*(Income!A$3:A$502=DATE(2026,3,22)),ROW(Income!A$3:A$502)-2),4)),""),""))</f>
        <v/>
      </c>
      <c r="Q62" s="16"/>
      <c r="R62" s="16"/>
    </row>
    <row r="63" customFormat="false" ht="15" hidden="false" customHeight="false" outlineLevel="0" collapsed="false">
      <c r="A63" s="16"/>
      <c r="B63" s="16"/>
      <c r="C63" s="62" t="str">
        <f aca="false">IF(IFERROR(-INDEX(Expenses!D$3:D$1002,SMALL(IF((Expenses!E$3:E$1002="GBP")*(Expenses!A$3:A$1002=DATE(2026,3,16)),ROW(Expenses!A$3:A$1002)-2),5)),0)+IFERROR(INDEX(Income!C$3:C$502,SMALL(IF((Income!D$3:D$502="GBP")*(Income!A$3:A$502=DATE(2026,3,16)),ROW(Income!A$3:A$502)-2),5)),0)=0,"",IFERROR(-INDEX(Expenses!D$3:D$1002,SMALL(IF((Expenses!E$3:E$1002="GBP")*(Expenses!A$3:A$1002=DATE(2026,3,16)),ROW(Expenses!A$3:A$1002)-2),5)),0)+IFERROR(INDEX(Income!C$3:C$502,SMALL(IF((Income!D$3:D$502="GBP")*(Income!A$3:A$502=DATE(2026,3,16)),ROW(Income!A$3:A$502)-2),5)),0))</f>
        <v/>
      </c>
      <c r="D63" s="38" t="str">
        <f aca="false">IF(IFERROR(INDEX(Expenses!B$3:B$1002,SMALL(IF((Expenses!E$3:E$1002="GBP")*(Expenses!A$3:A$1002=DATE(2026,3,16)),ROW(Expenses!A$3:A$1002)-2),5)),"")&lt;&gt;"",IFERROR(INDEX(Expenses!B$3:B$1002,SMALL(IF((Expenses!E$3:E$1002="GBP")*(Expenses!A$3:A$1002=DATE(2026,3,16)),ROW(Expenses!A$3:A$1002)-2),5)),""),IF(IFERROR(INDEX(Income!B$3:B$502,SMALL(IF((Income!D$3:D$502="GBP")*(Income!A$3:A$502=DATE(2026,3,16)),ROW(Income!A$3:A$502)-2),5)),"")&lt;&gt;"",IFERROR(INDEX(Income!B$3:B$502,SMALL(IF((Income!D$3:D$502="GBP")*(Income!A$3:A$502=DATE(2026,3,16)),ROW(Income!A$3:A$502)-2),5)),""),""))</f>
        <v/>
      </c>
      <c r="E63" s="62" t="str">
        <f aca="false">IF(IFERROR(-INDEX(Expenses!D$3:D$1002,SMALL(IF((Expenses!E$3:E$1002="GBP")*(Expenses!A$3:A$1002=DATE(2026,3,17)),ROW(Expenses!A$3:A$1002)-2),5)),0)+IFERROR(INDEX(Income!C$3:C$502,SMALL(IF((Income!D$3:D$502="GBP")*(Income!A$3:A$502=DATE(2026,3,17)),ROW(Income!A$3:A$502)-2),5)),0)=0,"",IFERROR(-INDEX(Expenses!D$3:D$1002,SMALL(IF((Expenses!E$3:E$1002="GBP")*(Expenses!A$3:A$1002=DATE(2026,3,17)),ROW(Expenses!A$3:A$1002)-2),5)),0)+IFERROR(INDEX(Income!C$3:C$502,SMALL(IF((Income!D$3:D$502="GBP")*(Income!A$3:A$502=DATE(2026,3,17)),ROW(Income!A$3:A$502)-2),5)),0))</f>
        <v/>
      </c>
      <c r="F63" s="38" t="str">
        <f aca="false">IF(IFERROR(INDEX(Expenses!B$3:B$1002,SMALL(IF((Expenses!E$3:E$1002="GBP")*(Expenses!A$3:A$1002=DATE(2026,3,17)),ROW(Expenses!A$3:A$1002)-2),5)),"")&lt;&gt;"",IFERROR(INDEX(Expenses!B$3:B$1002,SMALL(IF((Expenses!E$3:E$1002="GBP")*(Expenses!A$3:A$1002=DATE(2026,3,17)),ROW(Expenses!A$3:A$1002)-2),5)),""),IF(IFERROR(INDEX(Income!B$3:B$502,SMALL(IF((Income!D$3:D$502="GBP")*(Income!A$3:A$502=DATE(2026,3,17)),ROW(Income!A$3:A$502)-2),5)),"")&lt;&gt;"",IFERROR(INDEX(Income!B$3:B$502,SMALL(IF((Income!D$3:D$502="GBP")*(Income!A$3:A$502=DATE(2026,3,17)),ROW(Income!A$3:A$502)-2),5)),""),""))</f>
        <v/>
      </c>
      <c r="G63" s="62" t="str">
        <f aca="false">IF(IFERROR(-INDEX(Expenses!D$3:D$1002,SMALL(IF((Expenses!E$3:E$1002="GBP")*(Expenses!A$3:A$1002=DATE(2026,3,18)),ROW(Expenses!A$3:A$1002)-2),5)),0)+IFERROR(INDEX(Income!C$3:C$502,SMALL(IF((Income!D$3:D$502="GBP")*(Income!A$3:A$502=DATE(2026,3,18)),ROW(Income!A$3:A$502)-2),5)),0)=0,"",IFERROR(-INDEX(Expenses!D$3:D$1002,SMALL(IF((Expenses!E$3:E$1002="GBP")*(Expenses!A$3:A$1002=DATE(2026,3,18)),ROW(Expenses!A$3:A$1002)-2),5)),0)+IFERROR(INDEX(Income!C$3:C$502,SMALL(IF((Income!D$3:D$502="GBP")*(Income!A$3:A$502=DATE(2026,3,18)),ROW(Income!A$3:A$502)-2),5)),0))</f>
        <v/>
      </c>
      <c r="H63" s="38" t="str">
        <f aca="false">IF(IFERROR(INDEX(Expenses!B$3:B$1002,SMALL(IF((Expenses!E$3:E$1002="GBP")*(Expenses!A$3:A$1002=DATE(2026,3,18)),ROW(Expenses!A$3:A$1002)-2),5)),"")&lt;&gt;"",IFERROR(INDEX(Expenses!B$3:B$1002,SMALL(IF((Expenses!E$3:E$1002="GBP")*(Expenses!A$3:A$1002=DATE(2026,3,18)),ROW(Expenses!A$3:A$1002)-2),5)),""),IF(IFERROR(INDEX(Income!B$3:B$502,SMALL(IF((Income!D$3:D$502="GBP")*(Income!A$3:A$502=DATE(2026,3,18)),ROW(Income!A$3:A$502)-2),5)),"")&lt;&gt;"",IFERROR(INDEX(Income!B$3:B$502,SMALL(IF((Income!D$3:D$502="GBP")*(Income!A$3:A$502=DATE(2026,3,18)),ROW(Income!A$3:A$502)-2),5)),""),""))</f>
        <v/>
      </c>
      <c r="I63" s="62" t="str">
        <f aca="false">IF(IFERROR(-INDEX(Expenses!D$3:D$1002,SMALL(IF((Expenses!E$3:E$1002="GBP")*(Expenses!A$3:A$1002=DATE(2026,3,19)),ROW(Expenses!A$3:A$1002)-2),5)),0)+IFERROR(INDEX(Income!C$3:C$502,SMALL(IF((Income!D$3:D$502="GBP")*(Income!A$3:A$502=DATE(2026,3,19)),ROW(Income!A$3:A$502)-2),5)),0)=0,"",IFERROR(-INDEX(Expenses!D$3:D$1002,SMALL(IF((Expenses!E$3:E$1002="GBP")*(Expenses!A$3:A$1002=DATE(2026,3,19)),ROW(Expenses!A$3:A$1002)-2),5)),0)+IFERROR(INDEX(Income!C$3:C$502,SMALL(IF((Income!D$3:D$502="GBP")*(Income!A$3:A$502=DATE(2026,3,19)),ROW(Income!A$3:A$502)-2),5)),0))</f>
        <v/>
      </c>
      <c r="J63" s="38" t="str">
        <f aca="false">IF(IFERROR(INDEX(Expenses!B$3:B$1002,SMALL(IF((Expenses!E$3:E$1002="GBP")*(Expenses!A$3:A$1002=DATE(2026,3,19)),ROW(Expenses!A$3:A$1002)-2),5)),"")&lt;&gt;"",IFERROR(INDEX(Expenses!B$3:B$1002,SMALL(IF((Expenses!E$3:E$1002="GBP")*(Expenses!A$3:A$1002=DATE(2026,3,19)),ROW(Expenses!A$3:A$1002)-2),5)),""),IF(IFERROR(INDEX(Income!B$3:B$502,SMALL(IF((Income!D$3:D$502="GBP")*(Income!A$3:A$502=DATE(2026,3,19)),ROW(Income!A$3:A$502)-2),5)),"")&lt;&gt;"",IFERROR(INDEX(Income!B$3:B$502,SMALL(IF((Income!D$3:D$502="GBP")*(Income!A$3:A$502=DATE(2026,3,19)),ROW(Income!A$3:A$502)-2),5)),""),""))</f>
        <v/>
      </c>
      <c r="K63" s="62" t="str">
        <f aca="false">IF(IFERROR(-INDEX(Expenses!D$3:D$1002,SMALL(IF((Expenses!E$3:E$1002="GBP")*(Expenses!A$3:A$1002=DATE(2026,3,20)),ROW(Expenses!A$3:A$1002)-2),5)),0)+IFERROR(INDEX(Income!C$3:C$502,SMALL(IF((Income!D$3:D$502="GBP")*(Income!A$3:A$502=DATE(2026,3,20)),ROW(Income!A$3:A$502)-2),5)),0)=0,"",IFERROR(-INDEX(Expenses!D$3:D$1002,SMALL(IF((Expenses!E$3:E$1002="GBP")*(Expenses!A$3:A$1002=DATE(2026,3,20)),ROW(Expenses!A$3:A$1002)-2),5)),0)+IFERROR(INDEX(Income!C$3:C$502,SMALL(IF((Income!D$3:D$502="GBP")*(Income!A$3:A$502=DATE(2026,3,20)),ROW(Income!A$3:A$502)-2),5)),0))</f>
        <v/>
      </c>
      <c r="L63" s="38" t="str">
        <f aca="false">IF(IFERROR(INDEX(Expenses!B$3:B$1002,SMALL(IF((Expenses!E$3:E$1002="GBP")*(Expenses!A$3:A$1002=DATE(2026,3,20)),ROW(Expenses!A$3:A$1002)-2),5)),"")&lt;&gt;"",IFERROR(INDEX(Expenses!B$3:B$1002,SMALL(IF((Expenses!E$3:E$1002="GBP")*(Expenses!A$3:A$1002=DATE(2026,3,20)),ROW(Expenses!A$3:A$1002)-2),5)),""),IF(IFERROR(INDEX(Income!B$3:B$502,SMALL(IF((Income!D$3:D$502="GBP")*(Income!A$3:A$502=DATE(2026,3,20)),ROW(Income!A$3:A$502)-2),5)),"")&lt;&gt;"",IFERROR(INDEX(Income!B$3:B$502,SMALL(IF((Income!D$3:D$502="GBP")*(Income!A$3:A$502=DATE(2026,3,20)),ROW(Income!A$3:A$502)-2),5)),""),""))</f>
        <v/>
      </c>
      <c r="M63" s="62" t="str">
        <f aca="false">IF(IFERROR(-INDEX(Expenses!D$3:D$1002,SMALL(IF((Expenses!E$3:E$1002="GBP")*(Expenses!A$3:A$1002=DATE(2026,3,21)),ROW(Expenses!A$3:A$1002)-2),5)),0)+IFERROR(INDEX(Income!C$3:C$502,SMALL(IF((Income!D$3:D$502="GBP")*(Income!A$3:A$502=DATE(2026,3,21)),ROW(Income!A$3:A$502)-2),5)),0)=0,"",IFERROR(-INDEX(Expenses!D$3:D$1002,SMALL(IF((Expenses!E$3:E$1002="GBP")*(Expenses!A$3:A$1002=DATE(2026,3,21)),ROW(Expenses!A$3:A$1002)-2),5)),0)+IFERROR(INDEX(Income!C$3:C$502,SMALL(IF((Income!D$3:D$502="GBP")*(Income!A$3:A$502=DATE(2026,3,21)),ROW(Income!A$3:A$502)-2),5)),0))</f>
        <v/>
      </c>
      <c r="N63" s="38" t="str">
        <f aca="false">IF(IFERROR(INDEX(Expenses!B$3:B$1002,SMALL(IF((Expenses!E$3:E$1002="GBP")*(Expenses!A$3:A$1002=DATE(2026,3,21)),ROW(Expenses!A$3:A$1002)-2),5)),"")&lt;&gt;"",IFERROR(INDEX(Expenses!B$3:B$1002,SMALL(IF((Expenses!E$3:E$1002="GBP")*(Expenses!A$3:A$1002=DATE(2026,3,21)),ROW(Expenses!A$3:A$1002)-2),5)),""),IF(IFERROR(INDEX(Income!B$3:B$502,SMALL(IF((Income!D$3:D$502="GBP")*(Income!A$3:A$502=DATE(2026,3,21)),ROW(Income!A$3:A$502)-2),5)),"")&lt;&gt;"",IFERROR(INDEX(Income!B$3:B$502,SMALL(IF((Income!D$3:D$502="GBP")*(Income!A$3:A$502=DATE(2026,3,21)),ROW(Income!A$3:A$502)-2),5)),""),""))</f>
        <v/>
      </c>
      <c r="O63" s="62" t="str">
        <f aca="false">IF(IFERROR(-INDEX(Expenses!D$3:D$1002,SMALL(IF((Expenses!E$3:E$1002="GBP")*(Expenses!A$3:A$1002=DATE(2026,3,22)),ROW(Expenses!A$3:A$1002)-2),5)),0)+IFERROR(INDEX(Income!C$3:C$502,SMALL(IF((Income!D$3:D$502="GBP")*(Income!A$3:A$502=DATE(2026,3,22)),ROW(Income!A$3:A$502)-2),5)),0)=0,"",IFERROR(-INDEX(Expenses!D$3:D$1002,SMALL(IF((Expenses!E$3:E$1002="GBP")*(Expenses!A$3:A$1002=DATE(2026,3,22)),ROW(Expenses!A$3:A$1002)-2),5)),0)+IFERROR(INDEX(Income!C$3:C$502,SMALL(IF((Income!D$3:D$502="GBP")*(Income!A$3:A$502=DATE(2026,3,22)),ROW(Income!A$3:A$502)-2),5)),0))</f>
        <v/>
      </c>
      <c r="P63" s="38" t="str">
        <f aca="false">IF(IFERROR(INDEX(Expenses!B$3:B$1002,SMALL(IF((Expenses!E$3:E$1002="GBP")*(Expenses!A$3:A$1002=DATE(2026,3,22)),ROW(Expenses!A$3:A$1002)-2),5)),"")&lt;&gt;"",IFERROR(INDEX(Expenses!B$3:B$1002,SMALL(IF((Expenses!E$3:E$1002="GBP")*(Expenses!A$3:A$1002=DATE(2026,3,22)),ROW(Expenses!A$3:A$1002)-2),5)),""),IF(IFERROR(INDEX(Income!B$3:B$502,SMALL(IF((Income!D$3:D$502="GBP")*(Income!A$3:A$502=DATE(2026,3,22)),ROW(Income!A$3:A$502)-2),5)),"")&lt;&gt;"",IFERROR(INDEX(Income!B$3:B$502,SMALL(IF((Income!D$3:D$502="GBP")*(Income!A$3:A$502=DATE(2026,3,22)),ROW(Income!A$3:A$502)-2),5)),""),""))</f>
        <v/>
      </c>
      <c r="Q63" s="16"/>
      <c r="R63" s="16"/>
    </row>
    <row r="64" customFormat="false" ht="15" hidden="false" customHeight="false" outlineLevel="0" collapsed="false">
      <c r="A64" s="61" t="n">
        <v>46104</v>
      </c>
      <c r="B64" s="3" t="n">
        <v>13</v>
      </c>
      <c r="C64" s="62" t="str">
        <f aca="false">IF(IFERROR(-INDEX(Expenses!D$3:D$1002,SMALL(IF((Expenses!E$3:E$1002="GBP")*(Expenses!A$3:A$1002=DATE(2026,3,23)),ROW(Expenses!A$3:A$1002)-2),1)),0)+IFERROR(INDEX(Income!C$3:C$502,SMALL(IF((Income!D$3:D$502="GBP")*(Income!A$3:A$502=DATE(2026,3,23)),ROW(Income!A$3:A$502)-2),1)),0)=0,"",IFERROR(-INDEX(Expenses!D$3:D$1002,SMALL(IF((Expenses!E$3:E$1002="GBP")*(Expenses!A$3:A$1002=DATE(2026,3,23)),ROW(Expenses!A$3:A$1002)-2),1)),0)+IFERROR(INDEX(Income!C$3:C$502,SMALL(IF((Income!D$3:D$502="GBP")*(Income!A$3:A$502=DATE(2026,3,23)),ROW(Income!A$3:A$502)-2),1)),0))</f>
        <v/>
      </c>
      <c r="D64" s="38" t="str">
        <f aca="false">IF(IFERROR(INDEX(Expenses!B$3:B$1002,SMALL(IF((Expenses!E$3:E$1002="GBP")*(Expenses!A$3:A$1002=DATE(2026,3,23)),ROW(Expenses!A$3:A$1002)-2),1)),"")&lt;&gt;"",IFERROR(INDEX(Expenses!B$3:B$1002,SMALL(IF((Expenses!E$3:E$1002="GBP")*(Expenses!A$3:A$1002=DATE(2026,3,23)),ROW(Expenses!A$3:A$1002)-2),1)),""),IF(IFERROR(INDEX(Income!B$3:B$502,SMALL(IF((Income!D$3:D$502="GBP")*(Income!A$3:A$502=DATE(2026,3,23)),ROW(Income!A$3:A$502)-2),1)),"")&lt;&gt;"",IFERROR(INDEX(Income!B$3:B$502,SMALL(IF((Income!D$3:D$502="GBP")*(Income!A$3:A$502=DATE(2026,3,23)),ROW(Income!A$3:A$502)-2),1)),""),""))</f>
        <v/>
      </c>
      <c r="E64" s="62" t="str">
        <f aca="false">IF(IFERROR(-INDEX(Expenses!D$3:D$1002,SMALL(IF((Expenses!E$3:E$1002="GBP")*(Expenses!A$3:A$1002=DATE(2026,3,24)),ROW(Expenses!A$3:A$1002)-2),1)),0)+IFERROR(INDEX(Income!C$3:C$502,SMALL(IF((Income!D$3:D$502="GBP")*(Income!A$3:A$502=DATE(2026,3,24)),ROW(Income!A$3:A$502)-2),1)),0)=0,"",IFERROR(-INDEX(Expenses!D$3:D$1002,SMALL(IF((Expenses!E$3:E$1002="GBP")*(Expenses!A$3:A$1002=DATE(2026,3,24)),ROW(Expenses!A$3:A$1002)-2),1)),0)+IFERROR(INDEX(Income!C$3:C$502,SMALL(IF((Income!D$3:D$502="GBP")*(Income!A$3:A$502=DATE(2026,3,24)),ROW(Income!A$3:A$502)-2),1)),0))</f>
        <v/>
      </c>
      <c r="F64" s="38" t="str">
        <f aca="false">IF(IFERROR(INDEX(Expenses!B$3:B$1002,SMALL(IF((Expenses!E$3:E$1002="GBP")*(Expenses!A$3:A$1002=DATE(2026,3,24)),ROW(Expenses!A$3:A$1002)-2),1)),"")&lt;&gt;"",IFERROR(INDEX(Expenses!B$3:B$1002,SMALL(IF((Expenses!E$3:E$1002="GBP")*(Expenses!A$3:A$1002=DATE(2026,3,24)),ROW(Expenses!A$3:A$1002)-2),1)),""),IF(IFERROR(INDEX(Income!B$3:B$502,SMALL(IF((Income!D$3:D$502="GBP")*(Income!A$3:A$502=DATE(2026,3,24)),ROW(Income!A$3:A$502)-2),1)),"")&lt;&gt;"",IFERROR(INDEX(Income!B$3:B$502,SMALL(IF((Income!D$3:D$502="GBP")*(Income!A$3:A$502=DATE(2026,3,24)),ROW(Income!A$3:A$502)-2),1)),""),""))</f>
        <v/>
      </c>
      <c r="G64" s="62" t="str">
        <f aca="false">IF(IFERROR(-INDEX(Expenses!D$3:D$1002,SMALL(IF((Expenses!E$3:E$1002="GBP")*(Expenses!A$3:A$1002=DATE(2026,3,25)),ROW(Expenses!A$3:A$1002)-2),1)),0)+IFERROR(INDEX(Income!C$3:C$502,SMALL(IF((Income!D$3:D$502="GBP")*(Income!A$3:A$502=DATE(2026,3,25)),ROW(Income!A$3:A$502)-2),1)),0)=0,"",IFERROR(-INDEX(Expenses!D$3:D$1002,SMALL(IF((Expenses!E$3:E$1002="GBP")*(Expenses!A$3:A$1002=DATE(2026,3,25)),ROW(Expenses!A$3:A$1002)-2),1)),0)+IFERROR(INDEX(Income!C$3:C$502,SMALL(IF((Income!D$3:D$502="GBP")*(Income!A$3:A$502=DATE(2026,3,25)),ROW(Income!A$3:A$502)-2),1)),0))</f>
        <v/>
      </c>
      <c r="H64" s="38" t="str">
        <f aca="false">IF(IFERROR(INDEX(Expenses!B$3:B$1002,SMALL(IF((Expenses!E$3:E$1002="GBP")*(Expenses!A$3:A$1002=DATE(2026,3,25)),ROW(Expenses!A$3:A$1002)-2),1)),"")&lt;&gt;"",IFERROR(INDEX(Expenses!B$3:B$1002,SMALL(IF((Expenses!E$3:E$1002="GBP")*(Expenses!A$3:A$1002=DATE(2026,3,25)),ROW(Expenses!A$3:A$1002)-2),1)),""),IF(IFERROR(INDEX(Income!B$3:B$502,SMALL(IF((Income!D$3:D$502="GBP")*(Income!A$3:A$502=DATE(2026,3,25)),ROW(Income!A$3:A$502)-2),1)),"")&lt;&gt;"",IFERROR(INDEX(Income!B$3:B$502,SMALL(IF((Income!D$3:D$502="GBP")*(Income!A$3:A$502=DATE(2026,3,25)),ROW(Income!A$3:A$502)-2),1)),""),""))</f>
        <v/>
      </c>
      <c r="I64" s="62" t="str">
        <f aca="false">IF(IFERROR(-INDEX(Expenses!D$3:D$1002,SMALL(IF((Expenses!E$3:E$1002="GBP")*(Expenses!A$3:A$1002=DATE(2026,3,26)),ROW(Expenses!A$3:A$1002)-2),1)),0)+IFERROR(INDEX(Income!C$3:C$502,SMALL(IF((Income!D$3:D$502="GBP")*(Income!A$3:A$502=DATE(2026,3,26)),ROW(Income!A$3:A$502)-2),1)),0)=0,"",IFERROR(-INDEX(Expenses!D$3:D$1002,SMALL(IF((Expenses!E$3:E$1002="GBP")*(Expenses!A$3:A$1002=DATE(2026,3,26)),ROW(Expenses!A$3:A$1002)-2),1)),0)+IFERROR(INDEX(Income!C$3:C$502,SMALL(IF((Income!D$3:D$502="GBP")*(Income!A$3:A$502=DATE(2026,3,26)),ROW(Income!A$3:A$502)-2),1)),0))</f>
        <v/>
      </c>
      <c r="J64" s="38" t="str">
        <f aca="false">IF(IFERROR(INDEX(Expenses!B$3:B$1002,SMALL(IF((Expenses!E$3:E$1002="GBP")*(Expenses!A$3:A$1002=DATE(2026,3,26)),ROW(Expenses!A$3:A$1002)-2),1)),"")&lt;&gt;"",IFERROR(INDEX(Expenses!B$3:B$1002,SMALL(IF((Expenses!E$3:E$1002="GBP")*(Expenses!A$3:A$1002=DATE(2026,3,26)),ROW(Expenses!A$3:A$1002)-2),1)),""),IF(IFERROR(INDEX(Income!B$3:B$502,SMALL(IF((Income!D$3:D$502="GBP")*(Income!A$3:A$502=DATE(2026,3,26)),ROW(Income!A$3:A$502)-2),1)),"")&lt;&gt;"",IFERROR(INDEX(Income!B$3:B$502,SMALL(IF((Income!D$3:D$502="GBP")*(Income!A$3:A$502=DATE(2026,3,26)),ROW(Income!A$3:A$502)-2),1)),""),""))</f>
        <v/>
      </c>
      <c r="K64" s="62" t="str">
        <f aca="false">IF(IFERROR(-INDEX(Expenses!D$3:D$1002,SMALL(IF((Expenses!E$3:E$1002="GBP")*(Expenses!A$3:A$1002=DATE(2026,3,27)),ROW(Expenses!A$3:A$1002)-2),1)),0)+IFERROR(INDEX(Income!C$3:C$502,SMALL(IF((Income!D$3:D$502="GBP")*(Income!A$3:A$502=DATE(2026,3,27)),ROW(Income!A$3:A$502)-2),1)),0)=0,"",IFERROR(-INDEX(Expenses!D$3:D$1002,SMALL(IF((Expenses!E$3:E$1002="GBP")*(Expenses!A$3:A$1002=DATE(2026,3,27)),ROW(Expenses!A$3:A$1002)-2),1)),0)+IFERROR(INDEX(Income!C$3:C$502,SMALL(IF((Income!D$3:D$502="GBP")*(Income!A$3:A$502=DATE(2026,3,27)),ROW(Income!A$3:A$502)-2),1)),0))</f>
        <v/>
      </c>
      <c r="L64" s="38" t="str">
        <f aca="false">IF(IFERROR(INDEX(Expenses!B$3:B$1002,SMALL(IF((Expenses!E$3:E$1002="GBP")*(Expenses!A$3:A$1002=DATE(2026,3,27)),ROW(Expenses!A$3:A$1002)-2),1)),"")&lt;&gt;"",IFERROR(INDEX(Expenses!B$3:B$1002,SMALL(IF((Expenses!E$3:E$1002="GBP")*(Expenses!A$3:A$1002=DATE(2026,3,27)),ROW(Expenses!A$3:A$1002)-2),1)),""),IF(IFERROR(INDEX(Income!B$3:B$502,SMALL(IF((Income!D$3:D$502="GBP")*(Income!A$3:A$502=DATE(2026,3,27)),ROW(Income!A$3:A$502)-2),1)),"")&lt;&gt;"",IFERROR(INDEX(Income!B$3:B$502,SMALL(IF((Income!D$3:D$502="GBP")*(Income!A$3:A$502=DATE(2026,3,27)),ROW(Income!A$3:A$502)-2),1)),""),""))</f>
        <v/>
      </c>
      <c r="M64" s="62" t="str">
        <f aca="false">IF(IFERROR(-INDEX(Expenses!D$3:D$1002,SMALL(IF((Expenses!E$3:E$1002="GBP")*(Expenses!A$3:A$1002=DATE(2026,3,28)),ROW(Expenses!A$3:A$1002)-2),1)),0)+IFERROR(INDEX(Income!C$3:C$502,SMALL(IF((Income!D$3:D$502="GBP")*(Income!A$3:A$502=DATE(2026,3,28)),ROW(Income!A$3:A$502)-2),1)),0)=0,"",IFERROR(-INDEX(Expenses!D$3:D$1002,SMALL(IF((Expenses!E$3:E$1002="GBP")*(Expenses!A$3:A$1002=DATE(2026,3,28)),ROW(Expenses!A$3:A$1002)-2),1)),0)+IFERROR(INDEX(Income!C$3:C$502,SMALL(IF((Income!D$3:D$502="GBP")*(Income!A$3:A$502=DATE(2026,3,28)),ROW(Income!A$3:A$502)-2),1)),0))</f>
        <v/>
      </c>
      <c r="N64" s="38" t="str">
        <f aca="false">IF(IFERROR(INDEX(Expenses!B$3:B$1002,SMALL(IF((Expenses!E$3:E$1002="GBP")*(Expenses!A$3:A$1002=DATE(2026,3,28)),ROW(Expenses!A$3:A$1002)-2),1)),"")&lt;&gt;"",IFERROR(INDEX(Expenses!B$3:B$1002,SMALL(IF((Expenses!E$3:E$1002="GBP")*(Expenses!A$3:A$1002=DATE(2026,3,28)),ROW(Expenses!A$3:A$1002)-2),1)),""),IF(IFERROR(INDEX(Income!B$3:B$502,SMALL(IF((Income!D$3:D$502="GBP")*(Income!A$3:A$502=DATE(2026,3,28)),ROW(Income!A$3:A$502)-2),1)),"")&lt;&gt;"",IFERROR(INDEX(Income!B$3:B$502,SMALL(IF((Income!D$3:D$502="GBP")*(Income!A$3:A$502=DATE(2026,3,28)),ROW(Income!A$3:A$502)-2),1)),""),""))</f>
        <v/>
      </c>
      <c r="O64" s="62" t="str">
        <f aca="false">IF(IFERROR(-INDEX(Expenses!D$3:D$1002,SMALL(IF((Expenses!E$3:E$1002="GBP")*(Expenses!A$3:A$1002=DATE(2026,3,29)),ROW(Expenses!A$3:A$1002)-2),1)),0)+IFERROR(INDEX(Income!C$3:C$502,SMALL(IF((Income!D$3:D$502="GBP")*(Income!A$3:A$502=DATE(2026,3,29)),ROW(Income!A$3:A$502)-2),1)),0)=0,"",IFERROR(-INDEX(Expenses!D$3:D$1002,SMALL(IF((Expenses!E$3:E$1002="GBP")*(Expenses!A$3:A$1002=DATE(2026,3,29)),ROW(Expenses!A$3:A$1002)-2),1)),0)+IFERROR(INDEX(Income!C$3:C$502,SMALL(IF((Income!D$3:D$502="GBP")*(Income!A$3:A$502=DATE(2026,3,29)),ROW(Income!A$3:A$502)-2),1)),0))</f>
        <v/>
      </c>
      <c r="P64" s="38" t="str">
        <f aca="false">IF(IFERROR(INDEX(Expenses!B$3:B$1002,SMALL(IF((Expenses!E$3:E$1002="GBP")*(Expenses!A$3:A$1002=DATE(2026,3,29)),ROW(Expenses!A$3:A$1002)-2),1)),"")&lt;&gt;"",IFERROR(INDEX(Expenses!B$3:B$1002,SMALL(IF((Expenses!E$3:E$1002="GBP")*(Expenses!A$3:A$1002=DATE(2026,3,29)),ROW(Expenses!A$3:A$1002)-2),1)),""),IF(IFERROR(INDEX(Income!B$3:B$502,SMALL(IF((Income!D$3:D$502="GBP")*(Income!A$3:A$502=DATE(2026,3,29)),ROW(Income!A$3:A$502)-2),1)),"")&lt;&gt;"",IFERROR(INDEX(Income!B$3:B$502,SMALL(IF((Income!D$3:D$502="GBP")*(Income!A$3:A$502=DATE(2026,3,29)),ROW(Income!A$3:A$502)-2),1)),""),""))</f>
        <v/>
      </c>
      <c r="Q64" s="3" t="n">
        <v>13</v>
      </c>
      <c r="R64" s="45" t="n">
        <f aca="false">SUM(C64:C68)+SUM(E64:E68)+SUM(G64:G68)+SUM(I64:I68)+SUM(K64:K68)+SUM(M64:M68)+SUM(O64:O68)</f>
        <v>0</v>
      </c>
    </row>
    <row r="65" customFormat="false" ht="15" hidden="false" customHeight="false" outlineLevel="0" collapsed="false">
      <c r="A65" s="16"/>
      <c r="B65" s="16"/>
      <c r="C65" s="62" t="str">
        <f aca="false">IF(IFERROR(-INDEX(Expenses!D$3:D$1002,SMALL(IF((Expenses!E$3:E$1002="GBP")*(Expenses!A$3:A$1002=DATE(2026,3,23)),ROW(Expenses!A$3:A$1002)-2),2)),0)+IFERROR(INDEX(Income!C$3:C$502,SMALL(IF((Income!D$3:D$502="GBP")*(Income!A$3:A$502=DATE(2026,3,23)),ROW(Income!A$3:A$502)-2),2)),0)=0,"",IFERROR(-INDEX(Expenses!D$3:D$1002,SMALL(IF((Expenses!E$3:E$1002="GBP")*(Expenses!A$3:A$1002=DATE(2026,3,23)),ROW(Expenses!A$3:A$1002)-2),2)),0)+IFERROR(INDEX(Income!C$3:C$502,SMALL(IF((Income!D$3:D$502="GBP")*(Income!A$3:A$502=DATE(2026,3,23)),ROW(Income!A$3:A$502)-2),2)),0))</f>
        <v/>
      </c>
      <c r="D65" s="38" t="str">
        <f aca="false">IF(IFERROR(INDEX(Expenses!B$3:B$1002,SMALL(IF((Expenses!E$3:E$1002="GBP")*(Expenses!A$3:A$1002=DATE(2026,3,23)),ROW(Expenses!A$3:A$1002)-2),2)),"")&lt;&gt;"",IFERROR(INDEX(Expenses!B$3:B$1002,SMALL(IF((Expenses!E$3:E$1002="GBP")*(Expenses!A$3:A$1002=DATE(2026,3,23)),ROW(Expenses!A$3:A$1002)-2),2)),""),IF(IFERROR(INDEX(Income!B$3:B$502,SMALL(IF((Income!D$3:D$502="GBP")*(Income!A$3:A$502=DATE(2026,3,23)),ROW(Income!A$3:A$502)-2),2)),"")&lt;&gt;"",IFERROR(INDEX(Income!B$3:B$502,SMALL(IF((Income!D$3:D$502="GBP")*(Income!A$3:A$502=DATE(2026,3,23)),ROW(Income!A$3:A$502)-2),2)),""),""))</f>
        <v/>
      </c>
      <c r="E65" s="62" t="str">
        <f aca="false">IF(IFERROR(-INDEX(Expenses!D$3:D$1002,SMALL(IF((Expenses!E$3:E$1002="GBP")*(Expenses!A$3:A$1002=DATE(2026,3,24)),ROW(Expenses!A$3:A$1002)-2),2)),0)+IFERROR(INDEX(Income!C$3:C$502,SMALL(IF((Income!D$3:D$502="GBP")*(Income!A$3:A$502=DATE(2026,3,24)),ROW(Income!A$3:A$502)-2),2)),0)=0,"",IFERROR(-INDEX(Expenses!D$3:D$1002,SMALL(IF((Expenses!E$3:E$1002="GBP")*(Expenses!A$3:A$1002=DATE(2026,3,24)),ROW(Expenses!A$3:A$1002)-2),2)),0)+IFERROR(INDEX(Income!C$3:C$502,SMALL(IF((Income!D$3:D$502="GBP")*(Income!A$3:A$502=DATE(2026,3,24)),ROW(Income!A$3:A$502)-2),2)),0))</f>
        <v/>
      </c>
      <c r="F65" s="38" t="str">
        <f aca="false">IF(IFERROR(INDEX(Expenses!B$3:B$1002,SMALL(IF((Expenses!E$3:E$1002="GBP")*(Expenses!A$3:A$1002=DATE(2026,3,24)),ROW(Expenses!A$3:A$1002)-2),2)),"")&lt;&gt;"",IFERROR(INDEX(Expenses!B$3:B$1002,SMALL(IF((Expenses!E$3:E$1002="GBP")*(Expenses!A$3:A$1002=DATE(2026,3,24)),ROW(Expenses!A$3:A$1002)-2),2)),""),IF(IFERROR(INDEX(Income!B$3:B$502,SMALL(IF((Income!D$3:D$502="GBP")*(Income!A$3:A$502=DATE(2026,3,24)),ROW(Income!A$3:A$502)-2),2)),"")&lt;&gt;"",IFERROR(INDEX(Income!B$3:B$502,SMALL(IF((Income!D$3:D$502="GBP")*(Income!A$3:A$502=DATE(2026,3,24)),ROW(Income!A$3:A$502)-2),2)),""),""))</f>
        <v/>
      </c>
      <c r="G65" s="62" t="str">
        <f aca="false">IF(IFERROR(-INDEX(Expenses!D$3:D$1002,SMALL(IF((Expenses!E$3:E$1002="GBP")*(Expenses!A$3:A$1002=DATE(2026,3,25)),ROW(Expenses!A$3:A$1002)-2),2)),0)+IFERROR(INDEX(Income!C$3:C$502,SMALL(IF((Income!D$3:D$502="GBP")*(Income!A$3:A$502=DATE(2026,3,25)),ROW(Income!A$3:A$502)-2),2)),0)=0,"",IFERROR(-INDEX(Expenses!D$3:D$1002,SMALL(IF((Expenses!E$3:E$1002="GBP")*(Expenses!A$3:A$1002=DATE(2026,3,25)),ROW(Expenses!A$3:A$1002)-2),2)),0)+IFERROR(INDEX(Income!C$3:C$502,SMALL(IF((Income!D$3:D$502="GBP")*(Income!A$3:A$502=DATE(2026,3,25)),ROW(Income!A$3:A$502)-2),2)),0))</f>
        <v/>
      </c>
      <c r="H65" s="38" t="str">
        <f aca="false">IF(IFERROR(INDEX(Expenses!B$3:B$1002,SMALL(IF((Expenses!E$3:E$1002="GBP")*(Expenses!A$3:A$1002=DATE(2026,3,25)),ROW(Expenses!A$3:A$1002)-2),2)),"")&lt;&gt;"",IFERROR(INDEX(Expenses!B$3:B$1002,SMALL(IF((Expenses!E$3:E$1002="GBP")*(Expenses!A$3:A$1002=DATE(2026,3,25)),ROW(Expenses!A$3:A$1002)-2),2)),""),IF(IFERROR(INDEX(Income!B$3:B$502,SMALL(IF((Income!D$3:D$502="GBP")*(Income!A$3:A$502=DATE(2026,3,25)),ROW(Income!A$3:A$502)-2),2)),"")&lt;&gt;"",IFERROR(INDEX(Income!B$3:B$502,SMALL(IF((Income!D$3:D$502="GBP")*(Income!A$3:A$502=DATE(2026,3,25)),ROW(Income!A$3:A$502)-2),2)),""),""))</f>
        <v/>
      </c>
      <c r="I65" s="62" t="str">
        <f aca="false">IF(IFERROR(-INDEX(Expenses!D$3:D$1002,SMALL(IF((Expenses!E$3:E$1002="GBP")*(Expenses!A$3:A$1002=DATE(2026,3,26)),ROW(Expenses!A$3:A$1002)-2),2)),0)+IFERROR(INDEX(Income!C$3:C$502,SMALL(IF((Income!D$3:D$502="GBP")*(Income!A$3:A$502=DATE(2026,3,26)),ROW(Income!A$3:A$502)-2),2)),0)=0,"",IFERROR(-INDEX(Expenses!D$3:D$1002,SMALL(IF((Expenses!E$3:E$1002="GBP")*(Expenses!A$3:A$1002=DATE(2026,3,26)),ROW(Expenses!A$3:A$1002)-2),2)),0)+IFERROR(INDEX(Income!C$3:C$502,SMALL(IF((Income!D$3:D$502="GBP")*(Income!A$3:A$502=DATE(2026,3,26)),ROW(Income!A$3:A$502)-2),2)),0))</f>
        <v/>
      </c>
      <c r="J65" s="38" t="str">
        <f aca="false">IF(IFERROR(INDEX(Expenses!B$3:B$1002,SMALL(IF((Expenses!E$3:E$1002="GBP")*(Expenses!A$3:A$1002=DATE(2026,3,26)),ROW(Expenses!A$3:A$1002)-2),2)),"")&lt;&gt;"",IFERROR(INDEX(Expenses!B$3:B$1002,SMALL(IF((Expenses!E$3:E$1002="GBP")*(Expenses!A$3:A$1002=DATE(2026,3,26)),ROW(Expenses!A$3:A$1002)-2),2)),""),IF(IFERROR(INDEX(Income!B$3:B$502,SMALL(IF((Income!D$3:D$502="GBP")*(Income!A$3:A$502=DATE(2026,3,26)),ROW(Income!A$3:A$502)-2),2)),"")&lt;&gt;"",IFERROR(INDEX(Income!B$3:B$502,SMALL(IF((Income!D$3:D$502="GBP")*(Income!A$3:A$502=DATE(2026,3,26)),ROW(Income!A$3:A$502)-2),2)),""),""))</f>
        <v/>
      </c>
      <c r="K65" s="62" t="str">
        <f aca="false">IF(IFERROR(-INDEX(Expenses!D$3:D$1002,SMALL(IF((Expenses!E$3:E$1002="GBP")*(Expenses!A$3:A$1002=DATE(2026,3,27)),ROW(Expenses!A$3:A$1002)-2),2)),0)+IFERROR(INDEX(Income!C$3:C$502,SMALL(IF((Income!D$3:D$502="GBP")*(Income!A$3:A$502=DATE(2026,3,27)),ROW(Income!A$3:A$502)-2),2)),0)=0,"",IFERROR(-INDEX(Expenses!D$3:D$1002,SMALL(IF((Expenses!E$3:E$1002="GBP")*(Expenses!A$3:A$1002=DATE(2026,3,27)),ROW(Expenses!A$3:A$1002)-2),2)),0)+IFERROR(INDEX(Income!C$3:C$502,SMALL(IF((Income!D$3:D$502="GBP")*(Income!A$3:A$502=DATE(2026,3,27)),ROW(Income!A$3:A$502)-2),2)),0))</f>
        <v/>
      </c>
      <c r="L65" s="38" t="str">
        <f aca="false">IF(IFERROR(INDEX(Expenses!B$3:B$1002,SMALL(IF((Expenses!E$3:E$1002="GBP")*(Expenses!A$3:A$1002=DATE(2026,3,27)),ROW(Expenses!A$3:A$1002)-2),2)),"")&lt;&gt;"",IFERROR(INDEX(Expenses!B$3:B$1002,SMALL(IF((Expenses!E$3:E$1002="GBP")*(Expenses!A$3:A$1002=DATE(2026,3,27)),ROW(Expenses!A$3:A$1002)-2),2)),""),IF(IFERROR(INDEX(Income!B$3:B$502,SMALL(IF((Income!D$3:D$502="GBP")*(Income!A$3:A$502=DATE(2026,3,27)),ROW(Income!A$3:A$502)-2),2)),"")&lt;&gt;"",IFERROR(INDEX(Income!B$3:B$502,SMALL(IF((Income!D$3:D$502="GBP")*(Income!A$3:A$502=DATE(2026,3,27)),ROW(Income!A$3:A$502)-2),2)),""),""))</f>
        <v/>
      </c>
      <c r="M65" s="62" t="str">
        <f aca="false">IF(IFERROR(-INDEX(Expenses!D$3:D$1002,SMALL(IF((Expenses!E$3:E$1002="GBP")*(Expenses!A$3:A$1002=DATE(2026,3,28)),ROW(Expenses!A$3:A$1002)-2),2)),0)+IFERROR(INDEX(Income!C$3:C$502,SMALL(IF((Income!D$3:D$502="GBP")*(Income!A$3:A$502=DATE(2026,3,28)),ROW(Income!A$3:A$502)-2),2)),0)=0,"",IFERROR(-INDEX(Expenses!D$3:D$1002,SMALL(IF((Expenses!E$3:E$1002="GBP")*(Expenses!A$3:A$1002=DATE(2026,3,28)),ROW(Expenses!A$3:A$1002)-2),2)),0)+IFERROR(INDEX(Income!C$3:C$502,SMALL(IF((Income!D$3:D$502="GBP")*(Income!A$3:A$502=DATE(2026,3,28)),ROW(Income!A$3:A$502)-2),2)),0))</f>
        <v/>
      </c>
      <c r="N65" s="38" t="str">
        <f aca="false">IF(IFERROR(INDEX(Expenses!B$3:B$1002,SMALL(IF((Expenses!E$3:E$1002="GBP")*(Expenses!A$3:A$1002=DATE(2026,3,28)),ROW(Expenses!A$3:A$1002)-2),2)),"")&lt;&gt;"",IFERROR(INDEX(Expenses!B$3:B$1002,SMALL(IF((Expenses!E$3:E$1002="GBP")*(Expenses!A$3:A$1002=DATE(2026,3,28)),ROW(Expenses!A$3:A$1002)-2),2)),""),IF(IFERROR(INDEX(Income!B$3:B$502,SMALL(IF((Income!D$3:D$502="GBP")*(Income!A$3:A$502=DATE(2026,3,28)),ROW(Income!A$3:A$502)-2),2)),"")&lt;&gt;"",IFERROR(INDEX(Income!B$3:B$502,SMALL(IF((Income!D$3:D$502="GBP")*(Income!A$3:A$502=DATE(2026,3,28)),ROW(Income!A$3:A$502)-2),2)),""),""))</f>
        <v/>
      </c>
      <c r="O65" s="62" t="str">
        <f aca="false">IF(IFERROR(-INDEX(Expenses!D$3:D$1002,SMALL(IF((Expenses!E$3:E$1002="GBP")*(Expenses!A$3:A$1002=DATE(2026,3,29)),ROW(Expenses!A$3:A$1002)-2),2)),0)+IFERROR(INDEX(Income!C$3:C$502,SMALL(IF((Income!D$3:D$502="GBP")*(Income!A$3:A$502=DATE(2026,3,29)),ROW(Income!A$3:A$502)-2),2)),0)=0,"",IFERROR(-INDEX(Expenses!D$3:D$1002,SMALL(IF((Expenses!E$3:E$1002="GBP")*(Expenses!A$3:A$1002=DATE(2026,3,29)),ROW(Expenses!A$3:A$1002)-2),2)),0)+IFERROR(INDEX(Income!C$3:C$502,SMALL(IF((Income!D$3:D$502="GBP")*(Income!A$3:A$502=DATE(2026,3,29)),ROW(Income!A$3:A$502)-2),2)),0))</f>
        <v/>
      </c>
      <c r="P65" s="38" t="str">
        <f aca="false">IF(IFERROR(INDEX(Expenses!B$3:B$1002,SMALL(IF((Expenses!E$3:E$1002="GBP")*(Expenses!A$3:A$1002=DATE(2026,3,29)),ROW(Expenses!A$3:A$1002)-2),2)),"")&lt;&gt;"",IFERROR(INDEX(Expenses!B$3:B$1002,SMALL(IF((Expenses!E$3:E$1002="GBP")*(Expenses!A$3:A$1002=DATE(2026,3,29)),ROW(Expenses!A$3:A$1002)-2),2)),""),IF(IFERROR(INDEX(Income!B$3:B$502,SMALL(IF((Income!D$3:D$502="GBP")*(Income!A$3:A$502=DATE(2026,3,29)),ROW(Income!A$3:A$502)-2),2)),"")&lt;&gt;"",IFERROR(INDEX(Income!B$3:B$502,SMALL(IF((Income!D$3:D$502="GBP")*(Income!A$3:A$502=DATE(2026,3,29)),ROW(Income!A$3:A$502)-2),2)),""),""))</f>
        <v/>
      </c>
      <c r="Q65" s="16"/>
      <c r="R65" s="16"/>
    </row>
    <row r="66" customFormat="false" ht="15" hidden="false" customHeight="false" outlineLevel="0" collapsed="false">
      <c r="A66" s="16"/>
      <c r="B66" s="16"/>
      <c r="C66" s="62" t="str">
        <f aca="false">IF(IFERROR(-INDEX(Expenses!D$3:D$1002,SMALL(IF((Expenses!E$3:E$1002="GBP")*(Expenses!A$3:A$1002=DATE(2026,3,23)),ROW(Expenses!A$3:A$1002)-2),3)),0)+IFERROR(INDEX(Income!C$3:C$502,SMALL(IF((Income!D$3:D$502="GBP")*(Income!A$3:A$502=DATE(2026,3,23)),ROW(Income!A$3:A$502)-2),3)),0)=0,"",IFERROR(-INDEX(Expenses!D$3:D$1002,SMALL(IF((Expenses!E$3:E$1002="GBP")*(Expenses!A$3:A$1002=DATE(2026,3,23)),ROW(Expenses!A$3:A$1002)-2),3)),0)+IFERROR(INDEX(Income!C$3:C$502,SMALL(IF((Income!D$3:D$502="GBP")*(Income!A$3:A$502=DATE(2026,3,23)),ROW(Income!A$3:A$502)-2),3)),0))</f>
        <v/>
      </c>
      <c r="D66" s="38" t="str">
        <f aca="false">IF(IFERROR(INDEX(Expenses!B$3:B$1002,SMALL(IF((Expenses!E$3:E$1002="GBP")*(Expenses!A$3:A$1002=DATE(2026,3,23)),ROW(Expenses!A$3:A$1002)-2),3)),"")&lt;&gt;"",IFERROR(INDEX(Expenses!B$3:B$1002,SMALL(IF((Expenses!E$3:E$1002="GBP")*(Expenses!A$3:A$1002=DATE(2026,3,23)),ROW(Expenses!A$3:A$1002)-2),3)),""),IF(IFERROR(INDEX(Income!B$3:B$502,SMALL(IF((Income!D$3:D$502="GBP")*(Income!A$3:A$502=DATE(2026,3,23)),ROW(Income!A$3:A$502)-2),3)),"")&lt;&gt;"",IFERROR(INDEX(Income!B$3:B$502,SMALL(IF((Income!D$3:D$502="GBP")*(Income!A$3:A$502=DATE(2026,3,23)),ROW(Income!A$3:A$502)-2),3)),""),""))</f>
        <v/>
      </c>
      <c r="E66" s="62" t="str">
        <f aca="false">IF(IFERROR(-INDEX(Expenses!D$3:D$1002,SMALL(IF((Expenses!E$3:E$1002="GBP")*(Expenses!A$3:A$1002=DATE(2026,3,24)),ROW(Expenses!A$3:A$1002)-2),3)),0)+IFERROR(INDEX(Income!C$3:C$502,SMALL(IF((Income!D$3:D$502="GBP")*(Income!A$3:A$502=DATE(2026,3,24)),ROW(Income!A$3:A$502)-2),3)),0)=0,"",IFERROR(-INDEX(Expenses!D$3:D$1002,SMALL(IF((Expenses!E$3:E$1002="GBP")*(Expenses!A$3:A$1002=DATE(2026,3,24)),ROW(Expenses!A$3:A$1002)-2),3)),0)+IFERROR(INDEX(Income!C$3:C$502,SMALL(IF((Income!D$3:D$502="GBP")*(Income!A$3:A$502=DATE(2026,3,24)),ROW(Income!A$3:A$502)-2),3)),0))</f>
        <v/>
      </c>
      <c r="F66" s="38" t="str">
        <f aca="false">IF(IFERROR(INDEX(Expenses!B$3:B$1002,SMALL(IF((Expenses!E$3:E$1002="GBP")*(Expenses!A$3:A$1002=DATE(2026,3,24)),ROW(Expenses!A$3:A$1002)-2),3)),"")&lt;&gt;"",IFERROR(INDEX(Expenses!B$3:B$1002,SMALL(IF((Expenses!E$3:E$1002="GBP")*(Expenses!A$3:A$1002=DATE(2026,3,24)),ROW(Expenses!A$3:A$1002)-2),3)),""),IF(IFERROR(INDEX(Income!B$3:B$502,SMALL(IF((Income!D$3:D$502="GBP")*(Income!A$3:A$502=DATE(2026,3,24)),ROW(Income!A$3:A$502)-2),3)),"")&lt;&gt;"",IFERROR(INDEX(Income!B$3:B$502,SMALL(IF((Income!D$3:D$502="GBP")*(Income!A$3:A$502=DATE(2026,3,24)),ROW(Income!A$3:A$502)-2),3)),""),""))</f>
        <v/>
      </c>
      <c r="G66" s="62" t="str">
        <f aca="false">IF(IFERROR(-INDEX(Expenses!D$3:D$1002,SMALL(IF((Expenses!E$3:E$1002="GBP")*(Expenses!A$3:A$1002=DATE(2026,3,25)),ROW(Expenses!A$3:A$1002)-2),3)),0)+IFERROR(INDEX(Income!C$3:C$502,SMALL(IF((Income!D$3:D$502="GBP")*(Income!A$3:A$502=DATE(2026,3,25)),ROW(Income!A$3:A$502)-2),3)),0)=0,"",IFERROR(-INDEX(Expenses!D$3:D$1002,SMALL(IF((Expenses!E$3:E$1002="GBP")*(Expenses!A$3:A$1002=DATE(2026,3,25)),ROW(Expenses!A$3:A$1002)-2),3)),0)+IFERROR(INDEX(Income!C$3:C$502,SMALL(IF((Income!D$3:D$502="GBP")*(Income!A$3:A$502=DATE(2026,3,25)),ROW(Income!A$3:A$502)-2),3)),0))</f>
        <v/>
      </c>
      <c r="H66" s="38" t="str">
        <f aca="false">IF(IFERROR(INDEX(Expenses!B$3:B$1002,SMALL(IF((Expenses!E$3:E$1002="GBP")*(Expenses!A$3:A$1002=DATE(2026,3,25)),ROW(Expenses!A$3:A$1002)-2),3)),"")&lt;&gt;"",IFERROR(INDEX(Expenses!B$3:B$1002,SMALL(IF((Expenses!E$3:E$1002="GBP")*(Expenses!A$3:A$1002=DATE(2026,3,25)),ROW(Expenses!A$3:A$1002)-2),3)),""),IF(IFERROR(INDEX(Income!B$3:B$502,SMALL(IF((Income!D$3:D$502="GBP")*(Income!A$3:A$502=DATE(2026,3,25)),ROW(Income!A$3:A$502)-2),3)),"")&lt;&gt;"",IFERROR(INDEX(Income!B$3:B$502,SMALL(IF((Income!D$3:D$502="GBP")*(Income!A$3:A$502=DATE(2026,3,25)),ROW(Income!A$3:A$502)-2),3)),""),""))</f>
        <v/>
      </c>
      <c r="I66" s="62" t="str">
        <f aca="false">IF(IFERROR(-INDEX(Expenses!D$3:D$1002,SMALL(IF((Expenses!E$3:E$1002="GBP")*(Expenses!A$3:A$1002=DATE(2026,3,26)),ROW(Expenses!A$3:A$1002)-2),3)),0)+IFERROR(INDEX(Income!C$3:C$502,SMALL(IF((Income!D$3:D$502="GBP")*(Income!A$3:A$502=DATE(2026,3,26)),ROW(Income!A$3:A$502)-2),3)),0)=0,"",IFERROR(-INDEX(Expenses!D$3:D$1002,SMALL(IF((Expenses!E$3:E$1002="GBP")*(Expenses!A$3:A$1002=DATE(2026,3,26)),ROW(Expenses!A$3:A$1002)-2),3)),0)+IFERROR(INDEX(Income!C$3:C$502,SMALL(IF((Income!D$3:D$502="GBP")*(Income!A$3:A$502=DATE(2026,3,26)),ROW(Income!A$3:A$502)-2),3)),0))</f>
        <v/>
      </c>
      <c r="J66" s="38" t="str">
        <f aca="false">IF(IFERROR(INDEX(Expenses!B$3:B$1002,SMALL(IF((Expenses!E$3:E$1002="GBP")*(Expenses!A$3:A$1002=DATE(2026,3,26)),ROW(Expenses!A$3:A$1002)-2),3)),"")&lt;&gt;"",IFERROR(INDEX(Expenses!B$3:B$1002,SMALL(IF((Expenses!E$3:E$1002="GBP")*(Expenses!A$3:A$1002=DATE(2026,3,26)),ROW(Expenses!A$3:A$1002)-2),3)),""),IF(IFERROR(INDEX(Income!B$3:B$502,SMALL(IF((Income!D$3:D$502="GBP")*(Income!A$3:A$502=DATE(2026,3,26)),ROW(Income!A$3:A$502)-2),3)),"")&lt;&gt;"",IFERROR(INDEX(Income!B$3:B$502,SMALL(IF((Income!D$3:D$502="GBP")*(Income!A$3:A$502=DATE(2026,3,26)),ROW(Income!A$3:A$502)-2),3)),""),""))</f>
        <v/>
      </c>
      <c r="K66" s="62" t="str">
        <f aca="false">IF(IFERROR(-INDEX(Expenses!D$3:D$1002,SMALL(IF((Expenses!E$3:E$1002="GBP")*(Expenses!A$3:A$1002=DATE(2026,3,27)),ROW(Expenses!A$3:A$1002)-2),3)),0)+IFERROR(INDEX(Income!C$3:C$502,SMALL(IF((Income!D$3:D$502="GBP")*(Income!A$3:A$502=DATE(2026,3,27)),ROW(Income!A$3:A$502)-2),3)),0)=0,"",IFERROR(-INDEX(Expenses!D$3:D$1002,SMALL(IF((Expenses!E$3:E$1002="GBP")*(Expenses!A$3:A$1002=DATE(2026,3,27)),ROW(Expenses!A$3:A$1002)-2),3)),0)+IFERROR(INDEX(Income!C$3:C$502,SMALL(IF((Income!D$3:D$502="GBP")*(Income!A$3:A$502=DATE(2026,3,27)),ROW(Income!A$3:A$502)-2),3)),0))</f>
        <v/>
      </c>
      <c r="L66" s="38" t="str">
        <f aca="false">IF(IFERROR(INDEX(Expenses!B$3:B$1002,SMALL(IF((Expenses!E$3:E$1002="GBP")*(Expenses!A$3:A$1002=DATE(2026,3,27)),ROW(Expenses!A$3:A$1002)-2),3)),"")&lt;&gt;"",IFERROR(INDEX(Expenses!B$3:B$1002,SMALL(IF((Expenses!E$3:E$1002="GBP")*(Expenses!A$3:A$1002=DATE(2026,3,27)),ROW(Expenses!A$3:A$1002)-2),3)),""),IF(IFERROR(INDEX(Income!B$3:B$502,SMALL(IF((Income!D$3:D$502="GBP")*(Income!A$3:A$502=DATE(2026,3,27)),ROW(Income!A$3:A$502)-2),3)),"")&lt;&gt;"",IFERROR(INDEX(Income!B$3:B$502,SMALL(IF((Income!D$3:D$502="GBP")*(Income!A$3:A$502=DATE(2026,3,27)),ROW(Income!A$3:A$502)-2),3)),""),""))</f>
        <v/>
      </c>
      <c r="M66" s="62" t="str">
        <f aca="false">IF(IFERROR(-INDEX(Expenses!D$3:D$1002,SMALL(IF((Expenses!E$3:E$1002="GBP")*(Expenses!A$3:A$1002=DATE(2026,3,28)),ROW(Expenses!A$3:A$1002)-2),3)),0)+IFERROR(INDEX(Income!C$3:C$502,SMALL(IF((Income!D$3:D$502="GBP")*(Income!A$3:A$502=DATE(2026,3,28)),ROW(Income!A$3:A$502)-2),3)),0)=0,"",IFERROR(-INDEX(Expenses!D$3:D$1002,SMALL(IF((Expenses!E$3:E$1002="GBP")*(Expenses!A$3:A$1002=DATE(2026,3,28)),ROW(Expenses!A$3:A$1002)-2),3)),0)+IFERROR(INDEX(Income!C$3:C$502,SMALL(IF((Income!D$3:D$502="GBP")*(Income!A$3:A$502=DATE(2026,3,28)),ROW(Income!A$3:A$502)-2),3)),0))</f>
        <v/>
      </c>
      <c r="N66" s="38" t="str">
        <f aca="false">IF(IFERROR(INDEX(Expenses!B$3:B$1002,SMALL(IF((Expenses!E$3:E$1002="GBP")*(Expenses!A$3:A$1002=DATE(2026,3,28)),ROW(Expenses!A$3:A$1002)-2),3)),"")&lt;&gt;"",IFERROR(INDEX(Expenses!B$3:B$1002,SMALL(IF((Expenses!E$3:E$1002="GBP")*(Expenses!A$3:A$1002=DATE(2026,3,28)),ROW(Expenses!A$3:A$1002)-2),3)),""),IF(IFERROR(INDEX(Income!B$3:B$502,SMALL(IF((Income!D$3:D$502="GBP")*(Income!A$3:A$502=DATE(2026,3,28)),ROW(Income!A$3:A$502)-2),3)),"")&lt;&gt;"",IFERROR(INDEX(Income!B$3:B$502,SMALL(IF((Income!D$3:D$502="GBP")*(Income!A$3:A$502=DATE(2026,3,28)),ROW(Income!A$3:A$502)-2),3)),""),""))</f>
        <v/>
      </c>
      <c r="O66" s="62" t="str">
        <f aca="false">IF(IFERROR(-INDEX(Expenses!D$3:D$1002,SMALL(IF((Expenses!E$3:E$1002="GBP")*(Expenses!A$3:A$1002=DATE(2026,3,29)),ROW(Expenses!A$3:A$1002)-2),3)),0)+IFERROR(INDEX(Income!C$3:C$502,SMALL(IF((Income!D$3:D$502="GBP")*(Income!A$3:A$502=DATE(2026,3,29)),ROW(Income!A$3:A$502)-2),3)),0)=0,"",IFERROR(-INDEX(Expenses!D$3:D$1002,SMALL(IF((Expenses!E$3:E$1002="GBP")*(Expenses!A$3:A$1002=DATE(2026,3,29)),ROW(Expenses!A$3:A$1002)-2),3)),0)+IFERROR(INDEX(Income!C$3:C$502,SMALL(IF((Income!D$3:D$502="GBP")*(Income!A$3:A$502=DATE(2026,3,29)),ROW(Income!A$3:A$502)-2),3)),0))</f>
        <v/>
      </c>
      <c r="P66" s="38" t="str">
        <f aca="false">IF(IFERROR(INDEX(Expenses!B$3:B$1002,SMALL(IF((Expenses!E$3:E$1002="GBP")*(Expenses!A$3:A$1002=DATE(2026,3,29)),ROW(Expenses!A$3:A$1002)-2),3)),"")&lt;&gt;"",IFERROR(INDEX(Expenses!B$3:B$1002,SMALL(IF((Expenses!E$3:E$1002="GBP")*(Expenses!A$3:A$1002=DATE(2026,3,29)),ROW(Expenses!A$3:A$1002)-2),3)),""),IF(IFERROR(INDEX(Income!B$3:B$502,SMALL(IF((Income!D$3:D$502="GBP")*(Income!A$3:A$502=DATE(2026,3,29)),ROW(Income!A$3:A$502)-2),3)),"")&lt;&gt;"",IFERROR(INDEX(Income!B$3:B$502,SMALL(IF((Income!D$3:D$502="GBP")*(Income!A$3:A$502=DATE(2026,3,29)),ROW(Income!A$3:A$502)-2),3)),""),""))</f>
        <v/>
      </c>
      <c r="Q66" s="16"/>
      <c r="R66" s="16"/>
    </row>
    <row r="67" customFormat="false" ht="15" hidden="false" customHeight="false" outlineLevel="0" collapsed="false">
      <c r="A67" s="16"/>
      <c r="B67" s="16"/>
      <c r="C67" s="62" t="str">
        <f aca="false">IF(IFERROR(-INDEX(Expenses!D$3:D$1002,SMALL(IF((Expenses!E$3:E$1002="GBP")*(Expenses!A$3:A$1002=DATE(2026,3,23)),ROW(Expenses!A$3:A$1002)-2),4)),0)+IFERROR(INDEX(Income!C$3:C$502,SMALL(IF((Income!D$3:D$502="GBP")*(Income!A$3:A$502=DATE(2026,3,23)),ROW(Income!A$3:A$502)-2),4)),0)=0,"",IFERROR(-INDEX(Expenses!D$3:D$1002,SMALL(IF((Expenses!E$3:E$1002="GBP")*(Expenses!A$3:A$1002=DATE(2026,3,23)),ROW(Expenses!A$3:A$1002)-2),4)),0)+IFERROR(INDEX(Income!C$3:C$502,SMALL(IF((Income!D$3:D$502="GBP")*(Income!A$3:A$502=DATE(2026,3,23)),ROW(Income!A$3:A$502)-2),4)),0))</f>
        <v/>
      </c>
      <c r="D67" s="38" t="str">
        <f aca="false">IF(IFERROR(INDEX(Expenses!B$3:B$1002,SMALL(IF((Expenses!E$3:E$1002="GBP")*(Expenses!A$3:A$1002=DATE(2026,3,23)),ROW(Expenses!A$3:A$1002)-2),4)),"")&lt;&gt;"",IFERROR(INDEX(Expenses!B$3:B$1002,SMALL(IF((Expenses!E$3:E$1002="GBP")*(Expenses!A$3:A$1002=DATE(2026,3,23)),ROW(Expenses!A$3:A$1002)-2),4)),""),IF(IFERROR(INDEX(Income!B$3:B$502,SMALL(IF((Income!D$3:D$502="GBP")*(Income!A$3:A$502=DATE(2026,3,23)),ROW(Income!A$3:A$502)-2),4)),"")&lt;&gt;"",IFERROR(INDEX(Income!B$3:B$502,SMALL(IF((Income!D$3:D$502="GBP")*(Income!A$3:A$502=DATE(2026,3,23)),ROW(Income!A$3:A$502)-2),4)),""),""))</f>
        <v/>
      </c>
      <c r="E67" s="62" t="str">
        <f aca="false">IF(IFERROR(-INDEX(Expenses!D$3:D$1002,SMALL(IF((Expenses!E$3:E$1002="GBP")*(Expenses!A$3:A$1002=DATE(2026,3,24)),ROW(Expenses!A$3:A$1002)-2),4)),0)+IFERROR(INDEX(Income!C$3:C$502,SMALL(IF((Income!D$3:D$502="GBP")*(Income!A$3:A$502=DATE(2026,3,24)),ROW(Income!A$3:A$502)-2),4)),0)=0,"",IFERROR(-INDEX(Expenses!D$3:D$1002,SMALL(IF((Expenses!E$3:E$1002="GBP")*(Expenses!A$3:A$1002=DATE(2026,3,24)),ROW(Expenses!A$3:A$1002)-2),4)),0)+IFERROR(INDEX(Income!C$3:C$502,SMALL(IF((Income!D$3:D$502="GBP")*(Income!A$3:A$502=DATE(2026,3,24)),ROW(Income!A$3:A$502)-2),4)),0))</f>
        <v/>
      </c>
      <c r="F67" s="38" t="str">
        <f aca="false">IF(IFERROR(INDEX(Expenses!B$3:B$1002,SMALL(IF((Expenses!E$3:E$1002="GBP")*(Expenses!A$3:A$1002=DATE(2026,3,24)),ROW(Expenses!A$3:A$1002)-2),4)),"")&lt;&gt;"",IFERROR(INDEX(Expenses!B$3:B$1002,SMALL(IF((Expenses!E$3:E$1002="GBP")*(Expenses!A$3:A$1002=DATE(2026,3,24)),ROW(Expenses!A$3:A$1002)-2),4)),""),IF(IFERROR(INDEX(Income!B$3:B$502,SMALL(IF((Income!D$3:D$502="GBP")*(Income!A$3:A$502=DATE(2026,3,24)),ROW(Income!A$3:A$502)-2),4)),"")&lt;&gt;"",IFERROR(INDEX(Income!B$3:B$502,SMALL(IF((Income!D$3:D$502="GBP")*(Income!A$3:A$502=DATE(2026,3,24)),ROW(Income!A$3:A$502)-2),4)),""),""))</f>
        <v/>
      </c>
      <c r="G67" s="62" t="str">
        <f aca="false">IF(IFERROR(-INDEX(Expenses!D$3:D$1002,SMALL(IF((Expenses!E$3:E$1002="GBP")*(Expenses!A$3:A$1002=DATE(2026,3,25)),ROW(Expenses!A$3:A$1002)-2),4)),0)+IFERROR(INDEX(Income!C$3:C$502,SMALL(IF((Income!D$3:D$502="GBP")*(Income!A$3:A$502=DATE(2026,3,25)),ROW(Income!A$3:A$502)-2),4)),0)=0,"",IFERROR(-INDEX(Expenses!D$3:D$1002,SMALL(IF((Expenses!E$3:E$1002="GBP")*(Expenses!A$3:A$1002=DATE(2026,3,25)),ROW(Expenses!A$3:A$1002)-2),4)),0)+IFERROR(INDEX(Income!C$3:C$502,SMALL(IF((Income!D$3:D$502="GBP")*(Income!A$3:A$502=DATE(2026,3,25)),ROW(Income!A$3:A$502)-2),4)),0))</f>
        <v/>
      </c>
      <c r="H67" s="38" t="str">
        <f aca="false">IF(IFERROR(INDEX(Expenses!B$3:B$1002,SMALL(IF((Expenses!E$3:E$1002="GBP")*(Expenses!A$3:A$1002=DATE(2026,3,25)),ROW(Expenses!A$3:A$1002)-2),4)),"")&lt;&gt;"",IFERROR(INDEX(Expenses!B$3:B$1002,SMALL(IF((Expenses!E$3:E$1002="GBP")*(Expenses!A$3:A$1002=DATE(2026,3,25)),ROW(Expenses!A$3:A$1002)-2),4)),""),IF(IFERROR(INDEX(Income!B$3:B$502,SMALL(IF((Income!D$3:D$502="GBP")*(Income!A$3:A$502=DATE(2026,3,25)),ROW(Income!A$3:A$502)-2),4)),"")&lt;&gt;"",IFERROR(INDEX(Income!B$3:B$502,SMALL(IF((Income!D$3:D$502="GBP")*(Income!A$3:A$502=DATE(2026,3,25)),ROW(Income!A$3:A$502)-2),4)),""),""))</f>
        <v/>
      </c>
      <c r="I67" s="62" t="str">
        <f aca="false">IF(IFERROR(-INDEX(Expenses!D$3:D$1002,SMALL(IF((Expenses!E$3:E$1002="GBP")*(Expenses!A$3:A$1002=DATE(2026,3,26)),ROW(Expenses!A$3:A$1002)-2),4)),0)+IFERROR(INDEX(Income!C$3:C$502,SMALL(IF((Income!D$3:D$502="GBP")*(Income!A$3:A$502=DATE(2026,3,26)),ROW(Income!A$3:A$502)-2),4)),0)=0,"",IFERROR(-INDEX(Expenses!D$3:D$1002,SMALL(IF((Expenses!E$3:E$1002="GBP")*(Expenses!A$3:A$1002=DATE(2026,3,26)),ROW(Expenses!A$3:A$1002)-2),4)),0)+IFERROR(INDEX(Income!C$3:C$502,SMALL(IF((Income!D$3:D$502="GBP")*(Income!A$3:A$502=DATE(2026,3,26)),ROW(Income!A$3:A$502)-2),4)),0))</f>
        <v/>
      </c>
      <c r="J67" s="38" t="str">
        <f aca="false">IF(IFERROR(INDEX(Expenses!B$3:B$1002,SMALL(IF((Expenses!E$3:E$1002="GBP")*(Expenses!A$3:A$1002=DATE(2026,3,26)),ROW(Expenses!A$3:A$1002)-2),4)),"")&lt;&gt;"",IFERROR(INDEX(Expenses!B$3:B$1002,SMALL(IF((Expenses!E$3:E$1002="GBP")*(Expenses!A$3:A$1002=DATE(2026,3,26)),ROW(Expenses!A$3:A$1002)-2),4)),""),IF(IFERROR(INDEX(Income!B$3:B$502,SMALL(IF((Income!D$3:D$502="GBP")*(Income!A$3:A$502=DATE(2026,3,26)),ROW(Income!A$3:A$502)-2),4)),"")&lt;&gt;"",IFERROR(INDEX(Income!B$3:B$502,SMALL(IF((Income!D$3:D$502="GBP")*(Income!A$3:A$502=DATE(2026,3,26)),ROW(Income!A$3:A$502)-2),4)),""),""))</f>
        <v/>
      </c>
      <c r="K67" s="62" t="str">
        <f aca="false">IF(IFERROR(-INDEX(Expenses!D$3:D$1002,SMALL(IF((Expenses!E$3:E$1002="GBP")*(Expenses!A$3:A$1002=DATE(2026,3,27)),ROW(Expenses!A$3:A$1002)-2),4)),0)+IFERROR(INDEX(Income!C$3:C$502,SMALL(IF((Income!D$3:D$502="GBP")*(Income!A$3:A$502=DATE(2026,3,27)),ROW(Income!A$3:A$502)-2),4)),0)=0,"",IFERROR(-INDEX(Expenses!D$3:D$1002,SMALL(IF((Expenses!E$3:E$1002="GBP")*(Expenses!A$3:A$1002=DATE(2026,3,27)),ROW(Expenses!A$3:A$1002)-2),4)),0)+IFERROR(INDEX(Income!C$3:C$502,SMALL(IF((Income!D$3:D$502="GBP")*(Income!A$3:A$502=DATE(2026,3,27)),ROW(Income!A$3:A$502)-2),4)),0))</f>
        <v/>
      </c>
      <c r="L67" s="38" t="str">
        <f aca="false">IF(IFERROR(INDEX(Expenses!B$3:B$1002,SMALL(IF((Expenses!E$3:E$1002="GBP")*(Expenses!A$3:A$1002=DATE(2026,3,27)),ROW(Expenses!A$3:A$1002)-2),4)),"")&lt;&gt;"",IFERROR(INDEX(Expenses!B$3:B$1002,SMALL(IF((Expenses!E$3:E$1002="GBP")*(Expenses!A$3:A$1002=DATE(2026,3,27)),ROW(Expenses!A$3:A$1002)-2),4)),""),IF(IFERROR(INDEX(Income!B$3:B$502,SMALL(IF((Income!D$3:D$502="GBP")*(Income!A$3:A$502=DATE(2026,3,27)),ROW(Income!A$3:A$502)-2),4)),"")&lt;&gt;"",IFERROR(INDEX(Income!B$3:B$502,SMALL(IF((Income!D$3:D$502="GBP")*(Income!A$3:A$502=DATE(2026,3,27)),ROW(Income!A$3:A$502)-2),4)),""),""))</f>
        <v/>
      </c>
      <c r="M67" s="62" t="str">
        <f aca="false">IF(IFERROR(-INDEX(Expenses!D$3:D$1002,SMALL(IF((Expenses!E$3:E$1002="GBP")*(Expenses!A$3:A$1002=DATE(2026,3,28)),ROW(Expenses!A$3:A$1002)-2),4)),0)+IFERROR(INDEX(Income!C$3:C$502,SMALL(IF((Income!D$3:D$502="GBP")*(Income!A$3:A$502=DATE(2026,3,28)),ROW(Income!A$3:A$502)-2),4)),0)=0,"",IFERROR(-INDEX(Expenses!D$3:D$1002,SMALL(IF((Expenses!E$3:E$1002="GBP")*(Expenses!A$3:A$1002=DATE(2026,3,28)),ROW(Expenses!A$3:A$1002)-2),4)),0)+IFERROR(INDEX(Income!C$3:C$502,SMALL(IF((Income!D$3:D$502="GBP")*(Income!A$3:A$502=DATE(2026,3,28)),ROW(Income!A$3:A$502)-2),4)),0))</f>
        <v/>
      </c>
      <c r="N67" s="38" t="str">
        <f aca="false">IF(IFERROR(INDEX(Expenses!B$3:B$1002,SMALL(IF((Expenses!E$3:E$1002="GBP")*(Expenses!A$3:A$1002=DATE(2026,3,28)),ROW(Expenses!A$3:A$1002)-2),4)),"")&lt;&gt;"",IFERROR(INDEX(Expenses!B$3:B$1002,SMALL(IF((Expenses!E$3:E$1002="GBP")*(Expenses!A$3:A$1002=DATE(2026,3,28)),ROW(Expenses!A$3:A$1002)-2),4)),""),IF(IFERROR(INDEX(Income!B$3:B$502,SMALL(IF((Income!D$3:D$502="GBP")*(Income!A$3:A$502=DATE(2026,3,28)),ROW(Income!A$3:A$502)-2),4)),"")&lt;&gt;"",IFERROR(INDEX(Income!B$3:B$502,SMALL(IF((Income!D$3:D$502="GBP")*(Income!A$3:A$502=DATE(2026,3,28)),ROW(Income!A$3:A$502)-2),4)),""),""))</f>
        <v/>
      </c>
      <c r="O67" s="62" t="str">
        <f aca="false">IF(IFERROR(-INDEX(Expenses!D$3:D$1002,SMALL(IF((Expenses!E$3:E$1002="GBP")*(Expenses!A$3:A$1002=DATE(2026,3,29)),ROW(Expenses!A$3:A$1002)-2),4)),0)+IFERROR(INDEX(Income!C$3:C$502,SMALL(IF((Income!D$3:D$502="GBP")*(Income!A$3:A$502=DATE(2026,3,29)),ROW(Income!A$3:A$502)-2),4)),0)=0,"",IFERROR(-INDEX(Expenses!D$3:D$1002,SMALL(IF((Expenses!E$3:E$1002="GBP")*(Expenses!A$3:A$1002=DATE(2026,3,29)),ROW(Expenses!A$3:A$1002)-2),4)),0)+IFERROR(INDEX(Income!C$3:C$502,SMALL(IF((Income!D$3:D$502="GBP")*(Income!A$3:A$502=DATE(2026,3,29)),ROW(Income!A$3:A$502)-2),4)),0))</f>
        <v/>
      </c>
      <c r="P67" s="38" t="str">
        <f aca="false">IF(IFERROR(INDEX(Expenses!B$3:B$1002,SMALL(IF((Expenses!E$3:E$1002="GBP")*(Expenses!A$3:A$1002=DATE(2026,3,29)),ROW(Expenses!A$3:A$1002)-2),4)),"")&lt;&gt;"",IFERROR(INDEX(Expenses!B$3:B$1002,SMALL(IF((Expenses!E$3:E$1002="GBP")*(Expenses!A$3:A$1002=DATE(2026,3,29)),ROW(Expenses!A$3:A$1002)-2),4)),""),IF(IFERROR(INDEX(Income!B$3:B$502,SMALL(IF((Income!D$3:D$502="GBP")*(Income!A$3:A$502=DATE(2026,3,29)),ROW(Income!A$3:A$502)-2),4)),"")&lt;&gt;"",IFERROR(INDEX(Income!B$3:B$502,SMALL(IF((Income!D$3:D$502="GBP")*(Income!A$3:A$502=DATE(2026,3,29)),ROW(Income!A$3:A$502)-2),4)),""),""))</f>
        <v/>
      </c>
      <c r="Q67" s="16"/>
      <c r="R67" s="16"/>
    </row>
    <row r="68" customFormat="false" ht="15" hidden="false" customHeight="false" outlineLevel="0" collapsed="false">
      <c r="A68" s="16"/>
      <c r="B68" s="16"/>
      <c r="C68" s="62" t="str">
        <f aca="false">IF(IFERROR(-INDEX(Expenses!D$3:D$1002,SMALL(IF((Expenses!E$3:E$1002="GBP")*(Expenses!A$3:A$1002=DATE(2026,3,23)),ROW(Expenses!A$3:A$1002)-2),5)),0)+IFERROR(INDEX(Income!C$3:C$502,SMALL(IF((Income!D$3:D$502="GBP")*(Income!A$3:A$502=DATE(2026,3,23)),ROW(Income!A$3:A$502)-2),5)),0)=0,"",IFERROR(-INDEX(Expenses!D$3:D$1002,SMALL(IF((Expenses!E$3:E$1002="GBP")*(Expenses!A$3:A$1002=DATE(2026,3,23)),ROW(Expenses!A$3:A$1002)-2),5)),0)+IFERROR(INDEX(Income!C$3:C$502,SMALL(IF((Income!D$3:D$502="GBP")*(Income!A$3:A$502=DATE(2026,3,23)),ROW(Income!A$3:A$502)-2),5)),0))</f>
        <v/>
      </c>
      <c r="D68" s="38" t="str">
        <f aca="false">IF(IFERROR(INDEX(Expenses!B$3:B$1002,SMALL(IF((Expenses!E$3:E$1002="GBP")*(Expenses!A$3:A$1002=DATE(2026,3,23)),ROW(Expenses!A$3:A$1002)-2),5)),"")&lt;&gt;"",IFERROR(INDEX(Expenses!B$3:B$1002,SMALL(IF((Expenses!E$3:E$1002="GBP")*(Expenses!A$3:A$1002=DATE(2026,3,23)),ROW(Expenses!A$3:A$1002)-2),5)),""),IF(IFERROR(INDEX(Income!B$3:B$502,SMALL(IF((Income!D$3:D$502="GBP")*(Income!A$3:A$502=DATE(2026,3,23)),ROW(Income!A$3:A$502)-2),5)),"")&lt;&gt;"",IFERROR(INDEX(Income!B$3:B$502,SMALL(IF((Income!D$3:D$502="GBP")*(Income!A$3:A$502=DATE(2026,3,23)),ROW(Income!A$3:A$502)-2),5)),""),""))</f>
        <v/>
      </c>
      <c r="E68" s="62" t="str">
        <f aca="false">IF(IFERROR(-INDEX(Expenses!D$3:D$1002,SMALL(IF((Expenses!E$3:E$1002="GBP")*(Expenses!A$3:A$1002=DATE(2026,3,24)),ROW(Expenses!A$3:A$1002)-2),5)),0)+IFERROR(INDEX(Income!C$3:C$502,SMALL(IF((Income!D$3:D$502="GBP")*(Income!A$3:A$502=DATE(2026,3,24)),ROW(Income!A$3:A$502)-2),5)),0)=0,"",IFERROR(-INDEX(Expenses!D$3:D$1002,SMALL(IF((Expenses!E$3:E$1002="GBP")*(Expenses!A$3:A$1002=DATE(2026,3,24)),ROW(Expenses!A$3:A$1002)-2),5)),0)+IFERROR(INDEX(Income!C$3:C$502,SMALL(IF((Income!D$3:D$502="GBP")*(Income!A$3:A$502=DATE(2026,3,24)),ROW(Income!A$3:A$502)-2),5)),0))</f>
        <v/>
      </c>
      <c r="F68" s="38" t="str">
        <f aca="false">IF(IFERROR(INDEX(Expenses!B$3:B$1002,SMALL(IF((Expenses!E$3:E$1002="GBP")*(Expenses!A$3:A$1002=DATE(2026,3,24)),ROW(Expenses!A$3:A$1002)-2),5)),"")&lt;&gt;"",IFERROR(INDEX(Expenses!B$3:B$1002,SMALL(IF((Expenses!E$3:E$1002="GBP")*(Expenses!A$3:A$1002=DATE(2026,3,24)),ROW(Expenses!A$3:A$1002)-2),5)),""),IF(IFERROR(INDEX(Income!B$3:B$502,SMALL(IF((Income!D$3:D$502="GBP")*(Income!A$3:A$502=DATE(2026,3,24)),ROW(Income!A$3:A$502)-2),5)),"")&lt;&gt;"",IFERROR(INDEX(Income!B$3:B$502,SMALL(IF((Income!D$3:D$502="GBP")*(Income!A$3:A$502=DATE(2026,3,24)),ROW(Income!A$3:A$502)-2),5)),""),""))</f>
        <v/>
      </c>
      <c r="G68" s="62" t="str">
        <f aca="false">IF(IFERROR(-INDEX(Expenses!D$3:D$1002,SMALL(IF((Expenses!E$3:E$1002="GBP")*(Expenses!A$3:A$1002=DATE(2026,3,25)),ROW(Expenses!A$3:A$1002)-2),5)),0)+IFERROR(INDEX(Income!C$3:C$502,SMALL(IF((Income!D$3:D$502="GBP")*(Income!A$3:A$502=DATE(2026,3,25)),ROW(Income!A$3:A$502)-2),5)),0)=0,"",IFERROR(-INDEX(Expenses!D$3:D$1002,SMALL(IF((Expenses!E$3:E$1002="GBP")*(Expenses!A$3:A$1002=DATE(2026,3,25)),ROW(Expenses!A$3:A$1002)-2),5)),0)+IFERROR(INDEX(Income!C$3:C$502,SMALL(IF((Income!D$3:D$502="GBP")*(Income!A$3:A$502=DATE(2026,3,25)),ROW(Income!A$3:A$502)-2),5)),0))</f>
        <v/>
      </c>
      <c r="H68" s="38" t="str">
        <f aca="false">IF(IFERROR(INDEX(Expenses!B$3:B$1002,SMALL(IF((Expenses!E$3:E$1002="GBP")*(Expenses!A$3:A$1002=DATE(2026,3,25)),ROW(Expenses!A$3:A$1002)-2),5)),"")&lt;&gt;"",IFERROR(INDEX(Expenses!B$3:B$1002,SMALL(IF((Expenses!E$3:E$1002="GBP")*(Expenses!A$3:A$1002=DATE(2026,3,25)),ROW(Expenses!A$3:A$1002)-2),5)),""),IF(IFERROR(INDEX(Income!B$3:B$502,SMALL(IF((Income!D$3:D$502="GBP")*(Income!A$3:A$502=DATE(2026,3,25)),ROW(Income!A$3:A$502)-2),5)),"")&lt;&gt;"",IFERROR(INDEX(Income!B$3:B$502,SMALL(IF((Income!D$3:D$502="GBP")*(Income!A$3:A$502=DATE(2026,3,25)),ROW(Income!A$3:A$502)-2),5)),""),""))</f>
        <v/>
      </c>
      <c r="I68" s="62" t="str">
        <f aca="false">IF(IFERROR(-INDEX(Expenses!D$3:D$1002,SMALL(IF((Expenses!E$3:E$1002="GBP")*(Expenses!A$3:A$1002=DATE(2026,3,26)),ROW(Expenses!A$3:A$1002)-2),5)),0)+IFERROR(INDEX(Income!C$3:C$502,SMALL(IF((Income!D$3:D$502="GBP")*(Income!A$3:A$502=DATE(2026,3,26)),ROW(Income!A$3:A$502)-2),5)),0)=0,"",IFERROR(-INDEX(Expenses!D$3:D$1002,SMALL(IF((Expenses!E$3:E$1002="GBP")*(Expenses!A$3:A$1002=DATE(2026,3,26)),ROW(Expenses!A$3:A$1002)-2),5)),0)+IFERROR(INDEX(Income!C$3:C$502,SMALL(IF((Income!D$3:D$502="GBP")*(Income!A$3:A$502=DATE(2026,3,26)),ROW(Income!A$3:A$502)-2),5)),0))</f>
        <v/>
      </c>
      <c r="J68" s="38" t="str">
        <f aca="false">IF(IFERROR(INDEX(Expenses!B$3:B$1002,SMALL(IF((Expenses!E$3:E$1002="GBP")*(Expenses!A$3:A$1002=DATE(2026,3,26)),ROW(Expenses!A$3:A$1002)-2),5)),"")&lt;&gt;"",IFERROR(INDEX(Expenses!B$3:B$1002,SMALL(IF((Expenses!E$3:E$1002="GBP")*(Expenses!A$3:A$1002=DATE(2026,3,26)),ROW(Expenses!A$3:A$1002)-2),5)),""),IF(IFERROR(INDEX(Income!B$3:B$502,SMALL(IF((Income!D$3:D$502="GBP")*(Income!A$3:A$502=DATE(2026,3,26)),ROW(Income!A$3:A$502)-2),5)),"")&lt;&gt;"",IFERROR(INDEX(Income!B$3:B$502,SMALL(IF((Income!D$3:D$502="GBP")*(Income!A$3:A$502=DATE(2026,3,26)),ROW(Income!A$3:A$502)-2),5)),""),""))</f>
        <v/>
      </c>
      <c r="K68" s="62" t="str">
        <f aca="false">IF(IFERROR(-INDEX(Expenses!D$3:D$1002,SMALL(IF((Expenses!E$3:E$1002="GBP")*(Expenses!A$3:A$1002=DATE(2026,3,27)),ROW(Expenses!A$3:A$1002)-2),5)),0)+IFERROR(INDEX(Income!C$3:C$502,SMALL(IF((Income!D$3:D$502="GBP")*(Income!A$3:A$502=DATE(2026,3,27)),ROW(Income!A$3:A$502)-2),5)),0)=0,"",IFERROR(-INDEX(Expenses!D$3:D$1002,SMALL(IF((Expenses!E$3:E$1002="GBP")*(Expenses!A$3:A$1002=DATE(2026,3,27)),ROW(Expenses!A$3:A$1002)-2),5)),0)+IFERROR(INDEX(Income!C$3:C$502,SMALL(IF((Income!D$3:D$502="GBP")*(Income!A$3:A$502=DATE(2026,3,27)),ROW(Income!A$3:A$502)-2),5)),0))</f>
        <v/>
      </c>
      <c r="L68" s="38" t="str">
        <f aca="false">IF(IFERROR(INDEX(Expenses!B$3:B$1002,SMALL(IF((Expenses!E$3:E$1002="GBP")*(Expenses!A$3:A$1002=DATE(2026,3,27)),ROW(Expenses!A$3:A$1002)-2),5)),"")&lt;&gt;"",IFERROR(INDEX(Expenses!B$3:B$1002,SMALL(IF((Expenses!E$3:E$1002="GBP")*(Expenses!A$3:A$1002=DATE(2026,3,27)),ROW(Expenses!A$3:A$1002)-2),5)),""),IF(IFERROR(INDEX(Income!B$3:B$502,SMALL(IF((Income!D$3:D$502="GBP")*(Income!A$3:A$502=DATE(2026,3,27)),ROW(Income!A$3:A$502)-2),5)),"")&lt;&gt;"",IFERROR(INDEX(Income!B$3:B$502,SMALL(IF((Income!D$3:D$502="GBP")*(Income!A$3:A$502=DATE(2026,3,27)),ROW(Income!A$3:A$502)-2),5)),""),""))</f>
        <v/>
      </c>
      <c r="M68" s="62" t="str">
        <f aca="false">IF(IFERROR(-INDEX(Expenses!D$3:D$1002,SMALL(IF((Expenses!E$3:E$1002="GBP")*(Expenses!A$3:A$1002=DATE(2026,3,28)),ROW(Expenses!A$3:A$1002)-2),5)),0)+IFERROR(INDEX(Income!C$3:C$502,SMALL(IF((Income!D$3:D$502="GBP")*(Income!A$3:A$502=DATE(2026,3,28)),ROW(Income!A$3:A$502)-2),5)),0)=0,"",IFERROR(-INDEX(Expenses!D$3:D$1002,SMALL(IF((Expenses!E$3:E$1002="GBP")*(Expenses!A$3:A$1002=DATE(2026,3,28)),ROW(Expenses!A$3:A$1002)-2),5)),0)+IFERROR(INDEX(Income!C$3:C$502,SMALL(IF((Income!D$3:D$502="GBP")*(Income!A$3:A$502=DATE(2026,3,28)),ROW(Income!A$3:A$502)-2),5)),0))</f>
        <v/>
      </c>
      <c r="N68" s="38" t="str">
        <f aca="false">IF(IFERROR(INDEX(Expenses!B$3:B$1002,SMALL(IF((Expenses!E$3:E$1002="GBP")*(Expenses!A$3:A$1002=DATE(2026,3,28)),ROW(Expenses!A$3:A$1002)-2),5)),"")&lt;&gt;"",IFERROR(INDEX(Expenses!B$3:B$1002,SMALL(IF((Expenses!E$3:E$1002="GBP")*(Expenses!A$3:A$1002=DATE(2026,3,28)),ROW(Expenses!A$3:A$1002)-2),5)),""),IF(IFERROR(INDEX(Income!B$3:B$502,SMALL(IF((Income!D$3:D$502="GBP")*(Income!A$3:A$502=DATE(2026,3,28)),ROW(Income!A$3:A$502)-2),5)),"")&lt;&gt;"",IFERROR(INDEX(Income!B$3:B$502,SMALL(IF((Income!D$3:D$502="GBP")*(Income!A$3:A$502=DATE(2026,3,28)),ROW(Income!A$3:A$502)-2),5)),""),""))</f>
        <v/>
      </c>
      <c r="O68" s="62" t="str">
        <f aca="false">IF(IFERROR(-INDEX(Expenses!D$3:D$1002,SMALL(IF((Expenses!E$3:E$1002="GBP")*(Expenses!A$3:A$1002=DATE(2026,3,29)),ROW(Expenses!A$3:A$1002)-2),5)),0)+IFERROR(INDEX(Income!C$3:C$502,SMALL(IF((Income!D$3:D$502="GBP")*(Income!A$3:A$502=DATE(2026,3,29)),ROW(Income!A$3:A$502)-2),5)),0)=0,"",IFERROR(-INDEX(Expenses!D$3:D$1002,SMALL(IF((Expenses!E$3:E$1002="GBP")*(Expenses!A$3:A$1002=DATE(2026,3,29)),ROW(Expenses!A$3:A$1002)-2),5)),0)+IFERROR(INDEX(Income!C$3:C$502,SMALL(IF((Income!D$3:D$502="GBP")*(Income!A$3:A$502=DATE(2026,3,29)),ROW(Income!A$3:A$502)-2),5)),0))</f>
        <v/>
      </c>
      <c r="P68" s="38" t="str">
        <f aca="false">IF(IFERROR(INDEX(Expenses!B$3:B$1002,SMALL(IF((Expenses!E$3:E$1002="GBP")*(Expenses!A$3:A$1002=DATE(2026,3,29)),ROW(Expenses!A$3:A$1002)-2),5)),"")&lt;&gt;"",IFERROR(INDEX(Expenses!B$3:B$1002,SMALL(IF((Expenses!E$3:E$1002="GBP")*(Expenses!A$3:A$1002=DATE(2026,3,29)),ROW(Expenses!A$3:A$1002)-2),5)),""),IF(IFERROR(INDEX(Income!B$3:B$502,SMALL(IF((Income!D$3:D$502="GBP")*(Income!A$3:A$502=DATE(2026,3,29)),ROW(Income!A$3:A$502)-2),5)),"")&lt;&gt;"",IFERROR(INDEX(Income!B$3:B$502,SMALL(IF((Income!D$3:D$502="GBP")*(Income!A$3:A$502=DATE(2026,3,29)),ROW(Income!A$3:A$502)-2),5)),""),""))</f>
        <v/>
      </c>
      <c r="Q68" s="16"/>
      <c r="R68" s="16"/>
    </row>
    <row r="69" customFormat="false" ht="15" hidden="false" customHeight="false" outlineLevel="0" collapsed="false">
      <c r="A69" s="61" t="n">
        <v>46111</v>
      </c>
      <c r="B69" s="3" t="n">
        <v>14</v>
      </c>
      <c r="C69" s="62" t="str">
        <f aca="false">IF(IFERROR(-INDEX(Expenses!D$3:D$1002,SMALL(IF((Expenses!E$3:E$1002="GBP")*(Expenses!A$3:A$1002=DATE(2026,3,30)),ROW(Expenses!A$3:A$1002)-2),1)),0)+IFERROR(INDEX(Income!C$3:C$502,SMALL(IF((Income!D$3:D$502="GBP")*(Income!A$3:A$502=DATE(2026,3,30)),ROW(Income!A$3:A$502)-2),1)),0)=0,"",IFERROR(-INDEX(Expenses!D$3:D$1002,SMALL(IF((Expenses!E$3:E$1002="GBP")*(Expenses!A$3:A$1002=DATE(2026,3,30)),ROW(Expenses!A$3:A$1002)-2),1)),0)+IFERROR(INDEX(Income!C$3:C$502,SMALL(IF((Income!D$3:D$502="GBP")*(Income!A$3:A$502=DATE(2026,3,30)),ROW(Income!A$3:A$502)-2),1)),0))</f>
        <v/>
      </c>
      <c r="D69" s="38" t="str">
        <f aca="false">IF(IFERROR(INDEX(Expenses!B$3:B$1002,SMALL(IF((Expenses!E$3:E$1002="GBP")*(Expenses!A$3:A$1002=DATE(2026,3,30)),ROW(Expenses!A$3:A$1002)-2),1)),"")&lt;&gt;"",IFERROR(INDEX(Expenses!B$3:B$1002,SMALL(IF((Expenses!E$3:E$1002="GBP")*(Expenses!A$3:A$1002=DATE(2026,3,30)),ROW(Expenses!A$3:A$1002)-2),1)),""),IF(IFERROR(INDEX(Income!B$3:B$502,SMALL(IF((Income!D$3:D$502="GBP")*(Income!A$3:A$502=DATE(2026,3,30)),ROW(Income!A$3:A$502)-2),1)),"")&lt;&gt;"",IFERROR(INDEX(Income!B$3:B$502,SMALL(IF((Income!D$3:D$502="GBP")*(Income!A$3:A$502=DATE(2026,3,30)),ROW(Income!A$3:A$502)-2),1)),""),""))</f>
        <v/>
      </c>
      <c r="E69" s="62" t="str">
        <f aca="false">IF(IFERROR(-INDEX(Expenses!D$3:D$1002,SMALL(IF((Expenses!E$3:E$1002="GBP")*(Expenses!A$3:A$1002=DATE(2026,3,31)),ROW(Expenses!A$3:A$1002)-2),1)),0)+IFERROR(INDEX(Income!C$3:C$502,SMALL(IF((Income!D$3:D$502="GBP")*(Income!A$3:A$502=DATE(2026,3,31)),ROW(Income!A$3:A$502)-2),1)),0)=0,"",IFERROR(-INDEX(Expenses!D$3:D$1002,SMALL(IF((Expenses!E$3:E$1002="GBP")*(Expenses!A$3:A$1002=DATE(2026,3,31)),ROW(Expenses!A$3:A$1002)-2),1)),0)+IFERROR(INDEX(Income!C$3:C$502,SMALL(IF((Income!D$3:D$502="GBP")*(Income!A$3:A$502=DATE(2026,3,31)),ROW(Income!A$3:A$502)-2),1)),0))</f>
        <v/>
      </c>
      <c r="F69" s="38" t="str">
        <f aca="false">IF(IFERROR(INDEX(Expenses!B$3:B$1002,SMALL(IF((Expenses!E$3:E$1002="GBP")*(Expenses!A$3:A$1002=DATE(2026,3,31)),ROW(Expenses!A$3:A$1002)-2),1)),"")&lt;&gt;"",IFERROR(INDEX(Expenses!B$3:B$1002,SMALL(IF((Expenses!E$3:E$1002="GBP")*(Expenses!A$3:A$1002=DATE(2026,3,31)),ROW(Expenses!A$3:A$1002)-2),1)),""),IF(IFERROR(INDEX(Income!B$3:B$502,SMALL(IF((Income!D$3:D$502="GBP")*(Income!A$3:A$502=DATE(2026,3,31)),ROW(Income!A$3:A$502)-2),1)),"")&lt;&gt;"",IFERROR(INDEX(Income!B$3:B$502,SMALL(IF((Income!D$3:D$502="GBP")*(Income!A$3:A$502=DATE(2026,3,31)),ROW(Income!A$3:A$502)-2),1)),""),""))</f>
        <v/>
      </c>
      <c r="G69" s="62" t="str">
        <f aca="false">IF(IFERROR(-INDEX(Expenses!D$3:D$1002,SMALL(IF((Expenses!E$3:E$1002="GBP")*(Expenses!A$3:A$1002=DATE(2026,4,1)),ROW(Expenses!A$3:A$1002)-2),1)),0)+IFERROR(INDEX(Income!C$3:C$502,SMALL(IF((Income!D$3:D$502="GBP")*(Income!A$3:A$502=DATE(2026,4,1)),ROW(Income!A$3:A$502)-2),1)),0)=0,"",IFERROR(-INDEX(Expenses!D$3:D$1002,SMALL(IF((Expenses!E$3:E$1002="GBP")*(Expenses!A$3:A$1002=DATE(2026,4,1)),ROW(Expenses!A$3:A$1002)-2),1)),0)+IFERROR(INDEX(Income!C$3:C$502,SMALL(IF((Income!D$3:D$502="GBP")*(Income!A$3:A$502=DATE(2026,4,1)),ROW(Income!A$3:A$502)-2),1)),0))</f>
        <v/>
      </c>
      <c r="H69" s="38" t="str">
        <f aca="false">IF(IFERROR(INDEX(Expenses!B$3:B$1002,SMALL(IF((Expenses!E$3:E$1002="GBP")*(Expenses!A$3:A$1002=DATE(2026,4,1)),ROW(Expenses!A$3:A$1002)-2),1)),"")&lt;&gt;"",IFERROR(INDEX(Expenses!B$3:B$1002,SMALL(IF((Expenses!E$3:E$1002="GBP")*(Expenses!A$3:A$1002=DATE(2026,4,1)),ROW(Expenses!A$3:A$1002)-2),1)),""),IF(IFERROR(INDEX(Income!B$3:B$502,SMALL(IF((Income!D$3:D$502="GBP")*(Income!A$3:A$502=DATE(2026,4,1)),ROW(Income!A$3:A$502)-2),1)),"")&lt;&gt;"",IFERROR(INDEX(Income!B$3:B$502,SMALL(IF((Income!D$3:D$502="GBP")*(Income!A$3:A$502=DATE(2026,4,1)),ROW(Income!A$3:A$502)-2),1)),""),""))</f>
        <v/>
      </c>
      <c r="I69" s="62" t="str">
        <f aca="false">IF(IFERROR(-INDEX(Expenses!D$3:D$1002,SMALL(IF((Expenses!E$3:E$1002="GBP")*(Expenses!A$3:A$1002=DATE(2026,4,2)),ROW(Expenses!A$3:A$1002)-2),1)),0)+IFERROR(INDEX(Income!C$3:C$502,SMALL(IF((Income!D$3:D$502="GBP")*(Income!A$3:A$502=DATE(2026,4,2)),ROW(Income!A$3:A$502)-2),1)),0)=0,"",IFERROR(-INDEX(Expenses!D$3:D$1002,SMALL(IF((Expenses!E$3:E$1002="GBP")*(Expenses!A$3:A$1002=DATE(2026,4,2)),ROW(Expenses!A$3:A$1002)-2),1)),0)+IFERROR(INDEX(Income!C$3:C$502,SMALL(IF((Income!D$3:D$502="GBP")*(Income!A$3:A$502=DATE(2026,4,2)),ROW(Income!A$3:A$502)-2),1)),0))</f>
        <v/>
      </c>
      <c r="J69" s="38" t="str">
        <f aca="false">IF(IFERROR(INDEX(Expenses!B$3:B$1002,SMALL(IF((Expenses!E$3:E$1002="GBP")*(Expenses!A$3:A$1002=DATE(2026,4,2)),ROW(Expenses!A$3:A$1002)-2),1)),"")&lt;&gt;"",IFERROR(INDEX(Expenses!B$3:B$1002,SMALL(IF((Expenses!E$3:E$1002="GBP")*(Expenses!A$3:A$1002=DATE(2026,4,2)),ROW(Expenses!A$3:A$1002)-2),1)),""),IF(IFERROR(INDEX(Income!B$3:B$502,SMALL(IF((Income!D$3:D$502="GBP")*(Income!A$3:A$502=DATE(2026,4,2)),ROW(Income!A$3:A$502)-2),1)),"")&lt;&gt;"",IFERROR(INDEX(Income!B$3:B$502,SMALL(IF((Income!D$3:D$502="GBP")*(Income!A$3:A$502=DATE(2026,4,2)),ROW(Income!A$3:A$502)-2),1)),""),""))</f>
        <v/>
      </c>
      <c r="K69" s="62" t="str">
        <f aca="false">IF(IFERROR(-INDEX(Expenses!D$3:D$1002,SMALL(IF((Expenses!E$3:E$1002="GBP")*(Expenses!A$3:A$1002=DATE(2026,4,3)),ROW(Expenses!A$3:A$1002)-2),1)),0)+IFERROR(INDEX(Income!C$3:C$502,SMALL(IF((Income!D$3:D$502="GBP")*(Income!A$3:A$502=DATE(2026,4,3)),ROW(Income!A$3:A$502)-2),1)),0)=0,"",IFERROR(-INDEX(Expenses!D$3:D$1002,SMALL(IF((Expenses!E$3:E$1002="GBP")*(Expenses!A$3:A$1002=DATE(2026,4,3)),ROW(Expenses!A$3:A$1002)-2),1)),0)+IFERROR(INDEX(Income!C$3:C$502,SMALL(IF((Income!D$3:D$502="GBP")*(Income!A$3:A$502=DATE(2026,4,3)),ROW(Income!A$3:A$502)-2),1)),0))</f>
        <v/>
      </c>
      <c r="L69" s="38" t="str">
        <f aca="false">IF(IFERROR(INDEX(Expenses!B$3:B$1002,SMALL(IF((Expenses!E$3:E$1002="GBP")*(Expenses!A$3:A$1002=DATE(2026,4,3)),ROW(Expenses!A$3:A$1002)-2),1)),"")&lt;&gt;"",IFERROR(INDEX(Expenses!B$3:B$1002,SMALL(IF((Expenses!E$3:E$1002="GBP")*(Expenses!A$3:A$1002=DATE(2026,4,3)),ROW(Expenses!A$3:A$1002)-2),1)),""),IF(IFERROR(INDEX(Income!B$3:B$502,SMALL(IF((Income!D$3:D$502="GBP")*(Income!A$3:A$502=DATE(2026,4,3)),ROW(Income!A$3:A$502)-2),1)),"")&lt;&gt;"",IFERROR(INDEX(Income!B$3:B$502,SMALL(IF((Income!D$3:D$502="GBP")*(Income!A$3:A$502=DATE(2026,4,3)),ROW(Income!A$3:A$502)-2),1)),""),""))</f>
        <v/>
      </c>
      <c r="M69" s="62" t="str">
        <f aca="false">IF(IFERROR(-INDEX(Expenses!D$3:D$1002,SMALL(IF((Expenses!E$3:E$1002="GBP")*(Expenses!A$3:A$1002=DATE(2026,4,4)),ROW(Expenses!A$3:A$1002)-2),1)),0)+IFERROR(INDEX(Income!C$3:C$502,SMALL(IF((Income!D$3:D$502="GBP")*(Income!A$3:A$502=DATE(2026,4,4)),ROW(Income!A$3:A$502)-2),1)),0)=0,"",IFERROR(-INDEX(Expenses!D$3:D$1002,SMALL(IF((Expenses!E$3:E$1002="GBP")*(Expenses!A$3:A$1002=DATE(2026,4,4)),ROW(Expenses!A$3:A$1002)-2),1)),0)+IFERROR(INDEX(Income!C$3:C$502,SMALL(IF((Income!D$3:D$502="GBP")*(Income!A$3:A$502=DATE(2026,4,4)),ROW(Income!A$3:A$502)-2),1)),0))</f>
        <v/>
      </c>
      <c r="N69" s="38" t="str">
        <f aca="false">IF(IFERROR(INDEX(Expenses!B$3:B$1002,SMALL(IF((Expenses!E$3:E$1002="GBP")*(Expenses!A$3:A$1002=DATE(2026,4,4)),ROW(Expenses!A$3:A$1002)-2),1)),"")&lt;&gt;"",IFERROR(INDEX(Expenses!B$3:B$1002,SMALL(IF((Expenses!E$3:E$1002="GBP")*(Expenses!A$3:A$1002=DATE(2026,4,4)),ROW(Expenses!A$3:A$1002)-2),1)),""),IF(IFERROR(INDEX(Income!B$3:B$502,SMALL(IF((Income!D$3:D$502="GBP")*(Income!A$3:A$502=DATE(2026,4,4)),ROW(Income!A$3:A$502)-2),1)),"")&lt;&gt;"",IFERROR(INDEX(Income!B$3:B$502,SMALL(IF((Income!D$3:D$502="GBP")*(Income!A$3:A$502=DATE(2026,4,4)),ROW(Income!A$3:A$502)-2),1)),""),""))</f>
        <v/>
      </c>
      <c r="O69" s="62" t="str">
        <f aca="false">IF(IFERROR(-INDEX(Expenses!D$3:D$1002,SMALL(IF((Expenses!E$3:E$1002="GBP")*(Expenses!A$3:A$1002=DATE(2026,4,5)),ROW(Expenses!A$3:A$1002)-2),1)),0)+IFERROR(INDEX(Income!C$3:C$502,SMALL(IF((Income!D$3:D$502="GBP")*(Income!A$3:A$502=DATE(2026,4,5)),ROW(Income!A$3:A$502)-2),1)),0)=0,"",IFERROR(-INDEX(Expenses!D$3:D$1002,SMALL(IF((Expenses!E$3:E$1002="GBP")*(Expenses!A$3:A$1002=DATE(2026,4,5)),ROW(Expenses!A$3:A$1002)-2),1)),0)+IFERROR(INDEX(Income!C$3:C$502,SMALL(IF((Income!D$3:D$502="GBP")*(Income!A$3:A$502=DATE(2026,4,5)),ROW(Income!A$3:A$502)-2),1)),0))</f>
        <v/>
      </c>
      <c r="P69" s="38" t="str">
        <f aca="false">IF(IFERROR(INDEX(Expenses!B$3:B$1002,SMALL(IF((Expenses!E$3:E$1002="GBP")*(Expenses!A$3:A$1002=DATE(2026,4,5)),ROW(Expenses!A$3:A$1002)-2),1)),"")&lt;&gt;"",IFERROR(INDEX(Expenses!B$3:B$1002,SMALL(IF((Expenses!E$3:E$1002="GBP")*(Expenses!A$3:A$1002=DATE(2026,4,5)),ROW(Expenses!A$3:A$1002)-2),1)),""),IF(IFERROR(INDEX(Income!B$3:B$502,SMALL(IF((Income!D$3:D$502="GBP")*(Income!A$3:A$502=DATE(2026,4,5)),ROW(Income!A$3:A$502)-2),1)),"")&lt;&gt;"",IFERROR(INDEX(Income!B$3:B$502,SMALL(IF((Income!D$3:D$502="GBP")*(Income!A$3:A$502=DATE(2026,4,5)),ROW(Income!A$3:A$502)-2),1)),""),""))</f>
        <v/>
      </c>
      <c r="Q69" s="3" t="n">
        <v>14</v>
      </c>
      <c r="R69" s="45" t="n">
        <f aca="false">SUM(C69:C73)+SUM(E69:E73)+SUM(G69:G73)+SUM(I69:I73)+SUM(K69:K73)+SUM(M69:M73)+SUM(O69:O73)</f>
        <v>0</v>
      </c>
    </row>
    <row r="70" customFormat="false" ht="15" hidden="false" customHeight="false" outlineLevel="0" collapsed="false">
      <c r="A70" s="16"/>
      <c r="B70" s="16"/>
      <c r="C70" s="62" t="str">
        <f aca="false">IF(IFERROR(-INDEX(Expenses!D$3:D$1002,SMALL(IF((Expenses!E$3:E$1002="GBP")*(Expenses!A$3:A$1002=DATE(2026,3,30)),ROW(Expenses!A$3:A$1002)-2),2)),0)+IFERROR(INDEX(Income!C$3:C$502,SMALL(IF((Income!D$3:D$502="GBP")*(Income!A$3:A$502=DATE(2026,3,30)),ROW(Income!A$3:A$502)-2),2)),0)=0,"",IFERROR(-INDEX(Expenses!D$3:D$1002,SMALL(IF((Expenses!E$3:E$1002="GBP")*(Expenses!A$3:A$1002=DATE(2026,3,30)),ROW(Expenses!A$3:A$1002)-2),2)),0)+IFERROR(INDEX(Income!C$3:C$502,SMALL(IF((Income!D$3:D$502="GBP")*(Income!A$3:A$502=DATE(2026,3,30)),ROW(Income!A$3:A$502)-2),2)),0))</f>
        <v/>
      </c>
      <c r="D70" s="38" t="str">
        <f aca="false">IF(IFERROR(INDEX(Expenses!B$3:B$1002,SMALL(IF((Expenses!E$3:E$1002="GBP")*(Expenses!A$3:A$1002=DATE(2026,3,30)),ROW(Expenses!A$3:A$1002)-2),2)),"")&lt;&gt;"",IFERROR(INDEX(Expenses!B$3:B$1002,SMALL(IF((Expenses!E$3:E$1002="GBP")*(Expenses!A$3:A$1002=DATE(2026,3,30)),ROW(Expenses!A$3:A$1002)-2),2)),""),IF(IFERROR(INDEX(Income!B$3:B$502,SMALL(IF((Income!D$3:D$502="GBP")*(Income!A$3:A$502=DATE(2026,3,30)),ROW(Income!A$3:A$502)-2),2)),"")&lt;&gt;"",IFERROR(INDEX(Income!B$3:B$502,SMALL(IF((Income!D$3:D$502="GBP")*(Income!A$3:A$502=DATE(2026,3,30)),ROW(Income!A$3:A$502)-2),2)),""),""))</f>
        <v/>
      </c>
      <c r="E70" s="62" t="str">
        <f aca="false">IF(IFERROR(-INDEX(Expenses!D$3:D$1002,SMALL(IF((Expenses!E$3:E$1002="GBP")*(Expenses!A$3:A$1002=DATE(2026,3,31)),ROW(Expenses!A$3:A$1002)-2),2)),0)+IFERROR(INDEX(Income!C$3:C$502,SMALL(IF((Income!D$3:D$502="GBP")*(Income!A$3:A$502=DATE(2026,3,31)),ROW(Income!A$3:A$502)-2),2)),0)=0,"",IFERROR(-INDEX(Expenses!D$3:D$1002,SMALL(IF((Expenses!E$3:E$1002="GBP")*(Expenses!A$3:A$1002=DATE(2026,3,31)),ROW(Expenses!A$3:A$1002)-2),2)),0)+IFERROR(INDEX(Income!C$3:C$502,SMALL(IF((Income!D$3:D$502="GBP")*(Income!A$3:A$502=DATE(2026,3,31)),ROW(Income!A$3:A$502)-2),2)),0))</f>
        <v/>
      </c>
      <c r="F70" s="38" t="str">
        <f aca="false">IF(IFERROR(INDEX(Expenses!B$3:B$1002,SMALL(IF((Expenses!E$3:E$1002="GBP")*(Expenses!A$3:A$1002=DATE(2026,3,31)),ROW(Expenses!A$3:A$1002)-2),2)),"")&lt;&gt;"",IFERROR(INDEX(Expenses!B$3:B$1002,SMALL(IF((Expenses!E$3:E$1002="GBP")*(Expenses!A$3:A$1002=DATE(2026,3,31)),ROW(Expenses!A$3:A$1002)-2),2)),""),IF(IFERROR(INDEX(Income!B$3:B$502,SMALL(IF((Income!D$3:D$502="GBP")*(Income!A$3:A$502=DATE(2026,3,31)),ROW(Income!A$3:A$502)-2),2)),"")&lt;&gt;"",IFERROR(INDEX(Income!B$3:B$502,SMALL(IF((Income!D$3:D$502="GBP")*(Income!A$3:A$502=DATE(2026,3,31)),ROW(Income!A$3:A$502)-2),2)),""),""))</f>
        <v/>
      </c>
      <c r="G70" s="62" t="str">
        <f aca="false">IF(IFERROR(-INDEX(Expenses!D$3:D$1002,SMALL(IF((Expenses!E$3:E$1002="GBP")*(Expenses!A$3:A$1002=DATE(2026,4,1)),ROW(Expenses!A$3:A$1002)-2),2)),0)+IFERROR(INDEX(Income!C$3:C$502,SMALL(IF((Income!D$3:D$502="GBP")*(Income!A$3:A$502=DATE(2026,4,1)),ROW(Income!A$3:A$502)-2),2)),0)=0,"",IFERROR(-INDEX(Expenses!D$3:D$1002,SMALL(IF((Expenses!E$3:E$1002="GBP")*(Expenses!A$3:A$1002=DATE(2026,4,1)),ROW(Expenses!A$3:A$1002)-2),2)),0)+IFERROR(INDEX(Income!C$3:C$502,SMALL(IF((Income!D$3:D$502="GBP")*(Income!A$3:A$502=DATE(2026,4,1)),ROW(Income!A$3:A$502)-2),2)),0))</f>
        <v/>
      </c>
      <c r="H70" s="38" t="str">
        <f aca="false">IF(IFERROR(INDEX(Expenses!B$3:B$1002,SMALL(IF((Expenses!E$3:E$1002="GBP")*(Expenses!A$3:A$1002=DATE(2026,4,1)),ROW(Expenses!A$3:A$1002)-2),2)),"")&lt;&gt;"",IFERROR(INDEX(Expenses!B$3:B$1002,SMALL(IF((Expenses!E$3:E$1002="GBP")*(Expenses!A$3:A$1002=DATE(2026,4,1)),ROW(Expenses!A$3:A$1002)-2),2)),""),IF(IFERROR(INDEX(Income!B$3:B$502,SMALL(IF((Income!D$3:D$502="GBP")*(Income!A$3:A$502=DATE(2026,4,1)),ROW(Income!A$3:A$502)-2),2)),"")&lt;&gt;"",IFERROR(INDEX(Income!B$3:B$502,SMALL(IF((Income!D$3:D$502="GBP")*(Income!A$3:A$502=DATE(2026,4,1)),ROW(Income!A$3:A$502)-2),2)),""),""))</f>
        <v/>
      </c>
      <c r="I70" s="62" t="str">
        <f aca="false">IF(IFERROR(-INDEX(Expenses!D$3:D$1002,SMALL(IF((Expenses!E$3:E$1002="GBP")*(Expenses!A$3:A$1002=DATE(2026,4,2)),ROW(Expenses!A$3:A$1002)-2),2)),0)+IFERROR(INDEX(Income!C$3:C$502,SMALL(IF((Income!D$3:D$502="GBP")*(Income!A$3:A$502=DATE(2026,4,2)),ROW(Income!A$3:A$502)-2),2)),0)=0,"",IFERROR(-INDEX(Expenses!D$3:D$1002,SMALL(IF((Expenses!E$3:E$1002="GBP")*(Expenses!A$3:A$1002=DATE(2026,4,2)),ROW(Expenses!A$3:A$1002)-2),2)),0)+IFERROR(INDEX(Income!C$3:C$502,SMALL(IF((Income!D$3:D$502="GBP")*(Income!A$3:A$502=DATE(2026,4,2)),ROW(Income!A$3:A$502)-2),2)),0))</f>
        <v/>
      </c>
      <c r="J70" s="38" t="str">
        <f aca="false">IF(IFERROR(INDEX(Expenses!B$3:B$1002,SMALL(IF((Expenses!E$3:E$1002="GBP")*(Expenses!A$3:A$1002=DATE(2026,4,2)),ROW(Expenses!A$3:A$1002)-2),2)),"")&lt;&gt;"",IFERROR(INDEX(Expenses!B$3:B$1002,SMALL(IF((Expenses!E$3:E$1002="GBP")*(Expenses!A$3:A$1002=DATE(2026,4,2)),ROW(Expenses!A$3:A$1002)-2),2)),""),IF(IFERROR(INDEX(Income!B$3:B$502,SMALL(IF((Income!D$3:D$502="GBP")*(Income!A$3:A$502=DATE(2026,4,2)),ROW(Income!A$3:A$502)-2),2)),"")&lt;&gt;"",IFERROR(INDEX(Income!B$3:B$502,SMALL(IF((Income!D$3:D$502="GBP")*(Income!A$3:A$502=DATE(2026,4,2)),ROW(Income!A$3:A$502)-2),2)),""),""))</f>
        <v/>
      </c>
      <c r="K70" s="62" t="str">
        <f aca="false">IF(IFERROR(-INDEX(Expenses!D$3:D$1002,SMALL(IF((Expenses!E$3:E$1002="GBP")*(Expenses!A$3:A$1002=DATE(2026,4,3)),ROW(Expenses!A$3:A$1002)-2),2)),0)+IFERROR(INDEX(Income!C$3:C$502,SMALL(IF((Income!D$3:D$502="GBP")*(Income!A$3:A$502=DATE(2026,4,3)),ROW(Income!A$3:A$502)-2),2)),0)=0,"",IFERROR(-INDEX(Expenses!D$3:D$1002,SMALL(IF((Expenses!E$3:E$1002="GBP")*(Expenses!A$3:A$1002=DATE(2026,4,3)),ROW(Expenses!A$3:A$1002)-2),2)),0)+IFERROR(INDEX(Income!C$3:C$502,SMALL(IF((Income!D$3:D$502="GBP")*(Income!A$3:A$502=DATE(2026,4,3)),ROW(Income!A$3:A$502)-2),2)),0))</f>
        <v/>
      </c>
      <c r="L70" s="38" t="str">
        <f aca="false">IF(IFERROR(INDEX(Expenses!B$3:B$1002,SMALL(IF((Expenses!E$3:E$1002="GBP")*(Expenses!A$3:A$1002=DATE(2026,4,3)),ROW(Expenses!A$3:A$1002)-2),2)),"")&lt;&gt;"",IFERROR(INDEX(Expenses!B$3:B$1002,SMALL(IF((Expenses!E$3:E$1002="GBP")*(Expenses!A$3:A$1002=DATE(2026,4,3)),ROW(Expenses!A$3:A$1002)-2),2)),""),IF(IFERROR(INDEX(Income!B$3:B$502,SMALL(IF((Income!D$3:D$502="GBP")*(Income!A$3:A$502=DATE(2026,4,3)),ROW(Income!A$3:A$502)-2),2)),"")&lt;&gt;"",IFERROR(INDEX(Income!B$3:B$502,SMALL(IF((Income!D$3:D$502="GBP")*(Income!A$3:A$502=DATE(2026,4,3)),ROW(Income!A$3:A$502)-2),2)),""),""))</f>
        <v/>
      </c>
      <c r="M70" s="62" t="str">
        <f aca="false">IF(IFERROR(-INDEX(Expenses!D$3:D$1002,SMALL(IF((Expenses!E$3:E$1002="GBP")*(Expenses!A$3:A$1002=DATE(2026,4,4)),ROW(Expenses!A$3:A$1002)-2),2)),0)+IFERROR(INDEX(Income!C$3:C$502,SMALL(IF((Income!D$3:D$502="GBP")*(Income!A$3:A$502=DATE(2026,4,4)),ROW(Income!A$3:A$502)-2),2)),0)=0,"",IFERROR(-INDEX(Expenses!D$3:D$1002,SMALL(IF((Expenses!E$3:E$1002="GBP")*(Expenses!A$3:A$1002=DATE(2026,4,4)),ROW(Expenses!A$3:A$1002)-2),2)),0)+IFERROR(INDEX(Income!C$3:C$502,SMALL(IF((Income!D$3:D$502="GBP")*(Income!A$3:A$502=DATE(2026,4,4)),ROW(Income!A$3:A$502)-2),2)),0))</f>
        <v/>
      </c>
      <c r="N70" s="38" t="str">
        <f aca="false">IF(IFERROR(INDEX(Expenses!B$3:B$1002,SMALL(IF((Expenses!E$3:E$1002="GBP")*(Expenses!A$3:A$1002=DATE(2026,4,4)),ROW(Expenses!A$3:A$1002)-2),2)),"")&lt;&gt;"",IFERROR(INDEX(Expenses!B$3:B$1002,SMALL(IF((Expenses!E$3:E$1002="GBP")*(Expenses!A$3:A$1002=DATE(2026,4,4)),ROW(Expenses!A$3:A$1002)-2),2)),""),IF(IFERROR(INDEX(Income!B$3:B$502,SMALL(IF((Income!D$3:D$502="GBP")*(Income!A$3:A$502=DATE(2026,4,4)),ROW(Income!A$3:A$502)-2),2)),"")&lt;&gt;"",IFERROR(INDEX(Income!B$3:B$502,SMALL(IF((Income!D$3:D$502="GBP")*(Income!A$3:A$502=DATE(2026,4,4)),ROW(Income!A$3:A$502)-2),2)),""),""))</f>
        <v/>
      </c>
      <c r="O70" s="62" t="str">
        <f aca="false">IF(IFERROR(-INDEX(Expenses!D$3:D$1002,SMALL(IF((Expenses!E$3:E$1002="GBP")*(Expenses!A$3:A$1002=DATE(2026,4,5)),ROW(Expenses!A$3:A$1002)-2),2)),0)+IFERROR(INDEX(Income!C$3:C$502,SMALL(IF((Income!D$3:D$502="GBP")*(Income!A$3:A$502=DATE(2026,4,5)),ROW(Income!A$3:A$502)-2),2)),0)=0,"",IFERROR(-INDEX(Expenses!D$3:D$1002,SMALL(IF((Expenses!E$3:E$1002="GBP")*(Expenses!A$3:A$1002=DATE(2026,4,5)),ROW(Expenses!A$3:A$1002)-2),2)),0)+IFERROR(INDEX(Income!C$3:C$502,SMALL(IF((Income!D$3:D$502="GBP")*(Income!A$3:A$502=DATE(2026,4,5)),ROW(Income!A$3:A$502)-2),2)),0))</f>
        <v/>
      </c>
      <c r="P70" s="38" t="str">
        <f aca="false">IF(IFERROR(INDEX(Expenses!B$3:B$1002,SMALL(IF((Expenses!E$3:E$1002="GBP")*(Expenses!A$3:A$1002=DATE(2026,4,5)),ROW(Expenses!A$3:A$1002)-2),2)),"")&lt;&gt;"",IFERROR(INDEX(Expenses!B$3:B$1002,SMALL(IF((Expenses!E$3:E$1002="GBP")*(Expenses!A$3:A$1002=DATE(2026,4,5)),ROW(Expenses!A$3:A$1002)-2),2)),""),IF(IFERROR(INDEX(Income!B$3:B$502,SMALL(IF((Income!D$3:D$502="GBP")*(Income!A$3:A$502=DATE(2026,4,5)),ROW(Income!A$3:A$502)-2),2)),"")&lt;&gt;"",IFERROR(INDEX(Income!B$3:B$502,SMALL(IF((Income!D$3:D$502="GBP")*(Income!A$3:A$502=DATE(2026,4,5)),ROW(Income!A$3:A$502)-2),2)),""),""))</f>
        <v/>
      </c>
      <c r="Q70" s="16"/>
      <c r="R70" s="16"/>
    </row>
    <row r="71" customFormat="false" ht="15" hidden="false" customHeight="false" outlineLevel="0" collapsed="false">
      <c r="A71" s="16"/>
      <c r="B71" s="16"/>
      <c r="C71" s="62" t="str">
        <f aca="false">IF(IFERROR(-INDEX(Expenses!D$3:D$1002,SMALL(IF((Expenses!E$3:E$1002="GBP")*(Expenses!A$3:A$1002=DATE(2026,3,30)),ROW(Expenses!A$3:A$1002)-2),3)),0)+IFERROR(INDEX(Income!C$3:C$502,SMALL(IF((Income!D$3:D$502="GBP")*(Income!A$3:A$502=DATE(2026,3,30)),ROW(Income!A$3:A$502)-2),3)),0)=0,"",IFERROR(-INDEX(Expenses!D$3:D$1002,SMALL(IF((Expenses!E$3:E$1002="GBP")*(Expenses!A$3:A$1002=DATE(2026,3,30)),ROW(Expenses!A$3:A$1002)-2),3)),0)+IFERROR(INDEX(Income!C$3:C$502,SMALL(IF((Income!D$3:D$502="GBP")*(Income!A$3:A$502=DATE(2026,3,30)),ROW(Income!A$3:A$502)-2),3)),0))</f>
        <v/>
      </c>
      <c r="D71" s="38" t="str">
        <f aca="false">IF(IFERROR(INDEX(Expenses!B$3:B$1002,SMALL(IF((Expenses!E$3:E$1002="GBP")*(Expenses!A$3:A$1002=DATE(2026,3,30)),ROW(Expenses!A$3:A$1002)-2),3)),"")&lt;&gt;"",IFERROR(INDEX(Expenses!B$3:B$1002,SMALL(IF((Expenses!E$3:E$1002="GBP")*(Expenses!A$3:A$1002=DATE(2026,3,30)),ROW(Expenses!A$3:A$1002)-2),3)),""),IF(IFERROR(INDEX(Income!B$3:B$502,SMALL(IF((Income!D$3:D$502="GBP")*(Income!A$3:A$502=DATE(2026,3,30)),ROW(Income!A$3:A$502)-2),3)),"")&lt;&gt;"",IFERROR(INDEX(Income!B$3:B$502,SMALL(IF((Income!D$3:D$502="GBP")*(Income!A$3:A$502=DATE(2026,3,30)),ROW(Income!A$3:A$502)-2),3)),""),""))</f>
        <v/>
      </c>
      <c r="E71" s="62" t="str">
        <f aca="false">IF(IFERROR(-INDEX(Expenses!D$3:D$1002,SMALL(IF((Expenses!E$3:E$1002="GBP")*(Expenses!A$3:A$1002=DATE(2026,3,31)),ROW(Expenses!A$3:A$1002)-2),3)),0)+IFERROR(INDEX(Income!C$3:C$502,SMALL(IF((Income!D$3:D$502="GBP")*(Income!A$3:A$502=DATE(2026,3,31)),ROW(Income!A$3:A$502)-2),3)),0)=0,"",IFERROR(-INDEX(Expenses!D$3:D$1002,SMALL(IF((Expenses!E$3:E$1002="GBP")*(Expenses!A$3:A$1002=DATE(2026,3,31)),ROW(Expenses!A$3:A$1002)-2),3)),0)+IFERROR(INDEX(Income!C$3:C$502,SMALL(IF((Income!D$3:D$502="GBP")*(Income!A$3:A$502=DATE(2026,3,31)),ROW(Income!A$3:A$502)-2),3)),0))</f>
        <v/>
      </c>
      <c r="F71" s="38" t="str">
        <f aca="false">IF(IFERROR(INDEX(Expenses!B$3:B$1002,SMALL(IF((Expenses!E$3:E$1002="GBP")*(Expenses!A$3:A$1002=DATE(2026,3,31)),ROW(Expenses!A$3:A$1002)-2),3)),"")&lt;&gt;"",IFERROR(INDEX(Expenses!B$3:B$1002,SMALL(IF((Expenses!E$3:E$1002="GBP")*(Expenses!A$3:A$1002=DATE(2026,3,31)),ROW(Expenses!A$3:A$1002)-2),3)),""),IF(IFERROR(INDEX(Income!B$3:B$502,SMALL(IF((Income!D$3:D$502="GBP")*(Income!A$3:A$502=DATE(2026,3,31)),ROW(Income!A$3:A$502)-2),3)),"")&lt;&gt;"",IFERROR(INDEX(Income!B$3:B$502,SMALL(IF((Income!D$3:D$502="GBP")*(Income!A$3:A$502=DATE(2026,3,31)),ROW(Income!A$3:A$502)-2),3)),""),""))</f>
        <v/>
      </c>
      <c r="G71" s="62" t="str">
        <f aca="false">IF(IFERROR(-INDEX(Expenses!D$3:D$1002,SMALL(IF((Expenses!E$3:E$1002="GBP")*(Expenses!A$3:A$1002=DATE(2026,4,1)),ROW(Expenses!A$3:A$1002)-2),3)),0)+IFERROR(INDEX(Income!C$3:C$502,SMALL(IF((Income!D$3:D$502="GBP")*(Income!A$3:A$502=DATE(2026,4,1)),ROW(Income!A$3:A$502)-2),3)),0)=0,"",IFERROR(-INDEX(Expenses!D$3:D$1002,SMALL(IF((Expenses!E$3:E$1002="GBP")*(Expenses!A$3:A$1002=DATE(2026,4,1)),ROW(Expenses!A$3:A$1002)-2),3)),0)+IFERROR(INDEX(Income!C$3:C$502,SMALL(IF((Income!D$3:D$502="GBP")*(Income!A$3:A$502=DATE(2026,4,1)),ROW(Income!A$3:A$502)-2),3)),0))</f>
        <v/>
      </c>
      <c r="H71" s="38" t="str">
        <f aca="false">IF(IFERROR(INDEX(Expenses!B$3:B$1002,SMALL(IF((Expenses!E$3:E$1002="GBP")*(Expenses!A$3:A$1002=DATE(2026,4,1)),ROW(Expenses!A$3:A$1002)-2),3)),"")&lt;&gt;"",IFERROR(INDEX(Expenses!B$3:B$1002,SMALL(IF((Expenses!E$3:E$1002="GBP")*(Expenses!A$3:A$1002=DATE(2026,4,1)),ROW(Expenses!A$3:A$1002)-2),3)),""),IF(IFERROR(INDEX(Income!B$3:B$502,SMALL(IF((Income!D$3:D$502="GBP")*(Income!A$3:A$502=DATE(2026,4,1)),ROW(Income!A$3:A$502)-2),3)),"")&lt;&gt;"",IFERROR(INDEX(Income!B$3:B$502,SMALL(IF((Income!D$3:D$502="GBP")*(Income!A$3:A$502=DATE(2026,4,1)),ROW(Income!A$3:A$502)-2),3)),""),""))</f>
        <v/>
      </c>
      <c r="I71" s="62" t="str">
        <f aca="false">IF(IFERROR(-INDEX(Expenses!D$3:D$1002,SMALL(IF((Expenses!E$3:E$1002="GBP")*(Expenses!A$3:A$1002=DATE(2026,4,2)),ROW(Expenses!A$3:A$1002)-2),3)),0)+IFERROR(INDEX(Income!C$3:C$502,SMALL(IF((Income!D$3:D$502="GBP")*(Income!A$3:A$502=DATE(2026,4,2)),ROW(Income!A$3:A$502)-2),3)),0)=0,"",IFERROR(-INDEX(Expenses!D$3:D$1002,SMALL(IF((Expenses!E$3:E$1002="GBP")*(Expenses!A$3:A$1002=DATE(2026,4,2)),ROW(Expenses!A$3:A$1002)-2),3)),0)+IFERROR(INDEX(Income!C$3:C$502,SMALL(IF((Income!D$3:D$502="GBP")*(Income!A$3:A$502=DATE(2026,4,2)),ROW(Income!A$3:A$502)-2),3)),0))</f>
        <v/>
      </c>
      <c r="J71" s="38" t="str">
        <f aca="false">IF(IFERROR(INDEX(Expenses!B$3:B$1002,SMALL(IF((Expenses!E$3:E$1002="GBP")*(Expenses!A$3:A$1002=DATE(2026,4,2)),ROW(Expenses!A$3:A$1002)-2),3)),"")&lt;&gt;"",IFERROR(INDEX(Expenses!B$3:B$1002,SMALL(IF((Expenses!E$3:E$1002="GBP")*(Expenses!A$3:A$1002=DATE(2026,4,2)),ROW(Expenses!A$3:A$1002)-2),3)),""),IF(IFERROR(INDEX(Income!B$3:B$502,SMALL(IF((Income!D$3:D$502="GBP")*(Income!A$3:A$502=DATE(2026,4,2)),ROW(Income!A$3:A$502)-2),3)),"")&lt;&gt;"",IFERROR(INDEX(Income!B$3:B$502,SMALL(IF((Income!D$3:D$502="GBP")*(Income!A$3:A$502=DATE(2026,4,2)),ROW(Income!A$3:A$502)-2),3)),""),""))</f>
        <v/>
      </c>
      <c r="K71" s="62" t="str">
        <f aca="false">IF(IFERROR(-INDEX(Expenses!D$3:D$1002,SMALL(IF((Expenses!E$3:E$1002="GBP")*(Expenses!A$3:A$1002=DATE(2026,4,3)),ROW(Expenses!A$3:A$1002)-2),3)),0)+IFERROR(INDEX(Income!C$3:C$502,SMALL(IF((Income!D$3:D$502="GBP")*(Income!A$3:A$502=DATE(2026,4,3)),ROW(Income!A$3:A$502)-2),3)),0)=0,"",IFERROR(-INDEX(Expenses!D$3:D$1002,SMALL(IF((Expenses!E$3:E$1002="GBP")*(Expenses!A$3:A$1002=DATE(2026,4,3)),ROW(Expenses!A$3:A$1002)-2),3)),0)+IFERROR(INDEX(Income!C$3:C$502,SMALL(IF((Income!D$3:D$502="GBP")*(Income!A$3:A$502=DATE(2026,4,3)),ROW(Income!A$3:A$502)-2),3)),0))</f>
        <v/>
      </c>
      <c r="L71" s="38" t="str">
        <f aca="false">IF(IFERROR(INDEX(Expenses!B$3:B$1002,SMALL(IF((Expenses!E$3:E$1002="GBP")*(Expenses!A$3:A$1002=DATE(2026,4,3)),ROW(Expenses!A$3:A$1002)-2),3)),"")&lt;&gt;"",IFERROR(INDEX(Expenses!B$3:B$1002,SMALL(IF((Expenses!E$3:E$1002="GBP")*(Expenses!A$3:A$1002=DATE(2026,4,3)),ROW(Expenses!A$3:A$1002)-2),3)),""),IF(IFERROR(INDEX(Income!B$3:B$502,SMALL(IF((Income!D$3:D$502="GBP")*(Income!A$3:A$502=DATE(2026,4,3)),ROW(Income!A$3:A$502)-2),3)),"")&lt;&gt;"",IFERROR(INDEX(Income!B$3:B$502,SMALL(IF((Income!D$3:D$502="GBP")*(Income!A$3:A$502=DATE(2026,4,3)),ROW(Income!A$3:A$502)-2),3)),""),""))</f>
        <v/>
      </c>
      <c r="M71" s="62" t="str">
        <f aca="false">IF(IFERROR(-INDEX(Expenses!D$3:D$1002,SMALL(IF((Expenses!E$3:E$1002="GBP")*(Expenses!A$3:A$1002=DATE(2026,4,4)),ROW(Expenses!A$3:A$1002)-2),3)),0)+IFERROR(INDEX(Income!C$3:C$502,SMALL(IF((Income!D$3:D$502="GBP")*(Income!A$3:A$502=DATE(2026,4,4)),ROW(Income!A$3:A$502)-2),3)),0)=0,"",IFERROR(-INDEX(Expenses!D$3:D$1002,SMALL(IF((Expenses!E$3:E$1002="GBP")*(Expenses!A$3:A$1002=DATE(2026,4,4)),ROW(Expenses!A$3:A$1002)-2),3)),0)+IFERROR(INDEX(Income!C$3:C$502,SMALL(IF((Income!D$3:D$502="GBP")*(Income!A$3:A$502=DATE(2026,4,4)),ROW(Income!A$3:A$502)-2),3)),0))</f>
        <v/>
      </c>
      <c r="N71" s="38" t="str">
        <f aca="false">IF(IFERROR(INDEX(Expenses!B$3:B$1002,SMALL(IF((Expenses!E$3:E$1002="GBP")*(Expenses!A$3:A$1002=DATE(2026,4,4)),ROW(Expenses!A$3:A$1002)-2),3)),"")&lt;&gt;"",IFERROR(INDEX(Expenses!B$3:B$1002,SMALL(IF((Expenses!E$3:E$1002="GBP")*(Expenses!A$3:A$1002=DATE(2026,4,4)),ROW(Expenses!A$3:A$1002)-2),3)),""),IF(IFERROR(INDEX(Income!B$3:B$502,SMALL(IF((Income!D$3:D$502="GBP")*(Income!A$3:A$502=DATE(2026,4,4)),ROW(Income!A$3:A$502)-2),3)),"")&lt;&gt;"",IFERROR(INDEX(Income!B$3:B$502,SMALL(IF((Income!D$3:D$502="GBP")*(Income!A$3:A$502=DATE(2026,4,4)),ROW(Income!A$3:A$502)-2),3)),""),""))</f>
        <v/>
      </c>
      <c r="O71" s="62" t="str">
        <f aca="false">IF(IFERROR(-INDEX(Expenses!D$3:D$1002,SMALL(IF((Expenses!E$3:E$1002="GBP")*(Expenses!A$3:A$1002=DATE(2026,4,5)),ROW(Expenses!A$3:A$1002)-2),3)),0)+IFERROR(INDEX(Income!C$3:C$502,SMALL(IF((Income!D$3:D$502="GBP")*(Income!A$3:A$502=DATE(2026,4,5)),ROW(Income!A$3:A$502)-2),3)),0)=0,"",IFERROR(-INDEX(Expenses!D$3:D$1002,SMALL(IF((Expenses!E$3:E$1002="GBP")*(Expenses!A$3:A$1002=DATE(2026,4,5)),ROW(Expenses!A$3:A$1002)-2),3)),0)+IFERROR(INDEX(Income!C$3:C$502,SMALL(IF((Income!D$3:D$502="GBP")*(Income!A$3:A$502=DATE(2026,4,5)),ROW(Income!A$3:A$502)-2),3)),0))</f>
        <v/>
      </c>
      <c r="P71" s="38" t="str">
        <f aca="false">IF(IFERROR(INDEX(Expenses!B$3:B$1002,SMALL(IF((Expenses!E$3:E$1002="GBP")*(Expenses!A$3:A$1002=DATE(2026,4,5)),ROW(Expenses!A$3:A$1002)-2),3)),"")&lt;&gt;"",IFERROR(INDEX(Expenses!B$3:B$1002,SMALL(IF((Expenses!E$3:E$1002="GBP")*(Expenses!A$3:A$1002=DATE(2026,4,5)),ROW(Expenses!A$3:A$1002)-2),3)),""),IF(IFERROR(INDEX(Income!B$3:B$502,SMALL(IF((Income!D$3:D$502="GBP")*(Income!A$3:A$502=DATE(2026,4,5)),ROW(Income!A$3:A$502)-2),3)),"")&lt;&gt;"",IFERROR(INDEX(Income!B$3:B$502,SMALL(IF((Income!D$3:D$502="GBP")*(Income!A$3:A$502=DATE(2026,4,5)),ROW(Income!A$3:A$502)-2),3)),""),""))</f>
        <v/>
      </c>
      <c r="Q71" s="16"/>
      <c r="R71" s="16"/>
    </row>
    <row r="72" customFormat="false" ht="15" hidden="false" customHeight="false" outlineLevel="0" collapsed="false">
      <c r="A72" s="16"/>
      <c r="B72" s="16"/>
      <c r="C72" s="62" t="str">
        <f aca="false">IF(IFERROR(-INDEX(Expenses!D$3:D$1002,SMALL(IF((Expenses!E$3:E$1002="GBP")*(Expenses!A$3:A$1002=DATE(2026,3,30)),ROW(Expenses!A$3:A$1002)-2),4)),0)+IFERROR(INDEX(Income!C$3:C$502,SMALL(IF((Income!D$3:D$502="GBP")*(Income!A$3:A$502=DATE(2026,3,30)),ROW(Income!A$3:A$502)-2),4)),0)=0,"",IFERROR(-INDEX(Expenses!D$3:D$1002,SMALL(IF((Expenses!E$3:E$1002="GBP")*(Expenses!A$3:A$1002=DATE(2026,3,30)),ROW(Expenses!A$3:A$1002)-2),4)),0)+IFERROR(INDEX(Income!C$3:C$502,SMALL(IF((Income!D$3:D$502="GBP")*(Income!A$3:A$502=DATE(2026,3,30)),ROW(Income!A$3:A$502)-2),4)),0))</f>
        <v/>
      </c>
      <c r="D72" s="38" t="str">
        <f aca="false">IF(IFERROR(INDEX(Expenses!B$3:B$1002,SMALL(IF((Expenses!E$3:E$1002="GBP")*(Expenses!A$3:A$1002=DATE(2026,3,30)),ROW(Expenses!A$3:A$1002)-2),4)),"")&lt;&gt;"",IFERROR(INDEX(Expenses!B$3:B$1002,SMALL(IF((Expenses!E$3:E$1002="GBP")*(Expenses!A$3:A$1002=DATE(2026,3,30)),ROW(Expenses!A$3:A$1002)-2),4)),""),IF(IFERROR(INDEX(Income!B$3:B$502,SMALL(IF((Income!D$3:D$502="GBP")*(Income!A$3:A$502=DATE(2026,3,30)),ROW(Income!A$3:A$502)-2),4)),"")&lt;&gt;"",IFERROR(INDEX(Income!B$3:B$502,SMALL(IF((Income!D$3:D$502="GBP")*(Income!A$3:A$502=DATE(2026,3,30)),ROW(Income!A$3:A$502)-2),4)),""),""))</f>
        <v/>
      </c>
      <c r="E72" s="62" t="str">
        <f aca="false">IF(IFERROR(-INDEX(Expenses!D$3:D$1002,SMALL(IF((Expenses!E$3:E$1002="GBP")*(Expenses!A$3:A$1002=DATE(2026,3,31)),ROW(Expenses!A$3:A$1002)-2),4)),0)+IFERROR(INDEX(Income!C$3:C$502,SMALL(IF((Income!D$3:D$502="GBP")*(Income!A$3:A$502=DATE(2026,3,31)),ROW(Income!A$3:A$502)-2),4)),0)=0,"",IFERROR(-INDEX(Expenses!D$3:D$1002,SMALL(IF((Expenses!E$3:E$1002="GBP")*(Expenses!A$3:A$1002=DATE(2026,3,31)),ROW(Expenses!A$3:A$1002)-2),4)),0)+IFERROR(INDEX(Income!C$3:C$502,SMALL(IF((Income!D$3:D$502="GBP")*(Income!A$3:A$502=DATE(2026,3,31)),ROW(Income!A$3:A$502)-2),4)),0))</f>
        <v/>
      </c>
      <c r="F72" s="38" t="str">
        <f aca="false">IF(IFERROR(INDEX(Expenses!B$3:B$1002,SMALL(IF((Expenses!E$3:E$1002="GBP")*(Expenses!A$3:A$1002=DATE(2026,3,31)),ROW(Expenses!A$3:A$1002)-2),4)),"")&lt;&gt;"",IFERROR(INDEX(Expenses!B$3:B$1002,SMALL(IF((Expenses!E$3:E$1002="GBP")*(Expenses!A$3:A$1002=DATE(2026,3,31)),ROW(Expenses!A$3:A$1002)-2),4)),""),IF(IFERROR(INDEX(Income!B$3:B$502,SMALL(IF((Income!D$3:D$502="GBP")*(Income!A$3:A$502=DATE(2026,3,31)),ROW(Income!A$3:A$502)-2),4)),"")&lt;&gt;"",IFERROR(INDEX(Income!B$3:B$502,SMALL(IF((Income!D$3:D$502="GBP")*(Income!A$3:A$502=DATE(2026,3,31)),ROW(Income!A$3:A$502)-2),4)),""),""))</f>
        <v/>
      </c>
      <c r="G72" s="62" t="str">
        <f aca="false">IF(IFERROR(-INDEX(Expenses!D$3:D$1002,SMALL(IF((Expenses!E$3:E$1002="GBP")*(Expenses!A$3:A$1002=DATE(2026,4,1)),ROW(Expenses!A$3:A$1002)-2),4)),0)+IFERROR(INDEX(Income!C$3:C$502,SMALL(IF((Income!D$3:D$502="GBP")*(Income!A$3:A$502=DATE(2026,4,1)),ROW(Income!A$3:A$502)-2),4)),0)=0,"",IFERROR(-INDEX(Expenses!D$3:D$1002,SMALL(IF((Expenses!E$3:E$1002="GBP")*(Expenses!A$3:A$1002=DATE(2026,4,1)),ROW(Expenses!A$3:A$1002)-2),4)),0)+IFERROR(INDEX(Income!C$3:C$502,SMALL(IF((Income!D$3:D$502="GBP")*(Income!A$3:A$502=DATE(2026,4,1)),ROW(Income!A$3:A$502)-2),4)),0))</f>
        <v/>
      </c>
      <c r="H72" s="38" t="str">
        <f aca="false">IF(IFERROR(INDEX(Expenses!B$3:B$1002,SMALL(IF((Expenses!E$3:E$1002="GBP")*(Expenses!A$3:A$1002=DATE(2026,4,1)),ROW(Expenses!A$3:A$1002)-2),4)),"")&lt;&gt;"",IFERROR(INDEX(Expenses!B$3:B$1002,SMALL(IF((Expenses!E$3:E$1002="GBP")*(Expenses!A$3:A$1002=DATE(2026,4,1)),ROW(Expenses!A$3:A$1002)-2),4)),""),IF(IFERROR(INDEX(Income!B$3:B$502,SMALL(IF((Income!D$3:D$502="GBP")*(Income!A$3:A$502=DATE(2026,4,1)),ROW(Income!A$3:A$502)-2),4)),"")&lt;&gt;"",IFERROR(INDEX(Income!B$3:B$502,SMALL(IF((Income!D$3:D$502="GBP")*(Income!A$3:A$502=DATE(2026,4,1)),ROW(Income!A$3:A$502)-2),4)),""),""))</f>
        <v/>
      </c>
      <c r="I72" s="62" t="str">
        <f aca="false">IF(IFERROR(-INDEX(Expenses!D$3:D$1002,SMALL(IF((Expenses!E$3:E$1002="GBP")*(Expenses!A$3:A$1002=DATE(2026,4,2)),ROW(Expenses!A$3:A$1002)-2),4)),0)+IFERROR(INDEX(Income!C$3:C$502,SMALL(IF((Income!D$3:D$502="GBP")*(Income!A$3:A$502=DATE(2026,4,2)),ROW(Income!A$3:A$502)-2),4)),0)=0,"",IFERROR(-INDEX(Expenses!D$3:D$1002,SMALL(IF((Expenses!E$3:E$1002="GBP")*(Expenses!A$3:A$1002=DATE(2026,4,2)),ROW(Expenses!A$3:A$1002)-2),4)),0)+IFERROR(INDEX(Income!C$3:C$502,SMALL(IF((Income!D$3:D$502="GBP")*(Income!A$3:A$502=DATE(2026,4,2)),ROW(Income!A$3:A$502)-2),4)),0))</f>
        <v/>
      </c>
      <c r="J72" s="38" t="str">
        <f aca="false">IF(IFERROR(INDEX(Expenses!B$3:B$1002,SMALL(IF((Expenses!E$3:E$1002="GBP")*(Expenses!A$3:A$1002=DATE(2026,4,2)),ROW(Expenses!A$3:A$1002)-2),4)),"")&lt;&gt;"",IFERROR(INDEX(Expenses!B$3:B$1002,SMALL(IF((Expenses!E$3:E$1002="GBP")*(Expenses!A$3:A$1002=DATE(2026,4,2)),ROW(Expenses!A$3:A$1002)-2),4)),""),IF(IFERROR(INDEX(Income!B$3:B$502,SMALL(IF((Income!D$3:D$502="GBP")*(Income!A$3:A$502=DATE(2026,4,2)),ROW(Income!A$3:A$502)-2),4)),"")&lt;&gt;"",IFERROR(INDEX(Income!B$3:B$502,SMALL(IF((Income!D$3:D$502="GBP")*(Income!A$3:A$502=DATE(2026,4,2)),ROW(Income!A$3:A$502)-2),4)),""),""))</f>
        <v/>
      </c>
      <c r="K72" s="62" t="str">
        <f aca="false">IF(IFERROR(-INDEX(Expenses!D$3:D$1002,SMALL(IF((Expenses!E$3:E$1002="GBP")*(Expenses!A$3:A$1002=DATE(2026,4,3)),ROW(Expenses!A$3:A$1002)-2),4)),0)+IFERROR(INDEX(Income!C$3:C$502,SMALL(IF((Income!D$3:D$502="GBP")*(Income!A$3:A$502=DATE(2026,4,3)),ROW(Income!A$3:A$502)-2),4)),0)=0,"",IFERROR(-INDEX(Expenses!D$3:D$1002,SMALL(IF((Expenses!E$3:E$1002="GBP")*(Expenses!A$3:A$1002=DATE(2026,4,3)),ROW(Expenses!A$3:A$1002)-2),4)),0)+IFERROR(INDEX(Income!C$3:C$502,SMALL(IF((Income!D$3:D$502="GBP")*(Income!A$3:A$502=DATE(2026,4,3)),ROW(Income!A$3:A$502)-2),4)),0))</f>
        <v/>
      </c>
      <c r="L72" s="38" t="str">
        <f aca="false">IF(IFERROR(INDEX(Expenses!B$3:B$1002,SMALL(IF((Expenses!E$3:E$1002="GBP")*(Expenses!A$3:A$1002=DATE(2026,4,3)),ROW(Expenses!A$3:A$1002)-2),4)),"")&lt;&gt;"",IFERROR(INDEX(Expenses!B$3:B$1002,SMALL(IF((Expenses!E$3:E$1002="GBP")*(Expenses!A$3:A$1002=DATE(2026,4,3)),ROW(Expenses!A$3:A$1002)-2),4)),""),IF(IFERROR(INDEX(Income!B$3:B$502,SMALL(IF((Income!D$3:D$502="GBP")*(Income!A$3:A$502=DATE(2026,4,3)),ROW(Income!A$3:A$502)-2),4)),"")&lt;&gt;"",IFERROR(INDEX(Income!B$3:B$502,SMALL(IF((Income!D$3:D$502="GBP")*(Income!A$3:A$502=DATE(2026,4,3)),ROW(Income!A$3:A$502)-2),4)),""),""))</f>
        <v/>
      </c>
      <c r="M72" s="62" t="str">
        <f aca="false">IF(IFERROR(-INDEX(Expenses!D$3:D$1002,SMALL(IF((Expenses!E$3:E$1002="GBP")*(Expenses!A$3:A$1002=DATE(2026,4,4)),ROW(Expenses!A$3:A$1002)-2),4)),0)+IFERROR(INDEX(Income!C$3:C$502,SMALL(IF((Income!D$3:D$502="GBP")*(Income!A$3:A$502=DATE(2026,4,4)),ROW(Income!A$3:A$502)-2),4)),0)=0,"",IFERROR(-INDEX(Expenses!D$3:D$1002,SMALL(IF((Expenses!E$3:E$1002="GBP")*(Expenses!A$3:A$1002=DATE(2026,4,4)),ROW(Expenses!A$3:A$1002)-2),4)),0)+IFERROR(INDEX(Income!C$3:C$502,SMALL(IF((Income!D$3:D$502="GBP")*(Income!A$3:A$502=DATE(2026,4,4)),ROW(Income!A$3:A$502)-2),4)),0))</f>
        <v/>
      </c>
      <c r="N72" s="38" t="str">
        <f aca="false">IF(IFERROR(INDEX(Expenses!B$3:B$1002,SMALL(IF((Expenses!E$3:E$1002="GBP")*(Expenses!A$3:A$1002=DATE(2026,4,4)),ROW(Expenses!A$3:A$1002)-2),4)),"")&lt;&gt;"",IFERROR(INDEX(Expenses!B$3:B$1002,SMALL(IF((Expenses!E$3:E$1002="GBP")*(Expenses!A$3:A$1002=DATE(2026,4,4)),ROW(Expenses!A$3:A$1002)-2),4)),""),IF(IFERROR(INDEX(Income!B$3:B$502,SMALL(IF((Income!D$3:D$502="GBP")*(Income!A$3:A$502=DATE(2026,4,4)),ROW(Income!A$3:A$502)-2),4)),"")&lt;&gt;"",IFERROR(INDEX(Income!B$3:B$502,SMALL(IF((Income!D$3:D$502="GBP")*(Income!A$3:A$502=DATE(2026,4,4)),ROW(Income!A$3:A$502)-2),4)),""),""))</f>
        <v/>
      </c>
      <c r="O72" s="62" t="str">
        <f aca="false">IF(IFERROR(-INDEX(Expenses!D$3:D$1002,SMALL(IF((Expenses!E$3:E$1002="GBP")*(Expenses!A$3:A$1002=DATE(2026,4,5)),ROW(Expenses!A$3:A$1002)-2),4)),0)+IFERROR(INDEX(Income!C$3:C$502,SMALL(IF((Income!D$3:D$502="GBP")*(Income!A$3:A$502=DATE(2026,4,5)),ROW(Income!A$3:A$502)-2),4)),0)=0,"",IFERROR(-INDEX(Expenses!D$3:D$1002,SMALL(IF((Expenses!E$3:E$1002="GBP")*(Expenses!A$3:A$1002=DATE(2026,4,5)),ROW(Expenses!A$3:A$1002)-2),4)),0)+IFERROR(INDEX(Income!C$3:C$502,SMALL(IF((Income!D$3:D$502="GBP")*(Income!A$3:A$502=DATE(2026,4,5)),ROW(Income!A$3:A$502)-2),4)),0))</f>
        <v/>
      </c>
      <c r="P72" s="38" t="str">
        <f aca="false">IF(IFERROR(INDEX(Expenses!B$3:B$1002,SMALL(IF((Expenses!E$3:E$1002="GBP")*(Expenses!A$3:A$1002=DATE(2026,4,5)),ROW(Expenses!A$3:A$1002)-2),4)),"")&lt;&gt;"",IFERROR(INDEX(Expenses!B$3:B$1002,SMALL(IF((Expenses!E$3:E$1002="GBP")*(Expenses!A$3:A$1002=DATE(2026,4,5)),ROW(Expenses!A$3:A$1002)-2),4)),""),IF(IFERROR(INDEX(Income!B$3:B$502,SMALL(IF((Income!D$3:D$502="GBP")*(Income!A$3:A$502=DATE(2026,4,5)),ROW(Income!A$3:A$502)-2),4)),"")&lt;&gt;"",IFERROR(INDEX(Income!B$3:B$502,SMALL(IF((Income!D$3:D$502="GBP")*(Income!A$3:A$502=DATE(2026,4,5)),ROW(Income!A$3:A$502)-2),4)),""),""))</f>
        <v/>
      </c>
      <c r="Q72" s="16"/>
      <c r="R72" s="16"/>
    </row>
    <row r="73" customFormat="false" ht="15" hidden="false" customHeight="false" outlineLevel="0" collapsed="false">
      <c r="A73" s="16"/>
      <c r="B73" s="16"/>
      <c r="C73" s="62" t="str">
        <f aca="false">IF(IFERROR(-INDEX(Expenses!D$3:D$1002,SMALL(IF((Expenses!E$3:E$1002="GBP")*(Expenses!A$3:A$1002=DATE(2026,3,30)),ROW(Expenses!A$3:A$1002)-2),5)),0)+IFERROR(INDEX(Income!C$3:C$502,SMALL(IF((Income!D$3:D$502="GBP")*(Income!A$3:A$502=DATE(2026,3,30)),ROW(Income!A$3:A$502)-2),5)),0)=0,"",IFERROR(-INDEX(Expenses!D$3:D$1002,SMALL(IF((Expenses!E$3:E$1002="GBP")*(Expenses!A$3:A$1002=DATE(2026,3,30)),ROW(Expenses!A$3:A$1002)-2),5)),0)+IFERROR(INDEX(Income!C$3:C$502,SMALL(IF((Income!D$3:D$502="GBP")*(Income!A$3:A$502=DATE(2026,3,30)),ROW(Income!A$3:A$502)-2),5)),0))</f>
        <v/>
      </c>
      <c r="D73" s="38" t="str">
        <f aca="false">IF(IFERROR(INDEX(Expenses!B$3:B$1002,SMALL(IF((Expenses!E$3:E$1002="GBP")*(Expenses!A$3:A$1002=DATE(2026,3,30)),ROW(Expenses!A$3:A$1002)-2),5)),"")&lt;&gt;"",IFERROR(INDEX(Expenses!B$3:B$1002,SMALL(IF((Expenses!E$3:E$1002="GBP")*(Expenses!A$3:A$1002=DATE(2026,3,30)),ROW(Expenses!A$3:A$1002)-2),5)),""),IF(IFERROR(INDEX(Income!B$3:B$502,SMALL(IF((Income!D$3:D$502="GBP")*(Income!A$3:A$502=DATE(2026,3,30)),ROW(Income!A$3:A$502)-2),5)),"")&lt;&gt;"",IFERROR(INDEX(Income!B$3:B$502,SMALL(IF((Income!D$3:D$502="GBP")*(Income!A$3:A$502=DATE(2026,3,30)),ROW(Income!A$3:A$502)-2),5)),""),""))</f>
        <v/>
      </c>
      <c r="E73" s="62" t="str">
        <f aca="false">IF(IFERROR(-INDEX(Expenses!D$3:D$1002,SMALL(IF((Expenses!E$3:E$1002="GBP")*(Expenses!A$3:A$1002=DATE(2026,3,31)),ROW(Expenses!A$3:A$1002)-2),5)),0)+IFERROR(INDEX(Income!C$3:C$502,SMALL(IF((Income!D$3:D$502="GBP")*(Income!A$3:A$502=DATE(2026,3,31)),ROW(Income!A$3:A$502)-2),5)),0)=0,"",IFERROR(-INDEX(Expenses!D$3:D$1002,SMALL(IF((Expenses!E$3:E$1002="GBP")*(Expenses!A$3:A$1002=DATE(2026,3,31)),ROW(Expenses!A$3:A$1002)-2),5)),0)+IFERROR(INDEX(Income!C$3:C$502,SMALL(IF((Income!D$3:D$502="GBP")*(Income!A$3:A$502=DATE(2026,3,31)),ROW(Income!A$3:A$502)-2),5)),0))</f>
        <v/>
      </c>
      <c r="F73" s="38" t="str">
        <f aca="false">IF(IFERROR(INDEX(Expenses!B$3:B$1002,SMALL(IF((Expenses!E$3:E$1002="GBP")*(Expenses!A$3:A$1002=DATE(2026,3,31)),ROW(Expenses!A$3:A$1002)-2),5)),"")&lt;&gt;"",IFERROR(INDEX(Expenses!B$3:B$1002,SMALL(IF((Expenses!E$3:E$1002="GBP")*(Expenses!A$3:A$1002=DATE(2026,3,31)),ROW(Expenses!A$3:A$1002)-2),5)),""),IF(IFERROR(INDEX(Income!B$3:B$502,SMALL(IF((Income!D$3:D$502="GBP")*(Income!A$3:A$502=DATE(2026,3,31)),ROW(Income!A$3:A$502)-2),5)),"")&lt;&gt;"",IFERROR(INDEX(Income!B$3:B$502,SMALL(IF((Income!D$3:D$502="GBP")*(Income!A$3:A$502=DATE(2026,3,31)),ROW(Income!A$3:A$502)-2),5)),""),""))</f>
        <v/>
      </c>
      <c r="G73" s="62" t="str">
        <f aca="false">IF(IFERROR(-INDEX(Expenses!D$3:D$1002,SMALL(IF((Expenses!E$3:E$1002="GBP")*(Expenses!A$3:A$1002=DATE(2026,4,1)),ROW(Expenses!A$3:A$1002)-2),5)),0)+IFERROR(INDEX(Income!C$3:C$502,SMALL(IF((Income!D$3:D$502="GBP")*(Income!A$3:A$502=DATE(2026,4,1)),ROW(Income!A$3:A$502)-2),5)),0)=0,"",IFERROR(-INDEX(Expenses!D$3:D$1002,SMALL(IF((Expenses!E$3:E$1002="GBP")*(Expenses!A$3:A$1002=DATE(2026,4,1)),ROW(Expenses!A$3:A$1002)-2),5)),0)+IFERROR(INDEX(Income!C$3:C$502,SMALL(IF((Income!D$3:D$502="GBP")*(Income!A$3:A$502=DATE(2026,4,1)),ROW(Income!A$3:A$502)-2),5)),0))</f>
        <v/>
      </c>
      <c r="H73" s="38" t="str">
        <f aca="false">IF(IFERROR(INDEX(Expenses!B$3:B$1002,SMALL(IF((Expenses!E$3:E$1002="GBP")*(Expenses!A$3:A$1002=DATE(2026,4,1)),ROW(Expenses!A$3:A$1002)-2),5)),"")&lt;&gt;"",IFERROR(INDEX(Expenses!B$3:B$1002,SMALL(IF((Expenses!E$3:E$1002="GBP")*(Expenses!A$3:A$1002=DATE(2026,4,1)),ROW(Expenses!A$3:A$1002)-2),5)),""),IF(IFERROR(INDEX(Income!B$3:B$502,SMALL(IF((Income!D$3:D$502="GBP")*(Income!A$3:A$502=DATE(2026,4,1)),ROW(Income!A$3:A$502)-2),5)),"")&lt;&gt;"",IFERROR(INDEX(Income!B$3:B$502,SMALL(IF((Income!D$3:D$502="GBP")*(Income!A$3:A$502=DATE(2026,4,1)),ROW(Income!A$3:A$502)-2),5)),""),""))</f>
        <v/>
      </c>
      <c r="I73" s="62" t="str">
        <f aca="false">IF(IFERROR(-INDEX(Expenses!D$3:D$1002,SMALL(IF((Expenses!E$3:E$1002="GBP")*(Expenses!A$3:A$1002=DATE(2026,4,2)),ROW(Expenses!A$3:A$1002)-2),5)),0)+IFERROR(INDEX(Income!C$3:C$502,SMALL(IF((Income!D$3:D$502="GBP")*(Income!A$3:A$502=DATE(2026,4,2)),ROW(Income!A$3:A$502)-2),5)),0)=0,"",IFERROR(-INDEX(Expenses!D$3:D$1002,SMALL(IF((Expenses!E$3:E$1002="GBP")*(Expenses!A$3:A$1002=DATE(2026,4,2)),ROW(Expenses!A$3:A$1002)-2),5)),0)+IFERROR(INDEX(Income!C$3:C$502,SMALL(IF((Income!D$3:D$502="GBP")*(Income!A$3:A$502=DATE(2026,4,2)),ROW(Income!A$3:A$502)-2),5)),0))</f>
        <v/>
      </c>
      <c r="J73" s="38" t="str">
        <f aca="false">IF(IFERROR(INDEX(Expenses!B$3:B$1002,SMALL(IF((Expenses!E$3:E$1002="GBP")*(Expenses!A$3:A$1002=DATE(2026,4,2)),ROW(Expenses!A$3:A$1002)-2),5)),"")&lt;&gt;"",IFERROR(INDEX(Expenses!B$3:B$1002,SMALL(IF((Expenses!E$3:E$1002="GBP")*(Expenses!A$3:A$1002=DATE(2026,4,2)),ROW(Expenses!A$3:A$1002)-2),5)),""),IF(IFERROR(INDEX(Income!B$3:B$502,SMALL(IF((Income!D$3:D$502="GBP")*(Income!A$3:A$502=DATE(2026,4,2)),ROW(Income!A$3:A$502)-2),5)),"")&lt;&gt;"",IFERROR(INDEX(Income!B$3:B$502,SMALL(IF((Income!D$3:D$502="GBP")*(Income!A$3:A$502=DATE(2026,4,2)),ROW(Income!A$3:A$502)-2),5)),""),""))</f>
        <v/>
      </c>
      <c r="K73" s="62" t="str">
        <f aca="false">IF(IFERROR(-INDEX(Expenses!D$3:D$1002,SMALL(IF((Expenses!E$3:E$1002="GBP")*(Expenses!A$3:A$1002=DATE(2026,4,3)),ROW(Expenses!A$3:A$1002)-2),5)),0)+IFERROR(INDEX(Income!C$3:C$502,SMALL(IF((Income!D$3:D$502="GBP")*(Income!A$3:A$502=DATE(2026,4,3)),ROW(Income!A$3:A$502)-2),5)),0)=0,"",IFERROR(-INDEX(Expenses!D$3:D$1002,SMALL(IF((Expenses!E$3:E$1002="GBP")*(Expenses!A$3:A$1002=DATE(2026,4,3)),ROW(Expenses!A$3:A$1002)-2),5)),0)+IFERROR(INDEX(Income!C$3:C$502,SMALL(IF((Income!D$3:D$502="GBP")*(Income!A$3:A$502=DATE(2026,4,3)),ROW(Income!A$3:A$502)-2),5)),0))</f>
        <v/>
      </c>
      <c r="L73" s="38" t="str">
        <f aca="false">IF(IFERROR(INDEX(Expenses!B$3:B$1002,SMALL(IF((Expenses!E$3:E$1002="GBP")*(Expenses!A$3:A$1002=DATE(2026,4,3)),ROW(Expenses!A$3:A$1002)-2),5)),"")&lt;&gt;"",IFERROR(INDEX(Expenses!B$3:B$1002,SMALL(IF((Expenses!E$3:E$1002="GBP")*(Expenses!A$3:A$1002=DATE(2026,4,3)),ROW(Expenses!A$3:A$1002)-2),5)),""),IF(IFERROR(INDEX(Income!B$3:B$502,SMALL(IF((Income!D$3:D$502="GBP")*(Income!A$3:A$502=DATE(2026,4,3)),ROW(Income!A$3:A$502)-2),5)),"")&lt;&gt;"",IFERROR(INDEX(Income!B$3:B$502,SMALL(IF((Income!D$3:D$502="GBP")*(Income!A$3:A$502=DATE(2026,4,3)),ROW(Income!A$3:A$502)-2),5)),""),""))</f>
        <v/>
      </c>
      <c r="M73" s="62" t="str">
        <f aca="false">IF(IFERROR(-INDEX(Expenses!D$3:D$1002,SMALL(IF((Expenses!E$3:E$1002="GBP")*(Expenses!A$3:A$1002=DATE(2026,4,4)),ROW(Expenses!A$3:A$1002)-2),5)),0)+IFERROR(INDEX(Income!C$3:C$502,SMALL(IF((Income!D$3:D$502="GBP")*(Income!A$3:A$502=DATE(2026,4,4)),ROW(Income!A$3:A$502)-2),5)),0)=0,"",IFERROR(-INDEX(Expenses!D$3:D$1002,SMALL(IF((Expenses!E$3:E$1002="GBP")*(Expenses!A$3:A$1002=DATE(2026,4,4)),ROW(Expenses!A$3:A$1002)-2),5)),0)+IFERROR(INDEX(Income!C$3:C$502,SMALL(IF((Income!D$3:D$502="GBP")*(Income!A$3:A$502=DATE(2026,4,4)),ROW(Income!A$3:A$502)-2),5)),0))</f>
        <v/>
      </c>
      <c r="N73" s="38" t="str">
        <f aca="false">IF(IFERROR(INDEX(Expenses!B$3:B$1002,SMALL(IF((Expenses!E$3:E$1002="GBP")*(Expenses!A$3:A$1002=DATE(2026,4,4)),ROW(Expenses!A$3:A$1002)-2),5)),"")&lt;&gt;"",IFERROR(INDEX(Expenses!B$3:B$1002,SMALL(IF((Expenses!E$3:E$1002="GBP")*(Expenses!A$3:A$1002=DATE(2026,4,4)),ROW(Expenses!A$3:A$1002)-2),5)),""),IF(IFERROR(INDEX(Income!B$3:B$502,SMALL(IF((Income!D$3:D$502="GBP")*(Income!A$3:A$502=DATE(2026,4,4)),ROW(Income!A$3:A$502)-2),5)),"")&lt;&gt;"",IFERROR(INDEX(Income!B$3:B$502,SMALL(IF((Income!D$3:D$502="GBP")*(Income!A$3:A$502=DATE(2026,4,4)),ROW(Income!A$3:A$502)-2),5)),""),""))</f>
        <v/>
      </c>
      <c r="O73" s="62" t="str">
        <f aca="false">IF(IFERROR(-INDEX(Expenses!D$3:D$1002,SMALL(IF((Expenses!E$3:E$1002="GBP")*(Expenses!A$3:A$1002=DATE(2026,4,5)),ROW(Expenses!A$3:A$1002)-2),5)),0)+IFERROR(INDEX(Income!C$3:C$502,SMALL(IF((Income!D$3:D$502="GBP")*(Income!A$3:A$502=DATE(2026,4,5)),ROW(Income!A$3:A$502)-2),5)),0)=0,"",IFERROR(-INDEX(Expenses!D$3:D$1002,SMALL(IF((Expenses!E$3:E$1002="GBP")*(Expenses!A$3:A$1002=DATE(2026,4,5)),ROW(Expenses!A$3:A$1002)-2),5)),0)+IFERROR(INDEX(Income!C$3:C$502,SMALL(IF((Income!D$3:D$502="GBP")*(Income!A$3:A$502=DATE(2026,4,5)),ROW(Income!A$3:A$502)-2),5)),0))</f>
        <v/>
      </c>
      <c r="P73" s="38" t="str">
        <f aca="false">IF(IFERROR(INDEX(Expenses!B$3:B$1002,SMALL(IF((Expenses!E$3:E$1002="GBP")*(Expenses!A$3:A$1002=DATE(2026,4,5)),ROW(Expenses!A$3:A$1002)-2),5)),"")&lt;&gt;"",IFERROR(INDEX(Expenses!B$3:B$1002,SMALL(IF((Expenses!E$3:E$1002="GBP")*(Expenses!A$3:A$1002=DATE(2026,4,5)),ROW(Expenses!A$3:A$1002)-2),5)),""),IF(IFERROR(INDEX(Income!B$3:B$502,SMALL(IF((Income!D$3:D$502="GBP")*(Income!A$3:A$502=DATE(2026,4,5)),ROW(Income!A$3:A$502)-2),5)),"")&lt;&gt;"",IFERROR(INDEX(Income!B$3:B$502,SMALL(IF((Income!D$3:D$502="GBP")*(Income!A$3:A$502=DATE(2026,4,5)),ROW(Income!A$3:A$502)-2),5)),""),""))</f>
        <v/>
      </c>
      <c r="Q73" s="16"/>
      <c r="R73" s="16"/>
    </row>
    <row r="74" customFormat="false" ht="15" hidden="false" customHeight="false" outlineLevel="0" collapsed="false">
      <c r="A74" s="61" t="n">
        <v>46118</v>
      </c>
      <c r="B74" s="3" t="n">
        <v>15</v>
      </c>
      <c r="C74" s="62" t="str">
        <f aca="false">IF(IFERROR(-INDEX(Expenses!D$3:D$1002,SMALL(IF((Expenses!E$3:E$1002="GBP")*(Expenses!A$3:A$1002=DATE(2026,4,6)),ROW(Expenses!A$3:A$1002)-2),1)),0)+IFERROR(INDEX(Income!C$3:C$502,SMALL(IF((Income!D$3:D$502="GBP")*(Income!A$3:A$502=DATE(2026,4,6)),ROW(Income!A$3:A$502)-2),1)),0)=0,"",IFERROR(-INDEX(Expenses!D$3:D$1002,SMALL(IF((Expenses!E$3:E$1002="GBP")*(Expenses!A$3:A$1002=DATE(2026,4,6)),ROW(Expenses!A$3:A$1002)-2),1)),0)+IFERROR(INDEX(Income!C$3:C$502,SMALL(IF((Income!D$3:D$502="GBP")*(Income!A$3:A$502=DATE(2026,4,6)),ROW(Income!A$3:A$502)-2),1)),0))</f>
        <v/>
      </c>
      <c r="D74" s="38" t="str">
        <f aca="false">IF(IFERROR(INDEX(Expenses!B$3:B$1002,SMALL(IF((Expenses!E$3:E$1002="GBP")*(Expenses!A$3:A$1002=DATE(2026,4,6)),ROW(Expenses!A$3:A$1002)-2),1)),"")&lt;&gt;"",IFERROR(INDEX(Expenses!B$3:B$1002,SMALL(IF((Expenses!E$3:E$1002="GBP")*(Expenses!A$3:A$1002=DATE(2026,4,6)),ROW(Expenses!A$3:A$1002)-2),1)),""),IF(IFERROR(INDEX(Income!B$3:B$502,SMALL(IF((Income!D$3:D$502="GBP")*(Income!A$3:A$502=DATE(2026,4,6)),ROW(Income!A$3:A$502)-2),1)),"")&lt;&gt;"",IFERROR(INDEX(Income!B$3:B$502,SMALL(IF((Income!D$3:D$502="GBP")*(Income!A$3:A$502=DATE(2026,4,6)),ROW(Income!A$3:A$502)-2),1)),""),""))</f>
        <v/>
      </c>
      <c r="E74" s="62" t="str">
        <f aca="false">IF(IFERROR(-INDEX(Expenses!D$3:D$1002,SMALL(IF((Expenses!E$3:E$1002="GBP")*(Expenses!A$3:A$1002=DATE(2026,4,7)),ROW(Expenses!A$3:A$1002)-2),1)),0)+IFERROR(INDEX(Income!C$3:C$502,SMALL(IF((Income!D$3:D$502="GBP")*(Income!A$3:A$502=DATE(2026,4,7)),ROW(Income!A$3:A$502)-2),1)),0)=0,"",IFERROR(-INDEX(Expenses!D$3:D$1002,SMALL(IF((Expenses!E$3:E$1002="GBP")*(Expenses!A$3:A$1002=DATE(2026,4,7)),ROW(Expenses!A$3:A$1002)-2),1)),0)+IFERROR(INDEX(Income!C$3:C$502,SMALL(IF((Income!D$3:D$502="GBP")*(Income!A$3:A$502=DATE(2026,4,7)),ROW(Income!A$3:A$502)-2),1)),0))</f>
        <v/>
      </c>
      <c r="F74" s="38" t="str">
        <f aca="false">IF(IFERROR(INDEX(Expenses!B$3:B$1002,SMALL(IF((Expenses!E$3:E$1002="GBP")*(Expenses!A$3:A$1002=DATE(2026,4,7)),ROW(Expenses!A$3:A$1002)-2),1)),"")&lt;&gt;"",IFERROR(INDEX(Expenses!B$3:B$1002,SMALL(IF((Expenses!E$3:E$1002="GBP")*(Expenses!A$3:A$1002=DATE(2026,4,7)),ROW(Expenses!A$3:A$1002)-2),1)),""),IF(IFERROR(INDEX(Income!B$3:B$502,SMALL(IF((Income!D$3:D$502="GBP")*(Income!A$3:A$502=DATE(2026,4,7)),ROW(Income!A$3:A$502)-2),1)),"")&lt;&gt;"",IFERROR(INDEX(Income!B$3:B$502,SMALL(IF((Income!D$3:D$502="GBP")*(Income!A$3:A$502=DATE(2026,4,7)),ROW(Income!A$3:A$502)-2),1)),""),""))</f>
        <v/>
      </c>
      <c r="G74" s="62" t="str">
        <f aca="false">IF(IFERROR(-INDEX(Expenses!D$3:D$1002,SMALL(IF((Expenses!E$3:E$1002="GBP")*(Expenses!A$3:A$1002=DATE(2026,4,8)),ROW(Expenses!A$3:A$1002)-2),1)),0)+IFERROR(INDEX(Income!C$3:C$502,SMALL(IF((Income!D$3:D$502="GBP")*(Income!A$3:A$502=DATE(2026,4,8)),ROW(Income!A$3:A$502)-2),1)),0)=0,"",IFERROR(-INDEX(Expenses!D$3:D$1002,SMALL(IF((Expenses!E$3:E$1002="GBP")*(Expenses!A$3:A$1002=DATE(2026,4,8)),ROW(Expenses!A$3:A$1002)-2),1)),0)+IFERROR(INDEX(Income!C$3:C$502,SMALL(IF((Income!D$3:D$502="GBP")*(Income!A$3:A$502=DATE(2026,4,8)),ROW(Income!A$3:A$502)-2),1)),0))</f>
        <v/>
      </c>
      <c r="H74" s="38" t="str">
        <f aca="false">IF(IFERROR(INDEX(Expenses!B$3:B$1002,SMALL(IF((Expenses!E$3:E$1002="GBP")*(Expenses!A$3:A$1002=DATE(2026,4,8)),ROW(Expenses!A$3:A$1002)-2),1)),"")&lt;&gt;"",IFERROR(INDEX(Expenses!B$3:B$1002,SMALL(IF((Expenses!E$3:E$1002="GBP")*(Expenses!A$3:A$1002=DATE(2026,4,8)),ROW(Expenses!A$3:A$1002)-2),1)),""),IF(IFERROR(INDEX(Income!B$3:B$502,SMALL(IF((Income!D$3:D$502="GBP")*(Income!A$3:A$502=DATE(2026,4,8)),ROW(Income!A$3:A$502)-2),1)),"")&lt;&gt;"",IFERROR(INDEX(Income!B$3:B$502,SMALL(IF((Income!D$3:D$502="GBP")*(Income!A$3:A$502=DATE(2026,4,8)),ROW(Income!A$3:A$502)-2),1)),""),""))</f>
        <v/>
      </c>
      <c r="I74" s="62" t="str">
        <f aca="false">IF(IFERROR(-INDEX(Expenses!D$3:D$1002,SMALL(IF((Expenses!E$3:E$1002="GBP")*(Expenses!A$3:A$1002=DATE(2026,4,9)),ROW(Expenses!A$3:A$1002)-2),1)),0)+IFERROR(INDEX(Income!C$3:C$502,SMALL(IF((Income!D$3:D$502="GBP")*(Income!A$3:A$502=DATE(2026,4,9)),ROW(Income!A$3:A$502)-2),1)),0)=0,"",IFERROR(-INDEX(Expenses!D$3:D$1002,SMALL(IF((Expenses!E$3:E$1002="GBP")*(Expenses!A$3:A$1002=DATE(2026,4,9)),ROW(Expenses!A$3:A$1002)-2),1)),0)+IFERROR(INDEX(Income!C$3:C$502,SMALL(IF((Income!D$3:D$502="GBP")*(Income!A$3:A$502=DATE(2026,4,9)),ROW(Income!A$3:A$502)-2),1)),0))</f>
        <v/>
      </c>
      <c r="J74" s="38" t="str">
        <f aca="false">IF(IFERROR(INDEX(Expenses!B$3:B$1002,SMALL(IF((Expenses!E$3:E$1002="GBP")*(Expenses!A$3:A$1002=DATE(2026,4,9)),ROW(Expenses!A$3:A$1002)-2),1)),"")&lt;&gt;"",IFERROR(INDEX(Expenses!B$3:B$1002,SMALL(IF((Expenses!E$3:E$1002="GBP")*(Expenses!A$3:A$1002=DATE(2026,4,9)),ROW(Expenses!A$3:A$1002)-2),1)),""),IF(IFERROR(INDEX(Income!B$3:B$502,SMALL(IF((Income!D$3:D$502="GBP")*(Income!A$3:A$502=DATE(2026,4,9)),ROW(Income!A$3:A$502)-2),1)),"")&lt;&gt;"",IFERROR(INDEX(Income!B$3:B$502,SMALL(IF((Income!D$3:D$502="GBP")*(Income!A$3:A$502=DATE(2026,4,9)),ROW(Income!A$3:A$502)-2),1)),""),""))</f>
        <v/>
      </c>
      <c r="K74" s="62" t="str">
        <f aca="false">IF(IFERROR(-INDEX(Expenses!D$3:D$1002,SMALL(IF((Expenses!E$3:E$1002="GBP")*(Expenses!A$3:A$1002=DATE(2026,4,10)),ROW(Expenses!A$3:A$1002)-2),1)),0)+IFERROR(INDEX(Income!C$3:C$502,SMALL(IF((Income!D$3:D$502="GBP")*(Income!A$3:A$502=DATE(2026,4,10)),ROW(Income!A$3:A$502)-2),1)),0)=0,"",IFERROR(-INDEX(Expenses!D$3:D$1002,SMALL(IF((Expenses!E$3:E$1002="GBP")*(Expenses!A$3:A$1002=DATE(2026,4,10)),ROW(Expenses!A$3:A$1002)-2),1)),0)+IFERROR(INDEX(Income!C$3:C$502,SMALL(IF((Income!D$3:D$502="GBP")*(Income!A$3:A$502=DATE(2026,4,10)),ROW(Income!A$3:A$502)-2),1)),0))</f>
        <v/>
      </c>
      <c r="L74" s="38" t="str">
        <f aca="false">IF(IFERROR(INDEX(Expenses!B$3:B$1002,SMALL(IF((Expenses!E$3:E$1002="GBP")*(Expenses!A$3:A$1002=DATE(2026,4,10)),ROW(Expenses!A$3:A$1002)-2),1)),"")&lt;&gt;"",IFERROR(INDEX(Expenses!B$3:B$1002,SMALL(IF((Expenses!E$3:E$1002="GBP")*(Expenses!A$3:A$1002=DATE(2026,4,10)),ROW(Expenses!A$3:A$1002)-2),1)),""),IF(IFERROR(INDEX(Income!B$3:B$502,SMALL(IF((Income!D$3:D$502="GBP")*(Income!A$3:A$502=DATE(2026,4,10)),ROW(Income!A$3:A$502)-2),1)),"")&lt;&gt;"",IFERROR(INDEX(Income!B$3:B$502,SMALL(IF((Income!D$3:D$502="GBP")*(Income!A$3:A$502=DATE(2026,4,10)),ROW(Income!A$3:A$502)-2),1)),""),""))</f>
        <v/>
      </c>
      <c r="M74" s="62" t="str">
        <f aca="false">IF(IFERROR(-INDEX(Expenses!D$3:D$1002,SMALL(IF((Expenses!E$3:E$1002="GBP")*(Expenses!A$3:A$1002=DATE(2026,4,11)),ROW(Expenses!A$3:A$1002)-2),1)),0)+IFERROR(INDEX(Income!C$3:C$502,SMALL(IF((Income!D$3:D$502="GBP")*(Income!A$3:A$502=DATE(2026,4,11)),ROW(Income!A$3:A$502)-2),1)),0)=0,"",IFERROR(-INDEX(Expenses!D$3:D$1002,SMALL(IF((Expenses!E$3:E$1002="GBP")*(Expenses!A$3:A$1002=DATE(2026,4,11)),ROW(Expenses!A$3:A$1002)-2),1)),0)+IFERROR(INDEX(Income!C$3:C$502,SMALL(IF((Income!D$3:D$502="GBP")*(Income!A$3:A$502=DATE(2026,4,11)),ROW(Income!A$3:A$502)-2),1)),0))</f>
        <v/>
      </c>
      <c r="N74" s="38" t="str">
        <f aca="false">IF(IFERROR(INDEX(Expenses!B$3:B$1002,SMALL(IF((Expenses!E$3:E$1002="GBP")*(Expenses!A$3:A$1002=DATE(2026,4,11)),ROW(Expenses!A$3:A$1002)-2),1)),"")&lt;&gt;"",IFERROR(INDEX(Expenses!B$3:B$1002,SMALL(IF((Expenses!E$3:E$1002="GBP")*(Expenses!A$3:A$1002=DATE(2026,4,11)),ROW(Expenses!A$3:A$1002)-2),1)),""),IF(IFERROR(INDEX(Income!B$3:B$502,SMALL(IF((Income!D$3:D$502="GBP")*(Income!A$3:A$502=DATE(2026,4,11)),ROW(Income!A$3:A$502)-2),1)),"")&lt;&gt;"",IFERROR(INDEX(Income!B$3:B$502,SMALL(IF((Income!D$3:D$502="GBP")*(Income!A$3:A$502=DATE(2026,4,11)),ROW(Income!A$3:A$502)-2),1)),""),""))</f>
        <v/>
      </c>
      <c r="O74" s="62" t="str">
        <f aca="false">IF(IFERROR(-INDEX(Expenses!D$3:D$1002,SMALL(IF((Expenses!E$3:E$1002="GBP")*(Expenses!A$3:A$1002=DATE(2026,4,12)),ROW(Expenses!A$3:A$1002)-2),1)),0)+IFERROR(INDEX(Income!C$3:C$502,SMALL(IF((Income!D$3:D$502="GBP")*(Income!A$3:A$502=DATE(2026,4,12)),ROW(Income!A$3:A$502)-2),1)),0)=0,"",IFERROR(-INDEX(Expenses!D$3:D$1002,SMALL(IF((Expenses!E$3:E$1002="GBP")*(Expenses!A$3:A$1002=DATE(2026,4,12)),ROW(Expenses!A$3:A$1002)-2),1)),0)+IFERROR(INDEX(Income!C$3:C$502,SMALL(IF((Income!D$3:D$502="GBP")*(Income!A$3:A$502=DATE(2026,4,12)),ROW(Income!A$3:A$502)-2),1)),0))</f>
        <v/>
      </c>
      <c r="P74" s="38" t="str">
        <f aca="false">IF(IFERROR(INDEX(Expenses!B$3:B$1002,SMALL(IF((Expenses!E$3:E$1002="GBP")*(Expenses!A$3:A$1002=DATE(2026,4,12)),ROW(Expenses!A$3:A$1002)-2),1)),"")&lt;&gt;"",IFERROR(INDEX(Expenses!B$3:B$1002,SMALL(IF((Expenses!E$3:E$1002="GBP")*(Expenses!A$3:A$1002=DATE(2026,4,12)),ROW(Expenses!A$3:A$1002)-2),1)),""),IF(IFERROR(INDEX(Income!B$3:B$502,SMALL(IF((Income!D$3:D$502="GBP")*(Income!A$3:A$502=DATE(2026,4,12)),ROW(Income!A$3:A$502)-2),1)),"")&lt;&gt;"",IFERROR(INDEX(Income!B$3:B$502,SMALL(IF((Income!D$3:D$502="GBP")*(Income!A$3:A$502=DATE(2026,4,12)),ROW(Income!A$3:A$502)-2),1)),""),""))</f>
        <v/>
      </c>
      <c r="Q74" s="3" t="n">
        <v>15</v>
      </c>
      <c r="R74" s="45" t="n">
        <f aca="false">SUM(C74:C78)+SUM(E74:E78)+SUM(G74:G78)+SUM(I74:I78)+SUM(K74:K78)+SUM(M74:M78)+SUM(O74:O78)</f>
        <v>0</v>
      </c>
    </row>
    <row r="75" customFormat="false" ht="15" hidden="false" customHeight="false" outlineLevel="0" collapsed="false">
      <c r="A75" s="16"/>
      <c r="B75" s="16"/>
      <c r="C75" s="62" t="str">
        <f aca="false">IF(IFERROR(-INDEX(Expenses!D$3:D$1002,SMALL(IF((Expenses!E$3:E$1002="GBP")*(Expenses!A$3:A$1002=DATE(2026,4,6)),ROW(Expenses!A$3:A$1002)-2),2)),0)+IFERROR(INDEX(Income!C$3:C$502,SMALL(IF((Income!D$3:D$502="GBP")*(Income!A$3:A$502=DATE(2026,4,6)),ROW(Income!A$3:A$502)-2),2)),0)=0,"",IFERROR(-INDEX(Expenses!D$3:D$1002,SMALL(IF((Expenses!E$3:E$1002="GBP")*(Expenses!A$3:A$1002=DATE(2026,4,6)),ROW(Expenses!A$3:A$1002)-2),2)),0)+IFERROR(INDEX(Income!C$3:C$502,SMALL(IF((Income!D$3:D$502="GBP")*(Income!A$3:A$502=DATE(2026,4,6)),ROW(Income!A$3:A$502)-2),2)),0))</f>
        <v/>
      </c>
      <c r="D75" s="38" t="str">
        <f aca="false">IF(IFERROR(INDEX(Expenses!B$3:B$1002,SMALL(IF((Expenses!E$3:E$1002="GBP")*(Expenses!A$3:A$1002=DATE(2026,4,6)),ROW(Expenses!A$3:A$1002)-2),2)),"")&lt;&gt;"",IFERROR(INDEX(Expenses!B$3:B$1002,SMALL(IF((Expenses!E$3:E$1002="GBP")*(Expenses!A$3:A$1002=DATE(2026,4,6)),ROW(Expenses!A$3:A$1002)-2),2)),""),IF(IFERROR(INDEX(Income!B$3:B$502,SMALL(IF((Income!D$3:D$502="GBP")*(Income!A$3:A$502=DATE(2026,4,6)),ROW(Income!A$3:A$502)-2),2)),"")&lt;&gt;"",IFERROR(INDEX(Income!B$3:B$502,SMALL(IF((Income!D$3:D$502="GBP")*(Income!A$3:A$502=DATE(2026,4,6)),ROW(Income!A$3:A$502)-2),2)),""),""))</f>
        <v/>
      </c>
      <c r="E75" s="62" t="str">
        <f aca="false">IF(IFERROR(-INDEX(Expenses!D$3:D$1002,SMALL(IF((Expenses!E$3:E$1002="GBP")*(Expenses!A$3:A$1002=DATE(2026,4,7)),ROW(Expenses!A$3:A$1002)-2),2)),0)+IFERROR(INDEX(Income!C$3:C$502,SMALL(IF((Income!D$3:D$502="GBP")*(Income!A$3:A$502=DATE(2026,4,7)),ROW(Income!A$3:A$502)-2),2)),0)=0,"",IFERROR(-INDEX(Expenses!D$3:D$1002,SMALL(IF((Expenses!E$3:E$1002="GBP")*(Expenses!A$3:A$1002=DATE(2026,4,7)),ROW(Expenses!A$3:A$1002)-2),2)),0)+IFERROR(INDEX(Income!C$3:C$502,SMALL(IF((Income!D$3:D$502="GBP")*(Income!A$3:A$502=DATE(2026,4,7)),ROW(Income!A$3:A$502)-2),2)),0))</f>
        <v/>
      </c>
      <c r="F75" s="38" t="str">
        <f aca="false">IF(IFERROR(INDEX(Expenses!B$3:B$1002,SMALL(IF((Expenses!E$3:E$1002="GBP")*(Expenses!A$3:A$1002=DATE(2026,4,7)),ROW(Expenses!A$3:A$1002)-2),2)),"")&lt;&gt;"",IFERROR(INDEX(Expenses!B$3:B$1002,SMALL(IF((Expenses!E$3:E$1002="GBP")*(Expenses!A$3:A$1002=DATE(2026,4,7)),ROW(Expenses!A$3:A$1002)-2),2)),""),IF(IFERROR(INDEX(Income!B$3:B$502,SMALL(IF((Income!D$3:D$502="GBP")*(Income!A$3:A$502=DATE(2026,4,7)),ROW(Income!A$3:A$502)-2),2)),"")&lt;&gt;"",IFERROR(INDEX(Income!B$3:B$502,SMALL(IF((Income!D$3:D$502="GBP")*(Income!A$3:A$502=DATE(2026,4,7)),ROW(Income!A$3:A$502)-2),2)),""),""))</f>
        <v/>
      </c>
      <c r="G75" s="62" t="str">
        <f aca="false">IF(IFERROR(-INDEX(Expenses!D$3:D$1002,SMALL(IF((Expenses!E$3:E$1002="GBP")*(Expenses!A$3:A$1002=DATE(2026,4,8)),ROW(Expenses!A$3:A$1002)-2),2)),0)+IFERROR(INDEX(Income!C$3:C$502,SMALL(IF((Income!D$3:D$502="GBP")*(Income!A$3:A$502=DATE(2026,4,8)),ROW(Income!A$3:A$502)-2),2)),0)=0,"",IFERROR(-INDEX(Expenses!D$3:D$1002,SMALL(IF((Expenses!E$3:E$1002="GBP")*(Expenses!A$3:A$1002=DATE(2026,4,8)),ROW(Expenses!A$3:A$1002)-2),2)),0)+IFERROR(INDEX(Income!C$3:C$502,SMALL(IF((Income!D$3:D$502="GBP")*(Income!A$3:A$502=DATE(2026,4,8)),ROW(Income!A$3:A$502)-2),2)),0))</f>
        <v/>
      </c>
      <c r="H75" s="38" t="str">
        <f aca="false">IF(IFERROR(INDEX(Expenses!B$3:B$1002,SMALL(IF((Expenses!E$3:E$1002="GBP")*(Expenses!A$3:A$1002=DATE(2026,4,8)),ROW(Expenses!A$3:A$1002)-2),2)),"")&lt;&gt;"",IFERROR(INDEX(Expenses!B$3:B$1002,SMALL(IF((Expenses!E$3:E$1002="GBP")*(Expenses!A$3:A$1002=DATE(2026,4,8)),ROW(Expenses!A$3:A$1002)-2),2)),""),IF(IFERROR(INDEX(Income!B$3:B$502,SMALL(IF((Income!D$3:D$502="GBP")*(Income!A$3:A$502=DATE(2026,4,8)),ROW(Income!A$3:A$502)-2),2)),"")&lt;&gt;"",IFERROR(INDEX(Income!B$3:B$502,SMALL(IF((Income!D$3:D$502="GBP")*(Income!A$3:A$502=DATE(2026,4,8)),ROW(Income!A$3:A$502)-2),2)),""),""))</f>
        <v/>
      </c>
      <c r="I75" s="62" t="str">
        <f aca="false">IF(IFERROR(-INDEX(Expenses!D$3:D$1002,SMALL(IF((Expenses!E$3:E$1002="GBP")*(Expenses!A$3:A$1002=DATE(2026,4,9)),ROW(Expenses!A$3:A$1002)-2),2)),0)+IFERROR(INDEX(Income!C$3:C$502,SMALL(IF((Income!D$3:D$502="GBP")*(Income!A$3:A$502=DATE(2026,4,9)),ROW(Income!A$3:A$502)-2),2)),0)=0,"",IFERROR(-INDEX(Expenses!D$3:D$1002,SMALL(IF((Expenses!E$3:E$1002="GBP")*(Expenses!A$3:A$1002=DATE(2026,4,9)),ROW(Expenses!A$3:A$1002)-2),2)),0)+IFERROR(INDEX(Income!C$3:C$502,SMALL(IF((Income!D$3:D$502="GBP")*(Income!A$3:A$502=DATE(2026,4,9)),ROW(Income!A$3:A$502)-2),2)),0))</f>
        <v/>
      </c>
      <c r="J75" s="38" t="str">
        <f aca="false">IF(IFERROR(INDEX(Expenses!B$3:B$1002,SMALL(IF((Expenses!E$3:E$1002="GBP")*(Expenses!A$3:A$1002=DATE(2026,4,9)),ROW(Expenses!A$3:A$1002)-2),2)),"")&lt;&gt;"",IFERROR(INDEX(Expenses!B$3:B$1002,SMALL(IF((Expenses!E$3:E$1002="GBP")*(Expenses!A$3:A$1002=DATE(2026,4,9)),ROW(Expenses!A$3:A$1002)-2),2)),""),IF(IFERROR(INDEX(Income!B$3:B$502,SMALL(IF((Income!D$3:D$502="GBP")*(Income!A$3:A$502=DATE(2026,4,9)),ROW(Income!A$3:A$502)-2),2)),"")&lt;&gt;"",IFERROR(INDEX(Income!B$3:B$502,SMALL(IF((Income!D$3:D$502="GBP")*(Income!A$3:A$502=DATE(2026,4,9)),ROW(Income!A$3:A$502)-2),2)),""),""))</f>
        <v/>
      </c>
      <c r="K75" s="62" t="str">
        <f aca="false">IF(IFERROR(-INDEX(Expenses!D$3:D$1002,SMALL(IF((Expenses!E$3:E$1002="GBP")*(Expenses!A$3:A$1002=DATE(2026,4,10)),ROW(Expenses!A$3:A$1002)-2),2)),0)+IFERROR(INDEX(Income!C$3:C$502,SMALL(IF((Income!D$3:D$502="GBP")*(Income!A$3:A$502=DATE(2026,4,10)),ROW(Income!A$3:A$502)-2),2)),0)=0,"",IFERROR(-INDEX(Expenses!D$3:D$1002,SMALL(IF((Expenses!E$3:E$1002="GBP")*(Expenses!A$3:A$1002=DATE(2026,4,10)),ROW(Expenses!A$3:A$1002)-2),2)),0)+IFERROR(INDEX(Income!C$3:C$502,SMALL(IF((Income!D$3:D$502="GBP")*(Income!A$3:A$502=DATE(2026,4,10)),ROW(Income!A$3:A$502)-2),2)),0))</f>
        <v/>
      </c>
      <c r="L75" s="38" t="str">
        <f aca="false">IF(IFERROR(INDEX(Expenses!B$3:B$1002,SMALL(IF((Expenses!E$3:E$1002="GBP")*(Expenses!A$3:A$1002=DATE(2026,4,10)),ROW(Expenses!A$3:A$1002)-2),2)),"")&lt;&gt;"",IFERROR(INDEX(Expenses!B$3:B$1002,SMALL(IF((Expenses!E$3:E$1002="GBP")*(Expenses!A$3:A$1002=DATE(2026,4,10)),ROW(Expenses!A$3:A$1002)-2),2)),""),IF(IFERROR(INDEX(Income!B$3:B$502,SMALL(IF((Income!D$3:D$502="GBP")*(Income!A$3:A$502=DATE(2026,4,10)),ROW(Income!A$3:A$502)-2),2)),"")&lt;&gt;"",IFERROR(INDEX(Income!B$3:B$502,SMALL(IF((Income!D$3:D$502="GBP")*(Income!A$3:A$502=DATE(2026,4,10)),ROW(Income!A$3:A$502)-2),2)),""),""))</f>
        <v/>
      </c>
      <c r="M75" s="62" t="str">
        <f aca="false">IF(IFERROR(-INDEX(Expenses!D$3:D$1002,SMALL(IF((Expenses!E$3:E$1002="GBP")*(Expenses!A$3:A$1002=DATE(2026,4,11)),ROW(Expenses!A$3:A$1002)-2),2)),0)+IFERROR(INDEX(Income!C$3:C$502,SMALL(IF((Income!D$3:D$502="GBP")*(Income!A$3:A$502=DATE(2026,4,11)),ROW(Income!A$3:A$502)-2),2)),0)=0,"",IFERROR(-INDEX(Expenses!D$3:D$1002,SMALL(IF((Expenses!E$3:E$1002="GBP")*(Expenses!A$3:A$1002=DATE(2026,4,11)),ROW(Expenses!A$3:A$1002)-2),2)),0)+IFERROR(INDEX(Income!C$3:C$502,SMALL(IF((Income!D$3:D$502="GBP")*(Income!A$3:A$502=DATE(2026,4,11)),ROW(Income!A$3:A$502)-2),2)),0))</f>
        <v/>
      </c>
      <c r="N75" s="38" t="str">
        <f aca="false">IF(IFERROR(INDEX(Expenses!B$3:B$1002,SMALL(IF((Expenses!E$3:E$1002="GBP")*(Expenses!A$3:A$1002=DATE(2026,4,11)),ROW(Expenses!A$3:A$1002)-2),2)),"")&lt;&gt;"",IFERROR(INDEX(Expenses!B$3:B$1002,SMALL(IF((Expenses!E$3:E$1002="GBP")*(Expenses!A$3:A$1002=DATE(2026,4,11)),ROW(Expenses!A$3:A$1002)-2),2)),""),IF(IFERROR(INDEX(Income!B$3:B$502,SMALL(IF((Income!D$3:D$502="GBP")*(Income!A$3:A$502=DATE(2026,4,11)),ROW(Income!A$3:A$502)-2),2)),"")&lt;&gt;"",IFERROR(INDEX(Income!B$3:B$502,SMALL(IF((Income!D$3:D$502="GBP")*(Income!A$3:A$502=DATE(2026,4,11)),ROW(Income!A$3:A$502)-2),2)),""),""))</f>
        <v/>
      </c>
      <c r="O75" s="62" t="str">
        <f aca="false">IF(IFERROR(-INDEX(Expenses!D$3:D$1002,SMALL(IF((Expenses!E$3:E$1002="GBP")*(Expenses!A$3:A$1002=DATE(2026,4,12)),ROW(Expenses!A$3:A$1002)-2),2)),0)+IFERROR(INDEX(Income!C$3:C$502,SMALL(IF((Income!D$3:D$502="GBP")*(Income!A$3:A$502=DATE(2026,4,12)),ROW(Income!A$3:A$502)-2),2)),0)=0,"",IFERROR(-INDEX(Expenses!D$3:D$1002,SMALL(IF((Expenses!E$3:E$1002="GBP")*(Expenses!A$3:A$1002=DATE(2026,4,12)),ROW(Expenses!A$3:A$1002)-2),2)),0)+IFERROR(INDEX(Income!C$3:C$502,SMALL(IF((Income!D$3:D$502="GBP")*(Income!A$3:A$502=DATE(2026,4,12)),ROW(Income!A$3:A$502)-2),2)),0))</f>
        <v/>
      </c>
      <c r="P75" s="38" t="str">
        <f aca="false">IF(IFERROR(INDEX(Expenses!B$3:B$1002,SMALL(IF((Expenses!E$3:E$1002="GBP")*(Expenses!A$3:A$1002=DATE(2026,4,12)),ROW(Expenses!A$3:A$1002)-2),2)),"")&lt;&gt;"",IFERROR(INDEX(Expenses!B$3:B$1002,SMALL(IF((Expenses!E$3:E$1002="GBP")*(Expenses!A$3:A$1002=DATE(2026,4,12)),ROW(Expenses!A$3:A$1002)-2),2)),""),IF(IFERROR(INDEX(Income!B$3:B$502,SMALL(IF((Income!D$3:D$502="GBP")*(Income!A$3:A$502=DATE(2026,4,12)),ROW(Income!A$3:A$502)-2),2)),"")&lt;&gt;"",IFERROR(INDEX(Income!B$3:B$502,SMALL(IF((Income!D$3:D$502="GBP")*(Income!A$3:A$502=DATE(2026,4,12)),ROW(Income!A$3:A$502)-2),2)),""),""))</f>
        <v/>
      </c>
      <c r="Q75" s="16"/>
      <c r="R75" s="16"/>
    </row>
    <row r="76" customFormat="false" ht="15" hidden="false" customHeight="false" outlineLevel="0" collapsed="false">
      <c r="A76" s="16"/>
      <c r="B76" s="16"/>
      <c r="C76" s="62" t="str">
        <f aca="false">IF(IFERROR(-INDEX(Expenses!D$3:D$1002,SMALL(IF((Expenses!E$3:E$1002="GBP")*(Expenses!A$3:A$1002=DATE(2026,4,6)),ROW(Expenses!A$3:A$1002)-2),3)),0)+IFERROR(INDEX(Income!C$3:C$502,SMALL(IF((Income!D$3:D$502="GBP")*(Income!A$3:A$502=DATE(2026,4,6)),ROW(Income!A$3:A$502)-2),3)),0)=0,"",IFERROR(-INDEX(Expenses!D$3:D$1002,SMALL(IF((Expenses!E$3:E$1002="GBP")*(Expenses!A$3:A$1002=DATE(2026,4,6)),ROW(Expenses!A$3:A$1002)-2),3)),0)+IFERROR(INDEX(Income!C$3:C$502,SMALL(IF((Income!D$3:D$502="GBP")*(Income!A$3:A$502=DATE(2026,4,6)),ROW(Income!A$3:A$502)-2),3)),0))</f>
        <v/>
      </c>
      <c r="D76" s="38" t="str">
        <f aca="false">IF(IFERROR(INDEX(Expenses!B$3:B$1002,SMALL(IF((Expenses!E$3:E$1002="GBP")*(Expenses!A$3:A$1002=DATE(2026,4,6)),ROW(Expenses!A$3:A$1002)-2),3)),"")&lt;&gt;"",IFERROR(INDEX(Expenses!B$3:B$1002,SMALL(IF((Expenses!E$3:E$1002="GBP")*(Expenses!A$3:A$1002=DATE(2026,4,6)),ROW(Expenses!A$3:A$1002)-2),3)),""),IF(IFERROR(INDEX(Income!B$3:B$502,SMALL(IF((Income!D$3:D$502="GBP")*(Income!A$3:A$502=DATE(2026,4,6)),ROW(Income!A$3:A$502)-2),3)),"")&lt;&gt;"",IFERROR(INDEX(Income!B$3:B$502,SMALL(IF((Income!D$3:D$502="GBP")*(Income!A$3:A$502=DATE(2026,4,6)),ROW(Income!A$3:A$502)-2),3)),""),""))</f>
        <v/>
      </c>
      <c r="E76" s="62" t="str">
        <f aca="false">IF(IFERROR(-INDEX(Expenses!D$3:D$1002,SMALL(IF((Expenses!E$3:E$1002="GBP")*(Expenses!A$3:A$1002=DATE(2026,4,7)),ROW(Expenses!A$3:A$1002)-2),3)),0)+IFERROR(INDEX(Income!C$3:C$502,SMALL(IF((Income!D$3:D$502="GBP")*(Income!A$3:A$502=DATE(2026,4,7)),ROW(Income!A$3:A$502)-2),3)),0)=0,"",IFERROR(-INDEX(Expenses!D$3:D$1002,SMALL(IF((Expenses!E$3:E$1002="GBP")*(Expenses!A$3:A$1002=DATE(2026,4,7)),ROW(Expenses!A$3:A$1002)-2),3)),0)+IFERROR(INDEX(Income!C$3:C$502,SMALL(IF((Income!D$3:D$502="GBP")*(Income!A$3:A$502=DATE(2026,4,7)),ROW(Income!A$3:A$502)-2),3)),0))</f>
        <v/>
      </c>
      <c r="F76" s="38" t="str">
        <f aca="false">IF(IFERROR(INDEX(Expenses!B$3:B$1002,SMALL(IF((Expenses!E$3:E$1002="GBP")*(Expenses!A$3:A$1002=DATE(2026,4,7)),ROW(Expenses!A$3:A$1002)-2),3)),"")&lt;&gt;"",IFERROR(INDEX(Expenses!B$3:B$1002,SMALL(IF((Expenses!E$3:E$1002="GBP")*(Expenses!A$3:A$1002=DATE(2026,4,7)),ROW(Expenses!A$3:A$1002)-2),3)),""),IF(IFERROR(INDEX(Income!B$3:B$502,SMALL(IF((Income!D$3:D$502="GBP")*(Income!A$3:A$502=DATE(2026,4,7)),ROW(Income!A$3:A$502)-2),3)),"")&lt;&gt;"",IFERROR(INDEX(Income!B$3:B$502,SMALL(IF((Income!D$3:D$502="GBP")*(Income!A$3:A$502=DATE(2026,4,7)),ROW(Income!A$3:A$502)-2),3)),""),""))</f>
        <v/>
      </c>
      <c r="G76" s="62" t="str">
        <f aca="false">IF(IFERROR(-INDEX(Expenses!D$3:D$1002,SMALL(IF((Expenses!E$3:E$1002="GBP")*(Expenses!A$3:A$1002=DATE(2026,4,8)),ROW(Expenses!A$3:A$1002)-2),3)),0)+IFERROR(INDEX(Income!C$3:C$502,SMALL(IF((Income!D$3:D$502="GBP")*(Income!A$3:A$502=DATE(2026,4,8)),ROW(Income!A$3:A$502)-2),3)),0)=0,"",IFERROR(-INDEX(Expenses!D$3:D$1002,SMALL(IF((Expenses!E$3:E$1002="GBP")*(Expenses!A$3:A$1002=DATE(2026,4,8)),ROW(Expenses!A$3:A$1002)-2),3)),0)+IFERROR(INDEX(Income!C$3:C$502,SMALL(IF((Income!D$3:D$502="GBP")*(Income!A$3:A$502=DATE(2026,4,8)),ROW(Income!A$3:A$502)-2),3)),0))</f>
        <v/>
      </c>
      <c r="H76" s="38" t="str">
        <f aca="false">IF(IFERROR(INDEX(Expenses!B$3:B$1002,SMALL(IF((Expenses!E$3:E$1002="GBP")*(Expenses!A$3:A$1002=DATE(2026,4,8)),ROW(Expenses!A$3:A$1002)-2),3)),"")&lt;&gt;"",IFERROR(INDEX(Expenses!B$3:B$1002,SMALL(IF((Expenses!E$3:E$1002="GBP")*(Expenses!A$3:A$1002=DATE(2026,4,8)),ROW(Expenses!A$3:A$1002)-2),3)),""),IF(IFERROR(INDEX(Income!B$3:B$502,SMALL(IF((Income!D$3:D$502="GBP")*(Income!A$3:A$502=DATE(2026,4,8)),ROW(Income!A$3:A$502)-2),3)),"")&lt;&gt;"",IFERROR(INDEX(Income!B$3:B$502,SMALL(IF((Income!D$3:D$502="GBP")*(Income!A$3:A$502=DATE(2026,4,8)),ROW(Income!A$3:A$502)-2),3)),""),""))</f>
        <v/>
      </c>
      <c r="I76" s="62" t="str">
        <f aca="false">IF(IFERROR(-INDEX(Expenses!D$3:D$1002,SMALL(IF((Expenses!E$3:E$1002="GBP")*(Expenses!A$3:A$1002=DATE(2026,4,9)),ROW(Expenses!A$3:A$1002)-2),3)),0)+IFERROR(INDEX(Income!C$3:C$502,SMALL(IF((Income!D$3:D$502="GBP")*(Income!A$3:A$502=DATE(2026,4,9)),ROW(Income!A$3:A$502)-2),3)),0)=0,"",IFERROR(-INDEX(Expenses!D$3:D$1002,SMALL(IF((Expenses!E$3:E$1002="GBP")*(Expenses!A$3:A$1002=DATE(2026,4,9)),ROW(Expenses!A$3:A$1002)-2),3)),0)+IFERROR(INDEX(Income!C$3:C$502,SMALL(IF((Income!D$3:D$502="GBP")*(Income!A$3:A$502=DATE(2026,4,9)),ROW(Income!A$3:A$502)-2),3)),0))</f>
        <v/>
      </c>
      <c r="J76" s="38" t="str">
        <f aca="false">IF(IFERROR(INDEX(Expenses!B$3:B$1002,SMALL(IF((Expenses!E$3:E$1002="GBP")*(Expenses!A$3:A$1002=DATE(2026,4,9)),ROW(Expenses!A$3:A$1002)-2),3)),"")&lt;&gt;"",IFERROR(INDEX(Expenses!B$3:B$1002,SMALL(IF((Expenses!E$3:E$1002="GBP")*(Expenses!A$3:A$1002=DATE(2026,4,9)),ROW(Expenses!A$3:A$1002)-2),3)),""),IF(IFERROR(INDEX(Income!B$3:B$502,SMALL(IF((Income!D$3:D$502="GBP")*(Income!A$3:A$502=DATE(2026,4,9)),ROW(Income!A$3:A$502)-2),3)),"")&lt;&gt;"",IFERROR(INDEX(Income!B$3:B$502,SMALL(IF((Income!D$3:D$502="GBP")*(Income!A$3:A$502=DATE(2026,4,9)),ROW(Income!A$3:A$502)-2),3)),""),""))</f>
        <v/>
      </c>
      <c r="K76" s="62" t="str">
        <f aca="false">IF(IFERROR(-INDEX(Expenses!D$3:D$1002,SMALL(IF((Expenses!E$3:E$1002="GBP")*(Expenses!A$3:A$1002=DATE(2026,4,10)),ROW(Expenses!A$3:A$1002)-2),3)),0)+IFERROR(INDEX(Income!C$3:C$502,SMALL(IF((Income!D$3:D$502="GBP")*(Income!A$3:A$502=DATE(2026,4,10)),ROW(Income!A$3:A$502)-2),3)),0)=0,"",IFERROR(-INDEX(Expenses!D$3:D$1002,SMALL(IF((Expenses!E$3:E$1002="GBP")*(Expenses!A$3:A$1002=DATE(2026,4,10)),ROW(Expenses!A$3:A$1002)-2),3)),0)+IFERROR(INDEX(Income!C$3:C$502,SMALL(IF((Income!D$3:D$502="GBP")*(Income!A$3:A$502=DATE(2026,4,10)),ROW(Income!A$3:A$502)-2),3)),0))</f>
        <v/>
      </c>
      <c r="L76" s="38" t="str">
        <f aca="false">IF(IFERROR(INDEX(Expenses!B$3:B$1002,SMALL(IF((Expenses!E$3:E$1002="GBP")*(Expenses!A$3:A$1002=DATE(2026,4,10)),ROW(Expenses!A$3:A$1002)-2),3)),"")&lt;&gt;"",IFERROR(INDEX(Expenses!B$3:B$1002,SMALL(IF((Expenses!E$3:E$1002="GBP")*(Expenses!A$3:A$1002=DATE(2026,4,10)),ROW(Expenses!A$3:A$1002)-2),3)),""),IF(IFERROR(INDEX(Income!B$3:B$502,SMALL(IF((Income!D$3:D$502="GBP")*(Income!A$3:A$502=DATE(2026,4,10)),ROW(Income!A$3:A$502)-2),3)),"")&lt;&gt;"",IFERROR(INDEX(Income!B$3:B$502,SMALL(IF((Income!D$3:D$502="GBP")*(Income!A$3:A$502=DATE(2026,4,10)),ROW(Income!A$3:A$502)-2),3)),""),""))</f>
        <v/>
      </c>
      <c r="M76" s="62" t="str">
        <f aca="false">IF(IFERROR(-INDEX(Expenses!D$3:D$1002,SMALL(IF((Expenses!E$3:E$1002="GBP")*(Expenses!A$3:A$1002=DATE(2026,4,11)),ROW(Expenses!A$3:A$1002)-2),3)),0)+IFERROR(INDEX(Income!C$3:C$502,SMALL(IF((Income!D$3:D$502="GBP")*(Income!A$3:A$502=DATE(2026,4,11)),ROW(Income!A$3:A$502)-2),3)),0)=0,"",IFERROR(-INDEX(Expenses!D$3:D$1002,SMALL(IF((Expenses!E$3:E$1002="GBP")*(Expenses!A$3:A$1002=DATE(2026,4,11)),ROW(Expenses!A$3:A$1002)-2),3)),0)+IFERROR(INDEX(Income!C$3:C$502,SMALL(IF((Income!D$3:D$502="GBP")*(Income!A$3:A$502=DATE(2026,4,11)),ROW(Income!A$3:A$502)-2),3)),0))</f>
        <v/>
      </c>
      <c r="N76" s="38" t="str">
        <f aca="false">IF(IFERROR(INDEX(Expenses!B$3:B$1002,SMALL(IF((Expenses!E$3:E$1002="GBP")*(Expenses!A$3:A$1002=DATE(2026,4,11)),ROW(Expenses!A$3:A$1002)-2),3)),"")&lt;&gt;"",IFERROR(INDEX(Expenses!B$3:B$1002,SMALL(IF((Expenses!E$3:E$1002="GBP")*(Expenses!A$3:A$1002=DATE(2026,4,11)),ROW(Expenses!A$3:A$1002)-2),3)),""),IF(IFERROR(INDEX(Income!B$3:B$502,SMALL(IF((Income!D$3:D$502="GBP")*(Income!A$3:A$502=DATE(2026,4,11)),ROW(Income!A$3:A$502)-2),3)),"")&lt;&gt;"",IFERROR(INDEX(Income!B$3:B$502,SMALL(IF((Income!D$3:D$502="GBP")*(Income!A$3:A$502=DATE(2026,4,11)),ROW(Income!A$3:A$502)-2),3)),""),""))</f>
        <v/>
      </c>
      <c r="O76" s="62" t="str">
        <f aca="false">IF(IFERROR(-INDEX(Expenses!D$3:D$1002,SMALL(IF((Expenses!E$3:E$1002="GBP")*(Expenses!A$3:A$1002=DATE(2026,4,12)),ROW(Expenses!A$3:A$1002)-2),3)),0)+IFERROR(INDEX(Income!C$3:C$502,SMALL(IF((Income!D$3:D$502="GBP")*(Income!A$3:A$502=DATE(2026,4,12)),ROW(Income!A$3:A$502)-2),3)),0)=0,"",IFERROR(-INDEX(Expenses!D$3:D$1002,SMALL(IF((Expenses!E$3:E$1002="GBP")*(Expenses!A$3:A$1002=DATE(2026,4,12)),ROW(Expenses!A$3:A$1002)-2),3)),0)+IFERROR(INDEX(Income!C$3:C$502,SMALL(IF((Income!D$3:D$502="GBP")*(Income!A$3:A$502=DATE(2026,4,12)),ROW(Income!A$3:A$502)-2),3)),0))</f>
        <v/>
      </c>
      <c r="P76" s="38" t="str">
        <f aca="false">IF(IFERROR(INDEX(Expenses!B$3:B$1002,SMALL(IF((Expenses!E$3:E$1002="GBP")*(Expenses!A$3:A$1002=DATE(2026,4,12)),ROW(Expenses!A$3:A$1002)-2),3)),"")&lt;&gt;"",IFERROR(INDEX(Expenses!B$3:B$1002,SMALL(IF((Expenses!E$3:E$1002="GBP")*(Expenses!A$3:A$1002=DATE(2026,4,12)),ROW(Expenses!A$3:A$1002)-2),3)),""),IF(IFERROR(INDEX(Income!B$3:B$502,SMALL(IF((Income!D$3:D$502="GBP")*(Income!A$3:A$502=DATE(2026,4,12)),ROW(Income!A$3:A$502)-2),3)),"")&lt;&gt;"",IFERROR(INDEX(Income!B$3:B$502,SMALL(IF((Income!D$3:D$502="GBP")*(Income!A$3:A$502=DATE(2026,4,12)),ROW(Income!A$3:A$502)-2),3)),""),""))</f>
        <v/>
      </c>
      <c r="Q76" s="16"/>
      <c r="R76" s="16"/>
    </row>
    <row r="77" customFormat="false" ht="15" hidden="false" customHeight="false" outlineLevel="0" collapsed="false">
      <c r="A77" s="16"/>
      <c r="B77" s="16"/>
      <c r="C77" s="62" t="str">
        <f aca="false">IF(IFERROR(-INDEX(Expenses!D$3:D$1002,SMALL(IF((Expenses!E$3:E$1002="GBP")*(Expenses!A$3:A$1002=DATE(2026,4,6)),ROW(Expenses!A$3:A$1002)-2),4)),0)+IFERROR(INDEX(Income!C$3:C$502,SMALL(IF((Income!D$3:D$502="GBP")*(Income!A$3:A$502=DATE(2026,4,6)),ROW(Income!A$3:A$502)-2),4)),0)=0,"",IFERROR(-INDEX(Expenses!D$3:D$1002,SMALL(IF((Expenses!E$3:E$1002="GBP")*(Expenses!A$3:A$1002=DATE(2026,4,6)),ROW(Expenses!A$3:A$1002)-2),4)),0)+IFERROR(INDEX(Income!C$3:C$502,SMALL(IF((Income!D$3:D$502="GBP")*(Income!A$3:A$502=DATE(2026,4,6)),ROW(Income!A$3:A$502)-2),4)),0))</f>
        <v/>
      </c>
      <c r="D77" s="38" t="str">
        <f aca="false">IF(IFERROR(INDEX(Expenses!B$3:B$1002,SMALL(IF((Expenses!E$3:E$1002="GBP")*(Expenses!A$3:A$1002=DATE(2026,4,6)),ROW(Expenses!A$3:A$1002)-2),4)),"")&lt;&gt;"",IFERROR(INDEX(Expenses!B$3:B$1002,SMALL(IF((Expenses!E$3:E$1002="GBP")*(Expenses!A$3:A$1002=DATE(2026,4,6)),ROW(Expenses!A$3:A$1002)-2),4)),""),IF(IFERROR(INDEX(Income!B$3:B$502,SMALL(IF((Income!D$3:D$502="GBP")*(Income!A$3:A$502=DATE(2026,4,6)),ROW(Income!A$3:A$502)-2),4)),"")&lt;&gt;"",IFERROR(INDEX(Income!B$3:B$502,SMALL(IF((Income!D$3:D$502="GBP")*(Income!A$3:A$502=DATE(2026,4,6)),ROW(Income!A$3:A$502)-2),4)),""),""))</f>
        <v/>
      </c>
      <c r="E77" s="62" t="str">
        <f aca="false">IF(IFERROR(-INDEX(Expenses!D$3:D$1002,SMALL(IF((Expenses!E$3:E$1002="GBP")*(Expenses!A$3:A$1002=DATE(2026,4,7)),ROW(Expenses!A$3:A$1002)-2),4)),0)+IFERROR(INDEX(Income!C$3:C$502,SMALL(IF((Income!D$3:D$502="GBP")*(Income!A$3:A$502=DATE(2026,4,7)),ROW(Income!A$3:A$502)-2),4)),0)=0,"",IFERROR(-INDEX(Expenses!D$3:D$1002,SMALL(IF((Expenses!E$3:E$1002="GBP")*(Expenses!A$3:A$1002=DATE(2026,4,7)),ROW(Expenses!A$3:A$1002)-2),4)),0)+IFERROR(INDEX(Income!C$3:C$502,SMALL(IF((Income!D$3:D$502="GBP")*(Income!A$3:A$502=DATE(2026,4,7)),ROW(Income!A$3:A$502)-2),4)),0))</f>
        <v/>
      </c>
      <c r="F77" s="38" t="str">
        <f aca="false">IF(IFERROR(INDEX(Expenses!B$3:B$1002,SMALL(IF((Expenses!E$3:E$1002="GBP")*(Expenses!A$3:A$1002=DATE(2026,4,7)),ROW(Expenses!A$3:A$1002)-2),4)),"")&lt;&gt;"",IFERROR(INDEX(Expenses!B$3:B$1002,SMALL(IF((Expenses!E$3:E$1002="GBP")*(Expenses!A$3:A$1002=DATE(2026,4,7)),ROW(Expenses!A$3:A$1002)-2),4)),""),IF(IFERROR(INDEX(Income!B$3:B$502,SMALL(IF((Income!D$3:D$502="GBP")*(Income!A$3:A$502=DATE(2026,4,7)),ROW(Income!A$3:A$502)-2),4)),"")&lt;&gt;"",IFERROR(INDEX(Income!B$3:B$502,SMALL(IF((Income!D$3:D$502="GBP")*(Income!A$3:A$502=DATE(2026,4,7)),ROW(Income!A$3:A$502)-2),4)),""),""))</f>
        <v/>
      </c>
      <c r="G77" s="62" t="str">
        <f aca="false">IF(IFERROR(-INDEX(Expenses!D$3:D$1002,SMALL(IF((Expenses!E$3:E$1002="GBP")*(Expenses!A$3:A$1002=DATE(2026,4,8)),ROW(Expenses!A$3:A$1002)-2),4)),0)+IFERROR(INDEX(Income!C$3:C$502,SMALL(IF((Income!D$3:D$502="GBP")*(Income!A$3:A$502=DATE(2026,4,8)),ROW(Income!A$3:A$502)-2),4)),0)=0,"",IFERROR(-INDEX(Expenses!D$3:D$1002,SMALL(IF((Expenses!E$3:E$1002="GBP")*(Expenses!A$3:A$1002=DATE(2026,4,8)),ROW(Expenses!A$3:A$1002)-2),4)),0)+IFERROR(INDEX(Income!C$3:C$502,SMALL(IF((Income!D$3:D$502="GBP")*(Income!A$3:A$502=DATE(2026,4,8)),ROW(Income!A$3:A$502)-2),4)),0))</f>
        <v/>
      </c>
      <c r="H77" s="38" t="str">
        <f aca="false">IF(IFERROR(INDEX(Expenses!B$3:B$1002,SMALL(IF((Expenses!E$3:E$1002="GBP")*(Expenses!A$3:A$1002=DATE(2026,4,8)),ROW(Expenses!A$3:A$1002)-2),4)),"")&lt;&gt;"",IFERROR(INDEX(Expenses!B$3:B$1002,SMALL(IF((Expenses!E$3:E$1002="GBP")*(Expenses!A$3:A$1002=DATE(2026,4,8)),ROW(Expenses!A$3:A$1002)-2),4)),""),IF(IFERROR(INDEX(Income!B$3:B$502,SMALL(IF((Income!D$3:D$502="GBP")*(Income!A$3:A$502=DATE(2026,4,8)),ROW(Income!A$3:A$502)-2),4)),"")&lt;&gt;"",IFERROR(INDEX(Income!B$3:B$502,SMALL(IF((Income!D$3:D$502="GBP")*(Income!A$3:A$502=DATE(2026,4,8)),ROW(Income!A$3:A$502)-2),4)),""),""))</f>
        <v/>
      </c>
      <c r="I77" s="62" t="str">
        <f aca="false">IF(IFERROR(-INDEX(Expenses!D$3:D$1002,SMALL(IF((Expenses!E$3:E$1002="GBP")*(Expenses!A$3:A$1002=DATE(2026,4,9)),ROW(Expenses!A$3:A$1002)-2),4)),0)+IFERROR(INDEX(Income!C$3:C$502,SMALL(IF((Income!D$3:D$502="GBP")*(Income!A$3:A$502=DATE(2026,4,9)),ROW(Income!A$3:A$502)-2),4)),0)=0,"",IFERROR(-INDEX(Expenses!D$3:D$1002,SMALL(IF((Expenses!E$3:E$1002="GBP")*(Expenses!A$3:A$1002=DATE(2026,4,9)),ROW(Expenses!A$3:A$1002)-2),4)),0)+IFERROR(INDEX(Income!C$3:C$502,SMALL(IF((Income!D$3:D$502="GBP")*(Income!A$3:A$502=DATE(2026,4,9)),ROW(Income!A$3:A$502)-2),4)),0))</f>
        <v/>
      </c>
      <c r="J77" s="38" t="str">
        <f aca="false">IF(IFERROR(INDEX(Expenses!B$3:B$1002,SMALL(IF((Expenses!E$3:E$1002="GBP")*(Expenses!A$3:A$1002=DATE(2026,4,9)),ROW(Expenses!A$3:A$1002)-2),4)),"")&lt;&gt;"",IFERROR(INDEX(Expenses!B$3:B$1002,SMALL(IF((Expenses!E$3:E$1002="GBP")*(Expenses!A$3:A$1002=DATE(2026,4,9)),ROW(Expenses!A$3:A$1002)-2),4)),""),IF(IFERROR(INDEX(Income!B$3:B$502,SMALL(IF((Income!D$3:D$502="GBP")*(Income!A$3:A$502=DATE(2026,4,9)),ROW(Income!A$3:A$502)-2),4)),"")&lt;&gt;"",IFERROR(INDEX(Income!B$3:B$502,SMALL(IF((Income!D$3:D$502="GBP")*(Income!A$3:A$502=DATE(2026,4,9)),ROW(Income!A$3:A$502)-2),4)),""),""))</f>
        <v/>
      </c>
      <c r="K77" s="62" t="str">
        <f aca="false">IF(IFERROR(-INDEX(Expenses!D$3:D$1002,SMALL(IF((Expenses!E$3:E$1002="GBP")*(Expenses!A$3:A$1002=DATE(2026,4,10)),ROW(Expenses!A$3:A$1002)-2),4)),0)+IFERROR(INDEX(Income!C$3:C$502,SMALL(IF((Income!D$3:D$502="GBP")*(Income!A$3:A$502=DATE(2026,4,10)),ROW(Income!A$3:A$502)-2),4)),0)=0,"",IFERROR(-INDEX(Expenses!D$3:D$1002,SMALL(IF((Expenses!E$3:E$1002="GBP")*(Expenses!A$3:A$1002=DATE(2026,4,10)),ROW(Expenses!A$3:A$1002)-2),4)),0)+IFERROR(INDEX(Income!C$3:C$502,SMALL(IF((Income!D$3:D$502="GBP")*(Income!A$3:A$502=DATE(2026,4,10)),ROW(Income!A$3:A$502)-2),4)),0))</f>
        <v/>
      </c>
      <c r="L77" s="38" t="str">
        <f aca="false">IF(IFERROR(INDEX(Expenses!B$3:B$1002,SMALL(IF((Expenses!E$3:E$1002="GBP")*(Expenses!A$3:A$1002=DATE(2026,4,10)),ROW(Expenses!A$3:A$1002)-2),4)),"")&lt;&gt;"",IFERROR(INDEX(Expenses!B$3:B$1002,SMALL(IF((Expenses!E$3:E$1002="GBP")*(Expenses!A$3:A$1002=DATE(2026,4,10)),ROW(Expenses!A$3:A$1002)-2),4)),""),IF(IFERROR(INDEX(Income!B$3:B$502,SMALL(IF((Income!D$3:D$502="GBP")*(Income!A$3:A$502=DATE(2026,4,10)),ROW(Income!A$3:A$502)-2),4)),"")&lt;&gt;"",IFERROR(INDEX(Income!B$3:B$502,SMALL(IF((Income!D$3:D$502="GBP")*(Income!A$3:A$502=DATE(2026,4,10)),ROW(Income!A$3:A$502)-2),4)),""),""))</f>
        <v/>
      </c>
      <c r="M77" s="62" t="str">
        <f aca="false">IF(IFERROR(-INDEX(Expenses!D$3:D$1002,SMALL(IF((Expenses!E$3:E$1002="GBP")*(Expenses!A$3:A$1002=DATE(2026,4,11)),ROW(Expenses!A$3:A$1002)-2),4)),0)+IFERROR(INDEX(Income!C$3:C$502,SMALL(IF((Income!D$3:D$502="GBP")*(Income!A$3:A$502=DATE(2026,4,11)),ROW(Income!A$3:A$502)-2),4)),0)=0,"",IFERROR(-INDEX(Expenses!D$3:D$1002,SMALL(IF((Expenses!E$3:E$1002="GBP")*(Expenses!A$3:A$1002=DATE(2026,4,11)),ROW(Expenses!A$3:A$1002)-2),4)),0)+IFERROR(INDEX(Income!C$3:C$502,SMALL(IF((Income!D$3:D$502="GBP")*(Income!A$3:A$502=DATE(2026,4,11)),ROW(Income!A$3:A$502)-2),4)),0))</f>
        <v/>
      </c>
      <c r="N77" s="38" t="str">
        <f aca="false">IF(IFERROR(INDEX(Expenses!B$3:B$1002,SMALL(IF((Expenses!E$3:E$1002="GBP")*(Expenses!A$3:A$1002=DATE(2026,4,11)),ROW(Expenses!A$3:A$1002)-2),4)),"")&lt;&gt;"",IFERROR(INDEX(Expenses!B$3:B$1002,SMALL(IF((Expenses!E$3:E$1002="GBP")*(Expenses!A$3:A$1002=DATE(2026,4,11)),ROW(Expenses!A$3:A$1002)-2),4)),""),IF(IFERROR(INDEX(Income!B$3:B$502,SMALL(IF((Income!D$3:D$502="GBP")*(Income!A$3:A$502=DATE(2026,4,11)),ROW(Income!A$3:A$502)-2),4)),"")&lt;&gt;"",IFERROR(INDEX(Income!B$3:B$502,SMALL(IF((Income!D$3:D$502="GBP")*(Income!A$3:A$502=DATE(2026,4,11)),ROW(Income!A$3:A$502)-2),4)),""),""))</f>
        <v/>
      </c>
      <c r="O77" s="62" t="str">
        <f aca="false">IF(IFERROR(-INDEX(Expenses!D$3:D$1002,SMALL(IF((Expenses!E$3:E$1002="GBP")*(Expenses!A$3:A$1002=DATE(2026,4,12)),ROW(Expenses!A$3:A$1002)-2),4)),0)+IFERROR(INDEX(Income!C$3:C$502,SMALL(IF((Income!D$3:D$502="GBP")*(Income!A$3:A$502=DATE(2026,4,12)),ROW(Income!A$3:A$502)-2),4)),0)=0,"",IFERROR(-INDEX(Expenses!D$3:D$1002,SMALL(IF((Expenses!E$3:E$1002="GBP")*(Expenses!A$3:A$1002=DATE(2026,4,12)),ROW(Expenses!A$3:A$1002)-2),4)),0)+IFERROR(INDEX(Income!C$3:C$502,SMALL(IF((Income!D$3:D$502="GBP")*(Income!A$3:A$502=DATE(2026,4,12)),ROW(Income!A$3:A$502)-2),4)),0))</f>
        <v/>
      </c>
      <c r="P77" s="38" t="str">
        <f aca="false">IF(IFERROR(INDEX(Expenses!B$3:B$1002,SMALL(IF((Expenses!E$3:E$1002="GBP")*(Expenses!A$3:A$1002=DATE(2026,4,12)),ROW(Expenses!A$3:A$1002)-2),4)),"")&lt;&gt;"",IFERROR(INDEX(Expenses!B$3:B$1002,SMALL(IF((Expenses!E$3:E$1002="GBP")*(Expenses!A$3:A$1002=DATE(2026,4,12)),ROW(Expenses!A$3:A$1002)-2),4)),""),IF(IFERROR(INDEX(Income!B$3:B$502,SMALL(IF((Income!D$3:D$502="GBP")*(Income!A$3:A$502=DATE(2026,4,12)),ROW(Income!A$3:A$502)-2),4)),"")&lt;&gt;"",IFERROR(INDEX(Income!B$3:B$502,SMALL(IF((Income!D$3:D$502="GBP")*(Income!A$3:A$502=DATE(2026,4,12)),ROW(Income!A$3:A$502)-2),4)),""),""))</f>
        <v/>
      </c>
      <c r="Q77" s="16"/>
      <c r="R77" s="16"/>
    </row>
    <row r="78" customFormat="false" ht="15" hidden="false" customHeight="false" outlineLevel="0" collapsed="false">
      <c r="A78" s="16"/>
      <c r="B78" s="16"/>
      <c r="C78" s="62" t="str">
        <f aca="false">IF(IFERROR(-INDEX(Expenses!D$3:D$1002,SMALL(IF((Expenses!E$3:E$1002="GBP")*(Expenses!A$3:A$1002=DATE(2026,4,6)),ROW(Expenses!A$3:A$1002)-2),5)),0)+IFERROR(INDEX(Income!C$3:C$502,SMALL(IF((Income!D$3:D$502="GBP")*(Income!A$3:A$502=DATE(2026,4,6)),ROW(Income!A$3:A$502)-2),5)),0)=0,"",IFERROR(-INDEX(Expenses!D$3:D$1002,SMALL(IF((Expenses!E$3:E$1002="GBP")*(Expenses!A$3:A$1002=DATE(2026,4,6)),ROW(Expenses!A$3:A$1002)-2),5)),0)+IFERROR(INDEX(Income!C$3:C$502,SMALL(IF((Income!D$3:D$502="GBP")*(Income!A$3:A$502=DATE(2026,4,6)),ROW(Income!A$3:A$502)-2),5)),0))</f>
        <v/>
      </c>
      <c r="D78" s="38" t="str">
        <f aca="false">IF(IFERROR(INDEX(Expenses!B$3:B$1002,SMALL(IF((Expenses!E$3:E$1002="GBP")*(Expenses!A$3:A$1002=DATE(2026,4,6)),ROW(Expenses!A$3:A$1002)-2),5)),"")&lt;&gt;"",IFERROR(INDEX(Expenses!B$3:B$1002,SMALL(IF((Expenses!E$3:E$1002="GBP")*(Expenses!A$3:A$1002=DATE(2026,4,6)),ROW(Expenses!A$3:A$1002)-2),5)),""),IF(IFERROR(INDEX(Income!B$3:B$502,SMALL(IF((Income!D$3:D$502="GBP")*(Income!A$3:A$502=DATE(2026,4,6)),ROW(Income!A$3:A$502)-2),5)),"")&lt;&gt;"",IFERROR(INDEX(Income!B$3:B$502,SMALL(IF((Income!D$3:D$502="GBP")*(Income!A$3:A$502=DATE(2026,4,6)),ROW(Income!A$3:A$502)-2),5)),""),""))</f>
        <v/>
      </c>
      <c r="E78" s="62" t="str">
        <f aca="false">IF(IFERROR(-INDEX(Expenses!D$3:D$1002,SMALL(IF((Expenses!E$3:E$1002="GBP")*(Expenses!A$3:A$1002=DATE(2026,4,7)),ROW(Expenses!A$3:A$1002)-2),5)),0)+IFERROR(INDEX(Income!C$3:C$502,SMALL(IF((Income!D$3:D$502="GBP")*(Income!A$3:A$502=DATE(2026,4,7)),ROW(Income!A$3:A$502)-2),5)),0)=0,"",IFERROR(-INDEX(Expenses!D$3:D$1002,SMALL(IF((Expenses!E$3:E$1002="GBP")*(Expenses!A$3:A$1002=DATE(2026,4,7)),ROW(Expenses!A$3:A$1002)-2),5)),0)+IFERROR(INDEX(Income!C$3:C$502,SMALL(IF((Income!D$3:D$502="GBP")*(Income!A$3:A$502=DATE(2026,4,7)),ROW(Income!A$3:A$502)-2),5)),0))</f>
        <v/>
      </c>
      <c r="F78" s="38" t="str">
        <f aca="false">IF(IFERROR(INDEX(Expenses!B$3:B$1002,SMALL(IF((Expenses!E$3:E$1002="GBP")*(Expenses!A$3:A$1002=DATE(2026,4,7)),ROW(Expenses!A$3:A$1002)-2),5)),"")&lt;&gt;"",IFERROR(INDEX(Expenses!B$3:B$1002,SMALL(IF((Expenses!E$3:E$1002="GBP")*(Expenses!A$3:A$1002=DATE(2026,4,7)),ROW(Expenses!A$3:A$1002)-2),5)),""),IF(IFERROR(INDEX(Income!B$3:B$502,SMALL(IF((Income!D$3:D$502="GBP")*(Income!A$3:A$502=DATE(2026,4,7)),ROW(Income!A$3:A$502)-2),5)),"")&lt;&gt;"",IFERROR(INDEX(Income!B$3:B$502,SMALL(IF((Income!D$3:D$502="GBP")*(Income!A$3:A$502=DATE(2026,4,7)),ROW(Income!A$3:A$502)-2),5)),""),""))</f>
        <v/>
      </c>
      <c r="G78" s="62" t="str">
        <f aca="false">IF(IFERROR(-INDEX(Expenses!D$3:D$1002,SMALL(IF((Expenses!E$3:E$1002="GBP")*(Expenses!A$3:A$1002=DATE(2026,4,8)),ROW(Expenses!A$3:A$1002)-2),5)),0)+IFERROR(INDEX(Income!C$3:C$502,SMALL(IF((Income!D$3:D$502="GBP")*(Income!A$3:A$502=DATE(2026,4,8)),ROW(Income!A$3:A$502)-2),5)),0)=0,"",IFERROR(-INDEX(Expenses!D$3:D$1002,SMALL(IF((Expenses!E$3:E$1002="GBP")*(Expenses!A$3:A$1002=DATE(2026,4,8)),ROW(Expenses!A$3:A$1002)-2),5)),0)+IFERROR(INDEX(Income!C$3:C$502,SMALL(IF((Income!D$3:D$502="GBP")*(Income!A$3:A$502=DATE(2026,4,8)),ROW(Income!A$3:A$502)-2),5)),0))</f>
        <v/>
      </c>
      <c r="H78" s="38" t="str">
        <f aca="false">IF(IFERROR(INDEX(Expenses!B$3:B$1002,SMALL(IF((Expenses!E$3:E$1002="GBP")*(Expenses!A$3:A$1002=DATE(2026,4,8)),ROW(Expenses!A$3:A$1002)-2),5)),"")&lt;&gt;"",IFERROR(INDEX(Expenses!B$3:B$1002,SMALL(IF((Expenses!E$3:E$1002="GBP")*(Expenses!A$3:A$1002=DATE(2026,4,8)),ROW(Expenses!A$3:A$1002)-2),5)),""),IF(IFERROR(INDEX(Income!B$3:B$502,SMALL(IF((Income!D$3:D$502="GBP")*(Income!A$3:A$502=DATE(2026,4,8)),ROW(Income!A$3:A$502)-2),5)),"")&lt;&gt;"",IFERROR(INDEX(Income!B$3:B$502,SMALL(IF((Income!D$3:D$502="GBP")*(Income!A$3:A$502=DATE(2026,4,8)),ROW(Income!A$3:A$502)-2),5)),""),""))</f>
        <v/>
      </c>
      <c r="I78" s="62" t="str">
        <f aca="false">IF(IFERROR(-INDEX(Expenses!D$3:D$1002,SMALL(IF((Expenses!E$3:E$1002="GBP")*(Expenses!A$3:A$1002=DATE(2026,4,9)),ROW(Expenses!A$3:A$1002)-2),5)),0)+IFERROR(INDEX(Income!C$3:C$502,SMALL(IF((Income!D$3:D$502="GBP")*(Income!A$3:A$502=DATE(2026,4,9)),ROW(Income!A$3:A$502)-2),5)),0)=0,"",IFERROR(-INDEX(Expenses!D$3:D$1002,SMALL(IF((Expenses!E$3:E$1002="GBP")*(Expenses!A$3:A$1002=DATE(2026,4,9)),ROW(Expenses!A$3:A$1002)-2),5)),0)+IFERROR(INDEX(Income!C$3:C$502,SMALL(IF((Income!D$3:D$502="GBP")*(Income!A$3:A$502=DATE(2026,4,9)),ROW(Income!A$3:A$502)-2),5)),0))</f>
        <v/>
      </c>
      <c r="J78" s="38" t="str">
        <f aca="false">IF(IFERROR(INDEX(Expenses!B$3:B$1002,SMALL(IF((Expenses!E$3:E$1002="GBP")*(Expenses!A$3:A$1002=DATE(2026,4,9)),ROW(Expenses!A$3:A$1002)-2),5)),"")&lt;&gt;"",IFERROR(INDEX(Expenses!B$3:B$1002,SMALL(IF((Expenses!E$3:E$1002="GBP")*(Expenses!A$3:A$1002=DATE(2026,4,9)),ROW(Expenses!A$3:A$1002)-2),5)),""),IF(IFERROR(INDEX(Income!B$3:B$502,SMALL(IF((Income!D$3:D$502="GBP")*(Income!A$3:A$502=DATE(2026,4,9)),ROW(Income!A$3:A$502)-2),5)),"")&lt;&gt;"",IFERROR(INDEX(Income!B$3:B$502,SMALL(IF((Income!D$3:D$502="GBP")*(Income!A$3:A$502=DATE(2026,4,9)),ROW(Income!A$3:A$502)-2),5)),""),""))</f>
        <v/>
      </c>
      <c r="K78" s="62" t="str">
        <f aca="false">IF(IFERROR(-INDEX(Expenses!D$3:D$1002,SMALL(IF((Expenses!E$3:E$1002="GBP")*(Expenses!A$3:A$1002=DATE(2026,4,10)),ROW(Expenses!A$3:A$1002)-2),5)),0)+IFERROR(INDEX(Income!C$3:C$502,SMALL(IF((Income!D$3:D$502="GBP")*(Income!A$3:A$502=DATE(2026,4,10)),ROW(Income!A$3:A$502)-2),5)),0)=0,"",IFERROR(-INDEX(Expenses!D$3:D$1002,SMALL(IF((Expenses!E$3:E$1002="GBP")*(Expenses!A$3:A$1002=DATE(2026,4,10)),ROW(Expenses!A$3:A$1002)-2),5)),0)+IFERROR(INDEX(Income!C$3:C$502,SMALL(IF((Income!D$3:D$502="GBP")*(Income!A$3:A$502=DATE(2026,4,10)),ROW(Income!A$3:A$502)-2),5)),0))</f>
        <v/>
      </c>
      <c r="L78" s="38" t="str">
        <f aca="false">IF(IFERROR(INDEX(Expenses!B$3:B$1002,SMALL(IF((Expenses!E$3:E$1002="GBP")*(Expenses!A$3:A$1002=DATE(2026,4,10)),ROW(Expenses!A$3:A$1002)-2),5)),"")&lt;&gt;"",IFERROR(INDEX(Expenses!B$3:B$1002,SMALL(IF((Expenses!E$3:E$1002="GBP")*(Expenses!A$3:A$1002=DATE(2026,4,10)),ROW(Expenses!A$3:A$1002)-2),5)),""),IF(IFERROR(INDEX(Income!B$3:B$502,SMALL(IF((Income!D$3:D$502="GBP")*(Income!A$3:A$502=DATE(2026,4,10)),ROW(Income!A$3:A$502)-2),5)),"")&lt;&gt;"",IFERROR(INDEX(Income!B$3:B$502,SMALL(IF((Income!D$3:D$502="GBP")*(Income!A$3:A$502=DATE(2026,4,10)),ROW(Income!A$3:A$502)-2),5)),""),""))</f>
        <v/>
      </c>
      <c r="M78" s="62" t="str">
        <f aca="false">IF(IFERROR(-INDEX(Expenses!D$3:D$1002,SMALL(IF((Expenses!E$3:E$1002="GBP")*(Expenses!A$3:A$1002=DATE(2026,4,11)),ROW(Expenses!A$3:A$1002)-2),5)),0)+IFERROR(INDEX(Income!C$3:C$502,SMALL(IF((Income!D$3:D$502="GBP")*(Income!A$3:A$502=DATE(2026,4,11)),ROW(Income!A$3:A$502)-2),5)),0)=0,"",IFERROR(-INDEX(Expenses!D$3:D$1002,SMALL(IF((Expenses!E$3:E$1002="GBP")*(Expenses!A$3:A$1002=DATE(2026,4,11)),ROW(Expenses!A$3:A$1002)-2),5)),0)+IFERROR(INDEX(Income!C$3:C$502,SMALL(IF((Income!D$3:D$502="GBP")*(Income!A$3:A$502=DATE(2026,4,11)),ROW(Income!A$3:A$502)-2),5)),0))</f>
        <v/>
      </c>
      <c r="N78" s="38" t="str">
        <f aca="false">IF(IFERROR(INDEX(Expenses!B$3:B$1002,SMALL(IF((Expenses!E$3:E$1002="GBP")*(Expenses!A$3:A$1002=DATE(2026,4,11)),ROW(Expenses!A$3:A$1002)-2),5)),"")&lt;&gt;"",IFERROR(INDEX(Expenses!B$3:B$1002,SMALL(IF((Expenses!E$3:E$1002="GBP")*(Expenses!A$3:A$1002=DATE(2026,4,11)),ROW(Expenses!A$3:A$1002)-2),5)),""),IF(IFERROR(INDEX(Income!B$3:B$502,SMALL(IF((Income!D$3:D$502="GBP")*(Income!A$3:A$502=DATE(2026,4,11)),ROW(Income!A$3:A$502)-2),5)),"")&lt;&gt;"",IFERROR(INDEX(Income!B$3:B$502,SMALL(IF((Income!D$3:D$502="GBP")*(Income!A$3:A$502=DATE(2026,4,11)),ROW(Income!A$3:A$502)-2),5)),""),""))</f>
        <v/>
      </c>
      <c r="O78" s="62" t="str">
        <f aca="false">IF(IFERROR(-INDEX(Expenses!D$3:D$1002,SMALL(IF((Expenses!E$3:E$1002="GBP")*(Expenses!A$3:A$1002=DATE(2026,4,12)),ROW(Expenses!A$3:A$1002)-2),5)),0)+IFERROR(INDEX(Income!C$3:C$502,SMALL(IF((Income!D$3:D$502="GBP")*(Income!A$3:A$502=DATE(2026,4,12)),ROW(Income!A$3:A$502)-2),5)),0)=0,"",IFERROR(-INDEX(Expenses!D$3:D$1002,SMALL(IF((Expenses!E$3:E$1002="GBP")*(Expenses!A$3:A$1002=DATE(2026,4,12)),ROW(Expenses!A$3:A$1002)-2),5)),0)+IFERROR(INDEX(Income!C$3:C$502,SMALL(IF((Income!D$3:D$502="GBP")*(Income!A$3:A$502=DATE(2026,4,12)),ROW(Income!A$3:A$502)-2),5)),0))</f>
        <v/>
      </c>
      <c r="P78" s="38" t="str">
        <f aca="false">IF(IFERROR(INDEX(Expenses!B$3:B$1002,SMALL(IF((Expenses!E$3:E$1002="GBP")*(Expenses!A$3:A$1002=DATE(2026,4,12)),ROW(Expenses!A$3:A$1002)-2),5)),"")&lt;&gt;"",IFERROR(INDEX(Expenses!B$3:B$1002,SMALL(IF((Expenses!E$3:E$1002="GBP")*(Expenses!A$3:A$1002=DATE(2026,4,12)),ROW(Expenses!A$3:A$1002)-2),5)),""),IF(IFERROR(INDEX(Income!B$3:B$502,SMALL(IF((Income!D$3:D$502="GBP")*(Income!A$3:A$502=DATE(2026,4,12)),ROW(Income!A$3:A$502)-2),5)),"")&lt;&gt;"",IFERROR(INDEX(Income!B$3:B$502,SMALL(IF((Income!D$3:D$502="GBP")*(Income!A$3:A$502=DATE(2026,4,12)),ROW(Income!A$3:A$502)-2),5)),""),""))</f>
        <v/>
      </c>
      <c r="Q78" s="16"/>
      <c r="R78" s="16"/>
    </row>
    <row r="79" customFormat="false" ht="15" hidden="false" customHeight="false" outlineLevel="0" collapsed="false">
      <c r="A79" s="61" t="n">
        <v>46125</v>
      </c>
      <c r="B79" s="3" t="n">
        <v>16</v>
      </c>
      <c r="C79" s="62" t="str">
        <f aca="false">IF(IFERROR(-INDEX(Expenses!D$3:D$1002,SMALL(IF((Expenses!E$3:E$1002="GBP")*(Expenses!A$3:A$1002=DATE(2026,4,13)),ROW(Expenses!A$3:A$1002)-2),1)),0)+IFERROR(INDEX(Income!C$3:C$502,SMALL(IF((Income!D$3:D$502="GBP")*(Income!A$3:A$502=DATE(2026,4,13)),ROW(Income!A$3:A$502)-2),1)),0)=0,"",IFERROR(-INDEX(Expenses!D$3:D$1002,SMALL(IF((Expenses!E$3:E$1002="GBP")*(Expenses!A$3:A$1002=DATE(2026,4,13)),ROW(Expenses!A$3:A$1002)-2),1)),0)+IFERROR(INDEX(Income!C$3:C$502,SMALL(IF((Income!D$3:D$502="GBP")*(Income!A$3:A$502=DATE(2026,4,13)),ROW(Income!A$3:A$502)-2),1)),0))</f>
        <v/>
      </c>
      <c r="D79" s="38" t="str">
        <f aca="false">IF(IFERROR(INDEX(Expenses!B$3:B$1002,SMALL(IF((Expenses!E$3:E$1002="GBP")*(Expenses!A$3:A$1002=DATE(2026,4,13)),ROW(Expenses!A$3:A$1002)-2),1)),"")&lt;&gt;"",IFERROR(INDEX(Expenses!B$3:B$1002,SMALL(IF((Expenses!E$3:E$1002="GBP")*(Expenses!A$3:A$1002=DATE(2026,4,13)),ROW(Expenses!A$3:A$1002)-2),1)),""),IF(IFERROR(INDEX(Income!B$3:B$502,SMALL(IF((Income!D$3:D$502="GBP")*(Income!A$3:A$502=DATE(2026,4,13)),ROW(Income!A$3:A$502)-2),1)),"")&lt;&gt;"",IFERROR(INDEX(Income!B$3:B$502,SMALL(IF((Income!D$3:D$502="GBP")*(Income!A$3:A$502=DATE(2026,4,13)),ROW(Income!A$3:A$502)-2),1)),""),""))</f>
        <v/>
      </c>
      <c r="E79" s="62" t="str">
        <f aca="false">IF(IFERROR(-INDEX(Expenses!D$3:D$1002,SMALL(IF((Expenses!E$3:E$1002="GBP")*(Expenses!A$3:A$1002=DATE(2026,4,14)),ROW(Expenses!A$3:A$1002)-2),1)),0)+IFERROR(INDEX(Income!C$3:C$502,SMALL(IF((Income!D$3:D$502="GBP")*(Income!A$3:A$502=DATE(2026,4,14)),ROW(Income!A$3:A$502)-2),1)),0)=0,"",IFERROR(-INDEX(Expenses!D$3:D$1002,SMALL(IF((Expenses!E$3:E$1002="GBP")*(Expenses!A$3:A$1002=DATE(2026,4,14)),ROW(Expenses!A$3:A$1002)-2),1)),0)+IFERROR(INDEX(Income!C$3:C$502,SMALL(IF((Income!D$3:D$502="GBP")*(Income!A$3:A$502=DATE(2026,4,14)),ROW(Income!A$3:A$502)-2),1)),0))</f>
        <v/>
      </c>
      <c r="F79" s="38" t="str">
        <f aca="false">IF(IFERROR(INDEX(Expenses!B$3:B$1002,SMALL(IF((Expenses!E$3:E$1002="GBP")*(Expenses!A$3:A$1002=DATE(2026,4,14)),ROW(Expenses!A$3:A$1002)-2),1)),"")&lt;&gt;"",IFERROR(INDEX(Expenses!B$3:B$1002,SMALL(IF((Expenses!E$3:E$1002="GBP")*(Expenses!A$3:A$1002=DATE(2026,4,14)),ROW(Expenses!A$3:A$1002)-2),1)),""),IF(IFERROR(INDEX(Income!B$3:B$502,SMALL(IF((Income!D$3:D$502="GBP")*(Income!A$3:A$502=DATE(2026,4,14)),ROW(Income!A$3:A$502)-2),1)),"")&lt;&gt;"",IFERROR(INDEX(Income!B$3:B$502,SMALL(IF((Income!D$3:D$502="GBP")*(Income!A$3:A$502=DATE(2026,4,14)),ROW(Income!A$3:A$502)-2),1)),""),""))</f>
        <v/>
      </c>
      <c r="G79" s="62" t="str">
        <f aca="false">IF(IFERROR(-INDEX(Expenses!D$3:D$1002,SMALL(IF((Expenses!E$3:E$1002="GBP")*(Expenses!A$3:A$1002=DATE(2026,4,15)),ROW(Expenses!A$3:A$1002)-2),1)),0)+IFERROR(INDEX(Income!C$3:C$502,SMALL(IF((Income!D$3:D$502="GBP")*(Income!A$3:A$502=DATE(2026,4,15)),ROW(Income!A$3:A$502)-2),1)),0)=0,"",IFERROR(-INDEX(Expenses!D$3:D$1002,SMALL(IF((Expenses!E$3:E$1002="GBP")*(Expenses!A$3:A$1002=DATE(2026,4,15)),ROW(Expenses!A$3:A$1002)-2),1)),0)+IFERROR(INDEX(Income!C$3:C$502,SMALL(IF((Income!D$3:D$502="GBP")*(Income!A$3:A$502=DATE(2026,4,15)),ROW(Income!A$3:A$502)-2),1)),0))</f>
        <v/>
      </c>
      <c r="H79" s="38" t="str">
        <f aca="false">IF(IFERROR(INDEX(Expenses!B$3:B$1002,SMALL(IF((Expenses!E$3:E$1002="GBP")*(Expenses!A$3:A$1002=DATE(2026,4,15)),ROW(Expenses!A$3:A$1002)-2),1)),"")&lt;&gt;"",IFERROR(INDEX(Expenses!B$3:B$1002,SMALL(IF((Expenses!E$3:E$1002="GBP")*(Expenses!A$3:A$1002=DATE(2026,4,15)),ROW(Expenses!A$3:A$1002)-2),1)),""),IF(IFERROR(INDEX(Income!B$3:B$502,SMALL(IF((Income!D$3:D$502="GBP")*(Income!A$3:A$502=DATE(2026,4,15)),ROW(Income!A$3:A$502)-2),1)),"")&lt;&gt;"",IFERROR(INDEX(Income!B$3:B$502,SMALL(IF((Income!D$3:D$502="GBP")*(Income!A$3:A$502=DATE(2026,4,15)),ROW(Income!A$3:A$502)-2),1)),""),""))</f>
        <v/>
      </c>
      <c r="I79" s="62" t="str">
        <f aca="false">IF(IFERROR(-INDEX(Expenses!D$3:D$1002,SMALL(IF((Expenses!E$3:E$1002="GBP")*(Expenses!A$3:A$1002=DATE(2026,4,16)),ROW(Expenses!A$3:A$1002)-2),1)),0)+IFERROR(INDEX(Income!C$3:C$502,SMALL(IF((Income!D$3:D$502="GBP")*(Income!A$3:A$502=DATE(2026,4,16)),ROW(Income!A$3:A$502)-2),1)),0)=0,"",IFERROR(-INDEX(Expenses!D$3:D$1002,SMALL(IF((Expenses!E$3:E$1002="GBP")*(Expenses!A$3:A$1002=DATE(2026,4,16)),ROW(Expenses!A$3:A$1002)-2),1)),0)+IFERROR(INDEX(Income!C$3:C$502,SMALL(IF((Income!D$3:D$502="GBP")*(Income!A$3:A$502=DATE(2026,4,16)),ROW(Income!A$3:A$502)-2),1)),0))</f>
        <v/>
      </c>
      <c r="J79" s="38" t="str">
        <f aca="false">IF(IFERROR(INDEX(Expenses!B$3:B$1002,SMALL(IF((Expenses!E$3:E$1002="GBP")*(Expenses!A$3:A$1002=DATE(2026,4,16)),ROW(Expenses!A$3:A$1002)-2),1)),"")&lt;&gt;"",IFERROR(INDEX(Expenses!B$3:B$1002,SMALL(IF((Expenses!E$3:E$1002="GBP")*(Expenses!A$3:A$1002=DATE(2026,4,16)),ROW(Expenses!A$3:A$1002)-2),1)),""),IF(IFERROR(INDEX(Income!B$3:B$502,SMALL(IF((Income!D$3:D$502="GBP")*(Income!A$3:A$502=DATE(2026,4,16)),ROW(Income!A$3:A$502)-2),1)),"")&lt;&gt;"",IFERROR(INDEX(Income!B$3:B$502,SMALL(IF((Income!D$3:D$502="GBP")*(Income!A$3:A$502=DATE(2026,4,16)),ROW(Income!A$3:A$502)-2),1)),""),""))</f>
        <v/>
      </c>
      <c r="K79" s="62" t="str">
        <f aca="false">IF(IFERROR(-INDEX(Expenses!D$3:D$1002,SMALL(IF((Expenses!E$3:E$1002="GBP")*(Expenses!A$3:A$1002=DATE(2026,4,17)),ROW(Expenses!A$3:A$1002)-2),1)),0)+IFERROR(INDEX(Income!C$3:C$502,SMALL(IF((Income!D$3:D$502="GBP")*(Income!A$3:A$502=DATE(2026,4,17)),ROW(Income!A$3:A$502)-2),1)),0)=0,"",IFERROR(-INDEX(Expenses!D$3:D$1002,SMALL(IF((Expenses!E$3:E$1002="GBP")*(Expenses!A$3:A$1002=DATE(2026,4,17)),ROW(Expenses!A$3:A$1002)-2),1)),0)+IFERROR(INDEX(Income!C$3:C$502,SMALL(IF((Income!D$3:D$502="GBP")*(Income!A$3:A$502=DATE(2026,4,17)),ROW(Income!A$3:A$502)-2),1)),0))</f>
        <v/>
      </c>
      <c r="L79" s="38" t="str">
        <f aca="false">IF(IFERROR(INDEX(Expenses!B$3:B$1002,SMALL(IF((Expenses!E$3:E$1002="GBP")*(Expenses!A$3:A$1002=DATE(2026,4,17)),ROW(Expenses!A$3:A$1002)-2),1)),"")&lt;&gt;"",IFERROR(INDEX(Expenses!B$3:B$1002,SMALL(IF((Expenses!E$3:E$1002="GBP")*(Expenses!A$3:A$1002=DATE(2026,4,17)),ROW(Expenses!A$3:A$1002)-2),1)),""),IF(IFERROR(INDEX(Income!B$3:B$502,SMALL(IF((Income!D$3:D$502="GBP")*(Income!A$3:A$502=DATE(2026,4,17)),ROW(Income!A$3:A$502)-2),1)),"")&lt;&gt;"",IFERROR(INDEX(Income!B$3:B$502,SMALL(IF((Income!D$3:D$502="GBP")*(Income!A$3:A$502=DATE(2026,4,17)),ROW(Income!A$3:A$502)-2),1)),""),""))</f>
        <v/>
      </c>
      <c r="M79" s="62" t="str">
        <f aca="false">IF(IFERROR(-INDEX(Expenses!D$3:D$1002,SMALL(IF((Expenses!E$3:E$1002="GBP")*(Expenses!A$3:A$1002=DATE(2026,4,18)),ROW(Expenses!A$3:A$1002)-2),1)),0)+IFERROR(INDEX(Income!C$3:C$502,SMALL(IF((Income!D$3:D$502="GBP")*(Income!A$3:A$502=DATE(2026,4,18)),ROW(Income!A$3:A$502)-2),1)),0)=0,"",IFERROR(-INDEX(Expenses!D$3:D$1002,SMALL(IF((Expenses!E$3:E$1002="GBP")*(Expenses!A$3:A$1002=DATE(2026,4,18)),ROW(Expenses!A$3:A$1002)-2),1)),0)+IFERROR(INDEX(Income!C$3:C$502,SMALL(IF((Income!D$3:D$502="GBP")*(Income!A$3:A$502=DATE(2026,4,18)),ROW(Income!A$3:A$502)-2),1)),0))</f>
        <v/>
      </c>
      <c r="N79" s="38" t="str">
        <f aca="false">IF(IFERROR(INDEX(Expenses!B$3:B$1002,SMALL(IF((Expenses!E$3:E$1002="GBP")*(Expenses!A$3:A$1002=DATE(2026,4,18)),ROW(Expenses!A$3:A$1002)-2),1)),"")&lt;&gt;"",IFERROR(INDEX(Expenses!B$3:B$1002,SMALL(IF((Expenses!E$3:E$1002="GBP")*(Expenses!A$3:A$1002=DATE(2026,4,18)),ROW(Expenses!A$3:A$1002)-2),1)),""),IF(IFERROR(INDEX(Income!B$3:B$502,SMALL(IF((Income!D$3:D$502="GBP")*(Income!A$3:A$502=DATE(2026,4,18)),ROW(Income!A$3:A$502)-2),1)),"")&lt;&gt;"",IFERROR(INDEX(Income!B$3:B$502,SMALL(IF((Income!D$3:D$502="GBP")*(Income!A$3:A$502=DATE(2026,4,18)),ROW(Income!A$3:A$502)-2),1)),""),""))</f>
        <v/>
      </c>
      <c r="O79" s="62" t="str">
        <f aca="false">IF(IFERROR(-INDEX(Expenses!D$3:D$1002,SMALL(IF((Expenses!E$3:E$1002="GBP")*(Expenses!A$3:A$1002=DATE(2026,4,19)),ROW(Expenses!A$3:A$1002)-2),1)),0)+IFERROR(INDEX(Income!C$3:C$502,SMALL(IF((Income!D$3:D$502="GBP")*(Income!A$3:A$502=DATE(2026,4,19)),ROW(Income!A$3:A$502)-2),1)),0)=0,"",IFERROR(-INDEX(Expenses!D$3:D$1002,SMALL(IF((Expenses!E$3:E$1002="GBP")*(Expenses!A$3:A$1002=DATE(2026,4,19)),ROW(Expenses!A$3:A$1002)-2),1)),0)+IFERROR(INDEX(Income!C$3:C$502,SMALL(IF((Income!D$3:D$502="GBP")*(Income!A$3:A$502=DATE(2026,4,19)),ROW(Income!A$3:A$502)-2),1)),0))</f>
        <v/>
      </c>
      <c r="P79" s="38" t="str">
        <f aca="false">IF(IFERROR(INDEX(Expenses!B$3:B$1002,SMALL(IF((Expenses!E$3:E$1002="GBP")*(Expenses!A$3:A$1002=DATE(2026,4,19)),ROW(Expenses!A$3:A$1002)-2),1)),"")&lt;&gt;"",IFERROR(INDEX(Expenses!B$3:B$1002,SMALL(IF((Expenses!E$3:E$1002="GBP")*(Expenses!A$3:A$1002=DATE(2026,4,19)),ROW(Expenses!A$3:A$1002)-2),1)),""),IF(IFERROR(INDEX(Income!B$3:B$502,SMALL(IF((Income!D$3:D$502="GBP")*(Income!A$3:A$502=DATE(2026,4,19)),ROW(Income!A$3:A$502)-2),1)),"")&lt;&gt;"",IFERROR(INDEX(Income!B$3:B$502,SMALL(IF((Income!D$3:D$502="GBP")*(Income!A$3:A$502=DATE(2026,4,19)),ROW(Income!A$3:A$502)-2),1)),""),""))</f>
        <v/>
      </c>
      <c r="Q79" s="3" t="n">
        <v>16</v>
      </c>
      <c r="R79" s="45" t="n">
        <f aca="false">SUM(C79:C83)+SUM(E79:E83)+SUM(G79:G83)+SUM(I79:I83)+SUM(K79:K83)+SUM(M79:M83)+SUM(O79:O83)</f>
        <v>0</v>
      </c>
    </row>
    <row r="80" customFormat="false" ht="15" hidden="false" customHeight="false" outlineLevel="0" collapsed="false">
      <c r="A80" s="16"/>
      <c r="B80" s="16"/>
      <c r="C80" s="62" t="str">
        <f aca="false">IF(IFERROR(-INDEX(Expenses!D$3:D$1002,SMALL(IF((Expenses!E$3:E$1002="GBP")*(Expenses!A$3:A$1002=DATE(2026,4,13)),ROW(Expenses!A$3:A$1002)-2),2)),0)+IFERROR(INDEX(Income!C$3:C$502,SMALL(IF((Income!D$3:D$502="GBP")*(Income!A$3:A$502=DATE(2026,4,13)),ROW(Income!A$3:A$502)-2),2)),0)=0,"",IFERROR(-INDEX(Expenses!D$3:D$1002,SMALL(IF((Expenses!E$3:E$1002="GBP")*(Expenses!A$3:A$1002=DATE(2026,4,13)),ROW(Expenses!A$3:A$1002)-2),2)),0)+IFERROR(INDEX(Income!C$3:C$502,SMALL(IF((Income!D$3:D$502="GBP")*(Income!A$3:A$502=DATE(2026,4,13)),ROW(Income!A$3:A$502)-2),2)),0))</f>
        <v/>
      </c>
      <c r="D80" s="38" t="str">
        <f aca="false">IF(IFERROR(INDEX(Expenses!B$3:B$1002,SMALL(IF((Expenses!E$3:E$1002="GBP")*(Expenses!A$3:A$1002=DATE(2026,4,13)),ROW(Expenses!A$3:A$1002)-2),2)),"")&lt;&gt;"",IFERROR(INDEX(Expenses!B$3:B$1002,SMALL(IF((Expenses!E$3:E$1002="GBP")*(Expenses!A$3:A$1002=DATE(2026,4,13)),ROW(Expenses!A$3:A$1002)-2),2)),""),IF(IFERROR(INDEX(Income!B$3:B$502,SMALL(IF((Income!D$3:D$502="GBP")*(Income!A$3:A$502=DATE(2026,4,13)),ROW(Income!A$3:A$502)-2),2)),"")&lt;&gt;"",IFERROR(INDEX(Income!B$3:B$502,SMALL(IF((Income!D$3:D$502="GBP")*(Income!A$3:A$502=DATE(2026,4,13)),ROW(Income!A$3:A$502)-2),2)),""),""))</f>
        <v/>
      </c>
      <c r="E80" s="62" t="str">
        <f aca="false">IF(IFERROR(-INDEX(Expenses!D$3:D$1002,SMALL(IF((Expenses!E$3:E$1002="GBP")*(Expenses!A$3:A$1002=DATE(2026,4,14)),ROW(Expenses!A$3:A$1002)-2),2)),0)+IFERROR(INDEX(Income!C$3:C$502,SMALL(IF((Income!D$3:D$502="GBP")*(Income!A$3:A$502=DATE(2026,4,14)),ROW(Income!A$3:A$502)-2),2)),0)=0,"",IFERROR(-INDEX(Expenses!D$3:D$1002,SMALL(IF((Expenses!E$3:E$1002="GBP")*(Expenses!A$3:A$1002=DATE(2026,4,14)),ROW(Expenses!A$3:A$1002)-2),2)),0)+IFERROR(INDEX(Income!C$3:C$502,SMALL(IF((Income!D$3:D$502="GBP")*(Income!A$3:A$502=DATE(2026,4,14)),ROW(Income!A$3:A$502)-2),2)),0))</f>
        <v/>
      </c>
      <c r="F80" s="38" t="str">
        <f aca="false">IF(IFERROR(INDEX(Expenses!B$3:B$1002,SMALL(IF((Expenses!E$3:E$1002="GBP")*(Expenses!A$3:A$1002=DATE(2026,4,14)),ROW(Expenses!A$3:A$1002)-2),2)),"")&lt;&gt;"",IFERROR(INDEX(Expenses!B$3:B$1002,SMALL(IF((Expenses!E$3:E$1002="GBP")*(Expenses!A$3:A$1002=DATE(2026,4,14)),ROW(Expenses!A$3:A$1002)-2),2)),""),IF(IFERROR(INDEX(Income!B$3:B$502,SMALL(IF((Income!D$3:D$502="GBP")*(Income!A$3:A$502=DATE(2026,4,14)),ROW(Income!A$3:A$502)-2),2)),"")&lt;&gt;"",IFERROR(INDEX(Income!B$3:B$502,SMALL(IF((Income!D$3:D$502="GBP")*(Income!A$3:A$502=DATE(2026,4,14)),ROW(Income!A$3:A$502)-2),2)),""),""))</f>
        <v/>
      </c>
      <c r="G80" s="62" t="str">
        <f aca="false">IF(IFERROR(-INDEX(Expenses!D$3:D$1002,SMALL(IF((Expenses!E$3:E$1002="GBP")*(Expenses!A$3:A$1002=DATE(2026,4,15)),ROW(Expenses!A$3:A$1002)-2),2)),0)+IFERROR(INDEX(Income!C$3:C$502,SMALL(IF((Income!D$3:D$502="GBP")*(Income!A$3:A$502=DATE(2026,4,15)),ROW(Income!A$3:A$502)-2),2)),0)=0,"",IFERROR(-INDEX(Expenses!D$3:D$1002,SMALL(IF((Expenses!E$3:E$1002="GBP")*(Expenses!A$3:A$1002=DATE(2026,4,15)),ROW(Expenses!A$3:A$1002)-2),2)),0)+IFERROR(INDEX(Income!C$3:C$502,SMALL(IF((Income!D$3:D$502="GBP")*(Income!A$3:A$502=DATE(2026,4,15)),ROW(Income!A$3:A$502)-2),2)),0))</f>
        <v/>
      </c>
      <c r="H80" s="38" t="str">
        <f aca="false">IF(IFERROR(INDEX(Expenses!B$3:B$1002,SMALL(IF((Expenses!E$3:E$1002="GBP")*(Expenses!A$3:A$1002=DATE(2026,4,15)),ROW(Expenses!A$3:A$1002)-2),2)),"")&lt;&gt;"",IFERROR(INDEX(Expenses!B$3:B$1002,SMALL(IF((Expenses!E$3:E$1002="GBP")*(Expenses!A$3:A$1002=DATE(2026,4,15)),ROW(Expenses!A$3:A$1002)-2),2)),""),IF(IFERROR(INDEX(Income!B$3:B$502,SMALL(IF((Income!D$3:D$502="GBP")*(Income!A$3:A$502=DATE(2026,4,15)),ROW(Income!A$3:A$502)-2),2)),"")&lt;&gt;"",IFERROR(INDEX(Income!B$3:B$502,SMALL(IF((Income!D$3:D$502="GBP")*(Income!A$3:A$502=DATE(2026,4,15)),ROW(Income!A$3:A$502)-2),2)),""),""))</f>
        <v/>
      </c>
      <c r="I80" s="62" t="str">
        <f aca="false">IF(IFERROR(-INDEX(Expenses!D$3:D$1002,SMALL(IF((Expenses!E$3:E$1002="GBP")*(Expenses!A$3:A$1002=DATE(2026,4,16)),ROW(Expenses!A$3:A$1002)-2),2)),0)+IFERROR(INDEX(Income!C$3:C$502,SMALL(IF((Income!D$3:D$502="GBP")*(Income!A$3:A$502=DATE(2026,4,16)),ROW(Income!A$3:A$502)-2),2)),0)=0,"",IFERROR(-INDEX(Expenses!D$3:D$1002,SMALL(IF((Expenses!E$3:E$1002="GBP")*(Expenses!A$3:A$1002=DATE(2026,4,16)),ROW(Expenses!A$3:A$1002)-2),2)),0)+IFERROR(INDEX(Income!C$3:C$502,SMALL(IF((Income!D$3:D$502="GBP")*(Income!A$3:A$502=DATE(2026,4,16)),ROW(Income!A$3:A$502)-2),2)),0))</f>
        <v/>
      </c>
      <c r="J80" s="38" t="str">
        <f aca="false">IF(IFERROR(INDEX(Expenses!B$3:B$1002,SMALL(IF((Expenses!E$3:E$1002="GBP")*(Expenses!A$3:A$1002=DATE(2026,4,16)),ROW(Expenses!A$3:A$1002)-2),2)),"")&lt;&gt;"",IFERROR(INDEX(Expenses!B$3:B$1002,SMALL(IF((Expenses!E$3:E$1002="GBP")*(Expenses!A$3:A$1002=DATE(2026,4,16)),ROW(Expenses!A$3:A$1002)-2),2)),""),IF(IFERROR(INDEX(Income!B$3:B$502,SMALL(IF((Income!D$3:D$502="GBP")*(Income!A$3:A$502=DATE(2026,4,16)),ROW(Income!A$3:A$502)-2),2)),"")&lt;&gt;"",IFERROR(INDEX(Income!B$3:B$502,SMALL(IF((Income!D$3:D$502="GBP")*(Income!A$3:A$502=DATE(2026,4,16)),ROW(Income!A$3:A$502)-2),2)),""),""))</f>
        <v/>
      </c>
      <c r="K80" s="62" t="str">
        <f aca="false">IF(IFERROR(-INDEX(Expenses!D$3:D$1002,SMALL(IF((Expenses!E$3:E$1002="GBP")*(Expenses!A$3:A$1002=DATE(2026,4,17)),ROW(Expenses!A$3:A$1002)-2),2)),0)+IFERROR(INDEX(Income!C$3:C$502,SMALL(IF((Income!D$3:D$502="GBP")*(Income!A$3:A$502=DATE(2026,4,17)),ROW(Income!A$3:A$502)-2),2)),0)=0,"",IFERROR(-INDEX(Expenses!D$3:D$1002,SMALL(IF((Expenses!E$3:E$1002="GBP")*(Expenses!A$3:A$1002=DATE(2026,4,17)),ROW(Expenses!A$3:A$1002)-2),2)),0)+IFERROR(INDEX(Income!C$3:C$502,SMALL(IF((Income!D$3:D$502="GBP")*(Income!A$3:A$502=DATE(2026,4,17)),ROW(Income!A$3:A$502)-2),2)),0))</f>
        <v/>
      </c>
      <c r="L80" s="38" t="str">
        <f aca="false">IF(IFERROR(INDEX(Expenses!B$3:B$1002,SMALL(IF((Expenses!E$3:E$1002="GBP")*(Expenses!A$3:A$1002=DATE(2026,4,17)),ROW(Expenses!A$3:A$1002)-2),2)),"")&lt;&gt;"",IFERROR(INDEX(Expenses!B$3:B$1002,SMALL(IF((Expenses!E$3:E$1002="GBP")*(Expenses!A$3:A$1002=DATE(2026,4,17)),ROW(Expenses!A$3:A$1002)-2),2)),""),IF(IFERROR(INDEX(Income!B$3:B$502,SMALL(IF((Income!D$3:D$502="GBP")*(Income!A$3:A$502=DATE(2026,4,17)),ROW(Income!A$3:A$502)-2),2)),"")&lt;&gt;"",IFERROR(INDEX(Income!B$3:B$502,SMALL(IF((Income!D$3:D$502="GBP")*(Income!A$3:A$502=DATE(2026,4,17)),ROW(Income!A$3:A$502)-2),2)),""),""))</f>
        <v/>
      </c>
      <c r="M80" s="62" t="str">
        <f aca="false">IF(IFERROR(-INDEX(Expenses!D$3:D$1002,SMALL(IF((Expenses!E$3:E$1002="GBP")*(Expenses!A$3:A$1002=DATE(2026,4,18)),ROW(Expenses!A$3:A$1002)-2),2)),0)+IFERROR(INDEX(Income!C$3:C$502,SMALL(IF((Income!D$3:D$502="GBP")*(Income!A$3:A$502=DATE(2026,4,18)),ROW(Income!A$3:A$502)-2),2)),0)=0,"",IFERROR(-INDEX(Expenses!D$3:D$1002,SMALL(IF((Expenses!E$3:E$1002="GBP")*(Expenses!A$3:A$1002=DATE(2026,4,18)),ROW(Expenses!A$3:A$1002)-2),2)),0)+IFERROR(INDEX(Income!C$3:C$502,SMALL(IF((Income!D$3:D$502="GBP")*(Income!A$3:A$502=DATE(2026,4,18)),ROW(Income!A$3:A$502)-2),2)),0))</f>
        <v/>
      </c>
      <c r="N80" s="38" t="str">
        <f aca="false">IF(IFERROR(INDEX(Expenses!B$3:B$1002,SMALL(IF((Expenses!E$3:E$1002="GBP")*(Expenses!A$3:A$1002=DATE(2026,4,18)),ROW(Expenses!A$3:A$1002)-2),2)),"")&lt;&gt;"",IFERROR(INDEX(Expenses!B$3:B$1002,SMALL(IF((Expenses!E$3:E$1002="GBP")*(Expenses!A$3:A$1002=DATE(2026,4,18)),ROW(Expenses!A$3:A$1002)-2),2)),""),IF(IFERROR(INDEX(Income!B$3:B$502,SMALL(IF((Income!D$3:D$502="GBP")*(Income!A$3:A$502=DATE(2026,4,18)),ROW(Income!A$3:A$502)-2),2)),"")&lt;&gt;"",IFERROR(INDEX(Income!B$3:B$502,SMALL(IF((Income!D$3:D$502="GBP")*(Income!A$3:A$502=DATE(2026,4,18)),ROW(Income!A$3:A$502)-2),2)),""),""))</f>
        <v/>
      </c>
      <c r="O80" s="62" t="str">
        <f aca="false">IF(IFERROR(-INDEX(Expenses!D$3:D$1002,SMALL(IF((Expenses!E$3:E$1002="GBP")*(Expenses!A$3:A$1002=DATE(2026,4,19)),ROW(Expenses!A$3:A$1002)-2),2)),0)+IFERROR(INDEX(Income!C$3:C$502,SMALL(IF((Income!D$3:D$502="GBP")*(Income!A$3:A$502=DATE(2026,4,19)),ROW(Income!A$3:A$502)-2),2)),0)=0,"",IFERROR(-INDEX(Expenses!D$3:D$1002,SMALL(IF((Expenses!E$3:E$1002="GBP")*(Expenses!A$3:A$1002=DATE(2026,4,19)),ROW(Expenses!A$3:A$1002)-2),2)),0)+IFERROR(INDEX(Income!C$3:C$502,SMALL(IF((Income!D$3:D$502="GBP")*(Income!A$3:A$502=DATE(2026,4,19)),ROW(Income!A$3:A$502)-2),2)),0))</f>
        <v/>
      </c>
      <c r="P80" s="38" t="str">
        <f aca="false">IF(IFERROR(INDEX(Expenses!B$3:B$1002,SMALL(IF((Expenses!E$3:E$1002="GBP")*(Expenses!A$3:A$1002=DATE(2026,4,19)),ROW(Expenses!A$3:A$1002)-2),2)),"")&lt;&gt;"",IFERROR(INDEX(Expenses!B$3:B$1002,SMALL(IF((Expenses!E$3:E$1002="GBP")*(Expenses!A$3:A$1002=DATE(2026,4,19)),ROW(Expenses!A$3:A$1002)-2),2)),""),IF(IFERROR(INDEX(Income!B$3:B$502,SMALL(IF((Income!D$3:D$502="GBP")*(Income!A$3:A$502=DATE(2026,4,19)),ROW(Income!A$3:A$502)-2),2)),"")&lt;&gt;"",IFERROR(INDEX(Income!B$3:B$502,SMALL(IF((Income!D$3:D$502="GBP")*(Income!A$3:A$502=DATE(2026,4,19)),ROW(Income!A$3:A$502)-2),2)),""),""))</f>
        <v/>
      </c>
      <c r="Q80" s="16"/>
      <c r="R80" s="16"/>
    </row>
    <row r="81" customFormat="false" ht="15" hidden="false" customHeight="false" outlineLevel="0" collapsed="false">
      <c r="A81" s="16"/>
      <c r="B81" s="16"/>
      <c r="C81" s="62" t="str">
        <f aca="false">IF(IFERROR(-INDEX(Expenses!D$3:D$1002,SMALL(IF((Expenses!E$3:E$1002="GBP")*(Expenses!A$3:A$1002=DATE(2026,4,13)),ROW(Expenses!A$3:A$1002)-2),3)),0)+IFERROR(INDEX(Income!C$3:C$502,SMALL(IF((Income!D$3:D$502="GBP")*(Income!A$3:A$502=DATE(2026,4,13)),ROW(Income!A$3:A$502)-2),3)),0)=0,"",IFERROR(-INDEX(Expenses!D$3:D$1002,SMALL(IF((Expenses!E$3:E$1002="GBP")*(Expenses!A$3:A$1002=DATE(2026,4,13)),ROW(Expenses!A$3:A$1002)-2),3)),0)+IFERROR(INDEX(Income!C$3:C$502,SMALL(IF((Income!D$3:D$502="GBP")*(Income!A$3:A$502=DATE(2026,4,13)),ROW(Income!A$3:A$502)-2),3)),0))</f>
        <v/>
      </c>
      <c r="D81" s="38" t="str">
        <f aca="false">IF(IFERROR(INDEX(Expenses!B$3:B$1002,SMALL(IF((Expenses!E$3:E$1002="GBP")*(Expenses!A$3:A$1002=DATE(2026,4,13)),ROW(Expenses!A$3:A$1002)-2),3)),"")&lt;&gt;"",IFERROR(INDEX(Expenses!B$3:B$1002,SMALL(IF((Expenses!E$3:E$1002="GBP")*(Expenses!A$3:A$1002=DATE(2026,4,13)),ROW(Expenses!A$3:A$1002)-2),3)),""),IF(IFERROR(INDEX(Income!B$3:B$502,SMALL(IF((Income!D$3:D$502="GBP")*(Income!A$3:A$502=DATE(2026,4,13)),ROW(Income!A$3:A$502)-2),3)),"")&lt;&gt;"",IFERROR(INDEX(Income!B$3:B$502,SMALL(IF((Income!D$3:D$502="GBP")*(Income!A$3:A$502=DATE(2026,4,13)),ROW(Income!A$3:A$502)-2),3)),""),""))</f>
        <v/>
      </c>
      <c r="E81" s="62" t="str">
        <f aca="false">IF(IFERROR(-INDEX(Expenses!D$3:D$1002,SMALL(IF((Expenses!E$3:E$1002="GBP")*(Expenses!A$3:A$1002=DATE(2026,4,14)),ROW(Expenses!A$3:A$1002)-2),3)),0)+IFERROR(INDEX(Income!C$3:C$502,SMALL(IF((Income!D$3:D$502="GBP")*(Income!A$3:A$502=DATE(2026,4,14)),ROW(Income!A$3:A$502)-2),3)),0)=0,"",IFERROR(-INDEX(Expenses!D$3:D$1002,SMALL(IF((Expenses!E$3:E$1002="GBP")*(Expenses!A$3:A$1002=DATE(2026,4,14)),ROW(Expenses!A$3:A$1002)-2),3)),0)+IFERROR(INDEX(Income!C$3:C$502,SMALL(IF((Income!D$3:D$502="GBP")*(Income!A$3:A$502=DATE(2026,4,14)),ROW(Income!A$3:A$502)-2),3)),0))</f>
        <v/>
      </c>
      <c r="F81" s="38" t="str">
        <f aca="false">IF(IFERROR(INDEX(Expenses!B$3:B$1002,SMALL(IF((Expenses!E$3:E$1002="GBP")*(Expenses!A$3:A$1002=DATE(2026,4,14)),ROW(Expenses!A$3:A$1002)-2),3)),"")&lt;&gt;"",IFERROR(INDEX(Expenses!B$3:B$1002,SMALL(IF((Expenses!E$3:E$1002="GBP")*(Expenses!A$3:A$1002=DATE(2026,4,14)),ROW(Expenses!A$3:A$1002)-2),3)),""),IF(IFERROR(INDEX(Income!B$3:B$502,SMALL(IF((Income!D$3:D$502="GBP")*(Income!A$3:A$502=DATE(2026,4,14)),ROW(Income!A$3:A$502)-2),3)),"")&lt;&gt;"",IFERROR(INDEX(Income!B$3:B$502,SMALL(IF((Income!D$3:D$502="GBP")*(Income!A$3:A$502=DATE(2026,4,14)),ROW(Income!A$3:A$502)-2),3)),""),""))</f>
        <v/>
      </c>
      <c r="G81" s="62" t="str">
        <f aca="false">IF(IFERROR(-INDEX(Expenses!D$3:D$1002,SMALL(IF((Expenses!E$3:E$1002="GBP")*(Expenses!A$3:A$1002=DATE(2026,4,15)),ROW(Expenses!A$3:A$1002)-2),3)),0)+IFERROR(INDEX(Income!C$3:C$502,SMALL(IF((Income!D$3:D$502="GBP")*(Income!A$3:A$502=DATE(2026,4,15)),ROW(Income!A$3:A$502)-2),3)),0)=0,"",IFERROR(-INDEX(Expenses!D$3:D$1002,SMALL(IF((Expenses!E$3:E$1002="GBP")*(Expenses!A$3:A$1002=DATE(2026,4,15)),ROW(Expenses!A$3:A$1002)-2),3)),0)+IFERROR(INDEX(Income!C$3:C$502,SMALL(IF((Income!D$3:D$502="GBP")*(Income!A$3:A$502=DATE(2026,4,15)),ROW(Income!A$3:A$502)-2),3)),0))</f>
        <v/>
      </c>
      <c r="H81" s="38" t="str">
        <f aca="false">IF(IFERROR(INDEX(Expenses!B$3:B$1002,SMALL(IF((Expenses!E$3:E$1002="GBP")*(Expenses!A$3:A$1002=DATE(2026,4,15)),ROW(Expenses!A$3:A$1002)-2),3)),"")&lt;&gt;"",IFERROR(INDEX(Expenses!B$3:B$1002,SMALL(IF((Expenses!E$3:E$1002="GBP")*(Expenses!A$3:A$1002=DATE(2026,4,15)),ROW(Expenses!A$3:A$1002)-2),3)),""),IF(IFERROR(INDEX(Income!B$3:B$502,SMALL(IF((Income!D$3:D$502="GBP")*(Income!A$3:A$502=DATE(2026,4,15)),ROW(Income!A$3:A$502)-2),3)),"")&lt;&gt;"",IFERROR(INDEX(Income!B$3:B$502,SMALL(IF((Income!D$3:D$502="GBP")*(Income!A$3:A$502=DATE(2026,4,15)),ROW(Income!A$3:A$502)-2),3)),""),""))</f>
        <v/>
      </c>
      <c r="I81" s="62" t="str">
        <f aca="false">IF(IFERROR(-INDEX(Expenses!D$3:D$1002,SMALL(IF((Expenses!E$3:E$1002="GBP")*(Expenses!A$3:A$1002=DATE(2026,4,16)),ROW(Expenses!A$3:A$1002)-2),3)),0)+IFERROR(INDEX(Income!C$3:C$502,SMALL(IF((Income!D$3:D$502="GBP")*(Income!A$3:A$502=DATE(2026,4,16)),ROW(Income!A$3:A$502)-2),3)),0)=0,"",IFERROR(-INDEX(Expenses!D$3:D$1002,SMALL(IF((Expenses!E$3:E$1002="GBP")*(Expenses!A$3:A$1002=DATE(2026,4,16)),ROW(Expenses!A$3:A$1002)-2),3)),0)+IFERROR(INDEX(Income!C$3:C$502,SMALL(IF((Income!D$3:D$502="GBP")*(Income!A$3:A$502=DATE(2026,4,16)),ROW(Income!A$3:A$502)-2),3)),0))</f>
        <v/>
      </c>
      <c r="J81" s="38" t="str">
        <f aca="false">IF(IFERROR(INDEX(Expenses!B$3:B$1002,SMALL(IF((Expenses!E$3:E$1002="GBP")*(Expenses!A$3:A$1002=DATE(2026,4,16)),ROW(Expenses!A$3:A$1002)-2),3)),"")&lt;&gt;"",IFERROR(INDEX(Expenses!B$3:B$1002,SMALL(IF((Expenses!E$3:E$1002="GBP")*(Expenses!A$3:A$1002=DATE(2026,4,16)),ROW(Expenses!A$3:A$1002)-2),3)),""),IF(IFERROR(INDEX(Income!B$3:B$502,SMALL(IF((Income!D$3:D$502="GBP")*(Income!A$3:A$502=DATE(2026,4,16)),ROW(Income!A$3:A$502)-2),3)),"")&lt;&gt;"",IFERROR(INDEX(Income!B$3:B$502,SMALL(IF((Income!D$3:D$502="GBP")*(Income!A$3:A$502=DATE(2026,4,16)),ROW(Income!A$3:A$502)-2),3)),""),""))</f>
        <v/>
      </c>
      <c r="K81" s="62" t="str">
        <f aca="false">IF(IFERROR(-INDEX(Expenses!D$3:D$1002,SMALL(IF((Expenses!E$3:E$1002="GBP")*(Expenses!A$3:A$1002=DATE(2026,4,17)),ROW(Expenses!A$3:A$1002)-2),3)),0)+IFERROR(INDEX(Income!C$3:C$502,SMALL(IF((Income!D$3:D$502="GBP")*(Income!A$3:A$502=DATE(2026,4,17)),ROW(Income!A$3:A$502)-2),3)),0)=0,"",IFERROR(-INDEX(Expenses!D$3:D$1002,SMALL(IF((Expenses!E$3:E$1002="GBP")*(Expenses!A$3:A$1002=DATE(2026,4,17)),ROW(Expenses!A$3:A$1002)-2),3)),0)+IFERROR(INDEX(Income!C$3:C$502,SMALL(IF((Income!D$3:D$502="GBP")*(Income!A$3:A$502=DATE(2026,4,17)),ROW(Income!A$3:A$502)-2),3)),0))</f>
        <v/>
      </c>
      <c r="L81" s="38" t="str">
        <f aca="false">IF(IFERROR(INDEX(Expenses!B$3:B$1002,SMALL(IF((Expenses!E$3:E$1002="GBP")*(Expenses!A$3:A$1002=DATE(2026,4,17)),ROW(Expenses!A$3:A$1002)-2),3)),"")&lt;&gt;"",IFERROR(INDEX(Expenses!B$3:B$1002,SMALL(IF((Expenses!E$3:E$1002="GBP")*(Expenses!A$3:A$1002=DATE(2026,4,17)),ROW(Expenses!A$3:A$1002)-2),3)),""),IF(IFERROR(INDEX(Income!B$3:B$502,SMALL(IF((Income!D$3:D$502="GBP")*(Income!A$3:A$502=DATE(2026,4,17)),ROW(Income!A$3:A$502)-2),3)),"")&lt;&gt;"",IFERROR(INDEX(Income!B$3:B$502,SMALL(IF((Income!D$3:D$502="GBP")*(Income!A$3:A$502=DATE(2026,4,17)),ROW(Income!A$3:A$502)-2),3)),""),""))</f>
        <v/>
      </c>
      <c r="M81" s="62" t="str">
        <f aca="false">IF(IFERROR(-INDEX(Expenses!D$3:D$1002,SMALL(IF((Expenses!E$3:E$1002="GBP")*(Expenses!A$3:A$1002=DATE(2026,4,18)),ROW(Expenses!A$3:A$1002)-2),3)),0)+IFERROR(INDEX(Income!C$3:C$502,SMALL(IF((Income!D$3:D$502="GBP")*(Income!A$3:A$502=DATE(2026,4,18)),ROW(Income!A$3:A$502)-2),3)),0)=0,"",IFERROR(-INDEX(Expenses!D$3:D$1002,SMALL(IF((Expenses!E$3:E$1002="GBP")*(Expenses!A$3:A$1002=DATE(2026,4,18)),ROW(Expenses!A$3:A$1002)-2),3)),0)+IFERROR(INDEX(Income!C$3:C$502,SMALL(IF((Income!D$3:D$502="GBP")*(Income!A$3:A$502=DATE(2026,4,18)),ROW(Income!A$3:A$502)-2),3)),0))</f>
        <v/>
      </c>
      <c r="N81" s="38" t="str">
        <f aca="false">IF(IFERROR(INDEX(Expenses!B$3:B$1002,SMALL(IF((Expenses!E$3:E$1002="GBP")*(Expenses!A$3:A$1002=DATE(2026,4,18)),ROW(Expenses!A$3:A$1002)-2),3)),"")&lt;&gt;"",IFERROR(INDEX(Expenses!B$3:B$1002,SMALL(IF((Expenses!E$3:E$1002="GBP")*(Expenses!A$3:A$1002=DATE(2026,4,18)),ROW(Expenses!A$3:A$1002)-2),3)),""),IF(IFERROR(INDEX(Income!B$3:B$502,SMALL(IF((Income!D$3:D$502="GBP")*(Income!A$3:A$502=DATE(2026,4,18)),ROW(Income!A$3:A$502)-2),3)),"")&lt;&gt;"",IFERROR(INDEX(Income!B$3:B$502,SMALL(IF((Income!D$3:D$502="GBP")*(Income!A$3:A$502=DATE(2026,4,18)),ROW(Income!A$3:A$502)-2),3)),""),""))</f>
        <v/>
      </c>
      <c r="O81" s="62" t="str">
        <f aca="false">IF(IFERROR(-INDEX(Expenses!D$3:D$1002,SMALL(IF((Expenses!E$3:E$1002="GBP")*(Expenses!A$3:A$1002=DATE(2026,4,19)),ROW(Expenses!A$3:A$1002)-2),3)),0)+IFERROR(INDEX(Income!C$3:C$502,SMALL(IF((Income!D$3:D$502="GBP")*(Income!A$3:A$502=DATE(2026,4,19)),ROW(Income!A$3:A$502)-2),3)),0)=0,"",IFERROR(-INDEX(Expenses!D$3:D$1002,SMALL(IF((Expenses!E$3:E$1002="GBP")*(Expenses!A$3:A$1002=DATE(2026,4,19)),ROW(Expenses!A$3:A$1002)-2),3)),0)+IFERROR(INDEX(Income!C$3:C$502,SMALL(IF((Income!D$3:D$502="GBP")*(Income!A$3:A$502=DATE(2026,4,19)),ROW(Income!A$3:A$502)-2),3)),0))</f>
        <v/>
      </c>
      <c r="P81" s="38" t="str">
        <f aca="false">IF(IFERROR(INDEX(Expenses!B$3:B$1002,SMALL(IF((Expenses!E$3:E$1002="GBP")*(Expenses!A$3:A$1002=DATE(2026,4,19)),ROW(Expenses!A$3:A$1002)-2),3)),"")&lt;&gt;"",IFERROR(INDEX(Expenses!B$3:B$1002,SMALL(IF((Expenses!E$3:E$1002="GBP")*(Expenses!A$3:A$1002=DATE(2026,4,19)),ROW(Expenses!A$3:A$1002)-2),3)),""),IF(IFERROR(INDEX(Income!B$3:B$502,SMALL(IF((Income!D$3:D$502="GBP")*(Income!A$3:A$502=DATE(2026,4,19)),ROW(Income!A$3:A$502)-2),3)),"")&lt;&gt;"",IFERROR(INDEX(Income!B$3:B$502,SMALL(IF((Income!D$3:D$502="GBP")*(Income!A$3:A$502=DATE(2026,4,19)),ROW(Income!A$3:A$502)-2),3)),""),""))</f>
        <v/>
      </c>
      <c r="Q81" s="16"/>
      <c r="R81" s="16"/>
    </row>
    <row r="82" customFormat="false" ht="15" hidden="false" customHeight="false" outlineLevel="0" collapsed="false">
      <c r="A82" s="16"/>
      <c r="B82" s="16"/>
      <c r="C82" s="62" t="str">
        <f aca="false">IF(IFERROR(-INDEX(Expenses!D$3:D$1002,SMALL(IF((Expenses!E$3:E$1002="GBP")*(Expenses!A$3:A$1002=DATE(2026,4,13)),ROW(Expenses!A$3:A$1002)-2),4)),0)+IFERROR(INDEX(Income!C$3:C$502,SMALL(IF((Income!D$3:D$502="GBP")*(Income!A$3:A$502=DATE(2026,4,13)),ROW(Income!A$3:A$502)-2),4)),0)=0,"",IFERROR(-INDEX(Expenses!D$3:D$1002,SMALL(IF((Expenses!E$3:E$1002="GBP")*(Expenses!A$3:A$1002=DATE(2026,4,13)),ROW(Expenses!A$3:A$1002)-2),4)),0)+IFERROR(INDEX(Income!C$3:C$502,SMALL(IF((Income!D$3:D$502="GBP")*(Income!A$3:A$502=DATE(2026,4,13)),ROW(Income!A$3:A$502)-2),4)),0))</f>
        <v/>
      </c>
      <c r="D82" s="38" t="str">
        <f aca="false">IF(IFERROR(INDEX(Expenses!B$3:B$1002,SMALL(IF((Expenses!E$3:E$1002="GBP")*(Expenses!A$3:A$1002=DATE(2026,4,13)),ROW(Expenses!A$3:A$1002)-2),4)),"")&lt;&gt;"",IFERROR(INDEX(Expenses!B$3:B$1002,SMALL(IF((Expenses!E$3:E$1002="GBP")*(Expenses!A$3:A$1002=DATE(2026,4,13)),ROW(Expenses!A$3:A$1002)-2),4)),""),IF(IFERROR(INDEX(Income!B$3:B$502,SMALL(IF((Income!D$3:D$502="GBP")*(Income!A$3:A$502=DATE(2026,4,13)),ROW(Income!A$3:A$502)-2),4)),"")&lt;&gt;"",IFERROR(INDEX(Income!B$3:B$502,SMALL(IF((Income!D$3:D$502="GBP")*(Income!A$3:A$502=DATE(2026,4,13)),ROW(Income!A$3:A$502)-2),4)),""),""))</f>
        <v/>
      </c>
      <c r="E82" s="62" t="str">
        <f aca="false">IF(IFERROR(-INDEX(Expenses!D$3:D$1002,SMALL(IF((Expenses!E$3:E$1002="GBP")*(Expenses!A$3:A$1002=DATE(2026,4,14)),ROW(Expenses!A$3:A$1002)-2),4)),0)+IFERROR(INDEX(Income!C$3:C$502,SMALL(IF((Income!D$3:D$502="GBP")*(Income!A$3:A$502=DATE(2026,4,14)),ROW(Income!A$3:A$502)-2),4)),0)=0,"",IFERROR(-INDEX(Expenses!D$3:D$1002,SMALL(IF((Expenses!E$3:E$1002="GBP")*(Expenses!A$3:A$1002=DATE(2026,4,14)),ROW(Expenses!A$3:A$1002)-2),4)),0)+IFERROR(INDEX(Income!C$3:C$502,SMALL(IF((Income!D$3:D$502="GBP")*(Income!A$3:A$502=DATE(2026,4,14)),ROW(Income!A$3:A$502)-2),4)),0))</f>
        <v/>
      </c>
      <c r="F82" s="38" t="str">
        <f aca="false">IF(IFERROR(INDEX(Expenses!B$3:B$1002,SMALL(IF((Expenses!E$3:E$1002="GBP")*(Expenses!A$3:A$1002=DATE(2026,4,14)),ROW(Expenses!A$3:A$1002)-2),4)),"")&lt;&gt;"",IFERROR(INDEX(Expenses!B$3:B$1002,SMALL(IF((Expenses!E$3:E$1002="GBP")*(Expenses!A$3:A$1002=DATE(2026,4,14)),ROW(Expenses!A$3:A$1002)-2),4)),""),IF(IFERROR(INDEX(Income!B$3:B$502,SMALL(IF((Income!D$3:D$502="GBP")*(Income!A$3:A$502=DATE(2026,4,14)),ROW(Income!A$3:A$502)-2),4)),"")&lt;&gt;"",IFERROR(INDEX(Income!B$3:B$502,SMALL(IF((Income!D$3:D$502="GBP")*(Income!A$3:A$502=DATE(2026,4,14)),ROW(Income!A$3:A$502)-2),4)),""),""))</f>
        <v/>
      </c>
      <c r="G82" s="62" t="str">
        <f aca="false">IF(IFERROR(-INDEX(Expenses!D$3:D$1002,SMALL(IF((Expenses!E$3:E$1002="GBP")*(Expenses!A$3:A$1002=DATE(2026,4,15)),ROW(Expenses!A$3:A$1002)-2),4)),0)+IFERROR(INDEX(Income!C$3:C$502,SMALL(IF((Income!D$3:D$502="GBP")*(Income!A$3:A$502=DATE(2026,4,15)),ROW(Income!A$3:A$502)-2),4)),0)=0,"",IFERROR(-INDEX(Expenses!D$3:D$1002,SMALL(IF((Expenses!E$3:E$1002="GBP")*(Expenses!A$3:A$1002=DATE(2026,4,15)),ROW(Expenses!A$3:A$1002)-2),4)),0)+IFERROR(INDEX(Income!C$3:C$502,SMALL(IF((Income!D$3:D$502="GBP")*(Income!A$3:A$502=DATE(2026,4,15)),ROW(Income!A$3:A$502)-2),4)),0))</f>
        <v/>
      </c>
      <c r="H82" s="38" t="str">
        <f aca="false">IF(IFERROR(INDEX(Expenses!B$3:B$1002,SMALL(IF((Expenses!E$3:E$1002="GBP")*(Expenses!A$3:A$1002=DATE(2026,4,15)),ROW(Expenses!A$3:A$1002)-2),4)),"")&lt;&gt;"",IFERROR(INDEX(Expenses!B$3:B$1002,SMALL(IF((Expenses!E$3:E$1002="GBP")*(Expenses!A$3:A$1002=DATE(2026,4,15)),ROW(Expenses!A$3:A$1002)-2),4)),""),IF(IFERROR(INDEX(Income!B$3:B$502,SMALL(IF((Income!D$3:D$502="GBP")*(Income!A$3:A$502=DATE(2026,4,15)),ROW(Income!A$3:A$502)-2),4)),"")&lt;&gt;"",IFERROR(INDEX(Income!B$3:B$502,SMALL(IF((Income!D$3:D$502="GBP")*(Income!A$3:A$502=DATE(2026,4,15)),ROW(Income!A$3:A$502)-2),4)),""),""))</f>
        <v/>
      </c>
      <c r="I82" s="62" t="str">
        <f aca="false">IF(IFERROR(-INDEX(Expenses!D$3:D$1002,SMALL(IF((Expenses!E$3:E$1002="GBP")*(Expenses!A$3:A$1002=DATE(2026,4,16)),ROW(Expenses!A$3:A$1002)-2),4)),0)+IFERROR(INDEX(Income!C$3:C$502,SMALL(IF((Income!D$3:D$502="GBP")*(Income!A$3:A$502=DATE(2026,4,16)),ROW(Income!A$3:A$502)-2),4)),0)=0,"",IFERROR(-INDEX(Expenses!D$3:D$1002,SMALL(IF((Expenses!E$3:E$1002="GBP")*(Expenses!A$3:A$1002=DATE(2026,4,16)),ROW(Expenses!A$3:A$1002)-2),4)),0)+IFERROR(INDEX(Income!C$3:C$502,SMALL(IF((Income!D$3:D$502="GBP")*(Income!A$3:A$502=DATE(2026,4,16)),ROW(Income!A$3:A$502)-2),4)),0))</f>
        <v/>
      </c>
      <c r="J82" s="38" t="str">
        <f aca="false">IF(IFERROR(INDEX(Expenses!B$3:B$1002,SMALL(IF((Expenses!E$3:E$1002="GBP")*(Expenses!A$3:A$1002=DATE(2026,4,16)),ROW(Expenses!A$3:A$1002)-2),4)),"")&lt;&gt;"",IFERROR(INDEX(Expenses!B$3:B$1002,SMALL(IF((Expenses!E$3:E$1002="GBP")*(Expenses!A$3:A$1002=DATE(2026,4,16)),ROW(Expenses!A$3:A$1002)-2),4)),""),IF(IFERROR(INDEX(Income!B$3:B$502,SMALL(IF((Income!D$3:D$502="GBP")*(Income!A$3:A$502=DATE(2026,4,16)),ROW(Income!A$3:A$502)-2),4)),"")&lt;&gt;"",IFERROR(INDEX(Income!B$3:B$502,SMALL(IF((Income!D$3:D$502="GBP")*(Income!A$3:A$502=DATE(2026,4,16)),ROW(Income!A$3:A$502)-2),4)),""),""))</f>
        <v/>
      </c>
      <c r="K82" s="62" t="str">
        <f aca="false">IF(IFERROR(-INDEX(Expenses!D$3:D$1002,SMALL(IF((Expenses!E$3:E$1002="GBP")*(Expenses!A$3:A$1002=DATE(2026,4,17)),ROW(Expenses!A$3:A$1002)-2),4)),0)+IFERROR(INDEX(Income!C$3:C$502,SMALL(IF((Income!D$3:D$502="GBP")*(Income!A$3:A$502=DATE(2026,4,17)),ROW(Income!A$3:A$502)-2),4)),0)=0,"",IFERROR(-INDEX(Expenses!D$3:D$1002,SMALL(IF((Expenses!E$3:E$1002="GBP")*(Expenses!A$3:A$1002=DATE(2026,4,17)),ROW(Expenses!A$3:A$1002)-2),4)),0)+IFERROR(INDEX(Income!C$3:C$502,SMALL(IF((Income!D$3:D$502="GBP")*(Income!A$3:A$502=DATE(2026,4,17)),ROW(Income!A$3:A$502)-2),4)),0))</f>
        <v/>
      </c>
      <c r="L82" s="38" t="str">
        <f aca="false">IF(IFERROR(INDEX(Expenses!B$3:B$1002,SMALL(IF((Expenses!E$3:E$1002="GBP")*(Expenses!A$3:A$1002=DATE(2026,4,17)),ROW(Expenses!A$3:A$1002)-2),4)),"")&lt;&gt;"",IFERROR(INDEX(Expenses!B$3:B$1002,SMALL(IF((Expenses!E$3:E$1002="GBP")*(Expenses!A$3:A$1002=DATE(2026,4,17)),ROW(Expenses!A$3:A$1002)-2),4)),""),IF(IFERROR(INDEX(Income!B$3:B$502,SMALL(IF((Income!D$3:D$502="GBP")*(Income!A$3:A$502=DATE(2026,4,17)),ROW(Income!A$3:A$502)-2),4)),"")&lt;&gt;"",IFERROR(INDEX(Income!B$3:B$502,SMALL(IF((Income!D$3:D$502="GBP")*(Income!A$3:A$502=DATE(2026,4,17)),ROW(Income!A$3:A$502)-2),4)),""),""))</f>
        <v/>
      </c>
      <c r="M82" s="62" t="str">
        <f aca="false">IF(IFERROR(-INDEX(Expenses!D$3:D$1002,SMALL(IF((Expenses!E$3:E$1002="GBP")*(Expenses!A$3:A$1002=DATE(2026,4,18)),ROW(Expenses!A$3:A$1002)-2),4)),0)+IFERROR(INDEX(Income!C$3:C$502,SMALL(IF((Income!D$3:D$502="GBP")*(Income!A$3:A$502=DATE(2026,4,18)),ROW(Income!A$3:A$502)-2),4)),0)=0,"",IFERROR(-INDEX(Expenses!D$3:D$1002,SMALL(IF((Expenses!E$3:E$1002="GBP")*(Expenses!A$3:A$1002=DATE(2026,4,18)),ROW(Expenses!A$3:A$1002)-2),4)),0)+IFERROR(INDEX(Income!C$3:C$502,SMALL(IF((Income!D$3:D$502="GBP")*(Income!A$3:A$502=DATE(2026,4,18)),ROW(Income!A$3:A$502)-2),4)),0))</f>
        <v/>
      </c>
      <c r="N82" s="38" t="str">
        <f aca="false">IF(IFERROR(INDEX(Expenses!B$3:B$1002,SMALL(IF((Expenses!E$3:E$1002="GBP")*(Expenses!A$3:A$1002=DATE(2026,4,18)),ROW(Expenses!A$3:A$1002)-2),4)),"")&lt;&gt;"",IFERROR(INDEX(Expenses!B$3:B$1002,SMALL(IF((Expenses!E$3:E$1002="GBP")*(Expenses!A$3:A$1002=DATE(2026,4,18)),ROW(Expenses!A$3:A$1002)-2),4)),""),IF(IFERROR(INDEX(Income!B$3:B$502,SMALL(IF((Income!D$3:D$502="GBP")*(Income!A$3:A$502=DATE(2026,4,18)),ROW(Income!A$3:A$502)-2),4)),"")&lt;&gt;"",IFERROR(INDEX(Income!B$3:B$502,SMALL(IF((Income!D$3:D$502="GBP")*(Income!A$3:A$502=DATE(2026,4,18)),ROW(Income!A$3:A$502)-2),4)),""),""))</f>
        <v/>
      </c>
      <c r="O82" s="62" t="str">
        <f aca="false">IF(IFERROR(-INDEX(Expenses!D$3:D$1002,SMALL(IF((Expenses!E$3:E$1002="GBP")*(Expenses!A$3:A$1002=DATE(2026,4,19)),ROW(Expenses!A$3:A$1002)-2),4)),0)+IFERROR(INDEX(Income!C$3:C$502,SMALL(IF((Income!D$3:D$502="GBP")*(Income!A$3:A$502=DATE(2026,4,19)),ROW(Income!A$3:A$502)-2),4)),0)=0,"",IFERROR(-INDEX(Expenses!D$3:D$1002,SMALL(IF((Expenses!E$3:E$1002="GBP")*(Expenses!A$3:A$1002=DATE(2026,4,19)),ROW(Expenses!A$3:A$1002)-2),4)),0)+IFERROR(INDEX(Income!C$3:C$502,SMALL(IF((Income!D$3:D$502="GBP")*(Income!A$3:A$502=DATE(2026,4,19)),ROW(Income!A$3:A$502)-2),4)),0))</f>
        <v/>
      </c>
      <c r="P82" s="38" t="str">
        <f aca="false">IF(IFERROR(INDEX(Expenses!B$3:B$1002,SMALL(IF((Expenses!E$3:E$1002="GBP")*(Expenses!A$3:A$1002=DATE(2026,4,19)),ROW(Expenses!A$3:A$1002)-2),4)),"")&lt;&gt;"",IFERROR(INDEX(Expenses!B$3:B$1002,SMALL(IF((Expenses!E$3:E$1002="GBP")*(Expenses!A$3:A$1002=DATE(2026,4,19)),ROW(Expenses!A$3:A$1002)-2),4)),""),IF(IFERROR(INDEX(Income!B$3:B$502,SMALL(IF((Income!D$3:D$502="GBP")*(Income!A$3:A$502=DATE(2026,4,19)),ROW(Income!A$3:A$502)-2),4)),"")&lt;&gt;"",IFERROR(INDEX(Income!B$3:B$502,SMALL(IF((Income!D$3:D$502="GBP")*(Income!A$3:A$502=DATE(2026,4,19)),ROW(Income!A$3:A$502)-2),4)),""),""))</f>
        <v/>
      </c>
      <c r="Q82" s="16"/>
      <c r="R82" s="16"/>
    </row>
    <row r="83" customFormat="false" ht="15" hidden="false" customHeight="false" outlineLevel="0" collapsed="false">
      <c r="A83" s="16"/>
      <c r="B83" s="16"/>
      <c r="C83" s="62" t="str">
        <f aca="false">IF(IFERROR(-INDEX(Expenses!D$3:D$1002,SMALL(IF((Expenses!E$3:E$1002="GBP")*(Expenses!A$3:A$1002=DATE(2026,4,13)),ROW(Expenses!A$3:A$1002)-2),5)),0)+IFERROR(INDEX(Income!C$3:C$502,SMALL(IF((Income!D$3:D$502="GBP")*(Income!A$3:A$502=DATE(2026,4,13)),ROW(Income!A$3:A$502)-2),5)),0)=0,"",IFERROR(-INDEX(Expenses!D$3:D$1002,SMALL(IF((Expenses!E$3:E$1002="GBP")*(Expenses!A$3:A$1002=DATE(2026,4,13)),ROW(Expenses!A$3:A$1002)-2),5)),0)+IFERROR(INDEX(Income!C$3:C$502,SMALL(IF((Income!D$3:D$502="GBP")*(Income!A$3:A$502=DATE(2026,4,13)),ROW(Income!A$3:A$502)-2),5)),0))</f>
        <v/>
      </c>
      <c r="D83" s="38" t="str">
        <f aca="false">IF(IFERROR(INDEX(Expenses!B$3:B$1002,SMALL(IF((Expenses!E$3:E$1002="GBP")*(Expenses!A$3:A$1002=DATE(2026,4,13)),ROW(Expenses!A$3:A$1002)-2),5)),"")&lt;&gt;"",IFERROR(INDEX(Expenses!B$3:B$1002,SMALL(IF((Expenses!E$3:E$1002="GBP")*(Expenses!A$3:A$1002=DATE(2026,4,13)),ROW(Expenses!A$3:A$1002)-2),5)),""),IF(IFERROR(INDEX(Income!B$3:B$502,SMALL(IF((Income!D$3:D$502="GBP")*(Income!A$3:A$502=DATE(2026,4,13)),ROW(Income!A$3:A$502)-2),5)),"")&lt;&gt;"",IFERROR(INDEX(Income!B$3:B$502,SMALL(IF((Income!D$3:D$502="GBP")*(Income!A$3:A$502=DATE(2026,4,13)),ROW(Income!A$3:A$502)-2),5)),""),""))</f>
        <v/>
      </c>
      <c r="E83" s="62" t="str">
        <f aca="false">IF(IFERROR(-INDEX(Expenses!D$3:D$1002,SMALL(IF((Expenses!E$3:E$1002="GBP")*(Expenses!A$3:A$1002=DATE(2026,4,14)),ROW(Expenses!A$3:A$1002)-2),5)),0)+IFERROR(INDEX(Income!C$3:C$502,SMALL(IF((Income!D$3:D$502="GBP")*(Income!A$3:A$502=DATE(2026,4,14)),ROW(Income!A$3:A$502)-2),5)),0)=0,"",IFERROR(-INDEX(Expenses!D$3:D$1002,SMALL(IF((Expenses!E$3:E$1002="GBP")*(Expenses!A$3:A$1002=DATE(2026,4,14)),ROW(Expenses!A$3:A$1002)-2),5)),0)+IFERROR(INDEX(Income!C$3:C$502,SMALL(IF((Income!D$3:D$502="GBP")*(Income!A$3:A$502=DATE(2026,4,14)),ROW(Income!A$3:A$502)-2),5)),0))</f>
        <v/>
      </c>
      <c r="F83" s="38" t="str">
        <f aca="false">IF(IFERROR(INDEX(Expenses!B$3:B$1002,SMALL(IF((Expenses!E$3:E$1002="GBP")*(Expenses!A$3:A$1002=DATE(2026,4,14)),ROW(Expenses!A$3:A$1002)-2),5)),"")&lt;&gt;"",IFERROR(INDEX(Expenses!B$3:B$1002,SMALL(IF((Expenses!E$3:E$1002="GBP")*(Expenses!A$3:A$1002=DATE(2026,4,14)),ROW(Expenses!A$3:A$1002)-2),5)),""),IF(IFERROR(INDEX(Income!B$3:B$502,SMALL(IF((Income!D$3:D$502="GBP")*(Income!A$3:A$502=DATE(2026,4,14)),ROW(Income!A$3:A$502)-2),5)),"")&lt;&gt;"",IFERROR(INDEX(Income!B$3:B$502,SMALL(IF((Income!D$3:D$502="GBP")*(Income!A$3:A$502=DATE(2026,4,14)),ROW(Income!A$3:A$502)-2),5)),""),""))</f>
        <v/>
      </c>
      <c r="G83" s="62" t="str">
        <f aca="false">IF(IFERROR(-INDEX(Expenses!D$3:D$1002,SMALL(IF((Expenses!E$3:E$1002="GBP")*(Expenses!A$3:A$1002=DATE(2026,4,15)),ROW(Expenses!A$3:A$1002)-2),5)),0)+IFERROR(INDEX(Income!C$3:C$502,SMALL(IF((Income!D$3:D$502="GBP")*(Income!A$3:A$502=DATE(2026,4,15)),ROW(Income!A$3:A$502)-2),5)),0)=0,"",IFERROR(-INDEX(Expenses!D$3:D$1002,SMALL(IF((Expenses!E$3:E$1002="GBP")*(Expenses!A$3:A$1002=DATE(2026,4,15)),ROW(Expenses!A$3:A$1002)-2),5)),0)+IFERROR(INDEX(Income!C$3:C$502,SMALL(IF((Income!D$3:D$502="GBP")*(Income!A$3:A$502=DATE(2026,4,15)),ROW(Income!A$3:A$502)-2),5)),0))</f>
        <v/>
      </c>
      <c r="H83" s="38" t="str">
        <f aca="false">IF(IFERROR(INDEX(Expenses!B$3:B$1002,SMALL(IF((Expenses!E$3:E$1002="GBP")*(Expenses!A$3:A$1002=DATE(2026,4,15)),ROW(Expenses!A$3:A$1002)-2),5)),"")&lt;&gt;"",IFERROR(INDEX(Expenses!B$3:B$1002,SMALL(IF((Expenses!E$3:E$1002="GBP")*(Expenses!A$3:A$1002=DATE(2026,4,15)),ROW(Expenses!A$3:A$1002)-2),5)),""),IF(IFERROR(INDEX(Income!B$3:B$502,SMALL(IF((Income!D$3:D$502="GBP")*(Income!A$3:A$502=DATE(2026,4,15)),ROW(Income!A$3:A$502)-2),5)),"")&lt;&gt;"",IFERROR(INDEX(Income!B$3:B$502,SMALL(IF((Income!D$3:D$502="GBP")*(Income!A$3:A$502=DATE(2026,4,15)),ROW(Income!A$3:A$502)-2),5)),""),""))</f>
        <v/>
      </c>
      <c r="I83" s="62" t="str">
        <f aca="false">IF(IFERROR(-INDEX(Expenses!D$3:D$1002,SMALL(IF((Expenses!E$3:E$1002="GBP")*(Expenses!A$3:A$1002=DATE(2026,4,16)),ROW(Expenses!A$3:A$1002)-2),5)),0)+IFERROR(INDEX(Income!C$3:C$502,SMALL(IF((Income!D$3:D$502="GBP")*(Income!A$3:A$502=DATE(2026,4,16)),ROW(Income!A$3:A$502)-2),5)),0)=0,"",IFERROR(-INDEX(Expenses!D$3:D$1002,SMALL(IF((Expenses!E$3:E$1002="GBP")*(Expenses!A$3:A$1002=DATE(2026,4,16)),ROW(Expenses!A$3:A$1002)-2),5)),0)+IFERROR(INDEX(Income!C$3:C$502,SMALL(IF((Income!D$3:D$502="GBP")*(Income!A$3:A$502=DATE(2026,4,16)),ROW(Income!A$3:A$502)-2),5)),0))</f>
        <v/>
      </c>
      <c r="J83" s="38" t="str">
        <f aca="false">IF(IFERROR(INDEX(Expenses!B$3:B$1002,SMALL(IF((Expenses!E$3:E$1002="GBP")*(Expenses!A$3:A$1002=DATE(2026,4,16)),ROW(Expenses!A$3:A$1002)-2),5)),"")&lt;&gt;"",IFERROR(INDEX(Expenses!B$3:B$1002,SMALL(IF((Expenses!E$3:E$1002="GBP")*(Expenses!A$3:A$1002=DATE(2026,4,16)),ROW(Expenses!A$3:A$1002)-2),5)),""),IF(IFERROR(INDEX(Income!B$3:B$502,SMALL(IF((Income!D$3:D$502="GBP")*(Income!A$3:A$502=DATE(2026,4,16)),ROW(Income!A$3:A$502)-2),5)),"")&lt;&gt;"",IFERROR(INDEX(Income!B$3:B$502,SMALL(IF((Income!D$3:D$502="GBP")*(Income!A$3:A$502=DATE(2026,4,16)),ROW(Income!A$3:A$502)-2),5)),""),""))</f>
        <v/>
      </c>
      <c r="K83" s="62" t="str">
        <f aca="false">IF(IFERROR(-INDEX(Expenses!D$3:D$1002,SMALL(IF((Expenses!E$3:E$1002="GBP")*(Expenses!A$3:A$1002=DATE(2026,4,17)),ROW(Expenses!A$3:A$1002)-2),5)),0)+IFERROR(INDEX(Income!C$3:C$502,SMALL(IF((Income!D$3:D$502="GBP")*(Income!A$3:A$502=DATE(2026,4,17)),ROW(Income!A$3:A$502)-2),5)),0)=0,"",IFERROR(-INDEX(Expenses!D$3:D$1002,SMALL(IF((Expenses!E$3:E$1002="GBP")*(Expenses!A$3:A$1002=DATE(2026,4,17)),ROW(Expenses!A$3:A$1002)-2),5)),0)+IFERROR(INDEX(Income!C$3:C$502,SMALL(IF((Income!D$3:D$502="GBP")*(Income!A$3:A$502=DATE(2026,4,17)),ROW(Income!A$3:A$502)-2),5)),0))</f>
        <v/>
      </c>
      <c r="L83" s="38" t="str">
        <f aca="false">IF(IFERROR(INDEX(Expenses!B$3:B$1002,SMALL(IF((Expenses!E$3:E$1002="GBP")*(Expenses!A$3:A$1002=DATE(2026,4,17)),ROW(Expenses!A$3:A$1002)-2),5)),"")&lt;&gt;"",IFERROR(INDEX(Expenses!B$3:B$1002,SMALL(IF((Expenses!E$3:E$1002="GBP")*(Expenses!A$3:A$1002=DATE(2026,4,17)),ROW(Expenses!A$3:A$1002)-2),5)),""),IF(IFERROR(INDEX(Income!B$3:B$502,SMALL(IF((Income!D$3:D$502="GBP")*(Income!A$3:A$502=DATE(2026,4,17)),ROW(Income!A$3:A$502)-2),5)),"")&lt;&gt;"",IFERROR(INDEX(Income!B$3:B$502,SMALL(IF((Income!D$3:D$502="GBP")*(Income!A$3:A$502=DATE(2026,4,17)),ROW(Income!A$3:A$502)-2),5)),""),""))</f>
        <v/>
      </c>
      <c r="M83" s="62" t="str">
        <f aca="false">IF(IFERROR(-INDEX(Expenses!D$3:D$1002,SMALL(IF((Expenses!E$3:E$1002="GBP")*(Expenses!A$3:A$1002=DATE(2026,4,18)),ROW(Expenses!A$3:A$1002)-2),5)),0)+IFERROR(INDEX(Income!C$3:C$502,SMALL(IF((Income!D$3:D$502="GBP")*(Income!A$3:A$502=DATE(2026,4,18)),ROW(Income!A$3:A$502)-2),5)),0)=0,"",IFERROR(-INDEX(Expenses!D$3:D$1002,SMALL(IF((Expenses!E$3:E$1002="GBP")*(Expenses!A$3:A$1002=DATE(2026,4,18)),ROW(Expenses!A$3:A$1002)-2),5)),0)+IFERROR(INDEX(Income!C$3:C$502,SMALL(IF((Income!D$3:D$502="GBP")*(Income!A$3:A$502=DATE(2026,4,18)),ROW(Income!A$3:A$502)-2),5)),0))</f>
        <v/>
      </c>
      <c r="N83" s="38" t="str">
        <f aca="false">IF(IFERROR(INDEX(Expenses!B$3:B$1002,SMALL(IF((Expenses!E$3:E$1002="GBP")*(Expenses!A$3:A$1002=DATE(2026,4,18)),ROW(Expenses!A$3:A$1002)-2),5)),"")&lt;&gt;"",IFERROR(INDEX(Expenses!B$3:B$1002,SMALL(IF((Expenses!E$3:E$1002="GBP")*(Expenses!A$3:A$1002=DATE(2026,4,18)),ROW(Expenses!A$3:A$1002)-2),5)),""),IF(IFERROR(INDEX(Income!B$3:B$502,SMALL(IF((Income!D$3:D$502="GBP")*(Income!A$3:A$502=DATE(2026,4,18)),ROW(Income!A$3:A$502)-2),5)),"")&lt;&gt;"",IFERROR(INDEX(Income!B$3:B$502,SMALL(IF((Income!D$3:D$502="GBP")*(Income!A$3:A$502=DATE(2026,4,18)),ROW(Income!A$3:A$502)-2),5)),""),""))</f>
        <v/>
      </c>
      <c r="O83" s="62" t="str">
        <f aca="false">IF(IFERROR(-INDEX(Expenses!D$3:D$1002,SMALL(IF((Expenses!E$3:E$1002="GBP")*(Expenses!A$3:A$1002=DATE(2026,4,19)),ROW(Expenses!A$3:A$1002)-2),5)),0)+IFERROR(INDEX(Income!C$3:C$502,SMALL(IF((Income!D$3:D$502="GBP")*(Income!A$3:A$502=DATE(2026,4,19)),ROW(Income!A$3:A$502)-2),5)),0)=0,"",IFERROR(-INDEX(Expenses!D$3:D$1002,SMALL(IF((Expenses!E$3:E$1002="GBP")*(Expenses!A$3:A$1002=DATE(2026,4,19)),ROW(Expenses!A$3:A$1002)-2),5)),0)+IFERROR(INDEX(Income!C$3:C$502,SMALL(IF((Income!D$3:D$502="GBP")*(Income!A$3:A$502=DATE(2026,4,19)),ROW(Income!A$3:A$502)-2),5)),0))</f>
        <v/>
      </c>
      <c r="P83" s="38" t="str">
        <f aca="false">IF(IFERROR(INDEX(Expenses!B$3:B$1002,SMALL(IF((Expenses!E$3:E$1002="GBP")*(Expenses!A$3:A$1002=DATE(2026,4,19)),ROW(Expenses!A$3:A$1002)-2),5)),"")&lt;&gt;"",IFERROR(INDEX(Expenses!B$3:B$1002,SMALL(IF((Expenses!E$3:E$1002="GBP")*(Expenses!A$3:A$1002=DATE(2026,4,19)),ROW(Expenses!A$3:A$1002)-2),5)),""),IF(IFERROR(INDEX(Income!B$3:B$502,SMALL(IF((Income!D$3:D$502="GBP")*(Income!A$3:A$502=DATE(2026,4,19)),ROW(Income!A$3:A$502)-2),5)),"")&lt;&gt;"",IFERROR(INDEX(Income!B$3:B$502,SMALL(IF((Income!D$3:D$502="GBP")*(Income!A$3:A$502=DATE(2026,4,19)),ROW(Income!A$3:A$502)-2),5)),""),""))</f>
        <v/>
      </c>
      <c r="Q83" s="16"/>
      <c r="R83" s="16"/>
    </row>
    <row r="84" customFormat="false" ht="15" hidden="false" customHeight="false" outlineLevel="0" collapsed="false">
      <c r="A84" s="61" t="n">
        <v>46132</v>
      </c>
      <c r="B84" s="3" t="n">
        <v>17</v>
      </c>
      <c r="C84" s="62" t="str">
        <f aca="false">IF(IFERROR(-INDEX(Expenses!D$3:D$1002,SMALL(IF((Expenses!E$3:E$1002="GBP")*(Expenses!A$3:A$1002=DATE(2026,4,20)),ROW(Expenses!A$3:A$1002)-2),1)),0)+IFERROR(INDEX(Income!C$3:C$502,SMALL(IF((Income!D$3:D$502="GBP")*(Income!A$3:A$502=DATE(2026,4,20)),ROW(Income!A$3:A$502)-2),1)),0)=0,"",IFERROR(-INDEX(Expenses!D$3:D$1002,SMALL(IF((Expenses!E$3:E$1002="GBP")*(Expenses!A$3:A$1002=DATE(2026,4,20)),ROW(Expenses!A$3:A$1002)-2),1)),0)+IFERROR(INDEX(Income!C$3:C$502,SMALL(IF((Income!D$3:D$502="GBP")*(Income!A$3:A$502=DATE(2026,4,20)),ROW(Income!A$3:A$502)-2),1)),0))</f>
        <v/>
      </c>
      <c r="D84" s="38" t="str">
        <f aca="false">IF(IFERROR(INDEX(Expenses!B$3:B$1002,SMALL(IF((Expenses!E$3:E$1002="GBP")*(Expenses!A$3:A$1002=DATE(2026,4,20)),ROW(Expenses!A$3:A$1002)-2),1)),"")&lt;&gt;"",IFERROR(INDEX(Expenses!B$3:B$1002,SMALL(IF((Expenses!E$3:E$1002="GBP")*(Expenses!A$3:A$1002=DATE(2026,4,20)),ROW(Expenses!A$3:A$1002)-2),1)),""),IF(IFERROR(INDEX(Income!B$3:B$502,SMALL(IF((Income!D$3:D$502="GBP")*(Income!A$3:A$502=DATE(2026,4,20)),ROW(Income!A$3:A$502)-2),1)),"")&lt;&gt;"",IFERROR(INDEX(Income!B$3:B$502,SMALL(IF((Income!D$3:D$502="GBP")*(Income!A$3:A$502=DATE(2026,4,20)),ROW(Income!A$3:A$502)-2),1)),""),""))</f>
        <v/>
      </c>
      <c r="E84" s="62" t="str">
        <f aca="false">IF(IFERROR(-INDEX(Expenses!D$3:D$1002,SMALL(IF((Expenses!E$3:E$1002="GBP")*(Expenses!A$3:A$1002=DATE(2026,4,21)),ROW(Expenses!A$3:A$1002)-2),1)),0)+IFERROR(INDEX(Income!C$3:C$502,SMALL(IF((Income!D$3:D$502="GBP")*(Income!A$3:A$502=DATE(2026,4,21)),ROW(Income!A$3:A$502)-2),1)),0)=0,"",IFERROR(-INDEX(Expenses!D$3:D$1002,SMALL(IF((Expenses!E$3:E$1002="GBP")*(Expenses!A$3:A$1002=DATE(2026,4,21)),ROW(Expenses!A$3:A$1002)-2),1)),0)+IFERROR(INDEX(Income!C$3:C$502,SMALL(IF((Income!D$3:D$502="GBP")*(Income!A$3:A$502=DATE(2026,4,21)),ROW(Income!A$3:A$502)-2),1)),0))</f>
        <v/>
      </c>
      <c r="F84" s="38" t="str">
        <f aca="false">IF(IFERROR(INDEX(Expenses!B$3:B$1002,SMALL(IF((Expenses!E$3:E$1002="GBP")*(Expenses!A$3:A$1002=DATE(2026,4,21)),ROW(Expenses!A$3:A$1002)-2),1)),"")&lt;&gt;"",IFERROR(INDEX(Expenses!B$3:B$1002,SMALL(IF((Expenses!E$3:E$1002="GBP")*(Expenses!A$3:A$1002=DATE(2026,4,21)),ROW(Expenses!A$3:A$1002)-2),1)),""),IF(IFERROR(INDEX(Income!B$3:B$502,SMALL(IF((Income!D$3:D$502="GBP")*(Income!A$3:A$502=DATE(2026,4,21)),ROW(Income!A$3:A$502)-2),1)),"")&lt;&gt;"",IFERROR(INDEX(Income!B$3:B$502,SMALL(IF((Income!D$3:D$502="GBP")*(Income!A$3:A$502=DATE(2026,4,21)),ROW(Income!A$3:A$502)-2),1)),""),""))</f>
        <v/>
      </c>
      <c r="G84" s="62" t="str">
        <f aca="false">IF(IFERROR(-INDEX(Expenses!D$3:D$1002,SMALL(IF((Expenses!E$3:E$1002="GBP")*(Expenses!A$3:A$1002=DATE(2026,4,22)),ROW(Expenses!A$3:A$1002)-2),1)),0)+IFERROR(INDEX(Income!C$3:C$502,SMALL(IF((Income!D$3:D$502="GBP")*(Income!A$3:A$502=DATE(2026,4,22)),ROW(Income!A$3:A$502)-2),1)),0)=0,"",IFERROR(-INDEX(Expenses!D$3:D$1002,SMALL(IF((Expenses!E$3:E$1002="GBP")*(Expenses!A$3:A$1002=DATE(2026,4,22)),ROW(Expenses!A$3:A$1002)-2),1)),0)+IFERROR(INDEX(Income!C$3:C$502,SMALL(IF((Income!D$3:D$502="GBP")*(Income!A$3:A$502=DATE(2026,4,22)),ROW(Income!A$3:A$502)-2),1)),0))</f>
        <v/>
      </c>
      <c r="H84" s="38" t="str">
        <f aca="false">IF(IFERROR(INDEX(Expenses!B$3:B$1002,SMALL(IF((Expenses!E$3:E$1002="GBP")*(Expenses!A$3:A$1002=DATE(2026,4,22)),ROW(Expenses!A$3:A$1002)-2),1)),"")&lt;&gt;"",IFERROR(INDEX(Expenses!B$3:B$1002,SMALL(IF((Expenses!E$3:E$1002="GBP")*(Expenses!A$3:A$1002=DATE(2026,4,22)),ROW(Expenses!A$3:A$1002)-2),1)),""),IF(IFERROR(INDEX(Income!B$3:B$502,SMALL(IF((Income!D$3:D$502="GBP")*(Income!A$3:A$502=DATE(2026,4,22)),ROW(Income!A$3:A$502)-2),1)),"")&lt;&gt;"",IFERROR(INDEX(Income!B$3:B$502,SMALL(IF((Income!D$3:D$502="GBP")*(Income!A$3:A$502=DATE(2026,4,22)),ROW(Income!A$3:A$502)-2),1)),""),""))</f>
        <v/>
      </c>
      <c r="I84" s="62" t="str">
        <f aca="false">IF(IFERROR(-INDEX(Expenses!D$3:D$1002,SMALL(IF((Expenses!E$3:E$1002="GBP")*(Expenses!A$3:A$1002=DATE(2026,4,23)),ROW(Expenses!A$3:A$1002)-2),1)),0)+IFERROR(INDEX(Income!C$3:C$502,SMALL(IF((Income!D$3:D$502="GBP")*(Income!A$3:A$502=DATE(2026,4,23)),ROW(Income!A$3:A$502)-2),1)),0)=0,"",IFERROR(-INDEX(Expenses!D$3:D$1002,SMALL(IF((Expenses!E$3:E$1002="GBP")*(Expenses!A$3:A$1002=DATE(2026,4,23)),ROW(Expenses!A$3:A$1002)-2),1)),0)+IFERROR(INDEX(Income!C$3:C$502,SMALL(IF((Income!D$3:D$502="GBP")*(Income!A$3:A$502=DATE(2026,4,23)),ROW(Income!A$3:A$502)-2),1)),0))</f>
        <v/>
      </c>
      <c r="J84" s="38" t="str">
        <f aca="false">IF(IFERROR(INDEX(Expenses!B$3:B$1002,SMALL(IF((Expenses!E$3:E$1002="GBP")*(Expenses!A$3:A$1002=DATE(2026,4,23)),ROW(Expenses!A$3:A$1002)-2),1)),"")&lt;&gt;"",IFERROR(INDEX(Expenses!B$3:B$1002,SMALL(IF((Expenses!E$3:E$1002="GBP")*(Expenses!A$3:A$1002=DATE(2026,4,23)),ROW(Expenses!A$3:A$1002)-2),1)),""),IF(IFERROR(INDEX(Income!B$3:B$502,SMALL(IF((Income!D$3:D$502="GBP")*(Income!A$3:A$502=DATE(2026,4,23)),ROW(Income!A$3:A$502)-2),1)),"")&lt;&gt;"",IFERROR(INDEX(Income!B$3:B$502,SMALL(IF((Income!D$3:D$502="GBP")*(Income!A$3:A$502=DATE(2026,4,23)),ROW(Income!A$3:A$502)-2),1)),""),""))</f>
        <v/>
      </c>
      <c r="K84" s="62" t="str">
        <f aca="false">IF(IFERROR(-INDEX(Expenses!D$3:D$1002,SMALL(IF((Expenses!E$3:E$1002="GBP")*(Expenses!A$3:A$1002=DATE(2026,4,24)),ROW(Expenses!A$3:A$1002)-2),1)),0)+IFERROR(INDEX(Income!C$3:C$502,SMALL(IF((Income!D$3:D$502="GBP")*(Income!A$3:A$502=DATE(2026,4,24)),ROW(Income!A$3:A$502)-2),1)),0)=0,"",IFERROR(-INDEX(Expenses!D$3:D$1002,SMALL(IF((Expenses!E$3:E$1002="GBP")*(Expenses!A$3:A$1002=DATE(2026,4,24)),ROW(Expenses!A$3:A$1002)-2),1)),0)+IFERROR(INDEX(Income!C$3:C$502,SMALL(IF((Income!D$3:D$502="GBP")*(Income!A$3:A$502=DATE(2026,4,24)),ROW(Income!A$3:A$502)-2),1)),0))</f>
        <v/>
      </c>
      <c r="L84" s="38" t="str">
        <f aca="false">IF(IFERROR(INDEX(Expenses!B$3:B$1002,SMALL(IF((Expenses!E$3:E$1002="GBP")*(Expenses!A$3:A$1002=DATE(2026,4,24)),ROW(Expenses!A$3:A$1002)-2),1)),"")&lt;&gt;"",IFERROR(INDEX(Expenses!B$3:B$1002,SMALL(IF((Expenses!E$3:E$1002="GBP")*(Expenses!A$3:A$1002=DATE(2026,4,24)),ROW(Expenses!A$3:A$1002)-2),1)),""),IF(IFERROR(INDEX(Income!B$3:B$502,SMALL(IF((Income!D$3:D$502="GBP")*(Income!A$3:A$502=DATE(2026,4,24)),ROW(Income!A$3:A$502)-2),1)),"")&lt;&gt;"",IFERROR(INDEX(Income!B$3:B$502,SMALL(IF((Income!D$3:D$502="GBP")*(Income!A$3:A$502=DATE(2026,4,24)),ROW(Income!A$3:A$502)-2),1)),""),""))</f>
        <v/>
      </c>
      <c r="M84" s="62" t="str">
        <f aca="false">IF(IFERROR(-INDEX(Expenses!D$3:D$1002,SMALL(IF((Expenses!E$3:E$1002="GBP")*(Expenses!A$3:A$1002=DATE(2026,4,25)),ROW(Expenses!A$3:A$1002)-2),1)),0)+IFERROR(INDEX(Income!C$3:C$502,SMALL(IF((Income!D$3:D$502="GBP")*(Income!A$3:A$502=DATE(2026,4,25)),ROW(Income!A$3:A$502)-2),1)),0)=0,"",IFERROR(-INDEX(Expenses!D$3:D$1002,SMALL(IF((Expenses!E$3:E$1002="GBP")*(Expenses!A$3:A$1002=DATE(2026,4,25)),ROW(Expenses!A$3:A$1002)-2),1)),0)+IFERROR(INDEX(Income!C$3:C$502,SMALL(IF((Income!D$3:D$502="GBP")*(Income!A$3:A$502=DATE(2026,4,25)),ROW(Income!A$3:A$502)-2),1)),0))</f>
        <v/>
      </c>
      <c r="N84" s="38" t="str">
        <f aca="false">IF(IFERROR(INDEX(Expenses!B$3:B$1002,SMALL(IF((Expenses!E$3:E$1002="GBP")*(Expenses!A$3:A$1002=DATE(2026,4,25)),ROW(Expenses!A$3:A$1002)-2),1)),"")&lt;&gt;"",IFERROR(INDEX(Expenses!B$3:B$1002,SMALL(IF((Expenses!E$3:E$1002="GBP")*(Expenses!A$3:A$1002=DATE(2026,4,25)),ROW(Expenses!A$3:A$1002)-2),1)),""),IF(IFERROR(INDEX(Income!B$3:B$502,SMALL(IF((Income!D$3:D$502="GBP")*(Income!A$3:A$502=DATE(2026,4,25)),ROW(Income!A$3:A$502)-2),1)),"")&lt;&gt;"",IFERROR(INDEX(Income!B$3:B$502,SMALL(IF((Income!D$3:D$502="GBP")*(Income!A$3:A$502=DATE(2026,4,25)),ROW(Income!A$3:A$502)-2),1)),""),""))</f>
        <v/>
      </c>
      <c r="O84" s="62" t="str">
        <f aca="false">IF(IFERROR(-INDEX(Expenses!D$3:D$1002,SMALL(IF((Expenses!E$3:E$1002="GBP")*(Expenses!A$3:A$1002=DATE(2026,4,26)),ROW(Expenses!A$3:A$1002)-2),1)),0)+IFERROR(INDEX(Income!C$3:C$502,SMALL(IF((Income!D$3:D$502="GBP")*(Income!A$3:A$502=DATE(2026,4,26)),ROW(Income!A$3:A$502)-2),1)),0)=0,"",IFERROR(-INDEX(Expenses!D$3:D$1002,SMALL(IF((Expenses!E$3:E$1002="GBP")*(Expenses!A$3:A$1002=DATE(2026,4,26)),ROW(Expenses!A$3:A$1002)-2),1)),0)+IFERROR(INDEX(Income!C$3:C$502,SMALL(IF((Income!D$3:D$502="GBP")*(Income!A$3:A$502=DATE(2026,4,26)),ROW(Income!A$3:A$502)-2),1)),0))</f>
        <v/>
      </c>
      <c r="P84" s="38" t="str">
        <f aca="false">IF(IFERROR(INDEX(Expenses!B$3:B$1002,SMALL(IF((Expenses!E$3:E$1002="GBP")*(Expenses!A$3:A$1002=DATE(2026,4,26)),ROW(Expenses!A$3:A$1002)-2),1)),"")&lt;&gt;"",IFERROR(INDEX(Expenses!B$3:B$1002,SMALL(IF((Expenses!E$3:E$1002="GBP")*(Expenses!A$3:A$1002=DATE(2026,4,26)),ROW(Expenses!A$3:A$1002)-2),1)),""),IF(IFERROR(INDEX(Income!B$3:B$502,SMALL(IF((Income!D$3:D$502="GBP")*(Income!A$3:A$502=DATE(2026,4,26)),ROW(Income!A$3:A$502)-2),1)),"")&lt;&gt;"",IFERROR(INDEX(Income!B$3:B$502,SMALL(IF((Income!D$3:D$502="GBP")*(Income!A$3:A$502=DATE(2026,4,26)),ROW(Income!A$3:A$502)-2),1)),""),""))</f>
        <v/>
      </c>
      <c r="Q84" s="3" t="n">
        <v>17</v>
      </c>
      <c r="R84" s="45" t="n">
        <f aca="false">SUM(C84:C88)+SUM(E84:E88)+SUM(G84:G88)+SUM(I84:I88)+SUM(K84:K88)+SUM(M84:M88)+SUM(O84:O88)</f>
        <v>0</v>
      </c>
    </row>
    <row r="85" customFormat="false" ht="15" hidden="false" customHeight="false" outlineLevel="0" collapsed="false">
      <c r="A85" s="16"/>
      <c r="B85" s="16"/>
      <c r="C85" s="62" t="str">
        <f aca="false">IF(IFERROR(-INDEX(Expenses!D$3:D$1002,SMALL(IF((Expenses!E$3:E$1002="GBP")*(Expenses!A$3:A$1002=DATE(2026,4,20)),ROW(Expenses!A$3:A$1002)-2),2)),0)+IFERROR(INDEX(Income!C$3:C$502,SMALL(IF((Income!D$3:D$502="GBP")*(Income!A$3:A$502=DATE(2026,4,20)),ROW(Income!A$3:A$502)-2),2)),0)=0,"",IFERROR(-INDEX(Expenses!D$3:D$1002,SMALL(IF((Expenses!E$3:E$1002="GBP")*(Expenses!A$3:A$1002=DATE(2026,4,20)),ROW(Expenses!A$3:A$1002)-2),2)),0)+IFERROR(INDEX(Income!C$3:C$502,SMALL(IF((Income!D$3:D$502="GBP")*(Income!A$3:A$502=DATE(2026,4,20)),ROW(Income!A$3:A$502)-2),2)),0))</f>
        <v/>
      </c>
      <c r="D85" s="38" t="str">
        <f aca="false">IF(IFERROR(INDEX(Expenses!B$3:B$1002,SMALL(IF((Expenses!E$3:E$1002="GBP")*(Expenses!A$3:A$1002=DATE(2026,4,20)),ROW(Expenses!A$3:A$1002)-2),2)),"")&lt;&gt;"",IFERROR(INDEX(Expenses!B$3:B$1002,SMALL(IF((Expenses!E$3:E$1002="GBP")*(Expenses!A$3:A$1002=DATE(2026,4,20)),ROW(Expenses!A$3:A$1002)-2),2)),""),IF(IFERROR(INDEX(Income!B$3:B$502,SMALL(IF((Income!D$3:D$502="GBP")*(Income!A$3:A$502=DATE(2026,4,20)),ROW(Income!A$3:A$502)-2),2)),"")&lt;&gt;"",IFERROR(INDEX(Income!B$3:B$502,SMALL(IF((Income!D$3:D$502="GBP")*(Income!A$3:A$502=DATE(2026,4,20)),ROW(Income!A$3:A$502)-2),2)),""),""))</f>
        <v/>
      </c>
      <c r="E85" s="62" t="str">
        <f aca="false">IF(IFERROR(-INDEX(Expenses!D$3:D$1002,SMALL(IF((Expenses!E$3:E$1002="GBP")*(Expenses!A$3:A$1002=DATE(2026,4,21)),ROW(Expenses!A$3:A$1002)-2),2)),0)+IFERROR(INDEX(Income!C$3:C$502,SMALL(IF((Income!D$3:D$502="GBP")*(Income!A$3:A$502=DATE(2026,4,21)),ROW(Income!A$3:A$502)-2),2)),0)=0,"",IFERROR(-INDEX(Expenses!D$3:D$1002,SMALL(IF((Expenses!E$3:E$1002="GBP")*(Expenses!A$3:A$1002=DATE(2026,4,21)),ROW(Expenses!A$3:A$1002)-2),2)),0)+IFERROR(INDEX(Income!C$3:C$502,SMALL(IF((Income!D$3:D$502="GBP")*(Income!A$3:A$502=DATE(2026,4,21)),ROW(Income!A$3:A$502)-2),2)),0))</f>
        <v/>
      </c>
      <c r="F85" s="38" t="str">
        <f aca="false">IF(IFERROR(INDEX(Expenses!B$3:B$1002,SMALL(IF((Expenses!E$3:E$1002="GBP")*(Expenses!A$3:A$1002=DATE(2026,4,21)),ROW(Expenses!A$3:A$1002)-2),2)),"")&lt;&gt;"",IFERROR(INDEX(Expenses!B$3:B$1002,SMALL(IF((Expenses!E$3:E$1002="GBP")*(Expenses!A$3:A$1002=DATE(2026,4,21)),ROW(Expenses!A$3:A$1002)-2),2)),""),IF(IFERROR(INDEX(Income!B$3:B$502,SMALL(IF((Income!D$3:D$502="GBP")*(Income!A$3:A$502=DATE(2026,4,21)),ROW(Income!A$3:A$502)-2),2)),"")&lt;&gt;"",IFERROR(INDEX(Income!B$3:B$502,SMALL(IF((Income!D$3:D$502="GBP")*(Income!A$3:A$502=DATE(2026,4,21)),ROW(Income!A$3:A$502)-2),2)),""),""))</f>
        <v/>
      </c>
      <c r="G85" s="62" t="str">
        <f aca="false">IF(IFERROR(-INDEX(Expenses!D$3:D$1002,SMALL(IF((Expenses!E$3:E$1002="GBP")*(Expenses!A$3:A$1002=DATE(2026,4,22)),ROW(Expenses!A$3:A$1002)-2),2)),0)+IFERROR(INDEX(Income!C$3:C$502,SMALL(IF((Income!D$3:D$502="GBP")*(Income!A$3:A$502=DATE(2026,4,22)),ROW(Income!A$3:A$502)-2),2)),0)=0,"",IFERROR(-INDEX(Expenses!D$3:D$1002,SMALL(IF((Expenses!E$3:E$1002="GBP")*(Expenses!A$3:A$1002=DATE(2026,4,22)),ROW(Expenses!A$3:A$1002)-2),2)),0)+IFERROR(INDEX(Income!C$3:C$502,SMALL(IF((Income!D$3:D$502="GBP")*(Income!A$3:A$502=DATE(2026,4,22)),ROW(Income!A$3:A$502)-2),2)),0))</f>
        <v/>
      </c>
      <c r="H85" s="38" t="str">
        <f aca="false">IF(IFERROR(INDEX(Expenses!B$3:B$1002,SMALL(IF((Expenses!E$3:E$1002="GBP")*(Expenses!A$3:A$1002=DATE(2026,4,22)),ROW(Expenses!A$3:A$1002)-2),2)),"")&lt;&gt;"",IFERROR(INDEX(Expenses!B$3:B$1002,SMALL(IF((Expenses!E$3:E$1002="GBP")*(Expenses!A$3:A$1002=DATE(2026,4,22)),ROW(Expenses!A$3:A$1002)-2),2)),""),IF(IFERROR(INDEX(Income!B$3:B$502,SMALL(IF((Income!D$3:D$502="GBP")*(Income!A$3:A$502=DATE(2026,4,22)),ROW(Income!A$3:A$502)-2),2)),"")&lt;&gt;"",IFERROR(INDEX(Income!B$3:B$502,SMALL(IF((Income!D$3:D$502="GBP")*(Income!A$3:A$502=DATE(2026,4,22)),ROW(Income!A$3:A$502)-2),2)),""),""))</f>
        <v/>
      </c>
      <c r="I85" s="62" t="str">
        <f aca="false">IF(IFERROR(-INDEX(Expenses!D$3:D$1002,SMALL(IF((Expenses!E$3:E$1002="GBP")*(Expenses!A$3:A$1002=DATE(2026,4,23)),ROW(Expenses!A$3:A$1002)-2),2)),0)+IFERROR(INDEX(Income!C$3:C$502,SMALL(IF((Income!D$3:D$502="GBP")*(Income!A$3:A$502=DATE(2026,4,23)),ROW(Income!A$3:A$502)-2),2)),0)=0,"",IFERROR(-INDEX(Expenses!D$3:D$1002,SMALL(IF((Expenses!E$3:E$1002="GBP")*(Expenses!A$3:A$1002=DATE(2026,4,23)),ROW(Expenses!A$3:A$1002)-2),2)),0)+IFERROR(INDEX(Income!C$3:C$502,SMALL(IF((Income!D$3:D$502="GBP")*(Income!A$3:A$502=DATE(2026,4,23)),ROW(Income!A$3:A$502)-2),2)),0))</f>
        <v/>
      </c>
      <c r="J85" s="38" t="str">
        <f aca="false">IF(IFERROR(INDEX(Expenses!B$3:B$1002,SMALL(IF((Expenses!E$3:E$1002="GBP")*(Expenses!A$3:A$1002=DATE(2026,4,23)),ROW(Expenses!A$3:A$1002)-2),2)),"")&lt;&gt;"",IFERROR(INDEX(Expenses!B$3:B$1002,SMALL(IF((Expenses!E$3:E$1002="GBP")*(Expenses!A$3:A$1002=DATE(2026,4,23)),ROW(Expenses!A$3:A$1002)-2),2)),""),IF(IFERROR(INDEX(Income!B$3:B$502,SMALL(IF((Income!D$3:D$502="GBP")*(Income!A$3:A$502=DATE(2026,4,23)),ROW(Income!A$3:A$502)-2),2)),"")&lt;&gt;"",IFERROR(INDEX(Income!B$3:B$502,SMALL(IF((Income!D$3:D$502="GBP")*(Income!A$3:A$502=DATE(2026,4,23)),ROW(Income!A$3:A$502)-2),2)),""),""))</f>
        <v/>
      </c>
      <c r="K85" s="62" t="str">
        <f aca="false">IF(IFERROR(-INDEX(Expenses!D$3:D$1002,SMALL(IF((Expenses!E$3:E$1002="GBP")*(Expenses!A$3:A$1002=DATE(2026,4,24)),ROW(Expenses!A$3:A$1002)-2),2)),0)+IFERROR(INDEX(Income!C$3:C$502,SMALL(IF((Income!D$3:D$502="GBP")*(Income!A$3:A$502=DATE(2026,4,24)),ROW(Income!A$3:A$502)-2),2)),0)=0,"",IFERROR(-INDEX(Expenses!D$3:D$1002,SMALL(IF((Expenses!E$3:E$1002="GBP")*(Expenses!A$3:A$1002=DATE(2026,4,24)),ROW(Expenses!A$3:A$1002)-2),2)),0)+IFERROR(INDEX(Income!C$3:C$502,SMALL(IF((Income!D$3:D$502="GBP")*(Income!A$3:A$502=DATE(2026,4,24)),ROW(Income!A$3:A$502)-2),2)),0))</f>
        <v/>
      </c>
      <c r="L85" s="38" t="str">
        <f aca="false">IF(IFERROR(INDEX(Expenses!B$3:B$1002,SMALL(IF((Expenses!E$3:E$1002="GBP")*(Expenses!A$3:A$1002=DATE(2026,4,24)),ROW(Expenses!A$3:A$1002)-2),2)),"")&lt;&gt;"",IFERROR(INDEX(Expenses!B$3:B$1002,SMALL(IF((Expenses!E$3:E$1002="GBP")*(Expenses!A$3:A$1002=DATE(2026,4,24)),ROW(Expenses!A$3:A$1002)-2),2)),""),IF(IFERROR(INDEX(Income!B$3:B$502,SMALL(IF((Income!D$3:D$502="GBP")*(Income!A$3:A$502=DATE(2026,4,24)),ROW(Income!A$3:A$502)-2),2)),"")&lt;&gt;"",IFERROR(INDEX(Income!B$3:B$502,SMALL(IF((Income!D$3:D$502="GBP")*(Income!A$3:A$502=DATE(2026,4,24)),ROW(Income!A$3:A$502)-2),2)),""),""))</f>
        <v/>
      </c>
      <c r="M85" s="62" t="str">
        <f aca="false">IF(IFERROR(-INDEX(Expenses!D$3:D$1002,SMALL(IF((Expenses!E$3:E$1002="GBP")*(Expenses!A$3:A$1002=DATE(2026,4,25)),ROW(Expenses!A$3:A$1002)-2),2)),0)+IFERROR(INDEX(Income!C$3:C$502,SMALL(IF((Income!D$3:D$502="GBP")*(Income!A$3:A$502=DATE(2026,4,25)),ROW(Income!A$3:A$502)-2),2)),0)=0,"",IFERROR(-INDEX(Expenses!D$3:D$1002,SMALL(IF((Expenses!E$3:E$1002="GBP")*(Expenses!A$3:A$1002=DATE(2026,4,25)),ROW(Expenses!A$3:A$1002)-2),2)),0)+IFERROR(INDEX(Income!C$3:C$502,SMALL(IF((Income!D$3:D$502="GBP")*(Income!A$3:A$502=DATE(2026,4,25)),ROW(Income!A$3:A$502)-2),2)),0))</f>
        <v/>
      </c>
      <c r="N85" s="38" t="str">
        <f aca="false">IF(IFERROR(INDEX(Expenses!B$3:B$1002,SMALL(IF((Expenses!E$3:E$1002="GBP")*(Expenses!A$3:A$1002=DATE(2026,4,25)),ROW(Expenses!A$3:A$1002)-2),2)),"")&lt;&gt;"",IFERROR(INDEX(Expenses!B$3:B$1002,SMALL(IF((Expenses!E$3:E$1002="GBP")*(Expenses!A$3:A$1002=DATE(2026,4,25)),ROW(Expenses!A$3:A$1002)-2),2)),""),IF(IFERROR(INDEX(Income!B$3:B$502,SMALL(IF((Income!D$3:D$502="GBP")*(Income!A$3:A$502=DATE(2026,4,25)),ROW(Income!A$3:A$502)-2),2)),"")&lt;&gt;"",IFERROR(INDEX(Income!B$3:B$502,SMALL(IF((Income!D$3:D$502="GBP")*(Income!A$3:A$502=DATE(2026,4,25)),ROW(Income!A$3:A$502)-2),2)),""),""))</f>
        <v/>
      </c>
      <c r="O85" s="62" t="str">
        <f aca="false">IF(IFERROR(-INDEX(Expenses!D$3:D$1002,SMALL(IF((Expenses!E$3:E$1002="GBP")*(Expenses!A$3:A$1002=DATE(2026,4,26)),ROW(Expenses!A$3:A$1002)-2),2)),0)+IFERROR(INDEX(Income!C$3:C$502,SMALL(IF((Income!D$3:D$502="GBP")*(Income!A$3:A$502=DATE(2026,4,26)),ROW(Income!A$3:A$502)-2),2)),0)=0,"",IFERROR(-INDEX(Expenses!D$3:D$1002,SMALL(IF((Expenses!E$3:E$1002="GBP")*(Expenses!A$3:A$1002=DATE(2026,4,26)),ROW(Expenses!A$3:A$1002)-2),2)),0)+IFERROR(INDEX(Income!C$3:C$502,SMALL(IF((Income!D$3:D$502="GBP")*(Income!A$3:A$502=DATE(2026,4,26)),ROW(Income!A$3:A$502)-2),2)),0))</f>
        <v/>
      </c>
      <c r="P85" s="38" t="str">
        <f aca="false">IF(IFERROR(INDEX(Expenses!B$3:B$1002,SMALL(IF((Expenses!E$3:E$1002="GBP")*(Expenses!A$3:A$1002=DATE(2026,4,26)),ROW(Expenses!A$3:A$1002)-2),2)),"")&lt;&gt;"",IFERROR(INDEX(Expenses!B$3:B$1002,SMALL(IF((Expenses!E$3:E$1002="GBP")*(Expenses!A$3:A$1002=DATE(2026,4,26)),ROW(Expenses!A$3:A$1002)-2),2)),""),IF(IFERROR(INDEX(Income!B$3:B$502,SMALL(IF((Income!D$3:D$502="GBP")*(Income!A$3:A$502=DATE(2026,4,26)),ROW(Income!A$3:A$502)-2),2)),"")&lt;&gt;"",IFERROR(INDEX(Income!B$3:B$502,SMALL(IF((Income!D$3:D$502="GBP")*(Income!A$3:A$502=DATE(2026,4,26)),ROW(Income!A$3:A$502)-2),2)),""),""))</f>
        <v/>
      </c>
      <c r="Q85" s="16"/>
      <c r="R85" s="16"/>
    </row>
    <row r="86" customFormat="false" ht="15" hidden="false" customHeight="false" outlineLevel="0" collapsed="false">
      <c r="A86" s="16"/>
      <c r="B86" s="16"/>
      <c r="C86" s="62" t="str">
        <f aca="false">IF(IFERROR(-INDEX(Expenses!D$3:D$1002,SMALL(IF((Expenses!E$3:E$1002="GBP")*(Expenses!A$3:A$1002=DATE(2026,4,20)),ROW(Expenses!A$3:A$1002)-2),3)),0)+IFERROR(INDEX(Income!C$3:C$502,SMALL(IF((Income!D$3:D$502="GBP")*(Income!A$3:A$502=DATE(2026,4,20)),ROW(Income!A$3:A$502)-2),3)),0)=0,"",IFERROR(-INDEX(Expenses!D$3:D$1002,SMALL(IF((Expenses!E$3:E$1002="GBP")*(Expenses!A$3:A$1002=DATE(2026,4,20)),ROW(Expenses!A$3:A$1002)-2),3)),0)+IFERROR(INDEX(Income!C$3:C$502,SMALL(IF((Income!D$3:D$502="GBP")*(Income!A$3:A$502=DATE(2026,4,20)),ROW(Income!A$3:A$502)-2),3)),0))</f>
        <v/>
      </c>
      <c r="D86" s="38" t="str">
        <f aca="false">IF(IFERROR(INDEX(Expenses!B$3:B$1002,SMALL(IF((Expenses!E$3:E$1002="GBP")*(Expenses!A$3:A$1002=DATE(2026,4,20)),ROW(Expenses!A$3:A$1002)-2),3)),"")&lt;&gt;"",IFERROR(INDEX(Expenses!B$3:B$1002,SMALL(IF((Expenses!E$3:E$1002="GBP")*(Expenses!A$3:A$1002=DATE(2026,4,20)),ROW(Expenses!A$3:A$1002)-2),3)),""),IF(IFERROR(INDEX(Income!B$3:B$502,SMALL(IF((Income!D$3:D$502="GBP")*(Income!A$3:A$502=DATE(2026,4,20)),ROW(Income!A$3:A$502)-2),3)),"")&lt;&gt;"",IFERROR(INDEX(Income!B$3:B$502,SMALL(IF((Income!D$3:D$502="GBP")*(Income!A$3:A$502=DATE(2026,4,20)),ROW(Income!A$3:A$502)-2),3)),""),""))</f>
        <v/>
      </c>
      <c r="E86" s="62" t="str">
        <f aca="false">IF(IFERROR(-INDEX(Expenses!D$3:D$1002,SMALL(IF((Expenses!E$3:E$1002="GBP")*(Expenses!A$3:A$1002=DATE(2026,4,21)),ROW(Expenses!A$3:A$1002)-2),3)),0)+IFERROR(INDEX(Income!C$3:C$502,SMALL(IF((Income!D$3:D$502="GBP")*(Income!A$3:A$502=DATE(2026,4,21)),ROW(Income!A$3:A$502)-2),3)),0)=0,"",IFERROR(-INDEX(Expenses!D$3:D$1002,SMALL(IF((Expenses!E$3:E$1002="GBP")*(Expenses!A$3:A$1002=DATE(2026,4,21)),ROW(Expenses!A$3:A$1002)-2),3)),0)+IFERROR(INDEX(Income!C$3:C$502,SMALL(IF((Income!D$3:D$502="GBP")*(Income!A$3:A$502=DATE(2026,4,21)),ROW(Income!A$3:A$502)-2),3)),0))</f>
        <v/>
      </c>
      <c r="F86" s="38" t="str">
        <f aca="false">IF(IFERROR(INDEX(Expenses!B$3:B$1002,SMALL(IF((Expenses!E$3:E$1002="GBP")*(Expenses!A$3:A$1002=DATE(2026,4,21)),ROW(Expenses!A$3:A$1002)-2),3)),"")&lt;&gt;"",IFERROR(INDEX(Expenses!B$3:B$1002,SMALL(IF((Expenses!E$3:E$1002="GBP")*(Expenses!A$3:A$1002=DATE(2026,4,21)),ROW(Expenses!A$3:A$1002)-2),3)),""),IF(IFERROR(INDEX(Income!B$3:B$502,SMALL(IF((Income!D$3:D$502="GBP")*(Income!A$3:A$502=DATE(2026,4,21)),ROW(Income!A$3:A$502)-2),3)),"")&lt;&gt;"",IFERROR(INDEX(Income!B$3:B$502,SMALL(IF((Income!D$3:D$502="GBP")*(Income!A$3:A$502=DATE(2026,4,21)),ROW(Income!A$3:A$502)-2),3)),""),""))</f>
        <v/>
      </c>
      <c r="G86" s="62" t="str">
        <f aca="false">IF(IFERROR(-INDEX(Expenses!D$3:D$1002,SMALL(IF((Expenses!E$3:E$1002="GBP")*(Expenses!A$3:A$1002=DATE(2026,4,22)),ROW(Expenses!A$3:A$1002)-2),3)),0)+IFERROR(INDEX(Income!C$3:C$502,SMALL(IF((Income!D$3:D$502="GBP")*(Income!A$3:A$502=DATE(2026,4,22)),ROW(Income!A$3:A$502)-2),3)),0)=0,"",IFERROR(-INDEX(Expenses!D$3:D$1002,SMALL(IF((Expenses!E$3:E$1002="GBP")*(Expenses!A$3:A$1002=DATE(2026,4,22)),ROW(Expenses!A$3:A$1002)-2),3)),0)+IFERROR(INDEX(Income!C$3:C$502,SMALL(IF((Income!D$3:D$502="GBP")*(Income!A$3:A$502=DATE(2026,4,22)),ROW(Income!A$3:A$502)-2),3)),0))</f>
        <v/>
      </c>
      <c r="H86" s="38" t="str">
        <f aca="false">IF(IFERROR(INDEX(Expenses!B$3:B$1002,SMALL(IF((Expenses!E$3:E$1002="GBP")*(Expenses!A$3:A$1002=DATE(2026,4,22)),ROW(Expenses!A$3:A$1002)-2),3)),"")&lt;&gt;"",IFERROR(INDEX(Expenses!B$3:B$1002,SMALL(IF((Expenses!E$3:E$1002="GBP")*(Expenses!A$3:A$1002=DATE(2026,4,22)),ROW(Expenses!A$3:A$1002)-2),3)),""),IF(IFERROR(INDEX(Income!B$3:B$502,SMALL(IF((Income!D$3:D$502="GBP")*(Income!A$3:A$502=DATE(2026,4,22)),ROW(Income!A$3:A$502)-2),3)),"")&lt;&gt;"",IFERROR(INDEX(Income!B$3:B$502,SMALL(IF((Income!D$3:D$502="GBP")*(Income!A$3:A$502=DATE(2026,4,22)),ROW(Income!A$3:A$502)-2),3)),""),""))</f>
        <v/>
      </c>
      <c r="I86" s="62" t="str">
        <f aca="false">IF(IFERROR(-INDEX(Expenses!D$3:D$1002,SMALL(IF((Expenses!E$3:E$1002="GBP")*(Expenses!A$3:A$1002=DATE(2026,4,23)),ROW(Expenses!A$3:A$1002)-2),3)),0)+IFERROR(INDEX(Income!C$3:C$502,SMALL(IF((Income!D$3:D$502="GBP")*(Income!A$3:A$502=DATE(2026,4,23)),ROW(Income!A$3:A$502)-2),3)),0)=0,"",IFERROR(-INDEX(Expenses!D$3:D$1002,SMALL(IF((Expenses!E$3:E$1002="GBP")*(Expenses!A$3:A$1002=DATE(2026,4,23)),ROW(Expenses!A$3:A$1002)-2),3)),0)+IFERROR(INDEX(Income!C$3:C$502,SMALL(IF((Income!D$3:D$502="GBP")*(Income!A$3:A$502=DATE(2026,4,23)),ROW(Income!A$3:A$502)-2),3)),0))</f>
        <v/>
      </c>
      <c r="J86" s="38" t="str">
        <f aca="false">IF(IFERROR(INDEX(Expenses!B$3:B$1002,SMALL(IF((Expenses!E$3:E$1002="GBP")*(Expenses!A$3:A$1002=DATE(2026,4,23)),ROW(Expenses!A$3:A$1002)-2),3)),"")&lt;&gt;"",IFERROR(INDEX(Expenses!B$3:B$1002,SMALL(IF((Expenses!E$3:E$1002="GBP")*(Expenses!A$3:A$1002=DATE(2026,4,23)),ROW(Expenses!A$3:A$1002)-2),3)),""),IF(IFERROR(INDEX(Income!B$3:B$502,SMALL(IF((Income!D$3:D$502="GBP")*(Income!A$3:A$502=DATE(2026,4,23)),ROW(Income!A$3:A$502)-2),3)),"")&lt;&gt;"",IFERROR(INDEX(Income!B$3:B$502,SMALL(IF((Income!D$3:D$502="GBP")*(Income!A$3:A$502=DATE(2026,4,23)),ROW(Income!A$3:A$502)-2),3)),""),""))</f>
        <v/>
      </c>
      <c r="K86" s="62" t="str">
        <f aca="false">IF(IFERROR(-INDEX(Expenses!D$3:D$1002,SMALL(IF((Expenses!E$3:E$1002="GBP")*(Expenses!A$3:A$1002=DATE(2026,4,24)),ROW(Expenses!A$3:A$1002)-2),3)),0)+IFERROR(INDEX(Income!C$3:C$502,SMALL(IF((Income!D$3:D$502="GBP")*(Income!A$3:A$502=DATE(2026,4,24)),ROW(Income!A$3:A$502)-2),3)),0)=0,"",IFERROR(-INDEX(Expenses!D$3:D$1002,SMALL(IF((Expenses!E$3:E$1002="GBP")*(Expenses!A$3:A$1002=DATE(2026,4,24)),ROW(Expenses!A$3:A$1002)-2),3)),0)+IFERROR(INDEX(Income!C$3:C$502,SMALL(IF((Income!D$3:D$502="GBP")*(Income!A$3:A$502=DATE(2026,4,24)),ROW(Income!A$3:A$502)-2),3)),0))</f>
        <v/>
      </c>
      <c r="L86" s="38" t="str">
        <f aca="false">IF(IFERROR(INDEX(Expenses!B$3:B$1002,SMALL(IF((Expenses!E$3:E$1002="GBP")*(Expenses!A$3:A$1002=DATE(2026,4,24)),ROW(Expenses!A$3:A$1002)-2),3)),"")&lt;&gt;"",IFERROR(INDEX(Expenses!B$3:B$1002,SMALL(IF((Expenses!E$3:E$1002="GBP")*(Expenses!A$3:A$1002=DATE(2026,4,24)),ROW(Expenses!A$3:A$1002)-2),3)),""),IF(IFERROR(INDEX(Income!B$3:B$502,SMALL(IF((Income!D$3:D$502="GBP")*(Income!A$3:A$502=DATE(2026,4,24)),ROW(Income!A$3:A$502)-2),3)),"")&lt;&gt;"",IFERROR(INDEX(Income!B$3:B$502,SMALL(IF((Income!D$3:D$502="GBP")*(Income!A$3:A$502=DATE(2026,4,24)),ROW(Income!A$3:A$502)-2),3)),""),""))</f>
        <v/>
      </c>
      <c r="M86" s="62" t="str">
        <f aca="false">IF(IFERROR(-INDEX(Expenses!D$3:D$1002,SMALL(IF((Expenses!E$3:E$1002="GBP")*(Expenses!A$3:A$1002=DATE(2026,4,25)),ROW(Expenses!A$3:A$1002)-2),3)),0)+IFERROR(INDEX(Income!C$3:C$502,SMALL(IF((Income!D$3:D$502="GBP")*(Income!A$3:A$502=DATE(2026,4,25)),ROW(Income!A$3:A$502)-2),3)),0)=0,"",IFERROR(-INDEX(Expenses!D$3:D$1002,SMALL(IF((Expenses!E$3:E$1002="GBP")*(Expenses!A$3:A$1002=DATE(2026,4,25)),ROW(Expenses!A$3:A$1002)-2),3)),0)+IFERROR(INDEX(Income!C$3:C$502,SMALL(IF((Income!D$3:D$502="GBP")*(Income!A$3:A$502=DATE(2026,4,25)),ROW(Income!A$3:A$502)-2),3)),0))</f>
        <v/>
      </c>
      <c r="N86" s="38" t="str">
        <f aca="false">IF(IFERROR(INDEX(Expenses!B$3:B$1002,SMALL(IF((Expenses!E$3:E$1002="GBP")*(Expenses!A$3:A$1002=DATE(2026,4,25)),ROW(Expenses!A$3:A$1002)-2),3)),"")&lt;&gt;"",IFERROR(INDEX(Expenses!B$3:B$1002,SMALL(IF((Expenses!E$3:E$1002="GBP")*(Expenses!A$3:A$1002=DATE(2026,4,25)),ROW(Expenses!A$3:A$1002)-2),3)),""),IF(IFERROR(INDEX(Income!B$3:B$502,SMALL(IF((Income!D$3:D$502="GBP")*(Income!A$3:A$502=DATE(2026,4,25)),ROW(Income!A$3:A$502)-2),3)),"")&lt;&gt;"",IFERROR(INDEX(Income!B$3:B$502,SMALL(IF((Income!D$3:D$502="GBP")*(Income!A$3:A$502=DATE(2026,4,25)),ROW(Income!A$3:A$502)-2),3)),""),""))</f>
        <v/>
      </c>
      <c r="O86" s="62" t="str">
        <f aca="false">IF(IFERROR(-INDEX(Expenses!D$3:D$1002,SMALL(IF((Expenses!E$3:E$1002="GBP")*(Expenses!A$3:A$1002=DATE(2026,4,26)),ROW(Expenses!A$3:A$1002)-2),3)),0)+IFERROR(INDEX(Income!C$3:C$502,SMALL(IF((Income!D$3:D$502="GBP")*(Income!A$3:A$502=DATE(2026,4,26)),ROW(Income!A$3:A$502)-2),3)),0)=0,"",IFERROR(-INDEX(Expenses!D$3:D$1002,SMALL(IF((Expenses!E$3:E$1002="GBP")*(Expenses!A$3:A$1002=DATE(2026,4,26)),ROW(Expenses!A$3:A$1002)-2),3)),0)+IFERROR(INDEX(Income!C$3:C$502,SMALL(IF((Income!D$3:D$502="GBP")*(Income!A$3:A$502=DATE(2026,4,26)),ROW(Income!A$3:A$502)-2),3)),0))</f>
        <v/>
      </c>
      <c r="P86" s="38" t="str">
        <f aca="false">IF(IFERROR(INDEX(Expenses!B$3:B$1002,SMALL(IF((Expenses!E$3:E$1002="GBP")*(Expenses!A$3:A$1002=DATE(2026,4,26)),ROW(Expenses!A$3:A$1002)-2),3)),"")&lt;&gt;"",IFERROR(INDEX(Expenses!B$3:B$1002,SMALL(IF((Expenses!E$3:E$1002="GBP")*(Expenses!A$3:A$1002=DATE(2026,4,26)),ROW(Expenses!A$3:A$1002)-2),3)),""),IF(IFERROR(INDEX(Income!B$3:B$502,SMALL(IF((Income!D$3:D$502="GBP")*(Income!A$3:A$502=DATE(2026,4,26)),ROW(Income!A$3:A$502)-2),3)),"")&lt;&gt;"",IFERROR(INDEX(Income!B$3:B$502,SMALL(IF((Income!D$3:D$502="GBP")*(Income!A$3:A$502=DATE(2026,4,26)),ROW(Income!A$3:A$502)-2),3)),""),""))</f>
        <v/>
      </c>
      <c r="Q86" s="16"/>
      <c r="R86" s="16"/>
    </row>
    <row r="87" customFormat="false" ht="15" hidden="false" customHeight="false" outlineLevel="0" collapsed="false">
      <c r="A87" s="16"/>
      <c r="B87" s="16"/>
      <c r="C87" s="62" t="str">
        <f aca="false">IF(IFERROR(-INDEX(Expenses!D$3:D$1002,SMALL(IF((Expenses!E$3:E$1002="GBP")*(Expenses!A$3:A$1002=DATE(2026,4,20)),ROW(Expenses!A$3:A$1002)-2),4)),0)+IFERROR(INDEX(Income!C$3:C$502,SMALL(IF((Income!D$3:D$502="GBP")*(Income!A$3:A$502=DATE(2026,4,20)),ROW(Income!A$3:A$502)-2),4)),0)=0,"",IFERROR(-INDEX(Expenses!D$3:D$1002,SMALL(IF((Expenses!E$3:E$1002="GBP")*(Expenses!A$3:A$1002=DATE(2026,4,20)),ROW(Expenses!A$3:A$1002)-2),4)),0)+IFERROR(INDEX(Income!C$3:C$502,SMALL(IF((Income!D$3:D$502="GBP")*(Income!A$3:A$502=DATE(2026,4,20)),ROW(Income!A$3:A$502)-2),4)),0))</f>
        <v/>
      </c>
      <c r="D87" s="38" t="str">
        <f aca="false">IF(IFERROR(INDEX(Expenses!B$3:B$1002,SMALL(IF((Expenses!E$3:E$1002="GBP")*(Expenses!A$3:A$1002=DATE(2026,4,20)),ROW(Expenses!A$3:A$1002)-2),4)),"")&lt;&gt;"",IFERROR(INDEX(Expenses!B$3:B$1002,SMALL(IF((Expenses!E$3:E$1002="GBP")*(Expenses!A$3:A$1002=DATE(2026,4,20)),ROW(Expenses!A$3:A$1002)-2),4)),""),IF(IFERROR(INDEX(Income!B$3:B$502,SMALL(IF((Income!D$3:D$502="GBP")*(Income!A$3:A$502=DATE(2026,4,20)),ROW(Income!A$3:A$502)-2),4)),"")&lt;&gt;"",IFERROR(INDEX(Income!B$3:B$502,SMALL(IF((Income!D$3:D$502="GBP")*(Income!A$3:A$502=DATE(2026,4,20)),ROW(Income!A$3:A$502)-2),4)),""),""))</f>
        <v/>
      </c>
      <c r="E87" s="62" t="str">
        <f aca="false">IF(IFERROR(-INDEX(Expenses!D$3:D$1002,SMALL(IF((Expenses!E$3:E$1002="GBP")*(Expenses!A$3:A$1002=DATE(2026,4,21)),ROW(Expenses!A$3:A$1002)-2),4)),0)+IFERROR(INDEX(Income!C$3:C$502,SMALL(IF((Income!D$3:D$502="GBP")*(Income!A$3:A$502=DATE(2026,4,21)),ROW(Income!A$3:A$502)-2),4)),0)=0,"",IFERROR(-INDEX(Expenses!D$3:D$1002,SMALL(IF((Expenses!E$3:E$1002="GBP")*(Expenses!A$3:A$1002=DATE(2026,4,21)),ROW(Expenses!A$3:A$1002)-2),4)),0)+IFERROR(INDEX(Income!C$3:C$502,SMALL(IF((Income!D$3:D$502="GBP")*(Income!A$3:A$502=DATE(2026,4,21)),ROW(Income!A$3:A$502)-2),4)),0))</f>
        <v/>
      </c>
      <c r="F87" s="38" t="str">
        <f aca="false">IF(IFERROR(INDEX(Expenses!B$3:B$1002,SMALL(IF((Expenses!E$3:E$1002="GBP")*(Expenses!A$3:A$1002=DATE(2026,4,21)),ROW(Expenses!A$3:A$1002)-2),4)),"")&lt;&gt;"",IFERROR(INDEX(Expenses!B$3:B$1002,SMALL(IF((Expenses!E$3:E$1002="GBP")*(Expenses!A$3:A$1002=DATE(2026,4,21)),ROW(Expenses!A$3:A$1002)-2),4)),""),IF(IFERROR(INDEX(Income!B$3:B$502,SMALL(IF((Income!D$3:D$502="GBP")*(Income!A$3:A$502=DATE(2026,4,21)),ROW(Income!A$3:A$502)-2),4)),"")&lt;&gt;"",IFERROR(INDEX(Income!B$3:B$502,SMALL(IF((Income!D$3:D$502="GBP")*(Income!A$3:A$502=DATE(2026,4,21)),ROW(Income!A$3:A$502)-2),4)),""),""))</f>
        <v/>
      </c>
      <c r="G87" s="62" t="str">
        <f aca="false">IF(IFERROR(-INDEX(Expenses!D$3:D$1002,SMALL(IF((Expenses!E$3:E$1002="GBP")*(Expenses!A$3:A$1002=DATE(2026,4,22)),ROW(Expenses!A$3:A$1002)-2),4)),0)+IFERROR(INDEX(Income!C$3:C$502,SMALL(IF((Income!D$3:D$502="GBP")*(Income!A$3:A$502=DATE(2026,4,22)),ROW(Income!A$3:A$502)-2),4)),0)=0,"",IFERROR(-INDEX(Expenses!D$3:D$1002,SMALL(IF((Expenses!E$3:E$1002="GBP")*(Expenses!A$3:A$1002=DATE(2026,4,22)),ROW(Expenses!A$3:A$1002)-2),4)),0)+IFERROR(INDEX(Income!C$3:C$502,SMALL(IF((Income!D$3:D$502="GBP")*(Income!A$3:A$502=DATE(2026,4,22)),ROW(Income!A$3:A$502)-2),4)),0))</f>
        <v/>
      </c>
      <c r="H87" s="38" t="str">
        <f aca="false">IF(IFERROR(INDEX(Expenses!B$3:B$1002,SMALL(IF((Expenses!E$3:E$1002="GBP")*(Expenses!A$3:A$1002=DATE(2026,4,22)),ROW(Expenses!A$3:A$1002)-2),4)),"")&lt;&gt;"",IFERROR(INDEX(Expenses!B$3:B$1002,SMALL(IF((Expenses!E$3:E$1002="GBP")*(Expenses!A$3:A$1002=DATE(2026,4,22)),ROW(Expenses!A$3:A$1002)-2),4)),""),IF(IFERROR(INDEX(Income!B$3:B$502,SMALL(IF((Income!D$3:D$502="GBP")*(Income!A$3:A$502=DATE(2026,4,22)),ROW(Income!A$3:A$502)-2),4)),"")&lt;&gt;"",IFERROR(INDEX(Income!B$3:B$502,SMALL(IF((Income!D$3:D$502="GBP")*(Income!A$3:A$502=DATE(2026,4,22)),ROW(Income!A$3:A$502)-2),4)),""),""))</f>
        <v/>
      </c>
      <c r="I87" s="62" t="str">
        <f aca="false">IF(IFERROR(-INDEX(Expenses!D$3:D$1002,SMALL(IF((Expenses!E$3:E$1002="GBP")*(Expenses!A$3:A$1002=DATE(2026,4,23)),ROW(Expenses!A$3:A$1002)-2),4)),0)+IFERROR(INDEX(Income!C$3:C$502,SMALL(IF((Income!D$3:D$502="GBP")*(Income!A$3:A$502=DATE(2026,4,23)),ROW(Income!A$3:A$502)-2),4)),0)=0,"",IFERROR(-INDEX(Expenses!D$3:D$1002,SMALL(IF((Expenses!E$3:E$1002="GBP")*(Expenses!A$3:A$1002=DATE(2026,4,23)),ROW(Expenses!A$3:A$1002)-2),4)),0)+IFERROR(INDEX(Income!C$3:C$502,SMALL(IF((Income!D$3:D$502="GBP")*(Income!A$3:A$502=DATE(2026,4,23)),ROW(Income!A$3:A$502)-2),4)),0))</f>
        <v/>
      </c>
      <c r="J87" s="38" t="str">
        <f aca="false">IF(IFERROR(INDEX(Expenses!B$3:B$1002,SMALL(IF((Expenses!E$3:E$1002="GBP")*(Expenses!A$3:A$1002=DATE(2026,4,23)),ROW(Expenses!A$3:A$1002)-2),4)),"")&lt;&gt;"",IFERROR(INDEX(Expenses!B$3:B$1002,SMALL(IF((Expenses!E$3:E$1002="GBP")*(Expenses!A$3:A$1002=DATE(2026,4,23)),ROW(Expenses!A$3:A$1002)-2),4)),""),IF(IFERROR(INDEX(Income!B$3:B$502,SMALL(IF((Income!D$3:D$502="GBP")*(Income!A$3:A$502=DATE(2026,4,23)),ROW(Income!A$3:A$502)-2),4)),"")&lt;&gt;"",IFERROR(INDEX(Income!B$3:B$502,SMALL(IF((Income!D$3:D$502="GBP")*(Income!A$3:A$502=DATE(2026,4,23)),ROW(Income!A$3:A$502)-2),4)),""),""))</f>
        <v/>
      </c>
      <c r="K87" s="62" t="str">
        <f aca="false">IF(IFERROR(-INDEX(Expenses!D$3:D$1002,SMALL(IF((Expenses!E$3:E$1002="GBP")*(Expenses!A$3:A$1002=DATE(2026,4,24)),ROW(Expenses!A$3:A$1002)-2),4)),0)+IFERROR(INDEX(Income!C$3:C$502,SMALL(IF((Income!D$3:D$502="GBP")*(Income!A$3:A$502=DATE(2026,4,24)),ROW(Income!A$3:A$502)-2),4)),0)=0,"",IFERROR(-INDEX(Expenses!D$3:D$1002,SMALL(IF((Expenses!E$3:E$1002="GBP")*(Expenses!A$3:A$1002=DATE(2026,4,24)),ROW(Expenses!A$3:A$1002)-2),4)),0)+IFERROR(INDEX(Income!C$3:C$502,SMALL(IF((Income!D$3:D$502="GBP")*(Income!A$3:A$502=DATE(2026,4,24)),ROW(Income!A$3:A$502)-2),4)),0))</f>
        <v/>
      </c>
      <c r="L87" s="38" t="str">
        <f aca="false">IF(IFERROR(INDEX(Expenses!B$3:B$1002,SMALL(IF((Expenses!E$3:E$1002="GBP")*(Expenses!A$3:A$1002=DATE(2026,4,24)),ROW(Expenses!A$3:A$1002)-2),4)),"")&lt;&gt;"",IFERROR(INDEX(Expenses!B$3:B$1002,SMALL(IF((Expenses!E$3:E$1002="GBP")*(Expenses!A$3:A$1002=DATE(2026,4,24)),ROW(Expenses!A$3:A$1002)-2),4)),""),IF(IFERROR(INDEX(Income!B$3:B$502,SMALL(IF((Income!D$3:D$502="GBP")*(Income!A$3:A$502=DATE(2026,4,24)),ROW(Income!A$3:A$502)-2),4)),"")&lt;&gt;"",IFERROR(INDEX(Income!B$3:B$502,SMALL(IF((Income!D$3:D$502="GBP")*(Income!A$3:A$502=DATE(2026,4,24)),ROW(Income!A$3:A$502)-2),4)),""),""))</f>
        <v/>
      </c>
      <c r="M87" s="62" t="str">
        <f aca="false">IF(IFERROR(-INDEX(Expenses!D$3:D$1002,SMALL(IF((Expenses!E$3:E$1002="GBP")*(Expenses!A$3:A$1002=DATE(2026,4,25)),ROW(Expenses!A$3:A$1002)-2),4)),0)+IFERROR(INDEX(Income!C$3:C$502,SMALL(IF((Income!D$3:D$502="GBP")*(Income!A$3:A$502=DATE(2026,4,25)),ROW(Income!A$3:A$502)-2),4)),0)=0,"",IFERROR(-INDEX(Expenses!D$3:D$1002,SMALL(IF((Expenses!E$3:E$1002="GBP")*(Expenses!A$3:A$1002=DATE(2026,4,25)),ROW(Expenses!A$3:A$1002)-2),4)),0)+IFERROR(INDEX(Income!C$3:C$502,SMALL(IF((Income!D$3:D$502="GBP")*(Income!A$3:A$502=DATE(2026,4,25)),ROW(Income!A$3:A$502)-2),4)),0))</f>
        <v/>
      </c>
      <c r="N87" s="38" t="str">
        <f aca="false">IF(IFERROR(INDEX(Expenses!B$3:B$1002,SMALL(IF((Expenses!E$3:E$1002="GBP")*(Expenses!A$3:A$1002=DATE(2026,4,25)),ROW(Expenses!A$3:A$1002)-2),4)),"")&lt;&gt;"",IFERROR(INDEX(Expenses!B$3:B$1002,SMALL(IF((Expenses!E$3:E$1002="GBP")*(Expenses!A$3:A$1002=DATE(2026,4,25)),ROW(Expenses!A$3:A$1002)-2),4)),""),IF(IFERROR(INDEX(Income!B$3:B$502,SMALL(IF((Income!D$3:D$502="GBP")*(Income!A$3:A$502=DATE(2026,4,25)),ROW(Income!A$3:A$502)-2),4)),"")&lt;&gt;"",IFERROR(INDEX(Income!B$3:B$502,SMALL(IF((Income!D$3:D$502="GBP")*(Income!A$3:A$502=DATE(2026,4,25)),ROW(Income!A$3:A$502)-2),4)),""),""))</f>
        <v/>
      </c>
      <c r="O87" s="62" t="str">
        <f aca="false">IF(IFERROR(-INDEX(Expenses!D$3:D$1002,SMALL(IF((Expenses!E$3:E$1002="GBP")*(Expenses!A$3:A$1002=DATE(2026,4,26)),ROW(Expenses!A$3:A$1002)-2),4)),0)+IFERROR(INDEX(Income!C$3:C$502,SMALL(IF((Income!D$3:D$502="GBP")*(Income!A$3:A$502=DATE(2026,4,26)),ROW(Income!A$3:A$502)-2),4)),0)=0,"",IFERROR(-INDEX(Expenses!D$3:D$1002,SMALL(IF((Expenses!E$3:E$1002="GBP")*(Expenses!A$3:A$1002=DATE(2026,4,26)),ROW(Expenses!A$3:A$1002)-2),4)),0)+IFERROR(INDEX(Income!C$3:C$502,SMALL(IF((Income!D$3:D$502="GBP")*(Income!A$3:A$502=DATE(2026,4,26)),ROW(Income!A$3:A$502)-2),4)),0))</f>
        <v/>
      </c>
      <c r="P87" s="38" t="str">
        <f aca="false">IF(IFERROR(INDEX(Expenses!B$3:B$1002,SMALL(IF((Expenses!E$3:E$1002="GBP")*(Expenses!A$3:A$1002=DATE(2026,4,26)),ROW(Expenses!A$3:A$1002)-2),4)),"")&lt;&gt;"",IFERROR(INDEX(Expenses!B$3:B$1002,SMALL(IF((Expenses!E$3:E$1002="GBP")*(Expenses!A$3:A$1002=DATE(2026,4,26)),ROW(Expenses!A$3:A$1002)-2),4)),""),IF(IFERROR(INDEX(Income!B$3:B$502,SMALL(IF((Income!D$3:D$502="GBP")*(Income!A$3:A$502=DATE(2026,4,26)),ROW(Income!A$3:A$502)-2),4)),"")&lt;&gt;"",IFERROR(INDEX(Income!B$3:B$502,SMALL(IF((Income!D$3:D$502="GBP")*(Income!A$3:A$502=DATE(2026,4,26)),ROW(Income!A$3:A$502)-2),4)),""),""))</f>
        <v/>
      </c>
      <c r="Q87" s="16"/>
      <c r="R87" s="16"/>
    </row>
    <row r="88" customFormat="false" ht="15" hidden="false" customHeight="false" outlineLevel="0" collapsed="false">
      <c r="A88" s="16"/>
      <c r="B88" s="16"/>
      <c r="C88" s="62" t="str">
        <f aca="false">IF(IFERROR(-INDEX(Expenses!D$3:D$1002,SMALL(IF((Expenses!E$3:E$1002="GBP")*(Expenses!A$3:A$1002=DATE(2026,4,20)),ROW(Expenses!A$3:A$1002)-2),5)),0)+IFERROR(INDEX(Income!C$3:C$502,SMALL(IF((Income!D$3:D$502="GBP")*(Income!A$3:A$502=DATE(2026,4,20)),ROW(Income!A$3:A$502)-2),5)),0)=0,"",IFERROR(-INDEX(Expenses!D$3:D$1002,SMALL(IF((Expenses!E$3:E$1002="GBP")*(Expenses!A$3:A$1002=DATE(2026,4,20)),ROW(Expenses!A$3:A$1002)-2),5)),0)+IFERROR(INDEX(Income!C$3:C$502,SMALL(IF((Income!D$3:D$502="GBP")*(Income!A$3:A$502=DATE(2026,4,20)),ROW(Income!A$3:A$502)-2),5)),0))</f>
        <v/>
      </c>
      <c r="D88" s="38" t="str">
        <f aca="false">IF(IFERROR(INDEX(Expenses!B$3:B$1002,SMALL(IF((Expenses!E$3:E$1002="GBP")*(Expenses!A$3:A$1002=DATE(2026,4,20)),ROW(Expenses!A$3:A$1002)-2),5)),"")&lt;&gt;"",IFERROR(INDEX(Expenses!B$3:B$1002,SMALL(IF((Expenses!E$3:E$1002="GBP")*(Expenses!A$3:A$1002=DATE(2026,4,20)),ROW(Expenses!A$3:A$1002)-2),5)),""),IF(IFERROR(INDEX(Income!B$3:B$502,SMALL(IF((Income!D$3:D$502="GBP")*(Income!A$3:A$502=DATE(2026,4,20)),ROW(Income!A$3:A$502)-2),5)),"")&lt;&gt;"",IFERROR(INDEX(Income!B$3:B$502,SMALL(IF((Income!D$3:D$502="GBP")*(Income!A$3:A$502=DATE(2026,4,20)),ROW(Income!A$3:A$502)-2),5)),""),""))</f>
        <v/>
      </c>
      <c r="E88" s="62" t="str">
        <f aca="false">IF(IFERROR(-INDEX(Expenses!D$3:D$1002,SMALL(IF((Expenses!E$3:E$1002="GBP")*(Expenses!A$3:A$1002=DATE(2026,4,21)),ROW(Expenses!A$3:A$1002)-2),5)),0)+IFERROR(INDEX(Income!C$3:C$502,SMALL(IF((Income!D$3:D$502="GBP")*(Income!A$3:A$502=DATE(2026,4,21)),ROW(Income!A$3:A$502)-2),5)),0)=0,"",IFERROR(-INDEX(Expenses!D$3:D$1002,SMALL(IF((Expenses!E$3:E$1002="GBP")*(Expenses!A$3:A$1002=DATE(2026,4,21)),ROW(Expenses!A$3:A$1002)-2),5)),0)+IFERROR(INDEX(Income!C$3:C$502,SMALL(IF((Income!D$3:D$502="GBP")*(Income!A$3:A$502=DATE(2026,4,21)),ROW(Income!A$3:A$502)-2),5)),0))</f>
        <v/>
      </c>
      <c r="F88" s="38" t="str">
        <f aca="false">IF(IFERROR(INDEX(Expenses!B$3:B$1002,SMALL(IF((Expenses!E$3:E$1002="GBP")*(Expenses!A$3:A$1002=DATE(2026,4,21)),ROW(Expenses!A$3:A$1002)-2),5)),"")&lt;&gt;"",IFERROR(INDEX(Expenses!B$3:B$1002,SMALL(IF((Expenses!E$3:E$1002="GBP")*(Expenses!A$3:A$1002=DATE(2026,4,21)),ROW(Expenses!A$3:A$1002)-2),5)),""),IF(IFERROR(INDEX(Income!B$3:B$502,SMALL(IF((Income!D$3:D$502="GBP")*(Income!A$3:A$502=DATE(2026,4,21)),ROW(Income!A$3:A$502)-2),5)),"")&lt;&gt;"",IFERROR(INDEX(Income!B$3:B$502,SMALL(IF((Income!D$3:D$502="GBP")*(Income!A$3:A$502=DATE(2026,4,21)),ROW(Income!A$3:A$502)-2),5)),""),""))</f>
        <v/>
      </c>
      <c r="G88" s="62" t="str">
        <f aca="false">IF(IFERROR(-INDEX(Expenses!D$3:D$1002,SMALL(IF((Expenses!E$3:E$1002="GBP")*(Expenses!A$3:A$1002=DATE(2026,4,22)),ROW(Expenses!A$3:A$1002)-2),5)),0)+IFERROR(INDEX(Income!C$3:C$502,SMALL(IF((Income!D$3:D$502="GBP")*(Income!A$3:A$502=DATE(2026,4,22)),ROW(Income!A$3:A$502)-2),5)),0)=0,"",IFERROR(-INDEX(Expenses!D$3:D$1002,SMALL(IF((Expenses!E$3:E$1002="GBP")*(Expenses!A$3:A$1002=DATE(2026,4,22)),ROW(Expenses!A$3:A$1002)-2),5)),0)+IFERROR(INDEX(Income!C$3:C$502,SMALL(IF((Income!D$3:D$502="GBP")*(Income!A$3:A$502=DATE(2026,4,22)),ROW(Income!A$3:A$502)-2),5)),0))</f>
        <v/>
      </c>
      <c r="H88" s="38" t="str">
        <f aca="false">IF(IFERROR(INDEX(Expenses!B$3:B$1002,SMALL(IF((Expenses!E$3:E$1002="GBP")*(Expenses!A$3:A$1002=DATE(2026,4,22)),ROW(Expenses!A$3:A$1002)-2),5)),"")&lt;&gt;"",IFERROR(INDEX(Expenses!B$3:B$1002,SMALL(IF((Expenses!E$3:E$1002="GBP")*(Expenses!A$3:A$1002=DATE(2026,4,22)),ROW(Expenses!A$3:A$1002)-2),5)),""),IF(IFERROR(INDEX(Income!B$3:B$502,SMALL(IF((Income!D$3:D$502="GBP")*(Income!A$3:A$502=DATE(2026,4,22)),ROW(Income!A$3:A$502)-2),5)),"")&lt;&gt;"",IFERROR(INDEX(Income!B$3:B$502,SMALL(IF((Income!D$3:D$502="GBP")*(Income!A$3:A$502=DATE(2026,4,22)),ROW(Income!A$3:A$502)-2),5)),""),""))</f>
        <v/>
      </c>
      <c r="I88" s="62" t="str">
        <f aca="false">IF(IFERROR(-INDEX(Expenses!D$3:D$1002,SMALL(IF((Expenses!E$3:E$1002="GBP")*(Expenses!A$3:A$1002=DATE(2026,4,23)),ROW(Expenses!A$3:A$1002)-2),5)),0)+IFERROR(INDEX(Income!C$3:C$502,SMALL(IF((Income!D$3:D$502="GBP")*(Income!A$3:A$502=DATE(2026,4,23)),ROW(Income!A$3:A$502)-2),5)),0)=0,"",IFERROR(-INDEX(Expenses!D$3:D$1002,SMALL(IF((Expenses!E$3:E$1002="GBP")*(Expenses!A$3:A$1002=DATE(2026,4,23)),ROW(Expenses!A$3:A$1002)-2),5)),0)+IFERROR(INDEX(Income!C$3:C$502,SMALL(IF((Income!D$3:D$502="GBP")*(Income!A$3:A$502=DATE(2026,4,23)),ROW(Income!A$3:A$502)-2),5)),0))</f>
        <v/>
      </c>
      <c r="J88" s="38" t="str">
        <f aca="false">IF(IFERROR(INDEX(Expenses!B$3:B$1002,SMALL(IF((Expenses!E$3:E$1002="GBP")*(Expenses!A$3:A$1002=DATE(2026,4,23)),ROW(Expenses!A$3:A$1002)-2),5)),"")&lt;&gt;"",IFERROR(INDEX(Expenses!B$3:B$1002,SMALL(IF((Expenses!E$3:E$1002="GBP")*(Expenses!A$3:A$1002=DATE(2026,4,23)),ROW(Expenses!A$3:A$1002)-2),5)),""),IF(IFERROR(INDEX(Income!B$3:B$502,SMALL(IF((Income!D$3:D$502="GBP")*(Income!A$3:A$502=DATE(2026,4,23)),ROW(Income!A$3:A$502)-2),5)),"")&lt;&gt;"",IFERROR(INDEX(Income!B$3:B$502,SMALL(IF((Income!D$3:D$502="GBP")*(Income!A$3:A$502=DATE(2026,4,23)),ROW(Income!A$3:A$502)-2),5)),""),""))</f>
        <v/>
      </c>
      <c r="K88" s="62" t="str">
        <f aca="false">IF(IFERROR(-INDEX(Expenses!D$3:D$1002,SMALL(IF((Expenses!E$3:E$1002="GBP")*(Expenses!A$3:A$1002=DATE(2026,4,24)),ROW(Expenses!A$3:A$1002)-2),5)),0)+IFERROR(INDEX(Income!C$3:C$502,SMALL(IF((Income!D$3:D$502="GBP")*(Income!A$3:A$502=DATE(2026,4,24)),ROW(Income!A$3:A$502)-2),5)),0)=0,"",IFERROR(-INDEX(Expenses!D$3:D$1002,SMALL(IF((Expenses!E$3:E$1002="GBP")*(Expenses!A$3:A$1002=DATE(2026,4,24)),ROW(Expenses!A$3:A$1002)-2),5)),0)+IFERROR(INDEX(Income!C$3:C$502,SMALL(IF((Income!D$3:D$502="GBP")*(Income!A$3:A$502=DATE(2026,4,24)),ROW(Income!A$3:A$502)-2),5)),0))</f>
        <v/>
      </c>
      <c r="L88" s="38" t="str">
        <f aca="false">IF(IFERROR(INDEX(Expenses!B$3:B$1002,SMALL(IF((Expenses!E$3:E$1002="GBP")*(Expenses!A$3:A$1002=DATE(2026,4,24)),ROW(Expenses!A$3:A$1002)-2),5)),"")&lt;&gt;"",IFERROR(INDEX(Expenses!B$3:B$1002,SMALL(IF((Expenses!E$3:E$1002="GBP")*(Expenses!A$3:A$1002=DATE(2026,4,24)),ROW(Expenses!A$3:A$1002)-2),5)),""),IF(IFERROR(INDEX(Income!B$3:B$502,SMALL(IF((Income!D$3:D$502="GBP")*(Income!A$3:A$502=DATE(2026,4,24)),ROW(Income!A$3:A$502)-2),5)),"")&lt;&gt;"",IFERROR(INDEX(Income!B$3:B$502,SMALL(IF((Income!D$3:D$502="GBP")*(Income!A$3:A$502=DATE(2026,4,24)),ROW(Income!A$3:A$502)-2),5)),""),""))</f>
        <v/>
      </c>
      <c r="M88" s="62" t="str">
        <f aca="false">IF(IFERROR(-INDEX(Expenses!D$3:D$1002,SMALL(IF((Expenses!E$3:E$1002="GBP")*(Expenses!A$3:A$1002=DATE(2026,4,25)),ROW(Expenses!A$3:A$1002)-2),5)),0)+IFERROR(INDEX(Income!C$3:C$502,SMALL(IF((Income!D$3:D$502="GBP")*(Income!A$3:A$502=DATE(2026,4,25)),ROW(Income!A$3:A$502)-2),5)),0)=0,"",IFERROR(-INDEX(Expenses!D$3:D$1002,SMALL(IF((Expenses!E$3:E$1002="GBP")*(Expenses!A$3:A$1002=DATE(2026,4,25)),ROW(Expenses!A$3:A$1002)-2),5)),0)+IFERROR(INDEX(Income!C$3:C$502,SMALL(IF((Income!D$3:D$502="GBP")*(Income!A$3:A$502=DATE(2026,4,25)),ROW(Income!A$3:A$502)-2),5)),0))</f>
        <v/>
      </c>
      <c r="N88" s="38" t="str">
        <f aca="false">IF(IFERROR(INDEX(Expenses!B$3:B$1002,SMALL(IF((Expenses!E$3:E$1002="GBP")*(Expenses!A$3:A$1002=DATE(2026,4,25)),ROW(Expenses!A$3:A$1002)-2),5)),"")&lt;&gt;"",IFERROR(INDEX(Expenses!B$3:B$1002,SMALL(IF((Expenses!E$3:E$1002="GBP")*(Expenses!A$3:A$1002=DATE(2026,4,25)),ROW(Expenses!A$3:A$1002)-2),5)),""),IF(IFERROR(INDEX(Income!B$3:B$502,SMALL(IF((Income!D$3:D$502="GBP")*(Income!A$3:A$502=DATE(2026,4,25)),ROW(Income!A$3:A$502)-2),5)),"")&lt;&gt;"",IFERROR(INDEX(Income!B$3:B$502,SMALL(IF((Income!D$3:D$502="GBP")*(Income!A$3:A$502=DATE(2026,4,25)),ROW(Income!A$3:A$502)-2),5)),""),""))</f>
        <v/>
      </c>
      <c r="O88" s="62" t="str">
        <f aca="false">IF(IFERROR(-INDEX(Expenses!D$3:D$1002,SMALL(IF((Expenses!E$3:E$1002="GBP")*(Expenses!A$3:A$1002=DATE(2026,4,26)),ROW(Expenses!A$3:A$1002)-2),5)),0)+IFERROR(INDEX(Income!C$3:C$502,SMALL(IF((Income!D$3:D$502="GBP")*(Income!A$3:A$502=DATE(2026,4,26)),ROW(Income!A$3:A$502)-2),5)),0)=0,"",IFERROR(-INDEX(Expenses!D$3:D$1002,SMALL(IF((Expenses!E$3:E$1002="GBP")*(Expenses!A$3:A$1002=DATE(2026,4,26)),ROW(Expenses!A$3:A$1002)-2),5)),0)+IFERROR(INDEX(Income!C$3:C$502,SMALL(IF((Income!D$3:D$502="GBP")*(Income!A$3:A$502=DATE(2026,4,26)),ROW(Income!A$3:A$502)-2),5)),0))</f>
        <v/>
      </c>
      <c r="P88" s="38" t="str">
        <f aca="false">IF(IFERROR(INDEX(Expenses!B$3:B$1002,SMALL(IF((Expenses!E$3:E$1002="GBP")*(Expenses!A$3:A$1002=DATE(2026,4,26)),ROW(Expenses!A$3:A$1002)-2),5)),"")&lt;&gt;"",IFERROR(INDEX(Expenses!B$3:B$1002,SMALL(IF((Expenses!E$3:E$1002="GBP")*(Expenses!A$3:A$1002=DATE(2026,4,26)),ROW(Expenses!A$3:A$1002)-2),5)),""),IF(IFERROR(INDEX(Income!B$3:B$502,SMALL(IF((Income!D$3:D$502="GBP")*(Income!A$3:A$502=DATE(2026,4,26)),ROW(Income!A$3:A$502)-2),5)),"")&lt;&gt;"",IFERROR(INDEX(Income!B$3:B$502,SMALL(IF((Income!D$3:D$502="GBP")*(Income!A$3:A$502=DATE(2026,4,26)),ROW(Income!A$3:A$502)-2),5)),""),""))</f>
        <v/>
      </c>
      <c r="Q88" s="16"/>
      <c r="R88" s="16"/>
    </row>
    <row r="89" customFormat="false" ht="15" hidden="false" customHeight="false" outlineLevel="0" collapsed="false">
      <c r="A89" s="61" t="n">
        <v>46139</v>
      </c>
      <c r="B89" s="3" t="n">
        <v>18</v>
      </c>
      <c r="C89" s="62" t="str">
        <f aca="false">IF(IFERROR(-INDEX(Expenses!D$3:D$1002,SMALL(IF((Expenses!E$3:E$1002="GBP")*(Expenses!A$3:A$1002=DATE(2026,4,27)),ROW(Expenses!A$3:A$1002)-2),1)),0)+IFERROR(INDEX(Income!C$3:C$502,SMALL(IF((Income!D$3:D$502="GBP")*(Income!A$3:A$502=DATE(2026,4,27)),ROW(Income!A$3:A$502)-2),1)),0)=0,"",IFERROR(-INDEX(Expenses!D$3:D$1002,SMALL(IF((Expenses!E$3:E$1002="GBP")*(Expenses!A$3:A$1002=DATE(2026,4,27)),ROW(Expenses!A$3:A$1002)-2),1)),0)+IFERROR(INDEX(Income!C$3:C$502,SMALL(IF((Income!D$3:D$502="GBP")*(Income!A$3:A$502=DATE(2026,4,27)),ROW(Income!A$3:A$502)-2),1)),0))</f>
        <v/>
      </c>
      <c r="D89" s="38" t="str">
        <f aca="false">IF(IFERROR(INDEX(Expenses!B$3:B$1002,SMALL(IF((Expenses!E$3:E$1002="GBP")*(Expenses!A$3:A$1002=DATE(2026,4,27)),ROW(Expenses!A$3:A$1002)-2),1)),"")&lt;&gt;"",IFERROR(INDEX(Expenses!B$3:B$1002,SMALL(IF((Expenses!E$3:E$1002="GBP")*(Expenses!A$3:A$1002=DATE(2026,4,27)),ROW(Expenses!A$3:A$1002)-2),1)),""),IF(IFERROR(INDEX(Income!B$3:B$502,SMALL(IF((Income!D$3:D$502="GBP")*(Income!A$3:A$502=DATE(2026,4,27)),ROW(Income!A$3:A$502)-2),1)),"")&lt;&gt;"",IFERROR(INDEX(Income!B$3:B$502,SMALL(IF((Income!D$3:D$502="GBP")*(Income!A$3:A$502=DATE(2026,4,27)),ROW(Income!A$3:A$502)-2),1)),""),""))</f>
        <v/>
      </c>
      <c r="E89" s="62" t="str">
        <f aca="false">IF(IFERROR(-INDEX(Expenses!D$3:D$1002,SMALL(IF((Expenses!E$3:E$1002="GBP")*(Expenses!A$3:A$1002=DATE(2026,4,28)),ROW(Expenses!A$3:A$1002)-2),1)),0)+IFERROR(INDEX(Income!C$3:C$502,SMALL(IF((Income!D$3:D$502="GBP")*(Income!A$3:A$502=DATE(2026,4,28)),ROW(Income!A$3:A$502)-2),1)),0)=0,"",IFERROR(-INDEX(Expenses!D$3:D$1002,SMALL(IF((Expenses!E$3:E$1002="GBP")*(Expenses!A$3:A$1002=DATE(2026,4,28)),ROW(Expenses!A$3:A$1002)-2),1)),0)+IFERROR(INDEX(Income!C$3:C$502,SMALL(IF((Income!D$3:D$502="GBP")*(Income!A$3:A$502=DATE(2026,4,28)),ROW(Income!A$3:A$502)-2),1)),0))</f>
        <v/>
      </c>
      <c r="F89" s="38" t="str">
        <f aca="false">IF(IFERROR(INDEX(Expenses!B$3:B$1002,SMALL(IF((Expenses!E$3:E$1002="GBP")*(Expenses!A$3:A$1002=DATE(2026,4,28)),ROW(Expenses!A$3:A$1002)-2),1)),"")&lt;&gt;"",IFERROR(INDEX(Expenses!B$3:B$1002,SMALL(IF((Expenses!E$3:E$1002="GBP")*(Expenses!A$3:A$1002=DATE(2026,4,28)),ROW(Expenses!A$3:A$1002)-2),1)),""),IF(IFERROR(INDEX(Income!B$3:B$502,SMALL(IF((Income!D$3:D$502="GBP")*(Income!A$3:A$502=DATE(2026,4,28)),ROW(Income!A$3:A$502)-2),1)),"")&lt;&gt;"",IFERROR(INDEX(Income!B$3:B$502,SMALL(IF((Income!D$3:D$502="GBP")*(Income!A$3:A$502=DATE(2026,4,28)),ROW(Income!A$3:A$502)-2),1)),""),""))</f>
        <v/>
      </c>
      <c r="G89" s="62" t="str">
        <f aca="false">IF(IFERROR(-INDEX(Expenses!D$3:D$1002,SMALL(IF((Expenses!E$3:E$1002="GBP")*(Expenses!A$3:A$1002=DATE(2026,4,29)),ROW(Expenses!A$3:A$1002)-2),1)),0)+IFERROR(INDEX(Income!C$3:C$502,SMALL(IF((Income!D$3:D$502="GBP")*(Income!A$3:A$502=DATE(2026,4,29)),ROW(Income!A$3:A$502)-2),1)),0)=0,"",IFERROR(-INDEX(Expenses!D$3:D$1002,SMALL(IF((Expenses!E$3:E$1002="GBP")*(Expenses!A$3:A$1002=DATE(2026,4,29)),ROW(Expenses!A$3:A$1002)-2),1)),0)+IFERROR(INDEX(Income!C$3:C$502,SMALL(IF((Income!D$3:D$502="GBP")*(Income!A$3:A$502=DATE(2026,4,29)),ROW(Income!A$3:A$502)-2),1)),0))</f>
        <v/>
      </c>
      <c r="H89" s="38" t="str">
        <f aca="false">IF(IFERROR(INDEX(Expenses!B$3:B$1002,SMALL(IF((Expenses!E$3:E$1002="GBP")*(Expenses!A$3:A$1002=DATE(2026,4,29)),ROW(Expenses!A$3:A$1002)-2),1)),"")&lt;&gt;"",IFERROR(INDEX(Expenses!B$3:B$1002,SMALL(IF((Expenses!E$3:E$1002="GBP")*(Expenses!A$3:A$1002=DATE(2026,4,29)),ROW(Expenses!A$3:A$1002)-2),1)),""),IF(IFERROR(INDEX(Income!B$3:B$502,SMALL(IF((Income!D$3:D$502="GBP")*(Income!A$3:A$502=DATE(2026,4,29)),ROW(Income!A$3:A$502)-2),1)),"")&lt;&gt;"",IFERROR(INDEX(Income!B$3:B$502,SMALL(IF((Income!D$3:D$502="GBP")*(Income!A$3:A$502=DATE(2026,4,29)),ROW(Income!A$3:A$502)-2),1)),""),""))</f>
        <v/>
      </c>
      <c r="I89" s="62" t="str">
        <f aca="false">IF(IFERROR(-INDEX(Expenses!D$3:D$1002,SMALL(IF((Expenses!E$3:E$1002="GBP")*(Expenses!A$3:A$1002=DATE(2026,4,30)),ROW(Expenses!A$3:A$1002)-2),1)),0)+IFERROR(INDEX(Income!C$3:C$502,SMALL(IF((Income!D$3:D$502="GBP")*(Income!A$3:A$502=DATE(2026,4,30)),ROW(Income!A$3:A$502)-2),1)),0)=0,"",IFERROR(-INDEX(Expenses!D$3:D$1002,SMALL(IF((Expenses!E$3:E$1002="GBP")*(Expenses!A$3:A$1002=DATE(2026,4,30)),ROW(Expenses!A$3:A$1002)-2),1)),0)+IFERROR(INDEX(Income!C$3:C$502,SMALL(IF((Income!D$3:D$502="GBP")*(Income!A$3:A$502=DATE(2026,4,30)),ROW(Income!A$3:A$502)-2),1)),0))</f>
        <v/>
      </c>
      <c r="J89" s="38" t="str">
        <f aca="false">IF(IFERROR(INDEX(Expenses!B$3:B$1002,SMALL(IF((Expenses!E$3:E$1002="GBP")*(Expenses!A$3:A$1002=DATE(2026,4,30)),ROW(Expenses!A$3:A$1002)-2),1)),"")&lt;&gt;"",IFERROR(INDEX(Expenses!B$3:B$1002,SMALL(IF((Expenses!E$3:E$1002="GBP")*(Expenses!A$3:A$1002=DATE(2026,4,30)),ROW(Expenses!A$3:A$1002)-2),1)),""),IF(IFERROR(INDEX(Income!B$3:B$502,SMALL(IF((Income!D$3:D$502="GBP")*(Income!A$3:A$502=DATE(2026,4,30)),ROW(Income!A$3:A$502)-2),1)),"")&lt;&gt;"",IFERROR(INDEX(Income!B$3:B$502,SMALL(IF((Income!D$3:D$502="GBP")*(Income!A$3:A$502=DATE(2026,4,30)),ROW(Income!A$3:A$502)-2),1)),""),""))</f>
        <v/>
      </c>
      <c r="K89" s="62" t="str">
        <f aca="false">IF(IFERROR(-INDEX(Expenses!D$3:D$1002,SMALL(IF((Expenses!E$3:E$1002="GBP")*(Expenses!A$3:A$1002=DATE(2026,5,1)),ROW(Expenses!A$3:A$1002)-2),1)),0)+IFERROR(INDEX(Income!C$3:C$502,SMALL(IF((Income!D$3:D$502="GBP")*(Income!A$3:A$502=DATE(2026,5,1)),ROW(Income!A$3:A$502)-2),1)),0)=0,"",IFERROR(-INDEX(Expenses!D$3:D$1002,SMALL(IF((Expenses!E$3:E$1002="GBP")*(Expenses!A$3:A$1002=DATE(2026,5,1)),ROW(Expenses!A$3:A$1002)-2),1)),0)+IFERROR(INDEX(Income!C$3:C$502,SMALL(IF((Income!D$3:D$502="GBP")*(Income!A$3:A$502=DATE(2026,5,1)),ROW(Income!A$3:A$502)-2),1)),0))</f>
        <v/>
      </c>
      <c r="L89" s="38" t="str">
        <f aca="false">IF(IFERROR(INDEX(Expenses!B$3:B$1002,SMALL(IF((Expenses!E$3:E$1002="GBP")*(Expenses!A$3:A$1002=DATE(2026,5,1)),ROW(Expenses!A$3:A$1002)-2),1)),"")&lt;&gt;"",IFERROR(INDEX(Expenses!B$3:B$1002,SMALL(IF((Expenses!E$3:E$1002="GBP")*(Expenses!A$3:A$1002=DATE(2026,5,1)),ROW(Expenses!A$3:A$1002)-2),1)),""),IF(IFERROR(INDEX(Income!B$3:B$502,SMALL(IF((Income!D$3:D$502="GBP")*(Income!A$3:A$502=DATE(2026,5,1)),ROW(Income!A$3:A$502)-2),1)),"")&lt;&gt;"",IFERROR(INDEX(Income!B$3:B$502,SMALL(IF((Income!D$3:D$502="GBP")*(Income!A$3:A$502=DATE(2026,5,1)),ROW(Income!A$3:A$502)-2),1)),""),""))</f>
        <v/>
      </c>
      <c r="M89" s="62" t="str">
        <f aca="false">IF(IFERROR(-INDEX(Expenses!D$3:D$1002,SMALL(IF((Expenses!E$3:E$1002="GBP")*(Expenses!A$3:A$1002=DATE(2026,5,2)),ROW(Expenses!A$3:A$1002)-2),1)),0)+IFERROR(INDEX(Income!C$3:C$502,SMALL(IF((Income!D$3:D$502="GBP")*(Income!A$3:A$502=DATE(2026,5,2)),ROW(Income!A$3:A$502)-2),1)),0)=0,"",IFERROR(-INDEX(Expenses!D$3:D$1002,SMALL(IF((Expenses!E$3:E$1002="GBP")*(Expenses!A$3:A$1002=DATE(2026,5,2)),ROW(Expenses!A$3:A$1002)-2),1)),0)+IFERROR(INDEX(Income!C$3:C$502,SMALL(IF((Income!D$3:D$502="GBP")*(Income!A$3:A$502=DATE(2026,5,2)),ROW(Income!A$3:A$502)-2),1)),0))</f>
        <v/>
      </c>
      <c r="N89" s="38" t="str">
        <f aca="false">IF(IFERROR(INDEX(Expenses!B$3:B$1002,SMALL(IF((Expenses!E$3:E$1002="GBP")*(Expenses!A$3:A$1002=DATE(2026,5,2)),ROW(Expenses!A$3:A$1002)-2),1)),"")&lt;&gt;"",IFERROR(INDEX(Expenses!B$3:B$1002,SMALL(IF((Expenses!E$3:E$1002="GBP")*(Expenses!A$3:A$1002=DATE(2026,5,2)),ROW(Expenses!A$3:A$1002)-2),1)),""),IF(IFERROR(INDEX(Income!B$3:B$502,SMALL(IF((Income!D$3:D$502="GBP")*(Income!A$3:A$502=DATE(2026,5,2)),ROW(Income!A$3:A$502)-2),1)),"")&lt;&gt;"",IFERROR(INDEX(Income!B$3:B$502,SMALL(IF((Income!D$3:D$502="GBP")*(Income!A$3:A$502=DATE(2026,5,2)),ROW(Income!A$3:A$502)-2),1)),""),""))</f>
        <v/>
      </c>
      <c r="O89" s="62" t="str">
        <f aca="false">IF(IFERROR(-INDEX(Expenses!D$3:D$1002,SMALL(IF((Expenses!E$3:E$1002="GBP")*(Expenses!A$3:A$1002=DATE(2026,5,3)),ROW(Expenses!A$3:A$1002)-2),1)),0)+IFERROR(INDEX(Income!C$3:C$502,SMALL(IF((Income!D$3:D$502="GBP")*(Income!A$3:A$502=DATE(2026,5,3)),ROW(Income!A$3:A$502)-2),1)),0)=0,"",IFERROR(-INDEX(Expenses!D$3:D$1002,SMALL(IF((Expenses!E$3:E$1002="GBP")*(Expenses!A$3:A$1002=DATE(2026,5,3)),ROW(Expenses!A$3:A$1002)-2),1)),0)+IFERROR(INDEX(Income!C$3:C$502,SMALL(IF((Income!D$3:D$502="GBP")*(Income!A$3:A$502=DATE(2026,5,3)),ROW(Income!A$3:A$502)-2),1)),0))</f>
        <v/>
      </c>
      <c r="P89" s="38" t="str">
        <f aca="false">IF(IFERROR(INDEX(Expenses!B$3:B$1002,SMALL(IF((Expenses!E$3:E$1002="GBP")*(Expenses!A$3:A$1002=DATE(2026,5,3)),ROW(Expenses!A$3:A$1002)-2),1)),"")&lt;&gt;"",IFERROR(INDEX(Expenses!B$3:B$1002,SMALL(IF((Expenses!E$3:E$1002="GBP")*(Expenses!A$3:A$1002=DATE(2026,5,3)),ROW(Expenses!A$3:A$1002)-2),1)),""),IF(IFERROR(INDEX(Income!B$3:B$502,SMALL(IF((Income!D$3:D$502="GBP")*(Income!A$3:A$502=DATE(2026,5,3)),ROW(Income!A$3:A$502)-2),1)),"")&lt;&gt;"",IFERROR(INDEX(Income!B$3:B$502,SMALL(IF((Income!D$3:D$502="GBP")*(Income!A$3:A$502=DATE(2026,5,3)),ROW(Income!A$3:A$502)-2),1)),""),""))</f>
        <v/>
      </c>
      <c r="Q89" s="3" t="n">
        <v>18</v>
      </c>
      <c r="R89" s="45" t="n">
        <f aca="false">SUM(C89:C93)+SUM(E89:E93)+SUM(G89:G93)+SUM(I89:I93)+SUM(K89:K93)+SUM(M89:M93)+SUM(O89:O93)</f>
        <v>0</v>
      </c>
    </row>
    <row r="90" customFormat="false" ht="15" hidden="false" customHeight="false" outlineLevel="0" collapsed="false">
      <c r="A90" s="16"/>
      <c r="B90" s="16"/>
      <c r="C90" s="62" t="str">
        <f aca="false">IF(IFERROR(-INDEX(Expenses!D$3:D$1002,SMALL(IF((Expenses!E$3:E$1002="GBP")*(Expenses!A$3:A$1002=DATE(2026,4,27)),ROW(Expenses!A$3:A$1002)-2),2)),0)+IFERROR(INDEX(Income!C$3:C$502,SMALL(IF((Income!D$3:D$502="GBP")*(Income!A$3:A$502=DATE(2026,4,27)),ROW(Income!A$3:A$502)-2),2)),0)=0,"",IFERROR(-INDEX(Expenses!D$3:D$1002,SMALL(IF((Expenses!E$3:E$1002="GBP")*(Expenses!A$3:A$1002=DATE(2026,4,27)),ROW(Expenses!A$3:A$1002)-2),2)),0)+IFERROR(INDEX(Income!C$3:C$502,SMALL(IF((Income!D$3:D$502="GBP")*(Income!A$3:A$502=DATE(2026,4,27)),ROW(Income!A$3:A$502)-2),2)),0))</f>
        <v/>
      </c>
      <c r="D90" s="38" t="str">
        <f aca="false">IF(IFERROR(INDEX(Expenses!B$3:B$1002,SMALL(IF((Expenses!E$3:E$1002="GBP")*(Expenses!A$3:A$1002=DATE(2026,4,27)),ROW(Expenses!A$3:A$1002)-2),2)),"")&lt;&gt;"",IFERROR(INDEX(Expenses!B$3:B$1002,SMALL(IF((Expenses!E$3:E$1002="GBP")*(Expenses!A$3:A$1002=DATE(2026,4,27)),ROW(Expenses!A$3:A$1002)-2),2)),""),IF(IFERROR(INDEX(Income!B$3:B$502,SMALL(IF((Income!D$3:D$502="GBP")*(Income!A$3:A$502=DATE(2026,4,27)),ROW(Income!A$3:A$502)-2),2)),"")&lt;&gt;"",IFERROR(INDEX(Income!B$3:B$502,SMALL(IF((Income!D$3:D$502="GBP")*(Income!A$3:A$502=DATE(2026,4,27)),ROW(Income!A$3:A$502)-2),2)),""),""))</f>
        <v/>
      </c>
      <c r="E90" s="62" t="str">
        <f aca="false">IF(IFERROR(-INDEX(Expenses!D$3:D$1002,SMALL(IF((Expenses!E$3:E$1002="GBP")*(Expenses!A$3:A$1002=DATE(2026,4,28)),ROW(Expenses!A$3:A$1002)-2),2)),0)+IFERROR(INDEX(Income!C$3:C$502,SMALL(IF((Income!D$3:D$502="GBP")*(Income!A$3:A$502=DATE(2026,4,28)),ROW(Income!A$3:A$502)-2),2)),0)=0,"",IFERROR(-INDEX(Expenses!D$3:D$1002,SMALL(IF((Expenses!E$3:E$1002="GBP")*(Expenses!A$3:A$1002=DATE(2026,4,28)),ROW(Expenses!A$3:A$1002)-2),2)),0)+IFERROR(INDEX(Income!C$3:C$502,SMALL(IF((Income!D$3:D$502="GBP")*(Income!A$3:A$502=DATE(2026,4,28)),ROW(Income!A$3:A$502)-2),2)),0))</f>
        <v/>
      </c>
      <c r="F90" s="38" t="str">
        <f aca="false">IF(IFERROR(INDEX(Expenses!B$3:B$1002,SMALL(IF((Expenses!E$3:E$1002="GBP")*(Expenses!A$3:A$1002=DATE(2026,4,28)),ROW(Expenses!A$3:A$1002)-2),2)),"")&lt;&gt;"",IFERROR(INDEX(Expenses!B$3:B$1002,SMALL(IF((Expenses!E$3:E$1002="GBP")*(Expenses!A$3:A$1002=DATE(2026,4,28)),ROW(Expenses!A$3:A$1002)-2),2)),""),IF(IFERROR(INDEX(Income!B$3:B$502,SMALL(IF((Income!D$3:D$502="GBP")*(Income!A$3:A$502=DATE(2026,4,28)),ROW(Income!A$3:A$502)-2),2)),"")&lt;&gt;"",IFERROR(INDEX(Income!B$3:B$502,SMALL(IF((Income!D$3:D$502="GBP")*(Income!A$3:A$502=DATE(2026,4,28)),ROW(Income!A$3:A$502)-2),2)),""),""))</f>
        <v/>
      </c>
      <c r="G90" s="62" t="str">
        <f aca="false">IF(IFERROR(-INDEX(Expenses!D$3:D$1002,SMALL(IF((Expenses!E$3:E$1002="GBP")*(Expenses!A$3:A$1002=DATE(2026,4,29)),ROW(Expenses!A$3:A$1002)-2),2)),0)+IFERROR(INDEX(Income!C$3:C$502,SMALL(IF((Income!D$3:D$502="GBP")*(Income!A$3:A$502=DATE(2026,4,29)),ROW(Income!A$3:A$502)-2),2)),0)=0,"",IFERROR(-INDEX(Expenses!D$3:D$1002,SMALL(IF((Expenses!E$3:E$1002="GBP")*(Expenses!A$3:A$1002=DATE(2026,4,29)),ROW(Expenses!A$3:A$1002)-2),2)),0)+IFERROR(INDEX(Income!C$3:C$502,SMALL(IF((Income!D$3:D$502="GBP")*(Income!A$3:A$502=DATE(2026,4,29)),ROW(Income!A$3:A$502)-2),2)),0))</f>
        <v/>
      </c>
      <c r="H90" s="38" t="str">
        <f aca="false">IF(IFERROR(INDEX(Expenses!B$3:B$1002,SMALL(IF((Expenses!E$3:E$1002="GBP")*(Expenses!A$3:A$1002=DATE(2026,4,29)),ROW(Expenses!A$3:A$1002)-2),2)),"")&lt;&gt;"",IFERROR(INDEX(Expenses!B$3:B$1002,SMALL(IF((Expenses!E$3:E$1002="GBP")*(Expenses!A$3:A$1002=DATE(2026,4,29)),ROW(Expenses!A$3:A$1002)-2),2)),""),IF(IFERROR(INDEX(Income!B$3:B$502,SMALL(IF((Income!D$3:D$502="GBP")*(Income!A$3:A$502=DATE(2026,4,29)),ROW(Income!A$3:A$502)-2),2)),"")&lt;&gt;"",IFERROR(INDEX(Income!B$3:B$502,SMALL(IF((Income!D$3:D$502="GBP")*(Income!A$3:A$502=DATE(2026,4,29)),ROW(Income!A$3:A$502)-2),2)),""),""))</f>
        <v/>
      </c>
      <c r="I90" s="62" t="str">
        <f aca="false">IF(IFERROR(-INDEX(Expenses!D$3:D$1002,SMALL(IF((Expenses!E$3:E$1002="GBP")*(Expenses!A$3:A$1002=DATE(2026,4,30)),ROW(Expenses!A$3:A$1002)-2),2)),0)+IFERROR(INDEX(Income!C$3:C$502,SMALL(IF((Income!D$3:D$502="GBP")*(Income!A$3:A$502=DATE(2026,4,30)),ROW(Income!A$3:A$502)-2),2)),0)=0,"",IFERROR(-INDEX(Expenses!D$3:D$1002,SMALL(IF((Expenses!E$3:E$1002="GBP")*(Expenses!A$3:A$1002=DATE(2026,4,30)),ROW(Expenses!A$3:A$1002)-2),2)),0)+IFERROR(INDEX(Income!C$3:C$502,SMALL(IF((Income!D$3:D$502="GBP")*(Income!A$3:A$502=DATE(2026,4,30)),ROW(Income!A$3:A$502)-2),2)),0))</f>
        <v/>
      </c>
      <c r="J90" s="38" t="str">
        <f aca="false">IF(IFERROR(INDEX(Expenses!B$3:B$1002,SMALL(IF((Expenses!E$3:E$1002="GBP")*(Expenses!A$3:A$1002=DATE(2026,4,30)),ROW(Expenses!A$3:A$1002)-2),2)),"")&lt;&gt;"",IFERROR(INDEX(Expenses!B$3:B$1002,SMALL(IF((Expenses!E$3:E$1002="GBP")*(Expenses!A$3:A$1002=DATE(2026,4,30)),ROW(Expenses!A$3:A$1002)-2),2)),""),IF(IFERROR(INDEX(Income!B$3:B$502,SMALL(IF((Income!D$3:D$502="GBP")*(Income!A$3:A$502=DATE(2026,4,30)),ROW(Income!A$3:A$502)-2),2)),"")&lt;&gt;"",IFERROR(INDEX(Income!B$3:B$502,SMALL(IF((Income!D$3:D$502="GBP")*(Income!A$3:A$502=DATE(2026,4,30)),ROW(Income!A$3:A$502)-2),2)),""),""))</f>
        <v/>
      </c>
      <c r="K90" s="62" t="str">
        <f aca="false">IF(IFERROR(-INDEX(Expenses!D$3:D$1002,SMALL(IF((Expenses!E$3:E$1002="GBP")*(Expenses!A$3:A$1002=DATE(2026,5,1)),ROW(Expenses!A$3:A$1002)-2),2)),0)+IFERROR(INDEX(Income!C$3:C$502,SMALL(IF((Income!D$3:D$502="GBP")*(Income!A$3:A$502=DATE(2026,5,1)),ROW(Income!A$3:A$502)-2),2)),0)=0,"",IFERROR(-INDEX(Expenses!D$3:D$1002,SMALL(IF((Expenses!E$3:E$1002="GBP")*(Expenses!A$3:A$1002=DATE(2026,5,1)),ROW(Expenses!A$3:A$1002)-2),2)),0)+IFERROR(INDEX(Income!C$3:C$502,SMALL(IF((Income!D$3:D$502="GBP")*(Income!A$3:A$502=DATE(2026,5,1)),ROW(Income!A$3:A$502)-2),2)),0))</f>
        <v/>
      </c>
      <c r="L90" s="38" t="str">
        <f aca="false">IF(IFERROR(INDEX(Expenses!B$3:B$1002,SMALL(IF((Expenses!E$3:E$1002="GBP")*(Expenses!A$3:A$1002=DATE(2026,5,1)),ROW(Expenses!A$3:A$1002)-2),2)),"")&lt;&gt;"",IFERROR(INDEX(Expenses!B$3:B$1002,SMALL(IF((Expenses!E$3:E$1002="GBP")*(Expenses!A$3:A$1002=DATE(2026,5,1)),ROW(Expenses!A$3:A$1002)-2),2)),""),IF(IFERROR(INDEX(Income!B$3:B$502,SMALL(IF((Income!D$3:D$502="GBP")*(Income!A$3:A$502=DATE(2026,5,1)),ROW(Income!A$3:A$502)-2),2)),"")&lt;&gt;"",IFERROR(INDEX(Income!B$3:B$502,SMALL(IF((Income!D$3:D$502="GBP")*(Income!A$3:A$502=DATE(2026,5,1)),ROW(Income!A$3:A$502)-2),2)),""),""))</f>
        <v/>
      </c>
      <c r="M90" s="62" t="str">
        <f aca="false">IF(IFERROR(-INDEX(Expenses!D$3:D$1002,SMALL(IF((Expenses!E$3:E$1002="GBP")*(Expenses!A$3:A$1002=DATE(2026,5,2)),ROW(Expenses!A$3:A$1002)-2),2)),0)+IFERROR(INDEX(Income!C$3:C$502,SMALL(IF((Income!D$3:D$502="GBP")*(Income!A$3:A$502=DATE(2026,5,2)),ROW(Income!A$3:A$502)-2),2)),0)=0,"",IFERROR(-INDEX(Expenses!D$3:D$1002,SMALL(IF((Expenses!E$3:E$1002="GBP")*(Expenses!A$3:A$1002=DATE(2026,5,2)),ROW(Expenses!A$3:A$1002)-2),2)),0)+IFERROR(INDEX(Income!C$3:C$502,SMALL(IF((Income!D$3:D$502="GBP")*(Income!A$3:A$502=DATE(2026,5,2)),ROW(Income!A$3:A$502)-2),2)),0))</f>
        <v/>
      </c>
      <c r="N90" s="38" t="str">
        <f aca="false">IF(IFERROR(INDEX(Expenses!B$3:B$1002,SMALL(IF((Expenses!E$3:E$1002="GBP")*(Expenses!A$3:A$1002=DATE(2026,5,2)),ROW(Expenses!A$3:A$1002)-2),2)),"")&lt;&gt;"",IFERROR(INDEX(Expenses!B$3:B$1002,SMALL(IF((Expenses!E$3:E$1002="GBP")*(Expenses!A$3:A$1002=DATE(2026,5,2)),ROW(Expenses!A$3:A$1002)-2),2)),""),IF(IFERROR(INDEX(Income!B$3:B$502,SMALL(IF((Income!D$3:D$502="GBP")*(Income!A$3:A$502=DATE(2026,5,2)),ROW(Income!A$3:A$502)-2),2)),"")&lt;&gt;"",IFERROR(INDEX(Income!B$3:B$502,SMALL(IF((Income!D$3:D$502="GBP")*(Income!A$3:A$502=DATE(2026,5,2)),ROW(Income!A$3:A$502)-2),2)),""),""))</f>
        <v/>
      </c>
      <c r="O90" s="62" t="str">
        <f aca="false">IF(IFERROR(-INDEX(Expenses!D$3:D$1002,SMALL(IF((Expenses!E$3:E$1002="GBP")*(Expenses!A$3:A$1002=DATE(2026,5,3)),ROW(Expenses!A$3:A$1002)-2),2)),0)+IFERROR(INDEX(Income!C$3:C$502,SMALL(IF((Income!D$3:D$502="GBP")*(Income!A$3:A$502=DATE(2026,5,3)),ROW(Income!A$3:A$502)-2),2)),0)=0,"",IFERROR(-INDEX(Expenses!D$3:D$1002,SMALL(IF((Expenses!E$3:E$1002="GBP")*(Expenses!A$3:A$1002=DATE(2026,5,3)),ROW(Expenses!A$3:A$1002)-2),2)),0)+IFERROR(INDEX(Income!C$3:C$502,SMALL(IF((Income!D$3:D$502="GBP")*(Income!A$3:A$502=DATE(2026,5,3)),ROW(Income!A$3:A$502)-2),2)),0))</f>
        <v/>
      </c>
      <c r="P90" s="38" t="str">
        <f aca="false">IF(IFERROR(INDEX(Expenses!B$3:B$1002,SMALL(IF((Expenses!E$3:E$1002="GBP")*(Expenses!A$3:A$1002=DATE(2026,5,3)),ROW(Expenses!A$3:A$1002)-2),2)),"")&lt;&gt;"",IFERROR(INDEX(Expenses!B$3:B$1002,SMALL(IF((Expenses!E$3:E$1002="GBP")*(Expenses!A$3:A$1002=DATE(2026,5,3)),ROW(Expenses!A$3:A$1002)-2),2)),""),IF(IFERROR(INDEX(Income!B$3:B$502,SMALL(IF((Income!D$3:D$502="GBP")*(Income!A$3:A$502=DATE(2026,5,3)),ROW(Income!A$3:A$502)-2),2)),"")&lt;&gt;"",IFERROR(INDEX(Income!B$3:B$502,SMALL(IF((Income!D$3:D$502="GBP")*(Income!A$3:A$502=DATE(2026,5,3)),ROW(Income!A$3:A$502)-2),2)),""),""))</f>
        <v/>
      </c>
      <c r="Q90" s="16"/>
      <c r="R90" s="16"/>
    </row>
    <row r="91" customFormat="false" ht="15" hidden="false" customHeight="false" outlineLevel="0" collapsed="false">
      <c r="A91" s="16"/>
      <c r="B91" s="16"/>
      <c r="C91" s="62" t="str">
        <f aca="false">IF(IFERROR(-INDEX(Expenses!D$3:D$1002,SMALL(IF((Expenses!E$3:E$1002="GBP")*(Expenses!A$3:A$1002=DATE(2026,4,27)),ROW(Expenses!A$3:A$1002)-2),3)),0)+IFERROR(INDEX(Income!C$3:C$502,SMALL(IF((Income!D$3:D$502="GBP")*(Income!A$3:A$502=DATE(2026,4,27)),ROW(Income!A$3:A$502)-2),3)),0)=0,"",IFERROR(-INDEX(Expenses!D$3:D$1002,SMALL(IF((Expenses!E$3:E$1002="GBP")*(Expenses!A$3:A$1002=DATE(2026,4,27)),ROW(Expenses!A$3:A$1002)-2),3)),0)+IFERROR(INDEX(Income!C$3:C$502,SMALL(IF((Income!D$3:D$502="GBP")*(Income!A$3:A$502=DATE(2026,4,27)),ROW(Income!A$3:A$502)-2),3)),0))</f>
        <v/>
      </c>
      <c r="D91" s="38" t="str">
        <f aca="false">IF(IFERROR(INDEX(Expenses!B$3:B$1002,SMALL(IF((Expenses!E$3:E$1002="GBP")*(Expenses!A$3:A$1002=DATE(2026,4,27)),ROW(Expenses!A$3:A$1002)-2),3)),"")&lt;&gt;"",IFERROR(INDEX(Expenses!B$3:B$1002,SMALL(IF((Expenses!E$3:E$1002="GBP")*(Expenses!A$3:A$1002=DATE(2026,4,27)),ROW(Expenses!A$3:A$1002)-2),3)),""),IF(IFERROR(INDEX(Income!B$3:B$502,SMALL(IF((Income!D$3:D$502="GBP")*(Income!A$3:A$502=DATE(2026,4,27)),ROW(Income!A$3:A$502)-2),3)),"")&lt;&gt;"",IFERROR(INDEX(Income!B$3:B$502,SMALL(IF((Income!D$3:D$502="GBP")*(Income!A$3:A$502=DATE(2026,4,27)),ROW(Income!A$3:A$502)-2),3)),""),""))</f>
        <v/>
      </c>
      <c r="E91" s="62" t="str">
        <f aca="false">IF(IFERROR(-INDEX(Expenses!D$3:D$1002,SMALL(IF((Expenses!E$3:E$1002="GBP")*(Expenses!A$3:A$1002=DATE(2026,4,28)),ROW(Expenses!A$3:A$1002)-2),3)),0)+IFERROR(INDEX(Income!C$3:C$502,SMALL(IF((Income!D$3:D$502="GBP")*(Income!A$3:A$502=DATE(2026,4,28)),ROW(Income!A$3:A$502)-2),3)),0)=0,"",IFERROR(-INDEX(Expenses!D$3:D$1002,SMALL(IF((Expenses!E$3:E$1002="GBP")*(Expenses!A$3:A$1002=DATE(2026,4,28)),ROW(Expenses!A$3:A$1002)-2),3)),0)+IFERROR(INDEX(Income!C$3:C$502,SMALL(IF((Income!D$3:D$502="GBP")*(Income!A$3:A$502=DATE(2026,4,28)),ROW(Income!A$3:A$502)-2),3)),0))</f>
        <v/>
      </c>
      <c r="F91" s="38" t="str">
        <f aca="false">IF(IFERROR(INDEX(Expenses!B$3:B$1002,SMALL(IF((Expenses!E$3:E$1002="GBP")*(Expenses!A$3:A$1002=DATE(2026,4,28)),ROW(Expenses!A$3:A$1002)-2),3)),"")&lt;&gt;"",IFERROR(INDEX(Expenses!B$3:B$1002,SMALL(IF((Expenses!E$3:E$1002="GBP")*(Expenses!A$3:A$1002=DATE(2026,4,28)),ROW(Expenses!A$3:A$1002)-2),3)),""),IF(IFERROR(INDEX(Income!B$3:B$502,SMALL(IF((Income!D$3:D$502="GBP")*(Income!A$3:A$502=DATE(2026,4,28)),ROW(Income!A$3:A$502)-2),3)),"")&lt;&gt;"",IFERROR(INDEX(Income!B$3:B$502,SMALL(IF((Income!D$3:D$502="GBP")*(Income!A$3:A$502=DATE(2026,4,28)),ROW(Income!A$3:A$502)-2),3)),""),""))</f>
        <v/>
      </c>
      <c r="G91" s="62" t="str">
        <f aca="false">IF(IFERROR(-INDEX(Expenses!D$3:D$1002,SMALL(IF((Expenses!E$3:E$1002="GBP")*(Expenses!A$3:A$1002=DATE(2026,4,29)),ROW(Expenses!A$3:A$1002)-2),3)),0)+IFERROR(INDEX(Income!C$3:C$502,SMALL(IF((Income!D$3:D$502="GBP")*(Income!A$3:A$502=DATE(2026,4,29)),ROW(Income!A$3:A$502)-2),3)),0)=0,"",IFERROR(-INDEX(Expenses!D$3:D$1002,SMALL(IF((Expenses!E$3:E$1002="GBP")*(Expenses!A$3:A$1002=DATE(2026,4,29)),ROW(Expenses!A$3:A$1002)-2),3)),0)+IFERROR(INDEX(Income!C$3:C$502,SMALL(IF((Income!D$3:D$502="GBP")*(Income!A$3:A$502=DATE(2026,4,29)),ROW(Income!A$3:A$502)-2),3)),0))</f>
        <v/>
      </c>
      <c r="H91" s="38" t="str">
        <f aca="false">IF(IFERROR(INDEX(Expenses!B$3:B$1002,SMALL(IF((Expenses!E$3:E$1002="GBP")*(Expenses!A$3:A$1002=DATE(2026,4,29)),ROW(Expenses!A$3:A$1002)-2),3)),"")&lt;&gt;"",IFERROR(INDEX(Expenses!B$3:B$1002,SMALL(IF((Expenses!E$3:E$1002="GBP")*(Expenses!A$3:A$1002=DATE(2026,4,29)),ROW(Expenses!A$3:A$1002)-2),3)),""),IF(IFERROR(INDEX(Income!B$3:B$502,SMALL(IF((Income!D$3:D$502="GBP")*(Income!A$3:A$502=DATE(2026,4,29)),ROW(Income!A$3:A$502)-2),3)),"")&lt;&gt;"",IFERROR(INDEX(Income!B$3:B$502,SMALL(IF((Income!D$3:D$502="GBP")*(Income!A$3:A$502=DATE(2026,4,29)),ROW(Income!A$3:A$502)-2),3)),""),""))</f>
        <v/>
      </c>
      <c r="I91" s="62" t="str">
        <f aca="false">IF(IFERROR(-INDEX(Expenses!D$3:D$1002,SMALL(IF((Expenses!E$3:E$1002="GBP")*(Expenses!A$3:A$1002=DATE(2026,4,30)),ROW(Expenses!A$3:A$1002)-2),3)),0)+IFERROR(INDEX(Income!C$3:C$502,SMALL(IF((Income!D$3:D$502="GBP")*(Income!A$3:A$502=DATE(2026,4,30)),ROW(Income!A$3:A$502)-2),3)),0)=0,"",IFERROR(-INDEX(Expenses!D$3:D$1002,SMALL(IF((Expenses!E$3:E$1002="GBP")*(Expenses!A$3:A$1002=DATE(2026,4,30)),ROW(Expenses!A$3:A$1002)-2),3)),0)+IFERROR(INDEX(Income!C$3:C$502,SMALL(IF((Income!D$3:D$502="GBP")*(Income!A$3:A$502=DATE(2026,4,30)),ROW(Income!A$3:A$502)-2),3)),0))</f>
        <v/>
      </c>
      <c r="J91" s="38" t="str">
        <f aca="false">IF(IFERROR(INDEX(Expenses!B$3:B$1002,SMALL(IF((Expenses!E$3:E$1002="GBP")*(Expenses!A$3:A$1002=DATE(2026,4,30)),ROW(Expenses!A$3:A$1002)-2),3)),"")&lt;&gt;"",IFERROR(INDEX(Expenses!B$3:B$1002,SMALL(IF((Expenses!E$3:E$1002="GBP")*(Expenses!A$3:A$1002=DATE(2026,4,30)),ROW(Expenses!A$3:A$1002)-2),3)),""),IF(IFERROR(INDEX(Income!B$3:B$502,SMALL(IF((Income!D$3:D$502="GBP")*(Income!A$3:A$502=DATE(2026,4,30)),ROW(Income!A$3:A$502)-2),3)),"")&lt;&gt;"",IFERROR(INDEX(Income!B$3:B$502,SMALL(IF((Income!D$3:D$502="GBP")*(Income!A$3:A$502=DATE(2026,4,30)),ROW(Income!A$3:A$502)-2),3)),""),""))</f>
        <v/>
      </c>
      <c r="K91" s="62" t="str">
        <f aca="false">IF(IFERROR(-INDEX(Expenses!D$3:D$1002,SMALL(IF((Expenses!E$3:E$1002="GBP")*(Expenses!A$3:A$1002=DATE(2026,5,1)),ROW(Expenses!A$3:A$1002)-2),3)),0)+IFERROR(INDEX(Income!C$3:C$502,SMALL(IF((Income!D$3:D$502="GBP")*(Income!A$3:A$502=DATE(2026,5,1)),ROW(Income!A$3:A$502)-2),3)),0)=0,"",IFERROR(-INDEX(Expenses!D$3:D$1002,SMALL(IF((Expenses!E$3:E$1002="GBP")*(Expenses!A$3:A$1002=DATE(2026,5,1)),ROW(Expenses!A$3:A$1002)-2),3)),0)+IFERROR(INDEX(Income!C$3:C$502,SMALL(IF((Income!D$3:D$502="GBP")*(Income!A$3:A$502=DATE(2026,5,1)),ROW(Income!A$3:A$502)-2),3)),0))</f>
        <v/>
      </c>
      <c r="L91" s="38" t="str">
        <f aca="false">IF(IFERROR(INDEX(Expenses!B$3:B$1002,SMALL(IF((Expenses!E$3:E$1002="GBP")*(Expenses!A$3:A$1002=DATE(2026,5,1)),ROW(Expenses!A$3:A$1002)-2),3)),"")&lt;&gt;"",IFERROR(INDEX(Expenses!B$3:B$1002,SMALL(IF((Expenses!E$3:E$1002="GBP")*(Expenses!A$3:A$1002=DATE(2026,5,1)),ROW(Expenses!A$3:A$1002)-2),3)),""),IF(IFERROR(INDEX(Income!B$3:B$502,SMALL(IF((Income!D$3:D$502="GBP")*(Income!A$3:A$502=DATE(2026,5,1)),ROW(Income!A$3:A$502)-2),3)),"")&lt;&gt;"",IFERROR(INDEX(Income!B$3:B$502,SMALL(IF((Income!D$3:D$502="GBP")*(Income!A$3:A$502=DATE(2026,5,1)),ROW(Income!A$3:A$502)-2),3)),""),""))</f>
        <v/>
      </c>
      <c r="M91" s="62" t="str">
        <f aca="false">IF(IFERROR(-INDEX(Expenses!D$3:D$1002,SMALL(IF((Expenses!E$3:E$1002="GBP")*(Expenses!A$3:A$1002=DATE(2026,5,2)),ROW(Expenses!A$3:A$1002)-2),3)),0)+IFERROR(INDEX(Income!C$3:C$502,SMALL(IF((Income!D$3:D$502="GBP")*(Income!A$3:A$502=DATE(2026,5,2)),ROW(Income!A$3:A$502)-2),3)),0)=0,"",IFERROR(-INDEX(Expenses!D$3:D$1002,SMALL(IF((Expenses!E$3:E$1002="GBP")*(Expenses!A$3:A$1002=DATE(2026,5,2)),ROW(Expenses!A$3:A$1002)-2),3)),0)+IFERROR(INDEX(Income!C$3:C$502,SMALL(IF((Income!D$3:D$502="GBP")*(Income!A$3:A$502=DATE(2026,5,2)),ROW(Income!A$3:A$502)-2),3)),0))</f>
        <v/>
      </c>
      <c r="N91" s="38" t="str">
        <f aca="false">IF(IFERROR(INDEX(Expenses!B$3:B$1002,SMALL(IF((Expenses!E$3:E$1002="GBP")*(Expenses!A$3:A$1002=DATE(2026,5,2)),ROW(Expenses!A$3:A$1002)-2),3)),"")&lt;&gt;"",IFERROR(INDEX(Expenses!B$3:B$1002,SMALL(IF((Expenses!E$3:E$1002="GBP")*(Expenses!A$3:A$1002=DATE(2026,5,2)),ROW(Expenses!A$3:A$1002)-2),3)),""),IF(IFERROR(INDEX(Income!B$3:B$502,SMALL(IF((Income!D$3:D$502="GBP")*(Income!A$3:A$502=DATE(2026,5,2)),ROW(Income!A$3:A$502)-2),3)),"")&lt;&gt;"",IFERROR(INDEX(Income!B$3:B$502,SMALL(IF((Income!D$3:D$502="GBP")*(Income!A$3:A$502=DATE(2026,5,2)),ROW(Income!A$3:A$502)-2),3)),""),""))</f>
        <v/>
      </c>
      <c r="O91" s="62" t="str">
        <f aca="false">IF(IFERROR(-INDEX(Expenses!D$3:D$1002,SMALL(IF((Expenses!E$3:E$1002="GBP")*(Expenses!A$3:A$1002=DATE(2026,5,3)),ROW(Expenses!A$3:A$1002)-2),3)),0)+IFERROR(INDEX(Income!C$3:C$502,SMALL(IF((Income!D$3:D$502="GBP")*(Income!A$3:A$502=DATE(2026,5,3)),ROW(Income!A$3:A$502)-2),3)),0)=0,"",IFERROR(-INDEX(Expenses!D$3:D$1002,SMALL(IF((Expenses!E$3:E$1002="GBP")*(Expenses!A$3:A$1002=DATE(2026,5,3)),ROW(Expenses!A$3:A$1002)-2),3)),0)+IFERROR(INDEX(Income!C$3:C$502,SMALL(IF((Income!D$3:D$502="GBP")*(Income!A$3:A$502=DATE(2026,5,3)),ROW(Income!A$3:A$502)-2),3)),0))</f>
        <v/>
      </c>
      <c r="P91" s="38" t="str">
        <f aca="false">IF(IFERROR(INDEX(Expenses!B$3:B$1002,SMALL(IF((Expenses!E$3:E$1002="GBP")*(Expenses!A$3:A$1002=DATE(2026,5,3)),ROW(Expenses!A$3:A$1002)-2),3)),"")&lt;&gt;"",IFERROR(INDEX(Expenses!B$3:B$1002,SMALL(IF((Expenses!E$3:E$1002="GBP")*(Expenses!A$3:A$1002=DATE(2026,5,3)),ROW(Expenses!A$3:A$1002)-2),3)),""),IF(IFERROR(INDEX(Income!B$3:B$502,SMALL(IF((Income!D$3:D$502="GBP")*(Income!A$3:A$502=DATE(2026,5,3)),ROW(Income!A$3:A$502)-2),3)),"")&lt;&gt;"",IFERROR(INDEX(Income!B$3:B$502,SMALL(IF((Income!D$3:D$502="GBP")*(Income!A$3:A$502=DATE(2026,5,3)),ROW(Income!A$3:A$502)-2),3)),""),""))</f>
        <v/>
      </c>
      <c r="Q91" s="16"/>
      <c r="R91" s="16"/>
    </row>
    <row r="92" customFormat="false" ht="15" hidden="false" customHeight="false" outlineLevel="0" collapsed="false">
      <c r="A92" s="16"/>
      <c r="B92" s="16"/>
      <c r="C92" s="62" t="str">
        <f aca="false">IF(IFERROR(-INDEX(Expenses!D$3:D$1002,SMALL(IF((Expenses!E$3:E$1002="GBP")*(Expenses!A$3:A$1002=DATE(2026,4,27)),ROW(Expenses!A$3:A$1002)-2),4)),0)+IFERROR(INDEX(Income!C$3:C$502,SMALL(IF((Income!D$3:D$502="GBP")*(Income!A$3:A$502=DATE(2026,4,27)),ROW(Income!A$3:A$502)-2),4)),0)=0,"",IFERROR(-INDEX(Expenses!D$3:D$1002,SMALL(IF((Expenses!E$3:E$1002="GBP")*(Expenses!A$3:A$1002=DATE(2026,4,27)),ROW(Expenses!A$3:A$1002)-2),4)),0)+IFERROR(INDEX(Income!C$3:C$502,SMALL(IF((Income!D$3:D$502="GBP")*(Income!A$3:A$502=DATE(2026,4,27)),ROW(Income!A$3:A$502)-2),4)),0))</f>
        <v/>
      </c>
      <c r="D92" s="38" t="str">
        <f aca="false">IF(IFERROR(INDEX(Expenses!B$3:B$1002,SMALL(IF((Expenses!E$3:E$1002="GBP")*(Expenses!A$3:A$1002=DATE(2026,4,27)),ROW(Expenses!A$3:A$1002)-2),4)),"")&lt;&gt;"",IFERROR(INDEX(Expenses!B$3:B$1002,SMALL(IF((Expenses!E$3:E$1002="GBP")*(Expenses!A$3:A$1002=DATE(2026,4,27)),ROW(Expenses!A$3:A$1002)-2),4)),""),IF(IFERROR(INDEX(Income!B$3:B$502,SMALL(IF((Income!D$3:D$502="GBP")*(Income!A$3:A$502=DATE(2026,4,27)),ROW(Income!A$3:A$502)-2),4)),"")&lt;&gt;"",IFERROR(INDEX(Income!B$3:B$502,SMALL(IF((Income!D$3:D$502="GBP")*(Income!A$3:A$502=DATE(2026,4,27)),ROW(Income!A$3:A$502)-2),4)),""),""))</f>
        <v/>
      </c>
      <c r="E92" s="62" t="str">
        <f aca="false">IF(IFERROR(-INDEX(Expenses!D$3:D$1002,SMALL(IF((Expenses!E$3:E$1002="GBP")*(Expenses!A$3:A$1002=DATE(2026,4,28)),ROW(Expenses!A$3:A$1002)-2),4)),0)+IFERROR(INDEX(Income!C$3:C$502,SMALL(IF((Income!D$3:D$502="GBP")*(Income!A$3:A$502=DATE(2026,4,28)),ROW(Income!A$3:A$502)-2),4)),0)=0,"",IFERROR(-INDEX(Expenses!D$3:D$1002,SMALL(IF((Expenses!E$3:E$1002="GBP")*(Expenses!A$3:A$1002=DATE(2026,4,28)),ROW(Expenses!A$3:A$1002)-2),4)),0)+IFERROR(INDEX(Income!C$3:C$502,SMALL(IF((Income!D$3:D$502="GBP")*(Income!A$3:A$502=DATE(2026,4,28)),ROW(Income!A$3:A$502)-2),4)),0))</f>
        <v/>
      </c>
      <c r="F92" s="38" t="str">
        <f aca="false">IF(IFERROR(INDEX(Expenses!B$3:B$1002,SMALL(IF((Expenses!E$3:E$1002="GBP")*(Expenses!A$3:A$1002=DATE(2026,4,28)),ROW(Expenses!A$3:A$1002)-2),4)),"")&lt;&gt;"",IFERROR(INDEX(Expenses!B$3:B$1002,SMALL(IF((Expenses!E$3:E$1002="GBP")*(Expenses!A$3:A$1002=DATE(2026,4,28)),ROW(Expenses!A$3:A$1002)-2),4)),""),IF(IFERROR(INDEX(Income!B$3:B$502,SMALL(IF((Income!D$3:D$502="GBP")*(Income!A$3:A$502=DATE(2026,4,28)),ROW(Income!A$3:A$502)-2),4)),"")&lt;&gt;"",IFERROR(INDEX(Income!B$3:B$502,SMALL(IF((Income!D$3:D$502="GBP")*(Income!A$3:A$502=DATE(2026,4,28)),ROW(Income!A$3:A$502)-2),4)),""),""))</f>
        <v/>
      </c>
      <c r="G92" s="62" t="str">
        <f aca="false">IF(IFERROR(-INDEX(Expenses!D$3:D$1002,SMALL(IF((Expenses!E$3:E$1002="GBP")*(Expenses!A$3:A$1002=DATE(2026,4,29)),ROW(Expenses!A$3:A$1002)-2),4)),0)+IFERROR(INDEX(Income!C$3:C$502,SMALL(IF((Income!D$3:D$502="GBP")*(Income!A$3:A$502=DATE(2026,4,29)),ROW(Income!A$3:A$502)-2),4)),0)=0,"",IFERROR(-INDEX(Expenses!D$3:D$1002,SMALL(IF((Expenses!E$3:E$1002="GBP")*(Expenses!A$3:A$1002=DATE(2026,4,29)),ROW(Expenses!A$3:A$1002)-2),4)),0)+IFERROR(INDEX(Income!C$3:C$502,SMALL(IF((Income!D$3:D$502="GBP")*(Income!A$3:A$502=DATE(2026,4,29)),ROW(Income!A$3:A$502)-2),4)),0))</f>
        <v/>
      </c>
      <c r="H92" s="38" t="str">
        <f aca="false">IF(IFERROR(INDEX(Expenses!B$3:B$1002,SMALL(IF((Expenses!E$3:E$1002="GBP")*(Expenses!A$3:A$1002=DATE(2026,4,29)),ROW(Expenses!A$3:A$1002)-2),4)),"")&lt;&gt;"",IFERROR(INDEX(Expenses!B$3:B$1002,SMALL(IF((Expenses!E$3:E$1002="GBP")*(Expenses!A$3:A$1002=DATE(2026,4,29)),ROW(Expenses!A$3:A$1002)-2),4)),""),IF(IFERROR(INDEX(Income!B$3:B$502,SMALL(IF((Income!D$3:D$502="GBP")*(Income!A$3:A$502=DATE(2026,4,29)),ROW(Income!A$3:A$502)-2),4)),"")&lt;&gt;"",IFERROR(INDEX(Income!B$3:B$502,SMALL(IF((Income!D$3:D$502="GBP")*(Income!A$3:A$502=DATE(2026,4,29)),ROW(Income!A$3:A$502)-2),4)),""),""))</f>
        <v/>
      </c>
      <c r="I92" s="62" t="str">
        <f aca="false">IF(IFERROR(-INDEX(Expenses!D$3:D$1002,SMALL(IF((Expenses!E$3:E$1002="GBP")*(Expenses!A$3:A$1002=DATE(2026,4,30)),ROW(Expenses!A$3:A$1002)-2),4)),0)+IFERROR(INDEX(Income!C$3:C$502,SMALL(IF((Income!D$3:D$502="GBP")*(Income!A$3:A$502=DATE(2026,4,30)),ROW(Income!A$3:A$502)-2),4)),0)=0,"",IFERROR(-INDEX(Expenses!D$3:D$1002,SMALL(IF((Expenses!E$3:E$1002="GBP")*(Expenses!A$3:A$1002=DATE(2026,4,30)),ROW(Expenses!A$3:A$1002)-2),4)),0)+IFERROR(INDEX(Income!C$3:C$502,SMALL(IF((Income!D$3:D$502="GBP")*(Income!A$3:A$502=DATE(2026,4,30)),ROW(Income!A$3:A$502)-2),4)),0))</f>
        <v/>
      </c>
      <c r="J92" s="38" t="str">
        <f aca="false">IF(IFERROR(INDEX(Expenses!B$3:B$1002,SMALL(IF((Expenses!E$3:E$1002="GBP")*(Expenses!A$3:A$1002=DATE(2026,4,30)),ROW(Expenses!A$3:A$1002)-2),4)),"")&lt;&gt;"",IFERROR(INDEX(Expenses!B$3:B$1002,SMALL(IF((Expenses!E$3:E$1002="GBP")*(Expenses!A$3:A$1002=DATE(2026,4,30)),ROW(Expenses!A$3:A$1002)-2),4)),""),IF(IFERROR(INDEX(Income!B$3:B$502,SMALL(IF((Income!D$3:D$502="GBP")*(Income!A$3:A$502=DATE(2026,4,30)),ROW(Income!A$3:A$502)-2),4)),"")&lt;&gt;"",IFERROR(INDEX(Income!B$3:B$502,SMALL(IF((Income!D$3:D$502="GBP")*(Income!A$3:A$502=DATE(2026,4,30)),ROW(Income!A$3:A$502)-2),4)),""),""))</f>
        <v/>
      </c>
      <c r="K92" s="62" t="str">
        <f aca="false">IF(IFERROR(-INDEX(Expenses!D$3:D$1002,SMALL(IF((Expenses!E$3:E$1002="GBP")*(Expenses!A$3:A$1002=DATE(2026,5,1)),ROW(Expenses!A$3:A$1002)-2),4)),0)+IFERROR(INDEX(Income!C$3:C$502,SMALL(IF((Income!D$3:D$502="GBP")*(Income!A$3:A$502=DATE(2026,5,1)),ROW(Income!A$3:A$502)-2),4)),0)=0,"",IFERROR(-INDEX(Expenses!D$3:D$1002,SMALL(IF((Expenses!E$3:E$1002="GBP")*(Expenses!A$3:A$1002=DATE(2026,5,1)),ROW(Expenses!A$3:A$1002)-2),4)),0)+IFERROR(INDEX(Income!C$3:C$502,SMALL(IF((Income!D$3:D$502="GBP")*(Income!A$3:A$502=DATE(2026,5,1)),ROW(Income!A$3:A$502)-2),4)),0))</f>
        <v/>
      </c>
      <c r="L92" s="38" t="str">
        <f aca="false">IF(IFERROR(INDEX(Expenses!B$3:B$1002,SMALL(IF((Expenses!E$3:E$1002="GBP")*(Expenses!A$3:A$1002=DATE(2026,5,1)),ROW(Expenses!A$3:A$1002)-2),4)),"")&lt;&gt;"",IFERROR(INDEX(Expenses!B$3:B$1002,SMALL(IF((Expenses!E$3:E$1002="GBP")*(Expenses!A$3:A$1002=DATE(2026,5,1)),ROW(Expenses!A$3:A$1002)-2),4)),""),IF(IFERROR(INDEX(Income!B$3:B$502,SMALL(IF((Income!D$3:D$502="GBP")*(Income!A$3:A$502=DATE(2026,5,1)),ROW(Income!A$3:A$502)-2),4)),"")&lt;&gt;"",IFERROR(INDEX(Income!B$3:B$502,SMALL(IF((Income!D$3:D$502="GBP")*(Income!A$3:A$502=DATE(2026,5,1)),ROW(Income!A$3:A$502)-2),4)),""),""))</f>
        <v/>
      </c>
      <c r="M92" s="62" t="str">
        <f aca="false">IF(IFERROR(-INDEX(Expenses!D$3:D$1002,SMALL(IF((Expenses!E$3:E$1002="GBP")*(Expenses!A$3:A$1002=DATE(2026,5,2)),ROW(Expenses!A$3:A$1002)-2),4)),0)+IFERROR(INDEX(Income!C$3:C$502,SMALL(IF((Income!D$3:D$502="GBP")*(Income!A$3:A$502=DATE(2026,5,2)),ROW(Income!A$3:A$502)-2),4)),0)=0,"",IFERROR(-INDEX(Expenses!D$3:D$1002,SMALL(IF((Expenses!E$3:E$1002="GBP")*(Expenses!A$3:A$1002=DATE(2026,5,2)),ROW(Expenses!A$3:A$1002)-2),4)),0)+IFERROR(INDEX(Income!C$3:C$502,SMALL(IF((Income!D$3:D$502="GBP")*(Income!A$3:A$502=DATE(2026,5,2)),ROW(Income!A$3:A$502)-2),4)),0))</f>
        <v/>
      </c>
      <c r="N92" s="38" t="str">
        <f aca="false">IF(IFERROR(INDEX(Expenses!B$3:B$1002,SMALL(IF((Expenses!E$3:E$1002="GBP")*(Expenses!A$3:A$1002=DATE(2026,5,2)),ROW(Expenses!A$3:A$1002)-2),4)),"")&lt;&gt;"",IFERROR(INDEX(Expenses!B$3:B$1002,SMALL(IF((Expenses!E$3:E$1002="GBP")*(Expenses!A$3:A$1002=DATE(2026,5,2)),ROW(Expenses!A$3:A$1002)-2),4)),""),IF(IFERROR(INDEX(Income!B$3:B$502,SMALL(IF((Income!D$3:D$502="GBP")*(Income!A$3:A$502=DATE(2026,5,2)),ROW(Income!A$3:A$502)-2),4)),"")&lt;&gt;"",IFERROR(INDEX(Income!B$3:B$502,SMALL(IF((Income!D$3:D$502="GBP")*(Income!A$3:A$502=DATE(2026,5,2)),ROW(Income!A$3:A$502)-2),4)),""),""))</f>
        <v/>
      </c>
      <c r="O92" s="62" t="str">
        <f aca="false">IF(IFERROR(-INDEX(Expenses!D$3:D$1002,SMALL(IF((Expenses!E$3:E$1002="GBP")*(Expenses!A$3:A$1002=DATE(2026,5,3)),ROW(Expenses!A$3:A$1002)-2),4)),0)+IFERROR(INDEX(Income!C$3:C$502,SMALL(IF((Income!D$3:D$502="GBP")*(Income!A$3:A$502=DATE(2026,5,3)),ROW(Income!A$3:A$502)-2),4)),0)=0,"",IFERROR(-INDEX(Expenses!D$3:D$1002,SMALL(IF((Expenses!E$3:E$1002="GBP")*(Expenses!A$3:A$1002=DATE(2026,5,3)),ROW(Expenses!A$3:A$1002)-2),4)),0)+IFERROR(INDEX(Income!C$3:C$502,SMALL(IF((Income!D$3:D$502="GBP")*(Income!A$3:A$502=DATE(2026,5,3)),ROW(Income!A$3:A$502)-2),4)),0))</f>
        <v/>
      </c>
      <c r="P92" s="38" t="str">
        <f aca="false">IF(IFERROR(INDEX(Expenses!B$3:B$1002,SMALL(IF((Expenses!E$3:E$1002="GBP")*(Expenses!A$3:A$1002=DATE(2026,5,3)),ROW(Expenses!A$3:A$1002)-2),4)),"")&lt;&gt;"",IFERROR(INDEX(Expenses!B$3:B$1002,SMALL(IF((Expenses!E$3:E$1002="GBP")*(Expenses!A$3:A$1002=DATE(2026,5,3)),ROW(Expenses!A$3:A$1002)-2),4)),""),IF(IFERROR(INDEX(Income!B$3:B$502,SMALL(IF((Income!D$3:D$502="GBP")*(Income!A$3:A$502=DATE(2026,5,3)),ROW(Income!A$3:A$502)-2),4)),"")&lt;&gt;"",IFERROR(INDEX(Income!B$3:B$502,SMALL(IF((Income!D$3:D$502="GBP")*(Income!A$3:A$502=DATE(2026,5,3)),ROW(Income!A$3:A$502)-2),4)),""),""))</f>
        <v/>
      </c>
      <c r="Q92" s="16"/>
      <c r="R92" s="16"/>
    </row>
    <row r="93" customFormat="false" ht="15" hidden="false" customHeight="false" outlineLevel="0" collapsed="false">
      <c r="A93" s="16"/>
      <c r="B93" s="16"/>
      <c r="C93" s="62" t="str">
        <f aca="false">IF(IFERROR(-INDEX(Expenses!D$3:D$1002,SMALL(IF((Expenses!E$3:E$1002="GBP")*(Expenses!A$3:A$1002=DATE(2026,4,27)),ROW(Expenses!A$3:A$1002)-2),5)),0)+IFERROR(INDEX(Income!C$3:C$502,SMALL(IF((Income!D$3:D$502="GBP")*(Income!A$3:A$502=DATE(2026,4,27)),ROW(Income!A$3:A$502)-2),5)),0)=0,"",IFERROR(-INDEX(Expenses!D$3:D$1002,SMALL(IF((Expenses!E$3:E$1002="GBP")*(Expenses!A$3:A$1002=DATE(2026,4,27)),ROW(Expenses!A$3:A$1002)-2),5)),0)+IFERROR(INDEX(Income!C$3:C$502,SMALL(IF((Income!D$3:D$502="GBP")*(Income!A$3:A$502=DATE(2026,4,27)),ROW(Income!A$3:A$502)-2),5)),0))</f>
        <v/>
      </c>
      <c r="D93" s="38" t="str">
        <f aca="false">IF(IFERROR(INDEX(Expenses!B$3:B$1002,SMALL(IF((Expenses!E$3:E$1002="GBP")*(Expenses!A$3:A$1002=DATE(2026,4,27)),ROW(Expenses!A$3:A$1002)-2),5)),"")&lt;&gt;"",IFERROR(INDEX(Expenses!B$3:B$1002,SMALL(IF((Expenses!E$3:E$1002="GBP")*(Expenses!A$3:A$1002=DATE(2026,4,27)),ROW(Expenses!A$3:A$1002)-2),5)),""),IF(IFERROR(INDEX(Income!B$3:B$502,SMALL(IF((Income!D$3:D$502="GBP")*(Income!A$3:A$502=DATE(2026,4,27)),ROW(Income!A$3:A$502)-2),5)),"")&lt;&gt;"",IFERROR(INDEX(Income!B$3:B$502,SMALL(IF((Income!D$3:D$502="GBP")*(Income!A$3:A$502=DATE(2026,4,27)),ROW(Income!A$3:A$502)-2),5)),""),""))</f>
        <v/>
      </c>
      <c r="E93" s="62" t="str">
        <f aca="false">IF(IFERROR(-INDEX(Expenses!D$3:D$1002,SMALL(IF((Expenses!E$3:E$1002="GBP")*(Expenses!A$3:A$1002=DATE(2026,4,28)),ROW(Expenses!A$3:A$1002)-2),5)),0)+IFERROR(INDEX(Income!C$3:C$502,SMALL(IF((Income!D$3:D$502="GBP")*(Income!A$3:A$502=DATE(2026,4,28)),ROW(Income!A$3:A$502)-2),5)),0)=0,"",IFERROR(-INDEX(Expenses!D$3:D$1002,SMALL(IF((Expenses!E$3:E$1002="GBP")*(Expenses!A$3:A$1002=DATE(2026,4,28)),ROW(Expenses!A$3:A$1002)-2),5)),0)+IFERROR(INDEX(Income!C$3:C$502,SMALL(IF((Income!D$3:D$502="GBP")*(Income!A$3:A$502=DATE(2026,4,28)),ROW(Income!A$3:A$502)-2),5)),0))</f>
        <v/>
      </c>
      <c r="F93" s="38" t="str">
        <f aca="false">IF(IFERROR(INDEX(Expenses!B$3:B$1002,SMALL(IF((Expenses!E$3:E$1002="GBP")*(Expenses!A$3:A$1002=DATE(2026,4,28)),ROW(Expenses!A$3:A$1002)-2),5)),"")&lt;&gt;"",IFERROR(INDEX(Expenses!B$3:B$1002,SMALL(IF((Expenses!E$3:E$1002="GBP")*(Expenses!A$3:A$1002=DATE(2026,4,28)),ROW(Expenses!A$3:A$1002)-2),5)),""),IF(IFERROR(INDEX(Income!B$3:B$502,SMALL(IF((Income!D$3:D$502="GBP")*(Income!A$3:A$502=DATE(2026,4,28)),ROW(Income!A$3:A$502)-2),5)),"")&lt;&gt;"",IFERROR(INDEX(Income!B$3:B$502,SMALL(IF((Income!D$3:D$502="GBP")*(Income!A$3:A$502=DATE(2026,4,28)),ROW(Income!A$3:A$502)-2),5)),""),""))</f>
        <v/>
      </c>
      <c r="G93" s="62" t="str">
        <f aca="false">IF(IFERROR(-INDEX(Expenses!D$3:D$1002,SMALL(IF((Expenses!E$3:E$1002="GBP")*(Expenses!A$3:A$1002=DATE(2026,4,29)),ROW(Expenses!A$3:A$1002)-2),5)),0)+IFERROR(INDEX(Income!C$3:C$502,SMALL(IF((Income!D$3:D$502="GBP")*(Income!A$3:A$502=DATE(2026,4,29)),ROW(Income!A$3:A$502)-2),5)),0)=0,"",IFERROR(-INDEX(Expenses!D$3:D$1002,SMALL(IF((Expenses!E$3:E$1002="GBP")*(Expenses!A$3:A$1002=DATE(2026,4,29)),ROW(Expenses!A$3:A$1002)-2),5)),0)+IFERROR(INDEX(Income!C$3:C$502,SMALL(IF((Income!D$3:D$502="GBP")*(Income!A$3:A$502=DATE(2026,4,29)),ROW(Income!A$3:A$502)-2),5)),0))</f>
        <v/>
      </c>
      <c r="H93" s="38" t="str">
        <f aca="false">IF(IFERROR(INDEX(Expenses!B$3:B$1002,SMALL(IF((Expenses!E$3:E$1002="GBP")*(Expenses!A$3:A$1002=DATE(2026,4,29)),ROW(Expenses!A$3:A$1002)-2),5)),"")&lt;&gt;"",IFERROR(INDEX(Expenses!B$3:B$1002,SMALL(IF((Expenses!E$3:E$1002="GBP")*(Expenses!A$3:A$1002=DATE(2026,4,29)),ROW(Expenses!A$3:A$1002)-2),5)),""),IF(IFERROR(INDEX(Income!B$3:B$502,SMALL(IF((Income!D$3:D$502="GBP")*(Income!A$3:A$502=DATE(2026,4,29)),ROW(Income!A$3:A$502)-2),5)),"")&lt;&gt;"",IFERROR(INDEX(Income!B$3:B$502,SMALL(IF((Income!D$3:D$502="GBP")*(Income!A$3:A$502=DATE(2026,4,29)),ROW(Income!A$3:A$502)-2),5)),""),""))</f>
        <v/>
      </c>
      <c r="I93" s="62" t="str">
        <f aca="false">IF(IFERROR(-INDEX(Expenses!D$3:D$1002,SMALL(IF((Expenses!E$3:E$1002="GBP")*(Expenses!A$3:A$1002=DATE(2026,4,30)),ROW(Expenses!A$3:A$1002)-2),5)),0)+IFERROR(INDEX(Income!C$3:C$502,SMALL(IF((Income!D$3:D$502="GBP")*(Income!A$3:A$502=DATE(2026,4,30)),ROW(Income!A$3:A$502)-2),5)),0)=0,"",IFERROR(-INDEX(Expenses!D$3:D$1002,SMALL(IF((Expenses!E$3:E$1002="GBP")*(Expenses!A$3:A$1002=DATE(2026,4,30)),ROW(Expenses!A$3:A$1002)-2),5)),0)+IFERROR(INDEX(Income!C$3:C$502,SMALL(IF((Income!D$3:D$502="GBP")*(Income!A$3:A$502=DATE(2026,4,30)),ROW(Income!A$3:A$502)-2),5)),0))</f>
        <v/>
      </c>
      <c r="J93" s="38" t="str">
        <f aca="false">IF(IFERROR(INDEX(Expenses!B$3:B$1002,SMALL(IF((Expenses!E$3:E$1002="GBP")*(Expenses!A$3:A$1002=DATE(2026,4,30)),ROW(Expenses!A$3:A$1002)-2),5)),"")&lt;&gt;"",IFERROR(INDEX(Expenses!B$3:B$1002,SMALL(IF((Expenses!E$3:E$1002="GBP")*(Expenses!A$3:A$1002=DATE(2026,4,30)),ROW(Expenses!A$3:A$1002)-2),5)),""),IF(IFERROR(INDEX(Income!B$3:B$502,SMALL(IF((Income!D$3:D$502="GBP")*(Income!A$3:A$502=DATE(2026,4,30)),ROW(Income!A$3:A$502)-2),5)),"")&lt;&gt;"",IFERROR(INDEX(Income!B$3:B$502,SMALL(IF((Income!D$3:D$502="GBP")*(Income!A$3:A$502=DATE(2026,4,30)),ROW(Income!A$3:A$502)-2),5)),""),""))</f>
        <v/>
      </c>
      <c r="K93" s="62" t="str">
        <f aca="false">IF(IFERROR(-INDEX(Expenses!D$3:D$1002,SMALL(IF((Expenses!E$3:E$1002="GBP")*(Expenses!A$3:A$1002=DATE(2026,5,1)),ROW(Expenses!A$3:A$1002)-2),5)),0)+IFERROR(INDEX(Income!C$3:C$502,SMALL(IF((Income!D$3:D$502="GBP")*(Income!A$3:A$502=DATE(2026,5,1)),ROW(Income!A$3:A$502)-2),5)),0)=0,"",IFERROR(-INDEX(Expenses!D$3:D$1002,SMALL(IF((Expenses!E$3:E$1002="GBP")*(Expenses!A$3:A$1002=DATE(2026,5,1)),ROW(Expenses!A$3:A$1002)-2),5)),0)+IFERROR(INDEX(Income!C$3:C$502,SMALL(IF((Income!D$3:D$502="GBP")*(Income!A$3:A$502=DATE(2026,5,1)),ROW(Income!A$3:A$502)-2),5)),0))</f>
        <v/>
      </c>
      <c r="L93" s="38" t="str">
        <f aca="false">IF(IFERROR(INDEX(Expenses!B$3:B$1002,SMALL(IF((Expenses!E$3:E$1002="GBP")*(Expenses!A$3:A$1002=DATE(2026,5,1)),ROW(Expenses!A$3:A$1002)-2),5)),"")&lt;&gt;"",IFERROR(INDEX(Expenses!B$3:B$1002,SMALL(IF((Expenses!E$3:E$1002="GBP")*(Expenses!A$3:A$1002=DATE(2026,5,1)),ROW(Expenses!A$3:A$1002)-2),5)),""),IF(IFERROR(INDEX(Income!B$3:B$502,SMALL(IF((Income!D$3:D$502="GBP")*(Income!A$3:A$502=DATE(2026,5,1)),ROW(Income!A$3:A$502)-2),5)),"")&lt;&gt;"",IFERROR(INDEX(Income!B$3:B$502,SMALL(IF((Income!D$3:D$502="GBP")*(Income!A$3:A$502=DATE(2026,5,1)),ROW(Income!A$3:A$502)-2),5)),""),""))</f>
        <v/>
      </c>
      <c r="M93" s="62" t="str">
        <f aca="false">IF(IFERROR(-INDEX(Expenses!D$3:D$1002,SMALL(IF((Expenses!E$3:E$1002="GBP")*(Expenses!A$3:A$1002=DATE(2026,5,2)),ROW(Expenses!A$3:A$1002)-2),5)),0)+IFERROR(INDEX(Income!C$3:C$502,SMALL(IF((Income!D$3:D$502="GBP")*(Income!A$3:A$502=DATE(2026,5,2)),ROW(Income!A$3:A$502)-2),5)),0)=0,"",IFERROR(-INDEX(Expenses!D$3:D$1002,SMALL(IF((Expenses!E$3:E$1002="GBP")*(Expenses!A$3:A$1002=DATE(2026,5,2)),ROW(Expenses!A$3:A$1002)-2),5)),0)+IFERROR(INDEX(Income!C$3:C$502,SMALL(IF((Income!D$3:D$502="GBP")*(Income!A$3:A$502=DATE(2026,5,2)),ROW(Income!A$3:A$502)-2),5)),0))</f>
        <v/>
      </c>
      <c r="N93" s="38" t="str">
        <f aca="false">IF(IFERROR(INDEX(Expenses!B$3:B$1002,SMALL(IF((Expenses!E$3:E$1002="GBP")*(Expenses!A$3:A$1002=DATE(2026,5,2)),ROW(Expenses!A$3:A$1002)-2),5)),"")&lt;&gt;"",IFERROR(INDEX(Expenses!B$3:B$1002,SMALL(IF((Expenses!E$3:E$1002="GBP")*(Expenses!A$3:A$1002=DATE(2026,5,2)),ROW(Expenses!A$3:A$1002)-2),5)),""),IF(IFERROR(INDEX(Income!B$3:B$502,SMALL(IF((Income!D$3:D$502="GBP")*(Income!A$3:A$502=DATE(2026,5,2)),ROW(Income!A$3:A$502)-2),5)),"")&lt;&gt;"",IFERROR(INDEX(Income!B$3:B$502,SMALL(IF((Income!D$3:D$502="GBP")*(Income!A$3:A$502=DATE(2026,5,2)),ROW(Income!A$3:A$502)-2),5)),""),""))</f>
        <v/>
      </c>
      <c r="O93" s="62" t="str">
        <f aca="false">IF(IFERROR(-INDEX(Expenses!D$3:D$1002,SMALL(IF((Expenses!E$3:E$1002="GBP")*(Expenses!A$3:A$1002=DATE(2026,5,3)),ROW(Expenses!A$3:A$1002)-2),5)),0)+IFERROR(INDEX(Income!C$3:C$502,SMALL(IF((Income!D$3:D$502="GBP")*(Income!A$3:A$502=DATE(2026,5,3)),ROW(Income!A$3:A$502)-2),5)),0)=0,"",IFERROR(-INDEX(Expenses!D$3:D$1002,SMALL(IF((Expenses!E$3:E$1002="GBP")*(Expenses!A$3:A$1002=DATE(2026,5,3)),ROW(Expenses!A$3:A$1002)-2),5)),0)+IFERROR(INDEX(Income!C$3:C$502,SMALL(IF((Income!D$3:D$502="GBP")*(Income!A$3:A$502=DATE(2026,5,3)),ROW(Income!A$3:A$502)-2),5)),0))</f>
        <v/>
      </c>
      <c r="P93" s="38" t="str">
        <f aca="false">IF(IFERROR(INDEX(Expenses!B$3:B$1002,SMALL(IF((Expenses!E$3:E$1002="GBP")*(Expenses!A$3:A$1002=DATE(2026,5,3)),ROW(Expenses!A$3:A$1002)-2),5)),"")&lt;&gt;"",IFERROR(INDEX(Expenses!B$3:B$1002,SMALL(IF((Expenses!E$3:E$1002="GBP")*(Expenses!A$3:A$1002=DATE(2026,5,3)),ROW(Expenses!A$3:A$1002)-2),5)),""),IF(IFERROR(INDEX(Income!B$3:B$502,SMALL(IF((Income!D$3:D$502="GBP")*(Income!A$3:A$502=DATE(2026,5,3)),ROW(Income!A$3:A$502)-2),5)),"")&lt;&gt;"",IFERROR(INDEX(Income!B$3:B$502,SMALL(IF((Income!D$3:D$502="GBP")*(Income!A$3:A$502=DATE(2026,5,3)),ROW(Income!A$3:A$502)-2),5)),""),""))</f>
        <v/>
      </c>
      <c r="Q93" s="16"/>
      <c r="R93" s="16"/>
    </row>
    <row r="94" customFormat="false" ht="15" hidden="false" customHeight="false" outlineLevel="0" collapsed="false">
      <c r="A94" s="61" t="n">
        <v>46146</v>
      </c>
      <c r="B94" s="3" t="n">
        <v>19</v>
      </c>
      <c r="C94" s="62" t="str">
        <f aca="false">IF(IFERROR(-INDEX(Expenses!D$3:D$1002,SMALL(IF((Expenses!E$3:E$1002="GBP")*(Expenses!A$3:A$1002=DATE(2026,5,4)),ROW(Expenses!A$3:A$1002)-2),1)),0)+IFERROR(INDEX(Income!C$3:C$502,SMALL(IF((Income!D$3:D$502="GBP")*(Income!A$3:A$502=DATE(2026,5,4)),ROW(Income!A$3:A$502)-2),1)),0)=0,"",IFERROR(-INDEX(Expenses!D$3:D$1002,SMALL(IF((Expenses!E$3:E$1002="GBP")*(Expenses!A$3:A$1002=DATE(2026,5,4)),ROW(Expenses!A$3:A$1002)-2),1)),0)+IFERROR(INDEX(Income!C$3:C$502,SMALL(IF((Income!D$3:D$502="GBP")*(Income!A$3:A$502=DATE(2026,5,4)),ROW(Income!A$3:A$502)-2),1)),0))</f>
        <v/>
      </c>
      <c r="D94" s="38" t="str">
        <f aca="false">IF(IFERROR(INDEX(Expenses!B$3:B$1002,SMALL(IF((Expenses!E$3:E$1002="GBP")*(Expenses!A$3:A$1002=DATE(2026,5,4)),ROW(Expenses!A$3:A$1002)-2),1)),"")&lt;&gt;"",IFERROR(INDEX(Expenses!B$3:B$1002,SMALL(IF((Expenses!E$3:E$1002="GBP")*(Expenses!A$3:A$1002=DATE(2026,5,4)),ROW(Expenses!A$3:A$1002)-2),1)),""),IF(IFERROR(INDEX(Income!B$3:B$502,SMALL(IF((Income!D$3:D$502="GBP")*(Income!A$3:A$502=DATE(2026,5,4)),ROW(Income!A$3:A$502)-2),1)),"")&lt;&gt;"",IFERROR(INDEX(Income!B$3:B$502,SMALL(IF((Income!D$3:D$502="GBP")*(Income!A$3:A$502=DATE(2026,5,4)),ROW(Income!A$3:A$502)-2),1)),""),""))</f>
        <v/>
      </c>
      <c r="E94" s="62" t="str">
        <f aca="false">IF(IFERROR(-INDEX(Expenses!D$3:D$1002,SMALL(IF((Expenses!E$3:E$1002="GBP")*(Expenses!A$3:A$1002=DATE(2026,5,5)),ROW(Expenses!A$3:A$1002)-2),1)),0)+IFERROR(INDEX(Income!C$3:C$502,SMALL(IF((Income!D$3:D$502="GBP")*(Income!A$3:A$502=DATE(2026,5,5)),ROW(Income!A$3:A$502)-2),1)),0)=0,"",IFERROR(-INDEX(Expenses!D$3:D$1002,SMALL(IF((Expenses!E$3:E$1002="GBP")*(Expenses!A$3:A$1002=DATE(2026,5,5)),ROW(Expenses!A$3:A$1002)-2),1)),0)+IFERROR(INDEX(Income!C$3:C$502,SMALL(IF((Income!D$3:D$502="GBP")*(Income!A$3:A$502=DATE(2026,5,5)),ROW(Income!A$3:A$502)-2),1)),0))</f>
        <v/>
      </c>
      <c r="F94" s="38" t="str">
        <f aca="false">IF(IFERROR(INDEX(Expenses!B$3:B$1002,SMALL(IF((Expenses!E$3:E$1002="GBP")*(Expenses!A$3:A$1002=DATE(2026,5,5)),ROW(Expenses!A$3:A$1002)-2),1)),"")&lt;&gt;"",IFERROR(INDEX(Expenses!B$3:B$1002,SMALL(IF((Expenses!E$3:E$1002="GBP")*(Expenses!A$3:A$1002=DATE(2026,5,5)),ROW(Expenses!A$3:A$1002)-2),1)),""),IF(IFERROR(INDEX(Income!B$3:B$502,SMALL(IF((Income!D$3:D$502="GBP")*(Income!A$3:A$502=DATE(2026,5,5)),ROW(Income!A$3:A$502)-2),1)),"")&lt;&gt;"",IFERROR(INDEX(Income!B$3:B$502,SMALL(IF((Income!D$3:D$502="GBP")*(Income!A$3:A$502=DATE(2026,5,5)),ROW(Income!A$3:A$502)-2),1)),""),""))</f>
        <v/>
      </c>
      <c r="G94" s="62" t="str">
        <f aca="false">IF(IFERROR(-INDEX(Expenses!D$3:D$1002,SMALL(IF((Expenses!E$3:E$1002="GBP")*(Expenses!A$3:A$1002=DATE(2026,5,6)),ROW(Expenses!A$3:A$1002)-2),1)),0)+IFERROR(INDEX(Income!C$3:C$502,SMALL(IF((Income!D$3:D$502="GBP")*(Income!A$3:A$502=DATE(2026,5,6)),ROW(Income!A$3:A$502)-2),1)),0)=0,"",IFERROR(-INDEX(Expenses!D$3:D$1002,SMALL(IF((Expenses!E$3:E$1002="GBP")*(Expenses!A$3:A$1002=DATE(2026,5,6)),ROW(Expenses!A$3:A$1002)-2),1)),0)+IFERROR(INDEX(Income!C$3:C$502,SMALL(IF((Income!D$3:D$502="GBP")*(Income!A$3:A$502=DATE(2026,5,6)),ROW(Income!A$3:A$502)-2),1)),0))</f>
        <v/>
      </c>
      <c r="H94" s="38" t="str">
        <f aca="false">IF(IFERROR(INDEX(Expenses!B$3:B$1002,SMALL(IF((Expenses!E$3:E$1002="GBP")*(Expenses!A$3:A$1002=DATE(2026,5,6)),ROW(Expenses!A$3:A$1002)-2),1)),"")&lt;&gt;"",IFERROR(INDEX(Expenses!B$3:B$1002,SMALL(IF((Expenses!E$3:E$1002="GBP")*(Expenses!A$3:A$1002=DATE(2026,5,6)),ROW(Expenses!A$3:A$1002)-2),1)),""),IF(IFERROR(INDEX(Income!B$3:B$502,SMALL(IF((Income!D$3:D$502="GBP")*(Income!A$3:A$502=DATE(2026,5,6)),ROW(Income!A$3:A$502)-2),1)),"")&lt;&gt;"",IFERROR(INDEX(Income!B$3:B$502,SMALL(IF((Income!D$3:D$502="GBP")*(Income!A$3:A$502=DATE(2026,5,6)),ROW(Income!A$3:A$502)-2),1)),""),""))</f>
        <v/>
      </c>
      <c r="I94" s="62" t="str">
        <f aca="false">IF(IFERROR(-INDEX(Expenses!D$3:D$1002,SMALL(IF((Expenses!E$3:E$1002="GBP")*(Expenses!A$3:A$1002=DATE(2026,5,7)),ROW(Expenses!A$3:A$1002)-2),1)),0)+IFERROR(INDEX(Income!C$3:C$502,SMALL(IF((Income!D$3:D$502="GBP")*(Income!A$3:A$502=DATE(2026,5,7)),ROW(Income!A$3:A$502)-2),1)),0)=0,"",IFERROR(-INDEX(Expenses!D$3:D$1002,SMALL(IF((Expenses!E$3:E$1002="GBP")*(Expenses!A$3:A$1002=DATE(2026,5,7)),ROW(Expenses!A$3:A$1002)-2),1)),0)+IFERROR(INDEX(Income!C$3:C$502,SMALL(IF((Income!D$3:D$502="GBP")*(Income!A$3:A$502=DATE(2026,5,7)),ROW(Income!A$3:A$502)-2),1)),0))</f>
        <v/>
      </c>
      <c r="J94" s="38" t="str">
        <f aca="false">IF(IFERROR(INDEX(Expenses!B$3:B$1002,SMALL(IF((Expenses!E$3:E$1002="GBP")*(Expenses!A$3:A$1002=DATE(2026,5,7)),ROW(Expenses!A$3:A$1002)-2),1)),"")&lt;&gt;"",IFERROR(INDEX(Expenses!B$3:B$1002,SMALL(IF((Expenses!E$3:E$1002="GBP")*(Expenses!A$3:A$1002=DATE(2026,5,7)),ROW(Expenses!A$3:A$1002)-2),1)),""),IF(IFERROR(INDEX(Income!B$3:B$502,SMALL(IF((Income!D$3:D$502="GBP")*(Income!A$3:A$502=DATE(2026,5,7)),ROW(Income!A$3:A$502)-2),1)),"")&lt;&gt;"",IFERROR(INDEX(Income!B$3:B$502,SMALL(IF((Income!D$3:D$502="GBP")*(Income!A$3:A$502=DATE(2026,5,7)),ROW(Income!A$3:A$502)-2),1)),""),""))</f>
        <v/>
      </c>
      <c r="K94" s="62" t="str">
        <f aca="false">IF(IFERROR(-INDEX(Expenses!D$3:D$1002,SMALL(IF((Expenses!E$3:E$1002="GBP")*(Expenses!A$3:A$1002=DATE(2026,5,8)),ROW(Expenses!A$3:A$1002)-2),1)),0)+IFERROR(INDEX(Income!C$3:C$502,SMALL(IF((Income!D$3:D$502="GBP")*(Income!A$3:A$502=DATE(2026,5,8)),ROW(Income!A$3:A$502)-2),1)),0)=0,"",IFERROR(-INDEX(Expenses!D$3:D$1002,SMALL(IF((Expenses!E$3:E$1002="GBP")*(Expenses!A$3:A$1002=DATE(2026,5,8)),ROW(Expenses!A$3:A$1002)-2),1)),0)+IFERROR(INDEX(Income!C$3:C$502,SMALL(IF((Income!D$3:D$502="GBP")*(Income!A$3:A$502=DATE(2026,5,8)),ROW(Income!A$3:A$502)-2),1)),0))</f>
        <v/>
      </c>
      <c r="L94" s="38" t="str">
        <f aca="false">IF(IFERROR(INDEX(Expenses!B$3:B$1002,SMALL(IF((Expenses!E$3:E$1002="GBP")*(Expenses!A$3:A$1002=DATE(2026,5,8)),ROW(Expenses!A$3:A$1002)-2),1)),"")&lt;&gt;"",IFERROR(INDEX(Expenses!B$3:B$1002,SMALL(IF((Expenses!E$3:E$1002="GBP")*(Expenses!A$3:A$1002=DATE(2026,5,8)),ROW(Expenses!A$3:A$1002)-2),1)),""),IF(IFERROR(INDEX(Income!B$3:B$502,SMALL(IF((Income!D$3:D$502="GBP")*(Income!A$3:A$502=DATE(2026,5,8)),ROW(Income!A$3:A$502)-2),1)),"")&lt;&gt;"",IFERROR(INDEX(Income!B$3:B$502,SMALL(IF((Income!D$3:D$502="GBP")*(Income!A$3:A$502=DATE(2026,5,8)),ROW(Income!A$3:A$502)-2),1)),""),""))</f>
        <v/>
      </c>
      <c r="M94" s="62" t="str">
        <f aca="false">IF(IFERROR(-INDEX(Expenses!D$3:D$1002,SMALL(IF((Expenses!E$3:E$1002="GBP")*(Expenses!A$3:A$1002=DATE(2026,5,9)),ROW(Expenses!A$3:A$1002)-2),1)),0)+IFERROR(INDEX(Income!C$3:C$502,SMALL(IF((Income!D$3:D$502="GBP")*(Income!A$3:A$502=DATE(2026,5,9)),ROW(Income!A$3:A$502)-2),1)),0)=0,"",IFERROR(-INDEX(Expenses!D$3:D$1002,SMALL(IF((Expenses!E$3:E$1002="GBP")*(Expenses!A$3:A$1002=DATE(2026,5,9)),ROW(Expenses!A$3:A$1002)-2),1)),0)+IFERROR(INDEX(Income!C$3:C$502,SMALL(IF((Income!D$3:D$502="GBP")*(Income!A$3:A$502=DATE(2026,5,9)),ROW(Income!A$3:A$502)-2),1)),0))</f>
        <v/>
      </c>
      <c r="N94" s="38" t="str">
        <f aca="false">IF(IFERROR(INDEX(Expenses!B$3:B$1002,SMALL(IF((Expenses!E$3:E$1002="GBP")*(Expenses!A$3:A$1002=DATE(2026,5,9)),ROW(Expenses!A$3:A$1002)-2),1)),"")&lt;&gt;"",IFERROR(INDEX(Expenses!B$3:B$1002,SMALL(IF((Expenses!E$3:E$1002="GBP")*(Expenses!A$3:A$1002=DATE(2026,5,9)),ROW(Expenses!A$3:A$1002)-2),1)),""),IF(IFERROR(INDEX(Income!B$3:B$502,SMALL(IF((Income!D$3:D$502="GBP")*(Income!A$3:A$502=DATE(2026,5,9)),ROW(Income!A$3:A$502)-2),1)),"")&lt;&gt;"",IFERROR(INDEX(Income!B$3:B$502,SMALL(IF((Income!D$3:D$502="GBP")*(Income!A$3:A$502=DATE(2026,5,9)),ROW(Income!A$3:A$502)-2),1)),""),""))</f>
        <v/>
      </c>
      <c r="O94" s="62" t="str">
        <f aca="false">IF(IFERROR(-INDEX(Expenses!D$3:D$1002,SMALL(IF((Expenses!E$3:E$1002="GBP")*(Expenses!A$3:A$1002=DATE(2026,5,10)),ROW(Expenses!A$3:A$1002)-2),1)),0)+IFERROR(INDEX(Income!C$3:C$502,SMALL(IF((Income!D$3:D$502="GBP")*(Income!A$3:A$502=DATE(2026,5,10)),ROW(Income!A$3:A$502)-2),1)),0)=0,"",IFERROR(-INDEX(Expenses!D$3:D$1002,SMALL(IF((Expenses!E$3:E$1002="GBP")*(Expenses!A$3:A$1002=DATE(2026,5,10)),ROW(Expenses!A$3:A$1002)-2),1)),0)+IFERROR(INDEX(Income!C$3:C$502,SMALL(IF((Income!D$3:D$502="GBP")*(Income!A$3:A$502=DATE(2026,5,10)),ROW(Income!A$3:A$502)-2),1)),0))</f>
        <v/>
      </c>
      <c r="P94" s="38" t="str">
        <f aca="false">IF(IFERROR(INDEX(Expenses!B$3:B$1002,SMALL(IF((Expenses!E$3:E$1002="GBP")*(Expenses!A$3:A$1002=DATE(2026,5,10)),ROW(Expenses!A$3:A$1002)-2),1)),"")&lt;&gt;"",IFERROR(INDEX(Expenses!B$3:B$1002,SMALL(IF((Expenses!E$3:E$1002="GBP")*(Expenses!A$3:A$1002=DATE(2026,5,10)),ROW(Expenses!A$3:A$1002)-2),1)),""),IF(IFERROR(INDEX(Income!B$3:B$502,SMALL(IF((Income!D$3:D$502="GBP")*(Income!A$3:A$502=DATE(2026,5,10)),ROW(Income!A$3:A$502)-2),1)),"")&lt;&gt;"",IFERROR(INDEX(Income!B$3:B$502,SMALL(IF((Income!D$3:D$502="GBP")*(Income!A$3:A$502=DATE(2026,5,10)),ROW(Income!A$3:A$502)-2),1)),""),""))</f>
        <v/>
      </c>
      <c r="Q94" s="3" t="n">
        <v>19</v>
      </c>
      <c r="R94" s="45" t="n">
        <f aca="false">SUM(C94:C98)+SUM(E94:E98)+SUM(G94:G98)+SUM(I94:I98)+SUM(K94:K98)+SUM(M94:M98)+SUM(O94:O98)</f>
        <v>0</v>
      </c>
    </row>
    <row r="95" customFormat="false" ht="15" hidden="false" customHeight="false" outlineLevel="0" collapsed="false">
      <c r="A95" s="16"/>
      <c r="B95" s="16"/>
      <c r="C95" s="62" t="str">
        <f aca="false">IF(IFERROR(-INDEX(Expenses!D$3:D$1002,SMALL(IF((Expenses!E$3:E$1002="GBP")*(Expenses!A$3:A$1002=DATE(2026,5,4)),ROW(Expenses!A$3:A$1002)-2),2)),0)+IFERROR(INDEX(Income!C$3:C$502,SMALL(IF((Income!D$3:D$502="GBP")*(Income!A$3:A$502=DATE(2026,5,4)),ROW(Income!A$3:A$502)-2),2)),0)=0,"",IFERROR(-INDEX(Expenses!D$3:D$1002,SMALL(IF((Expenses!E$3:E$1002="GBP")*(Expenses!A$3:A$1002=DATE(2026,5,4)),ROW(Expenses!A$3:A$1002)-2),2)),0)+IFERROR(INDEX(Income!C$3:C$502,SMALL(IF((Income!D$3:D$502="GBP")*(Income!A$3:A$502=DATE(2026,5,4)),ROW(Income!A$3:A$502)-2),2)),0))</f>
        <v/>
      </c>
      <c r="D95" s="38" t="str">
        <f aca="false">IF(IFERROR(INDEX(Expenses!B$3:B$1002,SMALL(IF((Expenses!E$3:E$1002="GBP")*(Expenses!A$3:A$1002=DATE(2026,5,4)),ROW(Expenses!A$3:A$1002)-2),2)),"")&lt;&gt;"",IFERROR(INDEX(Expenses!B$3:B$1002,SMALL(IF((Expenses!E$3:E$1002="GBP")*(Expenses!A$3:A$1002=DATE(2026,5,4)),ROW(Expenses!A$3:A$1002)-2),2)),""),IF(IFERROR(INDEX(Income!B$3:B$502,SMALL(IF((Income!D$3:D$502="GBP")*(Income!A$3:A$502=DATE(2026,5,4)),ROW(Income!A$3:A$502)-2),2)),"")&lt;&gt;"",IFERROR(INDEX(Income!B$3:B$502,SMALL(IF((Income!D$3:D$502="GBP")*(Income!A$3:A$502=DATE(2026,5,4)),ROW(Income!A$3:A$502)-2),2)),""),""))</f>
        <v/>
      </c>
      <c r="E95" s="62" t="str">
        <f aca="false">IF(IFERROR(-INDEX(Expenses!D$3:D$1002,SMALL(IF((Expenses!E$3:E$1002="GBP")*(Expenses!A$3:A$1002=DATE(2026,5,5)),ROW(Expenses!A$3:A$1002)-2),2)),0)+IFERROR(INDEX(Income!C$3:C$502,SMALL(IF((Income!D$3:D$502="GBP")*(Income!A$3:A$502=DATE(2026,5,5)),ROW(Income!A$3:A$502)-2),2)),0)=0,"",IFERROR(-INDEX(Expenses!D$3:D$1002,SMALL(IF((Expenses!E$3:E$1002="GBP")*(Expenses!A$3:A$1002=DATE(2026,5,5)),ROW(Expenses!A$3:A$1002)-2),2)),0)+IFERROR(INDEX(Income!C$3:C$502,SMALL(IF((Income!D$3:D$502="GBP")*(Income!A$3:A$502=DATE(2026,5,5)),ROW(Income!A$3:A$502)-2),2)),0))</f>
        <v/>
      </c>
      <c r="F95" s="38" t="str">
        <f aca="false">IF(IFERROR(INDEX(Expenses!B$3:B$1002,SMALL(IF((Expenses!E$3:E$1002="GBP")*(Expenses!A$3:A$1002=DATE(2026,5,5)),ROW(Expenses!A$3:A$1002)-2),2)),"")&lt;&gt;"",IFERROR(INDEX(Expenses!B$3:B$1002,SMALL(IF((Expenses!E$3:E$1002="GBP")*(Expenses!A$3:A$1002=DATE(2026,5,5)),ROW(Expenses!A$3:A$1002)-2),2)),""),IF(IFERROR(INDEX(Income!B$3:B$502,SMALL(IF((Income!D$3:D$502="GBP")*(Income!A$3:A$502=DATE(2026,5,5)),ROW(Income!A$3:A$502)-2),2)),"")&lt;&gt;"",IFERROR(INDEX(Income!B$3:B$502,SMALL(IF((Income!D$3:D$502="GBP")*(Income!A$3:A$502=DATE(2026,5,5)),ROW(Income!A$3:A$502)-2),2)),""),""))</f>
        <v/>
      </c>
      <c r="G95" s="62" t="str">
        <f aca="false">IF(IFERROR(-INDEX(Expenses!D$3:D$1002,SMALL(IF((Expenses!E$3:E$1002="GBP")*(Expenses!A$3:A$1002=DATE(2026,5,6)),ROW(Expenses!A$3:A$1002)-2),2)),0)+IFERROR(INDEX(Income!C$3:C$502,SMALL(IF((Income!D$3:D$502="GBP")*(Income!A$3:A$502=DATE(2026,5,6)),ROW(Income!A$3:A$502)-2),2)),0)=0,"",IFERROR(-INDEX(Expenses!D$3:D$1002,SMALL(IF((Expenses!E$3:E$1002="GBP")*(Expenses!A$3:A$1002=DATE(2026,5,6)),ROW(Expenses!A$3:A$1002)-2),2)),0)+IFERROR(INDEX(Income!C$3:C$502,SMALL(IF((Income!D$3:D$502="GBP")*(Income!A$3:A$502=DATE(2026,5,6)),ROW(Income!A$3:A$502)-2),2)),0))</f>
        <v/>
      </c>
      <c r="H95" s="38" t="str">
        <f aca="false">IF(IFERROR(INDEX(Expenses!B$3:B$1002,SMALL(IF((Expenses!E$3:E$1002="GBP")*(Expenses!A$3:A$1002=DATE(2026,5,6)),ROW(Expenses!A$3:A$1002)-2),2)),"")&lt;&gt;"",IFERROR(INDEX(Expenses!B$3:B$1002,SMALL(IF((Expenses!E$3:E$1002="GBP")*(Expenses!A$3:A$1002=DATE(2026,5,6)),ROW(Expenses!A$3:A$1002)-2),2)),""),IF(IFERROR(INDEX(Income!B$3:B$502,SMALL(IF((Income!D$3:D$502="GBP")*(Income!A$3:A$502=DATE(2026,5,6)),ROW(Income!A$3:A$502)-2),2)),"")&lt;&gt;"",IFERROR(INDEX(Income!B$3:B$502,SMALL(IF((Income!D$3:D$502="GBP")*(Income!A$3:A$502=DATE(2026,5,6)),ROW(Income!A$3:A$502)-2),2)),""),""))</f>
        <v/>
      </c>
      <c r="I95" s="62" t="str">
        <f aca="false">IF(IFERROR(-INDEX(Expenses!D$3:D$1002,SMALL(IF((Expenses!E$3:E$1002="GBP")*(Expenses!A$3:A$1002=DATE(2026,5,7)),ROW(Expenses!A$3:A$1002)-2),2)),0)+IFERROR(INDEX(Income!C$3:C$502,SMALL(IF((Income!D$3:D$502="GBP")*(Income!A$3:A$502=DATE(2026,5,7)),ROW(Income!A$3:A$502)-2),2)),0)=0,"",IFERROR(-INDEX(Expenses!D$3:D$1002,SMALL(IF((Expenses!E$3:E$1002="GBP")*(Expenses!A$3:A$1002=DATE(2026,5,7)),ROW(Expenses!A$3:A$1002)-2),2)),0)+IFERROR(INDEX(Income!C$3:C$502,SMALL(IF((Income!D$3:D$502="GBP")*(Income!A$3:A$502=DATE(2026,5,7)),ROW(Income!A$3:A$502)-2),2)),0))</f>
        <v/>
      </c>
      <c r="J95" s="38" t="str">
        <f aca="false">IF(IFERROR(INDEX(Expenses!B$3:B$1002,SMALL(IF((Expenses!E$3:E$1002="GBP")*(Expenses!A$3:A$1002=DATE(2026,5,7)),ROW(Expenses!A$3:A$1002)-2),2)),"")&lt;&gt;"",IFERROR(INDEX(Expenses!B$3:B$1002,SMALL(IF((Expenses!E$3:E$1002="GBP")*(Expenses!A$3:A$1002=DATE(2026,5,7)),ROW(Expenses!A$3:A$1002)-2),2)),""),IF(IFERROR(INDEX(Income!B$3:B$502,SMALL(IF((Income!D$3:D$502="GBP")*(Income!A$3:A$502=DATE(2026,5,7)),ROW(Income!A$3:A$502)-2),2)),"")&lt;&gt;"",IFERROR(INDEX(Income!B$3:B$502,SMALL(IF((Income!D$3:D$502="GBP")*(Income!A$3:A$502=DATE(2026,5,7)),ROW(Income!A$3:A$502)-2),2)),""),""))</f>
        <v/>
      </c>
      <c r="K95" s="62" t="str">
        <f aca="false">IF(IFERROR(-INDEX(Expenses!D$3:D$1002,SMALL(IF((Expenses!E$3:E$1002="GBP")*(Expenses!A$3:A$1002=DATE(2026,5,8)),ROW(Expenses!A$3:A$1002)-2),2)),0)+IFERROR(INDEX(Income!C$3:C$502,SMALL(IF((Income!D$3:D$502="GBP")*(Income!A$3:A$502=DATE(2026,5,8)),ROW(Income!A$3:A$502)-2),2)),0)=0,"",IFERROR(-INDEX(Expenses!D$3:D$1002,SMALL(IF((Expenses!E$3:E$1002="GBP")*(Expenses!A$3:A$1002=DATE(2026,5,8)),ROW(Expenses!A$3:A$1002)-2),2)),0)+IFERROR(INDEX(Income!C$3:C$502,SMALL(IF((Income!D$3:D$502="GBP")*(Income!A$3:A$502=DATE(2026,5,8)),ROW(Income!A$3:A$502)-2),2)),0))</f>
        <v/>
      </c>
      <c r="L95" s="38" t="str">
        <f aca="false">IF(IFERROR(INDEX(Expenses!B$3:B$1002,SMALL(IF((Expenses!E$3:E$1002="GBP")*(Expenses!A$3:A$1002=DATE(2026,5,8)),ROW(Expenses!A$3:A$1002)-2),2)),"")&lt;&gt;"",IFERROR(INDEX(Expenses!B$3:B$1002,SMALL(IF((Expenses!E$3:E$1002="GBP")*(Expenses!A$3:A$1002=DATE(2026,5,8)),ROW(Expenses!A$3:A$1002)-2),2)),""),IF(IFERROR(INDEX(Income!B$3:B$502,SMALL(IF((Income!D$3:D$502="GBP")*(Income!A$3:A$502=DATE(2026,5,8)),ROW(Income!A$3:A$502)-2),2)),"")&lt;&gt;"",IFERROR(INDEX(Income!B$3:B$502,SMALL(IF((Income!D$3:D$502="GBP")*(Income!A$3:A$502=DATE(2026,5,8)),ROW(Income!A$3:A$502)-2),2)),""),""))</f>
        <v/>
      </c>
      <c r="M95" s="62" t="str">
        <f aca="false">IF(IFERROR(-INDEX(Expenses!D$3:D$1002,SMALL(IF((Expenses!E$3:E$1002="GBP")*(Expenses!A$3:A$1002=DATE(2026,5,9)),ROW(Expenses!A$3:A$1002)-2),2)),0)+IFERROR(INDEX(Income!C$3:C$502,SMALL(IF((Income!D$3:D$502="GBP")*(Income!A$3:A$502=DATE(2026,5,9)),ROW(Income!A$3:A$502)-2),2)),0)=0,"",IFERROR(-INDEX(Expenses!D$3:D$1002,SMALL(IF((Expenses!E$3:E$1002="GBP")*(Expenses!A$3:A$1002=DATE(2026,5,9)),ROW(Expenses!A$3:A$1002)-2),2)),0)+IFERROR(INDEX(Income!C$3:C$502,SMALL(IF((Income!D$3:D$502="GBP")*(Income!A$3:A$502=DATE(2026,5,9)),ROW(Income!A$3:A$502)-2),2)),0))</f>
        <v/>
      </c>
      <c r="N95" s="38" t="str">
        <f aca="false">IF(IFERROR(INDEX(Expenses!B$3:B$1002,SMALL(IF((Expenses!E$3:E$1002="GBP")*(Expenses!A$3:A$1002=DATE(2026,5,9)),ROW(Expenses!A$3:A$1002)-2),2)),"")&lt;&gt;"",IFERROR(INDEX(Expenses!B$3:B$1002,SMALL(IF((Expenses!E$3:E$1002="GBP")*(Expenses!A$3:A$1002=DATE(2026,5,9)),ROW(Expenses!A$3:A$1002)-2),2)),""),IF(IFERROR(INDEX(Income!B$3:B$502,SMALL(IF((Income!D$3:D$502="GBP")*(Income!A$3:A$502=DATE(2026,5,9)),ROW(Income!A$3:A$502)-2),2)),"")&lt;&gt;"",IFERROR(INDEX(Income!B$3:B$502,SMALL(IF((Income!D$3:D$502="GBP")*(Income!A$3:A$502=DATE(2026,5,9)),ROW(Income!A$3:A$502)-2),2)),""),""))</f>
        <v/>
      </c>
      <c r="O95" s="62" t="str">
        <f aca="false">IF(IFERROR(-INDEX(Expenses!D$3:D$1002,SMALL(IF((Expenses!E$3:E$1002="GBP")*(Expenses!A$3:A$1002=DATE(2026,5,10)),ROW(Expenses!A$3:A$1002)-2),2)),0)+IFERROR(INDEX(Income!C$3:C$502,SMALL(IF((Income!D$3:D$502="GBP")*(Income!A$3:A$502=DATE(2026,5,10)),ROW(Income!A$3:A$502)-2),2)),0)=0,"",IFERROR(-INDEX(Expenses!D$3:D$1002,SMALL(IF((Expenses!E$3:E$1002="GBP")*(Expenses!A$3:A$1002=DATE(2026,5,10)),ROW(Expenses!A$3:A$1002)-2),2)),0)+IFERROR(INDEX(Income!C$3:C$502,SMALL(IF((Income!D$3:D$502="GBP")*(Income!A$3:A$502=DATE(2026,5,10)),ROW(Income!A$3:A$502)-2),2)),0))</f>
        <v/>
      </c>
      <c r="P95" s="38" t="str">
        <f aca="false">IF(IFERROR(INDEX(Expenses!B$3:B$1002,SMALL(IF((Expenses!E$3:E$1002="GBP")*(Expenses!A$3:A$1002=DATE(2026,5,10)),ROW(Expenses!A$3:A$1002)-2),2)),"")&lt;&gt;"",IFERROR(INDEX(Expenses!B$3:B$1002,SMALL(IF((Expenses!E$3:E$1002="GBP")*(Expenses!A$3:A$1002=DATE(2026,5,10)),ROW(Expenses!A$3:A$1002)-2),2)),""),IF(IFERROR(INDEX(Income!B$3:B$502,SMALL(IF((Income!D$3:D$502="GBP")*(Income!A$3:A$502=DATE(2026,5,10)),ROW(Income!A$3:A$502)-2),2)),"")&lt;&gt;"",IFERROR(INDEX(Income!B$3:B$502,SMALL(IF((Income!D$3:D$502="GBP")*(Income!A$3:A$502=DATE(2026,5,10)),ROW(Income!A$3:A$502)-2),2)),""),""))</f>
        <v/>
      </c>
      <c r="Q95" s="16"/>
      <c r="R95" s="16"/>
    </row>
    <row r="96" customFormat="false" ht="15" hidden="false" customHeight="false" outlineLevel="0" collapsed="false">
      <c r="A96" s="16"/>
      <c r="B96" s="16"/>
      <c r="C96" s="62" t="str">
        <f aca="false">IF(IFERROR(-INDEX(Expenses!D$3:D$1002,SMALL(IF((Expenses!E$3:E$1002="GBP")*(Expenses!A$3:A$1002=DATE(2026,5,4)),ROW(Expenses!A$3:A$1002)-2),3)),0)+IFERROR(INDEX(Income!C$3:C$502,SMALL(IF((Income!D$3:D$502="GBP")*(Income!A$3:A$502=DATE(2026,5,4)),ROW(Income!A$3:A$502)-2),3)),0)=0,"",IFERROR(-INDEX(Expenses!D$3:D$1002,SMALL(IF((Expenses!E$3:E$1002="GBP")*(Expenses!A$3:A$1002=DATE(2026,5,4)),ROW(Expenses!A$3:A$1002)-2),3)),0)+IFERROR(INDEX(Income!C$3:C$502,SMALL(IF((Income!D$3:D$502="GBP")*(Income!A$3:A$502=DATE(2026,5,4)),ROW(Income!A$3:A$502)-2),3)),0))</f>
        <v/>
      </c>
      <c r="D96" s="38" t="str">
        <f aca="false">IF(IFERROR(INDEX(Expenses!B$3:B$1002,SMALL(IF((Expenses!E$3:E$1002="GBP")*(Expenses!A$3:A$1002=DATE(2026,5,4)),ROW(Expenses!A$3:A$1002)-2),3)),"")&lt;&gt;"",IFERROR(INDEX(Expenses!B$3:B$1002,SMALL(IF((Expenses!E$3:E$1002="GBP")*(Expenses!A$3:A$1002=DATE(2026,5,4)),ROW(Expenses!A$3:A$1002)-2),3)),""),IF(IFERROR(INDEX(Income!B$3:B$502,SMALL(IF((Income!D$3:D$502="GBP")*(Income!A$3:A$502=DATE(2026,5,4)),ROW(Income!A$3:A$502)-2),3)),"")&lt;&gt;"",IFERROR(INDEX(Income!B$3:B$502,SMALL(IF((Income!D$3:D$502="GBP")*(Income!A$3:A$502=DATE(2026,5,4)),ROW(Income!A$3:A$502)-2),3)),""),""))</f>
        <v/>
      </c>
      <c r="E96" s="62" t="str">
        <f aca="false">IF(IFERROR(-INDEX(Expenses!D$3:D$1002,SMALL(IF((Expenses!E$3:E$1002="GBP")*(Expenses!A$3:A$1002=DATE(2026,5,5)),ROW(Expenses!A$3:A$1002)-2),3)),0)+IFERROR(INDEX(Income!C$3:C$502,SMALL(IF((Income!D$3:D$502="GBP")*(Income!A$3:A$502=DATE(2026,5,5)),ROW(Income!A$3:A$502)-2),3)),0)=0,"",IFERROR(-INDEX(Expenses!D$3:D$1002,SMALL(IF((Expenses!E$3:E$1002="GBP")*(Expenses!A$3:A$1002=DATE(2026,5,5)),ROW(Expenses!A$3:A$1002)-2),3)),0)+IFERROR(INDEX(Income!C$3:C$502,SMALL(IF((Income!D$3:D$502="GBP")*(Income!A$3:A$502=DATE(2026,5,5)),ROW(Income!A$3:A$502)-2),3)),0))</f>
        <v/>
      </c>
      <c r="F96" s="38" t="str">
        <f aca="false">IF(IFERROR(INDEX(Expenses!B$3:B$1002,SMALL(IF((Expenses!E$3:E$1002="GBP")*(Expenses!A$3:A$1002=DATE(2026,5,5)),ROW(Expenses!A$3:A$1002)-2),3)),"")&lt;&gt;"",IFERROR(INDEX(Expenses!B$3:B$1002,SMALL(IF((Expenses!E$3:E$1002="GBP")*(Expenses!A$3:A$1002=DATE(2026,5,5)),ROW(Expenses!A$3:A$1002)-2),3)),""),IF(IFERROR(INDEX(Income!B$3:B$502,SMALL(IF((Income!D$3:D$502="GBP")*(Income!A$3:A$502=DATE(2026,5,5)),ROW(Income!A$3:A$502)-2),3)),"")&lt;&gt;"",IFERROR(INDEX(Income!B$3:B$502,SMALL(IF((Income!D$3:D$502="GBP")*(Income!A$3:A$502=DATE(2026,5,5)),ROW(Income!A$3:A$502)-2),3)),""),""))</f>
        <v/>
      </c>
      <c r="G96" s="62" t="str">
        <f aca="false">IF(IFERROR(-INDEX(Expenses!D$3:D$1002,SMALL(IF((Expenses!E$3:E$1002="GBP")*(Expenses!A$3:A$1002=DATE(2026,5,6)),ROW(Expenses!A$3:A$1002)-2),3)),0)+IFERROR(INDEX(Income!C$3:C$502,SMALL(IF((Income!D$3:D$502="GBP")*(Income!A$3:A$502=DATE(2026,5,6)),ROW(Income!A$3:A$502)-2),3)),0)=0,"",IFERROR(-INDEX(Expenses!D$3:D$1002,SMALL(IF((Expenses!E$3:E$1002="GBP")*(Expenses!A$3:A$1002=DATE(2026,5,6)),ROW(Expenses!A$3:A$1002)-2),3)),0)+IFERROR(INDEX(Income!C$3:C$502,SMALL(IF((Income!D$3:D$502="GBP")*(Income!A$3:A$502=DATE(2026,5,6)),ROW(Income!A$3:A$502)-2),3)),0))</f>
        <v/>
      </c>
      <c r="H96" s="38" t="str">
        <f aca="false">IF(IFERROR(INDEX(Expenses!B$3:B$1002,SMALL(IF((Expenses!E$3:E$1002="GBP")*(Expenses!A$3:A$1002=DATE(2026,5,6)),ROW(Expenses!A$3:A$1002)-2),3)),"")&lt;&gt;"",IFERROR(INDEX(Expenses!B$3:B$1002,SMALL(IF((Expenses!E$3:E$1002="GBP")*(Expenses!A$3:A$1002=DATE(2026,5,6)),ROW(Expenses!A$3:A$1002)-2),3)),""),IF(IFERROR(INDEX(Income!B$3:B$502,SMALL(IF((Income!D$3:D$502="GBP")*(Income!A$3:A$502=DATE(2026,5,6)),ROW(Income!A$3:A$502)-2),3)),"")&lt;&gt;"",IFERROR(INDEX(Income!B$3:B$502,SMALL(IF((Income!D$3:D$502="GBP")*(Income!A$3:A$502=DATE(2026,5,6)),ROW(Income!A$3:A$502)-2),3)),""),""))</f>
        <v/>
      </c>
      <c r="I96" s="62" t="str">
        <f aca="false">IF(IFERROR(-INDEX(Expenses!D$3:D$1002,SMALL(IF((Expenses!E$3:E$1002="GBP")*(Expenses!A$3:A$1002=DATE(2026,5,7)),ROW(Expenses!A$3:A$1002)-2),3)),0)+IFERROR(INDEX(Income!C$3:C$502,SMALL(IF((Income!D$3:D$502="GBP")*(Income!A$3:A$502=DATE(2026,5,7)),ROW(Income!A$3:A$502)-2),3)),0)=0,"",IFERROR(-INDEX(Expenses!D$3:D$1002,SMALL(IF((Expenses!E$3:E$1002="GBP")*(Expenses!A$3:A$1002=DATE(2026,5,7)),ROW(Expenses!A$3:A$1002)-2),3)),0)+IFERROR(INDEX(Income!C$3:C$502,SMALL(IF((Income!D$3:D$502="GBP")*(Income!A$3:A$502=DATE(2026,5,7)),ROW(Income!A$3:A$502)-2),3)),0))</f>
        <v/>
      </c>
      <c r="J96" s="38" t="str">
        <f aca="false">IF(IFERROR(INDEX(Expenses!B$3:B$1002,SMALL(IF((Expenses!E$3:E$1002="GBP")*(Expenses!A$3:A$1002=DATE(2026,5,7)),ROW(Expenses!A$3:A$1002)-2),3)),"")&lt;&gt;"",IFERROR(INDEX(Expenses!B$3:B$1002,SMALL(IF((Expenses!E$3:E$1002="GBP")*(Expenses!A$3:A$1002=DATE(2026,5,7)),ROW(Expenses!A$3:A$1002)-2),3)),""),IF(IFERROR(INDEX(Income!B$3:B$502,SMALL(IF((Income!D$3:D$502="GBP")*(Income!A$3:A$502=DATE(2026,5,7)),ROW(Income!A$3:A$502)-2),3)),"")&lt;&gt;"",IFERROR(INDEX(Income!B$3:B$502,SMALL(IF((Income!D$3:D$502="GBP")*(Income!A$3:A$502=DATE(2026,5,7)),ROW(Income!A$3:A$502)-2),3)),""),""))</f>
        <v/>
      </c>
      <c r="K96" s="62" t="str">
        <f aca="false">IF(IFERROR(-INDEX(Expenses!D$3:D$1002,SMALL(IF((Expenses!E$3:E$1002="GBP")*(Expenses!A$3:A$1002=DATE(2026,5,8)),ROW(Expenses!A$3:A$1002)-2),3)),0)+IFERROR(INDEX(Income!C$3:C$502,SMALL(IF((Income!D$3:D$502="GBP")*(Income!A$3:A$502=DATE(2026,5,8)),ROW(Income!A$3:A$502)-2),3)),0)=0,"",IFERROR(-INDEX(Expenses!D$3:D$1002,SMALL(IF((Expenses!E$3:E$1002="GBP")*(Expenses!A$3:A$1002=DATE(2026,5,8)),ROW(Expenses!A$3:A$1002)-2),3)),0)+IFERROR(INDEX(Income!C$3:C$502,SMALL(IF((Income!D$3:D$502="GBP")*(Income!A$3:A$502=DATE(2026,5,8)),ROW(Income!A$3:A$502)-2),3)),0))</f>
        <v/>
      </c>
      <c r="L96" s="38" t="str">
        <f aca="false">IF(IFERROR(INDEX(Expenses!B$3:B$1002,SMALL(IF((Expenses!E$3:E$1002="GBP")*(Expenses!A$3:A$1002=DATE(2026,5,8)),ROW(Expenses!A$3:A$1002)-2),3)),"")&lt;&gt;"",IFERROR(INDEX(Expenses!B$3:B$1002,SMALL(IF((Expenses!E$3:E$1002="GBP")*(Expenses!A$3:A$1002=DATE(2026,5,8)),ROW(Expenses!A$3:A$1002)-2),3)),""),IF(IFERROR(INDEX(Income!B$3:B$502,SMALL(IF((Income!D$3:D$502="GBP")*(Income!A$3:A$502=DATE(2026,5,8)),ROW(Income!A$3:A$502)-2),3)),"")&lt;&gt;"",IFERROR(INDEX(Income!B$3:B$502,SMALL(IF((Income!D$3:D$502="GBP")*(Income!A$3:A$502=DATE(2026,5,8)),ROW(Income!A$3:A$502)-2),3)),""),""))</f>
        <v/>
      </c>
      <c r="M96" s="62" t="str">
        <f aca="false">IF(IFERROR(-INDEX(Expenses!D$3:D$1002,SMALL(IF((Expenses!E$3:E$1002="GBP")*(Expenses!A$3:A$1002=DATE(2026,5,9)),ROW(Expenses!A$3:A$1002)-2),3)),0)+IFERROR(INDEX(Income!C$3:C$502,SMALL(IF((Income!D$3:D$502="GBP")*(Income!A$3:A$502=DATE(2026,5,9)),ROW(Income!A$3:A$502)-2),3)),0)=0,"",IFERROR(-INDEX(Expenses!D$3:D$1002,SMALL(IF((Expenses!E$3:E$1002="GBP")*(Expenses!A$3:A$1002=DATE(2026,5,9)),ROW(Expenses!A$3:A$1002)-2),3)),0)+IFERROR(INDEX(Income!C$3:C$502,SMALL(IF((Income!D$3:D$502="GBP")*(Income!A$3:A$502=DATE(2026,5,9)),ROW(Income!A$3:A$502)-2),3)),0))</f>
        <v/>
      </c>
      <c r="N96" s="38" t="str">
        <f aca="false">IF(IFERROR(INDEX(Expenses!B$3:B$1002,SMALL(IF((Expenses!E$3:E$1002="GBP")*(Expenses!A$3:A$1002=DATE(2026,5,9)),ROW(Expenses!A$3:A$1002)-2),3)),"")&lt;&gt;"",IFERROR(INDEX(Expenses!B$3:B$1002,SMALL(IF((Expenses!E$3:E$1002="GBP")*(Expenses!A$3:A$1002=DATE(2026,5,9)),ROW(Expenses!A$3:A$1002)-2),3)),""),IF(IFERROR(INDEX(Income!B$3:B$502,SMALL(IF((Income!D$3:D$502="GBP")*(Income!A$3:A$502=DATE(2026,5,9)),ROW(Income!A$3:A$502)-2),3)),"")&lt;&gt;"",IFERROR(INDEX(Income!B$3:B$502,SMALL(IF((Income!D$3:D$502="GBP")*(Income!A$3:A$502=DATE(2026,5,9)),ROW(Income!A$3:A$502)-2),3)),""),""))</f>
        <v/>
      </c>
      <c r="O96" s="62" t="str">
        <f aca="false">IF(IFERROR(-INDEX(Expenses!D$3:D$1002,SMALL(IF((Expenses!E$3:E$1002="GBP")*(Expenses!A$3:A$1002=DATE(2026,5,10)),ROW(Expenses!A$3:A$1002)-2),3)),0)+IFERROR(INDEX(Income!C$3:C$502,SMALL(IF((Income!D$3:D$502="GBP")*(Income!A$3:A$502=DATE(2026,5,10)),ROW(Income!A$3:A$502)-2),3)),0)=0,"",IFERROR(-INDEX(Expenses!D$3:D$1002,SMALL(IF((Expenses!E$3:E$1002="GBP")*(Expenses!A$3:A$1002=DATE(2026,5,10)),ROW(Expenses!A$3:A$1002)-2),3)),0)+IFERROR(INDEX(Income!C$3:C$502,SMALL(IF((Income!D$3:D$502="GBP")*(Income!A$3:A$502=DATE(2026,5,10)),ROW(Income!A$3:A$502)-2),3)),0))</f>
        <v/>
      </c>
      <c r="P96" s="38" t="str">
        <f aca="false">IF(IFERROR(INDEX(Expenses!B$3:B$1002,SMALL(IF((Expenses!E$3:E$1002="GBP")*(Expenses!A$3:A$1002=DATE(2026,5,10)),ROW(Expenses!A$3:A$1002)-2),3)),"")&lt;&gt;"",IFERROR(INDEX(Expenses!B$3:B$1002,SMALL(IF((Expenses!E$3:E$1002="GBP")*(Expenses!A$3:A$1002=DATE(2026,5,10)),ROW(Expenses!A$3:A$1002)-2),3)),""),IF(IFERROR(INDEX(Income!B$3:B$502,SMALL(IF((Income!D$3:D$502="GBP")*(Income!A$3:A$502=DATE(2026,5,10)),ROW(Income!A$3:A$502)-2),3)),"")&lt;&gt;"",IFERROR(INDEX(Income!B$3:B$502,SMALL(IF((Income!D$3:D$502="GBP")*(Income!A$3:A$502=DATE(2026,5,10)),ROW(Income!A$3:A$502)-2),3)),""),""))</f>
        <v/>
      </c>
      <c r="Q96" s="16"/>
      <c r="R96" s="16"/>
    </row>
    <row r="97" customFormat="false" ht="15" hidden="false" customHeight="false" outlineLevel="0" collapsed="false">
      <c r="A97" s="16"/>
      <c r="B97" s="16"/>
      <c r="C97" s="62" t="str">
        <f aca="false">IF(IFERROR(-INDEX(Expenses!D$3:D$1002,SMALL(IF((Expenses!E$3:E$1002="GBP")*(Expenses!A$3:A$1002=DATE(2026,5,4)),ROW(Expenses!A$3:A$1002)-2),4)),0)+IFERROR(INDEX(Income!C$3:C$502,SMALL(IF((Income!D$3:D$502="GBP")*(Income!A$3:A$502=DATE(2026,5,4)),ROW(Income!A$3:A$502)-2),4)),0)=0,"",IFERROR(-INDEX(Expenses!D$3:D$1002,SMALL(IF((Expenses!E$3:E$1002="GBP")*(Expenses!A$3:A$1002=DATE(2026,5,4)),ROW(Expenses!A$3:A$1002)-2),4)),0)+IFERROR(INDEX(Income!C$3:C$502,SMALL(IF((Income!D$3:D$502="GBP")*(Income!A$3:A$502=DATE(2026,5,4)),ROW(Income!A$3:A$502)-2),4)),0))</f>
        <v/>
      </c>
      <c r="D97" s="38" t="str">
        <f aca="false">IF(IFERROR(INDEX(Expenses!B$3:B$1002,SMALL(IF((Expenses!E$3:E$1002="GBP")*(Expenses!A$3:A$1002=DATE(2026,5,4)),ROW(Expenses!A$3:A$1002)-2),4)),"")&lt;&gt;"",IFERROR(INDEX(Expenses!B$3:B$1002,SMALL(IF((Expenses!E$3:E$1002="GBP")*(Expenses!A$3:A$1002=DATE(2026,5,4)),ROW(Expenses!A$3:A$1002)-2),4)),""),IF(IFERROR(INDEX(Income!B$3:B$502,SMALL(IF((Income!D$3:D$502="GBP")*(Income!A$3:A$502=DATE(2026,5,4)),ROW(Income!A$3:A$502)-2),4)),"")&lt;&gt;"",IFERROR(INDEX(Income!B$3:B$502,SMALL(IF((Income!D$3:D$502="GBP")*(Income!A$3:A$502=DATE(2026,5,4)),ROW(Income!A$3:A$502)-2),4)),""),""))</f>
        <v/>
      </c>
      <c r="E97" s="62" t="str">
        <f aca="false">IF(IFERROR(-INDEX(Expenses!D$3:D$1002,SMALL(IF((Expenses!E$3:E$1002="GBP")*(Expenses!A$3:A$1002=DATE(2026,5,5)),ROW(Expenses!A$3:A$1002)-2),4)),0)+IFERROR(INDEX(Income!C$3:C$502,SMALL(IF((Income!D$3:D$502="GBP")*(Income!A$3:A$502=DATE(2026,5,5)),ROW(Income!A$3:A$502)-2),4)),0)=0,"",IFERROR(-INDEX(Expenses!D$3:D$1002,SMALL(IF((Expenses!E$3:E$1002="GBP")*(Expenses!A$3:A$1002=DATE(2026,5,5)),ROW(Expenses!A$3:A$1002)-2),4)),0)+IFERROR(INDEX(Income!C$3:C$502,SMALL(IF((Income!D$3:D$502="GBP")*(Income!A$3:A$502=DATE(2026,5,5)),ROW(Income!A$3:A$502)-2),4)),0))</f>
        <v/>
      </c>
      <c r="F97" s="38" t="str">
        <f aca="false">IF(IFERROR(INDEX(Expenses!B$3:B$1002,SMALL(IF((Expenses!E$3:E$1002="GBP")*(Expenses!A$3:A$1002=DATE(2026,5,5)),ROW(Expenses!A$3:A$1002)-2),4)),"")&lt;&gt;"",IFERROR(INDEX(Expenses!B$3:B$1002,SMALL(IF((Expenses!E$3:E$1002="GBP")*(Expenses!A$3:A$1002=DATE(2026,5,5)),ROW(Expenses!A$3:A$1002)-2),4)),""),IF(IFERROR(INDEX(Income!B$3:B$502,SMALL(IF((Income!D$3:D$502="GBP")*(Income!A$3:A$502=DATE(2026,5,5)),ROW(Income!A$3:A$502)-2),4)),"")&lt;&gt;"",IFERROR(INDEX(Income!B$3:B$502,SMALL(IF((Income!D$3:D$502="GBP")*(Income!A$3:A$502=DATE(2026,5,5)),ROW(Income!A$3:A$502)-2),4)),""),""))</f>
        <v/>
      </c>
      <c r="G97" s="62" t="str">
        <f aca="false">IF(IFERROR(-INDEX(Expenses!D$3:D$1002,SMALL(IF((Expenses!E$3:E$1002="GBP")*(Expenses!A$3:A$1002=DATE(2026,5,6)),ROW(Expenses!A$3:A$1002)-2),4)),0)+IFERROR(INDEX(Income!C$3:C$502,SMALL(IF((Income!D$3:D$502="GBP")*(Income!A$3:A$502=DATE(2026,5,6)),ROW(Income!A$3:A$502)-2),4)),0)=0,"",IFERROR(-INDEX(Expenses!D$3:D$1002,SMALL(IF((Expenses!E$3:E$1002="GBP")*(Expenses!A$3:A$1002=DATE(2026,5,6)),ROW(Expenses!A$3:A$1002)-2),4)),0)+IFERROR(INDEX(Income!C$3:C$502,SMALL(IF((Income!D$3:D$502="GBP")*(Income!A$3:A$502=DATE(2026,5,6)),ROW(Income!A$3:A$502)-2),4)),0))</f>
        <v/>
      </c>
      <c r="H97" s="38" t="str">
        <f aca="false">IF(IFERROR(INDEX(Expenses!B$3:B$1002,SMALL(IF((Expenses!E$3:E$1002="GBP")*(Expenses!A$3:A$1002=DATE(2026,5,6)),ROW(Expenses!A$3:A$1002)-2),4)),"")&lt;&gt;"",IFERROR(INDEX(Expenses!B$3:B$1002,SMALL(IF((Expenses!E$3:E$1002="GBP")*(Expenses!A$3:A$1002=DATE(2026,5,6)),ROW(Expenses!A$3:A$1002)-2),4)),""),IF(IFERROR(INDEX(Income!B$3:B$502,SMALL(IF((Income!D$3:D$502="GBP")*(Income!A$3:A$502=DATE(2026,5,6)),ROW(Income!A$3:A$502)-2),4)),"")&lt;&gt;"",IFERROR(INDEX(Income!B$3:B$502,SMALL(IF((Income!D$3:D$502="GBP")*(Income!A$3:A$502=DATE(2026,5,6)),ROW(Income!A$3:A$502)-2),4)),""),""))</f>
        <v/>
      </c>
      <c r="I97" s="62" t="str">
        <f aca="false">IF(IFERROR(-INDEX(Expenses!D$3:D$1002,SMALL(IF((Expenses!E$3:E$1002="GBP")*(Expenses!A$3:A$1002=DATE(2026,5,7)),ROW(Expenses!A$3:A$1002)-2),4)),0)+IFERROR(INDEX(Income!C$3:C$502,SMALL(IF((Income!D$3:D$502="GBP")*(Income!A$3:A$502=DATE(2026,5,7)),ROW(Income!A$3:A$502)-2),4)),0)=0,"",IFERROR(-INDEX(Expenses!D$3:D$1002,SMALL(IF((Expenses!E$3:E$1002="GBP")*(Expenses!A$3:A$1002=DATE(2026,5,7)),ROW(Expenses!A$3:A$1002)-2),4)),0)+IFERROR(INDEX(Income!C$3:C$502,SMALL(IF((Income!D$3:D$502="GBP")*(Income!A$3:A$502=DATE(2026,5,7)),ROW(Income!A$3:A$502)-2),4)),0))</f>
        <v/>
      </c>
      <c r="J97" s="38" t="str">
        <f aca="false">IF(IFERROR(INDEX(Expenses!B$3:B$1002,SMALL(IF((Expenses!E$3:E$1002="GBP")*(Expenses!A$3:A$1002=DATE(2026,5,7)),ROW(Expenses!A$3:A$1002)-2),4)),"")&lt;&gt;"",IFERROR(INDEX(Expenses!B$3:B$1002,SMALL(IF((Expenses!E$3:E$1002="GBP")*(Expenses!A$3:A$1002=DATE(2026,5,7)),ROW(Expenses!A$3:A$1002)-2),4)),""),IF(IFERROR(INDEX(Income!B$3:B$502,SMALL(IF((Income!D$3:D$502="GBP")*(Income!A$3:A$502=DATE(2026,5,7)),ROW(Income!A$3:A$502)-2),4)),"")&lt;&gt;"",IFERROR(INDEX(Income!B$3:B$502,SMALL(IF((Income!D$3:D$502="GBP")*(Income!A$3:A$502=DATE(2026,5,7)),ROW(Income!A$3:A$502)-2),4)),""),""))</f>
        <v/>
      </c>
      <c r="K97" s="62" t="str">
        <f aca="false">IF(IFERROR(-INDEX(Expenses!D$3:D$1002,SMALL(IF((Expenses!E$3:E$1002="GBP")*(Expenses!A$3:A$1002=DATE(2026,5,8)),ROW(Expenses!A$3:A$1002)-2),4)),0)+IFERROR(INDEX(Income!C$3:C$502,SMALL(IF((Income!D$3:D$502="GBP")*(Income!A$3:A$502=DATE(2026,5,8)),ROW(Income!A$3:A$502)-2),4)),0)=0,"",IFERROR(-INDEX(Expenses!D$3:D$1002,SMALL(IF((Expenses!E$3:E$1002="GBP")*(Expenses!A$3:A$1002=DATE(2026,5,8)),ROW(Expenses!A$3:A$1002)-2),4)),0)+IFERROR(INDEX(Income!C$3:C$502,SMALL(IF((Income!D$3:D$502="GBP")*(Income!A$3:A$502=DATE(2026,5,8)),ROW(Income!A$3:A$502)-2),4)),0))</f>
        <v/>
      </c>
      <c r="L97" s="38" t="str">
        <f aca="false">IF(IFERROR(INDEX(Expenses!B$3:B$1002,SMALL(IF((Expenses!E$3:E$1002="GBP")*(Expenses!A$3:A$1002=DATE(2026,5,8)),ROW(Expenses!A$3:A$1002)-2),4)),"")&lt;&gt;"",IFERROR(INDEX(Expenses!B$3:B$1002,SMALL(IF((Expenses!E$3:E$1002="GBP")*(Expenses!A$3:A$1002=DATE(2026,5,8)),ROW(Expenses!A$3:A$1002)-2),4)),""),IF(IFERROR(INDEX(Income!B$3:B$502,SMALL(IF((Income!D$3:D$502="GBP")*(Income!A$3:A$502=DATE(2026,5,8)),ROW(Income!A$3:A$502)-2),4)),"")&lt;&gt;"",IFERROR(INDEX(Income!B$3:B$502,SMALL(IF((Income!D$3:D$502="GBP")*(Income!A$3:A$502=DATE(2026,5,8)),ROW(Income!A$3:A$502)-2),4)),""),""))</f>
        <v/>
      </c>
      <c r="M97" s="62" t="str">
        <f aca="false">IF(IFERROR(-INDEX(Expenses!D$3:D$1002,SMALL(IF((Expenses!E$3:E$1002="GBP")*(Expenses!A$3:A$1002=DATE(2026,5,9)),ROW(Expenses!A$3:A$1002)-2),4)),0)+IFERROR(INDEX(Income!C$3:C$502,SMALL(IF((Income!D$3:D$502="GBP")*(Income!A$3:A$502=DATE(2026,5,9)),ROW(Income!A$3:A$502)-2),4)),0)=0,"",IFERROR(-INDEX(Expenses!D$3:D$1002,SMALL(IF((Expenses!E$3:E$1002="GBP")*(Expenses!A$3:A$1002=DATE(2026,5,9)),ROW(Expenses!A$3:A$1002)-2),4)),0)+IFERROR(INDEX(Income!C$3:C$502,SMALL(IF((Income!D$3:D$502="GBP")*(Income!A$3:A$502=DATE(2026,5,9)),ROW(Income!A$3:A$502)-2),4)),0))</f>
        <v/>
      </c>
      <c r="N97" s="38" t="str">
        <f aca="false">IF(IFERROR(INDEX(Expenses!B$3:B$1002,SMALL(IF((Expenses!E$3:E$1002="GBP")*(Expenses!A$3:A$1002=DATE(2026,5,9)),ROW(Expenses!A$3:A$1002)-2),4)),"")&lt;&gt;"",IFERROR(INDEX(Expenses!B$3:B$1002,SMALL(IF((Expenses!E$3:E$1002="GBP")*(Expenses!A$3:A$1002=DATE(2026,5,9)),ROW(Expenses!A$3:A$1002)-2),4)),""),IF(IFERROR(INDEX(Income!B$3:B$502,SMALL(IF((Income!D$3:D$502="GBP")*(Income!A$3:A$502=DATE(2026,5,9)),ROW(Income!A$3:A$502)-2),4)),"")&lt;&gt;"",IFERROR(INDEX(Income!B$3:B$502,SMALL(IF((Income!D$3:D$502="GBP")*(Income!A$3:A$502=DATE(2026,5,9)),ROW(Income!A$3:A$502)-2),4)),""),""))</f>
        <v/>
      </c>
      <c r="O97" s="62" t="str">
        <f aca="false">IF(IFERROR(-INDEX(Expenses!D$3:D$1002,SMALL(IF((Expenses!E$3:E$1002="GBP")*(Expenses!A$3:A$1002=DATE(2026,5,10)),ROW(Expenses!A$3:A$1002)-2),4)),0)+IFERROR(INDEX(Income!C$3:C$502,SMALL(IF((Income!D$3:D$502="GBP")*(Income!A$3:A$502=DATE(2026,5,10)),ROW(Income!A$3:A$502)-2),4)),0)=0,"",IFERROR(-INDEX(Expenses!D$3:D$1002,SMALL(IF((Expenses!E$3:E$1002="GBP")*(Expenses!A$3:A$1002=DATE(2026,5,10)),ROW(Expenses!A$3:A$1002)-2),4)),0)+IFERROR(INDEX(Income!C$3:C$502,SMALL(IF((Income!D$3:D$502="GBP")*(Income!A$3:A$502=DATE(2026,5,10)),ROW(Income!A$3:A$502)-2),4)),0))</f>
        <v/>
      </c>
      <c r="P97" s="38" t="str">
        <f aca="false">IF(IFERROR(INDEX(Expenses!B$3:B$1002,SMALL(IF((Expenses!E$3:E$1002="GBP")*(Expenses!A$3:A$1002=DATE(2026,5,10)),ROW(Expenses!A$3:A$1002)-2),4)),"")&lt;&gt;"",IFERROR(INDEX(Expenses!B$3:B$1002,SMALL(IF((Expenses!E$3:E$1002="GBP")*(Expenses!A$3:A$1002=DATE(2026,5,10)),ROW(Expenses!A$3:A$1002)-2),4)),""),IF(IFERROR(INDEX(Income!B$3:B$502,SMALL(IF((Income!D$3:D$502="GBP")*(Income!A$3:A$502=DATE(2026,5,10)),ROW(Income!A$3:A$502)-2),4)),"")&lt;&gt;"",IFERROR(INDEX(Income!B$3:B$502,SMALL(IF((Income!D$3:D$502="GBP")*(Income!A$3:A$502=DATE(2026,5,10)),ROW(Income!A$3:A$502)-2),4)),""),""))</f>
        <v/>
      </c>
      <c r="Q97" s="16"/>
      <c r="R97" s="16"/>
    </row>
    <row r="98" customFormat="false" ht="15" hidden="false" customHeight="false" outlineLevel="0" collapsed="false">
      <c r="A98" s="16"/>
      <c r="B98" s="16"/>
      <c r="C98" s="62" t="str">
        <f aca="false">IF(IFERROR(-INDEX(Expenses!D$3:D$1002,SMALL(IF((Expenses!E$3:E$1002="GBP")*(Expenses!A$3:A$1002=DATE(2026,5,4)),ROW(Expenses!A$3:A$1002)-2),5)),0)+IFERROR(INDEX(Income!C$3:C$502,SMALL(IF((Income!D$3:D$502="GBP")*(Income!A$3:A$502=DATE(2026,5,4)),ROW(Income!A$3:A$502)-2),5)),0)=0,"",IFERROR(-INDEX(Expenses!D$3:D$1002,SMALL(IF((Expenses!E$3:E$1002="GBP")*(Expenses!A$3:A$1002=DATE(2026,5,4)),ROW(Expenses!A$3:A$1002)-2),5)),0)+IFERROR(INDEX(Income!C$3:C$502,SMALL(IF((Income!D$3:D$502="GBP")*(Income!A$3:A$502=DATE(2026,5,4)),ROW(Income!A$3:A$502)-2),5)),0))</f>
        <v/>
      </c>
      <c r="D98" s="38" t="str">
        <f aca="false">IF(IFERROR(INDEX(Expenses!B$3:B$1002,SMALL(IF((Expenses!E$3:E$1002="GBP")*(Expenses!A$3:A$1002=DATE(2026,5,4)),ROW(Expenses!A$3:A$1002)-2),5)),"")&lt;&gt;"",IFERROR(INDEX(Expenses!B$3:B$1002,SMALL(IF((Expenses!E$3:E$1002="GBP")*(Expenses!A$3:A$1002=DATE(2026,5,4)),ROW(Expenses!A$3:A$1002)-2),5)),""),IF(IFERROR(INDEX(Income!B$3:B$502,SMALL(IF((Income!D$3:D$502="GBP")*(Income!A$3:A$502=DATE(2026,5,4)),ROW(Income!A$3:A$502)-2),5)),"")&lt;&gt;"",IFERROR(INDEX(Income!B$3:B$502,SMALL(IF((Income!D$3:D$502="GBP")*(Income!A$3:A$502=DATE(2026,5,4)),ROW(Income!A$3:A$502)-2),5)),""),""))</f>
        <v/>
      </c>
      <c r="E98" s="62" t="str">
        <f aca="false">IF(IFERROR(-INDEX(Expenses!D$3:D$1002,SMALL(IF((Expenses!E$3:E$1002="GBP")*(Expenses!A$3:A$1002=DATE(2026,5,5)),ROW(Expenses!A$3:A$1002)-2),5)),0)+IFERROR(INDEX(Income!C$3:C$502,SMALL(IF((Income!D$3:D$502="GBP")*(Income!A$3:A$502=DATE(2026,5,5)),ROW(Income!A$3:A$502)-2),5)),0)=0,"",IFERROR(-INDEX(Expenses!D$3:D$1002,SMALL(IF((Expenses!E$3:E$1002="GBP")*(Expenses!A$3:A$1002=DATE(2026,5,5)),ROW(Expenses!A$3:A$1002)-2),5)),0)+IFERROR(INDEX(Income!C$3:C$502,SMALL(IF((Income!D$3:D$502="GBP")*(Income!A$3:A$502=DATE(2026,5,5)),ROW(Income!A$3:A$502)-2),5)),0))</f>
        <v/>
      </c>
      <c r="F98" s="38" t="str">
        <f aca="false">IF(IFERROR(INDEX(Expenses!B$3:B$1002,SMALL(IF((Expenses!E$3:E$1002="GBP")*(Expenses!A$3:A$1002=DATE(2026,5,5)),ROW(Expenses!A$3:A$1002)-2),5)),"")&lt;&gt;"",IFERROR(INDEX(Expenses!B$3:B$1002,SMALL(IF((Expenses!E$3:E$1002="GBP")*(Expenses!A$3:A$1002=DATE(2026,5,5)),ROW(Expenses!A$3:A$1002)-2),5)),""),IF(IFERROR(INDEX(Income!B$3:B$502,SMALL(IF((Income!D$3:D$502="GBP")*(Income!A$3:A$502=DATE(2026,5,5)),ROW(Income!A$3:A$502)-2),5)),"")&lt;&gt;"",IFERROR(INDEX(Income!B$3:B$502,SMALL(IF((Income!D$3:D$502="GBP")*(Income!A$3:A$502=DATE(2026,5,5)),ROW(Income!A$3:A$502)-2),5)),""),""))</f>
        <v/>
      </c>
      <c r="G98" s="62" t="str">
        <f aca="false">IF(IFERROR(-INDEX(Expenses!D$3:D$1002,SMALL(IF((Expenses!E$3:E$1002="GBP")*(Expenses!A$3:A$1002=DATE(2026,5,6)),ROW(Expenses!A$3:A$1002)-2),5)),0)+IFERROR(INDEX(Income!C$3:C$502,SMALL(IF((Income!D$3:D$502="GBP")*(Income!A$3:A$502=DATE(2026,5,6)),ROW(Income!A$3:A$502)-2),5)),0)=0,"",IFERROR(-INDEX(Expenses!D$3:D$1002,SMALL(IF((Expenses!E$3:E$1002="GBP")*(Expenses!A$3:A$1002=DATE(2026,5,6)),ROW(Expenses!A$3:A$1002)-2),5)),0)+IFERROR(INDEX(Income!C$3:C$502,SMALL(IF((Income!D$3:D$502="GBP")*(Income!A$3:A$502=DATE(2026,5,6)),ROW(Income!A$3:A$502)-2),5)),0))</f>
        <v/>
      </c>
      <c r="H98" s="38" t="str">
        <f aca="false">IF(IFERROR(INDEX(Expenses!B$3:B$1002,SMALL(IF((Expenses!E$3:E$1002="GBP")*(Expenses!A$3:A$1002=DATE(2026,5,6)),ROW(Expenses!A$3:A$1002)-2),5)),"")&lt;&gt;"",IFERROR(INDEX(Expenses!B$3:B$1002,SMALL(IF((Expenses!E$3:E$1002="GBP")*(Expenses!A$3:A$1002=DATE(2026,5,6)),ROW(Expenses!A$3:A$1002)-2),5)),""),IF(IFERROR(INDEX(Income!B$3:B$502,SMALL(IF((Income!D$3:D$502="GBP")*(Income!A$3:A$502=DATE(2026,5,6)),ROW(Income!A$3:A$502)-2),5)),"")&lt;&gt;"",IFERROR(INDEX(Income!B$3:B$502,SMALL(IF((Income!D$3:D$502="GBP")*(Income!A$3:A$502=DATE(2026,5,6)),ROW(Income!A$3:A$502)-2),5)),""),""))</f>
        <v/>
      </c>
      <c r="I98" s="62" t="str">
        <f aca="false">IF(IFERROR(-INDEX(Expenses!D$3:D$1002,SMALL(IF((Expenses!E$3:E$1002="GBP")*(Expenses!A$3:A$1002=DATE(2026,5,7)),ROW(Expenses!A$3:A$1002)-2),5)),0)+IFERROR(INDEX(Income!C$3:C$502,SMALL(IF((Income!D$3:D$502="GBP")*(Income!A$3:A$502=DATE(2026,5,7)),ROW(Income!A$3:A$502)-2),5)),0)=0,"",IFERROR(-INDEX(Expenses!D$3:D$1002,SMALL(IF((Expenses!E$3:E$1002="GBP")*(Expenses!A$3:A$1002=DATE(2026,5,7)),ROW(Expenses!A$3:A$1002)-2),5)),0)+IFERROR(INDEX(Income!C$3:C$502,SMALL(IF((Income!D$3:D$502="GBP")*(Income!A$3:A$502=DATE(2026,5,7)),ROW(Income!A$3:A$502)-2),5)),0))</f>
        <v/>
      </c>
      <c r="J98" s="38" t="str">
        <f aca="false">IF(IFERROR(INDEX(Expenses!B$3:B$1002,SMALL(IF((Expenses!E$3:E$1002="GBP")*(Expenses!A$3:A$1002=DATE(2026,5,7)),ROW(Expenses!A$3:A$1002)-2),5)),"")&lt;&gt;"",IFERROR(INDEX(Expenses!B$3:B$1002,SMALL(IF((Expenses!E$3:E$1002="GBP")*(Expenses!A$3:A$1002=DATE(2026,5,7)),ROW(Expenses!A$3:A$1002)-2),5)),""),IF(IFERROR(INDEX(Income!B$3:B$502,SMALL(IF((Income!D$3:D$502="GBP")*(Income!A$3:A$502=DATE(2026,5,7)),ROW(Income!A$3:A$502)-2),5)),"")&lt;&gt;"",IFERROR(INDEX(Income!B$3:B$502,SMALL(IF((Income!D$3:D$502="GBP")*(Income!A$3:A$502=DATE(2026,5,7)),ROW(Income!A$3:A$502)-2),5)),""),""))</f>
        <v/>
      </c>
      <c r="K98" s="62" t="str">
        <f aca="false">IF(IFERROR(-INDEX(Expenses!D$3:D$1002,SMALL(IF((Expenses!E$3:E$1002="GBP")*(Expenses!A$3:A$1002=DATE(2026,5,8)),ROW(Expenses!A$3:A$1002)-2),5)),0)+IFERROR(INDEX(Income!C$3:C$502,SMALL(IF((Income!D$3:D$502="GBP")*(Income!A$3:A$502=DATE(2026,5,8)),ROW(Income!A$3:A$502)-2),5)),0)=0,"",IFERROR(-INDEX(Expenses!D$3:D$1002,SMALL(IF((Expenses!E$3:E$1002="GBP")*(Expenses!A$3:A$1002=DATE(2026,5,8)),ROW(Expenses!A$3:A$1002)-2),5)),0)+IFERROR(INDEX(Income!C$3:C$502,SMALL(IF((Income!D$3:D$502="GBP")*(Income!A$3:A$502=DATE(2026,5,8)),ROW(Income!A$3:A$502)-2),5)),0))</f>
        <v/>
      </c>
      <c r="L98" s="38" t="str">
        <f aca="false">IF(IFERROR(INDEX(Expenses!B$3:B$1002,SMALL(IF((Expenses!E$3:E$1002="GBP")*(Expenses!A$3:A$1002=DATE(2026,5,8)),ROW(Expenses!A$3:A$1002)-2),5)),"")&lt;&gt;"",IFERROR(INDEX(Expenses!B$3:B$1002,SMALL(IF((Expenses!E$3:E$1002="GBP")*(Expenses!A$3:A$1002=DATE(2026,5,8)),ROW(Expenses!A$3:A$1002)-2),5)),""),IF(IFERROR(INDEX(Income!B$3:B$502,SMALL(IF((Income!D$3:D$502="GBP")*(Income!A$3:A$502=DATE(2026,5,8)),ROW(Income!A$3:A$502)-2),5)),"")&lt;&gt;"",IFERROR(INDEX(Income!B$3:B$502,SMALL(IF((Income!D$3:D$502="GBP")*(Income!A$3:A$502=DATE(2026,5,8)),ROW(Income!A$3:A$502)-2),5)),""),""))</f>
        <v/>
      </c>
      <c r="M98" s="62" t="str">
        <f aca="false">IF(IFERROR(-INDEX(Expenses!D$3:D$1002,SMALL(IF((Expenses!E$3:E$1002="GBP")*(Expenses!A$3:A$1002=DATE(2026,5,9)),ROW(Expenses!A$3:A$1002)-2),5)),0)+IFERROR(INDEX(Income!C$3:C$502,SMALL(IF((Income!D$3:D$502="GBP")*(Income!A$3:A$502=DATE(2026,5,9)),ROW(Income!A$3:A$502)-2),5)),0)=0,"",IFERROR(-INDEX(Expenses!D$3:D$1002,SMALL(IF((Expenses!E$3:E$1002="GBP")*(Expenses!A$3:A$1002=DATE(2026,5,9)),ROW(Expenses!A$3:A$1002)-2),5)),0)+IFERROR(INDEX(Income!C$3:C$502,SMALL(IF((Income!D$3:D$502="GBP")*(Income!A$3:A$502=DATE(2026,5,9)),ROW(Income!A$3:A$502)-2),5)),0))</f>
        <v/>
      </c>
      <c r="N98" s="38" t="str">
        <f aca="false">IF(IFERROR(INDEX(Expenses!B$3:B$1002,SMALL(IF((Expenses!E$3:E$1002="GBP")*(Expenses!A$3:A$1002=DATE(2026,5,9)),ROW(Expenses!A$3:A$1002)-2),5)),"")&lt;&gt;"",IFERROR(INDEX(Expenses!B$3:B$1002,SMALL(IF((Expenses!E$3:E$1002="GBP")*(Expenses!A$3:A$1002=DATE(2026,5,9)),ROW(Expenses!A$3:A$1002)-2),5)),""),IF(IFERROR(INDEX(Income!B$3:B$502,SMALL(IF((Income!D$3:D$502="GBP")*(Income!A$3:A$502=DATE(2026,5,9)),ROW(Income!A$3:A$502)-2),5)),"")&lt;&gt;"",IFERROR(INDEX(Income!B$3:B$502,SMALL(IF((Income!D$3:D$502="GBP")*(Income!A$3:A$502=DATE(2026,5,9)),ROW(Income!A$3:A$502)-2),5)),""),""))</f>
        <v/>
      </c>
      <c r="O98" s="62" t="str">
        <f aca="false">IF(IFERROR(-INDEX(Expenses!D$3:D$1002,SMALL(IF((Expenses!E$3:E$1002="GBP")*(Expenses!A$3:A$1002=DATE(2026,5,10)),ROW(Expenses!A$3:A$1002)-2),5)),0)+IFERROR(INDEX(Income!C$3:C$502,SMALL(IF((Income!D$3:D$502="GBP")*(Income!A$3:A$502=DATE(2026,5,10)),ROW(Income!A$3:A$502)-2),5)),0)=0,"",IFERROR(-INDEX(Expenses!D$3:D$1002,SMALL(IF((Expenses!E$3:E$1002="GBP")*(Expenses!A$3:A$1002=DATE(2026,5,10)),ROW(Expenses!A$3:A$1002)-2),5)),0)+IFERROR(INDEX(Income!C$3:C$502,SMALL(IF((Income!D$3:D$502="GBP")*(Income!A$3:A$502=DATE(2026,5,10)),ROW(Income!A$3:A$502)-2),5)),0))</f>
        <v/>
      </c>
      <c r="P98" s="38" t="str">
        <f aca="false">IF(IFERROR(INDEX(Expenses!B$3:B$1002,SMALL(IF((Expenses!E$3:E$1002="GBP")*(Expenses!A$3:A$1002=DATE(2026,5,10)),ROW(Expenses!A$3:A$1002)-2),5)),"")&lt;&gt;"",IFERROR(INDEX(Expenses!B$3:B$1002,SMALL(IF((Expenses!E$3:E$1002="GBP")*(Expenses!A$3:A$1002=DATE(2026,5,10)),ROW(Expenses!A$3:A$1002)-2),5)),""),IF(IFERROR(INDEX(Income!B$3:B$502,SMALL(IF((Income!D$3:D$502="GBP")*(Income!A$3:A$502=DATE(2026,5,10)),ROW(Income!A$3:A$502)-2),5)),"")&lt;&gt;"",IFERROR(INDEX(Income!B$3:B$502,SMALL(IF((Income!D$3:D$502="GBP")*(Income!A$3:A$502=DATE(2026,5,10)),ROW(Income!A$3:A$502)-2),5)),""),""))</f>
        <v/>
      </c>
      <c r="Q98" s="16"/>
      <c r="R98" s="16"/>
    </row>
    <row r="99" customFormat="false" ht="15" hidden="false" customHeight="false" outlineLevel="0" collapsed="false">
      <c r="A99" s="61" t="n">
        <v>46153</v>
      </c>
      <c r="B99" s="3" t="n">
        <v>20</v>
      </c>
      <c r="C99" s="62" t="str">
        <f aca="false">IF(IFERROR(-INDEX(Expenses!D$3:D$1002,SMALL(IF((Expenses!E$3:E$1002="GBP")*(Expenses!A$3:A$1002=DATE(2026,5,11)),ROW(Expenses!A$3:A$1002)-2),1)),0)+IFERROR(INDEX(Income!C$3:C$502,SMALL(IF((Income!D$3:D$502="GBP")*(Income!A$3:A$502=DATE(2026,5,11)),ROW(Income!A$3:A$502)-2),1)),0)=0,"",IFERROR(-INDEX(Expenses!D$3:D$1002,SMALL(IF((Expenses!E$3:E$1002="GBP")*(Expenses!A$3:A$1002=DATE(2026,5,11)),ROW(Expenses!A$3:A$1002)-2),1)),0)+IFERROR(INDEX(Income!C$3:C$502,SMALL(IF((Income!D$3:D$502="GBP")*(Income!A$3:A$502=DATE(2026,5,11)),ROW(Income!A$3:A$502)-2),1)),0))</f>
        <v/>
      </c>
      <c r="D99" s="38" t="str">
        <f aca="false">IF(IFERROR(INDEX(Expenses!B$3:B$1002,SMALL(IF((Expenses!E$3:E$1002="GBP")*(Expenses!A$3:A$1002=DATE(2026,5,11)),ROW(Expenses!A$3:A$1002)-2),1)),"")&lt;&gt;"",IFERROR(INDEX(Expenses!B$3:B$1002,SMALL(IF((Expenses!E$3:E$1002="GBP")*(Expenses!A$3:A$1002=DATE(2026,5,11)),ROW(Expenses!A$3:A$1002)-2),1)),""),IF(IFERROR(INDEX(Income!B$3:B$502,SMALL(IF((Income!D$3:D$502="GBP")*(Income!A$3:A$502=DATE(2026,5,11)),ROW(Income!A$3:A$502)-2),1)),"")&lt;&gt;"",IFERROR(INDEX(Income!B$3:B$502,SMALL(IF((Income!D$3:D$502="GBP")*(Income!A$3:A$502=DATE(2026,5,11)),ROW(Income!A$3:A$502)-2),1)),""),""))</f>
        <v/>
      </c>
      <c r="E99" s="62" t="str">
        <f aca="false">IF(IFERROR(-INDEX(Expenses!D$3:D$1002,SMALL(IF((Expenses!E$3:E$1002="GBP")*(Expenses!A$3:A$1002=DATE(2026,5,12)),ROW(Expenses!A$3:A$1002)-2),1)),0)+IFERROR(INDEX(Income!C$3:C$502,SMALL(IF((Income!D$3:D$502="GBP")*(Income!A$3:A$502=DATE(2026,5,12)),ROW(Income!A$3:A$502)-2),1)),0)=0,"",IFERROR(-INDEX(Expenses!D$3:D$1002,SMALL(IF((Expenses!E$3:E$1002="GBP")*(Expenses!A$3:A$1002=DATE(2026,5,12)),ROW(Expenses!A$3:A$1002)-2),1)),0)+IFERROR(INDEX(Income!C$3:C$502,SMALL(IF((Income!D$3:D$502="GBP")*(Income!A$3:A$502=DATE(2026,5,12)),ROW(Income!A$3:A$502)-2),1)),0))</f>
        <v/>
      </c>
      <c r="F99" s="38" t="str">
        <f aca="false">IF(IFERROR(INDEX(Expenses!B$3:B$1002,SMALL(IF((Expenses!E$3:E$1002="GBP")*(Expenses!A$3:A$1002=DATE(2026,5,12)),ROW(Expenses!A$3:A$1002)-2),1)),"")&lt;&gt;"",IFERROR(INDEX(Expenses!B$3:B$1002,SMALL(IF((Expenses!E$3:E$1002="GBP")*(Expenses!A$3:A$1002=DATE(2026,5,12)),ROW(Expenses!A$3:A$1002)-2),1)),""),IF(IFERROR(INDEX(Income!B$3:B$502,SMALL(IF((Income!D$3:D$502="GBP")*(Income!A$3:A$502=DATE(2026,5,12)),ROW(Income!A$3:A$502)-2),1)),"")&lt;&gt;"",IFERROR(INDEX(Income!B$3:B$502,SMALL(IF((Income!D$3:D$502="GBP")*(Income!A$3:A$502=DATE(2026,5,12)),ROW(Income!A$3:A$502)-2),1)),""),""))</f>
        <v/>
      </c>
      <c r="G99" s="62" t="str">
        <f aca="false">IF(IFERROR(-INDEX(Expenses!D$3:D$1002,SMALL(IF((Expenses!E$3:E$1002="GBP")*(Expenses!A$3:A$1002=DATE(2026,5,13)),ROW(Expenses!A$3:A$1002)-2),1)),0)+IFERROR(INDEX(Income!C$3:C$502,SMALL(IF((Income!D$3:D$502="GBP")*(Income!A$3:A$502=DATE(2026,5,13)),ROW(Income!A$3:A$502)-2),1)),0)=0,"",IFERROR(-INDEX(Expenses!D$3:D$1002,SMALL(IF((Expenses!E$3:E$1002="GBP")*(Expenses!A$3:A$1002=DATE(2026,5,13)),ROW(Expenses!A$3:A$1002)-2),1)),0)+IFERROR(INDEX(Income!C$3:C$502,SMALL(IF((Income!D$3:D$502="GBP")*(Income!A$3:A$502=DATE(2026,5,13)),ROW(Income!A$3:A$502)-2),1)),0))</f>
        <v/>
      </c>
      <c r="H99" s="38" t="str">
        <f aca="false">IF(IFERROR(INDEX(Expenses!B$3:B$1002,SMALL(IF((Expenses!E$3:E$1002="GBP")*(Expenses!A$3:A$1002=DATE(2026,5,13)),ROW(Expenses!A$3:A$1002)-2),1)),"")&lt;&gt;"",IFERROR(INDEX(Expenses!B$3:B$1002,SMALL(IF((Expenses!E$3:E$1002="GBP")*(Expenses!A$3:A$1002=DATE(2026,5,13)),ROW(Expenses!A$3:A$1002)-2),1)),""),IF(IFERROR(INDEX(Income!B$3:B$502,SMALL(IF((Income!D$3:D$502="GBP")*(Income!A$3:A$502=DATE(2026,5,13)),ROW(Income!A$3:A$502)-2),1)),"")&lt;&gt;"",IFERROR(INDEX(Income!B$3:B$502,SMALL(IF((Income!D$3:D$502="GBP")*(Income!A$3:A$502=DATE(2026,5,13)),ROW(Income!A$3:A$502)-2),1)),""),""))</f>
        <v/>
      </c>
      <c r="I99" s="62" t="str">
        <f aca="false">IF(IFERROR(-INDEX(Expenses!D$3:D$1002,SMALL(IF((Expenses!E$3:E$1002="GBP")*(Expenses!A$3:A$1002=DATE(2026,5,14)),ROW(Expenses!A$3:A$1002)-2),1)),0)+IFERROR(INDEX(Income!C$3:C$502,SMALL(IF((Income!D$3:D$502="GBP")*(Income!A$3:A$502=DATE(2026,5,14)),ROW(Income!A$3:A$502)-2),1)),0)=0,"",IFERROR(-INDEX(Expenses!D$3:D$1002,SMALL(IF((Expenses!E$3:E$1002="GBP")*(Expenses!A$3:A$1002=DATE(2026,5,14)),ROW(Expenses!A$3:A$1002)-2),1)),0)+IFERROR(INDEX(Income!C$3:C$502,SMALL(IF((Income!D$3:D$502="GBP")*(Income!A$3:A$502=DATE(2026,5,14)),ROW(Income!A$3:A$502)-2),1)),0))</f>
        <v/>
      </c>
      <c r="J99" s="38" t="str">
        <f aca="false">IF(IFERROR(INDEX(Expenses!B$3:B$1002,SMALL(IF((Expenses!E$3:E$1002="GBP")*(Expenses!A$3:A$1002=DATE(2026,5,14)),ROW(Expenses!A$3:A$1002)-2),1)),"")&lt;&gt;"",IFERROR(INDEX(Expenses!B$3:B$1002,SMALL(IF((Expenses!E$3:E$1002="GBP")*(Expenses!A$3:A$1002=DATE(2026,5,14)),ROW(Expenses!A$3:A$1002)-2),1)),""),IF(IFERROR(INDEX(Income!B$3:B$502,SMALL(IF((Income!D$3:D$502="GBP")*(Income!A$3:A$502=DATE(2026,5,14)),ROW(Income!A$3:A$502)-2),1)),"")&lt;&gt;"",IFERROR(INDEX(Income!B$3:B$502,SMALL(IF((Income!D$3:D$502="GBP")*(Income!A$3:A$502=DATE(2026,5,14)),ROW(Income!A$3:A$502)-2),1)),""),""))</f>
        <v/>
      </c>
      <c r="K99" s="62" t="str">
        <f aca="false">IF(IFERROR(-INDEX(Expenses!D$3:D$1002,SMALL(IF((Expenses!E$3:E$1002="GBP")*(Expenses!A$3:A$1002=DATE(2026,5,15)),ROW(Expenses!A$3:A$1002)-2),1)),0)+IFERROR(INDEX(Income!C$3:C$502,SMALL(IF((Income!D$3:D$502="GBP")*(Income!A$3:A$502=DATE(2026,5,15)),ROW(Income!A$3:A$502)-2),1)),0)=0,"",IFERROR(-INDEX(Expenses!D$3:D$1002,SMALL(IF((Expenses!E$3:E$1002="GBP")*(Expenses!A$3:A$1002=DATE(2026,5,15)),ROW(Expenses!A$3:A$1002)-2),1)),0)+IFERROR(INDEX(Income!C$3:C$502,SMALL(IF((Income!D$3:D$502="GBP")*(Income!A$3:A$502=DATE(2026,5,15)),ROW(Income!A$3:A$502)-2),1)),0))</f>
        <v/>
      </c>
      <c r="L99" s="38" t="str">
        <f aca="false">IF(IFERROR(INDEX(Expenses!B$3:B$1002,SMALL(IF((Expenses!E$3:E$1002="GBP")*(Expenses!A$3:A$1002=DATE(2026,5,15)),ROW(Expenses!A$3:A$1002)-2),1)),"")&lt;&gt;"",IFERROR(INDEX(Expenses!B$3:B$1002,SMALL(IF((Expenses!E$3:E$1002="GBP")*(Expenses!A$3:A$1002=DATE(2026,5,15)),ROW(Expenses!A$3:A$1002)-2),1)),""),IF(IFERROR(INDEX(Income!B$3:B$502,SMALL(IF((Income!D$3:D$502="GBP")*(Income!A$3:A$502=DATE(2026,5,15)),ROW(Income!A$3:A$502)-2),1)),"")&lt;&gt;"",IFERROR(INDEX(Income!B$3:B$502,SMALL(IF((Income!D$3:D$502="GBP")*(Income!A$3:A$502=DATE(2026,5,15)),ROW(Income!A$3:A$502)-2),1)),""),""))</f>
        <v/>
      </c>
      <c r="M99" s="62" t="str">
        <f aca="false">IF(IFERROR(-INDEX(Expenses!D$3:D$1002,SMALL(IF((Expenses!E$3:E$1002="GBP")*(Expenses!A$3:A$1002=DATE(2026,5,16)),ROW(Expenses!A$3:A$1002)-2),1)),0)+IFERROR(INDEX(Income!C$3:C$502,SMALL(IF((Income!D$3:D$502="GBP")*(Income!A$3:A$502=DATE(2026,5,16)),ROW(Income!A$3:A$502)-2),1)),0)=0,"",IFERROR(-INDEX(Expenses!D$3:D$1002,SMALL(IF((Expenses!E$3:E$1002="GBP")*(Expenses!A$3:A$1002=DATE(2026,5,16)),ROW(Expenses!A$3:A$1002)-2),1)),0)+IFERROR(INDEX(Income!C$3:C$502,SMALL(IF((Income!D$3:D$502="GBP")*(Income!A$3:A$502=DATE(2026,5,16)),ROW(Income!A$3:A$502)-2),1)),0))</f>
        <v/>
      </c>
      <c r="N99" s="38" t="str">
        <f aca="false">IF(IFERROR(INDEX(Expenses!B$3:B$1002,SMALL(IF((Expenses!E$3:E$1002="GBP")*(Expenses!A$3:A$1002=DATE(2026,5,16)),ROW(Expenses!A$3:A$1002)-2),1)),"")&lt;&gt;"",IFERROR(INDEX(Expenses!B$3:B$1002,SMALL(IF((Expenses!E$3:E$1002="GBP")*(Expenses!A$3:A$1002=DATE(2026,5,16)),ROW(Expenses!A$3:A$1002)-2),1)),""),IF(IFERROR(INDEX(Income!B$3:B$502,SMALL(IF((Income!D$3:D$502="GBP")*(Income!A$3:A$502=DATE(2026,5,16)),ROW(Income!A$3:A$502)-2),1)),"")&lt;&gt;"",IFERROR(INDEX(Income!B$3:B$502,SMALL(IF((Income!D$3:D$502="GBP")*(Income!A$3:A$502=DATE(2026,5,16)),ROW(Income!A$3:A$502)-2),1)),""),""))</f>
        <v/>
      </c>
      <c r="O99" s="62" t="str">
        <f aca="false">IF(IFERROR(-INDEX(Expenses!D$3:D$1002,SMALL(IF((Expenses!E$3:E$1002="GBP")*(Expenses!A$3:A$1002=DATE(2026,5,17)),ROW(Expenses!A$3:A$1002)-2),1)),0)+IFERROR(INDEX(Income!C$3:C$502,SMALL(IF((Income!D$3:D$502="GBP")*(Income!A$3:A$502=DATE(2026,5,17)),ROW(Income!A$3:A$502)-2),1)),0)=0,"",IFERROR(-INDEX(Expenses!D$3:D$1002,SMALL(IF((Expenses!E$3:E$1002="GBP")*(Expenses!A$3:A$1002=DATE(2026,5,17)),ROW(Expenses!A$3:A$1002)-2),1)),0)+IFERROR(INDEX(Income!C$3:C$502,SMALL(IF((Income!D$3:D$502="GBP")*(Income!A$3:A$502=DATE(2026,5,17)),ROW(Income!A$3:A$502)-2),1)),0))</f>
        <v/>
      </c>
      <c r="P99" s="38" t="str">
        <f aca="false">IF(IFERROR(INDEX(Expenses!B$3:B$1002,SMALL(IF((Expenses!E$3:E$1002="GBP")*(Expenses!A$3:A$1002=DATE(2026,5,17)),ROW(Expenses!A$3:A$1002)-2),1)),"")&lt;&gt;"",IFERROR(INDEX(Expenses!B$3:B$1002,SMALL(IF((Expenses!E$3:E$1002="GBP")*(Expenses!A$3:A$1002=DATE(2026,5,17)),ROW(Expenses!A$3:A$1002)-2),1)),""),IF(IFERROR(INDEX(Income!B$3:B$502,SMALL(IF((Income!D$3:D$502="GBP")*(Income!A$3:A$502=DATE(2026,5,17)),ROW(Income!A$3:A$502)-2),1)),"")&lt;&gt;"",IFERROR(INDEX(Income!B$3:B$502,SMALL(IF((Income!D$3:D$502="GBP")*(Income!A$3:A$502=DATE(2026,5,17)),ROW(Income!A$3:A$502)-2),1)),""),""))</f>
        <v/>
      </c>
      <c r="Q99" s="3" t="n">
        <v>20</v>
      </c>
      <c r="R99" s="45" t="n">
        <f aca="false">SUM(C99:C103)+SUM(E99:E103)+SUM(G99:G103)+SUM(I99:I103)+SUM(K99:K103)+SUM(M99:M103)+SUM(O99:O103)</f>
        <v>0</v>
      </c>
    </row>
    <row r="100" customFormat="false" ht="15" hidden="false" customHeight="false" outlineLevel="0" collapsed="false">
      <c r="A100" s="16"/>
      <c r="B100" s="16"/>
      <c r="C100" s="62" t="str">
        <f aca="false">IF(IFERROR(-INDEX(Expenses!D$3:D$1002,SMALL(IF((Expenses!E$3:E$1002="GBP")*(Expenses!A$3:A$1002=DATE(2026,5,11)),ROW(Expenses!A$3:A$1002)-2),2)),0)+IFERROR(INDEX(Income!C$3:C$502,SMALL(IF((Income!D$3:D$502="GBP")*(Income!A$3:A$502=DATE(2026,5,11)),ROW(Income!A$3:A$502)-2),2)),0)=0,"",IFERROR(-INDEX(Expenses!D$3:D$1002,SMALL(IF((Expenses!E$3:E$1002="GBP")*(Expenses!A$3:A$1002=DATE(2026,5,11)),ROW(Expenses!A$3:A$1002)-2),2)),0)+IFERROR(INDEX(Income!C$3:C$502,SMALL(IF((Income!D$3:D$502="GBP")*(Income!A$3:A$502=DATE(2026,5,11)),ROW(Income!A$3:A$502)-2),2)),0))</f>
        <v/>
      </c>
      <c r="D100" s="38" t="str">
        <f aca="false">IF(IFERROR(INDEX(Expenses!B$3:B$1002,SMALL(IF((Expenses!E$3:E$1002="GBP")*(Expenses!A$3:A$1002=DATE(2026,5,11)),ROW(Expenses!A$3:A$1002)-2),2)),"")&lt;&gt;"",IFERROR(INDEX(Expenses!B$3:B$1002,SMALL(IF((Expenses!E$3:E$1002="GBP")*(Expenses!A$3:A$1002=DATE(2026,5,11)),ROW(Expenses!A$3:A$1002)-2),2)),""),IF(IFERROR(INDEX(Income!B$3:B$502,SMALL(IF((Income!D$3:D$502="GBP")*(Income!A$3:A$502=DATE(2026,5,11)),ROW(Income!A$3:A$502)-2),2)),"")&lt;&gt;"",IFERROR(INDEX(Income!B$3:B$502,SMALL(IF((Income!D$3:D$502="GBP")*(Income!A$3:A$502=DATE(2026,5,11)),ROW(Income!A$3:A$502)-2),2)),""),""))</f>
        <v/>
      </c>
      <c r="E100" s="62" t="str">
        <f aca="false">IF(IFERROR(-INDEX(Expenses!D$3:D$1002,SMALL(IF((Expenses!E$3:E$1002="GBP")*(Expenses!A$3:A$1002=DATE(2026,5,12)),ROW(Expenses!A$3:A$1002)-2),2)),0)+IFERROR(INDEX(Income!C$3:C$502,SMALL(IF((Income!D$3:D$502="GBP")*(Income!A$3:A$502=DATE(2026,5,12)),ROW(Income!A$3:A$502)-2),2)),0)=0,"",IFERROR(-INDEX(Expenses!D$3:D$1002,SMALL(IF((Expenses!E$3:E$1002="GBP")*(Expenses!A$3:A$1002=DATE(2026,5,12)),ROW(Expenses!A$3:A$1002)-2),2)),0)+IFERROR(INDEX(Income!C$3:C$502,SMALL(IF((Income!D$3:D$502="GBP")*(Income!A$3:A$502=DATE(2026,5,12)),ROW(Income!A$3:A$502)-2),2)),0))</f>
        <v/>
      </c>
      <c r="F100" s="38" t="str">
        <f aca="false">IF(IFERROR(INDEX(Expenses!B$3:B$1002,SMALL(IF((Expenses!E$3:E$1002="GBP")*(Expenses!A$3:A$1002=DATE(2026,5,12)),ROW(Expenses!A$3:A$1002)-2),2)),"")&lt;&gt;"",IFERROR(INDEX(Expenses!B$3:B$1002,SMALL(IF((Expenses!E$3:E$1002="GBP")*(Expenses!A$3:A$1002=DATE(2026,5,12)),ROW(Expenses!A$3:A$1002)-2),2)),""),IF(IFERROR(INDEX(Income!B$3:B$502,SMALL(IF((Income!D$3:D$502="GBP")*(Income!A$3:A$502=DATE(2026,5,12)),ROW(Income!A$3:A$502)-2),2)),"")&lt;&gt;"",IFERROR(INDEX(Income!B$3:B$502,SMALL(IF((Income!D$3:D$502="GBP")*(Income!A$3:A$502=DATE(2026,5,12)),ROW(Income!A$3:A$502)-2),2)),""),""))</f>
        <v/>
      </c>
      <c r="G100" s="62" t="str">
        <f aca="false">IF(IFERROR(-INDEX(Expenses!D$3:D$1002,SMALL(IF((Expenses!E$3:E$1002="GBP")*(Expenses!A$3:A$1002=DATE(2026,5,13)),ROW(Expenses!A$3:A$1002)-2),2)),0)+IFERROR(INDEX(Income!C$3:C$502,SMALL(IF((Income!D$3:D$502="GBP")*(Income!A$3:A$502=DATE(2026,5,13)),ROW(Income!A$3:A$502)-2),2)),0)=0,"",IFERROR(-INDEX(Expenses!D$3:D$1002,SMALL(IF((Expenses!E$3:E$1002="GBP")*(Expenses!A$3:A$1002=DATE(2026,5,13)),ROW(Expenses!A$3:A$1002)-2),2)),0)+IFERROR(INDEX(Income!C$3:C$502,SMALL(IF((Income!D$3:D$502="GBP")*(Income!A$3:A$502=DATE(2026,5,13)),ROW(Income!A$3:A$502)-2),2)),0))</f>
        <v/>
      </c>
      <c r="H100" s="38" t="str">
        <f aca="false">IF(IFERROR(INDEX(Expenses!B$3:B$1002,SMALL(IF((Expenses!E$3:E$1002="GBP")*(Expenses!A$3:A$1002=DATE(2026,5,13)),ROW(Expenses!A$3:A$1002)-2),2)),"")&lt;&gt;"",IFERROR(INDEX(Expenses!B$3:B$1002,SMALL(IF((Expenses!E$3:E$1002="GBP")*(Expenses!A$3:A$1002=DATE(2026,5,13)),ROW(Expenses!A$3:A$1002)-2),2)),""),IF(IFERROR(INDEX(Income!B$3:B$502,SMALL(IF((Income!D$3:D$502="GBP")*(Income!A$3:A$502=DATE(2026,5,13)),ROW(Income!A$3:A$502)-2),2)),"")&lt;&gt;"",IFERROR(INDEX(Income!B$3:B$502,SMALL(IF((Income!D$3:D$502="GBP")*(Income!A$3:A$502=DATE(2026,5,13)),ROW(Income!A$3:A$502)-2),2)),""),""))</f>
        <v/>
      </c>
      <c r="I100" s="62" t="str">
        <f aca="false">IF(IFERROR(-INDEX(Expenses!D$3:D$1002,SMALL(IF((Expenses!E$3:E$1002="GBP")*(Expenses!A$3:A$1002=DATE(2026,5,14)),ROW(Expenses!A$3:A$1002)-2),2)),0)+IFERROR(INDEX(Income!C$3:C$502,SMALL(IF((Income!D$3:D$502="GBP")*(Income!A$3:A$502=DATE(2026,5,14)),ROW(Income!A$3:A$502)-2),2)),0)=0,"",IFERROR(-INDEX(Expenses!D$3:D$1002,SMALL(IF((Expenses!E$3:E$1002="GBP")*(Expenses!A$3:A$1002=DATE(2026,5,14)),ROW(Expenses!A$3:A$1002)-2),2)),0)+IFERROR(INDEX(Income!C$3:C$502,SMALL(IF((Income!D$3:D$502="GBP")*(Income!A$3:A$502=DATE(2026,5,14)),ROW(Income!A$3:A$502)-2),2)),0))</f>
        <v/>
      </c>
      <c r="J100" s="38" t="str">
        <f aca="false">IF(IFERROR(INDEX(Expenses!B$3:B$1002,SMALL(IF((Expenses!E$3:E$1002="GBP")*(Expenses!A$3:A$1002=DATE(2026,5,14)),ROW(Expenses!A$3:A$1002)-2),2)),"")&lt;&gt;"",IFERROR(INDEX(Expenses!B$3:B$1002,SMALL(IF((Expenses!E$3:E$1002="GBP")*(Expenses!A$3:A$1002=DATE(2026,5,14)),ROW(Expenses!A$3:A$1002)-2),2)),""),IF(IFERROR(INDEX(Income!B$3:B$502,SMALL(IF((Income!D$3:D$502="GBP")*(Income!A$3:A$502=DATE(2026,5,14)),ROW(Income!A$3:A$502)-2),2)),"")&lt;&gt;"",IFERROR(INDEX(Income!B$3:B$502,SMALL(IF((Income!D$3:D$502="GBP")*(Income!A$3:A$502=DATE(2026,5,14)),ROW(Income!A$3:A$502)-2),2)),""),""))</f>
        <v/>
      </c>
      <c r="K100" s="62" t="str">
        <f aca="false">IF(IFERROR(-INDEX(Expenses!D$3:D$1002,SMALL(IF((Expenses!E$3:E$1002="GBP")*(Expenses!A$3:A$1002=DATE(2026,5,15)),ROW(Expenses!A$3:A$1002)-2),2)),0)+IFERROR(INDEX(Income!C$3:C$502,SMALL(IF((Income!D$3:D$502="GBP")*(Income!A$3:A$502=DATE(2026,5,15)),ROW(Income!A$3:A$502)-2),2)),0)=0,"",IFERROR(-INDEX(Expenses!D$3:D$1002,SMALL(IF((Expenses!E$3:E$1002="GBP")*(Expenses!A$3:A$1002=DATE(2026,5,15)),ROW(Expenses!A$3:A$1002)-2),2)),0)+IFERROR(INDEX(Income!C$3:C$502,SMALL(IF((Income!D$3:D$502="GBP")*(Income!A$3:A$502=DATE(2026,5,15)),ROW(Income!A$3:A$502)-2),2)),0))</f>
        <v/>
      </c>
      <c r="L100" s="38" t="str">
        <f aca="false">IF(IFERROR(INDEX(Expenses!B$3:B$1002,SMALL(IF((Expenses!E$3:E$1002="GBP")*(Expenses!A$3:A$1002=DATE(2026,5,15)),ROW(Expenses!A$3:A$1002)-2),2)),"")&lt;&gt;"",IFERROR(INDEX(Expenses!B$3:B$1002,SMALL(IF((Expenses!E$3:E$1002="GBP")*(Expenses!A$3:A$1002=DATE(2026,5,15)),ROW(Expenses!A$3:A$1002)-2),2)),""),IF(IFERROR(INDEX(Income!B$3:B$502,SMALL(IF((Income!D$3:D$502="GBP")*(Income!A$3:A$502=DATE(2026,5,15)),ROW(Income!A$3:A$502)-2),2)),"")&lt;&gt;"",IFERROR(INDEX(Income!B$3:B$502,SMALL(IF((Income!D$3:D$502="GBP")*(Income!A$3:A$502=DATE(2026,5,15)),ROW(Income!A$3:A$502)-2),2)),""),""))</f>
        <v/>
      </c>
      <c r="M100" s="62" t="str">
        <f aca="false">IF(IFERROR(-INDEX(Expenses!D$3:D$1002,SMALL(IF((Expenses!E$3:E$1002="GBP")*(Expenses!A$3:A$1002=DATE(2026,5,16)),ROW(Expenses!A$3:A$1002)-2),2)),0)+IFERROR(INDEX(Income!C$3:C$502,SMALL(IF((Income!D$3:D$502="GBP")*(Income!A$3:A$502=DATE(2026,5,16)),ROW(Income!A$3:A$502)-2),2)),0)=0,"",IFERROR(-INDEX(Expenses!D$3:D$1002,SMALL(IF((Expenses!E$3:E$1002="GBP")*(Expenses!A$3:A$1002=DATE(2026,5,16)),ROW(Expenses!A$3:A$1002)-2),2)),0)+IFERROR(INDEX(Income!C$3:C$502,SMALL(IF((Income!D$3:D$502="GBP")*(Income!A$3:A$502=DATE(2026,5,16)),ROW(Income!A$3:A$502)-2),2)),0))</f>
        <v/>
      </c>
      <c r="N100" s="38" t="str">
        <f aca="false">IF(IFERROR(INDEX(Expenses!B$3:B$1002,SMALL(IF((Expenses!E$3:E$1002="GBP")*(Expenses!A$3:A$1002=DATE(2026,5,16)),ROW(Expenses!A$3:A$1002)-2),2)),"")&lt;&gt;"",IFERROR(INDEX(Expenses!B$3:B$1002,SMALL(IF((Expenses!E$3:E$1002="GBP")*(Expenses!A$3:A$1002=DATE(2026,5,16)),ROW(Expenses!A$3:A$1002)-2),2)),""),IF(IFERROR(INDEX(Income!B$3:B$502,SMALL(IF((Income!D$3:D$502="GBP")*(Income!A$3:A$502=DATE(2026,5,16)),ROW(Income!A$3:A$502)-2),2)),"")&lt;&gt;"",IFERROR(INDEX(Income!B$3:B$502,SMALL(IF((Income!D$3:D$502="GBP")*(Income!A$3:A$502=DATE(2026,5,16)),ROW(Income!A$3:A$502)-2),2)),""),""))</f>
        <v/>
      </c>
      <c r="O100" s="62" t="str">
        <f aca="false">IF(IFERROR(-INDEX(Expenses!D$3:D$1002,SMALL(IF((Expenses!E$3:E$1002="GBP")*(Expenses!A$3:A$1002=DATE(2026,5,17)),ROW(Expenses!A$3:A$1002)-2),2)),0)+IFERROR(INDEX(Income!C$3:C$502,SMALL(IF((Income!D$3:D$502="GBP")*(Income!A$3:A$502=DATE(2026,5,17)),ROW(Income!A$3:A$502)-2),2)),0)=0,"",IFERROR(-INDEX(Expenses!D$3:D$1002,SMALL(IF((Expenses!E$3:E$1002="GBP")*(Expenses!A$3:A$1002=DATE(2026,5,17)),ROW(Expenses!A$3:A$1002)-2),2)),0)+IFERROR(INDEX(Income!C$3:C$502,SMALL(IF((Income!D$3:D$502="GBP")*(Income!A$3:A$502=DATE(2026,5,17)),ROW(Income!A$3:A$502)-2),2)),0))</f>
        <v/>
      </c>
      <c r="P100" s="38" t="str">
        <f aca="false">IF(IFERROR(INDEX(Expenses!B$3:B$1002,SMALL(IF((Expenses!E$3:E$1002="GBP")*(Expenses!A$3:A$1002=DATE(2026,5,17)),ROW(Expenses!A$3:A$1002)-2),2)),"")&lt;&gt;"",IFERROR(INDEX(Expenses!B$3:B$1002,SMALL(IF((Expenses!E$3:E$1002="GBP")*(Expenses!A$3:A$1002=DATE(2026,5,17)),ROW(Expenses!A$3:A$1002)-2),2)),""),IF(IFERROR(INDEX(Income!B$3:B$502,SMALL(IF((Income!D$3:D$502="GBP")*(Income!A$3:A$502=DATE(2026,5,17)),ROW(Income!A$3:A$502)-2),2)),"")&lt;&gt;"",IFERROR(INDEX(Income!B$3:B$502,SMALL(IF((Income!D$3:D$502="GBP")*(Income!A$3:A$502=DATE(2026,5,17)),ROW(Income!A$3:A$502)-2),2)),""),""))</f>
        <v/>
      </c>
      <c r="Q100" s="16"/>
      <c r="R100" s="16"/>
    </row>
    <row r="101" customFormat="false" ht="15" hidden="false" customHeight="false" outlineLevel="0" collapsed="false">
      <c r="A101" s="16"/>
      <c r="B101" s="16"/>
      <c r="C101" s="62" t="str">
        <f aca="false">IF(IFERROR(-INDEX(Expenses!D$3:D$1002,SMALL(IF((Expenses!E$3:E$1002="GBP")*(Expenses!A$3:A$1002=DATE(2026,5,11)),ROW(Expenses!A$3:A$1002)-2),3)),0)+IFERROR(INDEX(Income!C$3:C$502,SMALL(IF((Income!D$3:D$502="GBP")*(Income!A$3:A$502=DATE(2026,5,11)),ROW(Income!A$3:A$502)-2),3)),0)=0,"",IFERROR(-INDEX(Expenses!D$3:D$1002,SMALL(IF((Expenses!E$3:E$1002="GBP")*(Expenses!A$3:A$1002=DATE(2026,5,11)),ROW(Expenses!A$3:A$1002)-2),3)),0)+IFERROR(INDEX(Income!C$3:C$502,SMALL(IF((Income!D$3:D$502="GBP")*(Income!A$3:A$502=DATE(2026,5,11)),ROW(Income!A$3:A$502)-2),3)),0))</f>
        <v/>
      </c>
      <c r="D101" s="38" t="str">
        <f aca="false">IF(IFERROR(INDEX(Expenses!B$3:B$1002,SMALL(IF((Expenses!E$3:E$1002="GBP")*(Expenses!A$3:A$1002=DATE(2026,5,11)),ROW(Expenses!A$3:A$1002)-2),3)),"")&lt;&gt;"",IFERROR(INDEX(Expenses!B$3:B$1002,SMALL(IF((Expenses!E$3:E$1002="GBP")*(Expenses!A$3:A$1002=DATE(2026,5,11)),ROW(Expenses!A$3:A$1002)-2),3)),""),IF(IFERROR(INDEX(Income!B$3:B$502,SMALL(IF((Income!D$3:D$502="GBP")*(Income!A$3:A$502=DATE(2026,5,11)),ROW(Income!A$3:A$502)-2),3)),"")&lt;&gt;"",IFERROR(INDEX(Income!B$3:B$502,SMALL(IF((Income!D$3:D$502="GBP")*(Income!A$3:A$502=DATE(2026,5,11)),ROW(Income!A$3:A$502)-2),3)),""),""))</f>
        <v/>
      </c>
      <c r="E101" s="62" t="str">
        <f aca="false">IF(IFERROR(-INDEX(Expenses!D$3:D$1002,SMALL(IF((Expenses!E$3:E$1002="GBP")*(Expenses!A$3:A$1002=DATE(2026,5,12)),ROW(Expenses!A$3:A$1002)-2),3)),0)+IFERROR(INDEX(Income!C$3:C$502,SMALL(IF((Income!D$3:D$502="GBP")*(Income!A$3:A$502=DATE(2026,5,12)),ROW(Income!A$3:A$502)-2),3)),0)=0,"",IFERROR(-INDEX(Expenses!D$3:D$1002,SMALL(IF((Expenses!E$3:E$1002="GBP")*(Expenses!A$3:A$1002=DATE(2026,5,12)),ROW(Expenses!A$3:A$1002)-2),3)),0)+IFERROR(INDEX(Income!C$3:C$502,SMALL(IF((Income!D$3:D$502="GBP")*(Income!A$3:A$502=DATE(2026,5,12)),ROW(Income!A$3:A$502)-2),3)),0))</f>
        <v/>
      </c>
      <c r="F101" s="38" t="str">
        <f aca="false">IF(IFERROR(INDEX(Expenses!B$3:B$1002,SMALL(IF((Expenses!E$3:E$1002="GBP")*(Expenses!A$3:A$1002=DATE(2026,5,12)),ROW(Expenses!A$3:A$1002)-2),3)),"")&lt;&gt;"",IFERROR(INDEX(Expenses!B$3:B$1002,SMALL(IF((Expenses!E$3:E$1002="GBP")*(Expenses!A$3:A$1002=DATE(2026,5,12)),ROW(Expenses!A$3:A$1002)-2),3)),""),IF(IFERROR(INDEX(Income!B$3:B$502,SMALL(IF((Income!D$3:D$502="GBP")*(Income!A$3:A$502=DATE(2026,5,12)),ROW(Income!A$3:A$502)-2),3)),"")&lt;&gt;"",IFERROR(INDEX(Income!B$3:B$502,SMALL(IF((Income!D$3:D$502="GBP")*(Income!A$3:A$502=DATE(2026,5,12)),ROW(Income!A$3:A$502)-2),3)),""),""))</f>
        <v/>
      </c>
      <c r="G101" s="62" t="str">
        <f aca="false">IF(IFERROR(-INDEX(Expenses!D$3:D$1002,SMALL(IF((Expenses!E$3:E$1002="GBP")*(Expenses!A$3:A$1002=DATE(2026,5,13)),ROW(Expenses!A$3:A$1002)-2),3)),0)+IFERROR(INDEX(Income!C$3:C$502,SMALL(IF((Income!D$3:D$502="GBP")*(Income!A$3:A$502=DATE(2026,5,13)),ROW(Income!A$3:A$502)-2),3)),0)=0,"",IFERROR(-INDEX(Expenses!D$3:D$1002,SMALL(IF((Expenses!E$3:E$1002="GBP")*(Expenses!A$3:A$1002=DATE(2026,5,13)),ROW(Expenses!A$3:A$1002)-2),3)),0)+IFERROR(INDEX(Income!C$3:C$502,SMALL(IF((Income!D$3:D$502="GBP")*(Income!A$3:A$502=DATE(2026,5,13)),ROW(Income!A$3:A$502)-2),3)),0))</f>
        <v/>
      </c>
      <c r="H101" s="38" t="str">
        <f aca="false">IF(IFERROR(INDEX(Expenses!B$3:B$1002,SMALL(IF((Expenses!E$3:E$1002="GBP")*(Expenses!A$3:A$1002=DATE(2026,5,13)),ROW(Expenses!A$3:A$1002)-2),3)),"")&lt;&gt;"",IFERROR(INDEX(Expenses!B$3:B$1002,SMALL(IF((Expenses!E$3:E$1002="GBP")*(Expenses!A$3:A$1002=DATE(2026,5,13)),ROW(Expenses!A$3:A$1002)-2),3)),""),IF(IFERROR(INDEX(Income!B$3:B$502,SMALL(IF((Income!D$3:D$502="GBP")*(Income!A$3:A$502=DATE(2026,5,13)),ROW(Income!A$3:A$502)-2),3)),"")&lt;&gt;"",IFERROR(INDEX(Income!B$3:B$502,SMALL(IF((Income!D$3:D$502="GBP")*(Income!A$3:A$502=DATE(2026,5,13)),ROW(Income!A$3:A$502)-2),3)),""),""))</f>
        <v/>
      </c>
      <c r="I101" s="62" t="str">
        <f aca="false">IF(IFERROR(-INDEX(Expenses!D$3:D$1002,SMALL(IF((Expenses!E$3:E$1002="GBP")*(Expenses!A$3:A$1002=DATE(2026,5,14)),ROW(Expenses!A$3:A$1002)-2),3)),0)+IFERROR(INDEX(Income!C$3:C$502,SMALL(IF((Income!D$3:D$502="GBP")*(Income!A$3:A$502=DATE(2026,5,14)),ROW(Income!A$3:A$502)-2),3)),0)=0,"",IFERROR(-INDEX(Expenses!D$3:D$1002,SMALL(IF((Expenses!E$3:E$1002="GBP")*(Expenses!A$3:A$1002=DATE(2026,5,14)),ROW(Expenses!A$3:A$1002)-2),3)),0)+IFERROR(INDEX(Income!C$3:C$502,SMALL(IF((Income!D$3:D$502="GBP")*(Income!A$3:A$502=DATE(2026,5,14)),ROW(Income!A$3:A$502)-2),3)),0))</f>
        <v/>
      </c>
      <c r="J101" s="38" t="str">
        <f aca="false">IF(IFERROR(INDEX(Expenses!B$3:B$1002,SMALL(IF((Expenses!E$3:E$1002="GBP")*(Expenses!A$3:A$1002=DATE(2026,5,14)),ROW(Expenses!A$3:A$1002)-2),3)),"")&lt;&gt;"",IFERROR(INDEX(Expenses!B$3:B$1002,SMALL(IF((Expenses!E$3:E$1002="GBP")*(Expenses!A$3:A$1002=DATE(2026,5,14)),ROW(Expenses!A$3:A$1002)-2),3)),""),IF(IFERROR(INDEX(Income!B$3:B$502,SMALL(IF((Income!D$3:D$502="GBP")*(Income!A$3:A$502=DATE(2026,5,14)),ROW(Income!A$3:A$502)-2),3)),"")&lt;&gt;"",IFERROR(INDEX(Income!B$3:B$502,SMALL(IF((Income!D$3:D$502="GBP")*(Income!A$3:A$502=DATE(2026,5,14)),ROW(Income!A$3:A$502)-2),3)),""),""))</f>
        <v/>
      </c>
      <c r="K101" s="62" t="str">
        <f aca="false">IF(IFERROR(-INDEX(Expenses!D$3:D$1002,SMALL(IF((Expenses!E$3:E$1002="GBP")*(Expenses!A$3:A$1002=DATE(2026,5,15)),ROW(Expenses!A$3:A$1002)-2),3)),0)+IFERROR(INDEX(Income!C$3:C$502,SMALL(IF((Income!D$3:D$502="GBP")*(Income!A$3:A$502=DATE(2026,5,15)),ROW(Income!A$3:A$502)-2),3)),0)=0,"",IFERROR(-INDEX(Expenses!D$3:D$1002,SMALL(IF((Expenses!E$3:E$1002="GBP")*(Expenses!A$3:A$1002=DATE(2026,5,15)),ROW(Expenses!A$3:A$1002)-2),3)),0)+IFERROR(INDEX(Income!C$3:C$502,SMALL(IF((Income!D$3:D$502="GBP")*(Income!A$3:A$502=DATE(2026,5,15)),ROW(Income!A$3:A$502)-2),3)),0))</f>
        <v/>
      </c>
      <c r="L101" s="38" t="str">
        <f aca="false">IF(IFERROR(INDEX(Expenses!B$3:B$1002,SMALL(IF((Expenses!E$3:E$1002="GBP")*(Expenses!A$3:A$1002=DATE(2026,5,15)),ROW(Expenses!A$3:A$1002)-2),3)),"")&lt;&gt;"",IFERROR(INDEX(Expenses!B$3:B$1002,SMALL(IF((Expenses!E$3:E$1002="GBP")*(Expenses!A$3:A$1002=DATE(2026,5,15)),ROW(Expenses!A$3:A$1002)-2),3)),""),IF(IFERROR(INDEX(Income!B$3:B$502,SMALL(IF((Income!D$3:D$502="GBP")*(Income!A$3:A$502=DATE(2026,5,15)),ROW(Income!A$3:A$502)-2),3)),"")&lt;&gt;"",IFERROR(INDEX(Income!B$3:B$502,SMALL(IF((Income!D$3:D$502="GBP")*(Income!A$3:A$502=DATE(2026,5,15)),ROW(Income!A$3:A$502)-2),3)),""),""))</f>
        <v/>
      </c>
      <c r="M101" s="62" t="str">
        <f aca="false">IF(IFERROR(-INDEX(Expenses!D$3:D$1002,SMALL(IF((Expenses!E$3:E$1002="GBP")*(Expenses!A$3:A$1002=DATE(2026,5,16)),ROW(Expenses!A$3:A$1002)-2),3)),0)+IFERROR(INDEX(Income!C$3:C$502,SMALL(IF((Income!D$3:D$502="GBP")*(Income!A$3:A$502=DATE(2026,5,16)),ROW(Income!A$3:A$502)-2),3)),0)=0,"",IFERROR(-INDEX(Expenses!D$3:D$1002,SMALL(IF((Expenses!E$3:E$1002="GBP")*(Expenses!A$3:A$1002=DATE(2026,5,16)),ROW(Expenses!A$3:A$1002)-2),3)),0)+IFERROR(INDEX(Income!C$3:C$502,SMALL(IF((Income!D$3:D$502="GBP")*(Income!A$3:A$502=DATE(2026,5,16)),ROW(Income!A$3:A$502)-2),3)),0))</f>
        <v/>
      </c>
      <c r="N101" s="38" t="str">
        <f aca="false">IF(IFERROR(INDEX(Expenses!B$3:B$1002,SMALL(IF((Expenses!E$3:E$1002="GBP")*(Expenses!A$3:A$1002=DATE(2026,5,16)),ROW(Expenses!A$3:A$1002)-2),3)),"")&lt;&gt;"",IFERROR(INDEX(Expenses!B$3:B$1002,SMALL(IF((Expenses!E$3:E$1002="GBP")*(Expenses!A$3:A$1002=DATE(2026,5,16)),ROW(Expenses!A$3:A$1002)-2),3)),""),IF(IFERROR(INDEX(Income!B$3:B$502,SMALL(IF((Income!D$3:D$502="GBP")*(Income!A$3:A$502=DATE(2026,5,16)),ROW(Income!A$3:A$502)-2),3)),"")&lt;&gt;"",IFERROR(INDEX(Income!B$3:B$502,SMALL(IF((Income!D$3:D$502="GBP")*(Income!A$3:A$502=DATE(2026,5,16)),ROW(Income!A$3:A$502)-2),3)),""),""))</f>
        <v/>
      </c>
      <c r="O101" s="62" t="str">
        <f aca="false">IF(IFERROR(-INDEX(Expenses!D$3:D$1002,SMALL(IF((Expenses!E$3:E$1002="GBP")*(Expenses!A$3:A$1002=DATE(2026,5,17)),ROW(Expenses!A$3:A$1002)-2),3)),0)+IFERROR(INDEX(Income!C$3:C$502,SMALL(IF((Income!D$3:D$502="GBP")*(Income!A$3:A$502=DATE(2026,5,17)),ROW(Income!A$3:A$502)-2),3)),0)=0,"",IFERROR(-INDEX(Expenses!D$3:D$1002,SMALL(IF((Expenses!E$3:E$1002="GBP")*(Expenses!A$3:A$1002=DATE(2026,5,17)),ROW(Expenses!A$3:A$1002)-2),3)),0)+IFERROR(INDEX(Income!C$3:C$502,SMALL(IF((Income!D$3:D$502="GBP")*(Income!A$3:A$502=DATE(2026,5,17)),ROW(Income!A$3:A$502)-2),3)),0))</f>
        <v/>
      </c>
      <c r="P101" s="38" t="str">
        <f aca="false">IF(IFERROR(INDEX(Expenses!B$3:B$1002,SMALL(IF((Expenses!E$3:E$1002="GBP")*(Expenses!A$3:A$1002=DATE(2026,5,17)),ROW(Expenses!A$3:A$1002)-2),3)),"")&lt;&gt;"",IFERROR(INDEX(Expenses!B$3:B$1002,SMALL(IF((Expenses!E$3:E$1002="GBP")*(Expenses!A$3:A$1002=DATE(2026,5,17)),ROW(Expenses!A$3:A$1002)-2),3)),""),IF(IFERROR(INDEX(Income!B$3:B$502,SMALL(IF((Income!D$3:D$502="GBP")*(Income!A$3:A$502=DATE(2026,5,17)),ROW(Income!A$3:A$502)-2),3)),"")&lt;&gt;"",IFERROR(INDEX(Income!B$3:B$502,SMALL(IF((Income!D$3:D$502="GBP")*(Income!A$3:A$502=DATE(2026,5,17)),ROW(Income!A$3:A$502)-2),3)),""),""))</f>
        <v/>
      </c>
      <c r="Q101" s="16"/>
      <c r="R101" s="16"/>
    </row>
    <row r="102" customFormat="false" ht="15" hidden="false" customHeight="false" outlineLevel="0" collapsed="false">
      <c r="A102" s="16"/>
      <c r="B102" s="16"/>
      <c r="C102" s="62" t="str">
        <f aca="false">IF(IFERROR(-INDEX(Expenses!D$3:D$1002,SMALL(IF((Expenses!E$3:E$1002="GBP")*(Expenses!A$3:A$1002=DATE(2026,5,11)),ROW(Expenses!A$3:A$1002)-2),4)),0)+IFERROR(INDEX(Income!C$3:C$502,SMALL(IF((Income!D$3:D$502="GBP")*(Income!A$3:A$502=DATE(2026,5,11)),ROW(Income!A$3:A$502)-2),4)),0)=0,"",IFERROR(-INDEX(Expenses!D$3:D$1002,SMALL(IF((Expenses!E$3:E$1002="GBP")*(Expenses!A$3:A$1002=DATE(2026,5,11)),ROW(Expenses!A$3:A$1002)-2),4)),0)+IFERROR(INDEX(Income!C$3:C$502,SMALL(IF((Income!D$3:D$502="GBP")*(Income!A$3:A$502=DATE(2026,5,11)),ROW(Income!A$3:A$502)-2),4)),0))</f>
        <v/>
      </c>
      <c r="D102" s="38" t="str">
        <f aca="false">IF(IFERROR(INDEX(Expenses!B$3:B$1002,SMALL(IF((Expenses!E$3:E$1002="GBP")*(Expenses!A$3:A$1002=DATE(2026,5,11)),ROW(Expenses!A$3:A$1002)-2),4)),"")&lt;&gt;"",IFERROR(INDEX(Expenses!B$3:B$1002,SMALL(IF((Expenses!E$3:E$1002="GBP")*(Expenses!A$3:A$1002=DATE(2026,5,11)),ROW(Expenses!A$3:A$1002)-2),4)),""),IF(IFERROR(INDEX(Income!B$3:B$502,SMALL(IF((Income!D$3:D$502="GBP")*(Income!A$3:A$502=DATE(2026,5,11)),ROW(Income!A$3:A$502)-2),4)),"")&lt;&gt;"",IFERROR(INDEX(Income!B$3:B$502,SMALL(IF((Income!D$3:D$502="GBP")*(Income!A$3:A$502=DATE(2026,5,11)),ROW(Income!A$3:A$502)-2),4)),""),""))</f>
        <v/>
      </c>
      <c r="E102" s="62" t="str">
        <f aca="false">IF(IFERROR(-INDEX(Expenses!D$3:D$1002,SMALL(IF((Expenses!E$3:E$1002="GBP")*(Expenses!A$3:A$1002=DATE(2026,5,12)),ROW(Expenses!A$3:A$1002)-2),4)),0)+IFERROR(INDEX(Income!C$3:C$502,SMALL(IF((Income!D$3:D$502="GBP")*(Income!A$3:A$502=DATE(2026,5,12)),ROW(Income!A$3:A$502)-2),4)),0)=0,"",IFERROR(-INDEX(Expenses!D$3:D$1002,SMALL(IF((Expenses!E$3:E$1002="GBP")*(Expenses!A$3:A$1002=DATE(2026,5,12)),ROW(Expenses!A$3:A$1002)-2),4)),0)+IFERROR(INDEX(Income!C$3:C$502,SMALL(IF((Income!D$3:D$502="GBP")*(Income!A$3:A$502=DATE(2026,5,12)),ROW(Income!A$3:A$502)-2),4)),0))</f>
        <v/>
      </c>
      <c r="F102" s="38" t="str">
        <f aca="false">IF(IFERROR(INDEX(Expenses!B$3:B$1002,SMALL(IF((Expenses!E$3:E$1002="GBP")*(Expenses!A$3:A$1002=DATE(2026,5,12)),ROW(Expenses!A$3:A$1002)-2),4)),"")&lt;&gt;"",IFERROR(INDEX(Expenses!B$3:B$1002,SMALL(IF((Expenses!E$3:E$1002="GBP")*(Expenses!A$3:A$1002=DATE(2026,5,12)),ROW(Expenses!A$3:A$1002)-2),4)),""),IF(IFERROR(INDEX(Income!B$3:B$502,SMALL(IF((Income!D$3:D$502="GBP")*(Income!A$3:A$502=DATE(2026,5,12)),ROW(Income!A$3:A$502)-2),4)),"")&lt;&gt;"",IFERROR(INDEX(Income!B$3:B$502,SMALL(IF((Income!D$3:D$502="GBP")*(Income!A$3:A$502=DATE(2026,5,12)),ROW(Income!A$3:A$502)-2),4)),""),""))</f>
        <v/>
      </c>
      <c r="G102" s="62" t="str">
        <f aca="false">IF(IFERROR(-INDEX(Expenses!D$3:D$1002,SMALL(IF((Expenses!E$3:E$1002="GBP")*(Expenses!A$3:A$1002=DATE(2026,5,13)),ROW(Expenses!A$3:A$1002)-2),4)),0)+IFERROR(INDEX(Income!C$3:C$502,SMALL(IF((Income!D$3:D$502="GBP")*(Income!A$3:A$502=DATE(2026,5,13)),ROW(Income!A$3:A$502)-2),4)),0)=0,"",IFERROR(-INDEX(Expenses!D$3:D$1002,SMALL(IF((Expenses!E$3:E$1002="GBP")*(Expenses!A$3:A$1002=DATE(2026,5,13)),ROW(Expenses!A$3:A$1002)-2),4)),0)+IFERROR(INDEX(Income!C$3:C$502,SMALL(IF((Income!D$3:D$502="GBP")*(Income!A$3:A$502=DATE(2026,5,13)),ROW(Income!A$3:A$502)-2),4)),0))</f>
        <v/>
      </c>
      <c r="H102" s="38" t="str">
        <f aca="false">IF(IFERROR(INDEX(Expenses!B$3:B$1002,SMALL(IF((Expenses!E$3:E$1002="GBP")*(Expenses!A$3:A$1002=DATE(2026,5,13)),ROW(Expenses!A$3:A$1002)-2),4)),"")&lt;&gt;"",IFERROR(INDEX(Expenses!B$3:B$1002,SMALL(IF((Expenses!E$3:E$1002="GBP")*(Expenses!A$3:A$1002=DATE(2026,5,13)),ROW(Expenses!A$3:A$1002)-2),4)),""),IF(IFERROR(INDEX(Income!B$3:B$502,SMALL(IF((Income!D$3:D$502="GBP")*(Income!A$3:A$502=DATE(2026,5,13)),ROW(Income!A$3:A$502)-2),4)),"")&lt;&gt;"",IFERROR(INDEX(Income!B$3:B$502,SMALL(IF((Income!D$3:D$502="GBP")*(Income!A$3:A$502=DATE(2026,5,13)),ROW(Income!A$3:A$502)-2),4)),""),""))</f>
        <v/>
      </c>
      <c r="I102" s="62" t="str">
        <f aca="false">IF(IFERROR(-INDEX(Expenses!D$3:D$1002,SMALL(IF((Expenses!E$3:E$1002="GBP")*(Expenses!A$3:A$1002=DATE(2026,5,14)),ROW(Expenses!A$3:A$1002)-2),4)),0)+IFERROR(INDEX(Income!C$3:C$502,SMALL(IF((Income!D$3:D$502="GBP")*(Income!A$3:A$502=DATE(2026,5,14)),ROW(Income!A$3:A$502)-2),4)),0)=0,"",IFERROR(-INDEX(Expenses!D$3:D$1002,SMALL(IF((Expenses!E$3:E$1002="GBP")*(Expenses!A$3:A$1002=DATE(2026,5,14)),ROW(Expenses!A$3:A$1002)-2),4)),0)+IFERROR(INDEX(Income!C$3:C$502,SMALL(IF((Income!D$3:D$502="GBP")*(Income!A$3:A$502=DATE(2026,5,14)),ROW(Income!A$3:A$502)-2),4)),0))</f>
        <v/>
      </c>
      <c r="J102" s="38" t="str">
        <f aca="false">IF(IFERROR(INDEX(Expenses!B$3:B$1002,SMALL(IF((Expenses!E$3:E$1002="GBP")*(Expenses!A$3:A$1002=DATE(2026,5,14)),ROW(Expenses!A$3:A$1002)-2),4)),"")&lt;&gt;"",IFERROR(INDEX(Expenses!B$3:B$1002,SMALL(IF((Expenses!E$3:E$1002="GBP")*(Expenses!A$3:A$1002=DATE(2026,5,14)),ROW(Expenses!A$3:A$1002)-2),4)),""),IF(IFERROR(INDEX(Income!B$3:B$502,SMALL(IF((Income!D$3:D$502="GBP")*(Income!A$3:A$502=DATE(2026,5,14)),ROW(Income!A$3:A$502)-2),4)),"")&lt;&gt;"",IFERROR(INDEX(Income!B$3:B$502,SMALL(IF((Income!D$3:D$502="GBP")*(Income!A$3:A$502=DATE(2026,5,14)),ROW(Income!A$3:A$502)-2),4)),""),""))</f>
        <v/>
      </c>
      <c r="K102" s="62" t="str">
        <f aca="false">IF(IFERROR(-INDEX(Expenses!D$3:D$1002,SMALL(IF((Expenses!E$3:E$1002="GBP")*(Expenses!A$3:A$1002=DATE(2026,5,15)),ROW(Expenses!A$3:A$1002)-2),4)),0)+IFERROR(INDEX(Income!C$3:C$502,SMALL(IF((Income!D$3:D$502="GBP")*(Income!A$3:A$502=DATE(2026,5,15)),ROW(Income!A$3:A$502)-2),4)),0)=0,"",IFERROR(-INDEX(Expenses!D$3:D$1002,SMALL(IF((Expenses!E$3:E$1002="GBP")*(Expenses!A$3:A$1002=DATE(2026,5,15)),ROW(Expenses!A$3:A$1002)-2),4)),0)+IFERROR(INDEX(Income!C$3:C$502,SMALL(IF((Income!D$3:D$502="GBP")*(Income!A$3:A$502=DATE(2026,5,15)),ROW(Income!A$3:A$502)-2),4)),0))</f>
        <v/>
      </c>
      <c r="L102" s="38" t="str">
        <f aca="false">IF(IFERROR(INDEX(Expenses!B$3:B$1002,SMALL(IF((Expenses!E$3:E$1002="GBP")*(Expenses!A$3:A$1002=DATE(2026,5,15)),ROW(Expenses!A$3:A$1002)-2),4)),"")&lt;&gt;"",IFERROR(INDEX(Expenses!B$3:B$1002,SMALL(IF((Expenses!E$3:E$1002="GBP")*(Expenses!A$3:A$1002=DATE(2026,5,15)),ROW(Expenses!A$3:A$1002)-2),4)),""),IF(IFERROR(INDEX(Income!B$3:B$502,SMALL(IF((Income!D$3:D$502="GBP")*(Income!A$3:A$502=DATE(2026,5,15)),ROW(Income!A$3:A$502)-2),4)),"")&lt;&gt;"",IFERROR(INDEX(Income!B$3:B$502,SMALL(IF((Income!D$3:D$502="GBP")*(Income!A$3:A$502=DATE(2026,5,15)),ROW(Income!A$3:A$502)-2),4)),""),""))</f>
        <v/>
      </c>
      <c r="M102" s="62" t="str">
        <f aca="false">IF(IFERROR(-INDEX(Expenses!D$3:D$1002,SMALL(IF((Expenses!E$3:E$1002="GBP")*(Expenses!A$3:A$1002=DATE(2026,5,16)),ROW(Expenses!A$3:A$1002)-2),4)),0)+IFERROR(INDEX(Income!C$3:C$502,SMALL(IF((Income!D$3:D$502="GBP")*(Income!A$3:A$502=DATE(2026,5,16)),ROW(Income!A$3:A$502)-2),4)),0)=0,"",IFERROR(-INDEX(Expenses!D$3:D$1002,SMALL(IF((Expenses!E$3:E$1002="GBP")*(Expenses!A$3:A$1002=DATE(2026,5,16)),ROW(Expenses!A$3:A$1002)-2),4)),0)+IFERROR(INDEX(Income!C$3:C$502,SMALL(IF((Income!D$3:D$502="GBP")*(Income!A$3:A$502=DATE(2026,5,16)),ROW(Income!A$3:A$502)-2),4)),0))</f>
        <v/>
      </c>
      <c r="N102" s="38" t="str">
        <f aca="false">IF(IFERROR(INDEX(Expenses!B$3:B$1002,SMALL(IF((Expenses!E$3:E$1002="GBP")*(Expenses!A$3:A$1002=DATE(2026,5,16)),ROW(Expenses!A$3:A$1002)-2),4)),"")&lt;&gt;"",IFERROR(INDEX(Expenses!B$3:B$1002,SMALL(IF((Expenses!E$3:E$1002="GBP")*(Expenses!A$3:A$1002=DATE(2026,5,16)),ROW(Expenses!A$3:A$1002)-2),4)),""),IF(IFERROR(INDEX(Income!B$3:B$502,SMALL(IF((Income!D$3:D$502="GBP")*(Income!A$3:A$502=DATE(2026,5,16)),ROW(Income!A$3:A$502)-2),4)),"")&lt;&gt;"",IFERROR(INDEX(Income!B$3:B$502,SMALL(IF((Income!D$3:D$502="GBP")*(Income!A$3:A$502=DATE(2026,5,16)),ROW(Income!A$3:A$502)-2),4)),""),""))</f>
        <v/>
      </c>
      <c r="O102" s="62" t="str">
        <f aca="false">IF(IFERROR(-INDEX(Expenses!D$3:D$1002,SMALL(IF((Expenses!E$3:E$1002="GBP")*(Expenses!A$3:A$1002=DATE(2026,5,17)),ROW(Expenses!A$3:A$1002)-2),4)),0)+IFERROR(INDEX(Income!C$3:C$502,SMALL(IF((Income!D$3:D$502="GBP")*(Income!A$3:A$502=DATE(2026,5,17)),ROW(Income!A$3:A$502)-2),4)),0)=0,"",IFERROR(-INDEX(Expenses!D$3:D$1002,SMALL(IF((Expenses!E$3:E$1002="GBP")*(Expenses!A$3:A$1002=DATE(2026,5,17)),ROW(Expenses!A$3:A$1002)-2),4)),0)+IFERROR(INDEX(Income!C$3:C$502,SMALL(IF((Income!D$3:D$502="GBP")*(Income!A$3:A$502=DATE(2026,5,17)),ROW(Income!A$3:A$502)-2),4)),0))</f>
        <v/>
      </c>
      <c r="P102" s="38" t="str">
        <f aca="false">IF(IFERROR(INDEX(Expenses!B$3:B$1002,SMALL(IF((Expenses!E$3:E$1002="GBP")*(Expenses!A$3:A$1002=DATE(2026,5,17)),ROW(Expenses!A$3:A$1002)-2),4)),"")&lt;&gt;"",IFERROR(INDEX(Expenses!B$3:B$1002,SMALL(IF((Expenses!E$3:E$1002="GBP")*(Expenses!A$3:A$1002=DATE(2026,5,17)),ROW(Expenses!A$3:A$1002)-2),4)),""),IF(IFERROR(INDEX(Income!B$3:B$502,SMALL(IF((Income!D$3:D$502="GBP")*(Income!A$3:A$502=DATE(2026,5,17)),ROW(Income!A$3:A$502)-2),4)),"")&lt;&gt;"",IFERROR(INDEX(Income!B$3:B$502,SMALL(IF((Income!D$3:D$502="GBP")*(Income!A$3:A$502=DATE(2026,5,17)),ROW(Income!A$3:A$502)-2),4)),""),""))</f>
        <v/>
      </c>
      <c r="Q102" s="16"/>
      <c r="R102" s="16"/>
    </row>
    <row r="103" customFormat="false" ht="15" hidden="false" customHeight="false" outlineLevel="0" collapsed="false">
      <c r="A103" s="16"/>
      <c r="B103" s="16"/>
      <c r="C103" s="62" t="str">
        <f aca="false">IF(IFERROR(-INDEX(Expenses!D$3:D$1002,SMALL(IF((Expenses!E$3:E$1002="GBP")*(Expenses!A$3:A$1002=DATE(2026,5,11)),ROW(Expenses!A$3:A$1002)-2),5)),0)+IFERROR(INDEX(Income!C$3:C$502,SMALL(IF((Income!D$3:D$502="GBP")*(Income!A$3:A$502=DATE(2026,5,11)),ROW(Income!A$3:A$502)-2),5)),0)=0,"",IFERROR(-INDEX(Expenses!D$3:D$1002,SMALL(IF((Expenses!E$3:E$1002="GBP")*(Expenses!A$3:A$1002=DATE(2026,5,11)),ROW(Expenses!A$3:A$1002)-2),5)),0)+IFERROR(INDEX(Income!C$3:C$502,SMALL(IF((Income!D$3:D$502="GBP")*(Income!A$3:A$502=DATE(2026,5,11)),ROW(Income!A$3:A$502)-2),5)),0))</f>
        <v/>
      </c>
      <c r="D103" s="38" t="str">
        <f aca="false">IF(IFERROR(INDEX(Expenses!B$3:B$1002,SMALL(IF((Expenses!E$3:E$1002="GBP")*(Expenses!A$3:A$1002=DATE(2026,5,11)),ROW(Expenses!A$3:A$1002)-2),5)),"")&lt;&gt;"",IFERROR(INDEX(Expenses!B$3:B$1002,SMALL(IF((Expenses!E$3:E$1002="GBP")*(Expenses!A$3:A$1002=DATE(2026,5,11)),ROW(Expenses!A$3:A$1002)-2),5)),""),IF(IFERROR(INDEX(Income!B$3:B$502,SMALL(IF((Income!D$3:D$502="GBP")*(Income!A$3:A$502=DATE(2026,5,11)),ROW(Income!A$3:A$502)-2),5)),"")&lt;&gt;"",IFERROR(INDEX(Income!B$3:B$502,SMALL(IF((Income!D$3:D$502="GBP")*(Income!A$3:A$502=DATE(2026,5,11)),ROW(Income!A$3:A$502)-2),5)),""),""))</f>
        <v/>
      </c>
      <c r="E103" s="62" t="str">
        <f aca="false">IF(IFERROR(-INDEX(Expenses!D$3:D$1002,SMALL(IF((Expenses!E$3:E$1002="GBP")*(Expenses!A$3:A$1002=DATE(2026,5,12)),ROW(Expenses!A$3:A$1002)-2),5)),0)+IFERROR(INDEX(Income!C$3:C$502,SMALL(IF((Income!D$3:D$502="GBP")*(Income!A$3:A$502=DATE(2026,5,12)),ROW(Income!A$3:A$502)-2),5)),0)=0,"",IFERROR(-INDEX(Expenses!D$3:D$1002,SMALL(IF((Expenses!E$3:E$1002="GBP")*(Expenses!A$3:A$1002=DATE(2026,5,12)),ROW(Expenses!A$3:A$1002)-2),5)),0)+IFERROR(INDEX(Income!C$3:C$502,SMALL(IF((Income!D$3:D$502="GBP")*(Income!A$3:A$502=DATE(2026,5,12)),ROW(Income!A$3:A$502)-2),5)),0))</f>
        <v/>
      </c>
      <c r="F103" s="38" t="str">
        <f aca="false">IF(IFERROR(INDEX(Expenses!B$3:B$1002,SMALL(IF((Expenses!E$3:E$1002="GBP")*(Expenses!A$3:A$1002=DATE(2026,5,12)),ROW(Expenses!A$3:A$1002)-2),5)),"")&lt;&gt;"",IFERROR(INDEX(Expenses!B$3:B$1002,SMALL(IF((Expenses!E$3:E$1002="GBP")*(Expenses!A$3:A$1002=DATE(2026,5,12)),ROW(Expenses!A$3:A$1002)-2),5)),""),IF(IFERROR(INDEX(Income!B$3:B$502,SMALL(IF((Income!D$3:D$502="GBP")*(Income!A$3:A$502=DATE(2026,5,12)),ROW(Income!A$3:A$502)-2),5)),"")&lt;&gt;"",IFERROR(INDEX(Income!B$3:B$502,SMALL(IF((Income!D$3:D$502="GBP")*(Income!A$3:A$502=DATE(2026,5,12)),ROW(Income!A$3:A$502)-2),5)),""),""))</f>
        <v/>
      </c>
      <c r="G103" s="62" t="str">
        <f aca="false">IF(IFERROR(-INDEX(Expenses!D$3:D$1002,SMALL(IF((Expenses!E$3:E$1002="GBP")*(Expenses!A$3:A$1002=DATE(2026,5,13)),ROW(Expenses!A$3:A$1002)-2),5)),0)+IFERROR(INDEX(Income!C$3:C$502,SMALL(IF((Income!D$3:D$502="GBP")*(Income!A$3:A$502=DATE(2026,5,13)),ROW(Income!A$3:A$502)-2),5)),0)=0,"",IFERROR(-INDEX(Expenses!D$3:D$1002,SMALL(IF((Expenses!E$3:E$1002="GBP")*(Expenses!A$3:A$1002=DATE(2026,5,13)),ROW(Expenses!A$3:A$1002)-2),5)),0)+IFERROR(INDEX(Income!C$3:C$502,SMALL(IF((Income!D$3:D$502="GBP")*(Income!A$3:A$502=DATE(2026,5,13)),ROW(Income!A$3:A$502)-2),5)),0))</f>
        <v/>
      </c>
      <c r="H103" s="38" t="str">
        <f aca="false">IF(IFERROR(INDEX(Expenses!B$3:B$1002,SMALL(IF((Expenses!E$3:E$1002="GBP")*(Expenses!A$3:A$1002=DATE(2026,5,13)),ROW(Expenses!A$3:A$1002)-2),5)),"")&lt;&gt;"",IFERROR(INDEX(Expenses!B$3:B$1002,SMALL(IF((Expenses!E$3:E$1002="GBP")*(Expenses!A$3:A$1002=DATE(2026,5,13)),ROW(Expenses!A$3:A$1002)-2),5)),""),IF(IFERROR(INDEX(Income!B$3:B$502,SMALL(IF((Income!D$3:D$502="GBP")*(Income!A$3:A$502=DATE(2026,5,13)),ROW(Income!A$3:A$502)-2),5)),"")&lt;&gt;"",IFERROR(INDEX(Income!B$3:B$502,SMALL(IF((Income!D$3:D$502="GBP")*(Income!A$3:A$502=DATE(2026,5,13)),ROW(Income!A$3:A$502)-2),5)),""),""))</f>
        <v/>
      </c>
      <c r="I103" s="62" t="str">
        <f aca="false">IF(IFERROR(-INDEX(Expenses!D$3:D$1002,SMALL(IF((Expenses!E$3:E$1002="GBP")*(Expenses!A$3:A$1002=DATE(2026,5,14)),ROW(Expenses!A$3:A$1002)-2),5)),0)+IFERROR(INDEX(Income!C$3:C$502,SMALL(IF((Income!D$3:D$502="GBP")*(Income!A$3:A$502=DATE(2026,5,14)),ROW(Income!A$3:A$502)-2),5)),0)=0,"",IFERROR(-INDEX(Expenses!D$3:D$1002,SMALL(IF((Expenses!E$3:E$1002="GBP")*(Expenses!A$3:A$1002=DATE(2026,5,14)),ROW(Expenses!A$3:A$1002)-2),5)),0)+IFERROR(INDEX(Income!C$3:C$502,SMALL(IF((Income!D$3:D$502="GBP")*(Income!A$3:A$502=DATE(2026,5,14)),ROW(Income!A$3:A$502)-2),5)),0))</f>
        <v/>
      </c>
      <c r="J103" s="38" t="str">
        <f aca="false">IF(IFERROR(INDEX(Expenses!B$3:B$1002,SMALL(IF((Expenses!E$3:E$1002="GBP")*(Expenses!A$3:A$1002=DATE(2026,5,14)),ROW(Expenses!A$3:A$1002)-2),5)),"")&lt;&gt;"",IFERROR(INDEX(Expenses!B$3:B$1002,SMALL(IF((Expenses!E$3:E$1002="GBP")*(Expenses!A$3:A$1002=DATE(2026,5,14)),ROW(Expenses!A$3:A$1002)-2),5)),""),IF(IFERROR(INDEX(Income!B$3:B$502,SMALL(IF((Income!D$3:D$502="GBP")*(Income!A$3:A$502=DATE(2026,5,14)),ROW(Income!A$3:A$502)-2),5)),"")&lt;&gt;"",IFERROR(INDEX(Income!B$3:B$502,SMALL(IF((Income!D$3:D$502="GBP")*(Income!A$3:A$502=DATE(2026,5,14)),ROW(Income!A$3:A$502)-2),5)),""),""))</f>
        <v/>
      </c>
      <c r="K103" s="62" t="str">
        <f aca="false">IF(IFERROR(-INDEX(Expenses!D$3:D$1002,SMALL(IF((Expenses!E$3:E$1002="GBP")*(Expenses!A$3:A$1002=DATE(2026,5,15)),ROW(Expenses!A$3:A$1002)-2),5)),0)+IFERROR(INDEX(Income!C$3:C$502,SMALL(IF((Income!D$3:D$502="GBP")*(Income!A$3:A$502=DATE(2026,5,15)),ROW(Income!A$3:A$502)-2),5)),0)=0,"",IFERROR(-INDEX(Expenses!D$3:D$1002,SMALL(IF((Expenses!E$3:E$1002="GBP")*(Expenses!A$3:A$1002=DATE(2026,5,15)),ROW(Expenses!A$3:A$1002)-2),5)),0)+IFERROR(INDEX(Income!C$3:C$502,SMALL(IF((Income!D$3:D$502="GBP")*(Income!A$3:A$502=DATE(2026,5,15)),ROW(Income!A$3:A$502)-2),5)),0))</f>
        <v/>
      </c>
      <c r="L103" s="38" t="str">
        <f aca="false">IF(IFERROR(INDEX(Expenses!B$3:B$1002,SMALL(IF((Expenses!E$3:E$1002="GBP")*(Expenses!A$3:A$1002=DATE(2026,5,15)),ROW(Expenses!A$3:A$1002)-2),5)),"")&lt;&gt;"",IFERROR(INDEX(Expenses!B$3:B$1002,SMALL(IF((Expenses!E$3:E$1002="GBP")*(Expenses!A$3:A$1002=DATE(2026,5,15)),ROW(Expenses!A$3:A$1002)-2),5)),""),IF(IFERROR(INDEX(Income!B$3:B$502,SMALL(IF((Income!D$3:D$502="GBP")*(Income!A$3:A$502=DATE(2026,5,15)),ROW(Income!A$3:A$502)-2),5)),"")&lt;&gt;"",IFERROR(INDEX(Income!B$3:B$502,SMALL(IF((Income!D$3:D$502="GBP")*(Income!A$3:A$502=DATE(2026,5,15)),ROW(Income!A$3:A$502)-2),5)),""),""))</f>
        <v/>
      </c>
      <c r="M103" s="62" t="str">
        <f aca="false">IF(IFERROR(-INDEX(Expenses!D$3:D$1002,SMALL(IF((Expenses!E$3:E$1002="GBP")*(Expenses!A$3:A$1002=DATE(2026,5,16)),ROW(Expenses!A$3:A$1002)-2),5)),0)+IFERROR(INDEX(Income!C$3:C$502,SMALL(IF((Income!D$3:D$502="GBP")*(Income!A$3:A$502=DATE(2026,5,16)),ROW(Income!A$3:A$502)-2),5)),0)=0,"",IFERROR(-INDEX(Expenses!D$3:D$1002,SMALL(IF((Expenses!E$3:E$1002="GBP")*(Expenses!A$3:A$1002=DATE(2026,5,16)),ROW(Expenses!A$3:A$1002)-2),5)),0)+IFERROR(INDEX(Income!C$3:C$502,SMALL(IF((Income!D$3:D$502="GBP")*(Income!A$3:A$502=DATE(2026,5,16)),ROW(Income!A$3:A$502)-2),5)),0))</f>
        <v/>
      </c>
      <c r="N103" s="38" t="str">
        <f aca="false">IF(IFERROR(INDEX(Expenses!B$3:B$1002,SMALL(IF((Expenses!E$3:E$1002="GBP")*(Expenses!A$3:A$1002=DATE(2026,5,16)),ROW(Expenses!A$3:A$1002)-2),5)),"")&lt;&gt;"",IFERROR(INDEX(Expenses!B$3:B$1002,SMALL(IF((Expenses!E$3:E$1002="GBP")*(Expenses!A$3:A$1002=DATE(2026,5,16)),ROW(Expenses!A$3:A$1002)-2),5)),""),IF(IFERROR(INDEX(Income!B$3:B$502,SMALL(IF((Income!D$3:D$502="GBP")*(Income!A$3:A$502=DATE(2026,5,16)),ROW(Income!A$3:A$502)-2),5)),"")&lt;&gt;"",IFERROR(INDEX(Income!B$3:B$502,SMALL(IF((Income!D$3:D$502="GBP")*(Income!A$3:A$502=DATE(2026,5,16)),ROW(Income!A$3:A$502)-2),5)),""),""))</f>
        <v/>
      </c>
      <c r="O103" s="62" t="str">
        <f aca="false">IF(IFERROR(-INDEX(Expenses!D$3:D$1002,SMALL(IF((Expenses!E$3:E$1002="GBP")*(Expenses!A$3:A$1002=DATE(2026,5,17)),ROW(Expenses!A$3:A$1002)-2),5)),0)+IFERROR(INDEX(Income!C$3:C$502,SMALL(IF((Income!D$3:D$502="GBP")*(Income!A$3:A$502=DATE(2026,5,17)),ROW(Income!A$3:A$502)-2),5)),0)=0,"",IFERROR(-INDEX(Expenses!D$3:D$1002,SMALL(IF((Expenses!E$3:E$1002="GBP")*(Expenses!A$3:A$1002=DATE(2026,5,17)),ROW(Expenses!A$3:A$1002)-2),5)),0)+IFERROR(INDEX(Income!C$3:C$502,SMALL(IF((Income!D$3:D$502="GBP")*(Income!A$3:A$502=DATE(2026,5,17)),ROW(Income!A$3:A$502)-2),5)),0))</f>
        <v/>
      </c>
      <c r="P103" s="38" t="str">
        <f aca="false">IF(IFERROR(INDEX(Expenses!B$3:B$1002,SMALL(IF((Expenses!E$3:E$1002="GBP")*(Expenses!A$3:A$1002=DATE(2026,5,17)),ROW(Expenses!A$3:A$1002)-2),5)),"")&lt;&gt;"",IFERROR(INDEX(Expenses!B$3:B$1002,SMALL(IF((Expenses!E$3:E$1002="GBP")*(Expenses!A$3:A$1002=DATE(2026,5,17)),ROW(Expenses!A$3:A$1002)-2),5)),""),IF(IFERROR(INDEX(Income!B$3:B$502,SMALL(IF((Income!D$3:D$502="GBP")*(Income!A$3:A$502=DATE(2026,5,17)),ROW(Income!A$3:A$502)-2),5)),"")&lt;&gt;"",IFERROR(INDEX(Income!B$3:B$502,SMALL(IF((Income!D$3:D$502="GBP")*(Income!A$3:A$502=DATE(2026,5,17)),ROW(Income!A$3:A$502)-2),5)),""),""))</f>
        <v/>
      </c>
      <c r="Q103" s="16"/>
      <c r="R103" s="16"/>
    </row>
    <row r="104" customFormat="false" ht="15" hidden="false" customHeight="false" outlineLevel="0" collapsed="false">
      <c r="A104" s="61" t="n">
        <v>46160</v>
      </c>
      <c r="B104" s="3" t="n">
        <v>21</v>
      </c>
      <c r="C104" s="62" t="str">
        <f aca="false">IF(IFERROR(-INDEX(Expenses!D$3:D$1002,SMALL(IF((Expenses!E$3:E$1002="GBP")*(Expenses!A$3:A$1002=DATE(2026,5,18)),ROW(Expenses!A$3:A$1002)-2),1)),0)+IFERROR(INDEX(Income!C$3:C$502,SMALL(IF((Income!D$3:D$502="GBP")*(Income!A$3:A$502=DATE(2026,5,18)),ROW(Income!A$3:A$502)-2),1)),0)=0,"",IFERROR(-INDEX(Expenses!D$3:D$1002,SMALL(IF((Expenses!E$3:E$1002="GBP")*(Expenses!A$3:A$1002=DATE(2026,5,18)),ROW(Expenses!A$3:A$1002)-2),1)),0)+IFERROR(INDEX(Income!C$3:C$502,SMALL(IF((Income!D$3:D$502="GBP")*(Income!A$3:A$502=DATE(2026,5,18)),ROW(Income!A$3:A$502)-2),1)),0))</f>
        <v/>
      </c>
      <c r="D104" s="38" t="str">
        <f aca="false">IF(IFERROR(INDEX(Expenses!B$3:B$1002,SMALL(IF((Expenses!E$3:E$1002="GBP")*(Expenses!A$3:A$1002=DATE(2026,5,18)),ROW(Expenses!A$3:A$1002)-2),1)),"")&lt;&gt;"",IFERROR(INDEX(Expenses!B$3:B$1002,SMALL(IF((Expenses!E$3:E$1002="GBP")*(Expenses!A$3:A$1002=DATE(2026,5,18)),ROW(Expenses!A$3:A$1002)-2),1)),""),IF(IFERROR(INDEX(Income!B$3:B$502,SMALL(IF((Income!D$3:D$502="GBP")*(Income!A$3:A$502=DATE(2026,5,18)),ROW(Income!A$3:A$502)-2),1)),"")&lt;&gt;"",IFERROR(INDEX(Income!B$3:B$502,SMALL(IF((Income!D$3:D$502="GBP")*(Income!A$3:A$502=DATE(2026,5,18)),ROW(Income!A$3:A$502)-2),1)),""),""))</f>
        <v/>
      </c>
      <c r="E104" s="62" t="str">
        <f aca="false">IF(IFERROR(-INDEX(Expenses!D$3:D$1002,SMALL(IF((Expenses!E$3:E$1002="GBP")*(Expenses!A$3:A$1002=DATE(2026,5,19)),ROW(Expenses!A$3:A$1002)-2),1)),0)+IFERROR(INDEX(Income!C$3:C$502,SMALL(IF((Income!D$3:D$502="GBP")*(Income!A$3:A$502=DATE(2026,5,19)),ROW(Income!A$3:A$502)-2),1)),0)=0,"",IFERROR(-INDEX(Expenses!D$3:D$1002,SMALL(IF((Expenses!E$3:E$1002="GBP")*(Expenses!A$3:A$1002=DATE(2026,5,19)),ROW(Expenses!A$3:A$1002)-2),1)),0)+IFERROR(INDEX(Income!C$3:C$502,SMALL(IF((Income!D$3:D$502="GBP")*(Income!A$3:A$502=DATE(2026,5,19)),ROW(Income!A$3:A$502)-2),1)),0))</f>
        <v/>
      </c>
      <c r="F104" s="38" t="str">
        <f aca="false">IF(IFERROR(INDEX(Expenses!B$3:B$1002,SMALL(IF((Expenses!E$3:E$1002="GBP")*(Expenses!A$3:A$1002=DATE(2026,5,19)),ROW(Expenses!A$3:A$1002)-2),1)),"")&lt;&gt;"",IFERROR(INDEX(Expenses!B$3:B$1002,SMALL(IF((Expenses!E$3:E$1002="GBP")*(Expenses!A$3:A$1002=DATE(2026,5,19)),ROW(Expenses!A$3:A$1002)-2),1)),""),IF(IFERROR(INDEX(Income!B$3:B$502,SMALL(IF((Income!D$3:D$502="GBP")*(Income!A$3:A$502=DATE(2026,5,19)),ROW(Income!A$3:A$502)-2),1)),"")&lt;&gt;"",IFERROR(INDEX(Income!B$3:B$502,SMALL(IF((Income!D$3:D$502="GBP")*(Income!A$3:A$502=DATE(2026,5,19)),ROW(Income!A$3:A$502)-2),1)),""),""))</f>
        <v/>
      </c>
      <c r="G104" s="62" t="str">
        <f aca="false">IF(IFERROR(-INDEX(Expenses!D$3:D$1002,SMALL(IF((Expenses!E$3:E$1002="GBP")*(Expenses!A$3:A$1002=DATE(2026,5,20)),ROW(Expenses!A$3:A$1002)-2),1)),0)+IFERROR(INDEX(Income!C$3:C$502,SMALL(IF((Income!D$3:D$502="GBP")*(Income!A$3:A$502=DATE(2026,5,20)),ROW(Income!A$3:A$502)-2),1)),0)=0,"",IFERROR(-INDEX(Expenses!D$3:D$1002,SMALL(IF((Expenses!E$3:E$1002="GBP")*(Expenses!A$3:A$1002=DATE(2026,5,20)),ROW(Expenses!A$3:A$1002)-2),1)),0)+IFERROR(INDEX(Income!C$3:C$502,SMALL(IF((Income!D$3:D$502="GBP")*(Income!A$3:A$502=DATE(2026,5,20)),ROW(Income!A$3:A$502)-2),1)),0))</f>
        <v/>
      </c>
      <c r="H104" s="38" t="str">
        <f aca="false">IF(IFERROR(INDEX(Expenses!B$3:B$1002,SMALL(IF((Expenses!E$3:E$1002="GBP")*(Expenses!A$3:A$1002=DATE(2026,5,20)),ROW(Expenses!A$3:A$1002)-2),1)),"")&lt;&gt;"",IFERROR(INDEX(Expenses!B$3:B$1002,SMALL(IF((Expenses!E$3:E$1002="GBP")*(Expenses!A$3:A$1002=DATE(2026,5,20)),ROW(Expenses!A$3:A$1002)-2),1)),""),IF(IFERROR(INDEX(Income!B$3:B$502,SMALL(IF((Income!D$3:D$502="GBP")*(Income!A$3:A$502=DATE(2026,5,20)),ROW(Income!A$3:A$502)-2),1)),"")&lt;&gt;"",IFERROR(INDEX(Income!B$3:B$502,SMALL(IF((Income!D$3:D$502="GBP")*(Income!A$3:A$502=DATE(2026,5,20)),ROW(Income!A$3:A$502)-2),1)),""),""))</f>
        <v/>
      </c>
      <c r="I104" s="62" t="str">
        <f aca="false">IF(IFERROR(-INDEX(Expenses!D$3:D$1002,SMALL(IF((Expenses!E$3:E$1002="GBP")*(Expenses!A$3:A$1002=DATE(2026,5,21)),ROW(Expenses!A$3:A$1002)-2),1)),0)+IFERROR(INDEX(Income!C$3:C$502,SMALL(IF((Income!D$3:D$502="GBP")*(Income!A$3:A$502=DATE(2026,5,21)),ROW(Income!A$3:A$502)-2),1)),0)=0,"",IFERROR(-INDEX(Expenses!D$3:D$1002,SMALL(IF((Expenses!E$3:E$1002="GBP")*(Expenses!A$3:A$1002=DATE(2026,5,21)),ROW(Expenses!A$3:A$1002)-2),1)),0)+IFERROR(INDEX(Income!C$3:C$502,SMALL(IF((Income!D$3:D$502="GBP")*(Income!A$3:A$502=DATE(2026,5,21)),ROW(Income!A$3:A$502)-2),1)),0))</f>
        <v/>
      </c>
      <c r="J104" s="38" t="str">
        <f aca="false">IF(IFERROR(INDEX(Expenses!B$3:B$1002,SMALL(IF((Expenses!E$3:E$1002="GBP")*(Expenses!A$3:A$1002=DATE(2026,5,21)),ROW(Expenses!A$3:A$1002)-2),1)),"")&lt;&gt;"",IFERROR(INDEX(Expenses!B$3:B$1002,SMALL(IF((Expenses!E$3:E$1002="GBP")*(Expenses!A$3:A$1002=DATE(2026,5,21)),ROW(Expenses!A$3:A$1002)-2),1)),""),IF(IFERROR(INDEX(Income!B$3:B$502,SMALL(IF((Income!D$3:D$502="GBP")*(Income!A$3:A$502=DATE(2026,5,21)),ROW(Income!A$3:A$502)-2),1)),"")&lt;&gt;"",IFERROR(INDEX(Income!B$3:B$502,SMALL(IF((Income!D$3:D$502="GBP")*(Income!A$3:A$502=DATE(2026,5,21)),ROW(Income!A$3:A$502)-2),1)),""),""))</f>
        <v/>
      </c>
      <c r="K104" s="62" t="str">
        <f aca="false">IF(IFERROR(-INDEX(Expenses!D$3:D$1002,SMALL(IF((Expenses!E$3:E$1002="GBP")*(Expenses!A$3:A$1002=DATE(2026,5,22)),ROW(Expenses!A$3:A$1002)-2),1)),0)+IFERROR(INDEX(Income!C$3:C$502,SMALL(IF((Income!D$3:D$502="GBP")*(Income!A$3:A$502=DATE(2026,5,22)),ROW(Income!A$3:A$502)-2),1)),0)=0,"",IFERROR(-INDEX(Expenses!D$3:D$1002,SMALL(IF((Expenses!E$3:E$1002="GBP")*(Expenses!A$3:A$1002=DATE(2026,5,22)),ROW(Expenses!A$3:A$1002)-2),1)),0)+IFERROR(INDEX(Income!C$3:C$502,SMALL(IF((Income!D$3:D$502="GBP")*(Income!A$3:A$502=DATE(2026,5,22)),ROW(Income!A$3:A$502)-2),1)),0))</f>
        <v/>
      </c>
      <c r="L104" s="38" t="str">
        <f aca="false">IF(IFERROR(INDEX(Expenses!B$3:B$1002,SMALL(IF((Expenses!E$3:E$1002="GBP")*(Expenses!A$3:A$1002=DATE(2026,5,22)),ROW(Expenses!A$3:A$1002)-2),1)),"")&lt;&gt;"",IFERROR(INDEX(Expenses!B$3:B$1002,SMALL(IF((Expenses!E$3:E$1002="GBP")*(Expenses!A$3:A$1002=DATE(2026,5,22)),ROW(Expenses!A$3:A$1002)-2),1)),""),IF(IFERROR(INDEX(Income!B$3:B$502,SMALL(IF((Income!D$3:D$502="GBP")*(Income!A$3:A$502=DATE(2026,5,22)),ROW(Income!A$3:A$502)-2),1)),"")&lt;&gt;"",IFERROR(INDEX(Income!B$3:B$502,SMALL(IF((Income!D$3:D$502="GBP")*(Income!A$3:A$502=DATE(2026,5,22)),ROW(Income!A$3:A$502)-2),1)),""),""))</f>
        <v/>
      </c>
      <c r="M104" s="62" t="str">
        <f aca="false">IF(IFERROR(-INDEX(Expenses!D$3:D$1002,SMALL(IF((Expenses!E$3:E$1002="GBP")*(Expenses!A$3:A$1002=DATE(2026,5,23)),ROW(Expenses!A$3:A$1002)-2),1)),0)+IFERROR(INDEX(Income!C$3:C$502,SMALL(IF((Income!D$3:D$502="GBP")*(Income!A$3:A$502=DATE(2026,5,23)),ROW(Income!A$3:A$502)-2),1)),0)=0,"",IFERROR(-INDEX(Expenses!D$3:D$1002,SMALL(IF((Expenses!E$3:E$1002="GBP")*(Expenses!A$3:A$1002=DATE(2026,5,23)),ROW(Expenses!A$3:A$1002)-2),1)),0)+IFERROR(INDEX(Income!C$3:C$502,SMALL(IF((Income!D$3:D$502="GBP")*(Income!A$3:A$502=DATE(2026,5,23)),ROW(Income!A$3:A$502)-2),1)),0))</f>
        <v/>
      </c>
      <c r="N104" s="38" t="str">
        <f aca="false">IF(IFERROR(INDEX(Expenses!B$3:B$1002,SMALL(IF((Expenses!E$3:E$1002="GBP")*(Expenses!A$3:A$1002=DATE(2026,5,23)),ROW(Expenses!A$3:A$1002)-2),1)),"")&lt;&gt;"",IFERROR(INDEX(Expenses!B$3:B$1002,SMALL(IF((Expenses!E$3:E$1002="GBP")*(Expenses!A$3:A$1002=DATE(2026,5,23)),ROW(Expenses!A$3:A$1002)-2),1)),""),IF(IFERROR(INDEX(Income!B$3:B$502,SMALL(IF((Income!D$3:D$502="GBP")*(Income!A$3:A$502=DATE(2026,5,23)),ROW(Income!A$3:A$502)-2),1)),"")&lt;&gt;"",IFERROR(INDEX(Income!B$3:B$502,SMALL(IF((Income!D$3:D$502="GBP")*(Income!A$3:A$502=DATE(2026,5,23)),ROW(Income!A$3:A$502)-2),1)),""),""))</f>
        <v/>
      </c>
      <c r="O104" s="62" t="str">
        <f aca="false">IF(IFERROR(-INDEX(Expenses!D$3:D$1002,SMALL(IF((Expenses!E$3:E$1002="GBP")*(Expenses!A$3:A$1002=DATE(2026,5,24)),ROW(Expenses!A$3:A$1002)-2),1)),0)+IFERROR(INDEX(Income!C$3:C$502,SMALL(IF((Income!D$3:D$502="GBP")*(Income!A$3:A$502=DATE(2026,5,24)),ROW(Income!A$3:A$502)-2),1)),0)=0,"",IFERROR(-INDEX(Expenses!D$3:D$1002,SMALL(IF((Expenses!E$3:E$1002="GBP")*(Expenses!A$3:A$1002=DATE(2026,5,24)),ROW(Expenses!A$3:A$1002)-2),1)),0)+IFERROR(INDEX(Income!C$3:C$502,SMALL(IF((Income!D$3:D$502="GBP")*(Income!A$3:A$502=DATE(2026,5,24)),ROW(Income!A$3:A$502)-2),1)),0))</f>
        <v/>
      </c>
      <c r="P104" s="38" t="str">
        <f aca="false">IF(IFERROR(INDEX(Expenses!B$3:B$1002,SMALL(IF((Expenses!E$3:E$1002="GBP")*(Expenses!A$3:A$1002=DATE(2026,5,24)),ROW(Expenses!A$3:A$1002)-2),1)),"")&lt;&gt;"",IFERROR(INDEX(Expenses!B$3:B$1002,SMALL(IF((Expenses!E$3:E$1002="GBP")*(Expenses!A$3:A$1002=DATE(2026,5,24)),ROW(Expenses!A$3:A$1002)-2),1)),""),IF(IFERROR(INDEX(Income!B$3:B$502,SMALL(IF((Income!D$3:D$502="GBP")*(Income!A$3:A$502=DATE(2026,5,24)),ROW(Income!A$3:A$502)-2),1)),"")&lt;&gt;"",IFERROR(INDEX(Income!B$3:B$502,SMALL(IF((Income!D$3:D$502="GBP")*(Income!A$3:A$502=DATE(2026,5,24)),ROW(Income!A$3:A$502)-2),1)),""),""))</f>
        <v/>
      </c>
      <c r="Q104" s="3" t="n">
        <v>21</v>
      </c>
      <c r="R104" s="45" t="n">
        <f aca="false">SUM(C104:C108)+SUM(E104:E108)+SUM(G104:G108)+SUM(I104:I108)+SUM(K104:K108)+SUM(M104:M108)+SUM(O104:O108)</f>
        <v>0</v>
      </c>
    </row>
    <row r="105" customFormat="false" ht="15" hidden="false" customHeight="false" outlineLevel="0" collapsed="false">
      <c r="A105" s="16"/>
      <c r="B105" s="16"/>
      <c r="C105" s="62" t="str">
        <f aca="false">IF(IFERROR(-INDEX(Expenses!D$3:D$1002,SMALL(IF((Expenses!E$3:E$1002="GBP")*(Expenses!A$3:A$1002=DATE(2026,5,18)),ROW(Expenses!A$3:A$1002)-2),2)),0)+IFERROR(INDEX(Income!C$3:C$502,SMALL(IF((Income!D$3:D$502="GBP")*(Income!A$3:A$502=DATE(2026,5,18)),ROW(Income!A$3:A$502)-2),2)),0)=0,"",IFERROR(-INDEX(Expenses!D$3:D$1002,SMALL(IF((Expenses!E$3:E$1002="GBP")*(Expenses!A$3:A$1002=DATE(2026,5,18)),ROW(Expenses!A$3:A$1002)-2),2)),0)+IFERROR(INDEX(Income!C$3:C$502,SMALL(IF((Income!D$3:D$502="GBP")*(Income!A$3:A$502=DATE(2026,5,18)),ROW(Income!A$3:A$502)-2),2)),0))</f>
        <v/>
      </c>
      <c r="D105" s="38" t="str">
        <f aca="false">IF(IFERROR(INDEX(Expenses!B$3:B$1002,SMALL(IF((Expenses!E$3:E$1002="GBP")*(Expenses!A$3:A$1002=DATE(2026,5,18)),ROW(Expenses!A$3:A$1002)-2),2)),"")&lt;&gt;"",IFERROR(INDEX(Expenses!B$3:B$1002,SMALL(IF((Expenses!E$3:E$1002="GBP")*(Expenses!A$3:A$1002=DATE(2026,5,18)),ROW(Expenses!A$3:A$1002)-2),2)),""),IF(IFERROR(INDEX(Income!B$3:B$502,SMALL(IF((Income!D$3:D$502="GBP")*(Income!A$3:A$502=DATE(2026,5,18)),ROW(Income!A$3:A$502)-2),2)),"")&lt;&gt;"",IFERROR(INDEX(Income!B$3:B$502,SMALL(IF((Income!D$3:D$502="GBP")*(Income!A$3:A$502=DATE(2026,5,18)),ROW(Income!A$3:A$502)-2),2)),""),""))</f>
        <v/>
      </c>
      <c r="E105" s="62" t="str">
        <f aca="false">IF(IFERROR(-INDEX(Expenses!D$3:D$1002,SMALL(IF((Expenses!E$3:E$1002="GBP")*(Expenses!A$3:A$1002=DATE(2026,5,19)),ROW(Expenses!A$3:A$1002)-2),2)),0)+IFERROR(INDEX(Income!C$3:C$502,SMALL(IF((Income!D$3:D$502="GBP")*(Income!A$3:A$502=DATE(2026,5,19)),ROW(Income!A$3:A$502)-2),2)),0)=0,"",IFERROR(-INDEX(Expenses!D$3:D$1002,SMALL(IF((Expenses!E$3:E$1002="GBP")*(Expenses!A$3:A$1002=DATE(2026,5,19)),ROW(Expenses!A$3:A$1002)-2),2)),0)+IFERROR(INDEX(Income!C$3:C$502,SMALL(IF((Income!D$3:D$502="GBP")*(Income!A$3:A$502=DATE(2026,5,19)),ROW(Income!A$3:A$502)-2),2)),0))</f>
        <v/>
      </c>
      <c r="F105" s="38" t="str">
        <f aca="false">IF(IFERROR(INDEX(Expenses!B$3:B$1002,SMALL(IF((Expenses!E$3:E$1002="GBP")*(Expenses!A$3:A$1002=DATE(2026,5,19)),ROW(Expenses!A$3:A$1002)-2),2)),"")&lt;&gt;"",IFERROR(INDEX(Expenses!B$3:B$1002,SMALL(IF((Expenses!E$3:E$1002="GBP")*(Expenses!A$3:A$1002=DATE(2026,5,19)),ROW(Expenses!A$3:A$1002)-2),2)),""),IF(IFERROR(INDEX(Income!B$3:B$502,SMALL(IF((Income!D$3:D$502="GBP")*(Income!A$3:A$502=DATE(2026,5,19)),ROW(Income!A$3:A$502)-2),2)),"")&lt;&gt;"",IFERROR(INDEX(Income!B$3:B$502,SMALL(IF((Income!D$3:D$502="GBP")*(Income!A$3:A$502=DATE(2026,5,19)),ROW(Income!A$3:A$502)-2),2)),""),""))</f>
        <v/>
      </c>
      <c r="G105" s="62" t="str">
        <f aca="false">IF(IFERROR(-INDEX(Expenses!D$3:D$1002,SMALL(IF((Expenses!E$3:E$1002="GBP")*(Expenses!A$3:A$1002=DATE(2026,5,20)),ROW(Expenses!A$3:A$1002)-2),2)),0)+IFERROR(INDEX(Income!C$3:C$502,SMALL(IF((Income!D$3:D$502="GBP")*(Income!A$3:A$502=DATE(2026,5,20)),ROW(Income!A$3:A$502)-2),2)),0)=0,"",IFERROR(-INDEX(Expenses!D$3:D$1002,SMALL(IF((Expenses!E$3:E$1002="GBP")*(Expenses!A$3:A$1002=DATE(2026,5,20)),ROW(Expenses!A$3:A$1002)-2),2)),0)+IFERROR(INDEX(Income!C$3:C$502,SMALL(IF((Income!D$3:D$502="GBP")*(Income!A$3:A$502=DATE(2026,5,20)),ROW(Income!A$3:A$502)-2),2)),0))</f>
        <v/>
      </c>
      <c r="H105" s="38" t="str">
        <f aca="false">IF(IFERROR(INDEX(Expenses!B$3:B$1002,SMALL(IF((Expenses!E$3:E$1002="GBP")*(Expenses!A$3:A$1002=DATE(2026,5,20)),ROW(Expenses!A$3:A$1002)-2),2)),"")&lt;&gt;"",IFERROR(INDEX(Expenses!B$3:B$1002,SMALL(IF((Expenses!E$3:E$1002="GBP")*(Expenses!A$3:A$1002=DATE(2026,5,20)),ROW(Expenses!A$3:A$1002)-2),2)),""),IF(IFERROR(INDEX(Income!B$3:B$502,SMALL(IF((Income!D$3:D$502="GBP")*(Income!A$3:A$502=DATE(2026,5,20)),ROW(Income!A$3:A$502)-2),2)),"")&lt;&gt;"",IFERROR(INDEX(Income!B$3:B$502,SMALL(IF((Income!D$3:D$502="GBP")*(Income!A$3:A$502=DATE(2026,5,20)),ROW(Income!A$3:A$502)-2),2)),""),""))</f>
        <v/>
      </c>
      <c r="I105" s="62" t="str">
        <f aca="false">IF(IFERROR(-INDEX(Expenses!D$3:D$1002,SMALL(IF((Expenses!E$3:E$1002="GBP")*(Expenses!A$3:A$1002=DATE(2026,5,21)),ROW(Expenses!A$3:A$1002)-2),2)),0)+IFERROR(INDEX(Income!C$3:C$502,SMALL(IF((Income!D$3:D$502="GBP")*(Income!A$3:A$502=DATE(2026,5,21)),ROW(Income!A$3:A$502)-2),2)),0)=0,"",IFERROR(-INDEX(Expenses!D$3:D$1002,SMALL(IF((Expenses!E$3:E$1002="GBP")*(Expenses!A$3:A$1002=DATE(2026,5,21)),ROW(Expenses!A$3:A$1002)-2),2)),0)+IFERROR(INDEX(Income!C$3:C$502,SMALL(IF((Income!D$3:D$502="GBP")*(Income!A$3:A$502=DATE(2026,5,21)),ROW(Income!A$3:A$502)-2),2)),0))</f>
        <v/>
      </c>
      <c r="J105" s="38" t="str">
        <f aca="false">IF(IFERROR(INDEX(Expenses!B$3:B$1002,SMALL(IF((Expenses!E$3:E$1002="GBP")*(Expenses!A$3:A$1002=DATE(2026,5,21)),ROW(Expenses!A$3:A$1002)-2),2)),"")&lt;&gt;"",IFERROR(INDEX(Expenses!B$3:B$1002,SMALL(IF((Expenses!E$3:E$1002="GBP")*(Expenses!A$3:A$1002=DATE(2026,5,21)),ROW(Expenses!A$3:A$1002)-2),2)),""),IF(IFERROR(INDEX(Income!B$3:B$502,SMALL(IF((Income!D$3:D$502="GBP")*(Income!A$3:A$502=DATE(2026,5,21)),ROW(Income!A$3:A$502)-2),2)),"")&lt;&gt;"",IFERROR(INDEX(Income!B$3:B$502,SMALL(IF((Income!D$3:D$502="GBP")*(Income!A$3:A$502=DATE(2026,5,21)),ROW(Income!A$3:A$502)-2),2)),""),""))</f>
        <v/>
      </c>
      <c r="K105" s="62" t="str">
        <f aca="false">IF(IFERROR(-INDEX(Expenses!D$3:D$1002,SMALL(IF((Expenses!E$3:E$1002="GBP")*(Expenses!A$3:A$1002=DATE(2026,5,22)),ROW(Expenses!A$3:A$1002)-2),2)),0)+IFERROR(INDEX(Income!C$3:C$502,SMALL(IF((Income!D$3:D$502="GBP")*(Income!A$3:A$502=DATE(2026,5,22)),ROW(Income!A$3:A$502)-2),2)),0)=0,"",IFERROR(-INDEX(Expenses!D$3:D$1002,SMALL(IF((Expenses!E$3:E$1002="GBP")*(Expenses!A$3:A$1002=DATE(2026,5,22)),ROW(Expenses!A$3:A$1002)-2),2)),0)+IFERROR(INDEX(Income!C$3:C$502,SMALL(IF((Income!D$3:D$502="GBP")*(Income!A$3:A$502=DATE(2026,5,22)),ROW(Income!A$3:A$502)-2),2)),0))</f>
        <v/>
      </c>
      <c r="L105" s="38" t="str">
        <f aca="false">IF(IFERROR(INDEX(Expenses!B$3:B$1002,SMALL(IF((Expenses!E$3:E$1002="GBP")*(Expenses!A$3:A$1002=DATE(2026,5,22)),ROW(Expenses!A$3:A$1002)-2),2)),"")&lt;&gt;"",IFERROR(INDEX(Expenses!B$3:B$1002,SMALL(IF((Expenses!E$3:E$1002="GBP")*(Expenses!A$3:A$1002=DATE(2026,5,22)),ROW(Expenses!A$3:A$1002)-2),2)),""),IF(IFERROR(INDEX(Income!B$3:B$502,SMALL(IF((Income!D$3:D$502="GBP")*(Income!A$3:A$502=DATE(2026,5,22)),ROW(Income!A$3:A$502)-2),2)),"")&lt;&gt;"",IFERROR(INDEX(Income!B$3:B$502,SMALL(IF((Income!D$3:D$502="GBP")*(Income!A$3:A$502=DATE(2026,5,22)),ROW(Income!A$3:A$502)-2),2)),""),""))</f>
        <v/>
      </c>
      <c r="M105" s="62" t="str">
        <f aca="false">IF(IFERROR(-INDEX(Expenses!D$3:D$1002,SMALL(IF((Expenses!E$3:E$1002="GBP")*(Expenses!A$3:A$1002=DATE(2026,5,23)),ROW(Expenses!A$3:A$1002)-2),2)),0)+IFERROR(INDEX(Income!C$3:C$502,SMALL(IF((Income!D$3:D$502="GBP")*(Income!A$3:A$502=DATE(2026,5,23)),ROW(Income!A$3:A$502)-2),2)),0)=0,"",IFERROR(-INDEX(Expenses!D$3:D$1002,SMALL(IF((Expenses!E$3:E$1002="GBP")*(Expenses!A$3:A$1002=DATE(2026,5,23)),ROW(Expenses!A$3:A$1002)-2),2)),0)+IFERROR(INDEX(Income!C$3:C$502,SMALL(IF((Income!D$3:D$502="GBP")*(Income!A$3:A$502=DATE(2026,5,23)),ROW(Income!A$3:A$502)-2),2)),0))</f>
        <v/>
      </c>
      <c r="N105" s="38" t="str">
        <f aca="false">IF(IFERROR(INDEX(Expenses!B$3:B$1002,SMALL(IF((Expenses!E$3:E$1002="GBP")*(Expenses!A$3:A$1002=DATE(2026,5,23)),ROW(Expenses!A$3:A$1002)-2),2)),"")&lt;&gt;"",IFERROR(INDEX(Expenses!B$3:B$1002,SMALL(IF((Expenses!E$3:E$1002="GBP")*(Expenses!A$3:A$1002=DATE(2026,5,23)),ROW(Expenses!A$3:A$1002)-2),2)),""),IF(IFERROR(INDEX(Income!B$3:B$502,SMALL(IF((Income!D$3:D$502="GBP")*(Income!A$3:A$502=DATE(2026,5,23)),ROW(Income!A$3:A$502)-2),2)),"")&lt;&gt;"",IFERROR(INDEX(Income!B$3:B$502,SMALL(IF((Income!D$3:D$502="GBP")*(Income!A$3:A$502=DATE(2026,5,23)),ROW(Income!A$3:A$502)-2),2)),""),""))</f>
        <v/>
      </c>
      <c r="O105" s="62" t="str">
        <f aca="false">IF(IFERROR(-INDEX(Expenses!D$3:D$1002,SMALL(IF((Expenses!E$3:E$1002="GBP")*(Expenses!A$3:A$1002=DATE(2026,5,24)),ROW(Expenses!A$3:A$1002)-2),2)),0)+IFERROR(INDEX(Income!C$3:C$502,SMALL(IF((Income!D$3:D$502="GBP")*(Income!A$3:A$502=DATE(2026,5,24)),ROW(Income!A$3:A$502)-2),2)),0)=0,"",IFERROR(-INDEX(Expenses!D$3:D$1002,SMALL(IF((Expenses!E$3:E$1002="GBP")*(Expenses!A$3:A$1002=DATE(2026,5,24)),ROW(Expenses!A$3:A$1002)-2),2)),0)+IFERROR(INDEX(Income!C$3:C$502,SMALL(IF((Income!D$3:D$502="GBP")*(Income!A$3:A$502=DATE(2026,5,24)),ROW(Income!A$3:A$502)-2),2)),0))</f>
        <v/>
      </c>
      <c r="P105" s="38" t="str">
        <f aca="false">IF(IFERROR(INDEX(Expenses!B$3:B$1002,SMALL(IF((Expenses!E$3:E$1002="GBP")*(Expenses!A$3:A$1002=DATE(2026,5,24)),ROW(Expenses!A$3:A$1002)-2),2)),"")&lt;&gt;"",IFERROR(INDEX(Expenses!B$3:B$1002,SMALL(IF((Expenses!E$3:E$1002="GBP")*(Expenses!A$3:A$1002=DATE(2026,5,24)),ROW(Expenses!A$3:A$1002)-2),2)),""),IF(IFERROR(INDEX(Income!B$3:B$502,SMALL(IF((Income!D$3:D$502="GBP")*(Income!A$3:A$502=DATE(2026,5,24)),ROW(Income!A$3:A$502)-2),2)),"")&lt;&gt;"",IFERROR(INDEX(Income!B$3:B$502,SMALL(IF((Income!D$3:D$502="GBP")*(Income!A$3:A$502=DATE(2026,5,24)),ROW(Income!A$3:A$502)-2),2)),""),""))</f>
        <v/>
      </c>
      <c r="Q105" s="16"/>
      <c r="R105" s="16"/>
    </row>
    <row r="106" customFormat="false" ht="15" hidden="false" customHeight="false" outlineLevel="0" collapsed="false">
      <c r="A106" s="16"/>
      <c r="B106" s="16"/>
      <c r="C106" s="62" t="str">
        <f aca="false">IF(IFERROR(-INDEX(Expenses!D$3:D$1002,SMALL(IF((Expenses!E$3:E$1002="GBP")*(Expenses!A$3:A$1002=DATE(2026,5,18)),ROW(Expenses!A$3:A$1002)-2),3)),0)+IFERROR(INDEX(Income!C$3:C$502,SMALL(IF((Income!D$3:D$502="GBP")*(Income!A$3:A$502=DATE(2026,5,18)),ROW(Income!A$3:A$502)-2),3)),0)=0,"",IFERROR(-INDEX(Expenses!D$3:D$1002,SMALL(IF((Expenses!E$3:E$1002="GBP")*(Expenses!A$3:A$1002=DATE(2026,5,18)),ROW(Expenses!A$3:A$1002)-2),3)),0)+IFERROR(INDEX(Income!C$3:C$502,SMALL(IF((Income!D$3:D$502="GBP")*(Income!A$3:A$502=DATE(2026,5,18)),ROW(Income!A$3:A$502)-2),3)),0))</f>
        <v/>
      </c>
      <c r="D106" s="38" t="str">
        <f aca="false">IF(IFERROR(INDEX(Expenses!B$3:B$1002,SMALL(IF((Expenses!E$3:E$1002="GBP")*(Expenses!A$3:A$1002=DATE(2026,5,18)),ROW(Expenses!A$3:A$1002)-2),3)),"")&lt;&gt;"",IFERROR(INDEX(Expenses!B$3:B$1002,SMALL(IF((Expenses!E$3:E$1002="GBP")*(Expenses!A$3:A$1002=DATE(2026,5,18)),ROW(Expenses!A$3:A$1002)-2),3)),""),IF(IFERROR(INDEX(Income!B$3:B$502,SMALL(IF((Income!D$3:D$502="GBP")*(Income!A$3:A$502=DATE(2026,5,18)),ROW(Income!A$3:A$502)-2),3)),"")&lt;&gt;"",IFERROR(INDEX(Income!B$3:B$502,SMALL(IF((Income!D$3:D$502="GBP")*(Income!A$3:A$502=DATE(2026,5,18)),ROW(Income!A$3:A$502)-2),3)),""),""))</f>
        <v/>
      </c>
      <c r="E106" s="62" t="str">
        <f aca="false">IF(IFERROR(-INDEX(Expenses!D$3:D$1002,SMALL(IF((Expenses!E$3:E$1002="GBP")*(Expenses!A$3:A$1002=DATE(2026,5,19)),ROW(Expenses!A$3:A$1002)-2),3)),0)+IFERROR(INDEX(Income!C$3:C$502,SMALL(IF((Income!D$3:D$502="GBP")*(Income!A$3:A$502=DATE(2026,5,19)),ROW(Income!A$3:A$502)-2),3)),0)=0,"",IFERROR(-INDEX(Expenses!D$3:D$1002,SMALL(IF((Expenses!E$3:E$1002="GBP")*(Expenses!A$3:A$1002=DATE(2026,5,19)),ROW(Expenses!A$3:A$1002)-2),3)),0)+IFERROR(INDEX(Income!C$3:C$502,SMALL(IF((Income!D$3:D$502="GBP")*(Income!A$3:A$502=DATE(2026,5,19)),ROW(Income!A$3:A$502)-2),3)),0))</f>
        <v/>
      </c>
      <c r="F106" s="38" t="str">
        <f aca="false">IF(IFERROR(INDEX(Expenses!B$3:B$1002,SMALL(IF((Expenses!E$3:E$1002="GBP")*(Expenses!A$3:A$1002=DATE(2026,5,19)),ROW(Expenses!A$3:A$1002)-2),3)),"")&lt;&gt;"",IFERROR(INDEX(Expenses!B$3:B$1002,SMALL(IF((Expenses!E$3:E$1002="GBP")*(Expenses!A$3:A$1002=DATE(2026,5,19)),ROW(Expenses!A$3:A$1002)-2),3)),""),IF(IFERROR(INDEX(Income!B$3:B$502,SMALL(IF((Income!D$3:D$502="GBP")*(Income!A$3:A$502=DATE(2026,5,19)),ROW(Income!A$3:A$502)-2),3)),"")&lt;&gt;"",IFERROR(INDEX(Income!B$3:B$502,SMALL(IF((Income!D$3:D$502="GBP")*(Income!A$3:A$502=DATE(2026,5,19)),ROW(Income!A$3:A$502)-2),3)),""),""))</f>
        <v/>
      </c>
      <c r="G106" s="62" t="str">
        <f aca="false">IF(IFERROR(-INDEX(Expenses!D$3:D$1002,SMALL(IF((Expenses!E$3:E$1002="GBP")*(Expenses!A$3:A$1002=DATE(2026,5,20)),ROW(Expenses!A$3:A$1002)-2),3)),0)+IFERROR(INDEX(Income!C$3:C$502,SMALL(IF((Income!D$3:D$502="GBP")*(Income!A$3:A$502=DATE(2026,5,20)),ROW(Income!A$3:A$502)-2),3)),0)=0,"",IFERROR(-INDEX(Expenses!D$3:D$1002,SMALL(IF((Expenses!E$3:E$1002="GBP")*(Expenses!A$3:A$1002=DATE(2026,5,20)),ROW(Expenses!A$3:A$1002)-2),3)),0)+IFERROR(INDEX(Income!C$3:C$502,SMALL(IF((Income!D$3:D$502="GBP")*(Income!A$3:A$502=DATE(2026,5,20)),ROW(Income!A$3:A$502)-2),3)),0))</f>
        <v/>
      </c>
      <c r="H106" s="38" t="str">
        <f aca="false">IF(IFERROR(INDEX(Expenses!B$3:B$1002,SMALL(IF((Expenses!E$3:E$1002="GBP")*(Expenses!A$3:A$1002=DATE(2026,5,20)),ROW(Expenses!A$3:A$1002)-2),3)),"")&lt;&gt;"",IFERROR(INDEX(Expenses!B$3:B$1002,SMALL(IF((Expenses!E$3:E$1002="GBP")*(Expenses!A$3:A$1002=DATE(2026,5,20)),ROW(Expenses!A$3:A$1002)-2),3)),""),IF(IFERROR(INDEX(Income!B$3:B$502,SMALL(IF((Income!D$3:D$502="GBP")*(Income!A$3:A$502=DATE(2026,5,20)),ROW(Income!A$3:A$502)-2),3)),"")&lt;&gt;"",IFERROR(INDEX(Income!B$3:B$502,SMALL(IF((Income!D$3:D$502="GBP")*(Income!A$3:A$502=DATE(2026,5,20)),ROW(Income!A$3:A$502)-2),3)),""),""))</f>
        <v/>
      </c>
      <c r="I106" s="62" t="str">
        <f aca="false">IF(IFERROR(-INDEX(Expenses!D$3:D$1002,SMALL(IF((Expenses!E$3:E$1002="GBP")*(Expenses!A$3:A$1002=DATE(2026,5,21)),ROW(Expenses!A$3:A$1002)-2),3)),0)+IFERROR(INDEX(Income!C$3:C$502,SMALL(IF((Income!D$3:D$502="GBP")*(Income!A$3:A$502=DATE(2026,5,21)),ROW(Income!A$3:A$502)-2),3)),0)=0,"",IFERROR(-INDEX(Expenses!D$3:D$1002,SMALL(IF((Expenses!E$3:E$1002="GBP")*(Expenses!A$3:A$1002=DATE(2026,5,21)),ROW(Expenses!A$3:A$1002)-2),3)),0)+IFERROR(INDEX(Income!C$3:C$502,SMALL(IF((Income!D$3:D$502="GBP")*(Income!A$3:A$502=DATE(2026,5,21)),ROW(Income!A$3:A$502)-2),3)),0))</f>
        <v/>
      </c>
      <c r="J106" s="38" t="str">
        <f aca="false">IF(IFERROR(INDEX(Expenses!B$3:B$1002,SMALL(IF((Expenses!E$3:E$1002="GBP")*(Expenses!A$3:A$1002=DATE(2026,5,21)),ROW(Expenses!A$3:A$1002)-2),3)),"")&lt;&gt;"",IFERROR(INDEX(Expenses!B$3:B$1002,SMALL(IF((Expenses!E$3:E$1002="GBP")*(Expenses!A$3:A$1002=DATE(2026,5,21)),ROW(Expenses!A$3:A$1002)-2),3)),""),IF(IFERROR(INDEX(Income!B$3:B$502,SMALL(IF((Income!D$3:D$502="GBP")*(Income!A$3:A$502=DATE(2026,5,21)),ROW(Income!A$3:A$502)-2),3)),"")&lt;&gt;"",IFERROR(INDEX(Income!B$3:B$502,SMALL(IF((Income!D$3:D$502="GBP")*(Income!A$3:A$502=DATE(2026,5,21)),ROW(Income!A$3:A$502)-2),3)),""),""))</f>
        <v/>
      </c>
      <c r="K106" s="62" t="str">
        <f aca="false">IF(IFERROR(-INDEX(Expenses!D$3:D$1002,SMALL(IF((Expenses!E$3:E$1002="GBP")*(Expenses!A$3:A$1002=DATE(2026,5,22)),ROW(Expenses!A$3:A$1002)-2),3)),0)+IFERROR(INDEX(Income!C$3:C$502,SMALL(IF((Income!D$3:D$502="GBP")*(Income!A$3:A$502=DATE(2026,5,22)),ROW(Income!A$3:A$502)-2),3)),0)=0,"",IFERROR(-INDEX(Expenses!D$3:D$1002,SMALL(IF((Expenses!E$3:E$1002="GBP")*(Expenses!A$3:A$1002=DATE(2026,5,22)),ROW(Expenses!A$3:A$1002)-2),3)),0)+IFERROR(INDEX(Income!C$3:C$502,SMALL(IF((Income!D$3:D$502="GBP")*(Income!A$3:A$502=DATE(2026,5,22)),ROW(Income!A$3:A$502)-2),3)),0))</f>
        <v/>
      </c>
      <c r="L106" s="38" t="str">
        <f aca="false">IF(IFERROR(INDEX(Expenses!B$3:B$1002,SMALL(IF((Expenses!E$3:E$1002="GBP")*(Expenses!A$3:A$1002=DATE(2026,5,22)),ROW(Expenses!A$3:A$1002)-2),3)),"")&lt;&gt;"",IFERROR(INDEX(Expenses!B$3:B$1002,SMALL(IF((Expenses!E$3:E$1002="GBP")*(Expenses!A$3:A$1002=DATE(2026,5,22)),ROW(Expenses!A$3:A$1002)-2),3)),""),IF(IFERROR(INDEX(Income!B$3:B$502,SMALL(IF((Income!D$3:D$502="GBP")*(Income!A$3:A$502=DATE(2026,5,22)),ROW(Income!A$3:A$502)-2),3)),"")&lt;&gt;"",IFERROR(INDEX(Income!B$3:B$502,SMALL(IF((Income!D$3:D$502="GBP")*(Income!A$3:A$502=DATE(2026,5,22)),ROW(Income!A$3:A$502)-2),3)),""),""))</f>
        <v/>
      </c>
      <c r="M106" s="62" t="str">
        <f aca="false">IF(IFERROR(-INDEX(Expenses!D$3:D$1002,SMALL(IF((Expenses!E$3:E$1002="GBP")*(Expenses!A$3:A$1002=DATE(2026,5,23)),ROW(Expenses!A$3:A$1002)-2),3)),0)+IFERROR(INDEX(Income!C$3:C$502,SMALL(IF((Income!D$3:D$502="GBP")*(Income!A$3:A$502=DATE(2026,5,23)),ROW(Income!A$3:A$502)-2),3)),0)=0,"",IFERROR(-INDEX(Expenses!D$3:D$1002,SMALL(IF((Expenses!E$3:E$1002="GBP")*(Expenses!A$3:A$1002=DATE(2026,5,23)),ROW(Expenses!A$3:A$1002)-2),3)),0)+IFERROR(INDEX(Income!C$3:C$502,SMALL(IF((Income!D$3:D$502="GBP")*(Income!A$3:A$502=DATE(2026,5,23)),ROW(Income!A$3:A$502)-2),3)),0))</f>
        <v/>
      </c>
      <c r="N106" s="38" t="str">
        <f aca="false">IF(IFERROR(INDEX(Expenses!B$3:B$1002,SMALL(IF((Expenses!E$3:E$1002="GBP")*(Expenses!A$3:A$1002=DATE(2026,5,23)),ROW(Expenses!A$3:A$1002)-2),3)),"")&lt;&gt;"",IFERROR(INDEX(Expenses!B$3:B$1002,SMALL(IF((Expenses!E$3:E$1002="GBP")*(Expenses!A$3:A$1002=DATE(2026,5,23)),ROW(Expenses!A$3:A$1002)-2),3)),""),IF(IFERROR(INDEX(Income!B$3:B$502,SMALL(IF((Income!D$3:D$502="GBP")*(Income!A$3:A$502=DATE(2026,5,23)),ROW(Income!A$3:A$502)-2),3)),"")&lt;&gt;"",IFERROR(INDEX(Income!B$3:B$502,SMALL(IF((Income!D$3:D$502="GBP")*(Income!A$3:A$502=DATE(2026,5,23)),ROW(Income!A$3:A$502)-2),3)),""),""))</f>
        <v/>
      </c>
      <c r="O106" s="62" t="str">
        <f aca="false">IF(IFERROR(-INDEX(Expenses!D$3:D$1002,SMALL(IF((Expenses!E$3:E$1002="GBP")*(Expenses!A$3:A$1002=DATE(2026,5,24)),ROW(Expenses!A$3:A$1002)-2),3)),0)+IFERROR(INDEX(Income!C$3:C$502,SMALL(IF((Income!D$3:D$502="GBP")*(Income!A$3:A$502=DATE(2026,5,24)),ROW(Income!A$3:A$502)-2),3)),0)=0,"",IFERROR(-INDEX(Expenses!D$3:D$1002,SMALL(IF((Expenses!E$3:E$1002="GBP")*(Expenses!A$3:A$1002=DATE(2026,5,24)),ROW(Expenses!A$3:A$1002)-2),3)),0)+IFERROR(INDEX(Income!C$3:C$502,SMALL(IF((Income!D$3:D$502="GBP")*(Income!A$3:A$502=DATE(2026,5,24)),ROW(Income!A$3:A$502)-2),3)),0))</f>
        <v/>
      </c>
      <c r="P106" s="38" t="str">
        <f aca="false">IF(IFERROR(INDEX(Expenses!B$3:B$1002,SMALL(IF((Expenses!E$3:E$1002="GBP")*(Expenses!A$3:A$1002=DATE(2026,5,24)),ROW(Expenses!A$3:A$1002)-2),3)),"")&lt;&gt;"",IFERROR(INDEX(Expenses!B$3:B$1002,SMALL(IF((Expenses!E$3:E$1002="GBP")*(Expenses!A$3:A$1002=DATE(2026,5,24)),ROW(Expenses!A$3:A$1002)-2),3)),""),IF(IFERROR(INDEX(Income!B$3:B$502,SMALL(IF((Income!D$3:D$502="GBP")*(Income!A$3:A$502=DATE(2026,5,24)),ROW(Income!A$3:A$502)-2),3)),"")&lt;&gt;"",IFERROR(INDEX(Income!B$3:B$502,SMALL(IF((Income!D$3:D$502="GBP")*(Income!A$3:A$502=DATE(2026,5,24)),ROW(Income!A$3:A$502)-2),3)),""),""))</f>
        <v/>
      </c>
      <c r="Q106" s="16"/>
      <c r="R106" s="16"/>
    </row>
    <row r="107" customFormat="false" ht="15" hidden="false" customHeight="false" outlineLevel="0" collapsed="false">
      <c r="A107" s="16"/>
      <c r="B107" s="16"/>
      <c r="C107" s="62" t="str">
        <f aca="false">IF(IFERROR(-INDEX(Expenses!D$3:D$1002,SMALL(IF((Expenses!E$3:E$1002="GBP")*(Expenses!A$3:A$1002=DATE(2026,5,18)),ROW(Expenses!A$3:A$1002)-2),4)),0)+IFERROR(INDEX(Income!C$3:C$502,SMALL(IF((Income!D$3:D$502="GBP")*(Income!A$3:A$502=DATE(2026,5,18)),ROW(Income!A$3:A$502)-2),4)),0)=0,"",IFERROR(-INDEX(Expenses!D$3:D$1002,SMALL(IF((Expenses!E$3:E$1002="GBP")*(Expenses!A$3:A$1002=DATE(2026,5,18)),ROW(Expenses!A$3:A$1002)-2),4)),0)+IFERROR(INDEX(Income!C$3:C$502,SMALL(IF((Income!D$3:D$502="GBP")*(Income!A$3:A$502=DATE(2026,5,18)),ROW(Income!A$3:A$502)-2),4)),0))</f>
        <v/>
      </c>
      <c r="D107" s="38" t="str">
        <f aca="false">IF(IFERROR(INDEX(Expenses!B$3:B$1002,SMALL(IF((Expenses!E$3:E$1002="GBP")*(Expenses!A$3:A$1002=DATE(2026,5,18)),ROW(Expenses!A$3:A$1002)-2),4)),"")&lt;&gt;"",IFERROR(INDEX(Expenses!B$3:B$1002,SMALL(IF((Expenses!E$3:E$1002="GBP")*(Expenses!A$3:A$1002=DATE(2026,5,18)),ROW(Expenses!A$3:A$1002)-2),4)),""),IF(IFERROR(INDEX(Income!B$3:B$502,SMALL(IF((Income!D$3:D$502="GBP")*(Income!A$3:A$502=DATE(2026,5,18)),ROW(Income!A$3:A$502)-2),4)),"")&lt;&gt;"",IFERROR(INDEX(Income!B$3:B$502,SMALL(IF((Income!D$3:D$502="GBP")*(Income!A$3:A$502=DATE(2026,5,18)),ROW(Income!A$3:A$502)-2),4)),""),""))</f>
        <v/>
      </c>
      <c r="E107" s="62" t="str">
        <f aca="false">IF(IFERROR(-INDEX(Expenses!D$3:D$1002,SMALL(IF((Expenses!E$3:E$1002="GBP")*(Expenses!A$3:A$1002=DATE(2026,5,19)),ROW(Expenses!A$3:A$1002)-2),4)),0)+IFERROR(INDEX(Income!C$3:C$502,SMALL(IF((Income!D$3:D$502="GBP")*(Income!A$3:A$502=DATE(2026,5,19)),ROW(Income!A$3:A$502)-2),4)),0)=0,"",IFERROR(-INDEX(Expenses!D$3:D$1002,SMALL(IF((Expenses!E$3:E$1002="GBP")*(Expenses!A$3:A$1002=DATE(2026,5,19)),ROW(Expenses!A$3:A$1002)-2),4)),0)+IFERROR(INDEX(Income!C$3:C$502,SMALL(IF((Income!D$3:D$502="GBP")*(Income!A$3:A$502=DATE(2026,5,19)),ROW(Income!A$3:A$502)-2),4)),0))</f>
        <v/>
      </c>
      <c r="F107" s="38" t="str">
        <f aca="false">IF(IFERROR(INDEX(Expenses!B$3:B$1002,SMALL(IF((Expenses!E$3:E$1002="GBP")*(Expenses!A$3:A$1002=DATE(2026,5,19)),ROW(Expenses!A$3:A$1002)-2),4)),"")&lt;&gt;"",IFERROR(INDEX(Expenses!B$3:B$1002,SMALL(IF((Expenses!E$3:E$1002="GBP")*(Expenses!A$3:A$1002=DATE(2026,5,19)),ROW(Expenses!A$3:A$1002)-2),4)),""),IF(IFERROR(INDEX(Income!B$3:B$502,SMALL(IF((Income!D$3:D$502="GBP")*(Income!A$3:A$502=DATE(2026,5,19)),ROW(Income!A$3:A$502)-2),4)),"")&lt;&gt;"",IFERROR(INDEX(Income!B$3:B$502,SMALL(IF((Income!D$3:D$502="GBP")*(Income!A$3:A$502=DATE(2026,5,19)),ROW(Income!A$3:A$502)-2),4)),""),""))</f>
        <v/>
      </c>
      <c r="G107" s="62" t="str">
        <f aca="false">IF(IFERROR(-INDEX(Expenses!D$3:D$1002,SMALL(IF((Expenses!E$3:E$1002="GBP")*(Expenses!A$3:A$1002=DATE(2026,5,20)),ROW(Expenses!A$3:A$1002)-2),4)),0)+IFERROR(INDEX(Income!C$3:C$502,SMALL(IF((Income!D$3:D$502="GBP")*(Income!A$3:A$502=DATE(2026,5,20)),ROW(Income!A$3:A$502)-2),4)),0)=0,"",IFERROR(-INDEX(Expenses!D$3:D$1002,SMALL(IF((Expenses!E$3:E$1002="GBP")*(Expenses!A$3:A$1002=DATE(2026,5,20)),ROW(Expenses!A$3:A$1002)-2),4)),0)+IFERROR(INDEX(Income!C$3:C$502,SMALL(IF((Income!D$3:D$502="GBP")*(Income!A$3:A$502=DATE(2026,5,20)),ROW(Income!A$3:A$502)-2),4)),0))</f>
        <v/>
      </c>
      <c r="H107" s="38" t="str">
        <f aca="false">IF(IFERROR(INDEX(Expenses!B$3:B$1002,SMALL(IF((Expenses!E$3:E$1002="GBP")*(Expenses!A$3:A$1002=DATE(2026,5,20)),ROW(Expenses!A$3:A$1002)-2),4)),"")&lt;&gt;"",IFERROR(INDEX(Expenses!B$3:B$1002,SMALL(IF((Expenses!E$3:E$1002="GBP")*(Expenses!A$3:A$1002=DATE(2026,5,20)),ROW(Expenses!A$3:A$1002)-2),4)),""),IF(IFERROR(INDEX(Income!B$3:B$502,SMALL(IF((Income!D$3:D$502="GBP")*(Income!A$3:A$502=DATE(2026,5,20)),ROW(Income!A$3:A$502)-2),4)),"")&lt;&gt;"",IFERROR(INDEX(Income!B$3:B$502,SMALL(IF((Income!D$3:D$502="GBP")*(Income!A$3:A$502=DATE(2026,5,20)),ROW(Income!A$3:A$502)-2),4)),""),""))</f>
        <v/>
      </c>
      <c r="I107" s="62" t="str">
        <f aca="false">IF(IFERROR(-INDEX(Expenses!D$3:D$1002,SMALL(IF((Expenses!E$3:E$1002="GBP")*(Expenses!A$3:A$1002=DATE(2026,5,21)),ROW(Expenses!A$3:A$1002)-2),4)),0)+IFERROR(INDEX(Income!C$3:C$502,SMALL(IF((Income!D$3:D$502="GBP")*(Income!A$3:A$502=DATE(2026,5,21)),ROW(Income!A$3:A$502)-2),4)),0)=0,"",IFERROR(-INDEX(Expenses!D$3:D$1002,SMALL(IF((Expenses!E$3:E$1002="GBP")*(Expenses!A$3:A$1002=DATE(2026,5,21)),ROW(Expenses!A$3:A$1002)-2),4)),0)+IFERROR(INDEX(Income!C$3:C$502,SMALL(IF((Income!D$3:D$502="GBP")*(Income!A$3:A$502=DATE(2026,5,21)),ROW(Income!A$3:A$502)-2),4)),0))</f>
        <v/>
      </c>
      <c r="J107" s="38" t="str">
        <f aca="false">IF(IFERROR(INDEX(Expenses!B$3:B$1002,SMALL(IF((Expenses!E$3:E$1002="GBP")*(Expenses!A$3:A$1002=DATE(2026,5,21)),ROW(Expenses!A$3:A$1002)-2),4)),"")&lt;&gt;"",IFERROR(INDEX(Expenses!B$3:B$1002,SMALL(IF((Expenses!E$3:E$1002="GBP")*(Expenses!A$3:A$1002=DATE(2026,5,21)),ROW(Expenses!A$3:A$1002)-2),4)),""),IF(IFERROR(INDEX(Income!B$3:B$502,SMALL(IF((Income!D$3:D$502="GBP")*(Income!A$3:A$502=DATE(2026,5,21)),ROW(Income!A$3:A$502)-2),4)),"")&lt;&gt;"",IFERROR(INDEX(Income!B$3:B$502,SMALL(IF((Income!D$3:D$502="GBP")*(Income!A$3:A$502=DATE(2026,5,21)),ROW(Income!A$3:A$502)-2),4)),""),""))</f>
        <v/>
      </c>
      <c r="K107" s="62" t="str">
        <f aca="false">IF(IFERROR(-INDEX(Expenses!D$3:D$1002,SMALL(IF((Expenses!E$3:E$1002="GBP")*(Expenses!A$3:A$1002=DATE(2026,5,22)),ROW(Expenses!A$3:A$1002)-2),4)),0)+IFERROR(INDEX(Income!C$3:C$502,SMALL(IF((Income!D$3:D$502="GBP")*(Income!A$3:A$502=DATE(2026,5,22)),ROW(Income!A$3:A$502)-2),4)),0)=0,"",IFERROR(-INDEX(Expenses!D$3:D$1002,SMALL(IF((Expenses!E$3:E$1002="GBP")*(Expenses!A$3:A$1002=DATE(2026,5,22)),ROW(Expenses!A$3:A$1002)-2),4)),0)+IFERROR(INDEX(Income!C$3:C$502,SMALL(IF((Income!D$3:D$502="GBP")*(Income!A$3:A$502=DATE(2026,5,22)),ROW(Income!A$3:A$502)-2),4)),0))</f>
        <v/>
      </c>
      <c r="L107" s="38" t="str">
        <f aca="false">IF(IFERROR(INDEX(Expenses!B$3:B$1002,SMALL(IF((Expenses!E$3:E$1002="GBP")*(Expenses!A$3:A$1002=DATE(2026,5,22)),ROW(Expenses!A$3:A$1002)-2),4)),"")&lt;&gt;"",IFERROR(INDEX(Expenses!B$3:B$1002,SMALL(IF((Expenses!E$3:E$1002="GBP")*(Expenses!A$3:A$1002=DATE(2026,5,22)),ROW(Expenses!A$3:A$1002)-2),4)),""),IF(IFERROR(INDEX(Income!B$3:B$502,SMALL(IF((Income!D$3:D$502="GBP")*(Income!A$3:A$502=DATE(2026,5,22)),ROW(Income!A$3:A$502)-2),4)),"")&lt;&gt;"",IFERROR(INDEX(Income!B$3:B$502,SMALL(IF((Income!D$3:D$502="GBP")*(Income!A$3:A$502=DATE(2026,5,22)),ROW(Income!A$3:A$502)-2),4)),""),""))</f>
        <v/>
      </c>
      <c r="M107" s="62" t="str">
        <f aca="false">IF(IFERROR(-INDEX(Expenses!D$3:D$1002,SMALL(IF((Expenses!E$3:E$1002="GBP")*(Expenses!A$3:A$1002=DATE(2026,5,23)),ROW(Expenses!A$3:A$1002)-2),4)),0)+IFERROR(INDEX(Income!C$3:C$502,SMALL(IF((Income!D$3:D$502="GBP")*(Income!A$3:A$502=DATE(2026,5,23)),ROW(Income!A$3:A$502)-2),4)),0)=0,"",IFERROR(-INDEX(Expenses!D$3:D$1002,SMALL(IF((Expenses!E$3:E$1002="GBP")*(Expenses!A$3:A$1002=DATE(2026,5,23)),ROW(Expenses!A$3:A$1002)-2),4)),0)+IFERROR(INDEX(Income!C$3:C$502,SMALL(IF((Income!D$3:D$502="GBP")*(Income!A$3:A$502=DATE(2026,5,23)),ROW(Income!A$3:A$502)-2),4)),0))</f>
        <v/>
      </c>
      <c r="N107" s="38" t="str">
        <f aca="false">IF(IFERROR(INDEX(Expenses!B$3:B$1002,SMALL(IF((Expenses!E$3:E$1002="GBP")*(Expenses!A$3:A$1002=DATE(2026,5,23)),ROW(Expenses!A$3:A$1002)-2),4)),"")&lt;&gt;"",IFERROR(INDEX(Expenses!B$3:B$1002,SMALL(IF((Expenses!E$3:E$1002="GBP")*(Expenses!A$3:A$1002=DATE(2026,5,23)),ROW(Expenses!A$3:A$1002)-2),4)),""),IF(IFERROR(INDEX(Income!B$3:B$502,SMALL(IF((Income!D$3:D$502="GBP")*(Income!A$3:A$502=DATE(2026,5,23)),ROW(Income!A$3:A$502)-2),4)),"")&lt;&gt;"",IFERROR(INDEX(Income!B$3:B$502,SMALL(IF((Income!D$3:D$502="GBP")*(Income!A$3:A$502=DATE(2026,5,23)),ROW(Income!A$3:A$502)-2),4)),""),""))</f>
        <v/>
      </c>
      <c r="O107" s="62" t="str">
        <f aca="false">IF(IFERROR(-INDEX(Expenses!D$3:D$1002,SMALL(IF((Expenses!E$3:E$1002="GBP")*(Expenses!A$3:A$1002=DATE(2026,5,24)),ROW(Expenses!A$3:A$1002)-2),4)),0)+IFERROR(INDEX(Income!C$3:C$502,SMALL(IF((Income!D$3:D$502="GBP")*(Income!A$3:A$502=DATE(2026,5,24)),ROW(Income!A$3:A$502)-2),4)),0)=0,"",IFERROR(-INDEX(Expenses!D$3:D$1002,SMALL(IF((Expenses!E$3:E$1002="GBP")*(Expenses!A$3:A$1002=DATE(2026,5,24)),ROW(Expenses!A$3:A$1002)-2),4)),0)+IFERROR(INDEX(Income!C$3:C$502,SMALL(IF((Income!D$3:D$502="GBP")*(Income!A$3:A$502=DATE(2026,5,24)),ROW(Income!A$3:A$502)-2),4)),0))</f>
        <v/>
      </c>
      <c r="P107" s="38" t="str">
        <f aca="false">IF(IFERROR(INDEX(Expenses!B$3:B$1002,SMALL(IF((Expenses!E$3:E$1002="GBP")*(Expenses!A$3:A$1002=DATE(2026,5,24)),ROW(Expenses!A$3:A$1002)-2),4)),"")&lt;&gt;"",IFERROR(INDEX(Expenses!B$3:B$1002,SMALL(IF((Expenses!E$3:E$1002="GBP")*(Expenses!A$3:A$1002=DATE(2026,5,24)),ROW(Expenses!A$3:A$1002)-2),4)),""),IF(IFERROR(INDEX(Income!B$3:B$502,SMALL(IF((Income!D$3:D$502="GBP")*(Income!A$3:A$502=DATE(2026,5,24)),ROW(Income!A$3:A$502)-2),4)),"")&lt;&gt;"",IFERROR(INDEX(Income!B$3:B$502,SMALL(IF((Income!D$3:D$502="GBP")*(Income!A$3:A$502=DATE(2026,5,24)),ROW(Income!A$3:A$502)-2),4)),""),""))</f>
        <v/>
      </c>
      <c r="Q107" s="16"/>
      <c r="R107" s="16"/>
    </row>
    <row r="108" customFormat="false" ht="15" hidden="false" customHeight="false" outlineLevel="0" collapsed="false">
      <c r="A108" s="16"/>
      <c r="B108" s="16"/>
      <c r="C108" s="62" t="str">
        <f aca="false">IF(IFERROR(-INDEX(Expenses!D$3:D$1002,SMALL(IF((Expenses!E$3:E$1002="GBP")*(Expenses!A$3:A$1002=DATE(2026,5,18)),ROW(Expenses!A$3:A$1002)-2),5)),0)+IFERROR(INDEX(Income!C$3:C$502,SMALL(IF((Income!D$3:D$502="GBP")*(Income!A$3:A$502=DATE(2026,5,18)),ROW(Income!A$3:A$502)-2),5)),0)=0,"",IFERROR(-INDEX(Expenses!D$3:D$1002,SMALL(IF((Expenses!E$3:E$1002="GBP")*(Expenses!A$3:A$1002=DATE(2026,5,18)),ROW(Expenses!A$3:A$1002)-2),5)),0)+IFERROR(INDEX(Income!C$3:C$502,SMALL(IF((Income!D$3:D$502="GBP")*(Income!A$3:A$502=DATE(2026,5,18)),ROW(Income!A$3:A$502)-2),5)),0))</f>
        <v/>
      </c>
      <c r="D108" s="38" t="str">
        <f aca="false">IF(IFERROR(INDEX(Expenses!B$3:B$1002,SMALL(IF((Expenses!E$3:E$1002="GBP")*(Expenses!A$3:A$1002=DATE(2026,5,18)),ROW(Expenses!A$3:A$1002)-2),5)),"")&lt;&gt;"",IFERROR(INDEX(Expenses!B$3:B$1002,SMALL(IF((Expenses!E$3:E$1002="GBP")*(Expenses!A$3:A$1002=DATE(2026,5,18)),ROW(Expenses!A$3:A$1002)-2),5)),""),IF(IFERROR(INDEX(Income!B$3:B$502,SMALL(IF((Income!D$3:D$502="GBP")*(Income!A$3:A$502=DATE(2026,5,18)),ROW(Income!A$3:A$502)-2),5)),"")&lt;&gt;"",IFERROR(INDEX(Income!B$3:B$502,SMALL(IF((Income!D$3:D$502="GBP")*(Income!A$3:A$502=DATE(2026,5,18)),ROW(Income!A$3:A$502)-2),5)),""),""))</f>
        <v/>
      </c>
      <c r="E108" s="62" t="str">
        <f aca="false">IF(IFERROR(-INDEX(Expenses!D$3:D$1002,SMALL(IF((Expenses!E$3:E$1002="GBP")*(Expenses!A$3:A$1002=DATE(2026,5,19)),ROW(Expenses!A$3:A$1002)-2),5)),0)+IFERROR(INDEX(Income!C$3:C$502,SMALL(IF((Income!D$3:D$502="GBP")*(Income!A$3:A$502=DATE(2026,5,19)),ROW(Income!A$3:A$502)-2),5)),0)=0,"",IFERROR(-INDEX(Expenses!D$3:D$1002,SMALL(IF((Expenses!E$3:E$1002="GBP")*(Expenses!A$3:A$1002=DATE(2026,5,19)),ROW(Expenses!A$3:A$1002)-2),5)),0)+IFERROR(INDEX(Income!C$3:C$502,SMALL(IF((Income!D$3:D$502="GBP")*(Income!A$3:A$502=DATE(2026,5,19)),ROW(Income!A$3:A$502)-2),5)),0))</f>
        <v/>
      </c>
      <c r="F108" s="38" t="str">
        <f aca="false">IF(IFERROR(INDEX(Expenses!B$3:B$1002,SMALL(IF((Expenses!E$3:E$1002="GBP")*(Expenses!A$3:A$1002=DATE(2026,5,19)),ROW(Expenses!A$3:A$1002)-2),5)),"")&lt;&gt;"",IFERROR(INDEX(Expenses!B$3:B$1002,SMALL(IF((Expenses!E$3:E$1002="GBP")*(Expenses!A$3:A$1002=DATE(2026,5,19)),ROW(Expenses!A$3:A$1002)-2),5)),""),IF(IFERROR(INDEX(Income!B$3:B$502,SMALL(IF((Income!D$3:D$502="GBP")*(Income!A$3:A$502=DATE(2026,5,19)),ROW(Income!A$3:A$502)-2),5)),"")&lt;&gt;"",IFERROR(INDEX(Income!B$3:B$502,SMALL(IF((Income!D$3:D$502="GBP")*(Income!A$3:A$502=DATE(2026,5,19)),ROW(Income!A$3:A$502)-2),5)),""),""))</f>
        <v/>
      </c>
      <c r="G108" s="62" t="str">
        <f aca="false">IF(IFERROR(-INDEX(Expenses!D$3:D$1002,SMALL(IF((Expenses!E$3:E$1002="GBP")*(Expenses!A$3:A$1002=DATE(2026,5,20)),ROW(Expenses!A$3:A$1002)-2),5)),0)+IFERROR(INDEX(Income!C$3:C$502,SMALL(IF((Income!D$3:D$502="GBP")*(Income!A$3:A$502=DATE(2026,5,20)),ROW(Income!A$3:A$502)-2),5)),0)=0,"",IFERROR(-INDEX(Expenses!D$3:D$1002,SMALL(IF((Expenses!E$3:E$1002="GBP")*(Expenses!A$3:A$1002=DATE(2026,5,20)),ROW(Expenses!A$3:A$1002)-2),5)),0)+IFERROR(INDEX(Income!C$3:C$502,SMALL(IF((Income!D$3:D$502="GBP")*(Income!A$3:A$502=DATE(2026,5,20)),ROW(Income!A$3:A$502)-2),5)),0))</f>
        <v/>
      </c>
      <c r="H108" s="38" t="str">
        <f aca="false">IF(IFERROR(INDEX(Expenses!B$3:B$1002,SMALL(IF((Expenses!E$3:E$1002="GBP")*(Expenses!A$3:A$1002=DATE(2026,5,20)),ROW(Expenses!A$3:A$1002)-2),5)),"")&lt;&gt;"",IFERROR(INDEX(Expenses!B$3:B$1002,SMALL(IF((Expenses!E$3:E$1002="GBP")*(Expenses!A$3:A$1002=DATE(2026,5,20)),ROW(Expenses!A$3:A$1002)-2),5)),""),IF(IFERROR(INDEX(Income!B$3:B$502,SMALL(IF((Income!D$3:D$502="GBP")*(Income!A$3:A$502=DATE(2026,5,20)),ROW(Income!A$3:A$502)-2),5)),"")&lt;&gt;"",IFERROR(INDEX(Income!B$3:B$502,SMALL(IF((Income!D$3:D$502="GBP")*(Income!A$3:A$502=DATE(2026,5,20)),ROW(Income!A$3:A$502)-2),5)),""),""))</f>
        <v/>
      </c>
      <c r="I108" s="62" t="str">
        <f aca="false">IF(IFERROR(-INDEX(Expenses!D$3:D$1002,SMALL(IF((Expenses!E$3:E$1002="GBP")*(Expenses!A$3:A$1002=DATE(2026,5,21)),ROW(Expenses!A$3:A$1002)-2),5)),0)+IFERROR(INDEX(Income!C$3:C$502,SMALL(IF((Income!D$3:D$502="GBP")*(Income!A$3:A$502=DATE(2026,5,21)),ROW(Income!A$3:A$502)-2),5)),0)=0,"",IFERROR(-INDEX(Expenses!D$3:D$1002,SMALL(IF((Expenses!E$3:E$1002="GBP")*(Expenses!A$3:A$1002=DATE(2026,5,21)),ROW(Expenses!A$3:A$1002)-2),5)),0)+IFERROR(INDEX(Income!C$3:C$502,SMALL(IF((Income!D$3:D$502="GBP")*(Income!A$3:A$502=DATE(2026,5,21)),ROW(Income!A$3:A$502)-2),5)),0))</f>
        <v/>
      </c>
      <c r="J108" s="38" t="str">
        <f aca="false">IF(IFERROR(INDEX(Expenses!B$3:B$1002,SMALL(IF((Expenses!E$3:E$1002="GBP")*(Expenses!A$3:A$1002=DATE(2026,5,21)),ROW(Expenses!A$3:A$1002)-2),5)),"")&lt;&gt;"",IFERROR(INDEX(Expenses!B$3:B$1002,SMALL(IF((Expenses!E$3:E$1002="GBP")*(Expenses!A$3:A$1002=DATE(2026,5,21)),ROW(Expenses!A$3:A$1002)-2),5)),""),IF(IFERROR(INDEX(Income!B$3:B$502,SMALL(IF((Income!D$3:D$502="GBP")*(Income!A$3:A$502=DATE(2026,5,21)),ROW(Income!A$3:A$502)-2),5)),"")&lt;&gt;"",IFERROR(INDEX(Income!B$3:B$502,SMALL(IF((Income!D$3:D$502="GBP")*(Income!A$3:A$502=DATE(2026,5,21)),ROW(Income!A$3:A$502)-2),5)),""),""))</f>
        <v/>
      </c>
      <c r="K108" s="62" t="str">
        <f aca="false">IF(IFERROR(-INDEX(Expenses!D$3:D$1002,SMALL(IF((Expenses!E$3:E$1002="GBP")*(Expenses!A$3:A$1002=DATE(2026,5,22)),ROW(Expenses!A$3:A$1002)-2),5)),0)+IFERROR(INDEX(Income!C$3:C$502,SMALL(IF((Income!D$3:D$502="GBP")*(Income!A$3:A$502=DATE(2026,5,22)),ROW(Income!A$3:A$502)-2),5)),0)=0,"",IFERROR(-INDEX(Expenses!D$3:D$1002,SMALL(IF((Expenses!E$3:E$1002="GBP")*(Expenses!A$3:A$1002=DATE(2026,5,22)),ROW(Expenses!A$3:A$1002)-2),5)),0)+IFERROR(INDEX(Income!C$3:C$502,SMALL(IF((Income!D$3:D$502="GBP")*(Income!A$3:A$502=DATE(2026,5,22)),ROW(Income!A$3:A$502)-2),5)),0))</f>
        <v/>
      </c>
      <c r="L108" s="38" t="str">
        <f aca="false">IF(IFERROR(INDEX(Expenses!B$3:B$1002,SMALL(IF((Expenses!E$3:E$1002="GBP")*(Expenses!A$3:A$1002=DATE(2026,5,22)),ROW(Expenses!A$3:A$1002)-2),5)),"")&lt;&gt;"",IFERROR(INDEX(Expenses!B$3:B$1002,SMALL(IF((Expenses!E$3:E$1002="GBP")*(Expenses!A$3:A$1002=DATE(2026,5,22)),ROW(Expenses!A$3:A$1002)-2),5)),""),IF(IFERROR(INDEX(Income!B$3:B$502,SMALL(IF((Income!D$3:D$502="GBP")*(Income!A$3:A$502=DATE(2026,5,22)),ROW(Income!A$3:A$502)-2),5)),"")&lt;&gt;"",IFERROR(INDEX(Income!B$3:B$502,SMALL(IF((Income!D$3:D$502="GBP")*(Income!A$3:A$502=DATE(2026,5,22)),ROW(Income!A$3:A$502)-2),5)),""),""))</f>
        <v/>
      </c>
      <c r="M108" s="62" t="str">
        <f aca="false">IF(IFERROR(-INDEX(Expenses!D$3:D$1002,SMALL(IF((Expenses!E$3:E$1002="GBP")*(Expenses!A$3:A$1002=DATE(2026,5,23)),ROW(Expenses!A$3:A$1002)-2),5)),0)+IFERROR(INDEX(Income!C$3:C$502,SMALL(IF((Income!D$3:D$502="GBP")*(Income!A$3:A$502=DATE(2026,5,23)),ROW(Income!A$3:A$502)-2),5)),0)=0,"",IFERROR(-INDEX(Expenses!D$3:D$1002,SMALL(IF((Expenses!E$3:E$1002="GBP")*(Expenses!A$3:A$1002=DATE(2026,5,23)),ROW(Expenses!A$3:A$1002)-2),5)),0)+IFERROR(INDEX(Income!C$3:C$502,SMALL(IF((Income!D$3:D$502="GBP")*(Income!A$3:A$502=DATE(2026,5,23)),ROW(Income!A$3:A$502)-2),5)),0))</f>
        <v/>
      </c>
      <c r="N108" s="38" t="str">
        <f aca="false">IF(IFERROR(INDEX(Expenses!B$3:B$1002,SMALL(IF((Expenses!E$3:E$1002="GBP")*(Expenses!A$3:A$1002=DATE(2026,5,23)),ROW(Expenses!A$3:A$1002)-2),5)),"")&lt;&gt;"",IFERROR(INDEX(Expenses!B$3:B$1002,SMALL(IF((Expenses!E$3:E$1002="GBP")*(Expenses!A$3:A$1002=DATE(2026,5,23)),ROW(Expenses!A$3:A$1002)-2),5)),""),IF(IFERROR(INDEX(Income!B$3:B$502,SMALL(IF((Income!D$3:D$502="GBP")*(Income!A$3:A$502=DATE(2026,5,23)),ROW(Income!A$3:A$502)-2),5)),"")&lt;&gt;"",IFERROR(INDEX(Income!B$3:B$502,SMALL(IF((Income!D$3:D$502="GBP")*(Income!A$3:A$502=DATE(2026,5,23)),ROW(Income!A$3:A$502)-2),5)),""),""))</f>
        <v/>
      </c>
      <c r="O108" s="62" t="str">
        <f aca="false">IF(IFERROR(-INDEX(Expenses!D$3:D$1002,SMALL(IF((Expenses!E$3:E$1002="GBP")*(Expenses!A$3:A$1002=DATE(2026,5,24)),ROW(Expenses!A$3:A$1002)-2),5)),0)+IFERROR(INDEX(Income!C$3:C$502,SMALL(IF((Income!D$3:D$502="GBP")*(Income!A$3:A$502=DATE(2026,5,24)),ROW(Income!A$3:A$502)-2),5)),0)=0,"",IFERROR(-INDEX(Expenses!D$3:D$1002,SMALL(IF((Expenses!E$3:E$1002="GBP")*(Expenses!A$3:A$1002=DATE(2026,5,24)),ROW(Expenses!A$3:A$1002)-2),5)),0)+IFERROR(INDEX(Income!C$3:C$502,SMALL(IF((Income!D$3:D$502="GBP")*(Income!A$3:A$502=DATE(2026,5,24)),ROW(Income!A$3:A$502)-2),5)),0))</f>
        <v/>
      </c>
      <c r="P108" s="38" t="str">
        <f aca="false">IF(IFERROR(INDEX(Expenses!B$3:B$1002,SMALL(IF((Expenses!E$3:E$1002="GBP")*(Expenses!A$3:A$1002=DATE(2026,5,24)),ROW(Expenses!A$3:A$1002)-2),5)),"")&lt;&gt;"",IFERROR(INDEX(Expenses!B$3:B$1002,SMALL(IF((Expenses!E$3:E$1002="GBP")*(Expenses!A$3:A$1002=DATE(2026,5,24)),ROW(Expenses!A$3:A$1002)-2),5)),""),IF(IFERROR(INDEX(Income!B$3:B$502,SMALL(IF((Income!D$3:D$502="GBP")*(Income!A$3:A$502=DATE(2026,5,24)),ROW(Income!A$3:A$502)-2),5)),"")&lt;&gt;"",IFERROR(INDEX(Income!B$3:B$502,SMALL(IF((Income!D$3:D$502="GBP")*(Income!A$3:A$502=DATE(2026,5,24)),ROW(Income!A$3:A$502)-2),5)),""),""))</f>
        <v/>
      </c>
      <c r="Q108" s="16"/>
      <c r="R108" s="16"/>
    </row>
    <row r="109" customFormat="false" ht="15" hidden="false" customHeight="false" outlineLevel="0" collapsed="false">
      <c r="A109" s="61" t="n">
        <v>46167</v>
      </c>
      <c r="B109" s="3" t="n">
        <v>22</v>
      </c>
      <c r="C109" s="62" t="str">
        <f aca="false">IF(IFERROR(-INDEX(Expenses!D$3:D$1002,SMALL(IF((Expenses!E$3:E$1002="GBP")*(Expenses!A$3:A$1002=DATE(2026,5,25)),ROW(Expenses!A$3:A$1002)-2),1)),0)+IFERROR(INDEX(Income!C$3:C$502,SMALL(IF((Income!D$3:D$502="GBP")*(Income!A$3:A$502=DATE(2026,5,25)),ROW(Income!A$3:A$502)-2),1)),0)=0,"",IFERROR(-INDEX(Expenses!D$3:D$1002,SMALL(IF((Expenses!E$3:E$1002="GBP")*(Expenses!A$3:A$1002=DATE(2026,5,25)),ROW(Expenses!A$3:A$1002)-2),1)),0)+IFERROR(INDEX(Income!C$3:C$502,SMALL(IF((Income!D$3:D$502="GBP")*(Income!A$3:A$502=DATE(2026,5,25)),ROW(Income!A$3:A$502)-2),1)),0))</f>
        <v/>
      </c>
      <c r="D109" s="38" t="str">
        <f aca="false">IF(IFERROR(INDEX(Expenses!B$3:B$1002,SMALL(IF((Expenses!E$3:E$1002="GBP")*(Expenses!A$3:A$1002=DATE(2026,5,25)),ROW(Expenses!A$3:A$1002)-2),1)),"")&lt;&gt;"",IFERROR(INDEX(Expenses!B$3:B$1002,SMALL(IF((Expenses!E$3:E$1002="GBP")*(Expenses!A$3:A$1002=DATE(2026,5,25)),ROW(Expenses!A$3:A$1002)-2),1)),""),IF(IFERROR(INDEX(Income!B$3:B$502,SMALL(IF((Income!D$3:D$502="GBP")*(Income!A$3:A$502=DATE(2026,5,25)),ROW(Income!A$3:A$502)-2),1)),"")&lt;&gt;"",IFERROR(INDEX(Income!B$3:B$502,SMALL(IF((Income!D$3:D$502="GBP")*(Income!A$3:A$502=DATE(2026,5,25)),ROW(Income!A$3:A$502)-2),1)),""),""))</f>
        <v/>
      </c>
      <c r="E109" s="62" t="str">
        <f aca="false">IF(IFERROR(-INDEX(Expenses!D$3:D$1002,SMALL(IF((Expenses!E$3:E$1002="GBP")*(Expenses!A$3:A$1002=DATE(2026,5,26)),ROW(Expenses!A$3:A$1002)-2),1)),0)+IFERROR(INDEX(Income!C$3:C$502,SMALL(IF((Income!D$3:D$502="GBP")*(Income!A$3:A$502=DATE(2026,5,26)),ROW(Income!A$3:A$502)-2),1)),0)=0,"",IFERROR(-INDEX(Expenses!D$3:D$1002,SMALL(IF((Expenses!E$3:E$1002="GBP")*(Expenses!A$3:A$1002=DATE(2026,5,26)),ROW(Expenses!A$3:A$1002)-2),1)),0)+IFERROR(INDEX(Income!C$3:C$502,SMALL(IF((Income!D$3:D$502="GBP")*(Income!A$3:A$502=DATE(2026,5,26)),ROW(Income!A$3:A$502)-2),1)),0))</f>
        <v/>
      </c>
      <c r="F109" s="38" t="str">
        <f aca="false">IF(IFERROR(INDEX(Expenses!B$3:B$1002,SMALL(IF((Expenses!E$3:E$1002="GBP")*(Expenses!A$3:A$1002=DATE(2026,5,26)),ROW(Expenses!A$3:A$1002)-2),1)),"")&lt;&gt;"",IFERROR(INDEX(Expenses!B$3:B$1002,SMALL(IF((Expenses!E$3:E$1002="GBP")*(Expenses!A$3:A$1002=DATE(2026,5,26)),ROW(Expenses!A$3:A$1002)-2),1)),""),IF(IFERROR(INDEX(Income!B$3:B$502,SMALL(IF((Income!D$3:D$502="GBP")*(Income!A$3:A$502=DATE(2026,5,26)),ROW(Income!A$3:A$502)-2),1)),"")&lt;&gt;"",IFERROR(INDEX(Income!B$3:B$502,SMALL(IF((Income!D$3:D$502="GBP")*(Income!A$3:A$502=DATE(2026,5,26)),ROW(Income!A$3:A$502)-2),1)),""),""))</f>
        <v/>
      </c>
      <c r="G109" s="62" t="str">
        <f aca="false">IF(IFERROR(-INDEX(Expenses!D$3:D$1002,SMALL(IF((Expenses!E$3:E$1002="GBP")*(Expenses!A$3:A$1002=DATE(2026,5,27)),ROW(Expenses!A$3:A$1002)-2),1)),0)+IFERROR(INDEX(Income!C$3:C$502,SMALL(IF((Income!D$3:D$502="GBP")*(Income!A$3:A$502=DATE(2026,5,27)),ROW(Income!A$3:A$502)-2),1)),0)=0,"",IFERROR(-INDEX(Expenses!D$3:D$1002,SMALL(IF((Expenses!E$3:E$1002="GBP")*(Expenses!A$3:A$1002=DATE(2026,5,27)),ROW(Expenses!A$3:A$1002)-2),1)),0)+IFERROR(INDEX(Income!C$3:C$502,SMALL(IF((Income!D$3:D$502="GBP")*(Income!A$3:A$502=DATE(2026,5,27)),ROW(Income!A$3:A$502)-2),1)),0))</f>
        <v/>
      </c>
      <c r="H109" s="38" t="str">
        <f aca="false">IF(IFERROR(INDEX(Expenses!B$3:B$1002,SMALL(IF((Expenses!E$3:E$1002="GBP")*(Expenses!A$3:A$1002=DATE(2026,5,27)),ROW(Expenses!A$3:A$1002)-2),1)),"")&lt;&gt;"",IFERROR(INDEX(Expenses!B$3:B$1002,SMALL(IF((Expenses!E$3:E$1002="GBP")*(Expenses!A$3:A$1002=DATE(2026,5,27)),ROW(Expenses!A$3:A$1002)-2),1)),""),IF(IFERROR(INDEX(Income!B$3:B$502,SMALL(IF((Income!D$3:D$502="GBP")*(Income!A$3:A$502=DATE(2026,5,27)),ROW(Income!A$3:A$502)-2),1)),"")&lt;&gt;"",IFERROR(INDEX(Income!B$3:B$502,SMALL(IF((Income!D$3:D$502="GBP")*(Income!A$3:A$502=DATE(2026,5,27)),ROW(Income!A$3:A$502)-2),1)),""),""))</f>
        <v/>
      </c>
      <c r="I109" s="62" t="str">
        <f aca="false">IF(IFERROR(-INDEX(Expenses!D$3:D$1002,SMALL(IF((Expenses!E$3:E$1002="GBP")*(Expenses!A$3:A$1002=DATE(2026,5,28)),ROW(Expenses!A$3:A$1002)-2),1)),0)+IFERROR(INDEX(Income!C$3:C$502,SMALL(IF((Income!D$3:D$502="GBP")*(Income!A$3:A$502=DATE(2026,5,28)),ROW(Income!A$3:A$502)-2),1)),0)=0,"",IFERROR(-INDEX(Expenses!D$3:D$1002,SMALL(IF((Expenses!E$3:E$1002="GBP")*(Expenses!A$3:A$1002=DATE(2026,5,28)),ROW(Expenses!A$3:A$1002)-2),1)),0)+IFERROR(INDEX(Income!C$3:C$502,SMALL(IF((Income!D$3:D$502="GBP")*(Income!A$3:A$502=DATE(2026,5,28)),ROW(Income!A$3:A$502)-2),1)),0))</f>
        <v/>
      </c>
      <c r="J109" s="38" t="str">
        <f aca="false">IF(IFERROR(INDEX(Expenses!B$3:B$1002,SMALL(IF((Expenses!E$3:E$1002="GBP")*(Expenses!A$3:A$1002=DATE(2026,5,28)),ROW(Expenses!A$3:A$1002)-2),1)),"")&lt;&gt;"",IFERROR(INDEX(Expenses!B$3:B$1002,SMALL(IF((Expenses!E$3:E$1002="GBP")*(Expenses!A$3:A$1002=DATE(2026,5,28)),ROW(Expenses!A$3:A$1002)-2),1)),""),IF(IFERROR(INDEX(Income!B$3:B$502,SMALL(IF((Income!D$3:D$502="GBP")*(Income!A$3:A$502=DATE(2026,5,28)),ROW(Income!A$3:A$502)-2),1)),"")&lt;&gt;"",IFERROR(INDEX(Income!B$3:B$502,SMALL(IF((Income!D$3:D$502="GBP")*(Income!A$3:A$502=DATE(2026,5,28)),ROW(Income!A$3:A$502)-2),1)),""),""))</f>
        <v/>
      </c>
      <c r="K109" s="62" t="str">
        <f aca="false">IF(IFERROR(-INDEX(Expenses!D$3:D$1002,SMALL(IF((Expenses!E$3:E$1002="GBP")*(Expenses!A$3:A$1002=DATE(2026,5,29)),ROW(Expenses!A$3:A$1002)-2),1)),0)+IFERROR(INDEX(Income!C$3:C$502,SMALL(IF((Income!D$3:D$502="GBP")*(Income!A$3:A$502=DATE(2026,5,29)),ROW(Income!A$3:A$502)-2),1)),0)=0,"",IFERROR(-INDEX(Expenses!D$3:D$1002,SMALL(IF((Expenses!E$3:E$1002="GBP")*(Expenses!A$3:A$1002=DATE(2026,5,29)),ROW(Expenses!A$3:A$1002)-2),1)),0)+IFERROR(INDEX(Income!C$3:C$502,SMALL(IF((Income!D$3:D$502="GBP")*(Income!A$3:A$502=DATE(2026,5,29)),ROW(Income!A$3:A$502)-2),1)),0))</f>
        <v/>
      </c>
      <c r="L109" s="38" t="str">
        <f aca="false">IF(IFERROR(INDEX(Expenses!B$3:B$1002,SMALL(IF((Expenses!E$3:E$1002="GBP")*(Expenses!A$3:A$1002=DATE(2026,5,29)),ROW(Expenses!A$3:A$1002)-2),1)),"")&lt;&gt;"",IFERROR(INDEX(Expenses!B$3:B$1002,SMALL(IF((Expenses!E$3:E$1002="GBP")*(Expenses!A$3:A$1002=DATE(2026,5,29)),ROW(Expenses!A$3:A$1002)-2),1)),""),IF(IFERROR(INDEX(Income!B$3:B$502,SMALL(IF((Income!D$3:D$502="GBP")*(Income!A$3:A$502=DATE(2026,5,29)),ROW(Income!A$3:A$502)-2),1)),"")&lt;&gt;"",IFERROR(INDEX(Income!B$3:B$502,SMALL(IF((Income!D$3:D$502="GBP")*(Income!A$3:A$502=DATE(2026,5,29)),ROW(Income!A$3:A$502)-2),1)),""),""))</f>
        <v/>
      </c>
      <c r="M109" s="62" t="str">
        <f aca="false">IF(IFERROR(-INDEX(Expenses!D$3:D$1002,SMALL(IF((Expenses!E$3:E$1002="GBP")*(Expenses!A$3:A$1002=DATE(2026,5,30)),ROW(Expenses!A$3:A$1002)-2),1)),0)+IFERROR(INDEX(Income!C$3:C$502,SMALL(IF((Income!D$3:D$502="GBP")*(Income!A$3:A$502=DATE(2026,5,30)),ROW(Income!A$3:A$502)-2),1)),0)=0,"",IFERROR(-INDEX(Expenses!D$3:D$1002,SMALL(IF((Expenses!E$3:E$1002="GBP")*(Expenses!A$3:A$1002=DATE(2026,5,30)),ROW(Expenses!A$3:A$1002)-2),1)),0)+IFERROR(INDEX(Income!C$3:C$502,SMALL(IF((Income!D$3:D$502="GBP")*(Income!A$3:A$502=DATE(2026,5,30)),ROW(Income!A$3:A$502)-2),1)),0))</f>
        <v/>
      </c>
      <c r="N109" s="38" t="str">
        <f aca="false">IF(IFERROR(INDEX(Expenses!B$3:B$1002,SMALL(IF((Expenses!E$3:E$1002="GBP")*(Expenses!A$3:A$1002=DATE(2026,5,30)),ROW(Expenses!A$3:A$1002)-2),1)),"")&lt;&gt;"",IFERROR(INDEX(Expenses!B$3:B$1002,SMALL(IF((Expenses!E$3:E$1002="GBP")*(Expenses!A$3:A$1002=DATE(2026,5,30)),ROW(Expenses!A$3:A$1002)-2),1)),""),IF(IFERROR(INDEX(Income!B$3:B$502,SMALL(IF((Income!D$3:D$502="GBP")*(Income!A$3:A$502=DATE(2026,5,30)),ROW(Income!A$3:A$502)-2),1)),"")&lt;&gt;"",IFERROR(INDEX(Income!B$3:B$502,SMALL(IF((Income!D$3:D$502="GBP")*(Income!A$3:A$502=DATE(2026,5,30)),ROW(Income!A$3:A$502)-2),1)),""),""))</f>
        <v/>
      </c>
      <c r="O109" s="62" t="str">
        <f aca="false">IF(IFERROR(-INDEX(Expenses!D$3:D$1002,SMALL(IF((Expenses!E$3:E$1002="GBP")*(Expenses!A$3:A$1002=DATE(2026,5,31)),ROW(Expenses!A$3:A$1002)-2),1)),0)+IFERROR(INDEX(Income!C$3:C$502,SMALL(IF((Income!D$3:D$502="GBP")*(Income!A$3:A$502=DATE(2026,5,31)),ROW(Income!A$3:A$502)-2),1)),0)=0,"",IFERROR(-INDEX(Expenses!D$3:D$1002,SMALL(IF((Expenses!E$3:E$1002="GBP")*(Expenses!A$3:A$1002=DATE(2026,5,31)),ROW(Expenses!A$3:A$1002)-2),1)),0)+IFERROR(INDEX(Income!C$3:C$502,SMALL(IF((Income!D$3:D$502="GBP")*(Income!A$3:A$502=DATE(2026,5,31)),ROW(Income!A$3:A$502)-2),1)),0))</f>
        <v/>
      </c>
      <c r="P109" s="38" t="str">
        <f aca="false">IF(IFERROR(INDEX(Expenses!B$3:B$1002,SMALL(IF((Expenses!E$3:E$1002="GBP")*(Expenses!A$3:A$1002=DATE(2026,5,31)),ROW(Expenses!A$3:A$1002)-2),1)),"")&lt;&gt;"",IFERROR(INDEX(Expenses!B$3:B$1002,SMALL(IF((Expenses!E$3:E$1002="GBP")*(Expenses!A$3:A$1002=DATE(2026,5,31)),ROW(Expenses!A$3:A$1002)-2),1)),""),IF(IFERROR(INDEX(Income!B$3:B$502,SMALL(IF((Income!D$3:D$502="GBP")*(Income!A$3:A$502=DATE(2026,5,31)),ROW(Income!A$3:A$502)-2),1)),"")&lt;&gt;"",IFERROR(INDEX(Income!B$3:B$502,SMALL(IF((Income!D$3:D$502="GBP")*(Income!A$3:A$502=DATE(2026,5,31)),ROW(Income!A$3:A$502)-2),1)),""),""))</f>
        <v/>
      </c>
      <c r="Q109" s="3" t="n">
        <v>22</v>
      </c>
      <c r="R109" s="45" t="n">
        <f aca="false">SUM(C109:C113)+SUM(E109:E113)+SUM(G109:G113)+SUM(I109:I113)+SUM(K109:K113)+SUM(M109:M113)+SUM(O109:O113)</f>
        <v>0</v>
      </c>
    </row>
    <row r="110" customFormat="false" ht="15" hidden="false" customHeight="false" outlineLevel="0" collapsed="false">
      <c r="A110" s="16"/>
      <c r="B110" s="16"/>
      <c r="C110" s="62" t="str">
        <f aca="false">IF(IFERROR(-INDEX(Expenses!D$3:D$1002,SMALL(IF((Expenses!E$3:E$1002="GBP")*(Expenses!A$3:A$1002=DATE(2026,5,25)),ROW(Expenses!A$3:A$1002)-2),2)),0)+IFERROR(INDEX(Income!C$3:C$502,SMALL(IF((Income!D$3:D$502="GBP")*(Income!A$3:A$502=DATE(2026,5,25)),ROW(Income!A$3:A$502)-2),2)),0)=0,"",IFERROR(-INDEX(Expenses!D$3:D$1002,SMALL(IF((Expenses!E$3:E$1002="GBP")*(Expenses!A$3:A$1002=DATE(2026,5,25)),ROW(Expenses!A$3:A$1002)-2),2)),0)+IFERROR(INDEX(Income!C$3:C$502,SMALL(IF((Income!D$3:D$502="GBP")*(Income!A$3:A$502=DATE(2026,5,25)),ROW(Income!A$3:A$502)-2),2)),0))</f>
        <v/>
      </c>
      <c r="D110" s="38" t="str">
        <f aca="false">IF(IFERROR(INDEX(Expenses!B$3:B$1002,SMALL(IF((Expenses!E$3:E$1002="GBP")*(Expenses!A$3:A$1002=DATE(2026,5,25)),ROW(Expenses!A$3:A$1002)-2),2)),"")&lt;&gt;"",IFERROR(INDEX(Expenses!B$3:B$1002,SMALL(IF((Expenses!E$3:E$1002="GBP")*(Expenses!A$3:A$1002=DATE(2026,5,25)),ROW(Expenses!A$3:A$1002)-2),2)),""),IF(IFERROR(INDEX(Income!B$3:B$502,SMALL(IF((Income!D$3:D$502="GBP")*(Income!A$3:A$502=DATE(2026,5,25)),ROW(Income!A$3:A$502)-2),2)),"")&lt;&gt;"",IFERROR(INDEX(Income!B$3:B$502,SMALL(IF((Income!D$3:D$502="GBP")*(Income!A$3:A$502=DATE(2026,5,25)),ROW(Income!A$3:A$502)-2),2)),""),""))</f>
        <v/>
      </c>
      <c r="E110" s="62" t="str">
        <f aca="false">IF(IFERROR(-INDEX(Expenses!D$3:D$1002,SMALL(IF((Expenses!E$3:E$1002="GBP")*(Expenses!A$3:A$1002=DATE(2026,5,26)),ROW(Expenses!A$3:A$1002)-2),2)),0)+IFERROR(INDEX(Income!C$3:C$502,SMALL(IF((Income!D$3:D$502="GBP")*(Income!A$3:A$502=DATE(2026,5,26)),ROW(Income!A$3:A$502)-2),2)),0)=0,"",IFERROR(-INDEX(Expenses!D$3:D$1002,SMALL(IF((Expenses!E$3:E$1002="GBP")*(Expenses!A$3:A$1002=DATE(2026,5,26)),ROW(Expenses!A$3:A$1002)-2),2)),0)+IFERROR(INDEX(Income!C$3:C$502,SMALL(IF((Income!D$3:D$502="GBP")*(Income!A$3:A$502=DATE(2026,5,26)),ROW(Income!A$3:A$502)-2),2)),0))</f>
        <v/>
      </c>
      <c r="F110" s="38" t="str">
        <f aca="false">IF(IFERROR(INDEX(Expenses!B$3:B$1002,SMALL(IF((Expenses!E$3:E$1002="GBP")*(Expenses!A$3:A$1002=DATE(2026,5,26)),ROW(Expenses!A$3:A$1002)-2),2)),"")&lt;&gt;"",IFERROR(INDEX(Expenses!B$3:B$1002,SMALL(IF((Expenses!E$3:E$1002="GBP")*(Expenses!A$3:A$1002=DATE(2026,5,26)),ROW(Expenses!A$3:A$1002)-2),2)),""),IF(IFERROR(INDEX(Income!B$3:B$502,SMALL(IF((Income!D$3:D$502="GBP")*(Income!A$3:A$502=DATE(2026,5,26)),ROW(Income!A$3:A$502)-2),2)),"")&lt;&gt;"",IFERROR(INDEX(Income!B$3:B$502,SMALL(IF((Income!D$3:D$502="GBP")*(Income!A$3:A$502=DATE(2026,5,26)),ROW(Income!A$3:A$502)-2),2)),""),""))</f>
        <v/>
      </c>
      <c r="G110" s="62" t="str">
        <f aca="false">IF(IFERROR(-INDEX(Expenses!D$3:D$1002,SMALL(IF((Expenses!E$3:E$1002="GBP")*(Expenses!A$3:A$1002=DATE(2026,5,27)),ROW(Expenses!A$3:A$1002)-2),2)),0)+IFERROR(INDEX(Income!C$3:C$502,SMALL(IF((Income!D$3:D$502="GBP")*(Income!A$3:A$502=DATE(2026,5,27)),ROW(Income!A$3:A$502)-2),2)),0)=0,"",IFERROR(-INDEX(Expenses!D$3:D$1002,SMALL(IF((Expenses!E$3:E$1002="GBP")*(Expenses!A$3:A$1002=DATE(2026,5,27)),ROW(Expenses!A$3:A$1002)-2),2)),0)+IFERROR(INDEX(Income!C$3:C$502,SMALL(IF((Income!D$3:D$502="GBP")*(Income!A$3:A$502=DATE(2026,5,27)),ROW(Income!A$3:A$502)-2),2)),0))</f>
        <v/>
      </c>
      <c r="H110" s="38" t="str">
        <f aca="false">IF(IFERROR(INDEX(Expenses!B$3:B$1002,SMALL(IF((Expenses!E$3:E$1002="GBP")*(Expenses!A$3:A$1002=DATE(2026,5,27)),ROW(Expenses!A$3:A$1002)-2),2)),"")&lt;&gt;"",IFERROR(INDEX(Expenses!B$3:B$1002,SMALL(IF((Expenses!E$3:E$1002="GBP")*(Expenses!A$3:A$1002=DATE(2026,5,27)),ROW(Expenses!A$3:A$1002)-2),2)),""),IF(IFERROR(INDEX(Income!B$3:B$502,SMALL(IF((Income!D$3:D$502="GBP")*(Income!A$3:A$502=DATE(2026,5,27)),ROW(Income!A$3:A$502)-2),2)),"")&lt;&gt;"",IFERROR(INDEX(Income!B$3:B$502,SMALL(IF((Income!D$3:D$502="GBP")*(Income!A$3:A$502=DATE(2026,5,27)),ROW(Income!A$3:A$502)-2),2)),""),""))</f>
        <v/>
      </c>
      <c r="I110" s="62" t="str">
        <f aca="false">IF(IFERROR(-INDEX(Expenses!D$3:D$1002,SMALL(IF((Expenses!E$3:E$1002="GBP")*(Expenses!A$3:A$1002=DATE(2026,5,28)),ROW(Expenses!A$3:A$1002)-2),2)),0)+IFERROR(INDEX(Income!C$3:C$502,SMALL(IF((Income!D$3:D$502="GBP")*(Income!A$3:A$502=DATE(2026,5,28)),ROW(Income!A$3:A$502)-2),2)),0)=0,"",IFERROR(-INDEX(Expenses!D$3:D$1002,SMALL(IF((Expenses!E$3:E$1002="GBP")*(Expenses!A$3:A$1002=DATE(2026,5,28)),ROW(Expenses!A$3:A$1002)-2),2)),0)+IFERROR(INDEX(Income!C$3:C$502,SMALL(IF((Income!D$3:D$502="GBP")*(Income!A$3:A$502=DATE(2026,5,28)),ROW(Income!A$3:A$502)-2),2)),0))</f>
        <v/>
      </c>
      <c r="J110" s="38" t="str">
        <f aca="false">IF(IFERROR(INDEX(Expenses!B$3:B$1002,SMALL(IF((Expenses!E$3:E$1002="GBP")*(Expenses!A$3:A$1002=DATE(2026,5,28)),ROW(Expenses!A$3:A$1002)-2),2)),"")&lt;&gt;"",IFERROR(INDEX(Expenses!B$3:B$1002,SMALL(IF((Expenses!E$3:E$1002="GBP")*(Expenses!A$3:A$1002=DATE(2026,5,28)),ROW(Expenses!A$3:A$1002)-2),2)),""),IF(IFERROR(INDEX(Income!B$3:B$502,SMALL(IF((Income!D$3:D$502="GBP")*(Income!A$3:A$502=DATE(2026,5,28)),ROW(Income!A$3:A$502)-2),2)),"")&lt;&gt;"",IFERROR(INDEX(Income!B$3:B$502,SMALL(IF((Income!D$3:D$502="GBP")*(Income!A$3:A$502=DATE(2026,5,28)),ROW(Income!A$3:A$502)-2),2)),""),""))</f>
        <v/>
      </c>
      <c r="K110" s="62" t="str">
        <f aca="false">IF(IFERROR(-INDEX(Expenses!D$3:D$1002,SMALL(IF((Expenses!E$3:E$1002="GBP")*(Expenses!A$3:A$1002=DATE(2026,5,29)),ROW(Expenses!A$3:A$1002)-2),2)),0)+IFERROR(INDEX(Income!C$3:C$502,SMALL(IF((Income!D$3:D$502="GBP")*(Income!A$3:A$502=DATE(2026,5,29)),ROW(Income!A$3:A$502)-2),2)),0)=0,"",IFERROR(-INDEX(Expenses!D$3:D$1002,SMALL(IF((Expenses!E$3:E$1002="GBP")*(Expenses!A$3:A$1002=DATE(2026,5,29)),ROW(Expenses!A$3:A$1002)-2),2)),0)+IFERROR(INDEX(Income!C$3:C$502,SMALL(IF((Income!D$3:D$502="GBP")*(Income!A$3:A$502=DATE(2026,5,29)),ROW(Income!A$3:A$502)-2),2)),0))</f>
        <v/>
      </c>
      <c r="L110" s="38" t="str">
        <f aca="false">IF(IFERROR(INDEX(Expenses!B$3:B$1002,SMALL(IF((Expenses!E$3:E$1002="GBP")*(Expenses!A$3:A$1002=DATE(2026,5,29)),ROW(Expenses!A$3:A$1002)-2),2)),"")&lt;&gt;"",IFERROR(INDEX(Expenses!B$3:B$1002,SMALL(IF((Expenses!E$3:E$1002="GBP")*(Expenses!A$3:A$1002=DATE(2026,5,29)),ROW(Expenses!A$3:A$1002)-2),2)),""),IF(IFERROR(INDEX(Income!B$3:B$502,SMALL(IF((Income!D$3:D$502="GBP")*(Income!A$3:A$502=DATE(2026,5,29)),ROW(Income!A$3:A$502)-2),2)),"")&lt;&gt;"",IFERROR(INDEX(Income!B$3:B$502,SMALL(IF((Income!D$3:D$502="GBP")*(Income!A$3:A$502=DATE(2026,5,29)),ROW(Income!A$3:A$502)-2),2)),""),""))</f>
        <v/>
      </c>
      <c r="M110" s="62" t="str">
        <f aca="false">IF(IFERROR(-INDEX(Expenses!D$3:D$1002,SMALL(IF((Expenses!E$3:E$1002="GBP")*(Expenses!A$3:A$1002=DATE(2026,5,30)),ROW(Expenses!A$3:A$1002)-2),2)),0)+IFERROR(INDEX(Income!C$3:C$502,SMALL(IF((Income!D$3:D$502="GBP")*(Income!A$3:A$502=DATE(2026,5,30)),ROW(Income!A$3:A$502)-2),2)),0)=0,"",IFERROR(-INDEX(Expenses!D$3:D$1002,SMALL(IF((Expenses!E$3:E$1002="GBP")*(Expenses!A$3:A$1002=DATE(2026,5,30)),ROW(Expenses!A$3:A$1002)-2),2)),0)+IFERROR(INDEX(Income!C$3:C$502,SMALL(IF((Income!D$3:D$502="GBP")*(Income!A$3:A$502=DATE(2026,5,30)),ROW(Income!A$3:A$502)-2),2)),0))</f>
        <v/>
      </c>
      <c r="N110" s="38" t="str">
        <f aca="false">IF(IFERROR(INDEX(Expenses!B$3:B$1002,SMALL(IF((Expenses!E$3:E$1002="GBP")*(Expenses!A$3:A$1002=DATE(2026,5,30)),ROW(Expenses!A$3:A$1002)-2),2)),"")&lt;&gt;"",IFERROR(INDEX(Expenses!B$3:B$1002,SMALL(IF((Expenses!E$3:E$1002="GBP")*(Expenses!A$3:A$1002=DATE(2026,5,30)),ROW(Expenses!A$3:A$1002)-2),2)),""),IF(IFERROR(INDEX(Income!B$3:B$502,SMALL(IF((Income!D$3:D$502="GBP")*(Income!A$3:A$502=DATE(2026,5,30)),ROW(Income!A$3:A$502)-2),2)),"")&lt;&gt;"",IFERROR(INDEX(Income!B$3:B$502,SMALL(IF((Income!D$3:D$502="GBP")*(Income!A$3:A$502=DATE(2026,5,30)),ROW(Income!A$3:A$502)-2),2)),""),""))</f>
        <v/>
      </c>
      <c r="O110" s="62" t="str">
        <f aca="false">IF(IFERROR(-INDEX(Expenses!D$3:D$1002,SMALL(IF((Expenses!E$3:E$1002="GBP")*(Expenses!A$3:A$1002=DATE(2026,5,31)),ROW(Expenses!A$3:A$1002)-2),2)),0)+IFERROR(INDEX(Income!C$3:C$502,SMALL(IF((Income!D$3:D$502="GBP")*(Income!A$3:A$502=DATE(2026,5,31)),ROW(Income!A$3:A$502)-2),2)),0)=0,"",IFERROR(-INDEX(Expenses!D$3:D$1002,SMALL(IF((Expenses!E$3:E$1002="GBP")*(Expenses!A$3:A$1002=DATE(2026,5,31)),ROW(Expenses!A$3:A$1002)-2),2)),0)+IFERROR(INDEX(Income!C$3:C$502,SMALL(IF((Income!D$3:D$502="GBP")*(Income!A$3:A$502=DATE(2026,5,31)),ROW(Income!A$3:A$502)-2),2)),0))</f>
        <v/>
      </c>
      <c r="P110" s="38" t="str">
        <f aca="false">IF(IFERROR(INDEX(Expenses!B$3:B$1002,SMALL(IF((Expenses!E$3:E$1002="GBP")*(Expenses!A$3:A$1002=DATE(2026,5,31)),ROW(Expenses!A$3:A$1002)-2),2)),"")&lt;&gt;"",IFERROR(INDEX(Expenses!B$3:B$1002,SMALL(IF((Expenses!E$3:E$1002="GBP")*(Expenses!A$3:A$1002=DATE(2026,5,31)),ROW(Expenses!A$3:A$1002)-2),2)),""),IF(IFERROR(INDEX(Income!B$3:B$502,SMALL(IF((Income!D$3:D$502="GBP")*(Income!A$3:A$502=DATE(2026,5,31)),ROW(Income!A$3:A$502)-2),2)),"")&lt;&gt;"",IFERROR(INDEX(Income!B$3:B$502,SMALL(IF((Income!D$3:D$502="GBP")*(Income!A$3:A$502=DATE(2026,5,31)),ROW(Income!A$3:A$502)-2),2)),""),""))</f>
        <v/>
      </c>
      <c r="Q110" s="16"/>
      <c r="R110" s="16"/>
    </row>
    <row r="111" customFormat="false" ht="15" hidden="false" customHeight="false" outlineLevel="0" collapsed="false">
      <c r="A111" s="16"/>
      <c r="B111" s="16"/>
      <c r="C111" s="62" t="str">
        <f aca="false">IF(IFERROR(-INDEX(Expenses!D$3:D$1002,SMALL(IF((Expenses!E$3:E$1002="GBP")*(Expenses!A$3:A$1002=DATE(2026,5,25)),ROW(Expenses!A$3:A$1002)-2),3)),0)+IFERROR(INDEX(Income!C$3:C$502,SMALL(IF((Income!D$3:D$502="GBP")*(Income!A$3:A$502=DATE(2026,5,25)),ROW(Income!A$3:A$502)-2),3)),0)=0,"",IFERROR(-INDEX(Expenses!D$3:D$1002,SMALL(IF((Expenses!E$3:E$1002="GBP")*(Expenses!A$3:A$1002=DATE(2026,5,25)),ROW(Expenses!A$3:A$1002)-2),3)),0)+IFERROR(INDEX(Income!C$3:C$502,SMALL(IF((Income!D$3:D$502="GBP")*(Income!A$3:A$502=DATE(2026,5,25)),ROW(Income!A$3:A$502)-2),3)),0))</f>
        <v/>
      </c>
      <c r="D111" s="38" t="str">
        <f aca="false">IF(IFERROR(INDEX(Expenses!B$3:B$1002,SMALL(IF((Expenses!E$3:E$1002="GBP")*(Expenses!A$3:A$1002=DATE(2026,5,25)),ROW(Expenses!A$3:A$1002)-2),3)),"")&lt;&gt;"",IFERROR(INDEX(Expenses!B$3:B$1002,SMALL(IF((Expenses!E$3:E$1002="GBP")*(Expenses!A$3:A$1002=DATE(2026,5,25)),ROW(Expenses!A$3:A$1002)-2),3)),""),IF(IFERROR(INDEX(Income!B$3:B$502,SMALL(IF((Income!D$3:D$502="GBP")*(Income!A$3:A$502=DATE(2026,5,25)),ROW(Income!A$3:A$502)-2),3)),"")&lt;&gt;"",IFERROR(INDEX(Income!B$3:B$502,SMALL(IF((Income!D$3:D$502="GBP")*(Income!A$3:A$502=DATE(2026,5,25)),ROW(Income!A$3:A$502)-2),3)),""),""))</f>
        <v/>
      </c>
      <c r="E111" s="62" t="str">
        <f aca="false">IF(IFERROR(-INDEX(Expenses!D$3:D$1002,SMALL(IF((Expenses!E$3:E$1002="GBP")*(Expenses!A$3:A$1002=DATE(2026,5,26)),ROW(Expenses!A$3:A$1002)-2),3)),0)+IFERROR(INDEX(Income!C$3:C$502,SMALL(IF((Income!D$3:D$502="GBP")*(Income!A$3:A$502=DATE(2026,5,26)),ROW(Income!A$3:A$502)-2),3)),0)=0,"",IFERROR(-INDEX(Expenses!D$3:D$1002,SMALL(IF((Expenses!E$3:E$1002="GBP")*(Expenses!A$3:A$1002=DATE(2026,5,26)),ROW(Expenses!A$3:A$1002)-2),3)),0)+IFERROR(INDEX(Income!C$3:C$502,SMALL(IF((Income!D$3:D$502="GBP")*(Income!A$3:A$502=DATE(2026,5,26)),ROW(Income!A$3:A$502)-2),3)),0))</f>
        <v/>
      </c>
      <c r="F111" s="38" t="str">
        <f aca="false">IF(IFERROR(INDEX(Expenses!B$3:B$1002,SMALL(IF((Expenses!E$3:E$1002="GBP")*(Expenses!A$3:A$1002=DATE(2026,5,26)),ROW(Expenses!A$3:A$1002)-2),3)),"")&lt;&gt;"",IFERROR(INDEX(Expenses!B$3:B$1002,SMALL(IF((Expenses!E$3:E$1002="GBP")*(Expenses!A$3:A$1002=DATE(2026,5,26)),ROW(Expenses!A$3:A$1002)-2),3)),""),IF(IFERROR(INDEX(Income!B$3:B$502,SMALL(IF((Income!D$3:D$502="GBP")*(Income!A$3:A$502=DATE(2026,5,26)),ROW(Income!A$3:A$502)-2),3)),"")&lt;&gt;"",IFERROR(INDEX(Income!B$3:B$502,SMALL(IF((Income!D$3:D$502="GBP")*(Income!A$3:A$502=DATE(2026,5,26)),ROW(Income!A$3:A$502)-2),3)),""),""))</f>
        <v/>
      </c>
      <c r="G111" s="62" t="str">
        <f aca="false">IF(IFERROR(-INDEX(Expenses!D$3:D$1002,SMALL(IF((Expenses!E$3:E$1002="GBP")*(Expenses!A$3:A$1002=DATE(2026,5,27)),ROW(Expenses!A$3:A$1002)-2),3)),0)+IFERROR(INDEX(Income!C$3:C$502,SMALL(IF((Income!D$3:D$502="GBP")*(Income!A$3:A$502=DATE(2026,5,27)),ROW(Income!A$3:A$502)-2),3)),0)=0,"",IFERROR(-INDEX(Expenses!D$3:D$1002,SMALL(IF((Expenses!E$3:E$1002="GBP")*(Expenses!A$3:A$1002=DATE(2026,5,27)),ROW(Expenses!A$3:A$1002)-2),3)),0)+IFERROR(INDEX(Income!C$3:C$502,SMALL(IF((Income!D$3:D$502="GBP")*(Income!A$3:A$502=DATE(2026,5,27)),ROW(Income!A$3:A$502)-2),3)),0))</f>
        <v/>
      </c>
      <c r="H111" s="38" t="str">
        <f aca="false">IF(IFERROR(INDEX(Expenses!B$3:B$1002,SMALL(IF((Expenses!E$3:E$1002="GBP")*(Expenses!A$3:A$1002=DATE(2026,5,27)),ROW(Expenses!A$3:A$1002)-2),3)),"")&lt;&gt;"",IFERROR(INDEX(Expenses!B$3:B$1002,SMALL(IF((Expenses!E$3:E$1002="GBP")*(Expenses!A$3:A$1002=DATE(2026,5,27)),ROW(Expenses!A$3:A$1002)-2),3)),""),IF(IFERROR(INDEX(Income!B$3:B$502,SMALL(IF((Income!D$3:D$502="GBP")*(Income!A$3:A$502=DATE(2026,5,27)),ROW(Income!A$3:A$502)-2),3)),"")&lt;&gt;"",IFERROR(INDEX(Income!B$3:B$502,SMALL(IF((Income!D$3:D$502="GBP")*(Income!A$3:A$502=DATE(2026,5,27)),ROW(Income!A$3:A$502)-2),3)),""),""))</f>
        <v/>
      </c>
      <c r="I111" s="62" t="str">
        <f aca="false">IF(IFERROR(-INDEX(Expenses!D$3:D$1002,SMALL(IF((Expenses!E$3:E$1002="GBP")*(Expenses!A$3:A$1002=DATE(2026,5,28)),ROW(Expenses!A$3:A$1002)-2),3)),0)+IFERROR(INDEX(Income!C$3:C$502,SMALL(IF((Income!D$3:D$502="GBP")*(Income!A$3:A$502=DATE(2026,5,28)),ROW(Income!A$3:A$502)-2),3)),0)=0,"",IFERROR(-INDEX(Expenses!D$3:D$1002,SMALL(IF((Expenses!E$3:E$1002="GBP")*(Expenses!A$3:A$1002=DATE(2026,5,28)),ROW(Expenses!A$3:A$1002)-2),3)),0)+IFERROR(INDEX(Income!C$3:C$502,SMALL(IF((Income!D$3:D$502="GBP")*(Income!A$3:A$502=DATE(2026,5,28)),ROW(Income!A$3:A$502)-2),3)),0))</f>
        <v/>
      </c>
      <c r="J111" s="38" t="str">
        <f aca="false">IF(IFERROR(INDEX(Expenses!B$3:B$1002,SMALL(IF((Expenses!E$3:E$1002="GBP")*(Expenses!A$3:A$1002=DATE(2026,5,28)),ROW(Expenses!A$3:A$1002)-2),3)),"")&lt;&gt;"",IFERROR(INDEX(Expenses!B$3:B$1002,SMALL(IF((Expenses!E$3:E$1002="GBP")*(Expenses!A$3:A$1002=DATE(2026,5,28)),ROW(Expenses!A$3:A$1002)-2),3)),""),IF(IFERROR(INDEX(Income!B$3:B$502,SMALL(IF((Income!D$3:D$502="GBP")*(Income!A$3:A$502=DATE(2026,5,28)),ROW(Income!A$3:A$502)-2),3)),"")&lt;&gt;"",IFERROR(INDEX(Income!B$3:B$502,SMALL(IF((Income!D$3:D$502="GBP")*(Income!A$3:A$502=DATE(2026,5,28)),ROW(Income!A$3:A$502)-2),3)),""),""))</f>
        <v/>
      </c>
      <c r="K111" s="62" t="str">
        <f aca="false">IF(IFERROR(-INDEX(Expenses!D$3:D$1002,SMALL(IF((Expenses!E$3:E$1002="GBP")*(Expenses!A$3:A$1002=DATE(2026,5,29)),ROW(Expenses!A$3:A$1002)-2),3)),0)+IFERROR(INDEX(Income!C$3:C$502,SMALL(IF((Income!D$3:D$502="GBP")*(Income!A$3:A$502=DATE(2026,5,29)),ROW(Income!A$3:A$502)-2),3)),0)=0,"",IFERROR(-INDEX(Expenses!D$3:D$1002,SMALL(IF((Expenses!E$3:E$1002="GBP")*(Expenses!A$3:A$1002=DATE(2026,5,29)),ROW(Expenses!A$3:A$1002)-2),3)),0)+IFERROR(INDEX(Income!C$3:C$502,SMALL(IF((Income!D$3:D$502="GBP")*(Income!A$3:A$502=DATE(2026,5,29)),ROW(Income!A$3:A$502)-2),3)),0))</f>
        <v/>
      </c>
      <c r="L111" s="38" t="str">
        <f aca="false">IF(IFERROR(INDEX(Expenses!B$3:B$1002,SMALL(IF((Expenses!E$3:E$1002="GBP")*(Expenses!A$3:A$1002=DATE(2026,5,29)),ROW(Expenses!A$3:A$1002)-2),3)),"")&lt;&gt;"",IFERROR(INDEX(Expenses!B$3:B$1002,SMALL(IF((Expenses!E$3:E$1002="GBP")*(Expenses!A$3:A$1002=DATE(2026,5,29)),ROW(Expenses!A$3:A$1002)-2),3)),""),IF(IFERROR(INDEX(Income!B$3:B$502,SMALL(IF((Income!D$3:D$502="GBP")*(Income!A$3:A$502=DATE(2026,5,29)),ROW(Income!A$3:A$502)-2),3)),"")&lt;&gt;"",IFERROR(INDEX(Income!B$3:B$502,SMALL(IF((Income!D$3:D$502="GBP")*(Income!A$3:A$502=DATE(2026,5,29)),ROW(Income!A$3:A$502)-2),3)),""),""))</f>
        <v/>
      </c>
      <c r="M111" s="62" t="str">
        <f aca="false">IF(IFERROR(-INDEX(Expenses!D$3:D$1002,SMALL(IF((Expenses!E$3:E$1002="GBP")*(Expenses!A$3:A$1002=DATE(2026,5,30)),ROW(Expenses!A$3:A$1002)-2),3)),0)+IFERROR(INDEX(Income!C$3:C$502,SMALL(IF((Income!D$3:D$502="GBP")*(Income!A$3:A$502=DATE(2026,5,30)),ROW(Income!A$3:A$502)-2),3)),0)=0,"",IFERROR(-INDEX(Expenses!D$3:D$1002,SMALL(IF((Expenses!E$3:E$1002="GBP")*(Expenses!A$3:A$1002=DATE(2026,5,30)),ROW(Expenses!A$3:A$1002)-2),3)),0)+IFERROR(INDEX(Income!C$3:C$502,SMALL(IF((Income!D$3:D$502="GBP")*(Income!A$3:A$502=DATE(2026,5,30)),ROW(Income!A$3:A$502)-2),3)),0))</f>
        <v/>
      </c>
      <c r="N111" s="38" t="str">
        <f aca="false">IF(IFERROR(INDEX(Expenses!B$3:B$1002,SMALL(IF((Expenses!E$3:E$1002="GBP")*(Expenses!A$3:A$1002=DATE(2026,5,30)),ROW(Expenses!A$3:A$1002)-2),3)),"")&lt;&gt;"",IFERROR(INDEX(Expenses!B$3:B$1002,SMALL(IF((Expenses!E$3:E$1002="GBP")*(Expenses!A$3:A$1002=DATE(2026,5,30)),ROW(Expenses!A$3:A$1002)-2),3)),""),IF(IFERROR(INDEX(Income!B$3:B$502,SMALL(IF((Income!D$3:D$502="GBP")*(Income!A$3:A$502=DATE(2026,5,30)),ROW(Income!A$3:A$502)-2),3)),"")&lt;&gt;"",IFERROR(INDEX(Income!B$3:B$502,SMALL(IF((Income!D$3:D$502="GBP")*(Income!A$3:A$502=DATE(2026,5,30)),ROW(Income!A$3:A$502)-2),3)),""),""))</f>
        <v/>
      </c>
      <c r="O111" s="62" t="str">
        <f aca="false">IF(IFERROR(-INDEX(Expenses!D$3:D$1002,SMALL(IF((Expenses!E$3:E$1002="GBP")*(Expenses!A$3:A$1002=DATE(2026,5,31)),ROW(Expenses!A$3:A$1002)-2),3)),0)+IFERROR(INDEX(Income!C$3:C$502,SMALL(IF((Income!D$3:D$502="GBP")*(Income!A$3:A$502=DATE(2026,5,31)),ROW(Income!A$3:A$502)-2),3)),0)=0,"",IFERROR(-INDEX(Expenses!D$3:D$1002,SMALL(IF((Expenses!E$3:E$1002="GBP")*(Expenses!A$3:A$1002=DATE(2026,5,31)),ROW(Expenses!A$3:A$1002)-2),3)),0)+IFERROR(INDEX(Income!C$3:C$502,SMALL(IF((Income!D$3:D$502="GBP")*(Income!A$3:A$502=DATE(2026,5,31)),ROW(Income!A$3:A$502)-2),3)),0))</f>
        <v/>
      </c>
      <c r="P111" s="38" t="str">
        <f aca="false">IF(IFERROR(INDEX(Expenses!B$3:B$1002,SMALL(IF((Expenses!E$3:E$1002="GBP")*(Expenses!A$3:A$1002=DATE(2026,5,31)),ROW(Expenses!A$3:A$1002)-2),3)),"")&lt;&gt;"",IFERROR(INDEX(Expenses!B$3:B$1002,SMALL(IF((Expenses!E$3:E$1002="GBP")*(Expenses!A$3:A$1002=DATE(2026,5,31)),ROW(Expenses!A$3:A$1002)-2),3)),""),IF(IFERROR(INDEX(Income!B$3:B$502,SMALL(IF((Income!D$3:D$502="GBP")*(Income!A$3:A$502=DATE(2026,5,31)),ROW(Income!A$3:A$502)-2),3)),"")&lt;&gt;"",IFERROR(INDEX(Income!B$3:B$502,SMALL(IF((Income!D$3:D$502="GBP")*(Income!A$3:A$502=DATE(2026,5,31)),ROW(Income!A$3:A$502)-2),3)),""),""))</f>
        <v/>
      </c>
      <c r="Q111" s="16"/>
      <c r="R111" s="16"/>
    </row>
    <row r="112" customFormat="false" ht="15" hidden="false" customHeight="false" outlineLevel="0" collapsed="false">
      <c r="A112" s="16"/>
      <c r="B112" s="16"/>
      <c r="C112" s="62" t="str">
        <f aca="false">IF(IFERROR(-INDEX(Expenses!D$3:D$1002,SMALL(IF((Expenses!E$3:E$1002="GBP")*(Expenses!A$3:A$1002=DATE(2026,5,25)),ROW(Expenses!A$3:A$1002)-2),4)),0)+IFERROR(INDEX(Income!C$3:C$502,SMALL(IF((Income!D$3:D$502="GBP")*(Income!A$3:A$502=DATE(2026,5,25)),ROW(Income!A$3:A$502)-2),4)),0)=0,"",IFERROR(-INDEX(Expenses!D$3:D$1002,SMALL(IF((Expenses!E$3:E$1002="GBP")*(Expenses!A$3:A$1002=DATE(2026,5,25)),ROW(Expenses!A$3:A$1002)-2),4)),0)+IFERROR(INDEX(Income!C$3:C$502,SMALL(IF((Income!D$3:D$502="GBP")*(Income!A$3:A$502=DATE(2026,5,25)),ROW(Income!A$3:A$502)-2),4)),0))</f>
        <v/>
      </c>
      <c r="D112" s="38" t="str">
        <f aca="false">IF(IFERROR(INDEX(Expenses!B$3:B$1002,SMALL(IF((Expenses!E$3:E$1002="GBP")*(Expenses!A$3:A$1002=DATE(2026,5,25)),ROW(Expenses!A$3:A$1002)-2),4)),"")&lt;&gt;"",IFERROR(INDEX(Expenses!B$3:B$1002,SMALL(IF((Expenses!E$3:E$1002="GBP")*(Expenses!A$3:A$1002=DATE(2026,5,25)),ROW(Expenses!A$3:A$1002)-2),4)),""),IF(IFERROR(INDEX(Income!B$3:B$502,SMALL(IF((Income!D$3:D$502="GBP")*(Income!A$3:A$502=DATE(2026,5,25)),ROW(Income!A$3:A$502)-2),4)),"")&lt;&gt;"",IFERROR(INDEX(Income!B$3:B$502,SMALL(IF((Income!D$3:D$502="GBP")*(Income!A$3:A$502=DATE(2026,5,25)),ROW(Income!A$3:A$502)-2),4)),""),""))</f>
        <v/>
      </c>
      <c r="E112" s="62" t="str">
        <f aca="false">IF(IFERROR(-INDEX(Expenses!D$3:D$1002,SMALL(IF((Expenses!E$3:E$1002="GBP")*(Expenses!A$3:A$1002=DATE(2026,5,26)),ROW(Expenses!A$3:A$1002)-2),4)),0)+IFERROR(INDEX(Income!C$3:C$502,SMALL(IF((Income!D$3:D$502="GBP")*(Income!A$3:A$502=DATE(2026,5,26)),ROW(Income!A$3:A$502)-2),4)),0)=0,"",IFERROR(-INDEX(Expenses!D$3:D$1002,SMALL(IF((Expenses!E$3:E$1002="GBP")*(Expenses!A$3:A$1002=DATE(2026,5,26)),ROW(Expenses!A$3:A$1002)-2),4)),0)+IFERROR(INDEX(Income!C$3:C$502,SMALL(IF((Income!D$3:D$502="GBP")*(Income!A$3:A$502=DATE(2026,5,26)),ROW(Income!A$3:A$502)-2),4)),0))</f>
        <v/>
      </c>
      <c r="F112" s="38" t="str">
        <f aca="false">IF(IFERROR(INDEX(Expenses!B$3:B$1002,SMALL(IF((Expenses!E$3:E$1002="GBP")*(Expenses!A$3:A$1002=DATE(2026,5,26)),ROW(Expenses!A$3:A$1002)-2),4)),"")&lt;&gt;"",IFERROR(INDEX(Expenses!B$3:B$1002,SMALL(IF((Expenses!E$3:E$1002="GBP")*(Expenses!A$3:A$1002=DATE(2026,5,26)),ROW(Expenses!A$3:A$1002)-2),4)),""),IF(IFERROR(INDEX(Income!B$3:B$502,SMALL(IF((Income!D$3:D$502="GBP")*(Income!A$3:A$502=DATE(2026,5,26)),ROW(Income!A$3:A$502)-2),4)),"")&lt;&gt;"",IFERROR(INDEX(Income!B$3:B$502,SMALL(IF((Income!D$3:D$502="GBP")*(Income!A$3:A$502=DATE(2026,5,26)),ROW(Income!A$3:A$502)-2),4)),""),""))</f>
        <v/>
      </c>
      <c r="G112" s="62" t="str">
        <f aca="false">IF(IFERROR(-INDEX(Expenses!D$3:D$1002,SMALL(IF((Expenses!E$3:E$1002="GBP")*(Expenses!A$3:A$1002=DATE(2026,5,27)),ROW(Expenses!A$3:A$1002)-2),4)),0)+IFERROR(INDEX(Income!C$3:C$502,SMALL(IF((Income!D$3:D$502="GBP")*(Income!A$3:A$502=DATE(2026,5,27)),ROW(Income!A$3:A$502)-2),4)),0)=0,"",IFERROR(-INDEX(Expenses!D$3:D$1002,SMALL(IF((Expenses!E$3:E$1002="GBP")*(Expenses!A$3:A$1002=DATE(2026,5,27)),ROW(Expenses!A$3:A$1002)-2),4)),0)+IFERROR(INDEX(Income!C$3:C$502,SMALL(IF((Income!D$3:D$502="GBP")*(Income!A$3:A$502=DATE(2026,5,27)),ROW(Income!A$3:A$502)-2),4)),0))</f>
        <v/>
      </c>
      <c r="H112" s="38" t="str">
        <f aca="false">IF(IFERROR(INDEX(Expenses!B$3:B$1002,SMALL(IF((Expenses!E$3:E$1002="GBP")*(Expenses!A$3:A$1002=DATE(2026,5,27)),ROW(Expenses!A$3:A$1002)-2),4)),"")&lt;&gt;"",IFERROR(INDEX(Expenses!B$3:B$1002,SMALL(IF((Expenses!E$3:E$1002="GBP")*(Expenses!A$3:A$1002=DATE(2026,5,27)),ROW(Expenses!A$3:A$1002)-2),4)),""),IF(IFERROR(INDEX(Income!B$3:B$502,SMALL(IF((Income!D$3:D$502="GBP")*(Income!A$3:A$502=DATE(2026,5,27)),ROW(Income!A$3:A$502)-2),4)),"")&lt;&gt;"",IFERROR(INDEX(Income!B$3:B$502,SMALL(IF((Income!D$3:D$502="GBP")*(Income!A$3:A$502=DATE(2026,5,27)),ROW(Income!A$3:A$502)-2),4)),""),""))</f>
        <v/>
      </c>
      <c r="I112" s="62" t="str">
        <f aca="false">IF(IFERROR(-INDEX(Expenses!D$3:D$1002,SMALL(IF((Expenses!E$3:E$1002="GBP")*(Expenses!A$3:A$1002=DATE(2026,5,28)),ROW(Expenses!A$3:A$1002)-2),4)),0)+IFERROR(INDEX(Income!C$3:C$502,SMALL(IF((Income!D$3:D$502="GBP")*(Income!A$3:A$502=DATE(2026,5,28)),ROW(Income!A$3:A$502)-2),4)),0)=0,"",IFERROR(-INDEX(Expenses!D$3:D$1002,SMALL(IF((Expenses!E$3:E$1002="GBP")*(Expenses!A$3:A$1002=DATE(2026,5,28)),ROW(Expenses!A$3:A$1002)-2),4)),0)+IFERROR(INDEX(Income!C$3:C$502,SMALL(IF((Income!D$3:D$502="GBP")*(Income!A$3:A$502=DATE(2026,5,28)),ROW(Income!A$3:A$502)-2),4)),0))</f>
        <v/>
      </c>
      <c r="J112" s="38" t="str">
        <f aca="false">IF(IFERROR(INDEX(Expenses!B$3:B$1002,SMALL(IF((Expenses!E$3:E$1002="GBP")*(Expenses!A$3:A$1002=DATE(2026,5,28)),ROW(Expenses!A$3:A$1002)-2),4)),"")&lt;&gt;"",IFERROR(INDEX(Expenses!B$3:B$1002,SMALL(IF((Expenses!E$3:E$1002="GBP")*(Expenses!A$3:A$1002=DATE(2026,5,28)),ROW(Expenses!A$3:A$1002)-2),4)),""),IF(IFERROR(INDEX(Income!B$3:B$502,SMALL(IF((Income!D$3:D$502="GBP")*(Income!A$3:A$502=DATE(2026,5,28)),ROW(Income!A$3:A$502)-2),4)),"")&lt;&gt;"",IFERROR(INDEX(Income!B$3:B$502,SMALL(IF((Income!D$3:D$502="GBP")*(Income!A$3:A$502=DATE(2026,5,28)),ROW(Income!A$3:A$502)-2),4)),""),""))</f>
        <v/>
      </c>
      <c r="K112" s="62" t="str">
        <f aca="false">IF(IFERROR(-INDEX(Expenses!D$3:D$1002,SMALL(IF((Expenses!E$3:E$1002="GBP")*(Expenses!A$3:A$1002=DATE(2026,5,29)),ROW(Expenses!A$3:A$1002)-2),4)),0)+IFERROR(INDEX(Income!C$3:C$502,SMALL(IF((Income!D$3:D$502="GBP")*(Income!A$3:A$502=DATE(2026,5,29)),ROW(Income!A$3:A$502)-2),4)),0)=0,"",IFERROR(-INDEX(Expenses!D$3:D$1002,SMALL(IF((Expenses!E$3:E$1002="GBP")*(Expenses!A$3:A$1002=DATE(2026,5,29)),ROW(Expenses!A$3:A$1002)-2),4)),0)+IFERROR(INDEX(Income!C$3:C$502,SMALL(IF((Income!D$3:D$502="GBP")*(Income!A$3:A$502=DATE(2026,5,29)),ROW(Income!A$3:A$502)-2),4)),0))</f>
        <v/>
      </c>
      <c r="L112" s="38" t="str">
        <f aca="false">IF(IFERROR(INDEX(Expenses!B$3:B$1002,SMALL(IF((Expenses!E$3:E$1002="GBP")*(Expenses!A$3:A$1002=DATE(2026,5,29)),ROW(Expenses!A$3:A$1002)-2),4)),"")&lt;&gt;"",IFERROR(INDEX(Expenses!B$3:B$1002,SMALL(IF((Expenses!E$3:E$1002="GBP")*(Expenses!A$3:A$1002=DATE(2026,5,29)),ROW(Expenses!A$3:A$1002)-2),4)),""),IF(IFERROR(INDEX(Income!B$3:B$502,SMALL(IF((Income!D$3:D$502="GBP")*(Income!A$3:A$502=DATE(2026,5,29)),ROW(Income!A$3:A$502)-2),4)),"")&lt;&gt;"",IFERROR(INDEX(Income!B$3:B$502,SMALL(IF((Income!D$3:D$502="GBP")*(Income!A$3:A$502=DATE(2026,5,29)),ROW(Income!A$3:A$502)-2),4)),""),""))</f>
        <v/>
      </c>
      <c r="M112" s="62" t="str">
        <f aca="false">IF(IFERROR(-INDEX(Expenses!D$3:D$1002,SMALL(IF((Expenses!E$3:E$1002="GBP")*(Expenses!A$3:A$1002=DATE(2026,5,30)),ROW(Expenses!A$3:A$1002)-2),4)),0)+IFERROR(INDEX(Income!C$3:C$502,SMALL(IF((Income!D$3:D$502="GBP")*(Income!A$3:A$502=DATE(2026,5,30)),ROW(Income!A$3:A$502)-2),4)),0)=0,"",IFERROR(-INDEX(Expenses!D$3:D$1002,SMALL(IF((Expenses!E$3:E$1002="GBP")*(Expenses!A$3:A$1002=DATE(2026,5,30)),ROW(Expenses!A$3:A$1002)-2),4)),0)+IFERROR(INDEX(Income!C$3:C$502,SMALL(IF((Income!D$3:D$502="GBP")*(Income!A$3:A$502=DATE(2026,5,30)),ROW(Income!A$3:A$502)-2),4)),0))</f>
        <v/>
      </c>
      <c r="N112" s="38" t="str">
        <f aca="false">IF(IFERROR(INDEX(Expenses!B$3:B$1002,SMALL(IF((Expenses!E$3:E$1002="GBP")*(Expenses!A$3:A$1002=DATE(2026,5,30)),ROW(Expenses!A$3:A$1002)-2),4)),"")&lt;&gt;"",IFERROR(INDEX(Expenses!B$3:B$1002,SMALL(IF((Expenses!E$3:E$1002="GBP")*(Expenses!A$3:A$1002=DATE(2026,5,30)),ROW(Expenses!A$3:A$1002)-2),4)),""),IF(IFERROR(INDEX(Income!B$3:B$502,SMALL(IF((Income!D$3:D$502="GBP")*(Income!A$3:A$502=DATE(2026,5,30)),ROW(Income!A$3:A$502)-2),4)),"")&lt;&gt;"",IFERROR(INDEX(Income!B$3:B$502,SMALL(IF((Income!D$3:D$502="GBP")*(Income!A$3:A$502=DATE(2026,5,30)),ROW(Income!A$3:A$502)-2),4)),""),""))</f>
        <v/>
      </c>
      <c r="O112" s="62" t="str">
        <f aca="false">IF(IFERROR(-INDEX(Expenses!D$3:D$1002,SMALL(IF((Expenses!E$3:E$1002="GBP")*(Expenses!A$3:A$1002=DATE(2026,5,31)),ROW(Expenses!A$3:A$1002)-2),4)),0)+IFERROR(INDEX(Income!C$3:C$502,SMALL(IF((Income!D$3:D$502="GBP")*(Income!A$3:A$502=DATE(2026,5,31)),ROW(Income!A$3:A$502)-2),4)),0)=0,"",IFERROR(-INDEX(Expenses!D$3:D$1002,SMALL(IF((Expenses!E$3:E$1002="GBP")*(Expenses!A$3:A$1002=DATE(2026,5,31)),ROW(Expenses!A$3:A$1002)-2),4)),0)+IFERROR(INDEX(Income!C$3:C$502,SMALL(IF((Income!D$3:D$502="GBP")*(Income!A$3:A$502=DATE(2026,5,31)),ROW(Income!A$3:A$502)-2),4)),0))</f>
        <v/>
      </c>
      <c r="P112" s="38" t="str">
        <f aca="false">IF(IFERROR(INDEX(Expenses!B$3:B$1002,SMALL(IF((Expenses!E$3:E$1002="GBP")*(Expenses!A$3:A$1002=DATE(2026,5,31)),ROW(Expenses!A$3:A$1002)-2),4)),"")&lt;&gt;"",IFERROR(INDEX(Expenses!B$3:B$1002,SMALL(IF((Expenses!E$3:E$1002="GBP")*(Expenses!A$3:A$1002=DATE(2026,5,31)),ROW(Expenses!A$3:A$1002)-2),4)),""),IF(IFERROR(INDEX(Income!B$3:B$502,SMALL(IF((Income!D$3:D$502="GBP")*(Income!A$3:A$502=DATE(2026,5,31)),ROW(Income!A$3:A$502)-2),4)),"")&lt;&gt;"",IFERROR(INDEX(Income!B$3:B$502,SMALL(IF((Income!D$3:D$502="GBP")*(Income!A$3:A$502=DATE(2026,5,31)),ROW(Income!A$3:A$502)-2),4)),""),""))</f>
        <v/>
      </c>
      <c r="Q112" s="16"/>
      <c r="R112" s="16"/>
    </row>
    <row r="113" customFormat="false" ht="15" hidden="false" customHeight="false" outlineLevel="0" collapsed="false">
      <c r="A113" s="16"/>
      <c r="B113" s="16"/>
      <c r="C113" s="62" t="str">
        <f aca="false">IF(IFERROR(-INDEX(Expenses!D$3:D$1002,SMALL(IF((Expenses!E$3:E$1002="GBP")*(Expenses!A$3:A$1002=DATE(2026,5,25)),ROW(Expenses!A$3:A$1002)-2),5)),0)+IFERROR(INDEX(Income!C$3:C$502,SMALL(IF((Income!D$3:D$502="GBP")*(Income!A$3:A$502=DATE(2026,5,25)),ROW(Income!A$3:A$502)-2),5)),0)=0,"",IFERROR(-INDEX(Expenses!D$3:D$1002,SMALL(IF((Expenses!E$3:E$1002="GBP")*(Expenses!A$3:A$1002=DATE(2026,5,25)),ROW(Expenses!A$3:A$1002)-2),5)),0)+IFERROR(INDEX(Income!C$3:C$502,SMALL(IF((Income!D$3:D$502="GBP")*(Income!A$3:A$502=DATE(2026,5,25)),ROW(Income!A$3:A$502)-2),5)),0))</f>
        <v/>
      </c>
      <c r="D113" s="38" t="str">
        <f aca="false">IF(IFERROR(INDEX(Expenses!B$3:B$1002,SMALL(IF((Expenses!E$3:E$1002="GBP")*(Expenses!A$3:A$1002=DATE(2026,5,25)),ROW(Expenses!A$3:A$1002)-2),5)),"")&lt;&gt;"",IFERROR(INDEX(Expenses!B$3:B$1002,SMALL(IF((Expenses!E$3:E$1002="GBP")*(Expenses!A$3:A$1002=DATE(2026,5,25)),ROW(Expenses!A$3:A$1002)-2),5)),""),IF(IFERROR(INDEX(Income!B$3:B$502,SMALL(IF((Income!D$3:D$502="GBP")*(Income!A$3:A$502=DATE(2026,5,25)),ROW(Income!A$3:A$502)-2),5)),"")&lt;&gt;"",IFERROR(INDEX(Income!B$3:B$502,SMALL(IF((Income!D$3:D$502="GBP")*(Income!A$3:A$502=DATE(2026,5,25)),ROW(Income!A$3:A$502)-2),5)),""),""))</f>
        <v/>
      </c>
      <c r="E113" s="62" t="str">
        <f aca="false">IF(IFERROR(-INDEX(Expenses!D$3:D$1002,SMALL(IF((Expenses!E$3:E$1002="GBP")*(Expenses!A$3:A$1002=DATE(2026,5,26)),ROW(Expenses!A$3:A$1002)-2),5)),0)+IFERROR(INDEX(Income!C$3:C$502,SMALL(IF((Income!D$3:D$502="GBP")*(Income!A$3:A$502=DATE(2026,5,26)),ROW(Income!A$3:A$502)-2),5)),0)=0,"",IFERROR(-INDEX(Expenses!D$3:D$1002,SMALL(IF((Expenses!E$3:E$1002="GBP")*(Expenses!A$3:A$1002=DATE(2026,5,26)),ROW(Expenses!A$3:A$1002)-2),5)),0)+IFERROR(INDEX(Income!C$3:C$502,SMALL(IF((Income!D$3:D$502="GBP")*(Income!A$3:A$502=DATE(2026,5,26)),ROW(Income!A$3:A$502)-2),5)),0))</f>
        <v/>
      </c>
      <c r="F113" s="38" t="str">
        <f aca="false">IF(IFERROR(INDEX(Expenses!B$3:B$1002,SMALL(IF((Expenses!E$3:E$1002="GBP")*(Expenses!A$3:A$1002=DATE(2026,5,26)),ROW(Expenses!A$3:A$1002)-2),5)),"")&lt;&gt;"",IFERROR(INDEX(Expenses!B$3:B$1002,SMALL(IF((Expenses!E$3:E$1002="GBP")*(Expenses!A$3:A$1002=DATE(2026,5,26)),ROW(Expenses!A$3:A$1002)-2),5)),""),IF(IFERROR(INDEX(Income!B$3:B$502,SMALL(IF((Income!D$3:D$502="GBP")*(Income!A$3:A$502=DATE(2026,5,26)),ROW(Income!A$3:A$502)-2),5)),"")&lt;&gt;"",IFERROR(INDEX(Income!B$3:B$502,SMALL(IF((Income!D$3:D$502="GBP")*(Income!A$3:A$502=DATE(2026,5,26)),ROW(Income!A$3:A$502)-2),5)),""),""))</f>
        <v/>
      </c>
      <c r="G113" s="62" t="str">
        <f aca="false">IF(IFERROR(-INDEX(Expenses!D$3:D$1002,SMALL(IF((Expenses!E$3:E$1002="GBP")*(Expenses!A$3:A$1002=DATE(2026,5,27)),ROW(Expenses!A$3:A$1002)-2),5)),0)+IFERROR(INDEX(Income!C$3:C$502,SMALL(IF((Income!D$3:D$502="GBP")*(Income!A$3:A$502=DATE(2026,5,27)),ROW(Income!A$3:A$502)-2),5)),0)=0,"",IFERROR(-INDEX(Expenses!D$3:D$1002,SMALL(IF((Expenses!E$3:E$1002="GBP")*(Expenses!A$3:A$1002=DATE(2026,5,27)),ROW(Expenses!A$3:A$1002)-2),5)),0)+IFERROR(INDEX(Income!C$3:C$502,SMALL(IF((Income!D$3:D$502="GBP")*(Income!A$3:A$502=DATE(2026,5,27)),ROW(Income!A$3:A$502)-2),5)),0))</f>
        <v/>
      </c>
      <c r="H113" s="38" t="str">
        <f aca="false">IF(IFERROR(INDEX(Expenses!B$3:B$1002,SMALL(IF((Expenses!E$3:E$1002="GBP")*(Expenses!A$3:A$1002=DATE(2026,5,27)),ROW(Expenses!A$3:A$1002)-2),5)),"")&lt;&gt;"",IFERROR(INDEX(Expenses!B$3:B$1002,SMALL(IF((Expenses!E$3:E$1002="GBP")*(Expenses!A$3:A$1002=DATE(2026,5,27)),ROW(Expenses!A$3:A$1002)-2),5)),""),IF(IFERROR(INDEX(Income!B$3:B$502,SMALL(IF((Income!D$3:D$502="GBP")*(Income!A$3:A$502=DATE(2026,5,27)),ROW(Income!A$3:A$502)-2),5)),"")&lt;&gt;"",IFERROR(INDEX(Income!B$3:B$502,SMALL(IF((Income!D$3:D$502="GBP")*(Income!A$3:A$502=DATE(2026,5,27)),ROW(Income!A$3:A$502)-2),5)),""),""))</f>
        <v/>
      </c>
      <c r="I113" s="62" t="str">
        <f aca="false">IF(IFERROR(-INDEX(Expenses!D$3:D$1002,SMALL(IF((Expenses!E$3:E$1002="GBP")*(Expenses!A$3:A$1002=DATE(2026,5,28)),ROW(Expenses!A$3:A$1002)-2),5)),0)+IFERROR(INDEX(Income!C$3:C$502,SMALL(IF((Income!D$3:D$502="GBP")*(Income!A$3:A$502=DATE(2026,5,28)),ROW(Income!A$3:A$502)-2),5)),0)=0,"",IFERROR(-INDEX(Expenses!D$3:D$1002,SMALL(IF((Expenses!E$3:E$1002="GBP")*(Expenses!A$3:A$1002=DATE(2026,5,28)),ROW(Expenses!A$3:A$1002)-2),5)),0)+IFERROR(INDEX(Income!C$3:C$502,SMALL(IF((Income!D$3:D$502="GBP")*(Income!A$3:A$502=DATE(2026,5,28)),ROW(Income!A$3:A$502)-2),5)),0))</f>
        <v/>
      </c>
      <c r="J113" s="38" t="str">
        <f aca="false">IF(IFERROR(INDEX(Expenses!B$3:B$1002,SMALL(IF((Expenses!E$3:E$1002="GBP")*(Expenses!A$3:A$1002=DATE(2026,5,28)),ROW(Expenses!A$3:A$1002)-2),5)),"")&lt;&gt;"",IFERROR(INDEX(Expenses!B$3:B$1002,SMALL(IF((Expenses!E$3:E$1002="GBP")*(Expenses!A$3:A$1002=DATE(2026,5,28)),ROW(Expenses!A$3:A$1002)-2),5)),""),IF(IFERROR(INDEX(Income!B$3:B$502,SMALL(IF((Income!D$3:D$502="GBP")*(Income!A$3:A$502=DATE(2026,5,28)),ROW(Income!A$3:A$502)-2),5)),"")&lt;&gt;"",IFERROR(INDEX(Income!B$3:B$502,SMALL(IF((Income!D$3:D$502="GBP")*(Income!A$3:A$502=DATE(2026,5,28)),ROW(Income!A$3:A$502)-2),5)),""),""))</f>
        <v/>
      </c>
      <c r="K113" s="62" t="str">
        <f aca="false">IF(IFERROR(-INDEX(Expenses!D$3:D$1002,SMALL(IF((Expenses!E$3:E$1002="GBP")*(Expenses!A$3:A$1002=DATE(2026,5,29)),ROW(Expenses!A$3:A$1002)-2),5)),0)+IFERROR(INDEX(Income!C$3:C$502,SMALL(IF((Income!D$3:D$502="GBP")*(Income!A$3:A$502=DATE(2026,5,29)),ROW(Income!A$3:A$502)-2),5)),0)=0,"",IFERROR(-INDEX(Expenses!D$3:D$1002,SMALL(IF((Expenses!E$3:E$1002="GBP")*(Expenses!A$3:A$1002=DATE(2026,5,29)),ROW(Expenses!A$3:A$1002)-2),5)),0)+IFERROR(INDEX(Income!C$3:C$502,SMALL(IF((Income!D$3:D$502="GBP")*(Income!A$3:A$502=DATE(2026,5,29)),ROW(Income!A$3:A$502)-2),5)),0))</f>
        <v/>
      </c>
      <c r="L113" s="38" t="str">
        <f aca="false">IF(IFERROR(INDEX(Expenses!B$3:B$1002,SMALL(IF((Expenses!E$3:E$1002="GBP")*(Expenses!A$3:A$1002=DATE(2026,5,29)),ROW(Expenses!A$3:A$1002)-2),5)),"")&lt;&gt;"",IFERROR(INDEX(Expenses!B$3:B$1002,SMALL(IF((Expenses!E$3:E$1002="GBP")*(Expenses!A$3:A$1002=DATE(2026,5,29)),ROW(Expenses!A$3:A$1002)-2),5)),""),IF(IFERROR(INDEX(Income!B$3:B$502,SMALL(IF((Income!D$3:D$502="GBP")*(Income!A$3:A$502=DATE(2026,5,29)),ROW(Income!A$3:A$502)-2),5)),"")&lt;&gt;"",IFERROR(INDEX(Income!B$3:B$502,SMALL(IF((Income!D$3:D$502="GBP")*(Income!A$3:A$502=DATE(2026,5,29)),ROW(Income!A$3:A$502)-2),5)),""),""))</f>
        <v/>
      </c>
      <c r="M113" s="62" t="str">
        <f aca="false">IF(IFERROR(-INDEX(Expenses!D$3:D$1002,SMALL(IF((Expenses!E$3:E$1002="GBP")*(Expenses!A$3:A$1002=DATE(2026,5,30)),ROW(Expenses!A$3:A$1002)-2),5)),0)+IFERROR(INDEX(Income!C$3:C$502,SMALL(IF((Income!D$3:D$502="GBP")*(Income!A$3:A$502=DATE(2026,5,30)),ROW(Income!A$3:A$502)-2),5)),0)=0,"",IFERROR(-INDEX(Expenses!D$3:D$1002,SMALL(IF((Expenses!E$3:E$1002="GBP")*(Expenses!A$3:A$1002=DATE(2026,5,30)),ROW(Expenses!A$3:A$1002)-2),5)),0)+IFERROR(INDEX(Income!C$3:C$502,SMALL(IF((Income!D$3:D$502="GBP")*(Income!A$3:A$502=DATE(2026,5,30)),ROW(Income!A$3:A$502)-2),5)),0))</f>
        <v/>
      </c>
      <c r="N113" s="38" t="str">
        <f aca="false">IF(IFERROR(INDEX(Expenses!B$3:B$1002,SMALL(IF((Expenses!E$3:E$1002="GBP")*(Expenses!A$3:A$1002=DATE(2026,5,30)),ROW(Expenses!A$3:A$1002)-2),5)),"")&lt;&gt;"",IFERROR(INDEX(Expenses!B$3:B$1002,SMALL(IF((Expenses!E$3:E$1002="GBP")*(Expenses!A$3:A$1002=DATE(2026,5,30)),ROW(Expenses!A$3:A$1002)-2),5)),""),IF(IFERROR(INDEX(Income!B$3:B$502,SMALL(IF((Income!D$3:D$502="GBP")*(Income!A$3:A$502=DATE(2026,5,30)),ROW(Income!A$3:A$502)-2),5)),"")&lt;&gt;"",IFERROR(INDEX(Income!B$3:B$502,SMALL(IF((Income!D$3:D$502="GBP")*(Income!A$3:A$502=DATE(2026,5,30)),ROW(Income!A$3:A$502)-2),5)),""),""))</f>
        <v/>
      </c>
      <c r="O113" s="62" t="str">
        <f aca="false">IF(IFERROR(-INDEX(Expenses!D$3:D$1002,SMALL(IF((Expenses!E$3:E$1002="GBP")*(Expenses!A$3:A$1002=DATE(2026,5,31)),ROW(Expenses!A$3:A$1002)-2),5)),0)+IFERROR(INDEX(Income!C$3:C$502,SMALL(IF((Income!D$3:D$502="GBP")*(Income!A$3:A$502=DATE(2026,5,31)),ROW(Income!A$3:A$502)-2),5)),0)=0,"",IFERROR(-INDEX(Expenses!D$3:D$1002,SMALL(IF((Expenses!E$3:E$1002="GBP")*(Expenses!A$3:A$1002=DATE(2026,5,31)),ROW(Expenses!A$3:A$1002)-2),5)),0)+IFERROR(INDEX(Income!C$3:C$502,SMALL(IF((Income!D$3:D$502="GBP")*(Income!A$3:A$502=DATE(2026,5,31)),ROW(Income!A$3:A$502)-2),5)),0))</f>
        <v/>
      </c>
      <c r="P113" s="38" t="str">
        <f aca="false">IF(IFERROR(INDEX(Expenses!B$3:B$1002,SMALL(IF((Expenses!E$3:E$1002="GBP")*(Expenses!A$3:A$1002=DATE(2026,5,31)),ROW(Expenses!A$3:A$1002)-2),5)),"")&lt;&gt;"",IFERROR(INDEX(Expenses!B$3:B$1002,SMALL(IF((Expenses!E$3:E$1002="GBP")*(Expenses!A$3:A$1002=DATE(2026,5,31)),ROW(Expenses!A$3:A$1002)-2),5)),""),IF(IFERROR(INDEX(Income!B$3:B$502,SMALL(IF((Income!D$3:D$502="GBP")*(Income!A$3:A$502=DATE(2026,5,31)),ROW(Income!A$3:A$502)-2),5)),"")&lt;&gt;"",IFERROR(INDEX(Income!B$3:B$502,SMALL(IF((Income!D$3:D$502="GBP")*(Income!A$3:A$502=DATE(2026,5,31)),ROW(Income!A$3:A$502)-2),5)),""),""))</f>
        <v/>
      </c>
      <c r="Q113" s="16"/>
      <c r="R113" s="16"/>
    </row>
    <row r="114" customFormat="false" ht="15" hidden="false" customHeight="false" outlineLevel="0" collapsed="false">
      <c r="A114" s="61" t="n">
        <v>46174</v>
      </c>
      <c r="B114" s="3" t="n">
        <v>23</v>
      </c>
      <c r="C114" s="62" t="str">
        <f aca="false">IF(IFERROR(-INDEX(Expenses!D$3:D$1002,SMALL(IF((Expenses!E$3:E$1002="GBP")*(Expenses!A$3:A$1002=DATE(2026,6,1)),ROW(Expenses!A$3:A$1002)-2),1)),0)+IFERROR(INDEX(Income!C$3:C$502,SMALL(IF((Income!D$3:D$502="GBP")*(Income!A$3:A$502=DATE(2026,6,1)),ROW(Income!A$3:A$502)-2),1)),0)=0,"",IFERROR(-INDEX(Expenses!D$3:D$1002,SMALL(IF((Expenses!E$3:E$1002="GBP")*(Expenses!A$3:A$1002=DATE(2026,6,1)),ROW(Expenses!A$3:A$1002)-2),1)),0)+IFERROR(INDEX(Income!C$3:C$502,SMALL(IF((Income!D$3:D$502="GBP")*(Income!A$3:A$502=DATE(2026,6,1)),ROW(Income!A$3:A$502)-2),1)),0))</f>
        <v/>
      </c>
      <c r="D114" s="38" t="str">
        <f aca="false">IF(IFERROR(INDEX(Expenses!B$3:B$1002,SMALL(IF((Expenses!E$3:E$1002="GBP")*(Expenses!A$3:A$1002=DATE(2026,6,1)),ROW(Expenses!A$3:A$1002)-2),1)),"")&lt;&gt;"",IFERROR(INDEX(Expenses!B$3:B$1002,SMALL(IF((Expenses!E$3:E$1002="GBP")*(Expenses!A$3:A$1002=DATE(2026,6,1)),ROW(Expenses!A$3:A$1002)-2),1)),""),IF(IFERROR(INDEX(Income!B$3:B$502,SMALL(IF((Income!D$3:D$502="GBP")*(Income!A$3:A$502=DATE(2026,6,1)),ROW(Income!A$3:A$502)-2),1)),"")&lt;&gt;"",IFERROR(INDEX(Income!B$3:B$502,SMALL(IF((Income!D$3:D$502="GBP")*(Income!A$3:A$502=DATE(2026,6,1)),ROW(Income!A$3:A$502)-2),1)),""),""))</f>
        <v/>
      </c>
      <c r="E114" s="62" t="str">
        <f aca="false">IF(IFERROR(-INDEX(Expenses!D$3:D$1002,SMALL(IF((Expenses!E$3:E$1002="GBP")*(Expenses!A$3:A$1002=DATE(2026,6,2)),ROW(Expenses!A$3:A$1002)-2),1)),0)+IFERROR(INDEX(Income!C$3:C$502,SMALL(IF((Income!D$3:D$502="GBP")*(Income!A$3:A$502=DATE(2026,6,2)),ROW(Income!A$3:A$502)-2),1)),0)=0,"",IFERROR(-INDEX(Expenses!D$3:D$1002,SMALL(IF((Expenses!E$3:E$1002="GBP")*(Expenses!A$3:A$1002=DATE(2026,6,2)),ROW(Expenses!A$3:A$1002)-2),1)),0)+IFERROR(INDEX(Income!C$3:C$502,SMALL(IF((Income!D$3:D$502="GBP")*(Income!A$3:A$502=DATE(2026,6,2)),ROW(Income!A$3:A$502)-2),1)),0))</f>
        <v/>
      </c>
      <c r="F114" s="38" t="str">
        <f aca="false">IF(IFERROR(INDEX(Expenses!B$3:B$1002,SMALL(IF((Expenses!E$3:E$1002="GBP")*(Expenses!A$3:A$1002=DATE(2026,6,2)),ROW(Expenses!A$3:A$1002)-2),1)),"")&lt;&gt;"",IFERROR(INDEX(Expenses!B$3:B$1002,SMALL(IF((Expenses!E$3:E$1002="GBP")*(Expenses!A$3:A$1002=DATE(2026,6,2)),ROW(Expenses!A$3:A$1002)-2),1)),""),IF(IFERROR(INDEX(Income!B$3:B$502,SMALL(IF((Income!D$3:D$502="GBP")*(Income!A$3:A$502=DATE(2026,6,2)),ROW(Income!A$3:A$502)-2),1)),"")&lt;&gt;"",IFERROR(INDEX(Income!B$3:B$502,SMALL(IF((Income!D$3:D$502="GBP")*(Income!A$3:A$502=DATE(2026,6,2)),ROW(Income!A$3:A$502)-2),1)),""),""))</f>
        <v/>
      </c>
      <c r="G114" s="62" t="str">
        <f aca="false">IF(IFERROR(-INDEX(Expenses!D$3:D$1002,SMALL(IF((Expenses!E$3:E$1002="GBP")*(Expenses!A$3:A$1002=DATE(2026,6,3)),ROW(Expenses!A$3:A$1002)-2),1)),0)+IFERROR(INDEX(Income!C$3:C$502,SMALL(IF((Income!D$3:D$502="GBP")*(Income!A$3:A$502=DATE(2026,6,3)),ROW(Income!A$3:A$502)-2),1)),0)=0,"",IFERROR(-INDEX(Expenses!D$3:D$1002,SMALL(IF((Expenses!E$3:E$1002="GBP")*(Expenses!A$3:A$1002=DATE(2026,6,3)),ROW(Expenses!A$3:A$1002)-2),1)),0)+IFERROR(INDEX(Income!C$3:C$502,SMALL(IF((Income!D$3:D$502="GBP")*(Income!A$3:A$502=DATE(2026,6,3)),ROW(Income!A$3:A$502)-2),1)),0))</f>
        <v/>
      </c>
      <c r="H114" s="38" t="str">
        <f aca="false">IF(IFERROR(INDEX(Expenses!B$3:B$1002,SMALL(IF((Expenses!E$3:E$1002="GBP")*(Expenses!A$3:A$1002=DATE(2026,6,3)),ROW(Expenses!A$3:A$1002)-2),1)),"")&lt;&gt;"",IFERROR(INDEX(Expenses!B$3:B$1002,SMALL(IF((Expenses!E$3:E$1002="GBP")*(Expenses!A$3:A$1002=DATE(2026,6,3)),ROW(Expenses!A$3:A$1002)-2),1)),""),IF(IFERROR(INDEX(Income!B$3:B$502,SMALL(IF((Income!D$3:D$502="GBP")*(Income!A$3:A$502=DATE(2026,6,3)),ROW(Income!A$3:A$502)-2),1)),"")&lt;&gt;"",IFERROR(INDEX(Income!B$3:B$502,SMALL(IF((Income!D$3:D$502="GBP")*(Income!A$3:A$502=DATE(2026,6,3)),ROW(Income!A$3:A$502)-2),1)),""),""))</f>
        <v/>
      </c>
      <c r="I114" s="62" t="str">
        <f aca="false">IF(IFERROR(-INDEX(Expenses!D$3:D$1002,SMALL(IF((Expenses!E$3:E$1002="GBP")*(Expenses!A$3:A$1002=DATE(2026,6,4)),ROW(Expenses!A$3:A$1002)-2),1)),0)+IFERROR(INDEX(Income!C$3:C$502,SMALL(IF((Income!D$3:D$502="GBP")*(Income!A$3:A$502=DATE(2026,6,4)),ROW(Income!A$3:A$502)-2),1)),0)=0,"",IFERROR(-INDEX(Expenses!D$3:D$1002,SMALL(IF((Expenses!E$3:E$1002="GBP")*(Expenses!A$3:A$1002=DATE(2026,6,4)),ROW(Expenses!A$3:A$1002)-2),1)),0)+IFERROR(INDEX(Income!C$3:C$502,SMALL(IF((Income!D$3:D$502="GBP")*(Income!A$3:A$502=DATE(2026,6,4)),ROW(Income!A$3:A$502)-2),1)),0))</f>
        <v/>
      </c>
      <c r="J114" s="38" t="str">
        <f aca="false">IF(IFERROR(INDEX(Expenses!B$3:B$1002,SMALL(IF((Expenses!E$3:E$1002="GBP")*(Expenses!A$3:A$1002=DATE(2026,6,4)),ROW(Expenses!A$3:A$1002)-2),1)),"")&lt;&gt;"",IFERROR(INDEX(Expenses!B$3:B$1002,SMALL(IF((Expenses!E$3:E$1002="GBP")*(Expenses!A$3:A$1002=DATE(2026,6,4)),ROW(Expenses!A$3:A$1002)-2),1)),""),IF(IFERROR(INDEX(Income!B$3:B$502,SMALL(IF((Income!D$3:D$502="GBP")*(Income!A$3:A$502=DATE(2026,6,4)),ROW(Income!A$3:A$502)-2),1)),"")&lt;&gt;"",IFERROR(INDEX(Income!B$3:B$502,SMALL(IF((Income!D$3:D$502="GBP")*(Income!A$3:A$502=DATE(2026,6,4)),ROW(Income!A$3:A$502)-2),1)),""),""))</f>
        <v/>
      </c>
      <c r="K114" s="62" t="str">
        <f aca="false">IF(IFERROR(-INDEX(Expenses!D$3:D$1002,SMALL(IF((Expenses!E$3:E$1002="GBP")*(Expenses!A$3:A$1002=DATE(2026,6,5)),ROW(Expenses!A$3:A$1002)-2),1)),0)+IFERROR(INDEX(Income!C$3:C$502,SMALL(IF((Income!D$3:D$502="GBP")*(Income!A$3:A$502=DATE(2026,6,5)),ROW(Income!A$3:A$502)-2),1)),0)=0,"",IFERROR(-INDEX(Expenses!D$3:D$1002,SMALL(IF((Expenses!E$3:E$1002="GBP")*(Expenses!A$3:A$1002=DATE(2026,6,5)),ROW(Expenses!A$3:A$1002)-2),1)),0)+IFERROR(INDEX(Income!C$3:C$502,SMALL(IF((Income!D$3:D$502="GBP")*(Income!A$3:A$502=DATE(2026,6,5)),ROW(Income!A$3:A$502)-2),1)),0))</f>
        <v/>
      </c>
      <c r="L114" s="38" t="str">
        <f aca="false">IF(IFERROR(INDEX(Expenses!B$3:B$1002,SMALL(IF((Expenses!E$3:E$1002="GBP")*(Expenses!A$3:A$1002=DATE(2026,6,5)),ROW(Expenses!A$3:A$1002)-2),1)),"")&lt;&gt;"",IFERROR(INDEX(Expenses!B$3:B$1002,SMALL(IF((Expenses!E$3:E$1002="GBP")*(Expenses!A$3:A$1002=DATE(2026,6,5)),ROW(Expenses!A$3:A$1002)-2),1)),""),IF(IFERROR(INDEX(Income!B$3:B$502,SMALL(IF((Income!D$3:D$502="GBP")*(Income!A$3:A$502=DATE(2026,6,5)),ROW(Income!A$3:A$502)-2),1)),"")&lt;&gt;"",IFERROR(INDEX(Income!B$3:B$502,SMALL(IF((Income!D$3:D$502="GBP")*(Income!A$3:A$502=DATE(2026,6,5)),ROW(Income!A$3:A$502)-2),1)),""),""))</f>
        <v/>
      </c>
      <c r="M114" s="62" t="str">
        <f aca="false">IF(IFERROR(-INDEX(Expenses!D$3:D$1002,SMALL(IF((Expenses!E$3:E$1002="GBP")*(Expenses!A$3:A$1002=DATE(2026,6,6)),ROW(Expenses!A$3:A$1002)-2),1)),0)+IFERROR(INDEX(Income!C$3:C$502,SMALL(IF((Income!D$3:D$502="GBP")*(Income!A$3:A$502=DATE(2026,6,6)),ROW(Income!A$3:A$502)-2),1)),0)=0,"",IFERROR(-INDEX(Expenses!D$3:D$1002,SMALL(IF((Expenses!E$3:E$1002="GBP")*(Expenses!A$3:A$1002=DATE(2026,6,6)),ROW(Expenses!A$3:A$1002)-2),1)),0)+IFERROR(INDEX(Income!C$3:C$502,SMALL(IF((Income!D$3:D$502="GBP")*(Income!A$3:A$502=DATE(2026,6,6)),ROW(Income!A$3:A$502)-2),1)),0))</f>
        <v/>
      </c>
      <c r="N114" s="38" t="str">
        <f aca="false">IF(IFERROR(INDEX(Expenses!B$3:B$1002,SMALL(IF((Expenses!E$3:E$1002="GBP")*(Expenses!A$3:A$1002=DATE(2026,6,6)),ROW(Expenses!A$3:A$1002)-2),1)),"")&lt;&gt;"",IFERROR(INDEX(Expenses!B$3:B$1002,SMALL(IF((Expenses!E$3:E$1002="GBP")*(Expenses!A$3:A$1002=DATE(2026,6,6)),ROW(Expenses!A$3:A$1002)-2),1)),""),IF(IFERROR(INDEX(Income!B$3:B$502,SMALL(IF((Income!D$3:D$502="GBP")*(Income!A$3:A$502=DATE(2026,6,6)),ROW(Income!A$3:A$502)-2),1)),"")&lt;&gt;"",IFERROR(INDEX(Income!B$3:B$502,SMALL(IF((Income!D$3:D$502="GBP")*(Income!A$3:A$502=DATE(2026,6,6)),ROW(Income!A$3:A$502)-2),1)),""),""))</f>
        <v/>
      </c>
      <c r="O114" s="62" t="str">
        <f aca="false">IF(IFERROR(-INDEX(Expenses!D$3:D$1002,SMALL(IF((Expenses!E$3:E$1002="GBP")*(Expenses!A$3:A$1002=DATE(2026,6,7)),ROW(Expenses!A$3:A$1002)-2),1)),0)+IFERROR(INDEX(Income!C$3:C$502,SMALL(IF((Income!D$3:D$502="GBP")*(Income!A$3:A$502=DATE(2026,6,7)),ROW(Income!A$3:A$502)-2),1)),0)=0,"",IFERROR(-INDEX(Expenses!D$3:D$1002,SMALL(IF((Expenses!E$3:E$1002="GBP")*(Expenses!A$3:A$1002=DATE(2026,6,7)),ROW(Expenses!A$3:A$1002)-2),1)),0)+IFERROR(INDEX(Income!C$3:C$502,SMALL(IF((Income!D$3:D$502="GBP")*(Income!A$3:A$502=DATE(2026,6,7)),ROW(Income!A$3:A$502)-2),1)),0))</f>
        <v/>
      </c>
      <c r="P114" s="38" t="str">
        <f aca="false">IF(IFERROR(INDEX(Expenses!B$3:B$1002,SMALL(IF((Expenses!E$3:E$1002="GBP")*(Expenses!A$3:A$1002=DATE(2026,6,7)),ROW(Expenses!A$3:A$1002)-2),1)),"")&lt;&gt;"",IFERROR(INDEX(Expenses!B$3:B$1002,SMALL(IF((Expenses!E$3:E$1002="GBP")*(Expenses!A$3:A$1002=DATE(2026,6,7)),ROW(Expenses!A$3:A$1002)-2),1)),""),IF(IFERROR(INDEX(Income!B$3:B$502,SMALL(IF((Income!D$3:D$502="GBP")*(Income!A$3:A$502=DATE(2026,6,7)),ROW(Income!A$3:A$502)-2),1)),"")&lt;&gt;"",IFERROR(INDEX(Income!B$3:B$502,SMALL(IF((Income!D$3:D$502="GBP")*(Income!A$3:A$502=DATE(2026,6,7)),ROW(Income!A$3:A$502)-2),1)),""),""))</f>
        <v/>
      </c>
      <c r="Q114" s="3" t="n">
        <v>23</v>
      </c>
      <c r="R114" s="45" t="n">
        <f aca="false">SUM(C114:C118)+SUM(E114:E118)+SUM(G114:G118)+SUM(I114:I118)+SUM(K114:K118)+SUM(M114:M118)+SUM(O114:O118)</f>
        <v>0</v>
      </c>
    </row>
    <row r="115" customFormat="false" ht="15" hidden="false" customHeight="false" outlineLevel="0" collapsed="false">
      <c r="A115" s="16"/>
      <c r="B115" s="16"/>
      <c r="C115" s="62" t="str">
        <f aca="false">IF(IFERROR(-INDEX(Expenses!D$3:D$1002,SMALL(IF((Expenses!E$3:E$1002="GBP")*(Expenses!A$3:A$1002=DATE(2026,6,1)),ROW(Expenses!A$3:A$1002)-2),2)),0)+IFERROR(INDEX(Income!C$3:C$502,SMALL(IF((Income!D$3:D$502="GBP")*(Income!A$3:A$502=DATE(2026,6,1)),ROW(Income!A$3:A$502)-2),2)),0)=0,"",IFERROR(-INDEX(Expenses!D$3:D$1002,SMALL(IF((Expenses!E$3:E$1002="GBP")*(Expenses!A$3:A$1002=DATE(2026,6,1)),ROW(Expenses!A$3:A$1002)-2),2)),0)+IFERROR(INDEX(Income!C$3:C$502,SMALL(IF((Income!D$3:D$502="GBP")*(Income!A$3:A$502=DATE(2026,6,1)),ROW(Income!A$3:A$502)-2),2)),0))</f>
        <v/>
      </c>
      <c r="D115" s="38" t="str">
        <f aca="false">IF(IFERROR(INDEX(Expenses!B$3:B$1002,SMALL(IF((Expenses!E$3:E$1002="GBP")*(Expenses!A$3:A$1002=DATE(2026,6,1)),ROW(Expenses!A$3:A$1002)-2),2)),"")&lt;&gt;"",IFERROR(INDEX(Expenses!B$3:B$1002,SMALL(IF((Expenses!E$3:E$1002="GBP")*(Expenses!A$3:A$1002=DATE(2026,6,1)),ROW(Expenses!A$3:A$1002)-2),2)),""),IF(IFERROR(INDEX(Income!B$3:B$502,SMALL(IF((Income!D$3:D$502="GBP")*(Income!A$3:A$502=DATE(2026,6,1)),ROW(Income!A$3:A$502)-2),2)),"")&lt;&gt;"",IFERROR(INDEX(Income!B$3:B$502,SMALL(IF((Income!D$3:D$502="GBP")*(Income!A$3:A$502=DATE(2026,6,1)),ROW(Income!A$3:A$502)-2),2)),""),""))</f>
        <v/>
      </c>
      <c r="E115" s="62" t="str">
        <f aca="false">IF(IFERROR(-INDEX(Expenses!D$3:D$1002,SMALL(IF((Expenses!E$3:E$1002="GBP")*(Expenses!A$3:A$1002=DATE(2026,6,2)),ROW(Expenses!A$3:A$1002)-2),2)),0)+IFERROR(INDEX(Income!C$3:C$502,SMALL(IF((Income!D$3:D$502="GBP")*(Income!A$3:A$502=DATE(2026,6,2)),ROW(Income!A$3:A$502)-2),2)),0)=0,"",IFERROR(-INDEX(Expenses!D$3:D$1002,SMALL(IF((Expenses!E$3:E$1002="GBP")*(Expenses!A$3:A$1002=DATE(2026,6,2)),ROW(Expenses!A$3:A$1002)-2),2)),0)+IFERROR(INDEX(Income!C$3:C$502,SMALL(IF((Income!D$3:D$502="GBP")*(Income!A$3:A$502=DATE(2026,6,2)),ROW(Income!A$3:A$502)-2),2)),0))</f>
        <v/>
      </c>
      <c r="F115" s="38" t="str">
        <f aca="false">IF(IFERROR(INDEX(Expenses!B$3:B$1002,SMALL(IF((Expenses!E$3:E$1002="GBP")*(Expenses!A$3:A$1002=DATE(2026,6,2)),ROW(Expenses!A$3:A$1002)-2),2)),"")&lt;&gt;"",IFERROR(INDEX(Expenses!B$3:B$1002,SMALL(IF((Expenses!E$3:E$1002="GBP")*(Expenses!A$3:A$1002=DATE(2026,6,2)),ROW(Expenses!A$3:A$1002)-2),2)),""),IF(IFERROR(INDEX(Income!B$3:B$502,SMALL(IF((Income!D$3:D$502="GBP")*(Income!A$3:A$502=DATE(2026,6,2)),ROW(Income!A$3:A$502)-2),2)),"")&lt;&gt;"",IFERROR(INDEX(Income!B$3:B$502,SMALL(IF((Income!D$3:D$502="GBP")*(Income!A$3:A$502=DATE(2026,6,2)),ROW(Income!A$3:A$502)-2),2)),""),""))</f>
        <v/>
      </c>
      <c r="G115" s="62" t="str">
        <f aca="false">IF(IFERROR(-INDEX(Expenses!D$3:D$1002,SMALL(IF((Expenses!E$3:E$1002="GBP")*(Expenses!A$3:A$1002=DATE(2026,6,3)),ROW(Expenses!A$3:A$1002)-2),2)),0)+IFERROR(INDEX(Income!C$3:C$502,SMALL(IF((Income!D$3:D$502="GBP")*(Income!A$3:A$502=DATE(2026,6,3)),ROW(Income!A$3:A$502)-2),2)),0)=0,"",IFERROR(-INDEX(Expenses!D$3:D$1002,SMALL(IF((Expenses!E$3:E$1002="GBP")*(Expenses!A$3:A$1002=DATE(2026,6,3)),ROW(Expenses!A$3:A$1002)-2),2)),0)+IFERROR(INDEX(Income!C$3:C$502,SMALL(IF((Income!D$3:D$502="GBP")*(Income!A$3:A$502=DATE(2026,6,3)),ROW(Income!A$3:A$502)-2),2)),0))</f>
        <v/>
      </c>
      <c r="H115" s="38" t="str">
        <f aca="false">IF(IFERROR(INDEX(Expenses!B$3:B$1002,SMALL(IF((Expenses!E$3:E$1002="GBP")*(Expenses!A$3:A$1002=DATE(2026,6,3)),ROW(Expenses!A$3:A$1002)-2),2)),"")&lt;&gt;"",IFERROR(INDEX(Expenses!B$3:B$1002,SMALL(IF((Expenses!E$3:E$1002="GBP")*(Expenses!A$3:A$1002=DATE(2026,6,3)),ROW(Expenses!A$3:A$1002)-2),2)),""),IF(IFERROR(INDEX(Income!B$3:B$502,SMALL(IF((Income!D$3:D$502="GBP")*(Income!A$3:A$502=DATE(2026,6,3)),ROW(Income!A$3:A$502)-2),2)),"")&lt;&gt;"",IFERROR(INDEX(Income!B$3:B$502,SMALL(IF((Income!D$3:D$502="GBP")*(Income!A$3:A$502=DATE(2026,6,3)),ROW(Income!A$3:A$502)-2),2)),""),""))</f>
        <v/>
      </c>
      <c r="I115" s="62" t="str">
        <f aca="false">IF(IFERROR(-INDEX(Expenses!D$3:D$1002,SMALL(IF((Expenses!E$3:E$1002="GBP")*(Expenses!A$3:A$1002=DATE(2026,6,4)),ROW(Expenses!A$3:A$1002)-2),2)),0)+IFERROR(INDEX(Income!C$3:C$502,SMALL(IF((Income!D$3:D$502="GBP")*(Income!A$3:A$502=DATE(2026,6,4)),ROW(Income!A$3:A$502)-2),2)),0)=0,"",IFERROR(-INDEX(Expenses!D$3:D$1002,SMALL(IF((Expenses!E$3:E$1002="GBP")*(Expenses!A$3:A$1002=DATE(2026,6,4)),ROW(Expenses!A$3:A$1002)-2),2)),0)+IFERROR(INDEX(Income!C$3:C$502,SMALL(IF((Income!D$3:D$502="GBP")*(Income!A$3:A$502=DATE(2026,6,4)),ROW(Income!A$3:A$502)-2),2)),0))</f>
        <v/>
      </c>
      <c r="J115" s="38" t="str">
        <f aca="false">IF(IFERROR(INDEX(Expenses!B$3:B$1002,SMALL(IF((Expenses!E$3:E$1002="GBP")*(Expenses!A$3:A$1002=DATE(2026,6,4)),ROW(Expenses!A$3:A$1002)-2),2)),"")&lt;&gt;"",IFERROR(INDEX(Expenses!B$3:B$1002,SMALL(IF((Expenses!E$3:E$1002="GBP")*(Expenses!A$3:A$1002=DATE(2026,6,4)),ROW(Expenses!A$3:A$1002)-2),2)),""),IF(IFERROR(INDEX(Income!B$3:B$502,SMALL(IF((Income!D$3:D$502="GBP")*(Income!A$3:A$502=DATE(2026,6,4)),ROW(Income!A$3:A$502)-2),2)),"")&lt;&gt;"",IFERROR(INDEX(Income!B$3:B$502,SMALL(IF((Income!D$3:D$502="GBP")*(Income!A$3:A$502=DATE(2026,6,4)),ROW(Income!A$3:A$502)-2),2)),""),""))</f>
        <v/>
      </c>
      <c r="K115" s="62" t="str">
        <f aca="false">IF(IFERROR(-INDEX(Expenses!D$3:D$1002,SMALL(IF((Expenses!E$3:E$1002="GBP")*(Expenses!A$3:A$1002=DATE(2026,6,5)),ROW(Expenses!A$3:A$1002)-2),2)),0)+IFERROR(INDEX(Income!C$3:C$502,SMALL(IF((Income!D$3:D$502="GBP")*(Income!A$3:A$502=DATE(2026,6,5)),ROW(Income!A$3:A$502)-2),2)),0)=0,"",IFERROR(-INDEX(Expenses!D$3:D$1002,SMALL(IF((Expenses!E$3:E$1002="GBP")*(Expenses!A$3:A$1002=DATE(2026,6,5)),ROW(Expenses!A$3:A$1002)-2),2)),0)+IFERROR(INDEX(Income!C$3:C$502,SMALL(IF((Income!D$3:D$502="GBP")*(Income!A$3:A$502=DATE(2026,6,5)),ROW(Income!A$3:A$502)-2),2)),0))</f>
        <v/>
      </c>
      <c r="L115" s="38" t="str">
        <f aca="false">IF(IFERROR(INDEX(Expenses!B$3:B$1002,SMALL(IF((Expenses!E$3:E$1002="GBP")*(Expenses!A$3:A$1002=DATE(2026,6,5)),ROW(Expenses!A$3:A$1002)-2),2)),"")&lt;&gt;"",IFERROR(INDEX(Expenses!B$3:B$1002,SMALL(IF((Expenses!E$3:E$1002="GBP")*(Expenses!A$3:A$1002=DATE(2026,6,5)),ROW(Expenses!A$3:A$1002)-2),2)),""),IF(IFERROR(INDEX(Income!B$3:B$502,SMALL(IF((Income!D$3:D$502="GBP")*(Income!A$3:A$502=DATE(2026,6,5)),ROW(Income!A$3:A$502)-2),2)),"")&lt;&gt;"",IFERROR(INDEX(Income!B$3:B$502,SMALL(IF((Income!D$3:D$502="GBP")*(Income!A$3:A$502=DATE(2026,6,5)),ROW(Income!A$3:A$502)-2),2)),""),""))</f>
        <v/>
      </c>
      <c r="M115" s="62" t="str">
        <f aca="false">IF(IFERROR(-INDEX(Expenses!D$3:D$1002,SMALL(IF((Expenses!E$3:E$1002="GBP")*(Expenses!A$3:A$1002=DATE(2026,6,6)),ROW(Expenses!A$3:A$1002)-2),2)),0)+IFERROR(INDEX(Income!C$3:C$502,SMALL(IF((Income!D$3:D$502="GBP")*(Income!A$3:A$502=DATE(2026,6,6)),ROW(Income!A$3:A$502)-2),2)),0)=0,"",IFERROR(-INDEX(Expenses!D$3:D$1002,SMALL(IF((Expenses!E$3:E$1002="GBP")*(Expenses!A$3:A$1002=DATE(2026,6,6)),ROW(Expenses!A$3:A$1002)-2),2)),0)+IFERROR(INDEX(Income!C$3:C$502,SMALL(IF((Income!D$3:D$502="GBP")*(Income!A$3:A$502=DATE(2026,6,6)),ROW(Income!A$3:A$502)-2),2)),0))</f>
        <v/>
      </c>
      <c r="N115" s="38" t="str">
        <f aca="false">IF(IFERROR(INDEX(Expenses!B$3:B$1002,SMALL(IF((Expenses!E$3:E$1002="GBP")*(Expenses!A$3:A$1002=DATE(2026,6,6)),ROW(Expenses!A$3:A$1002)-2),2)),"")&lt;&gt;"",IFERROR(INDEX(Expenses!B$3:B$1002,SMALL(IF((Expenses!E$3:E$1002="GBP")*(Expenses!A$3:A$1002=DATE(2026,6,6)),ROW(Expenses!A$3:A$1002)-2),2)),""),IF(IFERROR(INDEX(Income!B$3:B$502,SMALL(IF((Income!D$3:D$502="GBP")*(Income!A$3:A$502=DATE(2026,6,6)),ROW(Income!A$3:A$502)-2),2)),"")&lt;&gt;"",IFERROR(INDEX(Income!B$3:B$502,SMALL(IF((Income!D$3:D$502="GBP")*(Income!A$3:A$502=DATE(2026,6,6)),ROW(Income!A$3:A$502)-2),2)),""),""))</f>
        <v/>
      </c>
      <c r="O115" s="62" t="str">
        <f aca="false">IF(IFERROR(-INDEX(Expenses!D$3:D$1002,SMALL(IF((Expenses!E$3:E$1002="GBP")*(Expenses!A$3:A$1002=DATE(2026,6,7)),ROW(Expenses!A$3:A$1002)-2),2)),0)+IFERROR(INDEX(Income!C$3:C$502,SMALL(IF((Income!D$3:D$502="GBP")*(Income!A$3:A$502=DATE(2026,6,7)),ROW(Income!A$3:A$502)-2),2)),0)=0,"",IFERROR(-INDEX(Expenses!D$3:D$1002,SMALL(IF((Expenses!E$3:E$1002="GBP")*(Expenses!A$3:A$1002=DATE(2026,6,7)),ROW(Expenses!A$3:A$1002)-2),2)),0)+IFERROR(INDEX(Income!C$3:C$502,SMALL(IF((Income!D$3:D$502="GBP")*(Income!A$3:A$502=DATE(2026,6,7)),ROW(Income!A$3:A$502)-2),2)),0))</f>
        <v/>
      </c>
      <c r="P115" s="38" t="str">
        <f aca="false">IF(IFERROR(INDEX(Expenses!B$3:B$1002,SMALL(IF((Expenses!E$3:E$1002="GBP")*(Expenses!A$3:A$1002=DATE(2026,6,7)),ROW(Expenses!A$3:A$1002)-2),2)),"")&lt;&gt;"",IFERROR(INDEX(Expenses!B$3:B$1002,SMALL(IF((Expenses!E$3:E$1002="GBP")*(Expenses!A$3:A$1002=DATE(2026,6,7)),ROW(Expenses!A$3:A$1002)-2),2)),""),IF(IFERROR(INDEX(Income!B$3:B$502,SMALL(IF((Income!D$3:D$502="GBP")*(Income!A$3:A$502=DATE(2026,6,7)),ROW(Income!A$3:A$502)-2),2)),"")&lt;&gt;"",IFERROR(INDEX(Income!B$3:B$502,SMALL(IF((Income!D$3:D$502="GBP")*(Income!A$3:A$502=DATE(2026,6,7)),ROW(Income!A$3:A$502)-2),2)),""),""))</f>
        <v/>
      </c>
      <c r="Q115" s="16"/>
      <c r="R115" s="16"/>
    </row>
    <row r="116" customFormat="false" ht="15" hidden="false" customHeight="false" outlineLevel="0" collapsed="false">
      <c r="A116" s="16"/>
      <c r="B116" s="16"/>
      <c r="C116" s="62" t="str">
        <f aca="false">IF(IFERROR(-INDEX(Expenses!D$3:D$1002,SMALL(IF((Expenses!E$3:E$1002="GBP")*(Expenses!A$3:A$1002=DATE(2026,6,1)),ROW(Expenses!A$3:A$1002)-2),3)),0)+IFERROR(INDEX(Income!C$3:C$502,SMALL(IF((Income!D$3:D$502="GBP")*(Income!A$3:A$502=DATE(2026,6,1)),ROW(Income!A$3:A$502)-2),3)),0)=0,"",IFERROR(-INDEX(Expenses!D$3:D$1002,SMALL(IF((Expenses!E$3:E$1002="GBP")*(Expenses!A$3:A$1002=DATE(2026,6,1)),ROW(Expenses!A$3:A$1002)-2),3)),0)+IFERROR(INDEX(Income!C$3:C$502,SMALL(IF((Income!D$3:D$502="GBP")*(Income!A$3:A$502=DATE(2026,6,1)),ROW(Income!A$3:A$502)-2),3)),0))</f>
        <v/>
      </c>
      <c r="D116" s="38" t="str">
        <f aca="false">IF(IFERROR(INDEX(Expenses!B$3:B$1002,SMALL(IF((Expenses!E$3:E$1002="GBP")*(Expenses!A$3:A$1002=DATE(2026,6,1)),ROW(Expenses!A$3:A$1002)-2),3)),"")&lt;&gt;"",IFERROR(INDEX(Expenses!B$3:B$1002,SMALL(IF((Expenses!E$3:E$1002="GBP")*(Expenses!A$3:A$1002=DATE(2026,6,1)),ROW(Expenses!A$3:A$1002)-2),3)),""),IF(IFERROR(INDEX(Income!B$3:B$502,SMALL(IF((Income!D$3:D$502="GBP")*(Income!A$3:A$502=DATE(2026,6,1)),ROW(Income!A$3:A$502)-2),3)),"")&lt;&gt;"",IFERROR(INDEX(Income!B$3:B$502,SMALL(IF((Income!D$3:D$502="GBP")*(Income!A$3:A$502=DATE(2026,6,1)),ROW(Income!A$3:A$502)-2),3)),""),""))</f>
        <v/>
      </c>
      <c r="E116" s="62" t="str">
        <f aca="false">IF(IFERROR(-INDEX(Expenses!D$3:D$1002,SMALL(IF((Expenses!E$3:E$1002="GBP")*(Expenses!A$3:A$1002=DATE(2026,6,2)),ROW(Expenses!A$3:A$1002)-2),3)),0)+IFERROR(INDEX(Income!C$3:C$502,SMALL(IF((Income!D$3:D$502="GBP")*(Income!A$3:A$502=DATE(2026,6,2)),ROW(Income!A$3:A$502)-2),3)),0)=0,"",IFERROR(-INDEX(Expenses!D$3:D$1002,SMALL(IF((Expenses!E$3:E$1002="GBP")*(Expenses!A$3:A$1002=DATE(2026,6,2)),ROW(Expenses!A$3:A$1002)-2),3)),0)+IFERROR(INDEX(Income!C$3:C$502,SMALL(IF((Income!D$3:D$502="GBP")*(Income!A$3:A$502=DATE(2026,6,2)),ROW(Income!A$3:A$502)-2),3)),0))</f>
        <v/>
      </c>
      <c r="F116" s="38" t="str">
        <f aca="false">IF(IFERROR(INDEX(Expenses!B$3:B$1002,SMALL(IF((Expenses!E$3:E$1002="GBP")*(Expenses!A$3:A$1002=DATE(2026,6,2)),ROW(Expenses!A$3:A$1002)-2),3)),"")&lt;&gt;"",IFERROR(INDEX(Expenses!B$3:B$1002,SMALL(IF((Expenses!E$3:E$1002="GBP")*(Expenses!A$3:A$1002=DATE(2026,6,2)),ROW(Expenses!A$3:A$1002)-2),3)),""),IF(IFERROR(INDEX(Income!B$3:B$502,SMALL(IF((Income!D$3:D$502="GBP")*(Income!A$3:A$502=DATE(2026,6,2)),ROW(Income!A$3:A$502)-2),3)),"")&lt;&gt;"",IFERROR(INDEX(Income!B$3:B$502,SMALL(IF((Income!D$3:D$502="GBP")*(Income!A$3:A$502=DATE(2026,6,2)),ROW(Income!A$3:A$502)-2),3)),""),""))</f>
        <v/>
      </c>
      <c r="G116" s="62" t="str">
        <f aca="false">IF(IFERROR(-INDEX(Expenses!D$3:D$1002,SMALL(IF((Expenses!E$3:E$1002="GBP")*(Expenses!A$3:A$1002=DATE(2026,6,3)),ROW(Expenses!A$3:A$1002)-2),3)),0)+IFERROR(INDEX(Income!C$3:C$502,SMALL(IF((Income!D$3:D$502="GBP")*(Income!A$3:A$502=DATE(2026,6,3)),ROW(Income!A$3:A$502)-2),3)),0)=0,"",IFERROR(-INDEX(Expenses!D$3:D$1002,SMALL(IF((Expenses!E$3:E$1002="GBP")*(Expenses!A$3:A$1002=DATE(2026,6,3)),ROW(Expenses!A$3:A$1002)-2),3)),0)+IFERROR(INDEX(Income!C$3:C$502,SMALL(IF((Income!D$3:D$502="GBP")*(Income!A$3:A$502=DATE(2026,6,3)),ROW(Income!A$3:A$502)-2),3)),0))</f>
        <v/>
      </c>
      <c r="H116" s="38" t="str">
        <f aca="false">IF(IFERROR(INDEX(Expenses!B$3:B$1002,SMALL(IF((Expenses!E$3:E$1002="GBP")*(Expenses!A$3:A$1002=DATE(2026,6,3)),ROW(Expenses!A$3:A$1002)-2),3)),"")&lt;&gt;"",IFERROR(INDEX(Expenses!B$3:B$1002,SMALL(IF((Expenses!E$3:E$1002="GBP")*(Expenses!A$3:A$1002=DATE(2026,6,3)),ROW(Expenses!A$3:A$1002)-2),3)),""),IF(IFERROR(INDEX(Income!B$3:B$502,SMALL(IF((Income!D$3:D$502="GBP")*(Income!A$3:A$502=DATE(2026,6,3)),ROW(Income!A$3:A$502)-2),3)),"")&lt;&gt;"",IFERROR(INDEX(Income!B$3:B$502,SMALL(IF((Income!D$3:D$502="GBP")*(Income!A$3:A$502=DATE(2026,6,3)),ROW(Income!A$3:A$502)-2),3)),""),""))</f>
        <v/>
      </c>
      <c r="I116" s="62" t="str">
        <f aca="false">IF(IFERROR(-INDEX(Expenses!D$3:D$1002,SMALL(IF((Expenses!E$3:E$1002="GBP")*(Expenses!A$3:A$1002=DATE(2026,6,4)),ROW(Expenses!A$3:A$1002)-2),3)),0)+IFERROR(INDEX(Income!C$3:C$502,SMALL(IF((Income!D$3:D$502="GBP")*(Income!A$3:A$502=DATE(2026,6,4)),ROW(Income!A$3:A$502)-2),3)),0)=0,"",IFERROR(-INDEX(Expenses!D$3:D$1002,SMALL(IF((Expenses!E$3:E$1002="GBP")*(Expenses!A$3:A$1002=DATE(2026,6,4)),ROW(Expenses!A$3:A$1002)-2),3)),0)+IFERROR(INDEX(Income!C$3:C$502,SMALL(IF((Income!D$3:D$502="GBP")*(Income!A$3:A$502=DATE(2026,6,4)),ROW(Income!A$3:A$502)-2),3)),0))</f>
        <v/>
      </c>
      <c r="J116" s="38" t="str">
        <f aca="false">IF(IFERROR(INDEX(Expenses!B$3:B$1002,SMALL(IF((Expenses!E$3:E$1002="GBP")*(Expenses!A$3:A$1002=DATE(2026,6,4)),ROW(Expenses!A$3:A$1002)-2),3)),"")&lt;&gt;"",IFERROR(INDEX(Expenses!B$3:B$1002,SMALL(IF((Expenses!E$3:E$1002="GBP")*(Expenses!A$3:A$1002=DATE(2026,6,4)),ROW(Expenses!A$3:A$1002)-2),3)),""),IF(IFERROR(INDEX(Income!B$3:B$502,SMALL(IF((Income!D$3:D$502="GBP")*(Income!A$3:A$502=DATE(2026,6,4)),ROW(Income!A$3:A$502)-2),3)),"")&lt;&gt;"",IFERROR(INDEX(Income!B$3:B$502,SMALL(IF((Income!D$3:D$502="GBP")*(Income!A$3:A$502=DATE(2026,6,4)),ROW(Income!A$3:A$502)-2),3)),""),""))</f>
        <v/>
      </c>
      <c r="K116" s="62" t="str">
        <f aca="false">IF(IFERROR(-INDEX(Expenses!D$3:D$1002,SMALL(IF((Expenses!E$3:E$1002="GBP")*(Expenses!A$3:A$1002=DATE(2026,6,5)),ROW(Expenses!A$3:A$1002)-2),3)),0)+IFERROR(INDEX(Income!C$3:C$502,SMALL(IF((Income!D$3:D$502="GBP")*(Income!A$3:A$502=DATE(2026,6,5)),ROW(Income!A$3:A$502)-2),3)),0)=0,"",IFERROR(-INDEX(Expenses!D$3:D$1002,SMALL(IF((Expenses!E$3:E$1002="GBP")*(Expenses!A$3:A$1002=DATE(2026,6,5)),ROW(Expenses!A$3:A$1002)-2),3)),0)+IFERROR(INDEX(Income!C$3:C$502,SMALL(IF((Income!D$3:D$502="GBP")*(Income!A$3:A$502=DATE(2026,6,5)),ROW(Income!A$3:A$502)-2),3)),0))</f>
        <v/>
      </c>
      <c r="L116" s="38" t="str">
        <f aca="false">IF(IFERROR(INDEX(Expenses!B$3:B$1002,SMALL(IF((Expenses!E$3:E$1002="GBP")*(Expenses!A$3:A$1002=DATE(2026,6,5)),ROW(Expenses!A$3:A$1002)-2),3)),"")&lt;&gt;"",IFERROR(INDEX(Expenses!B$3:B$1002,SMALL(IF((Expenses!E$3:E$1002="GBP")*(Expenses!A$3:A$1002=DATE(2026,6,5)),ROW(Expenses!A$3:A$1002)-2),3)),""),IF(IFERROR(INDEX(Income!B$3:B$502,SMALL(IF((Income!D$3:D$502="GBP")*(Income!A$3:A$502=DATE(2026,6,5)),ROW(Income!A$3:A$502)-2),3)),"")&lt;&gt;"",IFERROR(INDEX(Income!B$3:B$502,SMALL(IF((Income!D$3:D$502="GBP")*(Income!A$3:A$502=DATE(2026,6,5)),ROW(Income!A$3:A$502)-2),3)),""),""))</f>
        <v/>
      </c>
      <c r="M116" s="62" t="str">
        <f aca="false">IF(IFERROR(-INDEX(Expenses!D$3:D$1002,SMALL(IF((Expenses!E$3:E$1002="GBP")*(Expenses!A$3:A$1002=DATE(2026,6,6)),ROW(Expenses!A$3:A$1002)-2),3)),0)+IFERROR(INDEX(Income!C$3:C$502,SMALL(IF((Income!D$3:D$502="GBP")*(Income!A$3:A$502=DATE(2026,6,6)),ROW(Income!A$3:A$502)-2),3)),0)=0,"",IFERROR(-INDEX(Expenses!D$3:D$1002,SMALL(IF((Expenses!E$3:E$1002="GBP")*(Expenses!A$3:A$1002=DATE(2026,6,6)),ROW(Expenses!A$3:A$1002)-2),3)),0)+IFERROR(INDEX(Income!C$3:C$502,SMALL(IF((Income!D$3:D$502="GBP")*(Income!A$3:A$502=DATE(2026,6,6)),ROW(Income!A$3:A$502)-2),3)),0))</f>
        <v/>
      </c>
      <c r="N116" s="38" t="str">
        <f aca="false">IF(IFERROR(INDEX(Expenses!B$3:B$1002,SMALL(IF((Expenses!E$3:E$1002="GBP")*(Expenses!A$3:A$1002=DATE(2026,6,6)),ROW(Expenses!A$3:A$1002)-2),3)),"")&lt;&gt;"",IFERROR(INDEX(Expenses!B$3:B$1002,SMALL(IF((Expenses!E$3:E$1002="GBP")*(Expenses!A$3:A$1002=DATE(2026,6,6)),ROW(Expenses!A$3:A$1002)-2),3)),""),IF(IFERROR(INDEX(Income!B$3:B$502,SMALL(IF((Income!D$3:D$502="GBP")*(Income!A$3:A$502=DATE(2026,6,6)),ROW(Income!A$3:A$502)-2),3)),"")&lt;&gt;"",IFERROR(INDEX(Income!B$3:B$502,SMALL(IF((Income!D$3:D$502="GBP")*(Income!A$3:A$502=DATE(2026,6,6)),ROW(Income!A$3:A$502)-2),3)),""),""))</f>
        <v/>
      </c>
      <c r="O116" s="62" t="str">
        <f aca="false">IF(IFERROR(-INDEX(Expenses!D$3:D$1002,SMALL(IF((Expenses!E$3:E$1002="GBP")*(Expenses!A$3:A$1002=DATE(2026,6,7)),ROW(Expenses!A$3:A$1002)-2),3)),0)+IFERROR(INDEX(Income!C$3:C$502,SMALL(IF((Income!D$3:D$502="GBP")*(Income!A$3:A$502=DATE(2026,6,7)),ROW(Income!A$3:A$502)-2),3)),0)=0,"",IFERROR(-INDEX(Expenses!D$3:D$1002,SMALL(IF((Expenses!E$3:E$1002="GBP")*(Expenses!A$3:A$1002=DATE(2026,6,7)),ROW(Expenses!A$3:A$1002)-2),3)),0)+IFERROR(INDEX(Income!C$3:C$502,SMALL(IF((Income!D$3:D$502="GBP")*(Income!A$3:A$502=DATE(2026,6,7)),ROW(Income!A$3:A$502)-2),3)),0))</f>
        <v/>
      </c>
      <c r="P116" s="38" t="str">
        <f aca="false">IF(IFERROR(INDEX(Expenses!B$3:B$1002,SMALL(IF((Expenses!E$3:E$1002="GBP")*(Expenses!A$3:A$1002=DATE(2026,6,7)),ROW(Expenses!A$3:A$1002)-2),3)),"")&lt;&gt;"",IFERROR(INDEX(Expenses!B$3:B$1002,SMALL(IF((Expenses!E$3:E$1002="GBP")*(Expenses!A$3:A$1002=DATE(2026,6,7)),ROW(Expenses!A$3:A$1002)-2),3)),""),IF(IFERROR(INDEX(Income!B$3:B$502,SMALL(IF((Income!D$3:D$502="GBP")*(Income!A$3:A$502=DATE(2026,6,7)),ROW(Income!A$3:A$502)-2),3)),"")&lt;&gt;"",IFERROR(INDEX(Income!B$3:B$502,SMALL(IF((Income!D$3:D$502="GBP")*(Income!A$3:A$502=DATE(2026,6,7)),ROW(Income!A$3:A$502)-2),3)),""),""))</f>
        <v/>
      </c>
      <c r="Q116" s="16"/>
      <c r="R116" s="16"/>
    </row>
    <row r="117" customFormat="false" ht="15" hidden="false" customHeight="false" outlineLevel="0" collapsed="false">
      <c r="A117" s="16"/>
      <c r="B117" s="16"/>
      <c r="C117" s="62" t="str">
        <f aca="false">IF(IFERROR(-INDEX(Expenses!D$3:D$1002,SMALL(IF((Expenses!E$3:E$1002="GBP")*(Expenses!A$3:A$1002=DATE(2026,6,1)),ROW(Expenses!A$3:A$1002)-2),4)),0)+IFERROR(INDEX(Income!C$3:C$502,SMALL(IF((Income!D$3:D$502="GBP")*(Income!A$3:A$502=DATE(2026,6,1)),ROW(Income!A$3:A$502)-2),4)),0)=0,"",IFERROR(-INDEX(Expenses!D$3:D$1002,SMALL(IF((Expenses!E$3:E$1002="GBP")*(Expenses!A$3:A$1002=DATE(2026,6,1)),ROW(Expenses!A$3:A$1002)-2),4)),0)+IFERROR(INDEX(Income!C$3:C$502,SMALL(IF((Income!D$3:D$502="GBP")*(Income!A$3:A$502=DATE(2026,6,1)),ROW(Income!A$3:A$502)-2),4)),0))</f>
        <v/>
      </c>
      <c r="D117" s="38" t="str">
        <f aca="false">IF(IFERROR(INDEX(Expenses!B$3:B$1002,SMALL(IF((Expenses!E$3:E$1002="GBP")*(Expenses!A$3:A$1002=DATE(2026,6,1)),ROW(Expenses!A$3:A$1002)-2),4)),"")&lt;&gt;"",IFERROR(INDEX(Expenses!B$3:B$1002,SMALL(IF((Expenses!E$3:E$1002="GBP")*(Expenses!A$3:A$1002=DATE(2026,6,1)),ROW(Expenses!A$3:A$1002)-2),4)),""),IF(IFERROR(INDEX(Income!B$3:B$502,SMALL(IF((Income!D$3:D$502="GBP")*(Income!A$3:A$502=DATE(2026,6,1)),ROW(Income!A$3:A$502)-2),4)),"")&lt;&gt;"",IFERROR(INDEX(Income!B$3:B$502,SMALL(IF((Income!D$3:D$502="GBP")*(Income!A$3:A$502=DATE(2026,6,1)),ROW(Income!A$3:A$502)-2),4)),""),""))</f>
        <v/>
      </c>
      <c r="E117" s="62" t="str">
        <f aca="false">IF(IFERROR(-INDEX(Expenses!D$3:D$1002,SMALL(IF((Expenses!E$3:E$1002="GBP")*(Expenses!A$3:A$1002=DATE(2026,6,2)),ROW(Expenses!A$3:A$1002)-2),4)),0)+IFERROR(INDEX(Income!C$3:C$502,SMALL(IF((Income!D$3:D$502="GBP")*(Income!A$3:A$502=DATE(2026,6,2)),ROW(Income!A$3:A$502)-2),4)),0)=0,"",IFERROR(-INDEX(Expenses!D$3:D$1002,SMALL(IF((Expenses!E$3:E$1002="GBP")*(Expenses!A$3:A$1002=DATE(2026,6,2)),ROW(Expenses!A$3:A$1002)-2),4)),0)+IFERROR(INDEX(Income!C$3:C$502,SMALL(IF((Income!D$3:D$502="GBP")*(Income!A$3:A$502=DATE(2026,6,2)),ROW(Income!A$3:A$502)-2),4)),0))</f>
        <v/>
      </c>
      <c r="F117" s="38" t="str">
        <f aca="false">IF(IFERROR(INDEX(Expenses!B$3:B$1002,SMALL(IF((Expenses!E$3:E$1002="GBP")*(Expenses!A$3:A$1002=DATE(2026,6,2)),ROW(Expenses!A$3:A$1002)-2),4)),"")&lt;&gt;"",IFERROR(INDEX(Expenses!B$3:B$1002,SMALL(IF((Expenses!E$3:E$1002="GBP")*(Expenses!A$3:A$1002=DATE(2026,6,2)),ROW(Expenses!A$3:A$1002)-2),4)),""),IF(IFERROR(INDEX(Income!B$3:B$502,SMALL(IF((Income!D$3:D$502="GBP")*(Income!A$3:A$502=DATE(2026,6,2)),ROW(Income!A$3:A$502)-2),4)),"")&lt;&gt;"",IFERROR(INDEX(Income!B$3:B$502,SMALL(IF((Income!D$3:D$502="GBP")*(Income!A$3:A$502=DATE(2026,6,2)),ROW(Income!A$3:A$502)-2),4)),""),""))</f>
        <v/>
      </c>
      <c r="G117" s="62" t="str">
        <f aca="false">IF(IFERROR(-INDEX(Expenses!D$3:D$1002,SMALL(IF((Expenses!E$3:E$1002="GBP")*(Expenses!A$3:A$1002=DATE(2026,6,3)),ROW(Expenses!A$3:A$1002)-2),4)),0)+IFERROR(INDEX(Income!C$3:C$502,SMALL(IF((Income!D$3:D$502="GBP")*(Income!A$3:A$502=DATE(2026,6,3)),ROW(Income!A$3:A$502)-2),4)),0)=0,"",IFERROR(-INDEX(Expenses!D$3:D$1002,SMALL(IF((Expenses!E$3:E$1002="GBP")*(Expenses!A$3:A$1002=DATE(2026,6,3)),ROW(Expenses!A$3:A$1002)-2),4)),0)+IFERROR(INDEX(Income!C$3:C$502,SMALL(IF((Income!D$3:D$502="GBP")*(Income!A$3:A$502=DATE(2026,6,3)),ROW(Income!A$3:A$502)-2),4)),0))</f>
        <v/>
      </c>
      <c r="H117" s="38" t="str">
        <f aca="false">IF(IFERROR(INDEX(Expenses!B$3:B$1002,SMALL(IF((Expenses!E$3:E$1002="GBP")*(Expenses!A$3:A$1002=DATE(2026,6,3)),ROW(Expenses!A$3:A$1002)-2),4)),"")&lt;&gt;"",IFERROR(INDEX(Expenses!B$3:B$1002,SMALL(IF((Expenses!E$3:E$1002="GBP")*(Expenses!A$3:A$1002=DATE(2026,6,3)),ROW(Expenses!A$3:A$1002)-2),4)),""),IF(IFERROR(INDEX(Income!B$3:B$502,SMALL(IF((Income!D$3:D$502="GBP")*(Income!A$3:A$502=DATE(2026,6,3)),ROW(Income!A$3:A$502)-2),4)),"")&lt;&gt;"",IFERROR(INDEX(Income!B$3:B$502,SMALL(IF((Income!D$3:D$502="GBP")*(Income!A$3:A$502=DATE(2026,6,3)),ROW(Income!A$3:A$502)-2),4)),""),""))</f>
        <v/>
      </c>
      <c r="I117" s="62" t="str">
        <f aca="false">IF(IFERROR(-INDEX(Expenses!D$3:D$1002,SMALL(IF((Expenses!E$3:E$1002="GBP")*(Expenses!A$3:A$1002=DATE(2026,6,4)),ROW(Expenses!A$3:A$1002)-2),4)),0)+IFERROR(INDEX(Income!C$3:C$502,SMALL(IF((Income!D$3:D$502="GBP")*(Income!A$3:A$502=DATE(2026,6,4)),ROW(Income!A$3:A$502)-2),4)),0)=0,"",IFERROR(-INDEX(Expenses!D$3:D$1002,SMALL(IF((Expenses!E$3:E$1002="GBP")*(Expenses!A$3:A$1002=DATE(2026,6,4)),ROW(Expenses!A$3:A$1002)-2),4)),0)+IFERROR(INDEX(Income!C$3:C$502,SMALL(IF((Income!D$3:D$502="GBP")*(Income!A$3:A$502=DATE(2026,6,4)),ROW(Income!A$3:A$502)-2),4)),0))</f>
        <v/>
      </c>
      <c r="J117" s="38" t="str">
        <f aca="false">IF(IFERROR(INDEX(Expenses!B$3:B$1002,SMALL(IF((Expenses!E$3:E$1002="GBP")*(Expenses!A$3:A$1002=DATE(2026,6,4)),ROW(Expenses!A$3:A$1002)-2),4)),"")&lt;&gt;"",IFERROR(INDEX(Expenses!B$3:B$1002,SMALL(IF((Expenses!E$3:E$1002="GBP")*(Expenses!A$3:A$1002=DATE(2026,6,4)),ROW(Expenses!A$3:A$1002)-2),4)),""),IF(IFERROR(INDEX(Income!B$3:B$502,SMALL(IF((Income!D$3:D$502="GBP")*(Income!A$3:A$502=DATE(2026,6,4)),ROW(Income!A$3:A$502)-2),4)),"")&lt;&gt;"",IFERROR(INDEX(Income!B$3:B$502,SMALL(IF((Income!D$3:D$502="GBP")*(Income!A$3:A$502=DATE(2026,6,4)),ROW(Income!A$3:A$502)-2),4)),""),""))</f>
        <v/>
      </c>
      <c r="K117" s="62" t="str">
        <f aca="false">IF(IFERROR(-INDEX(Expenses!D$3:D$1002,SMALL(IF((Expenses!E$3:E$1002="GBP")*(Expenses!A$3:A$1002=DATE(2026,6,5)),ROW(Expenses!A$3:A$1002)-2),4)),0)+IFERROR(INDEX(Income!C$3:C$502,SMALL(IF((Income!D$3:D$502="GBP")*(Income!A$3:A$502=DATE(2026,6,5)),ROW(Income!A$3:A$502)-2),4)),0)=0,"",IFERROR(-INDEX(Expenses!D$3:D$1002,SMALL(IF((Expenses!E$3:E$1002="GBP")*(Expenses!A$3:A$1002=DATE(2026,6,5)),ROW(Expenses!A$3:A$1002)-2),4)),0)+IFERROR(INDEX(Income!C$3:C$502,SMALL(IF((Income!D$3:D$502="GBP")*(Income!A$3:A$502=DATE(2026,6,5)),ROW(Income!A$3:A$502)-2),4)),0))</f>
        <v/>
      </c>
      <c r="L117" s="38" t="str">
        <f aca="false">IF(IFERROR(INDEX(Expenses!B$3:B$1002,SMALL(IF((Expenses!E$3:E$1002="GBP")*(Expenses!A$3:A$1002=DATE(2026,6,5)),ROW(Expenses!A$3:A$1002)-2),4)),"")&lt;&gt;"",IFERROR(INDEX(Expenses!B$3:B$1002,SMALL(IF((Expenses!E$3:E$1002="GBP")*(Expenses!A$3:A$1002=DATE(2026,6,5)),ROW(Expenses!A$3:A$1002)-2),4)),""),IF(IFERROR(INDEX(Income!B$3:B$502,SMALL(IF((Income!D$3:D$502="GBP")*(Income!A$3:A$502=DATE(2026,6,5)),ROW(Income!A$3:A$502)-2),4)),"")&lt;&gt;"",IFERROR(INDEX(Income!B$3:B$502,SMALL(IF((Income!D$3:D$502="GBP")*(Income!A$3:A$502=DATE(2026,6,5)),ROW(Income!A$3:A$502)-2),4)),""),""))</f>
        <v/>
      </c>
      <c r="M117" s="62" t="str">
        <f aca="false">IF(IFERROR(-INDEX(Expenses!D$3:D$1002,SMALL(IF((Expenses!E$3:E$1002="GBP")*(Expenses!A$3:A$1002=DATE(2026,6,6)),ROW(Expenses!A$3:A$1002)-2),4)),0)+IFERROR(INDEX(Income!C$3:C$502,SMALL(IF((Income!D$3:D$502="GBP")*(Income!A$3:A$502=DATE(2026,6,6)),ROW(Income!A$3:A$502)-2),4)),0)=0,"",IFERROR(-INDEX(Expenses!D$3:D$1002,SMALL(IF((Expenses!E$3:E$1002="GBP")*(Expenses!A$3:A$1002=DATE(2026,6,6)),ROW(Expenses!A$3:A$1002)-2),4)),0)+IFERROR(INDEX(Income!C$3:C$502,SMALL(IF((Income!D$3:D$502="GBP")*(Income!A$3:A$502=DATE(2026,6,6)),ROW(Income!A$3:A$502)-2),4)),0))</f>
        <v/>
      </c>
      <c r="N117" s="38" t="str">
        <f aca="false">IF(IFERROR(INDEX(Expenses!B$3:B$1002,SMALL(IF((Expenses!E$3:E$1002="GBP")*(Expenses!A$3:A$1002=DATE(2026,6,6)),ROW(Expenses!A$3:A$1002)-2),4)),"")&lt;&gt;"",IFERROR(INDEX(Expenses!B$3:B$1002,SMALL(IF((Expenses!E$3:E$1002="GBP")*(Expenses!A$3:A$1002=DATE(2026,6,6)),ROW(Expenses!A$3:A$1002)-2),4)),""),IF(IFERROR(INDEX(Income!B$3:B$502,SMALL(IF((Income!D$3:D$502="GBP")*(Income!A$3:A$502=DATE(2026,6,6)),ROW(Income!A$3:A$502)-2),4)),"")&lt;&gt;"",IFERROR(INDEX(Income!B$3:B$502,SMALL(IF((Income!D$3:D$502="GBP")*(Income!A$3:A$502=DATE(2026,6,6)),ROW(Income!A$3:A$502)-2),4)),""),""))</f>
        <v/>
      </c>
      <c r="O117" s="62" t="str">
        <f aca="false">IF(IFERROR(-INDEX(Expenses!D$3:D$1002,SMALL(IF((Expenses!E$3:E$1002="GBP")*(Expenses!A$3:A$1002=DATE(2026,6,7)),ROW(Expenses!A$3:A$1002)-2),4)),0)+IFERROR(INDEX(Income!C$3:C$502,SMALL(IF((Income!D$3:D$502="GBP")*(Income!A$3:A$502=DATE(2026,6,7)),ROW(Income!A$3:A$502)-2),4)),0)=0,"",IFERROR(-INDEX(Expenses!D$3:D$1002,SMALL(IF((Expenses!E$3:E$1002="GBP")*(Expenses!A$3:A$1002=DATE(2026,6,7)),ROW(Expenses!A$3:A$1002)-2),4)),0)+IFERROR(INDEX(Income!C$3:C$502,SMALL(IF((Income!D$3:D$502="GBP")*(Income!A$3:A$502=DATE(2026,6,7)),ROW(Income!A$3:A$502)-2),4)),0))</f>
        <v/>
      </c>
      <c r="P117" s="38" t="str">
        <f aca="false">IF(IFERROR(INDEX(Expenses!B$3:B$1002,SMALL(IF((Expenses!E$3:E$1002="GBP")*(Expenses!A$3:A$1002=DATE(2026,6,7)),ROW(Expenses!A$3:A$1002)-2),4)),"")&lt;&gt;"",IFERROR(INDEX(Expenses!B$3:B$1002,SMALL(IF((Expenses!E$3:E$1002="GBP")*(Expenses!A$3:A$1002=DATE(2026,6,7)),ROW(Expenses!A$3:A$1002)-2),4)),""),IF(IFERROR(INDEX(Income!B$3:B$502,SMALL(IF((Income!D$3:D$502="GBP")*(Income!A$3:A$502=DATE(2026,6,7)),ROW(Income!A$3:A$502)-2),4)),"")&lt;&gt;"",IFERROR(INDEX(Income!B$3:B$502,SMALL(IF((Income!D$3:D$502="GBP")*(Income!A$3:A$502=DATE(2026,6,7)),ROW(Income!A$3:A$502)-2),4)),""),""))</f>
        <v/>
      </c>
      <c r="Q117" s="16"/>
      <c r="R117" s="16"/>
    </row>
    <row r="118" customFormat="false" ht="15" hidden="false" customHeight="false" outlineLevel="0" collapsed="false">
      <c r="A118" s="16"/>
      <c r="B118" s="16"/>
      <c r="C118" s="62" t="str">
        <f aca="false">IF(IFERROR(-INDEX(Expenses!D$3:D$1002,SMALL(IF((Expenses!E$3:E$1002="GBP")*(Expenses!A$3:A$1002=DATE(2026,6,1)),ROW(Expenses!A$3:A$1002)-2),5)),0)+IFERROR(INDEX(Income!C$3:C$502,SMALL(IF((Income!D$3:D$502="GBP")*(Income!A$3:A$502=DATE(2026,6,1)),ROW(Income!A$3:A$502)-2),5)),0)=0,"",IFERROR(-INDEX(Expenses!D$3:D$1002,SMALL(IF((Expenses!E$3:E$1002="GBP")*(Expenses!A$3:A$1002=DATE(2026,6,1)),ROW(Expenses!A$3:A$1002)-2),5)),0)+IFERROR(INDEX(Income!C$3:C$502,SMALL(IF((Income!D$3:D$502="GBP")*(Income!A$3:A$502=DATE(2026,6,1)),ROW(Income!A$3:A$502)-2),5)),0))</f>
        <v/>
      </c>
      <c r="D118" s="38" t="str">
        <f aca="false">IF(IFERROR(INDEX(Expenses!B$3:B$1002,SMALL(IF((Expenses!E$3:E$1002="GBP")*(Expenses!A$3:A$1002=DATE(2026,6,1)),ROW(Expenses!A$3:A$1002)-2),5)),"")&lt;&gt;"",IFERROR(INDEX(Expenses!B$3:B$1002,SMALL(IF((Expenses!E$3:E$1002="GBP")*(Expenses!A$3:A$1002=DATE(2026,6,1)),ROW(Expenses!A$3:A$1002)-2),5)),""),IF(IFERROR(INDEX(Income!B$3:B$502,SMALL(IF((Income!D$3:D$502="GBP")*(Income!A$3:A$502=DATE(2026,6,1)),ROW(Income!A$3:A$502)-2),5)),"")&lt;&gt;"",IFERROR(INDEX(Income!B$3:B$502,SMALL(IF((Income!D$3:D$502="GBP")*(Income!A$3:A$502=DATE(2026,6,1)),ROW(Income!A$3:A$502)-2),5)),""),""))</f>
        <v/>
      </c>
      <c r="E118" s="62" t="str">
        <f aca="false">IF(IFERROR(-INDEX(Expenses!D$3:D$1002,SMALL(IF((Expenses!E$3:E$1002="GBP")*(Expenses!A$3:A$1002=DATE(2026,6,2)),ROW(Expenses!A$3:A$1002)-2),5)),0)+IFERROR(INDEX(Income!C$3:C$502,SMALL(IF((Income!D$3:D$502="GBP")*(Income!A$3:A$502=DATE(2026,6,2)),ROW(Income!A$3:A$502)-2),5)),0)=0,"",IFERROR(-INDEX(Expenses!D$3:D$1002,SMALL(IF((Expenses!E$3:E$1002="GBP")*(Expenses!A$3:A$1002=DATE(2026,6,2)),ROW(Expenses!A$3:A$1002)-2),5)),0)+IFERROR(INDEX(Income!C$3:C$502,SMALL(IF((Income!D$3:D$502="GBP")*(Income!A$3:A$502=DATE(2026,6,2)),ROW(Income!A$3:A$502)-2),5)),0))</f>
        <v/>
      </c>
      <c r="F118" s="38" t="str">
        <f aca="false">IF(IFERROR(INDEX(Expenses!B$3:B$1002,SMALL(IF((Expenses!E$3:E$1002="GBP")*(Expenses!A$3:A$1002=DATE(2026,6,2)),ROW(Expenses!A$3:A$1002)-2),5)),"")&lt;&gt;"",IFERROR(INDEX(Expenses!B$3:B$1002,SMALL(IF((Expenses!E$3:E$1002="GBP")*(Expenses!A$3:A$1002=DATE(2026,6,2)),ROW(Expenses!A$3:A$1002)-2),5)),""),IF(IFERROR(INDEX(Income!B$3:B$502,SMALL(IF((Income!D$3:D$502="GBP")*(Income!A$3:A$502=DATE(2026,6,2)),ROW(Income!A$3:A$502)-2),5)),"")&lt;&gt;"",IFERROR(INDEX(Income!B$3:B$502,SMALL(IF((Income!D$3:D$502="GBP")*(Income!A$3:A$502=DATE(2026,6,2)),ROW(Income!A$3:A$502)-2),5)),""),""))</f>
        <v/>
      </c>
      <c r="G118" s="62" t="str">
        <f aca="false">IF(IFERROR(-INDEX(Expenses!D$3:D$1002,SMALL(IF((Expenses!E$3:E$1002="GBP")*(Expenses!A$3:A$1002=DATE(2026,6,3)),ROW(Expenses!A$3:A$1002)-2),5)),0)+IFERROR(INDEX(Income!C$3:C$502,SMALL(IF((Income!D$3:D$502="GBP")*(Income!A$3:A$502=DATE(2026,6,3)),ROW(Income!A$3:A$502)-2),5)),0)=0,"",IFERROR(-INDEX(Expenses!D$3:D$1002,SMALL(IF((Expenses!E$3:E$1002="GBP")*(Expenses!A$3:A$1002=DATE(2026,6,3)),ROW(Expenses!A$3:A$1002)-2),5)),0)+IFERROR(INDEX(Income!C$3:C$502,SMALL(IF((Income!D$3:D$502="GBP")*(Income!A$3:A$502=DATE(2026,6,3)),ROW(Income!A$3:A$502)-2),5)),0))</f>
        <v/>
      </c>
      <c r="H118" s="38" t="str">
        <f aca="false">IF(IFERROR(INDEX(Expenses!B$3:B$1002,SMALL(IF((Expenses!E$3:E$1002="GBP")*(Expenses!A$3:A$1002=DATE(2026,6,3)),ROW(Expenses!A$3:A$1002)-2),5)),"")&lt;&gt;"",IFERROR(INDEX(Expenses!B$3:B$1002,SMALL(IF((Expenses!E$3:E$1002="GBP")*(Expenses!A$3:A$1002=DATE(2026,6,3)),ROW(Expenses!A$3:A$1002)-2),5)),""),IF(IFERROR(INDEX(Income!B$3:B$502,SMALL(IF((Income!D$3:D$502="GBP")*(Income!A$3:A$502=DATE(2026,6,3)),ROW(Income!A$3:A$502)-2),5)),"")&lt;&gt;"",IFERROR(INDEX(Income!B$3:B$502,SMALL(IF((Income!D$3:D$502="GBP")*(Income!A$3:A$502=DATE(2026,6,3)),ROW(Income!A$3:A$502)-2),5)),""),""))</f>
        <v/>
      </c>
      <c r="I118" s="62" t="str">
        <f aca="false">IF(IFERROR(-INDEX(Expenses!D$3:D$1002,SMALL(IF((Expenses!E$3:E$1002="GBP")*(Expenses!A$3:A$1002=DATE(2026,6,4)),ROW(Expenses!A$3:A$1002)-2),5)),0)+IFERROR(INDEX(Income!C$3:C$502,SMALL(IF((Income!D$3:D$502="GBP")*(Income!A$3:A$502=DATE(2026,6,4)),ROW(Income!A$3:A$502)-2),5)),0)=0,"",IFERROR(-INDEX(Expenses!D$3:D$1002,SMALL(IF((Expenses!E$3:E$1002="GBP")*(Expenses!A$3:A$1002=DATE(2026,6,4)),ROW(Expenses!A$3:A$1002)-2),5)),0)+IFERROR(INDEX(Income!C$3:C$502,SMALL(IF((Income!D$3:D$502="GBP")*(Income!A$3:A$502=DATE(2026,6,4)),ROW(Income!A$3:A$502)-2),5)),0))</f>
        <v/>
      </c>
      <c r="J118" s="38" t="str">
        <f aca="false">IF(IFERROR(INDEX(Expenses!B$3:B$1002,SMALL(IF((Expenses!E$3:E$1002="GBP")*(Expenses!A$3:A$1002=DATE(2026,6,4)),ROW(Expenses!A$3:A$1002)-2),5)),"")&lt;&gt;"",IFERROR(INDEX(Expenses!B$3:B$1002,SMALL(IF((Expenses!E$3:E$1002="GBP")*(Expenses!A$3:A$1002=DATE(2026,6,4)),ROW(Expenses!A$3:A$1002)-2),5)),""),IF(IFERROR(INDEX(Income!B$3:B$502,SMALL(IF((Income!D$3:D$502="GBP")*(Income!A$3:A$502=DATE(2026,6,4)),ROW(Income!A$3:A$502)-2),5)),"")&lt;&gt;"",IFERROR(INDEX(Income!B$3:B$502,SMALL(IF((Income!D$3:D$502="GBP")*(Income!A$3:A$502=DATE(2026,6,4)),ROW(Income!A$3:A$502)-2),5)),""),""))</f>
        <v/>
      </c>
      <c r="K118" s="62" t="str">
        <f aca="false">IF(IFERROR(-INDEX(Expenses!D$3:D$1002,SMALL(IF((Expenses!E$3:E$1002="GBP")*(Expenses!A$3:A$1002=DATE(2026,6,5)),ROW(Expenses!A$3:A$1002)-2),5)),0)+IFERROR(INDEX(Income!C$3:C$502,SMALL(IF((Income!D$3:D$502="GBP")*(Income!A$3:A$502=DATE(2026,6,5)),ROW(Income!A$3:A$502)-2),5)),0)=0,"",IFERROR(-INDEX(Expenses!D$3:D$1002,SMALL(IF((Expenses!E$3:E$1002="GBP")*(Expenses!A$3:A$1002=DATE(2026,6,5)),ROW(Expenses!A$3:A$1002)-2),5)),0)+IFERROR(INDEX(Income!C$3:C$502,SMALL(IF((Income!D$3:D$502="GBP")*(Income!A$3:A$502=DATE(2026,6,5)),ROW(Income!A$3:A$502)-2),5)),0))</f>
        <v/>
      </c>
      <c r="L118" s="38" t="str">
        <f aca="false">IF(IFERROR(INDEX(Expenses!B$3:B$1002,SMALL(IF((Expenses!E$3:E$1002="GBP")*(Expenses!A$3:A$1002=DATE(2026,6,5)),ROW(Expenses!A$3:A$1002)-2),5)),"")&lt;&gt;"",IFERROR(INDEX(Expenses!B$3:B$1002,SMALL(IF((Expenses!E$3:E$1002="GBP")*(Expenses!A$3:A$1002=DATE(2026,6,5)),ROW(Expenses!A$3:A$1002)-2),5)),""),IF(IFERROR(INDEX(Income!B$3:B$502,SMALL(IF((Income!D$3:D$502="GBP")*(Income!A$3:A$502=DATE(2026,6,5)),ROW(Income!A$3:A$502)-2),5)),"")&lt;&gt;"",IFERROR(INDEX(Income!B$3:B$502,SMALL(IF((Income!D$3:D$502="GBP")*(Income!A$3:A$502=DATE(2026,6,5)),ROW(Income!A$3:A$502)-2),5)),""),""))</f>
        <v/>
      </c>
      <c r="M118" s="62" t="str">
        <f aca="false">IF(IFERROR(-INDEX(Expenses!D$3:D$1002,SMALL(IF((Expenses!E$3:E$1002="GBP")*(Expenses!A$3:A$1002=DATE(2026,6,6)),ROW(Expenses!A$3:A$1002)-2),5)),0)+IFERROR(INDEX(Income!C$3:C$502,SMALL(IF((Income!D$3:D$502="GBP")*(Income!A$3:A$502=DATE(2026,6,6)),ROW(Income!A$3:A$502)-2),5)),0)=0,"",IFERROR(-INDEX(Expenses!D$3:D$1002,SMALL(IF((Expenses!E$3:E$1002="GBP")*(Expenses!A$3:A$1002=DATE(2026,6,6)),ROW(Expenses!A$3:A$1002)-2),5)),0)+IFERROR(INDEX(Income!C$3:C$502,SMALL(IF((Income!D$3:D$502="GBP")*(Income!A$3:A$502=DATE(2026,6,6)),ROW(Income!A$3:A$502)-2),5)),0))</f>
        <v/>
      </c>
      <c r="N118" s="38" t="str">
        <f aca="false">IF(IFERROR(INDEX(Expenses!B$3:B$1002,SMALL(IF((Expenses!E$3:E$1002="GBP")*(Expenses!A$3:A$1002=DATE(2026,6,6)),ROW(Expenses!A$3:A$1002)-2),5)),"")&lt;&gt;"",IFERROR(INDEX(Expenses!B$3:B$1002,SMALL(IF((Expenses!E$3:E$1002="GBP")*(Expenses!A$3:A$1002=DATE(2026,6,6)),ROW(Expenses!A$3:A$1002)-2),5)),""),IF(IFERROR(INDEX(Income!B$3:B$502,SMALL(IF((Income!D$3:D$502="GBP")*(Income!A$3:A$502=DATE(2026,6,6)),ROW(Income!A$3:A$502)-2),5)),"")&lt;&gt;"",IFERROR(INDEX(Income!B$3:B$502,SMALL(IF((Income!D$3:D$502="GBP")*(Income!A$3:A$502=DATE(2026,6,6)),ROW(Income!A$3:A$502)-2),5)),""),""))</f>
        <v/>
      </c>
      <c r="O118" s="62" t="str">
        <f aca="false">IF(IFERROR(-INDEX(Expenses!D$3:D$1002,SMALL(IF((Expenses!E$3:E$1002="GBP")*(Expenses!A$3:A$1002=DATE(2026,6,7)),ROW(Expenses!A$3:A$1002)-2),5)),0)+IFERROR(INDEX(Income!C$3:C$502,SMALL(IF((Income!D$3:D$502="GBP")*(Income!A$3:A$502=DATE(2026,6,7)),ROW(Income!A$3:A$502)-2),5)),0)=0,"",IFERROR(-INDEX(Expenses!D$3:D$1002,SMALL(IF((Expenses!E$3:E$1002="GBP")*(Expenses!A$3:A$1002=DATE(2026,6,7)),ROW(Expenses!A$3:A$1002)-2),5)),0)+IFERROR(INDEX(Income!C$3:C$502,SMALL(IF((Income!D$3:D$502="GBP")*(Income!A$3:A$502=DATE(2026,6,7)),ROW(Income!A$3:A$502)-2),5)),0))</f>
        <v/>
      </c>
      <c r="P118" s="38" t="str">
        <f aca="false">IF(IFERROR(INDEX(Expenses!B$3:B$1002,SMALL(IF((Expenses!E$3:E$1002="GBP")*(Expenses!A$3:A$1002=DATE(2026,6,7)),ROW(Expenses!A$3:A$1002)-2),5)),"")&lt;&gt;"",IFERROR(INDEX(Expenses!B$3:B$1002,SMALL(IF((Expenses!E$3:E$1002="GBP")*(Expenses!A$3:A$1002=DATE(2026,6,7)),ROW(Expenses!A$3:A$1002)-2),5)),""),IF(IFERROR(INDEX(Income!B$3:B$502,SMALL(IF((Income!D$3:D$502="GBP")*(Income!A$3:A$502=DATE(2026,6,7)),ROW(Income!A$3:A$502)-2),5)),"")&lt;&gt;"",IFERROR(INDEX(Income!B$3:B$502,SMALL(IF((Income!D$3:D$502="GBP")*(Income!A$3:A$502=DATE(2026,6,7)),ROW(Income!A$3:A$502)-2),5)),""),""))</f>
        <v/>
      </c>
      <c r="Q118" s="16"/>
      <c r="R118" s="16"/>
    </row>
    <row r="119" customFormat="false" ht="15" hidden="false" customHeight="false" outlineLevel="0" collapsed="false">
      <c r="A119" s="61" t="n">
        <v>46181</v>
      </c>
      <c r="B119" s="3" t="n">
        <v>24</v>
      </c>
      <c r="C119" s="62" t="str">
        <f aca="false">IF(IFERROR(-INDEX(Expenses!D$3:D$1002,SMALL(IF((Expenses!E$3:E$1002="GBP")*(Expenses!A$3:A$1002=DATE(2026,6,8)),ROW(Expenses!A$3:A$1002)-2),1)),0)+IFERROR(INDEX(Income!C$3:C$502,SMALL(IF((Income!D$3:D$502="GBP")*(Income!A$3:A$502=DATE(2026,6,8)),ROW(Income!A$3:A$502)-2),1)),0)=0,"",IFERROR(-INDEX(Expenses!D$3:D$1002,SMALL(IF((Expenses!E$3:E$1002="GBP")*(Expenses!A$3:A$1002=DATE(2026,6,8)),ROW(Expenses!A$3:A$1002)-2),1)),0)+IFERROR(INDEX(Income!C$3:C$502,SMALL(IF((Income!D$3:D$502="GBP")*(Income!A$3:A$502=DATE(2026,6,8)),ROW(Income!A$3:A$502)-2),1)),0))</f>
        <v/>
      </c>
      <c r="D119" s="38" t="str">
        <f aca="false">IF(IFERROR(INDEX(Expenses!B$3:B$1002,SMALL(IF((Expenses!E$3:E$1002="GBP")*(Expenses!A$3:A$1002=DATE(2026,6,8)),ROW(Expenses!A$3:A$1002)-2),1)),"")&lt;&gt;"",IFERROR(INDEX(Expenses!B$3:B$1002,SMALL(IF((Expenses!E$3:E$1002="GBP")*(Expenses!A$3:A$1002=DATE(2026,6,8)),ROW(Expenses!A$3:A$1002)-2),1)),""),IF(IFERROR(INDEX(Income!B$3:B$502,SMALL(IF((Income!D$3:D$502="GBP")*(Income!A$3:A$502=DATE(2026,6,8)),ROW(Income!A$3:A$502)-2),1)),"")&lt;&gt;"",IFERROR(INDEX(Income!B$3:B$502,SMALL(IF((Income!D$3:D$502="GBP")*(Income!A$3:A$502=DATE(2026,6,8)),ROW(Income!A$3:A$502)-2),1)),""),""))</f>
        <v/>
      </c>
      <c r="E119" s="62" t="str">
        <f aca="false">IF(IFERROR(-INDEX(Expenses!D$3:D$1002,SMALL(IF((Expenses!E$3:E$1002="GBP")*(Expenses!A$3:A$1002=DATE(2026,6,9)),ROW(Expenses!A$3:A$1002)-2),1)),0)+IFERROR(INDEX(Income!C$3:C$502,SMALL(IF((Income!D$3:D$502="GBP")*(Income!A$3:A$502=DATE(2026,6,9)),ROW(Income!A$3:A$502)-2),1)),0)=0,"",IFERROR(-INDEX(Expenses!D$3:D$1002,SMALL(IF((Expenses!E$3:E$1002="GBP")*(Expenses!A$3:A$1002=DATE(2026,6,9)),ROW(Expenses!A$3:A$1002)-2),1)),0)+IFERROR(INDEX(Income!C$3:C$502,SMALL(IF((Income!D$3:D$502="GBP")*(Income!A$3:A$502=DATE(2026,6,9)),ROW(Income!A$3:A$502)-2),1)),0))</f>
        <v/>
      </c>
      <c r="F119" s="38" t="str">
        <f aca="false">IF(IFERROR(INDEX(Expenses!B$3:B$1002,SMALL(IF((Expenses!E$3:E$1002="GBP")*(Expenses!A$3:A$1002=DATE(2026,6,9)),ROW(Expenses!A$3:A$1002)-2),1)),"")&lt;&gt;"",IFERROR(INDEX(Expenses!B$3:B$1002,SMALL(IF((Expenses!E$3:E$1002="GBP")*(Expenses!A$3:A$1002=DATE(2026,6,9)),ROW(Expenses!A$3:A$1002)-2),1)),""),IF(IFERROR(INDEX(Income!B$3:B$502,SMALL(IF((Income!D$3:D$502="GBP")*(Income!A$3:A$502=DATE(2026,6,9)),ROW(Income!A$3:A$502)-2),1)),"")&lt;&gt;"",IFERROR(INDEX(Income!B$3:B$502,SMALL(IF((Income!D$3:D$502="GBP")*(Income!A$3:A$502=DATE(2026,6,9)),ROW(Income!A$3:A$502)-2),1)),""),""))</f>
        <v/>
      </c>
      <c r="G119" s="62" t="str">
        <f aca="false">IF(IFERROR(-INDEX(Expenses!D$3:D$1002,SMALL(IF((Expenses!E$3:E$1002="GBP")*(Expenses!A$3:A$1002=DATE(2026,6,10)),ROW(Expenses!A$3:A$1002)-2),1)),0)+IFERROR(INDEX(Income!C$3:C$502,SMALL(IF((Income!D$3:D$502="GBP")*(Income!A$3:A$502=DATE(2026,6,10)),ROW(Income!A$3:A$502)-2),1)),0)=0,"",IFERROR(-INDEX(Expenses!D$3:D$1002,SMALL(IF((Expenses!E$3:E$1002="GBP")*(Expenses!A$3:A$1002=DATE(2026,6,10)),ROW(Expenses!A$3:A$1002)-2),1)),0)+IFERROR(INDEX(Income!C$3:C$502,SMALL(IF((Income!D$3:D$502="GBP")*(Income!A$3:A$502=DATE(2026,6,10)),ROW(Income!A$3:A$502)-2),1)),0))</f>
        <v/>
      </c>
      <c r="H119" s="38" t="str">
        <f aca="false">IF(IFERROR(INDEX(Expenses!B$3:B$1002,SMALL(IF((Expenses!E$3:E$1002="GBP")*(Expenses!A$3:A$1002=DATE(2026,6,10)),ROW(Expenses!A$3:A$1002)-2),1)),"")&lt;&gt;"",IFERROR(INDEX(Expenses!B$3:B$1002,SMALL(IF((Expenses!E$3:E$1002="GBP")*(Expenses!A$3:A$1002=DATE(2026,6,10)),ROW(Expenses!A$3:A$1002)-2),1)),""),IF(IFERROR(INDEX(Income!B$3:B$502,SMALL(IF((Income!D$3:D$502="GBP")*(Income!A$3:A$502=DATE(2026,6,10)),ROW(Income!A$3:A$502)-2),1)),"")&lt;&gt;"",IFERROR(INDEX(Income!B$3:B$502,SMALL(IF((Income!D$3:D$502="GBP")*(Income!A$3:A$502=DATE(2026,6,10)),ROW(Income!A$3:A$502)-2),1)),""),""))</f>
        <v/>
      </c>
      <c r="I119" s="62" t="str">
        <f aca="false">IF(IFERROR(-INDEX(Expenses!D$3:D$1002,SMALL(IF((Expenses!E$3:E$1002="GBP")*(Expenses!A$3:A$1002=DATE(2026,6,11)),ROW(Expenses!A$3:A$1002)-2),1)),0)+IFERROR(INDEX(Income!C$3:C$502,SMALL(IF((Income!D$3:D$502="GBP")*(Income!A$3:A$502=DATE(2026,6,11)),ROW(Income!A$3:A$502)-2),1)),0)=0,"",IFERROR(-INDEX(Expenses!D$3:D$1002,SMALL(IF((Expenses!E$3:E$1002="GBP")*(Expenses!A$3:A$1002=DATE(2026,6,11)),ROW(Expenses!A$3:A$1002)-2),1)),0)+IFERROR(INDEX(Income!C$3:C$502,SMALL(IF((Income!D$3:D$502="GBP")*(Income!A$3:A$502=DATE(2026,6,11)),ROW(Income!A$3:A$502)-2),1)),0))</f>
        <v/>
      </c>
      <c r="J119" s="38" t="str">
        <f aca="false">IF(IFERROR(INDEX(Expenses!B$3:B$1002,SMALL(IF((Expenses!E$3:E$1002="GBP")*(Expenses!A$3:A$1002=DATE(2026,6,11)),ROW(Expenses!A$3:A$1002)-2),1)),"")&lt;&gt;"",IFERROR(INDEX(Expenses!B$3:B$1002,SMALL(IF((Expenses!E$3:E$1002="GBP")*(Expenses!A$3:A$1002=DATE(2026,6,11)),ROW(Expenses!A$3:A$1002)-2),1)),""),IF(IFERROR(INDEX(Income!B$3:B$502,SMALL(IF((Income!D$3:D$502="GBP")*(Income!A$3:A$502=DATE(2026,6,11)),ROW(Income!A$3:A$502)-2),1)),"")&lt;&gt;"",IFERROR(INDEX(Income!B$3:B$502,SMALL(IF((Income!D$3:D$502="GBP")*(Income!A$3:A$502=DATE(2026,6,11)),ROW(Income!A$3:A$502)-2),1)),""),""))</f>
        <v/>
      </c>
      <c r="K119" s="62" t="str">
        <f aca="false">IF(IFERROR(-INDEX(Expenses!D$3:D$1002,SMALL(IF((Expenses!E$3:E$1002="GBP")*(Expenses!A$3:A$1002=DATE(2026,6,12)),ROW(Expenses!A$3:A$1002)-2),1)),0)+IFERROR(INDEX(Income!C$3:C$502,SMALL(IF((Income!D$3:D$502="GBP")*(Income!A$3:A$502=DATE(2026,6,12)),ROW(Income!A$3:A$502)-2),1)),0)=0,"",IFERROR(-INDEX(Expenses!D$3:D$1002,SMALL(IF((Expenses!E$3:E$1002="GBP")*(Expenses!A$3:A$1002=DATE(2026,6,12)),ROW(Expenses!A$3:A$1002)-2),1)),0)+IFERROR(INDEX(Income!C$3:C$502,SMALL(IF((Income!D$3:D$502="GBP")*(Income!A$3:A$502=DATE(2026,6,12)),ROW(Income!A$3:A$502)-2),1)),0))</f>
        <v/>
      </c>
      <c r="L119" s="38" t="str">
        <f aca="false">IF(IFERROR(INDEX(Expenses!B$3:B$1002,SMALL(IF((Expenses!E$3:E$1002="GBP")*(Expenses!A$3:A$1002=DATE(2026,6,12)),ROW(Expenses!A$3:A$1002)-2),1)),"")&lt;&gt;"",IFERROR(INDEX(Expenses!B$3:B$1002,SMALL(IF((Expenses!E$3:E$1002="GBP")*(Expenses!A$3:A$1002=DATE(2026,6,12)),ROW(Expenses!A$3:A$1002)-2),1)),""),IF(IFERROR(INDEX(Income!B$3:B$502,SMALL(IF((Income!D$3:D$502="GBP")*(Income!A$3:A$502=DATE(2026,6,12)),ROW(Income!A$3:A$502)-2),1)),"")&lt;&gt;"",IFERROR(INDEX(Income!B$3:B$502,SMALL(IF((Income!D$3:D$502="GBP")*(Income!A$3:A$502=DATE(2026,6,12)),ROW(Income!A$3:A$502)-2),1)),""),""))</f>
        <v/>
      </c>
      <c r="M119" s="62" t="str">
        <f aca="false">IF(IFERROR(-INDEX(Expenses!D$3:D$1002,SMALL(IF((Expenses!E$3:E$1002="GBP")*(Expenses!A$3:A$1002=DATE(2026,6,13)),ROW(Expenses!A$3:A$1002)-2),1)),0)+IFERROR(INDEX(Income!C$3:C$502,SMALL(IF((Income!D$3:D$502="GBP")*(Income!A$3:A$502=DATE(2026,6,13)),ROW(Income!A$3:A$502)-2),1)),0)=0,"",IFERROR(-INDEX(Expenses!D$3:D$1002,SMALL(IF((Expenses!E$3:E$1002="GBP")*(Expenses!A$3:A$1002=DATE(2026,6,13)),ROW(Expenses!A$3:A$1002)-2),1)),0)+IFERROR(INDEX(Income!C$3:C$502,SMALL(IF((Income!D$3:D$502="GBP")*(Income!A$3:A$502=DATE(2026,6,13)),ROW(Income!A$3:A$502)-2),1)),0))</f>
        <v/>
      </c>
      <c r="N119" s="38" t="str">
        <f aca="false">IF(IFERROR(INDEX(Expenses!B$3:B$1002,SMALL(IF((Expenses!E$3:E$1002="GBP")*(Expenses!A$3:A$1002=DATE(2026,6,13)),ROW(Expenses!A$3:A$1002)-2),1)),"")&lt;&gt;"",IFERROR(INDEX(Expenses!B$3:B$1002,SMALL(IF((Expenses!E$3:E$1002="GBP")*(Expenses!A$3:A$1002=DATE(2026,6,13)),ROW(Expenses!A$3:A$1002)-2),1)),""),IF(IFERROR(INDEX(Income!B$3:B$502,SMALL(IF((Income!D$3:D$502="GBP")*(Income!A$3:A$502=DATE(2026,6,13)),ROW(Income!A$3:A$502)-2),1)),"")&lt;&gt;"",IFERROR(INDEX(Income!B$3:B$502,SMALL(IF((Income!D$3:D$502="GBP")*(Income!A$3:A$502=DATE(2026,6,13)),ROW(Income!A$3:A$502)-2),1)),""),""))</f>
        <v/>
      </c>
      <c r="O119" s="62" t="str">
        <f aca="false">IF(IFERROR(-INDEX(Expenses!D$3:D$1002,SMALL(IF((Expenses!E$3:E$1002="GBP")*(Expenses!A$3:A$1002=DATE(2026,6,14)),ROW(Expenses!A$3:A$1002)-2),1)),0)+IFERROR(INDEX(Income!C$3:C$502,SMALL(IF((Income!D$3:D$502="GBP")*(Income!A$3:A$502=DATE(2026,6,14)),ROW(Income!A$3:A$502)-2),1)),0)=0,"",IFERROR(-INDEX(Expenses!D$3:D$1002,SMALL(IF((Expenses!E$3:E$1002="GBP")*(Expenses!A$3:A$1002=DATE(2026,6,14)),ROW(Expenses!A$3:A$1002)-2),1)),0)+IFERROR(INDEX(Income!C$3:C$502,SMALL(IF((Income!D$3:D$502="GBP")*(Income!A$3:A$502=DATE(2026,6,14)),ROW(Income!A$3:A$502)-2),1)),0))</f>
        <v/>
      </c>
      <c r="P119" s="38" t="str">
        <f aca="false">IF(IFERROR(INDEX(Expenses!B$3:B$1002,SMALL(IF((Expenses!E$3:E$1002="GBP")*(Expenses!A$3:A$1002=DATE(2026,6,14)),ROW(Expenses!A$3:A$1002)-2),1)),"")&lt;&gt;"",IFERROR(INDEX(Expenses!B$3:B$1002,SMALL(IF((Expenses!E$3:E$1002="GBP")*(Expenses!A$3:A$1002=DATE(2026,6,14)),ROW(Expenses!A$3:A$1002)-2),1)),""),IF(IFERROR(INDEX(Income!B$3:B$502,SMALL(IF((Income!D$3:D$502="GBP")*(Income!A$3:A$502=DATE(2026,6,14)),ROW(Income!A$3:A$502)-2),1)),"")&lt;&gt;"",IFERROR(INDEX(Income!B$3:B$502,SMALL(IF((Income!D$3:D$502="GBP")*(Income!A$3:A$502=DATE(2026,6,14)),ROW(Income!A$3:A$502)-2),1)),""),""))</f>
        <v/>
      </c>
      <c r="Q119" s="3" t="n">
        <v>24</v>
      </c>
      <c r="R119" s="45" t="n">
        <f aca="false">SUM(C119:C123)+SUM(E119:E123)+SUM(G119:G123)+SUM(I119:I123)+SUM(K119:K123)+SUM(M119:M123)+SUM(O119:O123)</f>
        <v>0</v>
      </c>
    </row>
    <row r="120" customFormat="false" ht="15" hidden="false" customHeight="false" outlineLevel="0" collapsed="false">
      <c r="A120" s="16"/>
      <c r="B120" s="16"/>
      <c r="C120" s="62" t="str">
        <f aca="false">IF(IFERROR(-INDEX(Expenses!D$3:D$1002,SMALL(IF((Expenses!E$3:E$1002="GBP")*(Expenses!A$3:A$1002=DATE(2026,6,8)),ROW(Expenses!A$3:A$1002)-2),2)),0)+IFERROR(INDEX(Income!C$3:C$502,SMALL(IF((Income!D$3:D$502="GBP")*(Income!A$3:A$502=DATE(2026,6,8)),ROW(Income!A$3:A$502)-2),2)),0)=0,"",IFERROR(-INDEX(Expenses!D$3:D$1002,SMALL(IF((Expenses!E$3:E$1002="GBP")*(Expenses!A$3:A$1002=DATE(2026,6,8)),ROW(Expenses!A$3:A$1002)-2),2)),0)+IFERROR(INDEX(Income!C$3:C$502,SMALL(IF((Income!D$3:D$502="GBP")*(Income!A$3:A$502=DATE(2026,6,8)),ROW(Income!A$3:A$502)-2),2)),0))</f>
        <v/>
      </c>
      <c r="D120" s="38" t="str">
        <f aca="false">IF(IFERROR(INDEX(Expenses!B$3:B$1002,SMALL(IF((Expenses!E$3:E$1002="GBP")*(Expenses!A$3:A$1002=DATE(2026,6,8)),ROW(Expenses!A$3:A$1002)-2),2)),"")&lt;&gt;"",IFERROR(INDEX(Expenses!B$3:B$1002,SMALL(IF((Expenses!E$3:E$1002="GBP")*(Expenses!A$3:A$1002=DATE(2026,6,8)),ROW(Expenses!A$3:A$1002)-2),2)),""),IF(IFERROR(INDEX(Income!B$3:B$502,SMALL(IF((Income!D$3:D$502="GBP")*(Income!A$3:A$502=DATE(2026,6,8)),ROW(Income!A$3:A$502)-2),2)),"")&lt;&gt;"",IFERROR(INDEX(Income!B$3:B$502,SMALL(IF((Income!D$3:D$502="GBP")*(Income!A$3:A$502=DATE(2026,6,8)),ROW(Income!A$3:A$502)-2),2)),""),""))</f>
        <v/>
      </c>
      <c r="E120" s="62" t="str">
        <f aca="false">IF(IFERROR(-INDEX(Expenses!D$3:D$1002,SMALL(IF((Expenses!E$3:E$1002="GBP")*(Expenses!A$3:A$1002=DATE(2026,6,9)),ROW(Expenses!A$3:A$1002)-2),2)),0)+IFERROR(INDEX(Income!C$3:C$502,SMALL(IF((Income!D$3:D$502="GBP")*(Income!A$3:A$502=DATE(2026,6,9)),ROW(Income!A$3:A$502)-2),2)),0)=0,"",IFERROR(-INDEX(Expenses!D$3:D$1002,SMALL(IF((Expenses!E$3:E$1002="GBP")*(Expenses!A$3:A$1002=DATE(2026,6,9)),ROW(Expenses!A$3:A$1002)-2),2)),0)+IFERROR(INDEX(Income!C$3:C$502,SMALL(IF((Income!D$3:D$502="GBP")*(Income!A$3:A$502=DATE(2026,6,9)),ROW(Income!A$3:A$502)-2),2)),0))</f>
        <v/>
      </c>
      <c r="F120" s="38" t="str">
        <f aca="false">IF(IFERROR(INDEX(Expenses!B$3:B$1002,SMALL(IF((Expenses!E$3:E$1002="GBP")*(Expenses!A$3:A$1002=DATE(2026,6,9)),ROW(Expenses!A$3:A$1002)-2),2)),"")&lt;&gt;"",IFERROR(INDEX(Expenses!B$3:B$1002,SMALL(IF((Expenses!E$3:E$1002="GBP")*(Expenses!A$3:A$1002=DATE(2026,6,9)),ROW(Expenses!A$3:A$1002)-2),2)),""),IF(IFERROR(INDEX(Income!B$3:B$502,SMALL(IF((Income!D$3:D$502="GBP")*(Income!A$3:A$502=DATE(2026,6,9)),ROW(Income!A$3:A$502)-2),2)),"")&lt;&gt;"",IFERROR(INDEX(Income!B$3:B$502,SMALL(IF((Income!D$3:D$502="GBP")*(Income!A$3:A$502=DATE(2026,6,9)),ROW(Income!A$3:A$502)-2),2)),""),""))</f>
        <v/>
      </c>
      <c r="G120" s="62" t="str">
        <f aca="false">IF(IFERROR(-INDEX(Expenses!D$3:D$1002,SMALL(IF((Expenses!E$3:E$1002="GBP")*(Expenses!A$3:A$1002=DATE(2026,6,10)),ROW(Expenses!A$3:A$1002)-2),2)),0)+IFERROR(INDEX(Income!C$3:C$502,SMALL(IF((Income!D$3:D$502="GBP")*(Income!A$3:A$502=DATE(2026,6,10)),ROW(Income!A$3:A$502)-2),2)),0)=0,"",IFERROR(-INDEX(Expenses!D$3:D$1002,SMALL(IF((Expenses!E$3:E$1002="GBP")*(Expenses!A$3:A$1002=DATE(2026,6,10)),ROW(Expenses!A$3:A$1002)-2),2)),0)+IFERROR(INDEX(Income!C$3:C$502,SMALL(IF((Income!D$3:D$502="GBP")*(Income!A$3:A$502=DATE(2026,6,10)),ROW(Income!A$3:A$502)-2),2)),0))</f>
        <v/>
      </c>
      <c r="H120" s="38" t="str">
        <f aca="false">IF(IFERROR(INDEX(Expenses!B$3:B$1002,SMALL(IF((Expenses!E$3:E$1002="GBP")*(Expenses!A$3:A$1002=DATE(2026,6,10)),ROW(Expenses!A$3:A$1002)-2),2)),"")&lt;&gt;"",IFERROR(INDEX(Expenses!B$3:B$1002,SMALL(IF((Expenses!E$3:E$1002="GBP")*(Expenses!A$3:A$1002=DATE(2026,6,10)),ROW(Expenses!A$3:A$1002)-2),2)),""),IF(IFERROR(INDEX(Income!B$3:B$502,SMALL(IF((Income!D$3:D$502="GBP")*(Income!A$3:A$502=DATE(2026,6,10)),ROW(Income!A$3:A$502)-2),2)),"")&lt;&gt;"",IFERROR(INDEX(Income!B$3:B$502,SMALL(IF((Income!D$3:D$502="GBP")*(Income!A$3:A$502=DATE(2026,6,10)),ROW(Income!A$3:A$502)-2),2)),""),""))</f>
        <v/>
      </c>
      <c r="I120" s="62" t="str">
        <f aca="false">IF(IFERROR(-INDEX(Expenses!D$3:D$1002,SMALL(IF((Expenses!E$3:E$1002="GBP")*(Expenses!A$3:A$1002=DATE(2026,6,11)),ROW(Expenses!A$3:A$1002)-2),2)),0)+IFERROR(INDEX(Income!C$3:C$502,SMALL(IF((Income!D$3:D$502="GBP")*(Income!A$3:A$502=DATE(2026,6,11)),ROW(Income!A$3:A$502)-2),2)),0)=0,"",IFERROR(-INDEX(Expenses!D$3:D$1002,SMALL(IF((Expenses!E$3:E$1002="GBP")*(Expenses!A$3:A$1002=DATE(2026,6,11)),ROW(Expenses!A$3:A$1002)-2),2)),0)+IFERROR(INDEX(Income!C$3:C$502,SMALL(IF((Income!D$3:D$502="GBP")*(Income!A$3:A$502=DATE(2026,6,11)),ROW(Income!A$3:A$502)-2),2)),0))</f>
        <v/>
      </c>
      <c r="J120" s="38" t="str">
        <f aca="false">IF(IFERROR(INDEX(Expenses!B$3:B$1002,SMALL(IF((Expenses!E$3:E$1002="GBP")*(Expenses!A$3:A$1002=DATE(2026,6,11)),ROW(Expenses!A$3:A$1002)-2),2)),"")&lt;&gt;"",IFERROR(INDEX(Expenses!B$3:B$1002,SMALL(IF((Expenses!E$3:E$1002="GBP")*(Expenses!A$3:A$1002=DATE(2026,6,11)),ROW(Expenses!A$3:A$1002)-2),2)),""),IF(IFERROR(INDEX(Income!B$3:B$502,SMALL(IF((Income!D$3:D$502="GBP")*(Income!A$3:A$502=DATE(2026,6,11)),ROW(Income!A$3:A$502)-2),2)),"")&lt;&gt;"",IFERROR(INDEX(Income!B$3:B$502,SMALL(IF((Income!D$3:D$502="GBP")*(Income!A$3:A$502=DATE(2026,6,11)),ROW(Income!A$3:A$502)-2),2)),""),""))</f>
        <v/>
      </c>
      <c r="K120" s="62" t="str">
        <f aca="false">IF(IFERROR(-INDEX(Expenses!D$3:D$1002,SMALL(IF((Expenses!E$3:E$1002="GBP")*(Expenses!A$3:A$1002=DATE(2026,6,12)),ROW(Expenses!A$3:A$1002)-2),2)),0)+IFERROR(INDEX(Income!C$3:C$502,SMALL(IF((Income!D$3:D$502="GBP")*(Income!A$3:A$502=DATE(2026,6,12)),ROW(Income!A$3:A$502)-2),2)),0)=0,"",IFERROR(-INDEX(Expenses!D$3:D$1002,SMALL(IF((Expenses!E$3:E$1002="GBP")*(Expenses!A$3:A$1002=DATE(2026,6,12)),ROW(Expenses!A$3:A$1002)-2),2)),0)+IFERROR(INDEX(Income!C$3:C$502,SMALL(IF((Income!D$3:D$502="GBP")*(Income!A$3:A$502=DATE(2026,6,12)),ROW(Income!A$3:A$502)-2),2)),0))</f>
        <v/>
      </c>
      <c r="L120" s="38" t="str">
        <f aca="false">IF(IFERROR(INDEX(Expenses!B$3:B$1002,SMALL(IF((Expenses!E$3:E$1002="GBP")*(Expenses!A$3:A$1002=DATE(2026,6,12)),ROW(Expenses!A$3:A$1002)-2),2)),"")&lt;&gt;"",IFERROR(INDEX(Expenses!B$3:B$1002,SMALL(IF((Expenses!E$3:E$1002="GBP")*(Expenses!A$3:A$1002=DATE(2026,6,12)),ROW(Expenses!A$3:A$1002)-2),2)),""),IF(IFERROR(INDEX(Income!B$3:B$502,SMALL(IF((Income!D$3:D$502="GBP")*(Income!A$3:A$502=DATE(2026,6,12)),ROW(Income!A$3:A$502)-2),2)),"")&lt;&gt;"",IFERROR(INDEX(Income!B$3:B$502,SMALL(IF((Income!D$3:D$502="GBP")*(Income!A$3:A$502=DATE(2026,6,12)),ROW(Income!A$3:A$502)-2),2)),""),""))</f>
        <v/>
      </c>
      <c r="M120" s="62" t="str">
        <f aca="false">IF(IFERROR(-INDEX(Expenses!D$3:D$1002,SMALL(IF((Expenses!E$3:E$1002="GBP")*(Expenses!A$3:A$1002=DATE(2026,6,13)),ROW(Expenses!A$3:A$1002)-2),2)),0)+IFERROR(INDEX(Income!C$3:C$502,SMALL(IF((Income!D$3:D$502="GBP")*(Income!A$3:A$502=DATE(2026,6,13)),ROW(Income!A$3:A$502)-2),2)),0)=0,"",IFERROR(-INDEX(Expenses!D$3:D$1002,SMALL(IF((Expenses!E$3:E$1002="GBP")*(Expenses!A$3:A$1002=DATE(2026,6,13)),ROW(Expenses!A$3:A$1002)-2),2)),0)+IFERROR(INDEX(Income!C$3:C$502,SMALL(IF((Income!D$3:D$502="GBP")*(Income!A$3:A$502=DATE(2026,6,13)),ROW(Income!A$3:A$502)-2),2)),0))</f>
        <v/>
      </c>
      <c r="N120" s="38" t="str">
        <f aca="false">IF(IFERROR(INDEX(Expenses!B$3:B$1002,SMALL(IF((Expenses!E$3:E$1002="GBP")*(Expenses!A$3:A$1002=DATE(2026,6,13)),ROW(Expenses!A$3:A$1002)-2),2)),"")&lt;&gt;"",IFERROR(INDEX(Expenses!B$3:B$1002,SMALL(IF((Expenses!E$3:E$1002="GBP")*(Expenses!A$3:A$1002=DATE(2026,6,13)),ROW(Expenses!A$3:A$1002)-2),2)),""),IF(IFERROR(INDEX(Income!B$3:B$502,SMALL(IF((Income!D$3:D$502="GBP")*(Income!A$3:A$502=DATE(2026,6,13)),ROW(Income!A$3:A$502)-2),2)),"")&lt;&gt;"",IFERROR(INDEX(Income!B$3:B$502,SMALL(IF((Income!D$3:D$502="GBP")*(Income!A$3:A$502=DATE(2026,6,13)),ROW(Income!A$3:A$502)-2),2)),""),""))</f>
        <v/>
      </c>
      <c r="O120" s="62" t="str">
        <f aca="false">IF(IFERROR(-INDEX(Expenses!D$3:D$1002,SMALL(IF((Expenses!E$3:E$1002="GBP")*(Expenses!A$3:A$1002=DATE(2026,6,14)),ROW(Expenses!A$3:A$1002)-2),2)),0)+IFERROR(INDEX(Income!C$3:C$502,SMALL(IF((Income!D$3:D$502="GBP")*(Income!A$3:A$502=DATE(2026,6,14)),ROW(Income!A$3:A$502)-2),2)),0)=0,"",IFERROR(-INDEX(Expenses!D$3:D$1002,SMALL(IF((Expenses!E$3:E$1002="GBP")*(Expenses!A$3:A$1002=DATE(2026,6,14)),ROW(Expenses!A$3:A$1002)-2),2)),0)+IFERROR(INDEX(Income!C$3:C$502,SMALL(IF((Income!D$3:D$502="GBP")*(Income!A$3:A$502=DATE(2026,6,14)),ROW(Income!A$3:A$502)-2),2)),0))</f>
        <v/>
      </c>
      <c r="P120" s="38" t="str">
        <f aca="false">IF(IFERROR(INDEX(Expenses!B$3:B$1002,SMALL(IF((Expenses!E$3:E$1002="GBP")*(Expenses!A$3:A$1002=DATE(2026,6,14)),ROW(Expenses!A$3:A$1002)-2),2)),"")&lt;&gt;"",IFERROR(INDEX(Expenses!B$3:B$1002,SMALL(IF((Expenses!E$3:E$1002="GBP")*(Expenses!A$3:A$1002=DATE(2026,6,14)),ROW(Expenses!A$3:A$1002)-2),2)),""),IF(IFERROR(INDEX(Income!B$3:B$502,SMALL(IF((Income!D$3:D$502="GBP")*(Income!A$3:A$502=DATE(2026,6,14)),ROW(Income!A$3:A$502)-2),2)),"")&lt;&gt;"",IFERROR(INDEX(Income!B$3:B$502,SMALL(IF((Income!D$3:D$502="GBP")*(Income!A$3:A$502=DATE(2026,6,14)),ROW(Income!A$3:A$502)-2),2)),""),""))</f>
        <v/>
      </c>
      <c r="Q120" s="16"/>
      <c r="R120" s="16"/>
    </row>
    <row r="121" customFormat="false" ht="15" hidden="false" customHeight="false" outlineLevel="0" collapsed="false">
      <c r="A121" s="16"/>
      <c r="B121" s="16"/>
      <c r="C121" s="62" t="str">
        <f aca="false">IF(IFERROR(-INDEX(Expenses!D$3:D$1002,SMALL(IF((Expenses!E$3:E$1002="GBP")*(Expenses!A$3:A$1002=DATE(2026,6,8)),ROW(Expenses!A$3:A$1002)-2),3)),0)+IFERROR(INDEX(Income!C$3:C$502,SMALL(IF((Income!D$3:D$502="GBP")*(Income!A$3:A$502=DATE(2026,6,8)),ROW(Income!A$3:A$502)-2),3)),0)=0,"",IFERROR(-INDEX(Expenses!D$3:D$1002,SMALL(IF((Expenses!E$3:E$1002="GBP")*(Expenses!A$3:A$1002=DATE(2026,6,8)),ROW(Expenses!A$3:A$1002)-2),3)),0)+IFERROR(INDEX(Income!C$3:C$502,SMALL(IF((Income!D$3:D$502="GBP")*(Income!A$3:A$502=DATE(2026,6,8)),ROW(Income!A$3:A$502)-2),3)),0))</f>
        <v/>
      </c>
      <c r="D121" s="38" t="str">
        <f aca="false">IF(IFERROR(INDEX(Expenses!B$3:B$1002,SMALL(IF((Expenses!E$3:E$1002="GBP")*(Expenses!A$3:A$1002=DATE(2026,6,8)),ROW(Expenses!A$3:A$1002)-2),3)),"")&lt;&gt;"",IFERROR(INDEX(Expenses!B$3:B$1002,SMALL(IF((Expenses!E$3:E$1002="GBP")*(Expenses!A$3:A$1002=DATE(2026,6,8)),ROW(Expenses!A$3:A$1002)-2),3)),""),IF(IFERROR(INDEX(Income!B$3:B$502,SMALL(IF((Income!D$3:D$502="GBP")*(Income!A$3:A$502=DATE(2026,6,8)),ROW(Income!A$3:A$502)-2),3)),"")&lt;&gt;"",IFERROR(INDEX(Income!B$3:B$502,SMALL(IF((Income!D$3:D$502="GBP")*(Income!A$3:A$502=DATE(2026,6,8)),ROW(Income!A$3:A$502)-2),3)),""),""))</f>
        <v/>
      </c>
      <c r="E121" s="62" t="str">
        <f aca="false">IF(IFERROR(-INDEX(Expenses!D$3:D$1002,SMALL(IF((Expenses!E$3:E$1002="GBP")*(Expenses!A$3:A$1002=DATE(2026,6,9)),ROW(Expenses!A$3:A$1002)-2),3)),0)+IFERROR(INDEX(Income!C$3:C$502,SMALL(IF((Income!D$3:D$502="GBP")*(Income!A$3:A$502=DATE(2026,6,9)),ROW(Income!A$3:A$502)-2),3)),0)=0,"",IFERROR(-INDEX(Expenses!D$3:D$1002,SMALL(IF((Expenses!E$3:E$1002="GBP")*(Expenses!A$3:A$1002=DATE(2026,6,9)),ROW(Expenses!A$3:A$1002)-2),3)),0)+IFERROR(INDEX(Income!C$3:C$502,SMALL(IF((Income!D$3:D$502="GBP")*(Income!A$3:A$502=DATE(2026,6,9)),ROW(Income!A$3:A$502)-2),3)),0))</f>
        <v/>
      </c>
      <c r="F121" s="38" t="str">
        <f aca="false">IF(IFERROR(INDEX(Expenses!B$3:B$1002,SMALL(IF((Expenses!E$3:E$1002="GBP")*(Expenses!A$3:A$1002=DATE(2026,6,9)),ROW(Expenses!A$3:A$1002)-2),3)),"")&lt;&gt;"",IFERROR(INDEX(Expenses!B$3:B$1002,SMALL(IF((Expenses!E$3:E$1002="GBP")*(Expenses!A$3:A$1002=DATE(2026,6,9)),ROW(Expenses!A$3:A$1002)-2),3)),""),IF(IFERROR(INDEX(Income!B$3:B$502,SMALL(IF((Income!D$3:D$502="GBP")*(Income!A$3:A$502=DATE(2026,6,9)),ROW(Income!A$3:A$502)-2),3)),"")&lt;&gt;"",IFERROR(INDEX(Income!B$3:B$502,SMALL(IF((Income!D$3:D$502="GBP")*(Income!A$3:A$502=DATE(2026,6,9)),ROW(Income!A$3:A$502)-2),3)),""),""))</f>
        <v/>
      </c>
      <c r="G121" s="62" t="str">
        <f aca="false">IF(IFERROR(-INDEX(Expenses!D$3:D$1002,SMALL(IF((Expenses!E$3:E$1002="GBP")*(Expenses!A$3:A$1002=DATE(2026,6,10)),ROW(Expenses!A$3:A$1002)-2),3)),0)+IFERROR(INDEX(Income!C$3:C$502,SMALL(IF((Income!D$3:D$502="GBP")*(Income!A$3:A$502=DATE(2026,6,10)),ROW(Income!A$3:A$502)-2),3)),0)=0,"",IFERROR(-INDEX(Expenses!D$3:D$1002,SMALL(IF((Expenses!E$3:E$1002="GBP")*(Expenses!A$3:A$1002=DATE(2026,6,10)),ROW(Expenses!A$3:A$1002)-2),3)),0)+IFERROR(INDEX(Income!C$3:C$502,SMALL(IF((Income!D$3:D$502="GBP")*(Income!A$3:A$502=DATE(2026,6,10)),ROW(Income!A$3:A$502)-2),3)),0))</f>
        <v/>
      </c>
      <c r="H121" s="38" t="str">
        <f aca="false">IF(IFERROR(INDEX(Expenses!B$3:B$1002,SMALL(IF((Expenses!E$3:E$1002="GBP")*(Expenses!A$3:A$1002=DATE(2026,6,10)),ROW(Expenses!A$3:A$1002)-2),3)),"")&lt;&gt;"",IFERROR(INDEX(Expenses!B$3:B$1002,SMALL(IF((Expenses!E$3:E$1002="GBP")*(Expenses!A$3:A$1002=DATE(2026,6,10)),ROW(Expenses!A$3:A$1002)-2),3)),""),IF(IFERROR(INDEX(Income!B$3:B$502,SMALL(IF((Income!D$3:D$502="GBP")*(Income!A$3:A$502=DATE(2026,6,10)),ROW(Income!A$3:A$502)-2),3)),"")&lt;&gt;"",IFERROR(INDEX(Income!B$3:B$502,SMALL(IF((Income!D$3:D$502="GBP")*(Income!A$3:A$502=DATE(2026,6,10)),ROW(Income!A$3:A$502)-2),3)),""),""))</f>
        <v/>
      </c>
      <c r="I121" s="62" t="str">
        <f aca="false">IF(IFERROR(-INDEX(Expenses!D$3:D$1002,SMALL(IF((Expenses!E$3:E$1002="GBP")*(Expenses!A$3:A$1002=DATE(2026,6,11)),ROW(Expenses!A$3:A$1002)-2),3)),0)+IFERROR(INDEX(Income!C$3:C$502,SMALL(IF((Income!D$3:D$502="GBP")*(Income!A$3:A$502=DATE(2026,6,11)),ROW(Income!A$3:A$502)-2),3)),0)=0,"",IFERROR(-INDEX(Expenses!D$3:D$1002,SMALL(IF((Expenses!E$3:E$1002="GBP")*(Expenses!A$3:A$1002=DATE(2026,6,11)),ROW(Expenses!A$3:A$1002)-2),3)),0)+IFERROR(INDEX(Income!C$3:C$502,SMALL(IF((Income!D$3:D$502="GBP")*(Income!A$3:A$502=DATE(2026,6,11)),ROW(Income!A$3:A$502)-2),3)),0))</f>
        <v/>
      </c>
      <c r="J121" s="38" t="str">
        <f aca="false">IF(IFERROR(INDEX(Expenses!B$3:B$1002,SMALL(IF((Expenses!E$3:E$1002="GBP")*(Expenses!A$3:A$1002=DATE(2026,6,11)),ROW(Expenses!A$3:A$1002)-2),3)),"")&lt;&gt;"",IFERROR(INDEX(Expenses!B$3:B$1002,SMALL(IF((Expenses!E$3:E$1002="GBP")*(Expenses!A$3:A$1002=DATE(2026,6,11)),ROW(Expenses!A$3:A$1002)-2),3)),""),IF(IFERROR(INDEX(Income!B$3:B$502,SMALL(IF((Income!D$3:D$502="GBP")*(Income!A$3:A$502=DATE(2026,6,11)),ROW(Income!A$3:A$502)-2),3)),"")&lt;&gt;"",IFERROR(INDEX(Income!B$3:B$502,SMALL(IF((Income!D$3:D$502="GBP")*(Income!A$3:A$502=DATE(2026,6,11)),ROW(Income!A$3:A$502)-2),3)),""),""))</f>
        <v/>
      </c>
      <c r="K121" s="62" t="str">
        <f aca="false">IF(IFERROR(-INDEX(Expenses!D$3:D$1002,SMALL(IF((Expenses!E$3:E$1002="GBP")*(Expenses!A$3:A$1002=DATE(2026,6,12)),ROW(Expenses!A$3:A$1002)-2),3)),0)+IFERROR(INDEX(Income!C$3:C$502,SMALL(IF((Income!D$3:D$502="GBP")*(Income!A$3:A$502=DATE(2026,6,12)),ROW(Income!A$3:A$502)-2),3)),0)=0,"",IFERROR(-INDEX(Expenses!D$3:D$1002,SMALL(IF((Expenses!E$3:E$1002="GBP")*(Expenses!A$3:A$1002=DATE(2026,6,12)),ROW(Expenses!A$3:A$1002)-2),3)),0)+IFERROR(INDEX(Income!C$3:C$502,SMALL(IF((Income!D$3:D$502="GBP")*(Income!A$3:A$502=DATE(2026,6,12)),ROW(Income!A$3:A$502)-2),3)),0))</f>
        <v/>
      </c>
      <c r="L121" s="38" t="str">
        <f aca="false">IF(IFERROR(INDEX(Expenses!B$3:B$1002,SMALL(IF((Expenses!E$3:E$1002="GBP")*(Expenses!A$3:A$1002=DATE(2026,6,12)),ROW(Expenses!A$3:A$1002)-2),3)),"")&lt;&gt;"",IFERROR(INDEX(Expenses!B$3:B$1002,SMALL(IF((Expenses!E$3:E$1002="GBP")*(Expenses!A$3:A$1002=DATE(2026,6,12)),ROW(Expenses!A$3:A$1002)-2),3)),""),IF(IFERROR(INDEX(Income!B$3:B$502,SMALL(IF((Income!D$3:D$502="GBP")*(Income!A$3:A$502=DATE(2026,6,12)),ROW(Income!A$3:A$502)-2),3)),"")&lt;&gt;"",IFERROR(INDEX(Income!B$3:B$502,SMALL(IF((Income!D$3:D$502="GBP")*(Income!A$3:A$502=DATE(2026,6,12)),ROW(Income!A$3:A$502)-2),3)),""),""))</f>
        <v/>
      </c>
      <c r="M121" s="62" t="str">
        <f aca="false">IF(IFERROR(-INDEX(Expenses!D$3:D$1002,SMALL(IF((Expenses!E$3:E$1002="GBP")*(Expenses!A$3:A$1002=DATE(2026,6,13)),ROW(Expenses!A$3:A$1002)-2),3)),0)+IFERROR(INDEX(Income!C$3:C$502,SMALL(IF((Income!D$3:D$502="GBP")*(Income!A$3:A$502=DATE(2026,6,13)),ROW(Income!A$3:A$502)-2),3)),0)=0,"",IFERROR(-INDEX(Expenses!D$3:D$1002,SMALL(IF((Expenses!E$3:E$1002="GBP")*(Expenses!A$3:A$1002=DATE(2026,6,13)),ROW(Expenses!A$3:A$1002)-2),3)),0)+IFERROR(INDEX(Income!C$3:C$502,SMALL(IF((Income!D$3:D$502="GBP")*(Income!A$3:A$502=DATE(2026,6,13)),ROW(Income!A$3:A$502)-2),3)),0))</f>
        <v/>
      </c>
      <c r="N121" s="38" t="str">
        <f aca="false">IF(IFERROR(INDEX(Expenses!B$3:B$1002,SMALL(IF((Expenses!E$3:E$1002="GBP")*(Expenses!A$3:A$1002=DATE(2026,6,13)),ROW(Expenses!A$3:A$1002)-2),3)),"")&lt;&gt;"",IFERROR(INDEX(Expenses!B$3:B$1002,SMALL(IF((Expenses!E$3:E$1002="GBP")*(Expenses!A$3:A$1002=DATE(2026,6,13)),ROW(Expenses!A$3:A$1002)-2),3)),""),IF(IFERROR(INDEX(Income!B$3:B$502,SMALL(IF((Income!D$3:D$502="GBP")*(Income!A$3:A$502=DATE(2026,6,13)),ROW(Income!A$3:A$502)-2),3)),"")&lt;&gt;"",IFERROR(INDEX(Income!B$3:B$502,SMALL(IF((Income!D$3:D$502="GBP")*(Income!A$3:A$502=DATE(2026,6,13)),ROW(Income!A$3:A$502)-2),3)),""),""))</f>
        <v/>
      </c>
      <c r="O121" s="62" t="str">
        <f aca="false">IF(IFERROR(-INDEX(Expenses!D$3:D$1002,SMALL(IF((Expenses!E$3:E$1002="GBP")*(Expenses!A$3:A$1002=DATE(2026,6,14)),ROW(Expenses!A$3:A$1002)-2),3)),0)+IFERROR(INDEX(Income!C$3:C$502,SMALL(IF((Income!D$3:D$502="GBP")*(Income!A$3:A$502=DATE(2026,6,14)),ROW(Income!A$3:A$502)-2),3)),0)=0,"",IFERROR(-INDEX(Expenses!D$3:D$1002,SMALL(IF((Expenses!E$3:E$1002="GBP")*(Expenses!A$3:A$1002=DATE(2026,6,14)),ROW(Expenses!A$3:A$1002)-2),3)),0)+IFERROR(INDEX(Income!C$3:C$502,SMALL(IF((Income!D$3:D$502="GBP")*(Income!A$3:A$502=DATE(2026,6,14)),ROW(Income!A$3:A$502)-2),3)),0))</f>
        <v/>
      </c>
      <c r="P121" s="38" t="str">
        <f aca="false">IF(IFERROR(INDEX(Expenses!B$3:B$1002,SMALL(IF((Expenses!E$3:E$1002="GBP")*(Expenses!A$3:A$1002=DATE(2026,6,14)),ROW(Expenses!A$3:A$1002)-2),3)),"")&lt;&gt;"",IFERROR(INDEX(Expenses!B$3:B$1002,SMALL(IF((Expenses!E$3:E$1002="GBP")*(Expenses!A$3:A$1002=DATE(2026,6,14)),ROW(Expenses!A$3:A$1002)-2),3)),""),IF(IFERROR(INDEX(Income!B$3:B$502,SMALL(IF((Income!D$3:D$502="GBP")*(Income!A$3:A$502=DATE(2026,6,14)),ROW(Income!A$3:A$502)-2),3)),"")&lt;&gt;"",IFERROR(INDEX(Income!B$3:B$502,SMALL(IF((Income!D$3:D$502="GBP")*(Income!A$3:A$502=DATE(2026,6,14)),ROW(Income!A$3:A$502)-2),3)),""),""))</f>
        <v/>
      </c>
      <c r="Q121" s="16"/>
      <c r="R121" s="16"/>
    </row>
    <row r="122" customFormat="false" ht="15" hidden="false" customHeight="false" outlineLevel="0" collapsed="false">
      <c r="A122" s="16"/>
      <c r="B122" s="16"/>
      <c r="C122" s="62" t="str">
        <f aca="false">IF(IFERROR(-INDEX(Expenses!D$3:D$1002,SMALL(IF((Expenses!E$3:E$1002="GBP")*(Expenses!A$3:A$1002=DATE(2026,6,8)),ROW(Expenses!A$3:A$1002)-2),4)),0)+IFERROR(INDEX(Income!C$3:C$502,SMALL(IF((Income!D$3:D$502="GBP")*(Income!A$3:A$502=DATE(2026,6,8)),ROW(Income!A$3:A$502)-2),4)),0)=0,"",IFERROR(-INDEX(Expenses!D$3:D$1002,SMALL(IF((Expenses!E$3:E$1002="GBP")*(Expenses!A$3:A$1002=DATE(2026,6,8)),ROW(Expenses!A$3:A$1002)-2),4)),0)+IFERROR(INDEX(Income!C$3:C$502,SMALL(IF((Income!D$3:D$502="GBP")*(Income!A$3:A$502=DATE(2026,6,8)),ROW(Income!A$3:A$502)-2),4)),0))</f>
        <v/>
      </c>
      <c r="D122" s="38" t="str">
        <f aca="false">IF(IFERROR(INDEX(Expenses!B$3:B$1002,SMALL(IF((Expenses!E$3:E$1002="GBP")*(Expenses!A$3:A$1002=DATE(2026,6,8)),ROW(Expenses!A$3:A$1002)-2),4)),"")&lt;&gt;"",IFERROR(INDEX(Expenses!B$3:B$1002,SMALL(IF((Expenses!E$3:E$1002="GBP")*(Expenses!A$3:A$1002=DATE(2026,6,8)),ROW(Expenses!A$3:A$1002)-2),4)),""),IF(IFERROR(INDEX(Income!B$3:B$502,SMALL(IF((Income!D$3:D$502="GBP")*(Income!A$3:A$502=DATE(2026,6,8)),ROW(Income!A$3:A$502)-2),4)),"")&lt;&gt;"",IFERROR(INDEX(Income!B$3:B$502,SMALL(IF((Income!D$3:D$502="GBP")*(Income!A$3:A$502=DATE(2026,6,8)),ROW(Income!A$3:A$502)-2),4)),""),""))</f>
        <v/>
      </c>
      <c r="E122" s="62" t="str">
        <f aca="false">IF(IFERROR(-INDEX(Expenses!D$3:D$1002,SMALL(IF((Expenses!E$3:E$1002="GBP")*(Expenses!A$3:A$1002=DATE(2026,6,9)),ROW(Expenses!A$3:A$1002)-2),4)),0)+IFERROR(INDEX(Income!C$3:C$502,SMALL(IF((Income!D$3:D$502="GBP")*(Income!A$3:A$502=DATE(2026,6,9)),ROW(Income!A$3:A$502)-2),4)),0)=0,"",IFERROR(-INDEX(Expenses!D$3:D$1002,SMALL(IF((Expenses!E$3:E$1002="GBP")*(Expenses!A$3:A$1002=DATE(2026,6,9)),ROW(Expenses!A$3:A$1002)-2),4)),0)+IFERROR(INDEX(Income!C$3:C$502,SMALL(IF((Income!D$3:D$502="GBP")*(Income!A$3:A$502=DATE(2026,6,9)),ROW(Income!A$3:A$502)-2),4)),0))</f>
        <v/>
      </c>
      <c r="F122" s="38" t="str">
        <f aca="false">IF(IFERROR(INDEX(Expenses!B$3:B$1002,SMALL(IF((Expenses!E$3:E$1002="GBP")*(Expenses!A$3:A$1002=DATE(2026,6,9)),ROW(Expenses!A$3:A$1002)-2),4)),"")&lt;&gt;"",IFERROR(INDEX(Expenses!B$3:B$1002,SMALL(IF((Expenses!E$3:E$1002="GBP")*(Expenses!A$3:A$1002=DATE(2026,6,9)),ROW(Expenses!A$3:A$1002)-2),4)),""),IF(IFERROR(INDEX(Income!B$3:B$502,SMALL(IF((Income!D$3:D$502="GBP")*(Income!A$3:A$502=DATE(2026,6,9)),ROW(Income!A$3:A$502)-2),4)),"")&lt;&gt;"",IFERROR(INDEX(Income!B$3:B$502,SMALL(IF((Income!D$3:D$502="GBP")*(Income!A$3:A$502=DATE(2026,6,9)),ROW(Income!A$3:A$502)-2),4)),""),""))</f>
        <v/>
      </c>
      <c r="G122" s="62" t="str">
        <f aca="false">IF(IFERROR(-INDEX(Expenses!D$3:D$1002,SMALL(IF((Expenses!E$3:E$1002="GBP")*(Expenses!A$3:A$1002=DATE(2026,6,10)),ROW(Expenses!A$3:A$1002)-2),4)),0)+IFERROR(INDEX(Income!C$3:C$502,SMALL(IF((Income!D$3:D$502="GBP")*(Income!A$3:A$502=DATE(2026,6,10)),ROW(Income!A$3:A$502)-2),4)),0)=0,"",IFERROR(-INDEX(Expenses!D$3:D$1002,SMALL(IF((Expenses!E$3:E$1002="GBP")*(Expenses!A$3:A$1002=DATE(2026,6,10)),ROW(Expenses!A$3:A$1002)-2),4)),0)+IFERROR(INDEX(Income!C$3:C$502,SMALL(IF((Income!D$3:D$502="GBP")*(Income!A$3:A$502=DATE(2026,6,10)),ROW(Income!A$3:A$502)-2),4)),0))</f>
        <v/>
      </c>
      <c r="H122" s="38" t="str">
        <f aca="false">IF(IFERROR(INDEX(Expenses!B$3:B$1002,SMALL(IF((Expenses!E$3:E$1002="GBP")*(Expenses!A$3:A$1002=DATE(2026,6,10)),ROW(Expenses!A$3:A$1002)-2),4)),"")&lt;&gt;"",IFERROR(INDEX(Expenses!B$3:B$1002,SMALL(IF((Expenses!E$3:E$1002="GBP")*(Expenses!A$3:A$1002=DATE(2026,6,10)),ROW(Expenses!A$3:A$1002)-2),4)),""),IF(IFERROR(INDEX(Income!B$3:B$502,SMALL(IF((Income!D$3:D$502="GBP")*(Income!A$3:A$502=DATE(2026,6,10)),ROW(Income!A$3:A$502)-2),4)),"")&lt;&gt;"",IFERROR(INDEX(Income!B$3:B$502,SMALL(IF((Income!D$3:D$502="GBP")*(Income!A$3:A$502=DATE(2026,6,10)),ROW(Income!A$3:A$502)-2),4)),""),""))</f>
        <v/>
      </c>
      <c r="I122" s="62" t="str">
        <f aca="false">IF(IFERROR(-INDEX(Expenses!D$3:D$1002,SMALL(IF((Expenses!E$3:E$1002="GBP")*(Expenses!A$3:A$1002=DATE(2026,6,11)),ROW(Expenses!A$3:A$1002)-2),4)),0)+IFERROR(INDEX(Income!C$3:C$502,SMALL(IF((Income!D$3:D$502="GBP")*(Income!A$3:A$502=DATE(2026,6,11)),ROW(Income!A$3:A$502)-2),4)),0)=0,"",IFERROR(-INDEX(Expenses!D$3:D$1002,SMALL(IF((Expenses!E$3:E$1002="GBP")*(Expenses!A$3:A$1002=DATE(2026,6,11)),ROW(Expenses!A$3:A$1002)-2),4)),0)+IFERROR(INDEX(Income!C$3:C$502,SMALL(IF((Income!D$3:D$502="GBP")*(Income!A$3:A$502=DATE(2026,6,11)),ROW(Income!A$3:A$502)-2),4)),0))</f>
        <v/>
      </c>
      <c r="J122" s="38" t="str">
        <f aca="false">IF(IFERROR(INDEX(Expenses!B$3:B$1002,SMALL(IF((Expenses!E$3:E$1002="GBP")*(Expenses!A$3:A$1002=DATE(2026,6,11)),ROW(Expenses!A$3:A$1002)-2),4)),"")&lt;&gt;"",IFERROR(INDEX(Expenses!B$3:B$1002,SMALL(IF((Expenses!E$3:E$1002="GBP")*(Expenses!A$3:A$1002=DATE(2026,6,11)),ROW(Expenses!A$3:A$1002)-2),4)),""),IF(IFERROR(INDEX(Income!B$3:B$502,SMALL(IF((Income!D$3:D$502="GBP")*(Income!A$3:A$502=DATE(2026,6,11)),ROW(Income!A$3:A$502)-2),4)),"")&lt;&gt;"",IFERROR(INDEX(Income!B$3:B$502,SMALL(IF((Income!D$3:D$502="GBP")*(Income!A$3:A$502=DATE(2026,6,11)),ROW(Income!A$3:A$502)-2),4)),""),""))</f>
        <v/>
      </c>
      <c r="K122" s="62" t="str">
        <f aca="false">IF(IFERROR(-INDEX(Expenses!D$3:D$1002,SMALL(IF((Expenses!E$3:E$1002="GBP")*(Expenses!A$3:A$1002=DATE(2026,6,12)),ROW(Expenses!A$3:A$1002)-2),4)),0)+IFERROR(INDEX(Income!C$3:C$502,SMALL(IF((Income!D$3:D$502="GBP")*(Income!A$3:A$502=DATE(2026,6,12)),ROW(Income!A$3:A$502)-2),4)),0)=0,"",IFERROR(-INDEX(Expenses!D$3:D$1002,SMALL(IF((Expenses!E$3:E$1002="GBP")*(Expenses!A$3:A$1002=DATE(2026,6,12)),ROW(Expenses!A$3:A$1002)-2),4)),0)+IFERROR(INDEX(Income!C$3:C$502,SMALL(IF((Income!D$3:D$502="GBP")*(Income!A$3:A$502=DATE(2026,6,12)),ROW(Income!A$3:A$502)-2),4)),0))</f>
        <v/>
      </c>
      <c r="L122" s="38" t="str">
        <f aca="false">IF(IFERROR(INDEX(Expenses!B$3:B$1002,SMALL(IF((Expenses!E$3:E$1002="GBP")*(Expenses!A$3:A$1002=DATE(2026,6,12)),ROW(Expenses!A$3:A$1002)-2),4)),"")&lt;&gt;"",IFERROR(INDEX(Expenses!B$3:B$1002,SMALL(IF((Expenses!E$3:E$1002="GBP")*(Expenses!A$3:A$1002=DATE(2026,6,12)),ROW(Expenses!A$3:A$1002)-2),4)),""),IF(IFERROR(INDEX(Income!B$3:B$502,SMALL(IF((Income!D$3:D$502="GBP")*(Income!A$3:A$502=DATE(2026,6,12)),ROW(Income!A$3:A$502)-2),4)),"")&lt;&gt;"",IFERROR(INDEX(Income!B$3:B$502,SMALL(IF((Income!D$3:D$502="GBP")*(Income!A$3:A$502=DATE(2026,6,12)),ROW(Income!A$3:A$502)-2),4)),""),""))</f>
        <v/>
      </c>
      <c r="M122" s="62" t="str">
        <f aca="false">IF(IFERROR(-INDEX(Expenses!D$3:D$1002,SMALL(IF((Expenses!E$3:E$1002="GBP")*(Expenses!A$3:A$1002=DATE(2026,6,13)),ROW(Expenses!A$3:A$1002)-2),4)),0)+IFERROR(INDEX(Income!C$3:C$502,SMALL(IF((Income!D$3:D$502="GBP")*(Income!A$3:A$502=DATE(2026,6,13)),ROW(Income!A$3:A$502)-2),4)),0)=0,"",IFERROR(-INDEX(Expenses!D$3:D$1002,SMALL(IF((Expenses!E$3:E$1002="GBP")*(Expenses!A$3:A$1002=DATE(2026,6,13)),ROW(Expenses!A$3:A$1002)-2),4)),0)+IFERROR(INDEX(Income!C$3:C$502,SMALL(IF((Income!D$3:D$502="GBP")*(Income!A$3:A$502=DATE(2026,6,13)),ROW(Income!A$3:A$502)-2),4)),0))</f>
        <v/>
      </c>
      <c r="N122" s="38" t="str">
        <f aca="false">IF(IFERROR(INDEX(Expenses!B$3:B$1002,SMALL(IF((Expenses!E$3:E$1002="GBP")*(Expenses!A$3:A$1002=DATE(2026,6,13)),ROW(Expenses!A$3:A$1002)-2),4)),"")&lt;&gt;"",IFERROR(INDEX(Expenses!B$3:B$1002,SMALL(IF((Expenses!E$3:E$1002="GBP")*(Expenses!A$3:A$1002=DATE(2026,6,13)),ROW(Expenses!A$3:A$1002)-2),4)),""),IF(IFERROR(INDEX(Income!B$3:B$502,SMALL(IF((Income!D$3:D$502="GBP")*(Income!A$3:A$502=DATE(2026,6,13)),ROW(Income!A$3:A$502)-2),4)),"")&lt;&gt;"",IFERROR(INDEX(Income!B$3:B$502,SMALL(IF((Income!D$3:D$502="GBP")*(Income!A$3:A$502=DATE(2026,6,13)),ROW(Income!A$3:A$502)-2),4)),""),""))</f>
        <v/>
      </c>
      <c r="O122" s="62" t="str">
        <f aca="false">IF(IFERROR(-INDEX(Expenses!D$3:D$1002,SMALL(IF((Expenses!E$3:E$1002="GBP")*(Expenses!A$3:A$1002=DATE(2026,6,14)),ROW(Expenses!A$3:A$1002)-2),4)),0)+IFERROR(INDEX(Income!C$3:C$502,SMALL(IF((Income!D$3:D$502="GBP")*(Income!A$3:A$502=DATE(2026,6,14)),ROW(Income!A$3:A$502)-2),4)),0)=0,"",IFERROR(-INDEX(Expenses!D$3:D$1002,SMALL(IF((Expenses!E$3:E$1002="GBP")*(Expenses!A$3:A$1002=DATE(2026,6,14)),ROW(Expenses!A$3:A$1002)-2),4)),0)+IFERROR(INDEX(Income!C$3:C$502,SMALL(IF((Income!D$3:D$502="GBP")*(Income!A$3:A$502=DATE(2026,6,14)),ROW(Income!A$3:A$502)-2),4)),0))</f>
        <v/>
      </c>
      <c r="P122" s="38" t="str">
        <f aca="false">IF(IFERROR(INDEX(Expenses!B$3:B$1002,SMALL(IF((Expenses!E$3:E$1002="GBP")*(Expenses!A$3:A$1002=DATE(2026,6,14)),ROW(Expenses!A$3:A$1002)-2),4)),"")&lt;&gt;"",IFERROR(INDEX(Expenses!B$3:B$1002,SMALL(IF((Expenses!E$3:E$1002="GBP")*(Expenses!A$3:A$1002=DATE(2026,6,14)),ROW(Expenses!A$3:A$1002)-2),4)),""),IF(IFERROR(INDEX(Income!B$3:B$502,SMALL(IF((Income!D$3:D$502="GBP")*(Income!A$3:A$502=DATE(2026,6,14)),ROW(Income!A$3:A$502)-2),4)),"")&lt;&gt;"",IFERROR(INDEX(Income!B$3:B$502,SMALL(IF((Income!D$3:D$502="GBP")*(Income!A$3:A$502=DATE(2026,6,14)),ROW(Income!A$3:A$502)-2),4)),""),""))</f>
        <v/>
      </c>
      <c r="Q122" s="16"/>
      <c r="R122" s="16"/>
    </row>
    <row r="123" customFormat="false" ht="15" hidden="false" customHeight="false" outlineLevel="0" collapsed="false">
      <c r="A123" s="16"/>
      <c r="B123" s="16"/>
      <c r="C123" s="62" t="str">
        <f aca="false">IF(IFERROR(-INDEX(Expenses!D$3:D$1002,SMALL(IF((Expenses!E$3:E$1002="GBP")*(Expenses!A$3:A$1002=DATE(2026,6,8)),ROW(Expenses!A$3:A$1002)-2),5)),0)+IFERROR(INDEX(Income!C$3:C$502,SMALL(IF((Income!D$3:D$502="GBP")*(Income!A$3:A$502=DATE(2026,6,8)),ROW(Income!A$3:A$502)-2),5)),0)=0,"",IFERROR(-INDEX(Expenses!D$3:D$1002,SMALL(IF((Expenses!E$3:E$1002="GBP")*(Expenses!A$3:A$1002=DATE(2026,6,8)),ROW(Expenses!A$3:A$1002)-2),5)),0)+IFERROR(INDEX(Income!C$3:C$502,SMALL(IF((Income!D$3:D$502="GBP")*(Income!A$3:A$502=DATE(2026,6,8)),ROW(Income!A$3:A$502)-2),5)),0))</f>
        <v/>
      </c>
      <c r="D123" s="38" t="str">
        <f aca="false">IF(IFERROR(INDEX(Expenses!B$3:B$1002,SMALL(IF((Expenses!E$3:E$1002="GBP")*(Expenses!A$3:A$1002=DATE(2026,6,8)),ROW(Expenses!A$3:A$1002)-2),5)),"")&lt;&gt;"",IFERROR(INDEX(Expenses!B$3:B$1002,SMALL(IF((Expenses!E$3:E$1002="GBP")*(Expenses!A$3:A$1002=DATE(2026,6,8)),ROW(Expenses!A$3:A$1002)-2),5)),""),IF(IFERROR(INDEX(Income!B$3:B$502,SMALL(IF((Income!D$3:D$502="GBP")*(Income!A$3:A$502=DATE(2026,6,8)),ROW(Income!A$3:A$502)-2),5)),"")&lt;&gt;"",IFERROR(INDEX(Income!B$3:B$502,SMALL(IF((Income!D$3:D$502="GBP")*(Income!A$3:A$502=DATE(2026,6,8)),ROW(Income!A$3:A$502)-2),5)),""),""))</f>
        <v/>
      </c>
      <c r="E123" s="62" t="str">
        <f aca="false">IF(IFERROR(-INDEX(Expenses!D$3:D$1002,SMALL(IF((Expenses!E$3:E$1002="GBP")*(Expenses!A$3:A$1002=DATE(2026,6,9)),ROW(Expenses!A$3:A$1002)-2),5)),0)+IFERROR(INDEX(Income!C$3:C$502,SMALL(IF((Income!D$3:D$502="GBP")*(Income!A$3:A$502=DATE(2026,6,9)),ROW(Income!A$3:A$502)-2),5)),0)=0,"",IFERROR(-INDEX(Expenses!D$3:D$1002,SMALL(IF((Expenses!E$3:E$1002="GBP")*(Expenses!A$3:A$1002=DATE(2026,6,9)),ROW(Expenses!A$3:A$1002)-2),5)),0)+IFERROR(INDEX(Income!C$3:C$502,SMALL(IF((Income!D$3:D$502="GBP")*(Income!A$3:A$502=DATE(2026,6,9)),ROW(Income!A$3:A$502)-2),5)),0))</f>
        <v/>
      </c>
      <c r="F123" s="38" t="str">
        <f aca="false">IF(IFERROR(INDEX(Expenses!B$3:B$1002,SMALL(IF((Expenses!E$3:E$1002="GBP")*(Expenses!A$3:A$1002=DATE(2026,6,9)),ROW(Expenses!A$3:A$1002)-2),5)),"")&lt;&gt;"",IFERROR(INDEX(Expenses!B$3:B$1002,SMALL(IF((Expenses!E$3:E$1002="GBP")*(Expenses!A$3:A$1002=DATE(2026,6,9)),ROW(Expenses!A$3:A$1002)-2),5)),""),IF(IFERROR(INDEX(Income!B$3:B$502,SMALL(IF((Income!D$3:D$502="GBP")*(Income!A$3:A$502=DATE(2026,6,9)),ROW(Income!A$3:A$502)-2),5)),"")&lt;&gt;"",IFERROR(INDEX(Income!B$3:B$502,SMALL(IF((Income!D$3:D$502="GBP")*(Income!A$3:A$502=DATE(2026,6,9)),ROW(Income!A$3:A$502)-2),5)),""),""))</f>
        <v/>
      </c>
      <c r="G123" s="62" t="str">
        <f aca="false">IF(IFERROR(-INDEX(Expenses!D$3:D$1002,SMALL(IF((Expenses!E$3:E$1002="GBP")*(Expenses!A$3:A$1002=DATE(2026,6,10)),ROW(Expenses!A$3:A$1002)-2),5)),0)+IFERROR(INDEX(Income!C$3:C$502,SMALL(IF((Income!D$3:D$502="GBP")*(Income!A$3:A$502=DATE(2026,6,10)),ROW(Income!A$3:A$502)-2),5)),0)=0,"",IFERROR(-INDEX(Expenses!D$3:D$1002,SMALL(IF((Expenses!E$3:E$1002="GBP")*(Expenses!A$3:A$1002=DATE(2026,6,10)),ROW(Expenses!A$3:A$1002)-2),5)),0)+IFERROR(INDEX(Income!C$3:C$502,SMALL(IF((Income!D$3:D$502="GBP")*(Income!A$3:A$502=DATE(2026,6,10)),ROW(Income!A$3:A$502)-2),5)),0))</f>
        <v/>
      </c>
      <c r="H123" s="38" t="str">
        <f aca="false">IF(IFERROR(INDEX(Expenses!B$3:B$1002,SMALL(IF((Expenses!E$3:E$1002="GBP")*(Expenses!A$3:A$1002=DATE(2026,6,10)),ROW(Expenses!A$3:A$1002)-2),5)),"")&lt;&gt;"",IFERROR(INDEX(Expenses!B$3:B$1002,SMALL(IF((Expenses!E$3:E$1002="GBP")*(Expenses!A$3:A$1002=DATE(2026,6,10)),ROW(Expenses!A$3:A$1002)-2),5)),""),IF(IFERROR(INDEX(Income!B$3:B$502,SMALL(IF((Income!D$3:D$502="GBP")*(Income!A$3:A$502=DATE(2026,6,10)),ROW(Income!A$3:A$502)-2),5)),"")&lt;&gt;"",IFERROR(INDEX(Income!B$3:B$502,SMALL(IF((Income!D$3:D$502="GBP")*(Income!A$3:A$502=DATE(2026,6,10)),ROW(Income!A$3:A$502)-2),5)),""),""))</f>
        <v/>
      </c>
      <c r="I123" s="62" t="str">
        <f aca="false">IF(IFERROR(-INDEX(Expenses!D$3:D$1002,SMALL(IF((Expenses!E$3:E$1002="GBP")*(Expenses!A$3:A$1002=DATE(2026,6,11)),ROW(Expenses!A$3:A$1002)-2),5)),0)+IFERROR(INDEX(Income!C$3:C$502,SMALL(IF((Income!D$3:D$502="GBP")*(Income!A$3:A$502=DATE(2026,6,11)),ROW(Income!A$3:A$502)-2),5)),0)=0,"",IFERROR(-INDEX(Expenses!D$3:D$1002,SMALL(IF((Expenses!E$3:E$1002="GBP")*(Expenses!A$3:A$1002=DATE(2026,6,11)),ROW(Expenses!A$3:A$1002)-2),5)),0)+IFERROR(INDEX(Income!C$3:C$502,SMALL(IF((Income!D$3:D$502="GBP")*(Income!A$3:A$502=DATE(2026,6,11)),ROW(Income!A$3:A$502)-2),5)),0))</f>
        <v/>
      </c>
      <c r="J123" s="38" t="str">
        <f aca="false">IF(IFERROR(INDEX(Expenses!B$3:B$1002,SMALL(IF((Expenses!E$3:E$1002="GBP")*(Expenses!A$3:A$1002=DATE(2026,6,11)),ROW(Expenses!A$3:A$1002)-2),5)),"")&lt;&gt;"",IFERROR(INDEX(Expenses!B$3:B$1002,SMALL(IF((Expenses!E$3:E$1002="GBP")*(Expenses!A$3:A$1002=DATE(2026,6,11)),ROW(Expenses!A$3:A$1002)-2),5)),""),IF(IFERROR(INDEX(Income!B$3:B$502,SMALL(IF((Income!D$3:D$502="GBP")*(Income!A$3:A$502=DATE(2026,6,11)),ROW(Income!A$3:A$502)-2),5)),"")&lt;&gt;"",IFERROR(INDEX(Income!B$3:B$502,SMALL(IF((Income!D$3:D$502="GBP")*(Income!A$3:A$502=DATE(2026,6,11)),ROW(Income!A$3:A$502)-2),5)),""),""))</f>
        <v/>
      </c>
      <c r="K123" s="62" t="str">
        <f aca="false">IF(IFERROR(-INDEX(Expenses!D$3:D$1002,SMALL(IF((Expenses!E$3:E$1002="GBP")*(Expenses!A$3:A$1002=DATE(2026,6,12)),ROW(Expenses!A$3:A$1002)-2),5)),0)+IFERROR(INDEX(Income!C$3:C$502,SMALL(IF((Income!D$3:D$502="GBP")*(Income!A$3:A$502=DATE(2026,6,12)),ROW(Income!A$3:A$502)-2),5)),0)=0,"",IFERROR(-INDEX(Expenses!D$3:D$1002,SMALL(IF((Expenses!E$3:E$1002="GBP")*(Expenses!A$3:A$1002=DATE(2026,6,12)),ROW(Expenses!A$3:A$1002)-2),5)),0)+IFERROR(INDEX(Income!C$3:C$502,SMALL(IF((Income!D$3:D$502="GBP")*(Income!A$3:A$502=DATE(2026,6,12)),ROW(Income!A$3:A$502)-2),5)),0))</f>
        <v/>
      </c>
      <c r="L123" s="38" t="str">
        <f aca="false">IF(IFERROR(INDEX(Expenses!B$3:B$1002,SMALL(IF((Expenses!E$3:E$1002="GBP")*(Expenses!A$3:A$1002=DATE(2026,6,12)),ROW(Expenses!A$3:A$1002)-2),5)),"")&lt;&gt;"",IFERROR(INDEX(Expenses!B$3:B$1002,SMALL(IF((Expenses!E$3:E$1002="GBP")*(Expenses!A$3:A$1002=DATE(2026,6,12)),ROW(Expenses!A$3:A$1002)-2),5)),""),IF(IFERROR(INDEX(Income!B$3:B$502,SMALL(IF((Income!D$3:D$502="GBP")*(Income!A$3:A$502=DATE(2026,6,12)),ROW(Income!A$3:A$502)-2),5)),"")&lt;&gt;"",IFERROR(INDEX(Income!B$3:B$502,SMALL(IF((Income!D$3:D$502="GBP")*(Income!A$3:A$502=DATE(2026,6,12)),ROW(Income!A$3:A$502)-2),5)),""),""))</f>
        <v/>
      </c>
      <c r="M123" s="62" t="str">
        <f aca="false">IF(IFERROR(-INDEX(Expenses!D$3:D$1002,SMALL(IF((Expenses!E$3:E$1002="GBP")*(Expenses!A$3:A$1002=DATE(2026,6,13)),ROW(Expenses!A$3:A$1002)-2),5)),0)+IFERROR(INDEX(Income!C$3:C$502,SMALL(IF((Income!D$3:D$502="GBP")*(Income!A$3:A$502=DATE(2026,6,13)),ROW(Income!A$3:A$502)-2),5)),0)=0,"",IFERROR(-INDEX(Expenses!D$3:D$1002,SMALL(IF((Expenses!E$3:E$1002="GBP")*(Expenses!A$3:A$1002=DATE(2026,6,13)),ROW(Expenses!A$3:A$1002)-2),5)),0)+IFERROR(INDEX(Income!C$3:C$502,SMALL(IF((Income!D$3:D$502="GBP")*(Income!A$3:A$502=DATE(2026,6,13)),ROW(Income!A$3:A$502)-2),5)),0))</f>
        <v/>
      </c>
      <c r="N123" s="38" t="str">
        <f aca="false">IF(IFERROR(INDEX(Expenses!B$3:B$1002,SMALL(IF((Expenses!E$3:E$1002="GBP")*(Expenses!A$3:A$1002=DATE(2026,6,13)),ROW(Expenses!A$3:A$1002)-2),5)),"")&lt;&gt;"",IFERROR(INDEX(Expenses!B$3:B$1002,SMALL(IF((Expenses!E$3:E$1002="GBP")*(Expenses!A$3:A$1002=DATE(2026,6,13)),ROW(Expenses!A$3:A$1002)-2),5)),""),IF(IFERROR(INDEX(Income!B$3:B$502,SMALL(IF((Income!D$3:D$502="GBP")*(Income!A$3:A$502=DATE(2026,6,13)),ROW(Income!A$3:A$502)-2),5)),"")&lt;&gt;"",IFERROR(INDEX(Income!B$3:B$502,SMALL(IF((Income!D$3:D$502="GBP")*(Income!A$3:A$502=DATE(2026,6,13)),ROW(Income!A$3:A$502)-2),5)),""),""))</f>
        <v/>
      </c>
      <c r="O123" s="62" t="str">
        <f aca="false">IF(IFERROR(-INDEX(Expenses!D$3:D$1002,SMALL(IF((Expenses!E$3:E$1002="GBP")*(Expenses!A$3:A$1002=DATE(2026,6,14)),ROW(Expenses!A$3:A$1002)-2),5)),0)+IFERROR(INDEX(Income!C$3:C$502,SMALL(IF((Income!D$3:D$502="GBP")*(Income!A$3:A$502=DATE(2026,6,14)),ROW(Income!A$3:A$502)-2),5)),0)=0,"",IFERROR(-INDEX(Expenses!D$3:D$1002,SMALL(IF((Expenses!E$3:E$1002="GBP")*(Expenses!A$3:A$1002=DATE(2026,6,14)),ROW(Expenses!A$3:A$1002)-2),5)),0)+IFERROR(INDEX(Income!C$3:C$502,SMALL(IF((Income!D$3:D$502="GBP")*(Income!A$3:A$502=DATE(2026,6,14)),ROW(Income!A$3:A$502)-2),5)),0))</f>
        <v/>
      </c>
      <c r="P123" s="38" t="str">
        <f aca="false">IF(IFERROR(INDEX(Expenses!B$3:B$1002,SMALL(IF((Expenses!E$3:E$1002="GBP")*(Expenses!A$3:A$1002=DATE(2026,6,14)),ROW(Expenses!A$3:A$1002)-2),5)),"")&lt;&gt;"",IFERROR(INDEX(Expenses!B$3:B$1002,SMALL(IF((Expenses!E$3:E$1002="GBP")*(Expenses!A$3:A$1002=DATE(2026,6,14)),ROW(Expenses!A$3:A$1002)-2),5)),""),IF(IFERROR(INDEX(Income!B$3:B$502,SMALL(IF((Income!D$3:D$502="GBP")*(Income!A$3:A$502=DATE(2026,6,14)),ROW(Income!A$3:A$502)-2),5)),"")&lt;&gt;"",IFERROR(INDEX(Income!B$3:B$502,SMALL(IF((Income!D$3:D$502="GBP")*(Income!A$3:A$502=DATE(2026,6,14)),ROW(Income!A$3:A$502)-2),5)),""),""))</f>
        <v/>
      </c>
      <c r="Q123" s="16"/>
      <c r="R123" s="16"/>
    </row>
    <row r="124" customFormat="false" ht="15" hidden="false" customHeight="false" outlineLevel="0" collapsed="false">
      <c r="A124" s="61" t="n">
        <v>46188</v>
      </c>
      <c r="B124" s="3" t="n">
        <v>25</v>
      </c>
      <c r="C124" s="62" t="str">
        <f aca="false">IF(IFERROR(-INDEX(Expenses!D$3:D$1002,SMALL(IF((Expenses!E$3:E$1002="GBP")*(Expenses!A$3:A$1002=DATE(2026,6,15)),ROW(Expenses!A$3:A$1002)-2),1)),0)+IFERROR(INDEX(Income!C$3:C$502,SMALL(IF((Income!D$3:D$502="GBP")*(Income!A$3:A$502=DATE(2026,6,15)),ROW(Income!A$3:A$502)-2),1)),0)=0,"",IFERROR(-INDEX(Expenses!D$3:D$1002,SMALL(IF((Expenses!E$3:E$1002="GBP")*(Expenses!A$3:A$1002=DATE(2026,6,15)),ROW(Expenses!A$3:A$1002)-2),1)),0)+IFERROR(INDEX(Income!C$3:C$502,SMALL(IF((Income!D$3:D$502="GBP")*(Income!A$3:A$502=DATE(2026,6,15)),ROW(Income!A$3:A$502)-2),1)),0))</f>
        <v/>
      </c>
      <c r="D124" s="38" t="str">
        <f aca="false">IF(IFERROR(INDEX(Expenses!B$3:B$1002,SMALL(IF((Expenses!E$3:E$1002="GBP")*(Expenses!A$3:A$1002=DATE(2026,6,15)),ROW(Expenses!A$3:A$1002)-2),1)),"")&lt;&gt;"",IFERROR(INDEX(Expenses!B$3:B$1002,SMALL(IF((Expenses!E$3:E$1002="GBP")*(Expenses!A$3:A$1002=DATE(2026,6,15)),ROW(Expenses!A$3:A$1002)-2),1)),""),IF(IFERROR(INDEX(Income!B$3:B$502,SMALL(IF((Income!D$3:D$502="GBP")*(Income!A$3:A$502=DATE(2026,6,15)),ROW(Income!A$3:A$502)-2),1)),"")&lt;&gt;"",IFERROR(INDEX(Income!B$3:B$502,SMALL(IF((Income!D$3:D$502="GBP")*(Income!A$3:A$502=DATE(2026,6,15)),ROW(Income!A$3:A$502)-2),1)),""),""))</f>
        <v/>
      </c>
      <c r="E124" s="62" t="str">
        <f aca="false">IF(IFERROR(-INDEX(Expenses!D$3:D$1002,SMALL(IF((Expenses!E$3:E$1002="GBP")*(Expenses!A$3:A$1002=DATE(2026,6,16)),ROW(Expenses!A$3:A$1002)-2),1)),0)+IFERROR(INDEX(Income!C$3:C$502,SMALL(IF((Income!D$3:D$502="GBP")*(Income!A$3:A$502=DATE(2026,6,16)),ROW(Income!A$3:A$502)-2),1)),0)=0,"",IFERROR(-INDEX(Expenses!D$3:D$1002,SMALL(IF((Expenses!E$3:E$1002="GBP")*(Expenses!A$3:A$1002=DATE(2026,6,16)),ROW(Expenses!A$3:A$1002)-2),1)),0)+IFERROR(INDEX(Income!C$3:C$502,SMALL(IF((Income!D$3:D$502="GBP")*(Income!A$3:A$502=DATE(2026,6,16)),ROW(Income!A$3:A$502)-2),1)),0))</f>
        <v/>
      </c>
      <c r="F124" s="38" t="str">
        <f aca="false">IF(IFERROR(INDEX(Expenses!B$3:B$1002,SMALL(IF((Expenses!E$3:E$1002="GBP")*(Expenses!A$3:A$1002=DATE(2026,6,16)),ROW(Expenses!A$3:A$1002)-2),1)),"")&lt;&gt;"",IFERROR(INDEX(Expenses!B$3:B$1002,SMALL(IF((Expenses!E$3:E$1002="GBP")*(Expenses!A$3:A$1002=DATE(2026,6,16)),ROW(Expenses!A$3:A$1002)-2),1)),""),IF(IFERROR(INDEX(Income!B$3:B$502,SMALL(IF((Income!D$3:D$502="GBP")*(Income!A$3:A$502=DATE(2026,6,16)),ROW(Income!A$3:A$502)-2),1)),"")&lt;&gt;"",IFERROR(INDEX(Income!B$3:B$502,SMALL(IF((Income!D$3:D$502="GBP")*(Income!A$3:A$502=DATE(2026,6,16)),ROW(Income!A$3:A$502)-2),1)),""),""))</f>
        <v/>
      </c>
      <c r="G124" s="62" t="str">
        <f aca="false">IF(IFERROR(-INDEX(Expenses!D$3:D$1002,SMALL(IF((Expenses!E$3:E$1002="GBP")*(Expenses!A$3:A$1002=DATE(2026,6,17)),ROW(Expenses!A$3:A$1002)-2),1)),0)+IFERROR(INDEX(Income!C$3:C$502,SMALL(IF((Income!D$3:D$502="GBP")*(Income!A$3:A$502=DATE(2026,6,17)),ROW(Income!A$3:A$502)-2),1)),0)=0,"",IFERROR(-INDEX(Expenses!D$3:D$1002,SMALL(IF((Expenses!E$3:E$1002="GBP")*(Expenses!A$3:A$1002=DATE(2026,6,17)),ROW(Expenses!A$3:A$1002)-2),1)),0)+IFERROR(INDEX(Income!C$3:C$502,SMALL(IF((Income!D$3:D$502="GBP")*(Income!A$3:A$502=DATE(2026,6,17)),ROW(Income!A$3:A$502)-2),1)),0))</f>
        <v/>
      </c>
      <c r="H124" s="38" t="str">
        <f aca="false">IF(IFERROR(INDEX(Expenses!B$3:B$1002,SMALL(IF((Expenses!E$3:E$1002="GBP")*(Expenses!A$3:A$1002=DATE(2026,6,17)),ROW(Expenses!A$3:A$1002)-2),1)),"")&lt;&gt;"",IFERROR(INDEX(Expenses!B$3:B$1002,SMALL(IF((Expenses!E$3:E$1002="GBP")*(Expenses!A$3:A$1002=DATE(2026,6,17)),ROW(Expenses!A$3:A$1002)-2),1)),""),IF(IFERROR(INDEX(Income!B$3:B$502,SMALL(IF((Income!D$3:D$502="GBP")*(Income!A$3:A$502=DATE(2026,6,17)),ROW(Income!A$3:A$502)-2),1)),"")&lt;&gt;"",IFERROR(INDEX(Income!B$3:B$502,SMALL(IF((Income!D$3:D$502="GBP")*(Income!A$3:A$502=DATE(2026,6,17)),ROW(Income!A$3:A$502)-2),1)),""),""))</f>
        <v/>
      </c>
      <c r="I124" s="62" t="str">
        <f aca="false">IF(IFERROR(-INDEX(Expenses!D$3:D$1002,SMALL(IF((Expenses!E$3:E$1002="GBP")*(Expenses!A$3:A$1002=DATE(2026,6,18)),ROW(Expenses!A$3:A$1002)-2),1)),0)+IFERROR(INDEX(Income!C$3:C$502,SMALL(IF((Income!D$3:D$502="GBP")*(Income!A$3:A$502=DATE(2026,6,18)),ROW(Income!A$3:A$502)-2),1)),0)=0,"",IFERROR(-INDEX(Expenses!D$3:D$1002,SMALL(IF((Expenses!E$3:E$1002="GBP")*(Expenses!A$3:A$1002=DATE(2026,6,18)),ROW(Expenses!A$3:A$1002)-2),1)),0)+IFERROR(INDEX(Income!C$3:C$502,SMALL(IF((Income!D$3:D$502="GBP")*(Income!A$3:A$502=DATE(2026,6,18)),ROW(Income!A$3:A$502)-2),1)),0))</f>
        <v/>
      </c>
      <c r="J124" s="38" t="str">
        <f aca="false">IF(IFERROR(INDEX(Expenses!B$3:B$1002,SMALL(IF((Expenses!E$3:E$1002="GBP")*(Expenses!A$3:A$1002=DATE(2026,6,18)),ROW(Expenses!A$3:A$1002)-2),1)),"")&lt;&gt;"",IFERROR(INDEX(Expenses!B$3:B$1002,SMALL(IF((Expenses!E$3:E$1002="GBP")*(Expenses!A$3:A$1002=DATE(2026,6,18)),ROW(Expenses!A$3:A$1002)-2),1)),""),IF(IFERROR(INDEX(Income!B$3:B$502,SMALL(IF((Income!D$3:D$502="GBP")*(Income!A$3:A$502=DATE(2026,6,18)),ROW(Income!A$3:A$502)-2),1)),"")&lt;&gt;"",IFERROR(INDEX(Income!B$3:B$502,SMALL(IF((Income!D$3:D$502="GBP")*(Income!A$3:A$502=DATE(2026,6,18)),ROW(Income!A$3:A$502)-2),1)),""),""))</f>
        <v/>
      </c>
      <c r="K124" s="62" t="str">
        <f aca="false">IF(IFERROR(-INDEX(Expenses!D$3:D$1002,SMALL(IF((Expenses!E$3:E$1002="GBP")*(Expenses!A$3:A$1002=DATE(2026,6,19)),ROW(Expenses!A$3:A$1002)-2),1)),0)+IFERROR(INDEX(Income!C$3:C$502,SMALL(IF((Income!D$3:D$502="GBP")*(Income!A$3:A$502=DATE(2026,6,19)),ROW(Income!A$3:A$502)-2),1)),0)=0,"",IFERROR(-INDEX(Expenses!D$3:D$1002,SMALL(IF((Expenses!E$3:E$1002="GBP")*(Expenses!A$3:A$1002=DATE(2026,6,19)),ROW(Expenses!A$3:A$1002)-2),1)),0)+IFERROR(INDEX(Income!C$3:C$502,SMALL(IF((Income!D$3:D$502="GBP")*(Income!A$3:A$502=DATE(2026,6,19)),ROW(Income!A$3:A$502)-2),1)),0))</f>
        <v/>
      </c>
      <c r="L124" s="38" t="str">
        <f aca="false">IF(IFERROR(INDEX(Expenses!B$3:B$1002,SMALL(IF((Expenses!E$3:E$1002="GBP")*(Expenses!A$3:A$1002=DATE(2026,6,19)),ROW(Expenses!A$3:A$1002)-2),1)),"")&lt;&gt;"",IFERROR(INDEX(Expenses!B$3:B$1002,SMALL(IF((Expenses!E$3:E$1002="GBP")*(Expenses!A$3:A$1002=DATE(2026,6,19)),ROW(Expenses!A$3:A$1002)-2),1)),""),IF(IFERROR(INDEX(Income!B$3:B$502,SMALL(IF((Income!D$3:D$502="GBP")*(Income!A$3:A$502=DATE(2026,6,19)),ROW(Income!A$3:A$502)-2),1)),"")&lt;&gt;"",IFERROR(INDEX(Income!B$3:B$502,SMALL(IF((Income!D$3:D$502="GBP")*(Income!A$3:A$502=DATE(2026,6,19)),ROW(Income!A$3:A$502)-2),1)),""),""))</f>
        <v/>
      </c>
      <c r="M124" s="62" t="str">
        <f aca="false">IF(IFERROR(-INDEX(Expenses!D$3:D$1002,SMALL(IF((Expenses!E$3:E$1002="GBP")*(Expenses!A$3:A$1002=DATE(2026,6,20)),ROW(Expenses!A$3:A$1002)-2),1)),0)+IFERROR(INDEX(Income!C$3:C$502,SMALL(IF((Income!D$3:D$502="GBP")*(Income!A$3:A$502=DATE(2026,6,20)),ROW(Income!A$3:A$502)-2),1)),0)=0,"",IFERROR(-INDEX(Expenses!D$3:D$1002,SMALL(IF((Expenses!E$3:E$1002="GBP")*(Expenses!A$3:A$1002=DATE(2026,6,20)),ROW(Expenses!A$3:A$1002)-2),1)),0)+IFERROR(INDEX(Income!C$3:C$502,SMALL(IF((Income!D$3:D$502="GBP")*(Income!A$3:A$502=DATE(2026,6,20)),ROW(Income!A$3:A$502)-2),1)),0))</f>
        <v/>
      </c>
      <c r="N124" s="38" t="str">
        <f aca="false">IF(IFERROR(INDEX(Expenses!B$3:B$1002,SMALL(IF((Expenses!E$3:E$1002="GBP")*(Expenses!A$3:A$1002=DATE(2026,6,20)),ROW(Expenses!A$3:A$1002)-2),1)),"")&lt;&gt;"",IFERROR(INDEX(Expenses!B$3:B$1002,SMALL(IF((Expenses!E$3:E$1002="GBP")*(Expenses!A$3:A$1002=DATE(2026,6,20)),ROW(Expenses!A$3:A$1002)-2),1)),""),IF(IFERROR(INDEX(Income!B$3:B$502,SMALL(IF((Income!D$3:D$502="GBP")*(Income!A$3:A$502=DATE(2026,6,20)),ROW(Income!A$3:A$502)-2),1)),"")&lt;&gt;"",IFERROR(INDEX(Income!B$3:B$502,SMALL(IF((Income!D$3:D$502="GBP")*(Income!A$3:A$502=DATE(2026,6,20)),ROW(Income!A$3:A$502)-2),1)),""),""))</f>
        <v/>
      </c>
      <c r="O124" s="62" t="str">
        <f aca="false">IF(IFERROR(-INDEX(Expenses!D$3:D$1002,SMALL(IF((Expenses!E$3:E$1002="GBP")*(Expenses!A$3:A$1002=DATE(2026,6,21)),ROW(Expenses!A$3:A$1002)-2),1)),0)+IFERROR(INDEX(Income!C$3:C$502,SMALL(IF((Income!D$3:D$502="GBP")*(Income!A$3:A$502=DATE(2026,6,21)),ROW(Income!A$3:A$502)-2),1)),0)=0,"",IFERROR(-INDEX(Expenses!D$3:D$1002,SMALL(IF((Expenses!E$3:E$1002="GBP")*(Expenses!A$3:A$1002=DATE(2026,6,21)),ROW(Expenses!A$3:A$1002)-2),1)),0)+IFERROR(INDEX(Income!C$3:C$502,SMALL(IF((Income!D$3:D$502="GBP")*(Income!A$3:A$502=DATE(2026,6,21)),ROW(Income!A$3:A$502)-2),1)),0))</f>
        <v/>
      </c>
      <c r="P124" s="38" t="str">
        <f aca="false">IF(IFERROR(INDEX(Expenses!B$3:B$1002,SMALL(IF((Expenses!E$3:E$1002="GBP")*(Expenses!A$3:A$1002=DATE(2026,6,21)),ROW(Expenses!A$3:A$1002)-2),1)),"")&lt;&gt;"",IFERROR(INDEX(Expenses!B$3:B$1002,SMALL(IF((Expenses!E$3:E$1002="GBP")*(Expenses!A$3:A$1002=DATE(2026,6,21)),ROW(Expenses!A$3:A$1002)-2),1)),""),IF(IFERROR(INDEX(Income!B$3:B$502,SMALL(IF((Income!D$3:D$502="GBP")*(Income!A$3:A$502=DATE(2026,6,21)),ROW(Income!A$3:A$502)-2),1)),"")&lt;&gt;"",IFERROR(INDEX(Income!B$3:B$502,SMALL(IF((Income!D$3:D$502="GBP")*(Income!A$3:A$502=DATE(2026,6,21)),ROW(Income!A$3:A$502)-2),1)),""),""))</f>
        <v/>
      </c>
      <c r="Q124" s="3" t="n">
        <v>25</v>
      </c>
      <c r="R124" s="45" t="n">
        <f aca="false">SUM(C124:C128)+SUM(E124:E128)+SUM(G124:G128)+SUM(I124:I128)+SUM(K124:K128)+SUM(M124:M128)+SUM(O124:O128)</f>
        <v>0</v>
      </c>
    </row>
    <row r="125" customFormat="false" ht="15" hidden="false" customHeight="false" outlineLevel="0" collapsed="false">
      <c r="A125" s="16"/>
      <c r="B125" s="16"/>
      <c r="C125" s="62" t="str">
        <f aca="false">IF(IFERROR(-INDEX(Expenses!D$3:D$1002,SMALL(IF((Expenses!E$3:E$1002="GBP")*(Expenses!A$3:A$1002=DATE(2026,6,15)),ROW(Expenses!A$3:A$1002)-2),2)),0)+IFERROR(INDEX(Income!C$3:C$502,SMALL(IF((Income!D$3:D$502="GBP")*(Income!A$3:A$502=DATE(2026,6,15)),ROW(Income!A$3:A$502)-2),2)),0)=0,"",IFERROR(-INDEX(Expenses!D$3:D$1002,SMALL(IF((Expenses!E$3:E$1002="GBP")*(Expenses!A$3:A$1002=DATE(2026,6,15)),ROW(Expenses!A$3:A$1002)-2),2)),0)+IFERROR(INDEX(Income!C$3:C$502,SMALL(IF((Income!D$3:D$502="GBP")*(Income!A$3:A$502=DATE(2026,6,15)),ROW(Income!A$3:A$502)-2),2)),0))</f>
        <v/>
      </c>
      <c r="D125" s="38" t="str">
        <f aca="false">IF(IFERROR(INDEX(Expenses!B$3:B$1002,SMALL(IF((Expenses!E$3:E$1002="GBP")*(Expenses!A$3:A$1002=DATE(2026,6,15)),ROW(Expenses!A$3:A$1002)-2),2)),"")&lt;&gt;"",IFERROR(INDEX(Expenses!B$3:B$1002,SMALL(IF((Expenses!E$3:E$1002="GBP")*(Expenses!A$3:A$1002=DATE(2026,6,15)),ROW(Expenses!A$3:A$1002)-2),2)),""),IF(IFERROR(INDEX(Income!B$3:B$502,SMALL(IF((Income!D$3:D$502="GBP")*(Income!A$3:A$502=DATE(2026,6,15)),ROW(Income!A$3:A$502)-2),2)),"")&lt;&gt;"",IFERROR(INDEX(Income!B$3:B$502,SMALL(IF((Income!D$3:D$502="GBP")*(Income!A$3:A$502=DATE(2026,6,15)),ROW(Income!A$3:A$502)-2),2)),""),""))</f>
        <v/>
      </c>
      <c r="E125" s="62" t="str">
        <f aca="false">IF(IFERROR(-INDEX(Expenses!D$3:D$1002,SMALL(IF((Expenses!E$3:E$1002="GBP")*(Expenses!A$3:A$1002=DATE(2026,6,16)),ROW(Expenses!A$3:A$1002)-2),2)),0)+IFERROR(INDEX(Income!C$3:C$502,SMALL(IF((Income!D$3:D$502="GBP")*(Income!A$3:A$502=DATE(2026,6,16)),ROW(Income!A$3:A$502)-2),2)),0)=0,"",IFERROR(-INDEX(Expenses!D$3:D$1002,SMALL(IF((Expenses!E$3:E$1002="GBP")*(Expenses!A$3:A$1002=DATE(2026,6,16)),ROW(Expenses!A$3:A$1002)-2),2)),0)+IFERROR(INDEX(Income!C$3:C$502,SMALL(IF((Income!D$3:D$502="GBP")*(Income!A$3:A$502=DATE(2026,6,16)),ROW(Income!A$3:A$502)-2),2)),0))</f>
        <v/>
      </c>
      <c r="F125" s="38" t="str">
        <f aca="false">IF(IFERROR(INDEX(Expenses!B$3:B$1002,SMALL(IF((Expenses!E$3:E$1002="GBP")*(Expenses!A$3:A$1002=DATE(2026,6,16)),ROW(Expenses!A$3:A$1002)-2),2)),"")&lt;&gt;"",IFERROR(INDEX(Expenses!B$3:B$1002,SMALL(IF((Expenses!E$3:E$1002="GBP")*(Expenses!A$3:A$1002=DATE(2026,6,16)),ROW(Expenses!A$3:A$1002)-2),2)),""),IF(IFERROR(INDEX(Income!B$3:B$502,SMALL(IF((Income!D$3:D$502="GBP")*(Income!A$3:A$502=DATE(2026,6,16)),ROW(Income!A$3:A$502)-2),2)),"")&lt;&gt;"",IFERROR(INDEX(Income!B$3:B$502,SMALL(IF((Income!D$3:D$502="GBP")*(Income!A$3:A$502=DATE(2026,6,16)),ROW(Income!A$3:A$502)-2),2)),""),""))</f>
        <v/>
      </c>
      <c r="G125" s="62" t="str">
        <f aca="false">IF(IFERROR(-INDEX(Expenses!D$3:D$1002,SMALL(IF((Expenses!E$3:E$1002="GBP")*(Expenses!A$3:A$1002=DATE(2026,6,17)),ROW(Expenses!A$3:A$1002)-2),2)),0)+IFERROR(INDEX(Income!C$3:C$502,SMALL(IF((Income!D$3:D$502="GBP")*(Income!A$3:A$502=DATE(2026,6,17)),ROW(Income!A$3:A$502)-2),2)),0)=0,"",IFERROR(-INDEX(Expenses!D$3:D$1002,SMALL(IF((Expenses!E$3:E$1002="GBP")*(Expenses!A$3:A$1002=DATE(2026,6,17)),ROW(Expenses!A$3:A$1002)-2),2)),0)+IFERROR(INDEX(Income!C$3:C$502,SMALL(IF((Income!D$3:D$502="GBP")*(Income!A$3:A$502=DATE(2026,6,17)),ROW(Income!A$3:A$502)-2),2)),0))</f>
        <v/>
      </c>
      <c r="H125" s="38" t="str">
        <f aca="false">IF(IFERROR(INDEX(Expenses!B$3:B$1002,SMALL(IF((Expenses!E$3:E$1002="GBP")*(Expenses!A$3:A$1002=DATE(2026,6,17)),ROW(Expenses!A$3:A$1002)-2),2)),"")&lt;&gt;"",IFERROR(INDEX(Expenses!B$3:B$1002,SMALL(IF((Expenses!E$3:E$1002="GBP")*(Expenses!A$3:A$1002=DATE(2026,6,17)),ROW(Expenses!A$3:A$1002)-2),2)),""),IF(IFERROR(INDEX(Income!B$3:B$502,SMALL(IF((Income!D$3:D$502="GBP")*(Income!A$3:A$502=DATE(2026,6,17)),ROW(Income!A$3:A$502)-2),2)),"")&lt;&gt;"",IFERROR(INDEX(Income!B$3:B$502,SMALL(IF((Income!D$3:D$502="GBP")*(Income!A$3:A$502=DATE(2026,6,17)),ROW(Income!A$3:A$502)-2),2)),""),""))</f>
        <v/>
      </c>
      <c r="I125" s="62" t="str">
        <f aca="false">IF(IFERROR(-INDEX(Expenses!D$3:D$1002,SMALL(IF((Expenses!E$3:E$1002="GBP")*(Expenses!A$3:A$1002=DATE(2026,6,18)),ROW(Expenses!A$3:A$1002)-2),2)),0)+IFERROR(INDEX(Income!C$3:C$502,SMALL(IF((Income!D$3:D$502="GBP")*(Income!A$3:A$502=DATE(2026,6,18)),ROW(Income!A$3:A$502)-2),2)),0)=0,"",IFERROR(-INDEX(Expenses!D$3:D$1002,SMALL(IF((Expenses!E$3:E$1002="GBP")*(Expenses!A$3:A$1002=DATE(2026,6,18)),ROW(Expenses!A$3:A$1002)-2),2)),0)+IFERROR(INDEX(Income!C$3:C$502,SMALL(IF((Income!D$3:D$502="GBP")*(Income!A$3:A$502=DATE(2026,6,18)),ROW(Income!A$3:A$502)-2),2)),0))</f>
        <v/>
      </c>
      <c r="J125" s="38" t="str">
        <f aca="false">IF(IFERROR(INDEX(Expenses!B$3:B$1002,SMALL(IF((Expenses!E$3:E$1002="GBP")*(Expenses!A$3:A$1002=DATE(2026,6,18)),ROW(Expenses!A$3:A$1002)-2),2)),"")&lt;&gt;"",IFERROR(INDEX(Expenses!B$3:B$1002,SMALL(IF((Expenses!E$3:E$1002="GBP")*(Expenses!A$3:A$1002=DATE(2026,6,18)),ROW(Expenses!A$3:A$1002)-2),2)),""),IF(IFERROR(INDEX(Income!B$3:B$502,SMALL(IF((Income!D$3:D$502="GBP")*(Income!A$3:A$502=DATE(2026,6,18)),ROW(Income!A$3:A$502)-2),2)),"")&lt;&gt;"",IFERROR(INDEX(Income!B$3:B$502,SMALL(IF((Income!D$3:D$502="GBP")*(Income!A$3:A$502=DATE(2026,6,18)),ROW(Income!A$3:A$502)-2),2)),""),""))</f>
        <v/>
      </c>
      <c r="K125" s="62" t="str">
        <f aca="false">IF(IFERROR(-INDEX(Expenses!D$3:D$1002,SMALL(IF((Expenses!E$3:E$1002="GBP")*(Expenses!A$3:A$1002=DATE(2026,6,19)),ROW(Expenses!A$3:A$1002)-2),2)),0)+IFERROR(INDEX(Income!C$3:C$502,SMALL(IF((Income!D$3:D$502="GBP")*(Income!A$3:A$502=DATE(2026,6,19)),ROW(Income!A$3:A$502)-2),2)),0)=0,"",IFERROR(-INDEX(Expenses!D$3:D$1002,SMALL(IF((Expenses!E$3:E$1002="GBP")*(Expenses!A$3:A$1002=DATE(2026,6,19)),ROW(Expenses!A$3:A$1002)-2),2)),0)+IFERROR(INDEX(Income!C$3:C$502,SMALL(IF((Income!D$3:D$502="GBP")*(Income!A$3:A$502=DATE(2026,6,19)),ROW(Income!A$3:A$502)-2),2)),0))</f>
        <v/>
      </c>
      <c r="L125" s="38" t="str">
        <f aca="false">IF(IFERROR(INDEX(Expenses!B$3:B$1002,SMALL(IF((Expenses!E$3:E$1002="GBP")*(Expenses!A$3:A$1002=DATE(2026,6,19)),ROW(Expenses!A$3:A$1002)-2),2)),"")&lt;&gt;"",IFERROR(INDEX(Expenses!B$3:B$1002,SMALL(IF((Expenses!E$3:E$1002="GBP")*(Expenses!A$3:A$1002=DATE(2026,6,19)),ROW(Expenses!A$3:A$1002)-2),2)),""),IF(IFERROR(INDEX(Income!B$3:B$502,SMALL(IF((Income!D$3:D$502="GBP")*(Income!A$3:A$502=DATE(2026,6,19)),ROW(Income!A$3:A$502)-2),2)),"")&lt;&gt;"",IFERROR(INDEX(Income!B$3:B$502,SMALL(IF((Income!D$3:D$502="GBP")*(Income!A$3:A$502=DATE(2026,6,19)),ROW(Income!A$3:A$502)-2),2)),""),""))</f>
        <v/>
      </c>
      <c r="M125" s="62" t="str">
        <f aca="false">IF(IFERROR(-INDEX(Expenses!D$3:D$1002,SMALL(IF((Expenses!E$3:E$1002="GBP")*(Expenses!A$3:A$1002=DATE(2026,6,20)),ROW(Expenses!A$3:A$1002)-2),2)),0)+IFERROR(INDEX(Income!C$3:C$502,SMALL(IF((Income!D$3:D$502="GBP")*(Income!A$3:A$502=DATE(2026,6,20)),ROW(Income!A$3:A$502)-2),2)),0)=0,"",IFERROR(-INDEX(Expenses!D$3:D$1002,SMALL(IF((Expenses!E$3:E$1002="GBP")*(Expenses!A$3:A$1002=DATE(2026,6,20)),ROW(Expenses!A$3:A$1002)-2),2)),0)+IFERROR(INDEX(Income!C$3:C$502,SMALL(IF((Income!D$3:D$502="GBP")*(Income!A$3:A$502=DATE(2026,6,20)),ROW(Income!A$3:A$502)-2),2)),0))</f>
        <v/>
      </c>
      <c r="N125" s="38" t="str">
        <f aca="false">IF(IFERROR(INDEX(Expenses!B$3:B$1002,SMALL(IF((Expenses!E$3:E$1002="GBP")*(Expenses!A$3:A$1002=DATE(2026,6,20)),ROW(Expenses!A$3:A$1002)-2),2)),"")&lt;&gt;"",IFERROR(INDEX(Expenses!B$3:B$1002,SMALL(IF((Expenses!E$3:E$1002="GBP")*(Expenses!A$3:A$1002=DATE(2026,6,20)),ROW(Expenses!A$3:A$1002)-2),2)),""),IF(IFERROR(INDEX(Income!B$3:B$502,SMALL(IF((Income!D$3:D$502="GBP")*(Income!A$3:A$502=DATE(2026,6,20)),ROW(Income!A$3:A$502)-2),2)),"")&lt;&gt;"",IFERROR(INDEX(Income!B$3:B$502,SMALL(IF((Income!D$3:D$502="GBP")*(Income!A$3:A$502=DATE(2026,6,20)),ROW(Income!A$3:A$502)-2),2)),""),""))</f>
        <v/>
      </c>
      <c r="O125" s="62" t="str">
        <f aca="false">IF(IFERROR(-INDEX(Expenses!D$3:D$1002,SMALL(IF((Expenses!E$3:E$1002="GBP")*(Expenses!A$3:A$1002=DATE(2026,6,21)),ROW(Expenses!A$3:A$1002)-2),2)),0)+IFERROR(INDEX(Income!C$3:C$502,SMALL(IF((Income!D$3:D$502="GBP")*(Income!A$3:A$502=DATE(2026,6,21)),ROW(Income!A$3:A$502)-2),2)),0)=0,"",IFERROR(-INDEX(Expenses!D$3:D$1002,SMALL(IF((Expenses!E$3:E$1002="GBP")*(Expenses!A$3:A$1002=DATE(2026,6,21)),ROW(Expenses!A$3:A$1002)-2),2)),0)+IFERROR(INDEX(Income!C$3:C$502,SMALL(IF((Income!D$3:D$502="GBP")*(Income!A$3:A$502=DATE(2026,6,21)),ROW(Income!A$3:A$502)-2),2)),0))</f>
        <v/>
      </c>
      <c r="P125" s="38" t="str">
        <f aca="false">IF(IFERROR(INDEX(Expenses!B$3:B$1002,SMALL(IF((Expenses!E$3:E$1002="GBP")*(Expenses!A$3:A$1002=DATE(2026,6,21)),ROW(Expenses!A$3:A$1002)-2),2)),"")&lt;&gt;"",IFERROR(INDEX(Expenses!B$3:B$1002,SMALL(IF((Expenses!E$3:E$1002="GBP")*(Expenses!A$3:A$1002=DATE(2026,6,21)),ROW(Expenses!A$3:A$1002)-2),2)),""),IF(IFERROR(INDEX(Income!B$3:B$502,SMALL(IF((Income!D$3:D$502="GBP")*(Income!A$3:A$502=DATE(2026,6,21)),ROW(Income!A$3:A$502)-2),2)),"")&lt;&gt;"",IFERROR(INDEX(Income!B$3:B$502,SMALL(IF((Income!D$3:D$502="GBP")*(Income!A$3:A$502=DATE(2026,6,21)),ROW(Income!A$3:A$502)-2),2)),""),""))</f>
        <v/>
      </c>
      <c r="Q125" s="16"/>
      <c r="R125" s="16"/>
    </row>
    <row r="126" customFormat="false" ht="15" hidden="false" customHeight="false" outlineLevel="0" collapsed="false">
      <c r="A126" s="16"/>
      <c r="B126" s="16"/>
      <c r="C126" s="62" t="str">
        <f aca="false">IF(IFERROR(-INDEX(Expenses!D$3:D$1002,SMALL(IF((Expenses!E$3:E$1002="GBP")*(Expenses!A$3:A$1002=DATE(2026,6,15)),ROW(Expenses!A$3:A$1002)-2),3)),0)+IFERROR(INDEX(Income!C$3:C$502,SMALL(IF((Income!D$3:D$502="GBP")*(Income!A$3:A$502=DATE(2026,6,15)),ROW(Income!A$3:A$502)-2),3)),0)=0,"",IFERROR(-INDEX(Expenses!D$3:D$1002,SMALL(IF((Expenses!E$3:E$1002="GBP")*(Expenses!A$3:A$1002=DATE(2026,6,15)),ROW(Expenses!A$3:A$1002)-2),3)),0)+IFERROR(INDEX(Income!C$3:C$502,SMALL(IF((Income!D$3:D$502="GBP")*(Income!A$3:A$502=DATE(2026,6,15)),ROW(Income!A$3:A$502)-2),3)),0))</f>
        <v/>
      </c>
      <c r="D126" s="38" t="str">
        <f aca="false">IF(IFERROR(INDEX(Expenses!B$3:B$1002,SMALL(IF((Expenses!E$3:E$1002="GBP")*(Expenses!A$3:A$1002=DATE(2026,6,15)),ROW(Expenses!A$3:A$1002)-2),3)),"")&lt;&gt;"",IFERROR(INDEX(Expenses!B$3:B$1002,SMALL(IF((Expenses!E$3:E$1002="GBP")*(Expenses!A$3:A$1002=DATE(2026,6,15)),ROW(Expenses!A$3:A$1002)-2),3)),""),IF(IFERROR(INDEX(Income!B$3:B$502,SMALL(IF((Income!D$3:D$502="GBP")*(Income!A$3:A$502=DATE(2026,6,15)),ROW(Income!A$3:A$502)-2),3)),"")&lt;&gt;"",IFERROR(INDEX(Income!B$3:B$502,SMALL(IF((Income!D$3:D$502="GBP")*(Income!A$3:A$502=DATE(2026,6,15)),ROW(Income!A$3:A$502)-2),3)),""),""))</f>
        <v/>
      </c>
      <c r="E126" s="62" t="str">
        <f aca="false">IF(IFERROR(-INDEX(Expenses!D$3:D$1002,SMALL(IF((Expenses!E$3:E$1002="GBP")*(Expenses!A$3:A$1002=DATE(2026,6,16)),ROW(Expenses!A$3:A$1002)-2),3)),0)+IFERROR(INDEX(Income!C$3:C$502,SMALL(IF((Income!D$3:D$502="GBP")*(Income!A$3:A$502=DATE(2026,6,16)),ROW(Income!A$3:A$502)-2),3)),0)=0,"",IFERROR(-INDEX(Expenses!D$3:D$1002,SMALL(IF((Expenses!E$3:E$1002="GBP")*(Expenses!A$3:A$1002=DATE(2026,6,16)),ROW(Expenses!A$3:A$1002)-2),3)),0)+IFERROR(INDEX(Income!C$3:C$502,SMALL(IF((Income!D$3:D$502="GBP")*(Income!A$3:A$502=DATE(2026,6,16)),ROW(Income!A$3:A$502)-2),3)),0))</f>
        <v/>
      </c>
      <c r="F126" s="38" t="str">
        <f aca="false">IF(IFERROR(INDEX(Expenses!B$3:B$1002,SMALL(IF((Expenses!E$3:E$1002="GBP")*(Expenses!A$3:A$1002=DATE(2026,6,16)),ROW(Expenses!A$3:A$1002)-2),3)),"")&lt;&gt;"",IFERROR(INDEX(Expenses!B$3:B$1002,SMALL(IF((Expenses!E$3:E$1002="GBP")*(Expenses!A$3:A$1002=DATE(2026,6,16)),ROW(Expenses!A$3:A$1002)-2),3)),""),IF(IFERROR(INDEX(Income!B$3:B$502,SMALL(IF((Income!D$3:D$502="GBP")*(Income!A$3:A$502=DATE(2026,6,16)),ROW(Income!A$3:A$502)-2),3)),"")&lt;&gt;"",IFERROR(INDEX(Income!B$3:B$502,SMALL(IF((Income!D$3:D$502="GBP")*(Income!A$3:A$502=DATE(2026,6,16)),ROW(Income!A$3:A$502)-2),3)),""),""))</f>
        <v/>
      </c>
      <c r="G126" s="62" t="str">
        <f aca="false">IF(IFERROR(-INDEX(Expenses!D$3:D$1002,SMALL(IF((Expenses!E$3:E$1002="GBP")*(Expenses!A$3:A$1002=DATE(2026,6,17)),ROW(Expenses!A$3:A$1002)-2),3)),0)+IFERROR(INDEX(Income!C$3:C$502,SMALL(IF((Income!D$3:D$502="GBP")*(Income!A$3:A$502=DATE(2026,6,17)),ROW(Income!A$3:A$502)-2),3)),0)=0,"",IFERROR(-INDEX(Expenses!D$3:D$1002,SMALL(IF((Expenses!E$3:E$1002="GBP")*(Expenses!A$3:A$1002=DATE(2026,6,17)),ROW(Expenses!A$3:A$1002)-2),3)),0)+IFERROR(INDEX(Income!C$3:C$502,SMALL(IF((Income!D$3:D$502="GBP")*(Income!A$3:A$502=DATE(2026,6,17)),ROW(Income!A$3:A$502)-2),3)),0))</f>
        <v/>
      </c>
      <c r="H126" s="38" t="str">
        <f aca="false">IF(IFERROR(INDEX(Expenses!B$3:B$1002,SMALL(IF((Expenses!E$3:E$1002="GBP")*(Expenses!A$3:A$1002=DATE(2026,6,17)),ROW(Expenses!A$3:A$1002)-2),3)),"")&lt;&gt;"",IFERROR(INDEX(Expenses!B$3:B$1002,SMALL(IF((Expenses!E$3:E$1002="GBP")*(Expenses!A$3:A$1002=DATE(2026,6,17)),ROW(Expenses!A$3:A$1002)-2),3)),""),IF(IFERROR(INDEX(Income!B$3:B$502,SMALL(IF((Income!D$3:D$502="GBP")*(Income!A$3:A$502=DATE(2026,6,17)),ROW(Income!A$3:A$502)-2),3)),"")&lt;&gt;"",IFERROR(INDEX(Income!B$3:B$502,SMALL(IF((Income!D$3:D$502="GBP")*(Income!A$3:A$502=DATE(2026,6,17)),ROW(Income!A$3:A$502)-2),3)),""),""))</f>
        <v/>
      </c>
      <c r="I126" s="62" t="str">
        <f aca="false">IF(IFERROR(-INDEX(Expenses!D$3:D$1002,SMALL(IF((Expenses!E$3:E$1002="GBP")*(Expenses!A$3:A$1002=DATE(2026,6,18)),ROW(Expenses!A$3:A$1002)-2),3)),0)+IFERROR(INDEX(Income!C$3:C$502,SMALL(IF((Income!D$3:D$502="GBP")*(Income!A$3:A$502=DATE(2026,6,18)),ROW(Income!A$3:A$502)-2),3)),0)=0,"",IFERROR(-INDEX(Expenses!D$3:D$1002,SMALL(IF((Expenses!E$3:E$1002="GBP")*(Expenses!A$3:A$1002=DATE(2026,6,18)),ROW(Expenses!A$3:A$1002)-2),3)),0)+IFERROR(INDEX(Income!C$3:C$502,SMALL(IF((Income!D$3:D$502="GBP")*(Income!A$3:A$502=DATE(2026,6,18)),ROW(Income!A$3:A$502)-2),3)),0))</f>
        <v/>
      </c>
      <c r="J126" s="38" t="str">
        <f aca="false">IF(IFERROR(INDEX(Expenses!B$3:B$1002,SMALL(IF((Expenses!E$3:E$1002="GBP")*(Expenses!A$3:A$1002=DATE(2026,6,18)),ROW(Expenses!A$3:A$1002)-2),3)),"")&lt;&gt;"",IFERROR(INDEX(Expenses!B$3:B$1002,SMALL(IF((Expenses!E$3:E$1002="GBP")*(Expenses!A$3:A$1002=DATE(2026,6,18)),ROW(Expenses!A$3:A$1002)-2),3)),""),IF(IFERROR(INDEX(Income!B$3:B$502,SMALL(IF((Income!D$3:D$502="GBP")*(Income!A$3:A$502=DATE(2026,6,18)),ROW(Income!A$3:A$502)-2),3)),"")&lt;&gt;"",IFERROR(INDEX(Income!B$3:B$502,SMALL(IF((Income!D$3:D$502="GBP")*(Income!A$3:A$502=DATE(2026,6,18)),ROW(Income!A$3:A$502)-2),3)),""),""))</f>
        <v/>
      </c>
      <c r="K126" s="62" t="str">
        <f aca="false">IF(IFERROR(-INDEX(Expenses!D$3:D$1002,SMALL(IF((Expenses!E$3:E$1002="GBP")*(Expenses!A$3:A$1002=DATE(2026,6,19)),ROW(Expenses!A$3:A$1002)-2),3)),0)+IFERROR(INDEX(Income!C$3:C$502,SMALL(IF((Income!D$3:D$502="GBP")*(Income!A$3:A$502=DATE(2026,6,19)),ROW(Income!A$3:A$502)-2),3)),0)=0,"",IFERROR(-INDEX(Expenses!D$3:D$1002,SMALL(IF((Expenses!E$3:E$1002="GBP")*(Expenses!A$3:A$1002=DATE(2026,6,19)),ROW(Expenses!A$3:A$1002)-2),3)),0)+IFERROR(INDEX(Income!C$3:C$502,SMALL(IF((Income!D$3:D$502="GBP")*(Income!A$3:A$502=DATE(2026,6,19)),ROW(Income!A$3:A$502)-2),3)),0))</f>
        <v/>
      </c>
      <c r="L126" s="38" t="str">
        <f aca="false">IF(IFERROR(INDEX(Expenses!B$3:B$1002,SMALL(IF((Expenses!E$3:E$1002="GBP")*(Expenses!A$3:A$1002=DATE(2026,6,19)),ROW(Expenses!A$3:A$1002)-2),3)),"")&lt;&gt;"",IFERROR(INDEX(Expenses!B$3:B$1002,SMALL(IF((Expenses!E$3:E$1002="GBP")*(Expenses!A$3:A$1002=DATE(2026,6,19)),ROW(Expenses!A$3:A$1002)-2),3)),""),IF(IFERROR(INDEX(Income!B$3:B$502,SMALL(IF((Income!D$3:D$502="GBP")*(Income!A$3:A$502=DATE(2026,6,19)),ROW(Income!A$3:A$502)-2),3)),"")&lt;&gt;"",IFERROR(INDEX(Income!B$3:B$502,SMALL(IF((Income!D$3:D$502="GBP")*(Income!A$3:A$502=DATE(2026,6,19)),ROW(Income!A$3:A$502)-2),3)),""),""))</f>
        <v/>
      </c>
      <c r="M126" s="62" t="str">
        <f aca="false">IF(IFERROR(-INDEX(Expenses!D$3:D$1002,SMALL(IF((Expenses!E$3:E$1002="GBP")*(Expenses!A$3:A$1002=DATE(2026,6,20)),ROW(Expenses!A$3:A$1002)-2),3)),0)+IFERROR(INDEX(Income!C$3:C$502,SMALL(IF((Income!D$3:D$502="GBP")*(Income!A$3:A$502=DATE(2026,6,20)),ROW(Income!A$3:A$502)-2),3)),0)=0,"",IFERROR(-INDEX(Expenses!D$3:D$1002,SMALL(IF((Expenses!E$3:E$1002="GBP")*(Expenses!A$3:A$1002=DATE(2026,6,20)),ROW(Expenses!A$3:A$1002)-2),3)),0)+IFERROR(INDEX(Income!C$3:C$502,SMALL(IF((Income!D$3:D$502="GBP")*(Income!A$3:A$502=DATE(2026,6,20)),ROW(Income!A$3:A$502)-2),3)),0))</f>
        <v/>
      </c>
      <c r="N126" s="38" t="str">
        <f aca="false">IF(IFERROR(INDEX(Expenses!B$3:B$1002,SMALL(IF((Expenses!E$3:E$1002="GBP")*(Expenses!A$3:A$1002=DATE(2026,6,20)),ROW(Expenses!A$3:A$1002)-2),3)),"")&lt;&gt;"",IFERROR(INDEX(Expenses!B$3:B$1002,SMALL(IF((Expenses!E$3:E$1002="GBP")*(Expenses!A$3:A$1002=DATE(2026,6,20)),ROW(Expenses!A$3:A$1002)-2),3)),""),IF(IFERROR(INDEX(Income!B$3:B$502,SMALL(IF((Income!D$3:D$502="GBP")*(Income!A$3:A$502=DATE(2026,6,20)),ROW(Income!A$3:A$502)-2),3)),"")&lt;&gt;"",IFERROR(INDEX(Income!B$3:B$502,SMALL(IF((Income!D$3:D$502="GBP")*(Income!A$3:A$502=DATE(2026,6,20)),ROW(Income!A$3:A$502)-2),3)),""),""))</f>
        <v/>
      </c>
      <c r="O126" s="62" t="str">
        <f aca="false">IF(IFERROR(-INDEX(Expenses!D$3:D$1002,SMALL(IF((Expenses!E$3:E$1002="GBP")*(Expenses!A$3:A$1002=DATE(2026,6,21)),ROW(Expenses!A$3:A$1002)-2),3)),0)+IFERROR(INDEX(Income!C$3:C$502,SMALL(IF((Income!D$3:D$502="GBP")*(Income!A$3:A$502=DATE(2026,6,21)),ROW(Income!A$3:A$502)-2),3)),0)=0,"",IFERROR(-INDEX(Expenses!D$3:D$1002,SMALL(IF((Expenses!E$3:E$1002="GBP")*(Expenses!A$3:A$1002=DATE(2026,6,21)),ROW(Expenses!A$3:A$1002)-2),3)),0)+IFERROR(INDEX(Income!C$3:C$502,SMALL(IF((Income!D$3:D$502="GBP")*(Income!A$3:A$502=DATE(2026,6,21)),ROW(Income!A$3:A$502)-2),3)),0))</f>
        <v/>
      </c>
      <c r="P126" s="38" t="str">
        <f aca="false">IF(IFERROR(INDEX(Expenses!B$3:B$1002,SMALL(IF((Expenses!E$3:E$1002="GBP")*(Expenses!A$3:A$1002=DATE(2026,6,21)),ROW(Expenses!A$3:A$1002)-2),3)),"")&lt;&gt;"",IFERROR(INDEX(Expenses!B$3:B$1002,SMALL(IF((Expenses!E$3:E$1002="GBP")*(Expenses!A$3:A$1002=DATE(2026,6,21)),ROW(Expenses!A$3:A$1002)-2),3)),""),IF(IFERROR(INDEX(Income!B$3:B$502,SMALL(IF((Income!D$3:D$502="GBP")*(Income!A$3:A$502=DATE(2026,6,21)),ROW(Income!A$3:A$502)-2),3)),"")&lt;&gt;"",IFERROR(INDEX(Income!B$3:B$502,SMALL(IF((Income!D$3:D$502="GBP")*(Income!A$3:A$502=DATE(2026,6,21)),ROW(Income!A$3:A$502)-2),3)),""),""))</f>
        <v/>
      </c>
      <c r="Q126" s="16"/>
      <c r="R126" s="16"/>
    </row>
    <row r="127" customFormat="false" ht="15" hidden="false" customHeight="false" outlineLevel="0" collapsed="false">
      <c r="A127" s="16"/>
      <c r="B127" s="16"/>
      <c r="C127" s="62" t="str">
        <f aca="false">IF(IFERROR(-INDEX(Expenses!D$3:D$1002,SMALL(IF((Expenses!E$3:E$1002="GBP")*(Expenses!A$3:A$1002=DATE(2026,6,15)),ROW(Expenses!A$3:A$1002)-2),4)),0)+IFERROR(INDEX(Income!C$3:C$502,SMALL(IF((Income!D$3:D$502="GBP")*(Income!A$3:A$502=DATE(2026,6,15)),ROW(Income!A$3:A$502)-2),4)),0)=0,"",IFERROR(-INDEX(Expenses!D$3:D$1002,SMALL(IF((Expenses!E$3:E$1002="GBP")*(Expenses!A$3:A$1002=DATE(2026,6,15)),ROW(Expenses!A$3:A$1002)-2),4)),0)+IFERROR(INDEX(Income!C$3:C$502,SMALL(IF((Income!D$3:D$502="GBP")*(Income!A$3:A$502=DATE(2026,6,15)),ROW(Income!A$3:A$502)-2),4)),0))</f>
        <v/>
      </c>
      <c r="D127" s="38" t="str">
        <f aca="false">IF(IFERROR(INDEX(Expenses!B$3:B$1002,SMALL(IF((Expenses!E$3:E$1002="GBP")*(Expenses!A$3:A$1002=DATE(2026,6,15)),ROW(Expenses!A$3:A$1002)-2),4)),"")&lt;&gt;"",IFERROR(INDEX(Expenses!B$3:B$1002,SMALL(IF((Expenses!E$3:E$1002="GBP")*(Expenses!A$3:A$1002=DATE(2026,6,15)),ROW(Expenses!A$3:A$1002)-2),4)),""),IF(IFERROR(INDEX(Income!B$3:B$502,SMALL(IF((Income!D$3:D$502="GBP")*(Income!A$3:A$502=DATE(2026,6,15)),ROW(Income!A$3:A$502)-2),4)),"")&lt;&gt;"",IFERROR(INDEX(Income!B$3:B$502,SMALL(IF((Income!D$3:D$502="GBP")*(Income!A$3:A$502=DATE(2026,6,15)),ROW(Income!A$3:A$502)-2),4)),""),""))</f>
        <v/>
      </c>
      <c r="E127" s="62" t="str">
        <f aca="false">IF(IFERROR(-INDEX(Expenses!D$3:D$1002,SMALL(IF((Expenses!E$3:E$1002="GBP")*(Expenses!A$3:A$1002=DATE(2026,6,16)),ROW(Expenses!A$3:A$1002)-2),4)),0)+IFERROR(INDEX(Income!C$3:C$502,SMALL(IF((Income!D$3:D$502="GBP")*(Income!A$3:A$502=DATE(2026,6,16)),ROW(Income!A$3:A$502)-2),4)),0)=0,"",IFERROR(-INDEX(Expenses!D$3:D$1002,SMALL(IF((Expenses!E$3:E$1002="GBP")*(Expenses!A$3:A$1002=DATE(2026,6,16)),ROW(Expenses!A$3:A$1002)-2),4)),0)+IFERROR(INDEX(Income!C$3:C$502,SMALL(IF((Income!D$3:D$502="GBP")*(Income!A$3:A$502=DATE(2026,6,16)),ROW(Income!A$3:A$502)-2),4)),0))</f>
        <v/>
      </c>
      <c r="F127" s="38" t="str">
        <f aca="false">IF(IFERROR(INDEX(Expenses!B$3:B$1002,SMALL(IF((Expenses!E$3:E$1002="GBP")*(Expenses!A$3:A$1002=DATE(2026,6,16)),ROW(Expenses!A$3:A$1002)-2),4)),"")&lt;&gt;"",IFERROR(INDEX(Expenses!B$3:B$1002,SMALL(IF((Expenses!E$3:E$1002="GBP")*(Expenses!A$3:A$1002=DATE(2026,6,16)),ROW(Expenses!A$3:A$1002)-2),4)),""),IF(IFERROR(INDEX(Income!B$3:B$502,SMALL(IF((Income!D$3:D$502="GBP")*(Income!A$3:A$502=DATE(2026,6,16)),ROW(Income!A$3:A$502)-2),4)),"")&lt;&gt;"",IFERROR(INDEX(Income!B$3:B$502,SMALL(IF((Income!D$3:D$502="GBP")*(Income!A$3:A$502=DATE(2026,6,16)),ROW(Income!A$3:A$502)-2),4)),""),""))</f>
        <v/>
      </c>
      <c r="G127" s="62" t="str">
        <f aca="false">IF(IFERROR(-INDEX(Expenses!D$3:D$1002,SMALL(IF((Expenses!E$3:E$1002="GBP")*(Expenses!A$3:A$1002=DATE(2026,6,17)),ROW(Expenses!A$3:A$1002)-2),4)),0)+IFERROR(INDEX(Income!C$3:C$502,SMALL(IF((Income!D$3:D$502="GBP")*(Income!A$3:A$502=DATE(2026,6,17)),ROW(Income!A$3:A$502)-2),4)),0)=0,"",IFERROR(-INDEX(Expenses!D$3:D$1002,SMALL(IF((Expenses!E$3:E$1002="GBP")*(Expenses!A$3:A$1002=DATE(2026,6,17)),ROW(Expenses!A$3:A$1002)-2),4)),0)+IFERROR(INDEX(Income!C$3:C$502,SMALL(IF((Income!D$3:D$502="GBP")*(Income!A$3:A$502=DATE(2026,6,17)),ROW(Income!A$3:A$502)-2),4)),0))</f>
        <v/>
      </c>
      <c r="H127" s="38" t="str">
        <f aca="false">IF(IFERROR(INDEX(Expenses!B$3:B$1002,SMALL(IF((Expenses!E$3:E$1002="GBP")*(Expenses!A$3:A$1002=DATE(2026,6,17)),ROW(Expenses!A$3:A$1002)-2),4)),"")&lt;&gt;"",IFERROR(INDEX(Expenses!B$3:B$1002,SMALL(IF((Expenses!E$3:E$1002="GBP")*(Expenses!A$3:A$1002=DATE(2026,6,17)),ROW(Expenses!A$3:A$1002)-2),4)),""),IF(IFERROR(INDEX(Income!B$3:B$502,SMALL(IF((Income!D$3:D$502="GBP")*(Income!A$3:A$502=DATE(2026,6,17)),ROW(Income!A$3:A$502)-2),4)),"")&lt;&gt;"",IFERROR(INDEX(Income!B$3:B$502,SMALL(IF((Income!D$3:D$502="GBP")*(Income!A$3:A$502=DATE(2026,6,17)),ROW(Income!A$3:A$502)-2),4)),""),""))</f>
        <v/>
      </c>
      <c r="I127" s="62" t="str">
        <f aca="false">IF(IFERROR(-INDEX(Expenses!D$3:D$1002,SMALL(IF((Expenses!E$3:E$1002="GBP")*(Expenses!A$3:A$1002=DATE(2026,6,18)),ROW(Expenses!A$3:A$1002)-2),4)),0)+IFERROR(INDEX(Income!C$3:C$502,SMALL(IF((Income!D$3:D$502="GBP")*(Income!A$3:A$502=DATE(2026,6,18)),ROW(Income!A$3:A$502)-2),4)),0)=0,"",IFERROR(-INDEX(Expenses!D$3:D$1002,SMALL(IF((Expenses!E$3:E$1002="GBP")*(Expenses!A$3:A$1002=DATE(2026,6,18)),ROW(Expenses!A$3:A$1002)-2),4)),0)+IFERROR(INDEX(Income!C$3:C$502,SMALL(IF((Income!D$3:D$502="GBP")*(Income!A$3:A$502=DATE(2026,6,18)),ROW(Income!A$3:A$502)-2),4)),0))</f>
        <v/>
      </c>
      <c r="J127" s="38" t="str">
        <f aca="false">IF(IFERROR(INDEX(Expenses!B$3:B$1002,SMALL(IF((Expenses!E$3:E$1002="GBP")*(Expenses!A$3:A$1002=DATE(2026,6,18)),ROW(Expenses!A$3:A$1002)-2),4)),"")&lt;&gt;"",IFERROR(INDEX(Expenses!B$3:B$1002,SMALL(IF((Expenses!E$3:E$1002="GBP")*(Expenses!A$3:A$1002=DATE(2026,6,18)),ROW(Expenses!A$3:A$1002)-2),4)),""),IF(IFERROR(INDEX(Income!B$3:B$502,SMALL(IF((Income!D$3:D$502="GBP")*(Income!A$3:A$502=DATE(2026,6,18)),ROW(Income!A$3:A$502)-2),4)),"")&lt;&gt;"",IFERROR(INDEX(Income!B$3:B$502,SMALL(IF((Income!D$3:D$502="GBP")*(Income!A$3:A$502=DATE(2026,6,18)),ROW(Income!A$3:A$502)-2),4)),""),""))</f>
        <v/>
      </c>
      <c r="K127" s="62" t="str">
        <f aca="false">IF(IFERROR(-INDEX(Expenses!D$3:D$1002,SMALL(IF((Expenses!E$3:E$1002="GBP")*(Expenses!A$3:A$1002=DATE(2026,6,19)),ROW(Expenses!A$3:A$1002)-2),4)),0)+IFERROR(INDEX(Income!C$3:C$502,SMALL(IF((Income!D$3:D$502="GBP")*(Income!A$3:A$502=DATE(2026,6,19)),ROW(Income!A$3:A$502)-2),4)),0)=0,"",IFERROR(-INDEX(Expenses!D$3:D$1002,SMALL(IF((Expenses!E$3:E$1002="GBP")*(Expenses!A$3:A$1002=DATE(2026,6,19)),ROW(Expenses!A$3:A$1002)-2),4)),0)+IFERROR(INDEX(Income!C$3:C$502,SMALL(IF((Income!D$3:D$502="GBP")*(Income!A$3:A$502=DATE(2026,6,19)),ROW(Income!A$3:A$502)-2),4)),0))</f>
        <v/>
      </c>
      <c r="L127" s="38" t="str">
        <f aca="false">IF(IFERROR(INDEX(Expenses!B$3:B$1002,SMALL(IF((Expenses!E$3:E$1002="GBP")*(Expenses!A$3:A$1002=DATE(2026,6,19)),ROW(Expenses!A$3:A$1002)-2),4)),"")&lt;&gt;"",IFERROR(INDEX(Expenses!B$3:B$1002,SMALL(IF((Expenses!E$3:E$1002="GBP")*(Expenses!A$3:A$1002=DATE(2026,6,19)),ROW(Expenses!A$3:A$1002)-2),4)),""),IF(IFERROR(INDEX(Income!B$3:B$502,SMALL(IF((Income!D$3:D$502="GBP")*(Income!A$3:A$502=DATE(2026,6,19)),ROW(Income!A$3:A$502)-2),4)),"")&lt;&gt;"",IFERROR(INDEX(Income!B$3:B$502,SMALL(IF((Income!D$3:D$502="GBP")*(Income!A$3:A$502=DATE(2026,6,19)),ROW(Income!A$3:A$502)-2),4)),""),""))</f>
        <v/>
      </c>
      <c r="M127" s="62" t="str">
        <f aca="false">IF(IFERROR(-INDEX(Expenses!D$3:D$1002,SMALL(IF((Expenses!E$3:E$1002="GBP")*(Expenses!A$3:A$1002=DATE(2026,6,20)),ROW(Expenses!A$3:A$1002)-2),4)),0)+IFERROR(INDEX(Income!C$3:C$502,SMALL(IF((Income!D$3:D$502="GBP")*(Income!A$3:A$502=DATE(2026,6,20)),ROW(Income!A$3:A$502)-2),4)),0)=0,"",IFERROR(-INDEX(Expenses!D$3:D$1002,SMALL(IF((Expenses!E$3:E$1002="GBP")*(Expenses!A$3:A$1002=DATE(2026,6,20)),ROW(Expenses!A$3:A$1002)-2),4)),0)+IFERROR(INDEX(Income!C$3:C$502,SMALL(IF((Income!D$3:D$502="GBP")*(Income!A$3:A$502=DATE(2026,6,20)),ROW(Income!A$3:A$502)-2),4)),0))</f>
        <v/>
      </c>
      <c r="N127" s="38" t="str">
        <f aca="false">IF(IFERROR(INDEX(Expenses!B$3:B$1002,SMALL(IF((Expenses!E$3:E$1002="GBP")*(Expenses!A$3:A$1002=DATE(2026,6,20)),ROW(Expenses!A$3:A$1002)-2),4)),"")&lt;&gt;"",IFERROR(INDEX(Expenses!B$3:B$1002,SMALL(IF((Expenses!E$3:E$1002="GBP")*(Expenses!A$3:A$1002=DATE(2026,6,20)),ROW(Expenses!A$3:A$1002)-2),4)),""),IF(IFERROR(INDEX(Income!B$3:B$502,SMALL(IF((Income!D$3:D$502="GBP")*(Income!A$3:A$502=DATE(2026,6,20)),ROW(Income!A$3:A$502)-2),4)),"")&lt;&gt;"",IFERROR(INDEX(Income!B$3:B$502,SMALL(IF((Income!D$3:D$502="GBP")*(Income!A$3:A$502=DATE(2026,6,20)),ROW(Income!A$3:A$502)-2),4)),""),""))</f>
        <v/>
      </c>
      <c r="O127" s="62" t="str">
        <f aca="false">IF(IFERROR(-INDEX(Expenses!D$3:D$1002,SMALL(IF((Expenses!E$3:E$1002="GBP")*(Expenses!A$3:A$1002=DATE(2026,6,21)),ROW(Expenses!A$3:A$1002)-2),4)),0)+IFERROR(INDEX(Income!C$3:C$502,SMALL(IF((Income!D$3:D$502="GBP")*(Income!A$3:A$502=DATE(2026,6,21)),ROW(Income!A$3:A$502)-2),4)),0)=0,"",IFERROR(-INDEX(Expenses!D$3:D$1002,SMALL(IF((Expenses!E$3:E$1002="GBP")*(Expenses!A$3:A$1002=DATE(2026,6,21)),ROW(Expenses!A$3:A$1002)-2),4)),0)+IFERROR(INDEX(Income!C$3:C$502,SMALL(IF((Income!D$3:D$502="GBP")*(Income!A$3:A$502=DATE(2026,6,21)),ROW(Income!A$3:A$502)-2),4)),0))</f>
        <v/>
      </c>
      <c r="P127" s="38" t="str">
        <f aca="false">IF(IFERROR(INDEX(Expenses!B$3:B$1002,SMALL(IF((Expenses!E$3:E$1002="GBP")*(Expenses!A$3:A$1002=DATE(2026,6,21)),ROW(Expenses!A$3:A$1002)-2),4)),"")&lt;&gt;"",IFERROR(INDEX(Expenses!B$3:B$1002,SMALL(IF((Expenses!E$3:E$1002="GBP")*(Expenses!A$3:A$1002=DATE(2026,6,21)),ROW(Expenses!A$3:A$1002)-2),4)),""),IF(IFERROR(INDEX(Income!B$3:B$502,SMALL(IF((Income!D$3:D$502="GBP")*(Income!A$3:A$502=DATE(2026,6,21)),ROW(Income!A$3:A$502)-2),4)),"")&lt;&gt;"",IFERROR(INDEX(Income!B$3:B$502,SMALL(IF((Income!D$3:D$502="GBP")*(Income!A$3:A$502=DATE(2026,6,21)),ROW(Income!A$3:A$502)-2),4)),""),""))</f>
        <v/>
      </c>
      <c r="Q127" s="16"/>
      <c r="R127" s="16"/>
    </row>
    <row r="128" customFormat="false" ht="15" hidden="false" customHeight="false" outlineLevel="0" collapsed="false">
      <c r="A128" s="16"/>
      <c r="B128" s="16"/>
      <c r="C128" s="62" t="str">
        <f aca="false">IF(IFERROR(-INDEX(Expenses!D$3:D$1002,SMALL(IF((Expenses!E$3:E$1002="GBP")*(Expenses!A$3:A$1002=DATE(2026,6,15)),ROW(Expenses!A$3:A$1002)-2),5)),0)+IFERROR(INDEX(Income!C$3:C$502,SMALL(IF((Income!D$3:D$502="GBP")*(Income!A$3:A$502=DATE(2026,6,15)),ROW(Income!A$3:A$502)-2),5)),0)=0,"",IFERROR(-INDEX(Expenses!D$3:D$1002,SMALL(IF((Expenses!E$3:E$1002="GBP")*(Expenses!A$3:A$1002=DATE(2026,6,15)),ROW(Expenses!A$3:A$1002)-2),5)),0)+IFERROR(INDEX(Income!C$3:C$502,SMALL(IF((Income!D$3:D$502="GBP")*(Income!A$3:A$502=DATE(2026,6,15)),ROW(Income!A$3:A$502)-2),5)),0))</f>
        <v/>
      </c>
      <c r="D128" s="38" t="str">
        <f aca="false">IF(IFERROR(INDEX(Expenses!B$3:B$1002,SMALL(IF((Expenses!E$3:E$1002="GBP")*(Expenses!A$3:A$1002=DATE(2026,6,15)),ROW(Expenses!A$3:A$1002)-2),5)),"")&lt;&gt;"",IFERROR(INDEX(Expenses!B$3:B$1002,SMALL(IF((Expenses!E$3:E$1002="GBP")*(Expenses!A$3:A$1002=DATE(2026,6,15)),ROW(Expenses!A$3:A$1002)-2),5)),""),IF(IFERROR(INDEX(Income!B$3:B$502,SMALL(IF((Income!D$3:D$502="GBP")*(Income!A$3:A$502=DATE(2026,6,15)),ROW(Income!A$3:A$502)-2),5)),"")&lt;&gt;"",IFERROR(INDEX(Income!B$3:B$502,SMALL(IF((Income!D$3:D$502="GBP")*(Income!A$3:A$502=DATE(2026,6,15)),ROW(Income!A$3:A$502)-2),5)),""),""))</f>
        <v/>
      </c>
      <c r="E128" s="62" t="str">
        <f aca="false">IF(IFERROR(-INDEX(Expenses!D$3:D$1002,SMALL(IF((Expenses!E$3:E$1002="GBP")*(Expenses!A$3:A$1002=DATE(2026,6,16)),ROW(Expenses!A$3:A$1002)-2),5)),0)+IFERROR(INDEX(Income!C$3:C$502,SMALL(IF((Income!D$3:D$502="GBP")*(Income!A$3:A$502=DATE(2026,6,16)),ROW(Income!A$3:A$502)-2),5)),0)=0,"",IFERROR(-INDEX(Expenses!D$3:D$1002,SMALL(IF((Expenses!E$3:E$1002="GBP")*(Expenses!A$3:A$1002=DATE(2026,6,16)),ROW(Expenses!A$3:A$1002)-2),5)),0)+IFERROR(INDEX(Income!C$3:C$502,SMALL(IF((Income!D$3:D$502="GBP")*(Income!A$3:A$502=DATE(2026,6,16)),ROW(Income!A$3:A$502)-2),5)),0))</f>
        <v/>
      </c>
      <c r="F128" s="38" t="str">
        <f aca="false">IF(IFERROR(INDEX(Expenses!B$3:B$1002,SMALL(IF((Expenses!E$3:E$1002="GBP")*(Expenses!A$3:A$1002=DATE(2026,6,16)),ROW(Expenses!A$3:A$1002)-2),5)),"")&lt;&gt;"",IFERROR(INDEX(Expenses!B$3:B$1002,SMALL(IF((Expenses!E$3:E$1002="GBP")*(Expenses!A$3:A$1002=DATE(2026,6,16)),ROW(Expenses!A$3:A$1002)-2),5)),""),IF(IFERROR(INDEX(Income!B$3:B$502,SMALL(IF((Income!D$3:D$502="GBP")*(Income!A$3:A$502=DATE(2026,6,16)),ROW(Income!A$3:A$502)-2),5)),"")&lt;&gt;"",IFERROR(INDEX(Income!B$3:B$502,SMALL(IF((Income!D$3:D$502="GBP")*(Income!A$3:A$502=DATE(2026,6,16)),ROW(Income!A$3:A$502)-2),5)),""),""))</f>
        <v/>
      </c>
      <c r="G128" s="62" t="str">
        <f aca="false">IF(IFERROR(-INDEX(Expenses!D$3:D$1002,SMALL(IF((Expenses!E$3:E$1002="GBP")*(Expenses!A$3:A$1002=DATE(2026,6,17)),ROW(Expenses!A$3:A$1002)-2),5)),0)+IFERROR(INDEX(Income!C$3:C$502,SMALL(IF((Income!D$3:D$502="GBP")*(Income!A$3:A$502=DATE(2026,6,17)),ROW(Income!A$3:A$502)-2),5)),0)=0,"",IFERROR(-INDEX(Expenses!D$3:D$1002,SMALL(IF((Expenses!E$3:E$1002="GBP")*(Expenses!A$3:A$1002=DATE(2026,6,17)),ROW(Expenses!A$3:A$1002)-2),5)),0)+IFERROR(INDEX(Income!C$3:C$502,SMALL(IF((Income!D$3:D$502="GBP")*(Income!A$3:A$502=DATE(2026,6,17)),ROW(Income!A$3:A$502)-2),5)),0))</f>
        <v/>
      </c>
      <c r="H128" s="38" t="str">
        <f aca="false">IF(IFERROR(INDEX(Expenses!B$3:B$1002,SMALL(IF((Expenses!E$3:E$1002="GBP")*(Expenses!A$3:A$1002=DATE(2026,6,17)),ROW(Expenses!A$3:A$1002)-2),5)),"")&lt;&gt;"",IFERROR(INDEX(Expenses!B$3:B$1002,SMALL(IF((Expenses!E$3:E$1002="GBP")*(Expenses!A$3:A$1002=DATE(2026,6,17)),ROW(Expenses!A$3:A$1002)-2),5)),""),IF(IFERROR(INDEX(Income!B$3:B$502,SMALL(IF((Income!D$3:D$502="GBP")*(Income!A$3:A$502=DATE(2026,6,17)),ROW(Income!A$3:A$502)-2),5)),"")&lt;&gt;"",IFERROR(INDEX(Income!B$3:B$502,SMALL(IF((Income!D$3:D$502="GBP")*(Income!A$3:A$502=DATE(2026,6,17)),ROW(Income!A$3:A$502)-2),5)),""),""))</f>
        <v/>
      </c>
      <c r="I128" s="62" t="str">
        <f aca="false">IF(IFERROR(-INDEX(Expenses!D$3:D$1002,SMALL(IF((Expenses!E$3:E$1002="GBP")*(Expenses!A$3:A$1002=DATE(2026,6,18)),ROW(Expenses!A$3:A$1002)-2),5)),0)+IFERROR(INDEX(Income!C$3:C$502,SMALL(IF((Income!D$3:D$502="GBP")*(Income!A$3:A$502=DATE(2026,6,18)),ROW(Income!A$3:A$502)-2),5)),0)=0,"",IFERROR(-INDEX(Expenses!D$3:D$1002,SMALL(IF((Expenses!E$3:E$1002="GBP")*(Expenses!A$3:A$1002=DATE(2026,6,18)),ROW(Expenses!A$3:A$1002)-2),5)),0)+IFERROR(INDEX(Income!C$3:C$502,SMALL(IF((Income!D$3:D$502="GBP")*(Income!A$3:A$502=DATE(2026,6,18)),ROW(Income!A$3:A$502)-2),5)),0))</f>
        <v/>
      </c>
      <c r="J128" s="38" t="str">
        <f aca="false">IF(IFERROR(INDEX(Expenses!B$3:B$1002,SMALL(IF((Expenses!E$3:E$1002="GBP")*(Expenses!A$3:A$1002=DATE(2026,6,18)),ROW(Expenses!A$3:A$1002)-2),5)),"")&lt;&gt;"",IFERROR(INDEX(Expenses!B$3:B$1002,SMALL(IF((Expenses!E$3:E$1002="GBP")*(Expenses!A$3:A$1002=DATE(2026,6,18)),ROW(Expenses!A$3:A$1002)-2),5)),""),IF(IFERROR(INDEX(Income!B$3:B$502,SMALL(IF((Income!D$3:D$502="GBP")*(Income!A$3:A$502=DATE(2026,6,18)),ROW(Income!A$3:A$502)-2),5)),"")&lt;&gt;"",IFERROR(INDEX(Income!B$3:B$502,SMALL(IF((Income!D$3:D$502="GBP")*(Income!A$3:A$502=DATE(2026,6,18)),ROW(Income!A$3:A$502)-2),5)),""),""))</f>
        <v/>
      </c>
      <c r="K128" s="62" t="str">
        <f aca="false">IF(IFERROR(-INDEX(Expenses!D$3:D$1002,SMALL(IF((Expenses!E$3:E$1002="GBP")*(Expenses!A$3:A$1002=DATE(2026,6,19)),ROW(Expenses!A$3:A$1002)-2),5)),0)+IFERROR(INDEX(Income!C$3:C$502,SMALL(IF((Income!D$3:D$502="GBP")*(Income!A$3:A$502=DATE(2026,6,19)),ROW(Income!A$3:A$502)-2),5)),0)=0,"",IFERROR(-INDEX(Expenses!D$3:D$1002,SMALL(IF((Expenses!E$3:E$1002="GBP")*(Expenses!A$3:A$1002=DATE(2026,6,19)),ROW(Expenses!A$3:A$1002)-2),5)),0)+IFERROR(INDEX(Income!C$3:C$502,SMALL(IF((Income!D$3:D$502="GBP")*(Income!A$3:A$502=DATE(2026,6,19)),ROW(Income!A$3:A$502)-2),5)),0))</f>
        <v/>
      </c>
      <c r="L128" s="38" t="str">
        <f aca="false">IF(IFERROR(INDEX(Expenses!B$3:B$1002,SMALL(IF((Expenses!E$3:E$1002="GBP")*(Expenses!A$3:A$1002=DATE(2026,6,19)),ROW(Expenses!A$3:A$1002)-2),5)),"")&lt;&gt;"",IFERROR(INDEX(Expenses!B$3:B$1002,SMALL(IF((Expenses!E$3:E$1002="GBP")*(Expenses!A$3:A$1002=DATE(2026,6,19)),ROW(Expenses!A$3:A$1002)-2),5)),""),IF(IFERROR(INDEX(Income!B$3:B$502,SMALL(IF((Income!D$3:D$502="GBP")*(Income!A$3:A$502=DATE(2026,6,19)),ROW(Income!A$3:A$502)-2),5)),"")&lt;&gt;"",IFERROR(INDEX(Income!B$3:B$502,SMALL(IF((Income!D$3:D$502="GBP")*(Income!A$3:A$502=DATE(2026,6,19)),ROW(Income!A$3:A$502)-2),5)),""),""))</f>
        <v/>
      </c>
      <c r="M128" s="62" t="str">
        <f aca="false">IF(IFERROR(-INDEX(Expenses!D$3:D$1002,SMALL(IF((Expenses!E$3:E$1002="GBP")*(Expenses!A$3:A$1002=DATE(2026,6,20)),ROW(Expenses!A$3:A$1002)-2),5)),0)+IFERROR(INDEX(Income!C$3:C$502,SMALL(IF((Income!D$3:D$502="GBP")*(Income!A$3:A$502=DATE(2026,6,20)),ROW(Income!A$3:A$502)-2),5)),0)=0,"",IFERROR(-INDEX(Expenses!D$3:D$1002,SMALL(IF((Expenses!E$3:E$1002="GBP")*(Expenses!A$3:A$1002=DATE(2026,6,20)),ROW(Expenses!A$3:A$1002)-2),5)),0)+IFERROR(INDEX(Income!C$3:C$502,SMALL(IF((Income!D$3:D$502="GBP")*(Income!A$3:A$502=DATE(2026,6,20)),ROW(Income!A$3:A$502)-2),5)),0))</f>
        <v/>
      </c>
      <c r="N128" s="38" t="str">
        <f aca="false">IF(IFERROR(INDEX(Expenses!B$3:B$1002,SMALL(IF((Expenses!E$3:E$1002="GBP")*(Expenses!A$3:A$1002=DATE(2026,6,20)),ROW(Expenses!A$3:A$1002)-2),5)),"")&lt;&gt;"",IFERROR(INDEX(Expenses!B$3:B$1002,SMALL(IF((Expenses!E$3:E$1002="GBP")*(Expenses!A$3:A$1002=DATE(2026,6,20)),ROW(Expenses!A$3:A$1002)-2),5)),""),IF(IFERROR(INDEX(Income!B$3:B$502,SMALL(IF((Income!D$3:D$502="GBP")*(Income!A$3:A$502=DATE(2026,6,20)),ROW(Income!A$3:A$502)-2),5)),"")&lt;&gt;"",IFERROR(INDEX(Income!B$3:B$502,SMALL(IF((Income!D$3:D$502="GBP")*(Income!A$3:A$502=DATE(2026,6,20)),ROW(Income!A$3:A$502)-2),5)),""),""))</f>
        <v/>
      </c>
      <c r="O128" s="62" t="str">
        <f aca="false">IF(IFERROR(-INDEX(Expenses!D$3:D$1002,SMALL(IF((Expenses!E$3:E$1002="GBP")*(Expenses!A$3:A$1002=DATE(2026,6,21)),ROW(Expenses!A$3:A$1002)-2),5)),0)+IFERROR(INDEX(Income!C$3:C$502,SMALL(IF((Income!D$3:D$502="GBP")*(Income!A$3:A$502=DATE(2026,6,21)),ROW(Income!A$3:A$502)-2),5)),0)=0,"",IFERROR(-INDEX(Expenses!D$3:D$1002,SMALL(IF((Expenses!E$3:E$1002="GBP")*(Expenses!A$3:A$1002=DATE(2026,6,21)),ROW(Expenses!A$3:A$1002)-2),5)),0)+IFERROR(INDEX(Income!C$3:C$502,SMALL(IF((Income!D$3:D$502="GBP")*(Income!A$3:A$502=DATE(2026,6,21)),ROW(Income!A$3:A$502)-2),5)),0))</f>
        <v/>
      </c>
      <c r="P128" s="38" t="str">
        <f aca="false">IF(IFERROR(INDEX(Expenses!B$3:B$1002,SMALL(IF((Expenses!E$3:E$1002="GBP")*(Expenses!A$3:A$1002=DATE(2026,6,21)),ROW(Expenses!A$3:A$1002)-2),5)),"")&lt;&gt;"",IFERROR(INDEX(Expenses!B$3:B$1002,SMALL(IF((Expenses!E$3:E$1002="GBP")*(Expenses!A$3:A$1002=DATE(2026,6,21)),ROW(Expenses!A$3:A$1002)-2),5)),""),IF(IFERROR(INDEX(Income!B$3:B$502,SMALL(IF((Income!D$3:D$502="GBP")*(Income!A$3:A$502=DATE(2026,6,21)),ROW(Income!A$3:A$502)-2),5)),"")&lt;&gt;"",IFERROR(INDEX(Income!B$3:B$502,SMALL(IF((Income!D$3:D$502="GBP")*(Income!A$3:A$502=DATE(2026,6,21)),ROW(Income!A$3:A$502)-2),5)),""),""))</f>
        <v/>
      </c>
      <c r="Q128" s="16"/>
      <c r="R128" s="16"/>
    </row>
    <row r="129" customFormat="false" ht="15" hidden="false" customHeight="false" outlineLevel="0" collapsed="false">
      <c r="A129" s="61" t="n">
        <v>46195</v>
      </c>
      <c r="B129" s="3" t="n">
        <v>26</v>
      </c>
      <c r="C129" s="62" t="str">
        <f aca="false">IF(IFERROR(-INDEX(Expenses!D$3:D$1002,SMALL(IF((Expenses!E$3:E$1002="GBP")*(Expenses!A$3:A$1002=DATE(2026,6,22)),ROW(Expenses!A$3:A$1002)-2),1)),0)+IFERROR(INDEX(Income!C$3:C$502,SMALL(IF((Income!D$3:D$502="GBP")*(Income!A$3:A$502=DATE(2026,6,22)),ROW(Income!A$3:A$502)-2),1)),0)=0,"",IFERROR(-INDEX(Expenses!D$3:D$1002,SMALL(IF((Expenses!E$3:E$1002="GBP")*(Expenses!A$3:A$1002=DATE(2026,6,22)),ROW(Expenses!A$3:A$1002)-2),1)),0)+IFERROR(INDEX(Income!C$3:C$502,SMALL(IF((Income!D$3:D$502="GBP")*(Income!A$3:A$502=DATE(2026,6,22)),ROW(Income!A$3:A$502)-2),1)),0))</f>
        <v/>
      </c>
      <c r="D129" s="38" t="str">
        <f aca="false">IF(IFERROR(INDEX(Expenses!B$3:B$1002,SMALL(IF((Expenses!E$3:E$1002="GBP")*(Expenses!A$3:A$1002=DATE(2026,6,22)),ROW(Expenses!A$3:A$1002)-2),1)),"")&lt;&gt;"",IFERROR(INDEX(Expenses!B$3:B$1002,SMALL(IF((Expenses!E$3:E$1002="GBP")*(Expenses!A$3:A$1002=DATE(2026,6,22)),ROW(Expenses!A$3:A$1002)-2),1)),""),IF(IFERROR(INDEX(Income!B$3:B$502,SMALL(IF((Income!D$3:D$502="GBP")*(Income!A$3:A$502=DATE(2026,6,22)),ROW(Income!A$3:A$502)-2),1)),"")&lt;&gt;"",IFERROR(INDEX(Income!B$3:B$502,SMALL(IF((Income!D$3:D$502="GBP")*(Income!A$3:A$502=DATE(2026,6,22)),ROW(Income!A$3:A$502)-2),1)),""),""))</f>
        <v/>
      </c>
      <c r="E129" s="62" t="str">
        <f aca="false">IF(IFERROR(-INDEX(Expenses!D$3:D$1002,SMALL(IF((Expenses!E$3:E$1002="GBP")*(Expenses!A$3:A$1002=DATE(2026,6,23)),ROW(Expenses!A$3:A$1002)-2),1)),0)+IFERROR(INDEX(Income!C$3:C$502,SMALL(IF((Income!D$3:D$502="GBP")*(Income!A$3:A$502=DATE(2026,6,23)),ROW(Income!A$3:A$502)-2),1)),0)=0,"",IFERROR(-INDEX(Expenses!D$3:D$1002,SMALL(IF((Expenses!E$3:E$1002="GBP")*(Expenses!A$3:A$1002=DATE(2026,6,23)),ROW(Expenses!A$3:A$1002)-2),1)),0)+IFERROR(INDEX(Income!C$3:C$502,SMALL(IF((Income!D$3:D$502="GBP")*(Income!A$3:A$502=DATE(2026,6,23)),ROW(Income!A$3:A$502)-2),1)),0))</f>
        <v/>
      </c>
      <c r="F129" s="38" t="str">
        <f aca="false">IF(IFERROR(INDEX(Expenses!B$3:B$1002,SMALL(IF((Expenses!E$3:E$1002="GBP")*(Expenses!A$3:A$1002=DATE(2026,6,23)),ROW(Expenses!A$3:A$1002)-2),1)),"")&lt;&gt;"",IFERROR(INDEX(Expenses!B$3:B$1002,SMALL(IF((Expenses!E$3:E$1002="GBP")*(Expenses!A$3:A$1002=DATE(2026,6,23)),ROW(Expenses!A$3:A$1002)-2),1)),""),IF(IFERROR(INDEX(Income!B$3:B$502,SMALL(IF((Income!D$3:D$502="GBP")*(Income!A$3:A$502=DATE(2026,6,23)),ROW(Income!A$3:A$502)-2),1)),"")&lt;&gt;"",IFERROR(INDEX(Income!B$3:B$502,SMALL(IF((Income!D$3:D$502="GBP")*(Income!A$3:A$502=DATE(2026,6,23)),ROW(Income!A$3:A$502)-2),1)),""),""))</f>
        <v/>
      </c>
      <c r="G129" s="62" t="str">
        <f aca="false">IF(IFERROR(-INDEX(Expenses!D$3:D$1002,SMALL(IF((Expenses!E$3:E$1002="GBP")*(Expenses!A$3:A$1002=DATE(2026,6,24)),ROW(Expenses!A$3:A$1002)-2),1)),0)+IFERROR(INDEX(Income!C$3:C$502,SMALL(IF((Income!D$3:D$502="GBP")*(Income!A$3:A$502=DATE(2026,6,24)),ROW(Income!A$3:A$502)-2),1)),0)=0,"",IFERROR(-INDEX(Expenses!D$3:D$1002,SMALL(IF((Expenses!E$3:E$1002="GBP")*(Expenses!A$3:A$1002=DATE(2026,6,24)),ROW(Expenses!A$3:A$1002)-2),1)),0)+IFERROR(INDEX(Income!C$3:C$502,SMALL(IF((Income!D$3:D$502="GBP")*(Income!A$3:A$502=DATE(2026,6,24)),ROW(Income!A$3:A$502)-2),1)),0))</f>
        <v/>
      </c>
      <c r="H129" s="38" t="str">
        <f aca="false">IF(IFERROR(INDEX(Expenses!B$3:B$1002,SMALL(IF((Expenses!E$3:E$1002="GBP")*(Expenses!A$3:A$1002=DATE(2026,6,24)),ROW(Expenses!A$3:A$1002)-2),1)),"")&lt;&gt;"",IFERROR(INDEX(Expenses!B$3:B$1002,SMALL(IF((Expenses!E$3:E$1002="GBP")*(Expenses!A$3:A$1002=DATE(2026,6,24)),ROW(Expenses!A$3:A$1002)-2),1)),""),IF(IFERROR(INDEX(Income!B$3:B$502,SMALL(IF((Income!D$3:D$502="GBP")*(Income!A$3:A$502=DATE(2026,6,24)),ROW(Income!A$3:A$502)-2),1)),"")&lt;&gt;"",IFERROR(INDEX(Income!B$3:B$502,SMALL(IF((Income!D$3:D$502="GBP")*(Income!A$3:A$502=DATE(2026,6,24)),ROW(Income!A$3:A$502)-2),1)),""),""))</f>
        <v/>
      </c>
      <c r="I129" s="62" t="str">
        <f aca="false">IF(IFERROR(-INDEX(Expenses!D$3:D$1002,SMALL(IF((Expenses!E$3:E$1002="GBP")*(Expenses!A$3:A$1002=DATE(2026,6,25)),ROW(Expenses!A$3:A$1002)-2),1)),0)+IFERROR(INDEX(Income!C$3:C$502,SMALL(IF((Income!D$3:D$502="GBP")*(Income!A$3:A$502=DATE(2026,6,25)),ROW(Income!A$3:A$502)-2),1)),0)=0,"",IFERROR(-INDEX(Expenses!D$3:D$1002,SMALL(IF((Expenses!E$3:E$1002="GBP")*(Expenses!A$3:A$1002=DATE(2026,6,25)),ROW(Expenses!A$3:A$1002)-2),1)),0)+IFERROR(INDEX(Income!C$3:C$502,SMALL(IF((Income!D$3:D$502="GBP")*(Income!A$3:A$502=DATE(2026,6,25)),ROW(Income!A$3:A$502)-2),1)),0))</f>
        <v/>
      </c>
      <c r="J129" s="38" t="str">
        <f aca="false">IF(IFERROR(INDEX(Expenses!B$3:B$1002,SMALL(IF((Expenses!E$3:E$1002="GBP")*(Expenses!A$3:A$1002=DATE(2026,6,25)),ROW(Expenses!A$3:A$1002)-2),1)),"")&lt;&gt;"",IFERROR(INDEX(Expenses!B$3:B$1002,SMALL(IF((Expenses!E$3:E$1002="GBP")*(Expenses!A$3:A$1002=DATE(2026,6,25)),ROW(Expenses!A$3:A$1002)-2),1)),""),IF(IFERROR(INDEX(Income!B$3:B$502,SMALL(IF((Income!D$3:D$502="GBP")*(Income!A$3:A$502=DATE(2026,6,25)),ROW(Income!A$3:A$502)-2),1)),"")&lt;&gt;"",IFERROR(INDEX(Income!B$3:B$502,SMALL(IF((Income!D$3:D$502="GBP")*(Income!A$3:A$502=DATE(2026,6,25)),ROW(Income!A$3:A$502)-2),1)),""),""))</f>
        <v/>
      </c>
      <c r="K129" s="62" t="str">
        <f aca="false">IF(IFERROR(-INDEX(Expenses!D$3:D$1002,SMALL(IF((Expenses!E$3:E$1002="GBP")*(Expenses!A$3:A$1002=DATE(2026,6,26)),ROW(Expenses!A$3:A$1002)-2),1)),0)+IFERROR(INDEX(Income!C$3:C$502,SMALL(IF((Income!D$3:D$502="GBP")*(Income!A$3:A$502=DATE(2026,6,26)),ROW(Income!A$3:A$502)-2),1)),0)=0,"",IFERROR(-INDEX(Expenses!D$3:D$1002,SMALL(IF((Expenses!E$3:E$1002="GBP")*(Expenses!A$3:A$1002=DATE(2026,6,26)),ROW(Expenses!A$3:A$1002)-2),1)),0)+IFERROR(INDEX(Income!C$3:C$502,SMALL(IF((Income!D$3:D$502="GBP")*(Income!A$3:A$502=DATE(2026,6,26)),ROW(Income!A$3:A$502)-2),1)),0))</f>
        <v/>
      </c>
      <c r="L129" s="38" t="str">
        <f aca="false">IF(IFERROR(INDEX(Expenses!B$3:B$1002,SMALL(IF((Expenses!E$3:E$1002="GBP")*(Expenses!A$3:A$1002=DATE(2026,6,26)),ROW(Expenses!A$3:A$1002)-2),1)),"")&lt;&gt;"",IFERROR(INDEX(Expenses!B$3:B$1002,SMALL(IF((Expenses!E$3:E$1002="GBP")*(Expenses!A$3:A$1002=DATE(2026,6,26)),ROW(Expenses!A$3:A$1002)-2),1)),""),IF(IFERROR(INDEX(Income!B$3:B$502,SMALL(IF((Income!D$3:D$502="GBP")*(Income!A$3:A$502=DATE(2026,6,26)),ROW(Income!A$3:A$502)-2),1)),"")&lt;&gt;"",IFERROR(INDEX(Income!B$3:B$502,SMALL(IF((Income!D$3:D$502="GBP")*(Income!A$3:A$502=DATE(2026,6,26)),ROW(Income!A$3:A$502)-2),1)),""),""))</f>
        <v/>
      </c>
      <c r="M129" s="62" t="str">
        <f aca="false">IF(IFERROR(-INDEX(Expenses!D$3:D$1002,SMALL(IF((Expenses!E$3:E$1002="GBP")*(Expenses!A$3:A$1002=DATE(2026,6,27)),ROW(Expenses!A$3:A$1002)-2),1)),0)+IFERROR(INDEX(Income!C$3:C$502,SMALL(IF((Income!D$3:D$502="GBP")*(Income!A$3:A$502=DATE(2026,6,27)),ROW(Income!A$3:A$502)-2),1)),0)=0,"",IFERROR(-INDEX(Expenses!D$3:D$1002,SMALL(IF((Expenses!E$3:E$1002="GBP")*(Expenses!A$3:A$1002=DATE(2026,6,27)),ROW(Expenses!A$3:A$1002)-2),1)),0)+IFERROR(INDEX(Income!C$3:C$502,SMALL(IF((Income!D$3:D$502="GBP")*(Income!A$3:A$502=DATE(2026,6,27)),ROW(Income!A$3:A$502)-2),1)),0))</f>
        <v/>
      </c>
      <c r="N129" s="38" t="str">
        <f aca="false">IF(IFERROR(INDEX(Expenses!B$3:B$1002,SMALL(IF((Expenses!E$3:E$1002="GBP")*(Expenses!A$3:A$1002=DATE(2026,6,27)),ROW(Expenses!A$3:A$1002)-2),1)),"")&lt;&gt;"",IFERROR(INDEX(Expenses!B$3:B$1002,SMALL(IF((Expenses!E$3:E$1002="GBP")*(Expenses!A$3:A$1002=DATE(2026,6,27)),ROW(Expenses!A$3:A$1002)-2),1)),""),IF(IFERROR(INDEX(Income!B$3:B$502,SMALL(IF((Income!D$3:D$502="GBP")*(Income!A$3:A$502=DATE(2026,6,27)),ROW(Income!A$3:A$502)-2),1)),"")&lt;&gt;"",IFERROR(INDEX(Income!B$3:B$502,SMALL(IF((Income!D$3:D$502="GBP")*(Income!A$3:A$502=DATE(2026,6,27)),ROW(Income!A$3:A$502)-2),1)),""),""))</f>
        <v/>
      </c>
      <c r="O129" s="62" t="str">
        <f aca="false">IF(IFERROR(-INDEX(Expenses!D$3:D$1002,SMALL(IF((Expenses!E$3:E$1002="GBP")*(Expenses!A$3:A$1002=DATE(2026,6,28)),ROW(Expenses!A$3:A$1002)-2),1)),0)+IFERROR(INDEX(Income!C$3:C$502,SMALL(IF((Income!D$3:D$502="GBP")*(Income!A$3:A$502=DATE(2026,6,28)),ROW(Income!A$3:A$502)-2),1)),0)=0,"",IFERROR(-INDEX(Expenses!D$3:D$1002,SMALL(IF((Expenses!E$3:E$1002="GBP")*(Expenses!A$3:A$1002=DATE(2026,6,28)),ROW(Expenses!A$3:A$1002)-2),1)),0)+IFERROR(INDEX(Income!C$3:C$502,SMALL(IF((Income!D$3:D$502="GBP")*(Income!A$3:A$502=DATE(2026,6,28)),ROW(Income!A$3:A$502)-2),1)),0))</f>
        <v/>
      </c>
      <c r="P129" s="38" t="str">
        <f aca="false">IF(IFERROR(INDEX(Expenses!B$3:B$1002,SMALL(IF((Expenses!E$3:E$1002="GBP")*(Expenses!A$3:A$1002=DATE(2026,6,28)),ROW(Expenses!A$3:A$1002)-2),1)),"")&lt;&gt;"",IFERROR(INDEX(Expenses!B$3:B$1002,SMALL(IF((Expenses!E$3:E$1002="GBP")*(Expenses!A$3:A$1002=DATE(2026,6,28)),ROW(Expenses!A$3:A$1002)-2),1)),""),IF(IFERROR(INDEX(Income!B$3:B$502,SMALL(IF((Income!D$3:D$502="GBP")*(Income!A$3:A$502=DATE(2026,6,28)),ROW(Income!A$3:A$502)-2),1)),"")&lt;&gt;"",IFERROR(INDEX(Income!B$3:B$502,SMALL(IF((Income!D$3:D$502="GBP")*(Income!A$3:A$502=DATE(2026,6,28)),ROW(Income!A$3:A$502)-2),1)),""),""))</f>
        <v/>
      </c>
      <c r="Q129" s="3" t="n">
        <v>26</v>
      </c>
      <c r="R129" s="45" t="n">
        <f aca="false">SUM(C129:C133)+SUM(E129:E133)+SUM(G129:G133)+SUM(I129:I133)+SUM(K129:K133)+SUM(M129:M133)+SUM(O129:O133)</f>
        <v>0</v>
      </c>
    </row>
    <row r="130" customFormat="false" ht="15" hidden="false" customHeight="false" outlineLevel="0" collapsed="false">
      <c r="A130" s="16"/>
      <c r="B130" s="16"/>
      <c r="C130" s="62" t="str">
        <f aca="false">IF(IFERROR(-INDEX(Expenses!D$3:D$1002,SMALL(IF((Expenses!E$3:E$1002="GBP")*(Expenses!A$3:A$1002=DATE(2026,6,22)),ROW(Expenses!A$3:A$1002)-2),2)),0)+IFERROR(INDEX(Income!C$3:C$502,SMALL(IF((Income!D$3:D$502="GBP")*(Income!A$3:A$502=DATE(2026,6,22)),ROW(Income!A$3:A$502)-2),2)),0)=0,"",IFERROR(-INDEX(Expenses!D$3:D$1002,SMALL(IF((Expenses!E$3:E$1002="GBP")*(Expenses!A$3:A$1002=DATE(2026,6,22)),ROW(Expenses!A$3:A$1002)-2),2)),0)+IFERROR(INDEX(Income!C$3:C$502,SMALL(IF((Income!D$3:D$502="GBP")*(Income!A$3:A$502=DATE(2026,6,22)),ROW(Income!A$3:A$502)-2),2)),0))</f>
        <v/>
      </c>
      <c r="D130" s="38" t="str">
        <f aca="false">IF(IFERROR(INDEX(Expenses!B$3:B$1002,SMALL(IF((Expenses!E$3:E$1002="GBP")*(Expenses!A$3:A$1002=DATE(2026,6,22)),ROW(Expenses!A$3:A$1002)-2),2)),"")&lt;&gt;"",IFERROR(INDEX(Expenses!B$3:B$1002,SMALL(IF((Expenses!E$3:E$1002="GBP")*(Expenses!A$3:A$1002=DATE(2026,6,22)),ROW(Expenses!A$3:A$1002)-2),2)),""),IF(IFERROR(INDEX(Income!B$3:B$502,SMALL(IF((Income!D$3:D$502="GBP")*(Income!A$3:A$502=DATE(2026,6,22)),ROW(Income!A$3:A$502)-2),2)),"")&lt;&gt;"",IFERROR(INDEX(Income!B$3:B$502,SMALL(IF((Income!D$3:D$502="GBP")*(Income!A$3:A$502=DATE(2026,6,22)),ROW(Income!A$3:A$502)-2),2)),""),""))</f>
        <v/>
      </c>
      <c r="E130" s="62" t="str">
        <f aca="false">IF(IFERROR(-INDEX(Expenses!D$3:D$1002,SMALL(IF((Expenses!E$3:E$1002="GBP")*(Expenses!A$3:A$1002=DATE(2026,6,23)),ROW(Expenses!A$3:A$1002)-2),2)),0)+IFERROR(INDEX(Income!C$3:C$502,SMALL(IF((Income!D$3:D$502="GBP")*(Income!A$3:A$502=DATE(2026,6,23)),ROW(Income!A$3:A$502)-2),2)),0)=0,"",IFERROR(-INDEX(Expenses!D$3:D$1002,SMALL(IF((Expenses!E$3:E$1002="GBP")*(Expenses!A$3:A$1002=DATE(2026,6,23)),ROW(Expenses!A$3:A$1002)-2),2)),0)+IFERROR(INDEX(Income!C$3:C$502,SMALL(IF((Income!D$3:D$502="GBP")*(Income!A$3:A$502=DATE(2026,6,23)),ROW(Income!A$3:A$502)-2),2)),0))</f>
        <v/>
      </c>
      <c r="F130" s="38" t="str">
        <f aca="false">IF(IFERROR(INDEX(Expenses!B$3:B$1002,SMALL(IF((Expenses!E$3:E$1002="GBP")*(Expenses!A$3:A$1002=DATE(2026,6,23)),ROW(Expenses!A$3:A$1002)-2),2)),"")&lt;&gt;"",IFERROR(INDEX(Expenses!B$3:B$1002,SMALL(IF((Expenses!E$3:E$1002="GBP")*(Expenses!A$3:A$1002=DATE(2026,6,23)),ROW(Expenses!A$3:A$1002)-2),2)),""),IF(IFERROR(INDEX(Income!B$3:B$502,SMALL(IF((Income!D$3:D$502="GBP")*(Income!A$3:A$502=DATE(2026,6,23)),ROW(Income!A$3:A$502)-2),2)),"")&lt;&gt;"",IFERROR(INDEX(Income!B$3:B$502,SMALL(IF((Income!D$3:D$502="GBP")*(Income!A$3:A$502=DATE(2026,6,23)),ROW(Income!A$3:A$502)-2),2)),""),""))</f>
        <v/>
      </c>
      <c r="G130" s="62" t="str">
        <f aca="false">IF(IFERROR(-INDEX(Expenses!D$3:D$1002,SMALL(IF((Expenses!E$3:E$1002="GBP")*(Expenses!A$3:A$1002=DATE(2026,6,24)),ROW(Expenses!A$3:A$1002)-2),2)),0)+IFERROR(INDEX(Income!C$3:C$502,SMALL(IF((Income!D$3:D$502="GBP")*(Income!A$3:A$502=DATE(2026,6,24)),ROW(Income!A$3:A$502)-2),2)),0)=0,"",IFERROR(-INDEX(Expenses!D$3:D$1002,SMALL(IF((Expenses!E$3:E$1002="GBP")*(Expenses!A$3:A$1002=DATE(2026,6,24)),ROW(Expenses!A$3:A$1002)-2),2)),0)+IFERROR(INDEX(Income!C$3:C$502,SMALL(IF((Income!D$3:D$502="GBP")*(Income!A$3:A$502=DATE(2026,6,24)),ROW(Income!A$3:A$502)-2),2)),0))</f>
        <v/>
      </c>
      <c r="H130" s="38" t="str">
        <f aca="false">IF(IFERROR(INDEX(Expenses!B$3:B$1002,SMALL(IF((Expenses!E$3:E$1002="GBP")*(Expenses!A$3:A$1002=DATE(2026,6,24)),ROW(Expenses!A$3:A$1002)-2),2)),"")&lt;&gt;"",IFERROR(INDEX(Expenses!B$3:B$1002,SMALL(IF((Expenses!E$3:E$1002="GBP")*(Expenses!A$3:A$1002=DATE(2026,6,24)),ROW(Expenses!A$3:A$1002)-2),2)),""),IF(IFERROR(INDEX(Income!B$3:B$502,SMALL(IF((Income!D$3:D$502="GBP")*(Income!A$3:A$502=DATE(2026,6,24)),ROW(Income!A$3:A$502)-2),2)),"")&lt;&gt;"",IFERROR(INDEX(Income!B$3:B$502,SMALL(IF((Income!D$3:D$502="GBP")*(Income!A$3:A$502=DATE(2026,6,24)),ROW(Income!A$3:A$502)-2),2)),""),""))</f>
        <v/>
      </c>
      <c r="I130" s="62" t="str">
        <f aca="false">IF(IFERROR(-INDEX(Expenses!D$3:D$1002,SMALL(IF((Expenses!E$3:E$1002="GBP")*(Expenses!A$3:A$1002=DATE(2026,6,25)),ROW(Expenses!A$3:A$1002)-2),2)),0)+IFERROR(INDEX(Income!C$3:C$502,SMALL(IF((Income!D$3:D$502="GBP")*(Income!A$3:A$502=DATE(2026,6,25)),ROW(Income!A$3:A$502)-2),2)),0)=0,"",IFERROR(-INDEX(Expenses!D$3:D$1002,SMALL(IF((Expenses!E$3:E$1002="GBP")*(Expenses!A$3:A$1002=DATE(2026,6,25)),ROW(Expenses!A$3:A$1002)-2),2)),0)+IFERROR(INDEX(Income!C$3:C$502,SMALL(IF((Income!D$3:D$502="GBP")*(Income!A$3:A$502=DATE(2026,6,25)),ROW(Income!A$3:A$502)-2),2)),0))</f>
        <v/>
      </c>
      <c r="J130" s="38" t="str">
        <f aca="false">IF(IFERROR(INDEX(Expenses!B$3:B$1002,SMALL(IF((Expenses!E$3:E$1002="GBP")*(Expenses!A$3:A$1002=DATE(2026,6,25)),ROW(Expenses!A$3:A$1002)-2),2)),"")&lt;&gt;"",IFERROR(INDEX(Expenses!B$3:B$1002,SMALL(IF((Expenses!E$3:E$1002="GBP")*(Expenses!A$3:A$1002=DATE(2026,6,25)),ROW(Expenses!A$3:A$1002)-2),2)),""),IF(IFERROR(INDEX(Income!B$3:B$502,SMALL(IF((Income!D$3:D$502="GBP")*(Income!A$3:A$502=DATE(2026,6,25)),ROW(Income!A$3:A$502)-2),2)),"")&lt;&gt;"",IFERROR(INDEX(Income!B$3:B$502,SMALL(IF((Income!D$3:D$502="GBP")*(Income!A$3:A$502=DATE(2026,6,25)),ROW(Income!A$3:A$502)-2),2)),""),""))</f>
        <v/>
      </c>
      <c r="K130" s="62" t="str">
        <f aca="false">IF(IFERROR(-INDEX(Expenses!D$3:D$1002,SMALL(IF((Expenses!E$3:E$1002="GBP")*(Expenses!A$3:A$1002=DATE(2026,6,26)),ROW(Expenses!A$3:A$1002)-2),2)),0)+IFERROR(INDEX(Income!C$3:C$502,SMALL(IF((Income!D$3:D$502="GBP")*(Income!A$3:A$502=DATE(2026,6,26)),ROW(Income!A$3:A$502)-2),2)),0)=0,"",IFERROR(-INDEX(Expenses!D$3:D$1002,SMALL(IF((Expenses!E$3:E$1002="GBP")*(Expenses!A$3:A$1002=DATE(2026,6,26)),ROW(Expenses!A$3:A$1002)-2),2)),0)+IFERROR(INDEX(Income!C$3:C$502,SMALL(IF((Income!D$3:D$502="GBP")*(Income!A$3:A$502=DATE(2026,6,26)),ROW(Income!A$3:A$502)-2),2)),0))</f>
        <v/>
      </c>
      <c r="L130" s="38" t="str">
        <f aca="false">IF(IFERROR(INDEX(Expenses!B$3:B$1002,SMALL(IF((Expenses!E$3:E$1002="GBP")*(Expenses!A$3:A$1002=DATE(2026,6,26)),ROW(Expenses!A$3:A$1002)-2),2)),"")&lt;&gt;"",IFERROR(INDEX(Expenses!B$3:B$1002,SMALL(IF((Expenses!E$3:E$1002="GBP")*(Expenses!A$3:A$1002=DATE(2026,6,26)),ROW(Expenses!A$3:A$1002)-2),2)),""),IF(IFERROR(INDEX(Income!B$3:B$502,SMALL(IF((Income!D$3:D$502="GBP")*(Income!A$3:A$502=DATE(2026,6,26)),ROW(Income!A$3:A$502)-2),2)),"")&lt;&gt;"",IFERROR(INDEX(Income!B$3:B$502,SMALL(IF((Income!D$3:D$502="GBP")*(Income!A$3:A$502=DATE(2026,6,26)),ROW(Income!A$3:A$502)-2),2)),""),""))</f>
        <v/>
      </c>
      <c r="M130" s="62" t="str">
        <f aca="false">IF(IFERROR(-INDEX(Expenses!D$3:D$1002,SMALL(IF((Expenses!E$3:E$1002="GBP")*(Expenses!A$3:A$1002=DATE(2026,6,27)),ROW(Expenses!A$3:A$1002)-2),2)),0)+IFERROR(INDEX(Income!C$3:C$502,SMALL(IF((Income!D$3:D$502="GBP")*(Income!A$3:A$502=DATE(2026,6,27)),ROW(Income!A$3:A$502)-2),2)),0)=0,"",IFERROR(-INDEX(Expenses!D$3:D$1002,SMALL(IF((Expenses!E$3:E$1002="GBP")*(Expenses!A$3:A$1002=DATE(2026,6,27)),ROW(Expenses!A$3:A$1002)-2),2)),0)+IFERROR(INDEX(Income!C$3:C$502,SMALL(IF((Income!D$3:D$502="GBP")*(Income!A$3:A$502=DATE(2026,6,27)),ROW(Income!A$3:A$502)-2),2)),0))</f>
        <v/>
      </c>
      <c r="N130" s="38" t="str">
        <f aca="false">IF(IFERROR(INDEX(Expenses!B$3:B$1002,SMALL(IF((Expenses!E$3:E$1002="GBP")*(Expenses!A$3:A$1002=DATE(2026,6,27)),ROW(Expenses!A$3:A$1002)-2),2)),"")&lt;&gt;"",IFERROR(INDEX(Expenses!B$3:B$1002,SMALL(IF((Expenses!E$3:E$1002="GBP")*(Expenses!A$3:A$1002=DATE(2026,6,27)),ROW(Expenses!A$3:A$1002)-2),2)),""),IF(IFERROR(INDEX(Income!B$3:B$502,SMALL(IF((Income!D$3:D$502="GBP")*(Income!A$3:A$502=DATE(2026,6,27)),ROW(Income!A$3:A$502)-2),2)),"")&lt;&gt;"",IFERROR(INDEX(Income!B$3:B$502,SMALL(IF((Income!D$3:D$502="GBP")*(Income!A$3:A$502=DATE(2026,6,27)),ROW(Income!A$3:A$502)-2),2)),""),""))</f>
        <v/>
      </c>
      <c r="O130" s="62" t="str">
        <f aca="false">IF(IFERROR(-INDEX(Expenses!D$3:D$1002,SMALL(IF((Expenses!E$3:E$1002="GBP")*(Expenses!A$3:A$1002=DATE(2026,6,28)),ROW(Expenses!A$3:A$1002)-2),2)),0)+IFERROR(INDEX(Income!C$3:C$502,SMALL(IF((Income!D$3:D$502="GBP")*(Income!A$3:A$502=DATE(2026,6,28)),ROW(Income!A$3:A$502)-2),2)),0)=0,"",IFERROR(-INDEX(Expenses!D$3:D$1002,SMALL(IF((Expenses!E$3:E$1002="GBP")*(Expenses!A$3:A$1002=DATE(2026,6,28)),ROW(Expenses!A$3:A$1002)-2),2)),0)+IFERROR(INDEX(Income!C$3:C$502,SMALL(IF((Income!D$3:D$502="GBP")*(Income!A$3:A$502=DATE(2026,6,28)),ROW(Income!A$3:A$502)-2),2)),0))</f>
        <v/>
      </c>
      <c r="P130" s="38" t="str">
        <f aca="false">IF(IFERROR(INDEX(Expenses!B$3:B$1002,SMALL(IF((Expenses!E$3:E$1002="GBP")*(Expenses!A$3:A$1002=DATE(2026,6,28)),ROW(Expenses!A$3:A$1002)-2),2)),"")&lt;&gt;"",IFERROR(INDEX(Expenses!B$3:B$1002,SMALL(IF((Expenses!E$3:E$1002="GBP")*(Expenses!A$3:A$1002=DATE(2026,6,28)),ROW(Expenses!A$3:A$1002)-2),2)),""),IF(IFERROR(INDEX(Income!B$3:B$502,SMALL(IF((Income!D$3:D$502="GBP")*(Income!A$3:A$502=DATE(2026,6,28)),ROW(Income!A$3:A$502)-2),2)),"")&lt;&gt;"",IFERROR(INDEX(Income!B$3:B$502,SMALL(IF((Income!D$3:D$502="GBP")*(Income!A$3:A$502=DATE(2026,6,28)),ROW(Income!A$3:A$502)-2),2)),""),""))</f>
        <v/>
      </c>
      <c r="Q130" s="16"/>
      <c r="R130" s="16"/>
    </row>
    <row r="131" customFormat="false" ht="15" hidden="false" customHeight="false" outlineLevel="0" collapsed="false">
      <c r="A131" s="16"/>
      <c r="B131" s="16"/>
      <c r="C131" s="62" t="str">
        <f aca="false">IF(IFERROR(-INDEX(Expenses!D$3:D$1002,SMALL(IF((Expenses!E$3:E$1002="GBP")*(Expenses!A$3:A$1002=DATE(2026,6,22)),ROW(Expenses!A$3:A$1002)-2),3)),0)+IFERROR(INDEX(Income!C$3:C$502,SMALL(IF((Income!D$3:D$502="GBP")*(Income!A$3:A$502=DATE(2026,6,22)),ROW(Income!A$3:A$502)-2),3)),0)=0,"",IFERROR(-INDEX(Expenses!D$3:D$1002,SMALL(IF((Expenses!E$3:E$1002="GBP")*(Expenses!A$3:A$1002=DATE(2026,6,22)),ROW(Expenses!A$3:A$1002)-2),3)),0)+IFERROR(INDEX(Income!C$3:C$502,SMALL(IF((Income!D$3:D$502="GBP")*(Income!A$3:A$502=DATE(2026,6,22)),ROW(Income!A$3:A$502)-2),3)),0))</f>
        <v/>
      </c>
      <c r="D131" s="38" t="str">
        <f aca="false">IF(IFERROR(INDEX(Expenses!B$3:B$1002,SMALL(IF((Expenses!E$3:E$1002="GBP")*(Expenses!A$3:A$1002=DATE(2026,6,22)),ROW(Expenses!A$3:A$1002)-2),3)),"")&lt;&gt;"",IFERROR(INDEX(Expenses!B$3:B$1002,SMALL(IF((Expenses!E$3:E$1002="GBP")*(Expenses!A$3:A$1002=DATE(2026,6,22)),ROW(Expenses!A$3:A$1002)-2),3)),""),IF(IFERROR(INDEX(Income!B$3:B$502,SMALL(IF((Income!D$3:D$502="GBP")*(Income!A$3:A$502=DATE(2026,6,22)),ROW(Income!A$3:A$502)-2),3)),"")&lt;&gt;"",IFERROR(INDEX(Income!B$3:B$502,SMALL(IF((Income!D$3:D$502="GBP")*(Income!A$3:A$502=DATE(2026,6,22)),ROW(Income!A$3:A$502)-2),3)),""),""))</f>
        <v/>
      </c>
      <c r="E131" s="62" t="str">
        <f aca="false">IF(IFERROR(-INDEX(Expenses!D$3:D$1002,SMALL(IF((Expenses!E$3:E$1002="GBP")*(Expenses!A$3:A$1002=DATE(2026,6,23)),ROW(Expenses!A$3:A$1002)-2),3)),0)+IFERROR(INDEX(Income!C$3:C$502,SMALL(IF((Income!D$3:D$502="GBP")*(Income!A$3:A$502=DATE(2026,6,23)),ROW(Income!A$3:A$502)-2),3)),0)=0,"",IFERROR(-INDEX(Expenses!D$3:D$1002,SMALL(IF((Expenses!E$3:E$1002="GBP")*(Expenses!A$3:A$1002=DATE(2026,6,23)),ROW(Expenses!A$3:A$1002)-2),3)),0)+IFERROR(INDEX(Income!C$3:C$502,SMALL(IF((Income!D$3:D$502="GBP")*(Income!A$3:A$502=DATE(2026,6,23)),ROW(Income!A$3:A$502)-2),3)),0))</f>
        <v/>
      </c>
      <c r="F131" s="38" t="str">
        <f aca="false">IF(IFERROR(INDEX(Expenses!B$3:B$1002,SMALL(IF((Expenses!E$3:E$1002="GBP")*(Expenses!A$3:A$1002=DATE(2026,6,23)),ROW(Expenses!A$3:A$1002)-2),3)),"")&lt;&gt;"",IFERROR(INDEX(Expenses!B$3:B$1002,SMALL(IF((Expenses!E$3:E$1002="GBP")*(Expenses!A$3:A$1002=DATE(2026,6,23)),ROW(Expenses!A$3:A$1002)-2),3)),""),IF(IFERROR(INDEX(Income!B$3:B$502,SMALL(IF((Income!D$3:D$502="GBP")*(Income!A$3:A$502=DATE(2026,6,23)),ROW(Income!A$3:A$502)-2),3)),"")&lt;&gt;"",IFERROR(INDEX(Income!B$3:B$502,SMALL(IF((Income!D$3:D$502="GBP")*(Income!A$3:A$502=DATE(2026,6,23)),ROW(Income!A$3:A$502)-2),3)),""),""))</f>
        <v/>
      </c>
      <c r="G131" s="62" t="str">
        <f aca="false">IF(IFERROR(-INDEX(Expenses!D$3:D$1002,SMALL(IF((Expenses!E$3:E$1002="GBP")*(Expenses!A$3:A$1002=DATE(2026,6,24)),ROW(Expenses!A$3:A$1002)-2),3)),0)+IFERROR(INDEX(Income!C$3:C$502,SMALL(IF((Income!D$3:D$502="GBP")*(Income!A$3:A$502=DATE(2026,6,24)),ROW(Income!A$3:A$502)-2),3)),0)=0,"",IFERROR(-INDEX(Expenses!D$3:D$1002,SMALL(IF((Expenses!E$3:E$1002="GBP")*(Expenses!A$3:A$1002=DATE(2026,6,24)),ROW(Expenses!A$3:A$1002)-2),3)),0)+IFERROR(INDEX(Income!C$3:C$502,SMALL(IF((Income!D$3:D$502="GBP")*(Income!A$3:A$502=DATE(2026,6,24)),ROW(Income!A$3:A$502)-2),3)),0))</f>
        <v/>
      </c>
      <c r="H131" s="38" t="str">
        <f aca="false">IF(IFERROR(INDEX(Expenses!B$3:B$1002,SMALL(IF((Expenses!E$3:E$1002="GBP")*(Expenses!A$3:A$1002=DATE(2026,6,24)),ROW(Expenses!A$3:A$1002)-2),3)),"")&lt;&gt;"",IFERROR(INDEX(Expenses!B$3:B$1002,SMALL(IF((Expenses!E$3:E$1002="GBP")*(Expenses!A$3:A$1002=DATE(2026,6,24)),ROW(Expenses!A$3:A$1002)-2),3)),""),IF(IFERROR(INDEX(Income!B$3:B$502,SMALL(IF((Income!D$3:D$502="GBP")*(Income!A$3:A$502=DATE(2026,6,24)),ROW(Income!A$3:A$502)-2),3)),"")&lt;&gt;"",IFERROR(INDEX(Income!B$3:B$502,SMALL(IF((Income!D$3:D$502="GBP")*(Income!A$3:A$502=DATE(2026,6,24)),ROW(Income!A$3:A$502)-2),3)),""),""))</f>
        <v/>
      </c>
      <c r="I131" s="62" t="str">
        <f aca="false">IF(IFERROR(-INDEX(Expenses!D$3:D$1002,SMALL(IF((Expenses!E$3:E$1002="GBP")*(Expenses!A$3:A$1002=DATE(2026,6,25)),ROW(Expenses!A$3:A$1002)-2),3)),0)+IFERROR(INDEX(Income!C$3:C$502,SMALL(IF((Income!D$3:D$502="GBP")*(Income!A$3:A$502=DATE(2026,6,25)),ROW(Income!A$3:A$502)-2),3)),0)=0,"",IFERROR(-INDEX(Expenses!D$3:D$1002,SMALL(IF((Expenses!E$3:E$1002="GBP")*(Expenses!A$3:A$1002=DATE(2026,6,25)),ROW(Expenses!A$3:A$1002)-2),3)),0)+IFERROR(INDEX(Income!C$3:C$502,SMALL(IF((Income!D$3:D$502="GBP")*(Income!A$3:A$502=DATE(2026,6,25)),ROW(Income!A$3:A$502)-2),3)),0))</f>
        <v/>
      </c>
      <c r="J131" s="38" t="str">
        <f aca="false">IF(IFERROR(INDEX(Expenses!B$3:B$1002,SMALL(IF((Expenses!E$3:E$1002="GBP")*(Expenses!A$3:A$1002=DATE(2026,6,25)),ROW(Expenses!A$3:A$1002)-2),3)),"")&lt;&gt;"",IFERROR(INDEX(Expenses!B$3:B$1002,SMALL(IF((Expenses!E$3:E$1002="GBP")*(Expenses!A$3:A$1002=DATE(2026,6,25)),ROW(Expenses!A$3:A$1002)-2),3)),""),IF(IFERROR(INDEX(Income!B$3:B$502,SMALL(IF((Income!D$3:D$502="GBP")*(Income!A$3:A$502=DATE(2026,6,25)),ROW(Income!A$3:A$502)-2),3)),"")&lt;&gt;"",IFERROR(INDEX(Income!B$3:B$502,SMALL(IF((Income!D$3:D$502="GBP")*(Income!A$3:A$502=DATE(2026,6,25)),ROW(Income!A$3:A$502)-2),3)),""),""))</f>
        <v/>
      </c>
      <c r="K131" s="62" t="str">
        <f aca="false">IF(IFERROR(-INDEX(Expenses!D$3:D$1002,SMALL(IF((Expenses!E$3:E$1002="GBP")*(Expenses!A$3:A$1002=DATE(2026,6,26)),ROW(Expenses!A$3:A$1002)-2),3)),0)+IFERROR(INDEX(Income!C$3:C$502,SMALL(IF((Income!D$3:D$502="GBP")*(Income!A$3:A$502=DATE(2026,6,26)),ROW(Income!A$3:A$502)-2),3)),0)=0,"",IFERROR(-INDEX(Expenses!D$3:D$1002,SMALL(IF((Expenses!E$3:E$1002="GBP")*(Expenses!A$3:A$1002=DATE(2026,6,26)),ROW(Expenses!A$3:A$1002)-2),3)),0)+IFERROR(INDEX(Income!C$3:C$502,SMALL(IF((Income!D$3:D$502="GBP")*(Income!A$3:A$502=DATE(2026,6,26)),ROW(Income!A$3:A$502)-2),3)),0))</f>
        <v/>
      </c>
      <c r="L131" s="38" t="str">
        <f aca="false">IF(IFERROR(INDEX(Expenses!B$3:B$1002,SMALL(IF((Expenses!E$3:E$1002="GBP")*(Expenses!A$3:A$1002=DATE(2026,6,26)),ROW(Expenses!A$3:A$1002)-2),3)),"")&lt;&gt;"",IFERROR(INDEX(Expenses!B$3:B$1002,SMALL(IF((Expenses!E$3:E$1002="GBP")*(Expenses!A$3:A$1002=DATE(2026,6,26)),ROW(Expenses!A$3:A$1002)-2),3)),""),IF(IFERROR(INDEX(Income!B$3:B$502,SMALL(IF((Income!D$3:D$502="GBP")*(Income!A$3:A$502=DATE(2026,6,26)),ROW(Income!A$3:A$502)-2),3)),"")&lt;&gt;"",IFERROR(INDEX(Income!B$3:B$502,SMALL(IF((Income!D$3:D$502="GBP")*(Income!A$3:A$502=DATE(2026,6,26)),ROW(Income!A$3:A$502)-2),3)),""),""))</f>
        <v/>
      </c>
      <c r="M131" s="62" t="str">
        <f aca="false">IF(IFERROR(-INDEX(Expenses!D$3:D$1002,SMALL(IF((Expenses!E$3:E$1002="GBP")*(Expenses!A$3:A$1002=DATE(2026,6,27)),ROW(Expenses!A$3:A$1002)-2),3)),0)+IFERROR(INDEX(Income!C$3:C$502,SMALL(IF((Income!D$3:D$502="GBP")*(Income!A$3:A$502=DATE(2026,6,27)),ROW(Income!A$3:A$502)-2),3)),0)=0,"",IFERROR(-INDEX(Expenses!D$3:D$1002,SMALL(IF((Expenses!E$3:E$1002="GBP")*(Expenses!A$3:A$1002=DATE(2026,6,27)),ROW(Expenses!A$3:A$1002)-2),3)),0)+IFERROR(INDEX(Income!C$3:C$502,SMALL(IF((Income!D$3:D$502="GBP")*(Income!A$3:A$502=DATE(2026,6,27)),ROW(Income!A$3:A$502)-2),3)),0))</f>
        <v/>
      </c>
      <c r="N131" s="38" t="str">
        <f aca="false">IF(IFERROR(INDEX(Expenses!B$3:B$1002,SMALL(IF((Expenses!E$3:E$1002="GBP")*(Expenses!A$3:A$1002=DATE(2026,6,27)),ROW(Expenses!A$3:A$1002)-2),3)),"")&lt;&gt;"",IFERROR(INDEX(Expenses!B$3:B$1002,SMALL(IF((Expenses!E$3:E$1002="GBP")*(Expenses!A$3:A$1002=DATE(2026,6,27)),ROW(Expenses!A$3:A$1002)-2),3)),""),IF(IFERROR(INDEX(Income!B$3:B$502,SMALL(IF((Income!D$3:D$502="GBP")*(Income!A$3:A$502=DATE(2026,6,27)),ROW(Income!A$3:A$502)-2),3)),"")&lt;&gt;"",IFERROR(INDEX(Income!B$3:B$502,SMALL(IF((Income!D$3:D$502="GBP")*(Income!A$3:A$502=DATE(2026,6,27)),ROW(Income!A$3:A$502)-2),3)),""),""))</f>
        <v/>
      </c>
      <c r="O131" s="62" t="str">
        <f aca="false">IF(IFERROR(-INDEX(Expenses!D$3:D$1002,SMALL(IF((Expenses!E$3:E$1002="GBP")*(Expenses!A$3:A$1002=DATE(2026,6,28)),ROW(Expenses!A$3:A$1002)-2),3)),0)+IFERROR(INDEX(Income!C$3:C$502,SMALL(IF((Income!D$3:D$502="GBP")*(Income!A$3:A$502=DATE(2026,6,28)),ROW(Income!A$3:A$502)-2),3)),0)=0,"",IFERROR(-INDEX(Expenses!D$3:D$1002,SMALL(IF((Expenses!E$3:E$1002="GBP")*(Expenses!A$3:A$1002=DATE(2026,6,28)),ROW(Expenses!A$3:A$1002)-2),3)),0)+IFERROR(INDEX(Income!C$3:C$502,SMALL(IF((Income!D$3:D$502="GBP")*(Income!A$3:A$502=DATE(2026,6,28)),ROW(Income!A$3:A$502)-2),3)),0))</f>
        <v/>
      </c>
      <c r="P131" s="38" t="str">
        <f aca="false">IF(IFERROR(INDEX(Expenses!B$3:B$1002,SMALL(IF((Expenses!E$3:E$1002="GBP")*(Expenses!A$3:A$1002=DATE(2026,6,28)),ROW(Expenses!A$3:A$1002)-2),3)),"")&lt;&gt;"",IFERROR(INDEX(Expenses!B$3:B$1002,SMALL(IF((Expenses!E$3:E$1002="GBP")*(Expenses!A$3:A$1002=DATE(2026,6,28)),ROW(Expenses!A$3:A$1002)-2),3)),""),IF(IFERROR(INDEX(Income!B$3:B$502,SMALL(IF((Income!D$3:D$502="GBP")*(Income!A$3:A$502=DATE(2026,6,28)),ROW(Income!A$3:A$502)-2),3)),"")&lt;&gt;"",IFERROR(INDEX(Income!B$3:B$502,SMALL(IF((Income!D$3:D$502="GBP")*(Income!A$3:A$502=DATE(2026,6,28)),ROW(Income!A$3:A$502)-2),3)),""),""))</f>
        <v/>
      </c>
      <c r="Q131" s="16"/>
      <c r="R131" s="16"/>
    </row>
    <row r="132" customFormat="false" ht="15" hidden="false" customHeight="false" outlineLevel="0" collapsed="false">
      <c r="A132" s="16"/>
      <c r="B132" s="16"/>
      <c r="C132" s="62" t="str">
        <f aca="false">IF(IFERROR(-INDEX(Expenses!D$3:D$1002,SMALL(IF((Expenses!E$3:E$1002="GBP")*(Expenses!A$3:A$1002=DATE(2026,6,22)),ROW(Expenses!A$3:A$1002)-2),4)),0)+IFERROR(INDEX(Income!C$3:C$502,SMALL(IF((Income!D$3:D$502="GBP")*(Income!A$3:A$502=DATE(2026,6,22)),ROW(Income!A$3:A$502)-2),4)),0)=0,"",IFERROR(-INDEX(Expenses!D$3:D$1002,SMALL(IF((Expenses!E$3:E$1002="GBP")*(Expenses!A$3:A$1002=DATE(2026,6,22)),ROW(Expenses!A$3:A$1002)-2),4)),0)+IFERROR(INDEX(Income!C$3:C$502,SMALL(IF((Income!D$3:D$502="GBP")*(Income!A$3:A$502=DATE(2026,6,22)),ROW(Income!A$3:A$502)-2),4)),0))</f>
        <v/>
      </c>
      <c r="D132" s="38" t="str">
        <f aca="false">IF(IFERROR(INDEX(Expenses!B$3:B$1002,SMALL(IF((Expenses!E$3:E$1002="GBP")*(Expenses!A$3:A$1002=DATE(2026,6,22)),ROW(Expenses!A$3:A$1002)-2),4)),"")&lt;&gt;"",IFERROR(INDEX(Expenses!B$3:B$1002,SMALL(IF((Expenses!E$3:E$1002="GBP")*(Expenses!A$3:A$1002=DATE(2026,6,22)),ROW(Expenses!A$3:A$1002)-2),4)),""),IF(IFERROR(INDEX(Income!B$3:B$502,SMALL(IF((Income!D$3:D$502="GBP")*(Income!A$3:A$502=DATE(2026,6,22)),ROW(Income!A$3:A$502)-2),4)),"")&lt;&gt;"",IFERROR(INDEX(Income!B$3:B$502,SMALL(IF((Income!D$3:D$502="GBP")*(Income!A$3:A$502=DATE(2026,6,22)),ROW(Income!A$3:A$502)-2),4)),""),""))</f>
        <v/>
      </c>
      <c r="E132" s="62" t="str">
        <f aca="false">IF(IFERROR(-INDEX(Expenses!D$3:D$1002,SMALL(IF((Expenses!E$3:E$1002="GBP")*(Expenses!A$3:A$1002=DATE(2026,6,23)),ROW(Expenses!A$3:A$1002)-2),4)),0)+IFERROR(INDEX(Income!C$3:C$502,SMALL(IF((Income!D$3:D$502="GBP")*(Income!A$3:A$502=DATE(2026,6,23)),ROW(Income!A$3:A$502)-2),4)),0)=0,"",IFERROR(-INDEX(Expenses!D$3:D$1002,SMALL(IF((Expenses!E$3:E$1002="GBP")*(Expenses!A$3:A$1002=DATE(2026,6,23)),ROW(Expenses!A$3:A$1002)-2),4)),0)+IFERROR(INDEX(Income!C$3:C$502,SMALL(IF((Income!D$3:D$502="GBP")*(Income!A$3:A$502=DATE(2026,6,23)),ROW(Income!A$3:A$502)-2),4)),0))</f>
        <v/>
      </c>
      <c r="F132" s="38" t="str">
        <f aca="false">IF(IFERROR(INDEX(Expenses!B$3:B$1002,SMALL(IF((Expenses!E$3:E$1002="GBP")*(Expenses!A$3:A$1002=DATE(2026,6,23)),ROW(Expenses!A$3:A$1002)-2),4)),"")&lt;&gt;"",IFERROR(INDEX(Expenses!B$3:B$1002,SMALL(IF((Expenses!E$3:E$1002="GBP")*(Expenses!A$3:A$1002=DATE(2026,6,23)),ROW(Expenses!A$3:A$1002)-2),4)),""),IF(IFERROR(INDEX(Income!B$3:B$502,SMALL(IF((Income!D$3:D$502="GBP")*(Income!A$3:A$502=DATE(2026,6,23)),ROW(Income!A$3:A$502)-2),4)),"")&lt;&gt;"",IFERROR(INDEX(Income!B$3:B$502,SMALL(IF((Income!D$3:D$502="GBP")*(Income!A$3:A$502=DATE(2026,6,23)),ROW(Income!A$3:A$502)-2),4)),""),""))</f>
        <v/>
      </c>
      <c r="G132" s="62" t="str">
        <f aca="false">IF(IFERROR(-INDEX(Expenses!D$3:D$1002,SMALL(IF((Expenses!E$3:E$1002="GBP")*(Expenses!A$3:A$1002=DATE(2026,6,24)),ROW(Expenses!A$3:A$1002)-2),4)),0)+IFERROR(INDEX(Income!C$3:C$502,SMALL(IF((Income!D$3:D$502="GBP")*(Income!A$3:A$502=DATE(2026,6,24)),ROW(Income!A$3:A$502)-2),4)),0)=0,"",IFERROR(-INDEX(Expenses!D$3:D$1002,SMALL(IF((Expenses!E$3:E$1002="GBP")*(Expenses!A$3:A$1002=DATE(2026,6,24)),ROW(Expenses!A$3:A$1002)-2),4)),0)+IFERROR(INDEX(Income!C$3:C$502,SMALL(IF((Income!D$3:D$502="GBP")*(Income!A$3:A$502=DATE(2026,6,24)),ROW(Income!A$3:A$502)-2),4)),0))</f>
        <v/>
      </c>
      <c r="H132" s="38" t="str">
        <f aca="false">IF(IFERROR(INDEX(Expenses!B$3:B$1002,SMALL(IF((Expenses!E$3:E$1002="GBP")*(Expenses!A$3:A$1002=DATE(2026,6,24)),ROW(Expenses!A$3:A$1002)-2),4)),"")&lt;&gt;"",IFERROR(INDEX(Expenses!B$3:B$1002,SMALL(IF((Expenses!E$3:E$1002="GBP")*(Expenses!A$3:A$1002=DATE(2026,6,24)),ROW(Expenses!A$3:A$1002)-2),4)),""),IF(IFERROR(INDEX(Income!B$3:B$502,SMALL(IF((Income!D$3:D$502="GBP")*(Income!A$3:A$502=DATE(2026,6,24)),ROW(Income!A$3:A$502)-2),4)),"")&lt;&gt;"",IFERROR(INDEX(Income!B$3:B$502,SMALL(IF((Income!D$3:D$502="GBP")*(Income!A$3:A$502=DATE(2026,6,24)),ROW(Income!A$3:A$502)-2),4)),""),""))</f>
        <v/>
      </c>
      <c r="I132" s="62" t="str">
        <f aca="false">IF(IFERROR(-INDEX(Expenses!D$3:D$1002,SMALL(IF((Expenses!E$3:E$1002="GBP")*(Expenses!A$3:A$1002=DATE(2026,6,25)),ROW(Expenses!A$3:A$1002)-2),4)),0)+IFERROR(INDEX(Income!C$3:C$502,SMALL(IF((Income!D$3:D$502="GBP")*(Income!A$3:A$502=DATE(2026,6,25)),ROW(Income!A$3:A$502)-2),4)),0)=0,"",IFERROR(-INDEX(Expenses!D$3:D$1002,SMALL(IF((Expenses!E$3:E$1002="GBP")*(Expenses!A$3:A$1002=DATE(2026,6,25)),ROW(Expenses!A$3:A$1002)-2),4)),0)+IFERROR(INDEX(Income!C$3:C$502,SMALL(IF((Income!D$3:D$502="GBP")*(Income!A$3:A$502=DATE(2026,6,25)),ROW(Income!A$3:A$502)-2),4)),0))</f>
        <v/>
      </c>
      <c r="J132" s="38" t="str">
        <f aca="false">IF(IFERROR(INDEX(Expenses!B$3:B$1002,SMALL(IF((Expenses!E$3:E$1002="GBP")*(Expenses!A$3:A$1002=DATE(2026,6,25)),ROW(Expenses!A$3:A$1002)-2),4)),"")&lt;&gt;"",IFERROR(INDEX(Expenses!B$3:B$1002,SMALL(IF((Expenses!E$3:E$1002="GBP")*(Expenses!A$3:A$1002=DATE(2026,6,25)),ROW(Expenses!A$3:A$1002)-2),4)),""),IF(IFERROR(INDEX(Income!B$3:B$502,SMALL(IF((Income!D$3:D$502="GBP")*(Income!A$3:A$502=DATE(2026,6,25)),ROW(Income!A$3:A$502)-2),4)),"")&lt;&gt;"",IFERROR(INDEX(Income!B$3:B$502,SMALL(IF((Income!D$3:D$502="GBP")*(Income!A$3:A$502=DATE(2026,6,25)),ROW(Income!A$3:A$502)-2),4)),""),""))</f>
        <v/>
      </c>
      <c r="K132" s="62" t="str">
        <f aca="false">IF(IFERROR(-INDEX(Expenses!D$3:D$1002,SMALL(IF((Expenses!E$3:E$1002="GBP")*(Expenses!A$3:A$1002=DATE(2026,6,26)),ROW(Expenses!A$3:A$1002)-2),4)),0)+IFERROR(INDEX(Income!C$3:C$502,SMALL(IF((Income!D$3:D$502="GBP")*(Income!A$3:A$502=DATE(2026,6,26)),ROW(Income!A$3:A$502)-2),4)),0)=0,"",IFERROR(-INDEX(Expenses!D$3:D$1002,SMALL(IF((Expenses!E$3:E$1002="GBP")*(Expenses!A$3:A$1002=DATE(2026,6,26)),ROW(Expenses!A$3:A$1002)-2),4)),0)+IFERROR(INDEX(Income!C$3:C$502,SMALL(IF((Income!D$3:D$502="GBP")*(Income!A$3:A$502=DATE(2026,6,26)),ROW(Income!A$3:A$502)-2),4)),0))</f>
        <v/>
      </c>
      <c r="L132" s="38" t="str">
        <f aca="false">IF(IFERROR(INDEX(Expenses!B$3:B$1002,SMALL(IF((Expenses!E$3:E$1002="GBP")*(Expenses!A$3:A$1002=DATE(2026,6,26)),ROW(Expenses!A$3:A$1002)-2),4)),"")&lt;&gt;"",IFERROR(INDEX(Expenses!B$3:B$1002,SMALL(IF((Expenses!E$3:E$1002="GBP")*(Expenses!A$3:A$1002=DATE(2026,6,26)),ROW(Expenses!A$3:A$1002)-2),4)),""),IF(IFERROR(INDEX(Income!B$3:B$502,SMALL(IF((Income!D$3:D$502="GBP")*(Income!A$3:A$502=DATE(2026,6,26)),ROW(Income!A$3:A$502)-2),4)),"")&lt;&gt;"",IFERROR(INDEX(Income!B$3:B$502,SMALL(IF((Income!D$3:D$502="GBP")*(Income!A$3:A$502=DATE(2026,6,26)),ROW(Income!A$3:A$502)-2),4)),""),""))</f>
        <v/>
      </c>
      <c r="M132" s="62" t="str">
        <f aca="false">IF(IFERROR(-INDEX(Expenses!D$3:D$1002,SMALL(IF((Expenses!E$3:E$1002="GBP")*(Expenses!A$3:A$1002=DATE(2026,6,27)),ROW(Expenses!A$3:A$1002)-2),4)),0)+IFERROR(INDEX(Income!C$3:C$502,SMALL(IF((Income!D$3:D$502="GBP")*(Income!A$3:A$502=DATE(2026,6,27)),ROW(Income!A$3:A$502)-2),4)),0)=0,"",IFERROR(-INDEX(Expenses!D$3:D$1002,SMALL(IF((Expenses!E$3:E$1002="GBP")*(Expenses!A$3:A$1002=DATE(2026,6,27)),ROW(Expenses!A$3:A$1002)-2),4)),0)+IFERROR(INDEX(Income!C$3:C$502,SMALL(IF((Income!D$3:D$502="GBP")*(Income!A$3:A$502=DATE(2026,6,27)),ROW(Income!A$3:A$502)-2),4)),0))</f>
        <v/>
      </c>
      <c r="N132" s="38" t="str">
        <f aca="false">IF(IFERROR(INDEX(Expenses!B$3:B$1002,SMALL(IF((Expenses!E$3:E$1002="GBP")*(Expenses!A$3:A$1002=DATE(2026,6,27)),ROW(Expenses!A$3:A$1002)-2),4)),"")&lt;&gt;"",IFERROR(INDEX(Expenses!B$3:B$1002,SMALL(IF((Expenses!E$3:E$1002="GBP")*(Expenses!A$3:A$1002=DATE(2026,6,27)),ROW(Expenses!A$3:A$1002)-2),4)),""),IF(IFERROR(INDEX(Income!B$3:B$502,SMALL(IF((Income!D$3:D$502="GBP")*(Income!A$3:A$502=DATE(2026,6,27)),ROW(Income!A$3:A$502)-2),4)),"")&lt;&gt;"",IFERROR(INDEX(Income!B$3:B$502,SMALL(IF((Income!D$3:D$502="GBP")*(Income!A$3:A$502=DATE(2026,6,27)),ROW(Income!A$3:A$502)-2),4)),""),""))</f>
        <v/>
      </c>
      <c r="O132" s="62" t="str">
        <f aca="false">IF(IFERROR(-INDEX(Expenses!D$3:D$1002,SMALL(IF((Expenses!E$3:E$1002="GBP")*(Expenses!A$3:A$1002=DATE(2026,6,28)),ROW(Expenses!A$3:A$1002)-2),4)),0)+IFERROR(INDEX(Income!C$3:C$502,SMALL(IF((Income!D$3:D$502="GBP")*(Income!A$3:A$502=DATE(2026,6,28)),ROW(Income!A$3:A$502)-2),4)),0)=0,"",IFERROR(-INDEX(Expenses!D$3:D$1002,SMALL(IF((Expenses!E$3:E$1002="GBP")*(Expenses!A$3:A$1002=DATE(2026,6,28)),ROW(Expenses!A$3:A$1002)-2),4)),0)+IFERROR(INDEX(Income!C$3:C$502,SMALL(IF((Income!D$3:D$502="GBP")*(Income!A$3:A$502=DATE(2026,6,28)),ROW(Income!A$3:A$502)-2),4)),0))</f>
        <v/>
      </c>
      <c r="P132" s="38" t="str">
        <f aca="false">IF(IFERROR(INDEX(Expenses!B$3:B$1002,SMALL(IF((Expenses!E$3:E$1002="GBP")*(Expenses!A$3:A$1002=DATE(2026,6,28)),ROW(Expenses!A$3:A$1002)-2),4)),"")&lt;&gt;"",IFERROR(INDEX(Expenses!B$3:B$1002,SMALL(IF((Expenses!E$3:E$1002="GBP")*(Expenses!A$3:A$1002=DATE(2026,6,28)),ROW(Expenses!A$3:A$1002)-2),4)),""),IF(IFERROR(INDEX(Income!B$3:B$502,SMALL(IF((Income!D$3:D$502="GBP")*(Income!A$3:A$502=DATE(2026,6,28)),ROW(Income!A$3:A$502)-2),4)),"")&lt;&gt;"",IFERROR(INDEX(Income!B$3:B$502,SMALL(IF((Income!D$3:D$502="GBP")*(Income!A$3:A$502=DATE(2026,6,28)),ROW(Income!A$3:A$502)-2),4)),""),""))</f>
        <v/>
      </c>
      <c r="Q132" s="16"/>
      <c r="R132" s="16"/>
    </row>
    <row r="133" customFormat="false" ht="15" hidden="false" customHeight="false" outlineLevel="0" collapsed="false">
      <c r="A133" s="16"/>
      <c r="B133" s="16"/>
      <c r="C133" s="62" t="str">
        <f aca="false">IF(IFERROR(-INDEX(Expenses!D$3:D$1002,SMALL(IF((Expenses!E$3:E$1002="GBP")*(Expenses!A$3:A$1002=DATE(2026,6,22)),ROW(Expenses!A$3:A$1002)-2),5)),0)+IFERROR(INDEX(Income!C$3:C$502,SMALL(IF((Income!D$3:D$502="GBP")*(Income!A$3:A$502=DATE(2026,6,22)),ROW(Income!A$3:A$502)-2),5)),0)=0,"",IFERROR(-INDEX(Expenses!D$3:D$1002,SMALL(IF((Expenses!E$3:E$1002="GBP")*(Expenses!A$3:A$1002=DATE(2026,6,22)),ROW(Expenses!A$3:A$1002)-2),5)),0)+IFERROR(INDEX(Income!C$3:C$502,SMALL(IF((Income!D$3:D$502="GBP")*(Income!A$3:A$502=DATE(2026,6,22)),ROW(Income!A$3:A$502)-2),5)),0))</f>
        <v/>
      </c>
      <c r="D133" s="38" t="str">
        <f aca="false">IF(IFERROR(INDEX(Expenses!B$3:B$1002,SMALL(IF((Expenses!E$3:E$1002="GBP")*(Expenses!A$3:A$1002=DATE(2026,6,22)),ROW(Expenses!A$3:A$1002)-2),5)),"")&lt;&gt;"",IFERROR(INDEX(Expenses!B$3:B$1002,SMALL(IF((Expenses!E$3:E$1002="GBP")*(Expenses!A$3:A$1002=DATE(2026,6,22)),ROW(Expenses!A$3:A$1002)-2),5)),""),IF(IFERROR(INDEX(Income!B$3:B$502,SMALL(IF((Income!D$3:D$502="GBP")*(Income!A$3:A$502=DATE(2026,6,22)),ROW(Income!A$3:A$502)-2),5)),"")&lt;&gt;"",IFERROR(INDEX(Income!B$3:B$502,SMALL(IF((Income!D$3:D$502="GBP")*(Income!A$3:A$502=DATE(2026,6,22)),ROW(Income!A$3:A$502)-2),5)),""),""))</f>
        <v/>
      </c>
      <c r="E133" s="62" t="str">
        <f aca="false">IF(IFERROR(-INDEX(Expenses!D$3:D$1002,SMALL(IF((Expenses!E$3:E$1002="GBP")*(Expenses!A$3:A$1002=DATE(2026,6,23)),ROW(Expenses!A$3:A$1002)-2),5)),0)+IFERROR(INDEX(Income!C$3:C$502,SMALL(IF((Income!D$3:D$502="GBP")*(Income!A$3:A$502=DATE(2026,6,23)),ROW(Income!A$3:A$502)-2),5)),0)=0,"",IFERROR(-INDEX(Expenses!D$3:D$1002,SMALL(IF((Expenses!E$3:E$1002="GBP")*(Expenses!A$3:A$1002=DATE(2026,6,23)),ROW(Expenses!A$3:A$1002)-2),5)),0)+IFERROR(INDEX(Income!C$3:C$502,SMALL(IF((Income!D$3:D$502="GBP")*(Income!A$3:A$502=DATE(2026,6,23)),ROW(Income!A$3:A$502)-2),5)),0))</f>
        <v/>
      </c>
      <c r="F133" s="38" t="str">
        <f aca="false">IF(IFERROR(INDEX(Expenses!B$3:B$1002,SMALL(IF((Expenses!E$3:E$1002="GBP")*(Expenses!A$3:A$1002=DATE(2026,6,23)),ROW(Expenses!A$3:A$1002)-2),5)),"")&lt;&gt;"",IFERROR(INDEX(Expenses!B$3:B$1002,SMALL(IF((Expenses!E$3:E$1002="GBP")*(Expenses!A$3:A$1002=DATE(2026,6,23)),ROW(Expenses!A$3:A$1002)-2),5)),""),IF(IFERROR(INDEX(Income!B$3:B$502,SMALL(IF((Income!D$3:D$502="GBP")*(Income!A$3:A$502=DATE(2026,6,23)),ROW(Income!A$3:A$502)-2),5)),"")&lt;&gt;"",IFERROR(INDEX(Income!B$3:B$502,SMALL(IF((Income!D$3:D$502="GBP")*(Income!A$3:A$502=DATE(2026,6,23)),ROW(Income!A$3:A$502)-2),5)),""),""))</f>
        <v/>
      </c>
      <c r="G133" s="62" t="str">
        <f aca="false">IF(IFERROR(-INDEX(Expenses!D$3:D$1002,SMALL(IF((Expenses!E$3:E$1002="GBP")*(Expenses!A$3:A$1002=DATE(2026,6,24)),ROW(Expenses!A$3:A$1002)-2),5)),0)+IFERROR(INDEX(Income!C$3:C$502,SMALL(IF((Income!D$3:D$502="GBP")*(Income!A$3:A$502=DATE(2026,6,24)),ROW(Income!A$3:A$502)-2),5)),0)=0,"",IFERROR(-INDEX(Expenses!D$3:D$1002,SMALL(IF((Expenses!E$3:E$1002="GBP")*(Expenses!A$3:A$1002=DATE(2026,6,24)),ROW(Expenses!A$3:A$1002)-2),5)),0)+IFERROR(INDEX(Income!C$3:C$502,SMALL(IF((Income!D$3:D$502="GBP")*(Income!A$3:A$502=DATE(2026,6,24)),ROW(Income!A$3:A$502)-2),5)),0))</f>
        <v/>
      </c>
      <c r="H133" s="38" t="str">
        <f aca="false">IF(IFERROR(INDEX(Expenses!B$3:B$1002,SMALL(IF((Expenses!E$3:E$1002="GBP")*(Expenses!A$3:A$1002=DATE(2026,6,24)),ROW(Expenses!A$3:A$1002)-2),5)),"")&lt;&gt;"",IFERROR(INDEX(Expenses!B$3:B$1002,SMALL(IF((Expenses!E$3:E$1002="GBP")*(Expenses!A$3:A$1002=DATE(2026,6,24)),ROW(Expenses!A$3:A$1002)-2),5)),""),IF(IFERROR(INDEX(Income!B$3:B$502,SMALL(IF((Income!D$3:D$502="GBP")*(Income!A$3:A$502=DATE(2026,6,24)),ROW(Income!A$3:A$502)-2),5)),"")&lt;&gt;"",IFERROR(INDEX(Income!B$3:B$502,SMALL(IF((Income!D$3:D$502="GBP")*(Income!A$3:A$502=DATE(2026,6,24)),ROW(Income!A$3:A$502)-2),5)),""),""))</f>
        <v/>
      </c>
      <c r="I133" s="62" t="str">
        <f aca="false">IF(IFERROR(-INDEX(Expenses!D$3:D$1002,SMALL(IF((Expenses!E$3:E$1002="GBP")*(Expenses!A$3:A$1002=DATE(2026,6,25)),ROW(Expenses!A$3:A$1002)-2),5)),0)+IFERROR(INDEX(Income!C$3:C$502,SMALL(IF((Income!D$3:D$502="GBP")*(Income!A$3:A$502=DATE(2026,6,25)),ROW(Income!A$3:A$502)-2),5)),0)=0,"",IFERROR(-INDEX(Expenses!D$3:D$1002,SMALL(IF((Expenses!E$3:E$1002="GBP")*(Expenses!A$3:A$1002=DATE(2026,6,25)),ROW(Expenses!A$3:A$1002)-2),5)),0)+IFERROR(INDEX(Income!C$3:C$502,SMALL(IF((Income!D$3:D$502="GBP")*(Income!A$3:A$502=DATE(2026,6,25)),ROW(Income!A$3:A$502)-2),5)),0))</f>
        <v/>
      </c>
      <c r="J133" s="38" t="str">
        <f aca="false">IF(IFERROR(INDEX(Expenses!B$3:B$1002,SMALL(IF((Expenses!E$3:E$1002="GBP")*(Expenses!A$3:A$1002=DATE(2026,6,25)),ROW(Expenses!A$3:A$1002)-2),5)),"")&lt;&gt;"",IFERROR(INDEX(Expenses!B$3:B$1002,SMALL(IF((Expenses!E$3:E$1002="GBP")*(Expenses!A$3:A$1002=DATE(2026,6,25)),ROW(Expenses!A$3:A$1002)-2),5)),""),IF(IFERROR(INDEX(Income!B$3:B$502,SMALL(IF((Income!D$3:D$502="GBP")*(Income!A$3:A$502=DATE(2026,6,25)),ROW(Income!A$3:A$502)-2),5)),"")&lt;&gt;"",IFERROR(INDEX(Income!B$3:B$502,SMALL(IF((Income!D$3:D$502="GBP")*(Income!A$3:A$502=DATE(2026,6,25)),ROW(Income!A$3:A$502)-2),5)),""),""))</f>
        <v/>
      </c>
      <c r="K133" s="62" t="str">
        <f aca="false">IF(IFERROR(-INDEX(Expenses!D$3:D$1002,SMALL(IF((Expenses!E$3:E$1002="GBP")*(Expenses!A$3:A$1002=DATE(2026,6,26)),ROW(Expenses!A$3:A$1002)-2),5)),0)+IFERROR(INDEX(Income!C$3:C$502,SMALL(IF((Income!D$3:D$502="GBP")*(Income!A$3:A$502=DATE(2026,6,26)),ROW(Income!A$3:A$502)-2),5)),0)=0,"",IFERROR(-INDEX(Expenses!D$3:D$1002,SMALL(IF((Expenses!E$3:E$1002="GBP")*(Expenses!A$3:A$1002=DATE(2026,6,26)),ROW(Expenses!A$3:A$1002)-2),5)),0)+IFERROR(INDEX(Income!C$3:C$502,SMALL(IF((Income!D$3:D$502="GBP")*(Income!A$3:A$502=DATE(2026,6,26)),ROW(Income!A$3:A$502)-2),5)),0))</f>
        <v/>
      </c>
      <c r="L133" s="38" t="str">
        <f aca="false">IF(IFERROR(INDEX(Expenses!B$3:B$1002,SMALL(IF((Expenses!E$3:E$1002="GBP")*(Expenses!A$3:A$1002=DATE(2026,6,26)),ROW(Expenses!A$3:A$1002)-2),5)),"")&lt;&gt;"",IFERROR(INDEX(Expenses!B$3:B$1002,SMALL(IF((Expenses!E$3:E$1002="GBP")*(Expenses!A$3:A$1002=DATE(2026,6,26)),ROW(Expenses!A$3:A$1002)-2),5)),""),IF(IFERROR(INDEX(Income!B$3:B$502,SMALL(IF((Income!D$3:D$502="GBP")*(Income!A$3:A$502=DATE(2026,6,26)),ROW(Income!A$3:A$502)-2),5)),"")&lt;&gt;"",IFERROR(INDEX(Income!B$3:B$502,SMALL(IF((Income!D$3:D$502="GBP")*(Income!A$3:A$502=DATE(2026,6,26)),ROW(Income!A$3:A$502)-2),5)),""),""))</f>
        <v/>
      </c>
      <c r="M133" s="62" t="str">
        <f aca="false">IF(IFERROR(-INDEX(Expenses!D$3:D$1002,SMALL(IF((Expenses!E$3:E$1002="GBP")*(Expenses!A$3:A$1002=DATE(2026,6,27)),ROW(Expenses!A$3:A$1002)-2),5)),0)+IFERROR(INDEX(Income!C$3:C$502,SMALL(IF((Income!D$3:D$502="GBP")*(Income!A$3:A$502=DATE(2026,6,27)),ROW(Income!A$3:A$502)-2),5)),0)=0,"",IFERROR(-INDEX(Expenses!D$3:D$1002,SMALL(IF((Expenses!E$3:E$1002="GBP")*(Expenses!A$3:A$1002=DATE(2026,6,27)),ROW(Expenses!A$3:A$1002)-2),5)),0)+IFERROR(INDEX(Income!C$3:C$502,SMALL(IF((Income!D$3:D$502="GBP")*(Income!A$3:A$502=DATE(2026,6,27)),ROW(Income!A$3:A$502)-2),5)),0))</f>
        <v/>
      </c>
      <c r="N133" s="38" t="str">
        <f aca="false">IF(IFERROR(INDEX(Expenses!B$3:B$1002,SMALL(IF((Expenses!E$3:E$1002="GBP")*(Expenses!A$3:A$1002=DATE(2026,6,27)),ROW(Expenses!A$3:A$1002)-2),5)),"")&lt;&gt;"",IFERROR(INDEX(Expenses!B$3:B$1002,SMALL(IF((Expenses!E$3:E$1002="GBP")*(Expenses!A$3:A$1002=DATE(2026,6,27)),ROW(Expenses!A$3:A$1002)-2),5)),""),IF(IFERROR(INDEX(Income!B$3:B$502,SMALL(IF((Income!D$3:D$502="GBP")*(Income!A$3:A$502=DATE(2026,6,27)),ROW(Income!A$3:A$502)-2),5)),"")&lt;&gt;"",IFERROR(INDEX(Income!B$3:B$502,SMALL(IF((Income!D$3:D$502="GBP")*(Income!A$3:A$502=DATE(2026,6,27)),ROW(Income!A$3:A$502)-2),5)),""),""))</f>
        <v/>
      </c>
      <c r="O133" s="62" t="str">
        <f aca="false">IF(IFERROR(-INDEX(Expenses!D$3:D$1002,SMALL(IF((Expenses!E$3:E$1002="GBP")*(Expenses!A$3:A$1002=DATE(2026,6,28)),ROW(Expenses!A$3:A$1002)-2),5)),0)+IFERROR(INDEX(Income!C$3:C$502,SMALL(IF((Income!D$3:D$502="GBP")*(Income!A$3:A$502=DATE(2026,6,28)),ROW(Income!A$3:A$502)-2),5)),0)=0,"",IFERROR(-INDEX(Expenses!D$3:D$1002,SMALL(IF((Expenses!E$3:E$1002="GBP")*(Expenses!A$3:A$1002=DATE(2026,6,28)),ROW(Expenses!A$3:A$1002)-2),5)),0)+IFERROR(INDEX(Income!C$3:C$502,SMALL(IF((Income!D$3:D$502="GBP")*(Income!A$3:A$502=DATE(2026,6,28)),ROW(Income!A$3:A$502)-2),5)),0))</f>
        <v/>
      </c>
      <c r="P133" s="38" t="str">
        <f aca="false">IF(IFERROR(INDEX(Expenses!B$3:B$1002,SMALL(IF((Expenses!E$3:E$1002="GBP")*(Expenses!A$3:A$1002=DATE(2026,6,28)),ROW(Expenses!A$3:A$1002)-2),5)),"")&lt;&gt;"",IFERROR(INDEX(Expenses!B$3:B$1002,SMALL(IF((Expenses!E$3:E$1002="GBP")*(Expenses!A$3:A$1002=DATE(2026,6,28)),ROW(Expenses!A$3:A$1002)-2),5)),""),IF(IFERROR(INDEX(Income!B$3:B$502,SMALL(IF((Income!D$3:D$502="GBP")*(Income!A$3:A$502=DATE(2026,6,28)),ROW(Income!A$3:A$502)-2),5)),"")&lt;&gt;"",IFERROR(INDEX(Income!B$3:B$502,SMALL(IF((Income!D$3:D$502="GBP")*(Income!A$3:A$502=DATE(2026,6,28)),ROW(Income!A$3:A$502)-2),5)),""),""))</f>
        <v/>
      </c>
      <c r="Q133" s="16"/>
      <c r="R133" s="16"/>
    </row>
    <row r="134" customFormat="false" ht="15" hidden="false" customHeight="false" outlineLevel="0" collapsed="false">
      <c r="A134" s="61" t="n">
        <v>46202</v>
      </c>
      <c r="B134" s="3" t="n">
        <v>27</v>
      </c>
      <c r="C134" s="62" t="str">
        <f aca="false">IF(IFERROR(-INDEX(Expenses!D$3:D$1002,SMALL(IF((Expenses!E$3:E$1002="GBP")*(Expenses!A$3:A$1002=DATE(2026,6,29)),ROW(Expenses!A$3:A$1002)-2),1)),0)+IFERROR(INDEX(Income!C$3:C$502,SMALL(IF((Income!D$3:D$502="GBP")*(Income!A$3:A$502=DATE(2026,6,29)),ROW(Income!A$3:A$502)-2),1)),0)=0,"",IFERROR(-INDEX(Expenses!D$3:D$1002,SMALL(IF((Expenses!E$3:E$1002="GBP")*(Expenses!A$3:A$1002=DATE(2026,6,29)),ROW(Expenses!A$3:A$1002)-2),1)),0)+IFERROR(INDEX(Income!C$3:C$502,SMALL(IF((Income!D$3:D$502="GBP")*(Income!A$3:A$502=DATE(2026,6,29)),ROW(Income!A$3:A$502)-2),1)),0))</f>
        <v/>
      </c>
      <c r="D134" s="38" t="str">
        <f aca="false">IF(IFERROR(INDEX(Expenses!B$3:B$1002,SMALL(IF((Expenses!E$3:E$1002="GBP")*(Expenses!A$3:A$1002=DATE(2026,6,29)),ROW(Expenses!A$3:A$1002)-2),1)),"")&lt;&gt;"",IFERROR(INDEX(Expenses!B$3:B$1002,SMALL(IF((Expenses!E$3:E$1002="GBP")*(Expenses!A$3:A$1002=DATE(2026,6,29)),ROW(Expenses!A$3:A$1002)-2),1)),""),IF(IFERROR(INDEX(Income!B$3:B$502,SMALL(IF((Income!D$3:D$502="GBP")*(Income!A$3:A$502=DATE(2026,6,29)),ROW(Income!A$3:A$502)-2),1)),"")&lt;&gt;"",IFERROR(INDEX(Income!B$3:B$502,SMALL(IF((Income!D$3:D$502="GBP")*(Income!A$3:A$502=DATE(2026,6,29)),ROW(Income!A$3:A$502)-2),1)),""),""))</f>
        <v/>
      </c>
      <c r="E134" s="62" t="str">
        <f aca="false">IF(IFERROR(-INDEX(Expenses!D$3:D$1002,SMALL(IF((Expenses!E$3:E$1002="GBP")*(Expenses!A$3:A$1002=DATE(2026,6,30)),ROW(Expenses!A$3:A$1002)-2),1)),0)+IFERROR(INDEX(Income!C$3:C$502,SMALL(IF((Income!D$3:D$502="GBP")*(Income!A$3:A$502=DATE(2026,6,30)),ROW(Income!A$3:A$502)-2),1)),0)=0,"",IFERROR(-INDEX(Expenses!D$3:D$1002,SMALL(IF((Expenses!E$3:E$1002="GBP")*(Expenses!A$3:A$1002=DATE(2026,6,30)),ROW(Expenses!A$3:A$1002)-2),1)),0)+IFERROR(INDEX(Income!C$3:C$502,SMALL(IF((Income!D$3:D$502="GBP")*(Income!A$3:A$502=DATE(2026,6,30)),ROW(Income!A$3:A$502)-2),1)),0))</f>
        <v/>
      </c>
      <c r="F134" s="38" t="str">
        <f aca="false">IF(IFERROR(INDEX(Expenses!B$3:B$1002,SMALL(IF((Expenses!E$3:E$1002="GBP")*(Expenses!A$3:A$1002=DATE(2026,6,30)),ROW(Expenses!A$3:A$1002)-2),1)),"")&lt;&gt;"",IFERROR(INDEX(Expenses!B$3:B$1002,SMALL(IF((Expenses!E$3:E$1002="GBP")*(Expenses!A$3:A$1002=DATE(2026,6,30)),ROW(Expenses!A$3:A$1002)-2),1)),""),IF(IFERROR(INDEX(Income!B$3:B$502,SMALL(IF((Income!D$3:D$502="GBP")*(Income!A$3:A$502=DATE(2026,6,30)),ROW(Income!A$3:A$502)-2),1)),"")&lt;&gt;"",IFERROR(INDEX(Income!B$3:B$502,SMALL(IF((Income!D$3:D$502="GBP")*(Income!A$3:A$502=DATE(2026,6,30)),ROW(Income!A$3:A$502)-2),1)),""),""))</f>
        <v/>
      </c>
      <c r="G134" s="62" t="str">
        <f aca="false">IF(IFERROR(-INDEX(Expenses!D$3:D$1002,SMALL(IF((Expenses!E$3:E$1002="GBP")*(Expenses!A$3:A$1002=DATE(2026,7,1)),ROW(Expenses!A$3:A$1002)-2),1)),0)+IFERROR(INDEX(Income!C$3:C$502,SMALL(IF((Income!D$3:D$502="GBP")*(Income!A$3:A$502=DATE(2026,7,1)),ROW(Income!A$3:A$502)-2),1)),0)=0,"",IFERROR(-INDEX(Expenses!D$3:D$1002,SMALL(IF((Expenses!E$3:E$1002="GBP")*(Expenses!A$3:A$1002=DATE(2026,7,1)),ROW(Expenses!A$3:A$1002)-2),1)),0)+IFERROR(INDEX(Income!C$3:C$502,SMALL(IF((Income!D$3:D$502="GBP")*(Income!A$3:A$502=DATE(2026,7,1)),ROW(Income!A$3:A$502)-2),1)),0))</f>
        <v/>
      </c>
      <c r="H134" s="38" t="str">
        <f aca="false">IF(IFERROR(INDEX(Expenses!B$3:B$1002,SMALL(IF((Expenses!E$3:E$1002="GBP")*(Expenses!A$3:A$1002=DATE(2026,7,1)),ROW(Expenses!A$3:A$1002)-2),1)),"")&lt;&gt;"",IFERROR(INDEX(Expenses!B$3:B$1002,SMALL(IF((Expenses!E$3:E$1002="GBP")*(Expenses!A$3:A$1002=DATE(2026,7,1)),ROW(Expenses!A$3:A$1002)-2),1)),""),IF(IFERROR(INDEX(Income!B$3:B$502,SMALL(IF((Income!D$3:D$502="GBP")*(Income!A$3:A$502=DATE(2026,7,1)),ROW(Income!A$3:A$502)-2),1)),"")&lt;&gt;"",IFERROR(INDEX(Income!B$3:B$502,SMALL(IF((Income!D$3:D$502="GBP")*(Income!A$3:A$502=DATE(2026,7,1)),ROW(Income!A$3:A$502)-2),1)),""),""))</f>
        <v/>
      </c>
      <c r="I134" s="62" t="str">
        <f aca="false">IF(IFERROR(-INDEX(Expenses!D$3:D$1002,SMALL(IF((Expenses!E$3:E$1002="GBP")*(Expenses!A$3:A$1002=DATE(2026,7,2)),ROW(Expenses!A$3:A$1002)-2),1)),0)+IFERROR(INDEX(Income!C$3:C$502,SMALL(IF((Income!D$3:D$502="GBP")*(Income!A$3:A$502=DATE(2026,7,2)),ROW(Income!A$3:A$502)-2),1)),0)=0,"",IFERROR(-INDEX(Expenses!D$3:D$1002,SMALL(IF((Expenses!E$3:E$1002="GBP")*(Expenses!A$3:A$1002=DATE(2026,7,2)),ROW(Expenses!A$3:A$1002)-2),1)),0)+IFERROR(INDEX(Income!C$3:C$502,SMALL(IF((Income!D$3:D$502="GBP")*(Income!A$3:A$502=DATE(2026,7,2)),ROW(Income!A$3:A$502)-2),1)),0))</f>
        <v/>
      </c>
      <c r="J134" s="38" t="str">
        <f aca="false">IF(IFERROR(INDEX(Expenses!B$3:B$1002,SMALL(IF((Expenses!E$3:E$1002="GBP")*(Expenses!A$3:A$1002=DATE(2026,7,2)),ROW(Expenses!A$3:A$1002)-2),1)),"")&lt;&gt;"",IFERROR(INDEX(Expenses!B$3:B$1002,SMALL(IF((Expenses!E$3:E$1002="GBP")*(Expenses!A$3:A$1002=DATE(2026,7,2)),ROW(Expenses!A$3:A$1002)-2),1)),""),IF(IFERROR(INDEX(Income!B$3:B$502,SMALL(IF((Income!D$3:D$502="GBP")*(Income!A$3:A$502=DATE(2026,7,2)),ROW(Income!A$3:A$502)-2),1)),"")&lt;&gt;"",IFERROR(INDEX(Income!B$3:B$502,SMALL(IF((Income!D$3:D$502="GBP")*(Income!A$3:A$502=DATE(2026,7,2)),ROW(Income!A$3:A$502)-2),1)),""),""))</f>
        <v/>
      </c>
      <c r="K134" s="62" t="str">
        <f aca="false">IF(IFERROR(-INDEX(Expenses!D$3:D$1002,SMALL(IF((Expenses!E$3:E$1002="GBP")*(Expenses!A$3:A$1002=DATE(2026,7,3)),ROW(Expenses!A$3:A$1002)-2),1)),0)+IFERROR(INDEX(Income!C$3:C$502,SMALL(IF((Income!D$3:D$502="GBP")*(Income!A$3:A$502=DATE(2026,7,3)),ROW(Income!A$3:A$502)-2),1)),0)=0,"",IFERROR(-INDEX(Expenses!D$3:D$1002,SMALL(IF((Expenses!E$3:E$1002="GBP")*(Expenses!A$3:A$1002=DATE(2026,7,3)),ROW(Expenses!A$3:A$1002)-2),1)),0)+IFERROR(INDEX(Income!C$3:C$502,SMALL(IF((Income!D$3:D$502="GBP")*(Income!A$3:A$502=DATE(2026,7,3)),ROW(Income!A$3:A$502)-2),1)),0))</f>
        <v/>
      </c>
      <c r="L134" s="38" t="str">
        <f aca="false">IF(IFERROR(INDEX(Expenses!B$3:B$1002,SMALL(IF((Expenses!E$3:E$1002="GBP")*(Expenses!A$3:A$1002=DATE(2026,7,3)),ROW(Expenses!A$3:A$1002)-2),1)),"")&lt;&gt;"",IFERROR(INDEX(Expenses!B$3:B$1002,SMALL(IF((Expenses!E$3:E$1002="GBP")*(Expenses!A$3:A$1002=DATE(2026,7,3)),ROW(Expenses!A$3:A$1002)-2),1)),""),IF(IFERROR(INDEX(Income!B$3:B$502,SMALL(IF((Income!D$3:D$502="GBP")*(Income!A$3:A$502=DATE(2026,7,3)),ROW(Income!A$3:A$502)-2),1)),"")&lt;&gt;"",IFERROR(INDEX(Income!B$3:B$502,SMALL(IF((Income!D$3:D$502="GBP")*(Income!A$3:A$502=DATE(2026,7,3)),ROW(Income!A$3:A$502)-2),1)),""),""))</f>
        <v/>
      </c>
      <c r="M134" s="62" t="str">
        <f aca="false">IF(IFERROR(-INDEX(Expenses!D$3:D$1002,SMALL(IF((Expenses!E$3:E$1002="GBP")*(Expenses!A$3:A$1002=DATE(2026,7,4)),ROW(Expenses!A$3:A$1002)-2),1)),0)+IFERROR(INDEX(Income!C$3:C$502,SMALL(IF((Income!D$3:D$502="GBP")*(Income!A$3:A$502=DATE(2026,7,4)),ROW(Income!A$3:A$502)-2),1)),0)=0,"",IFERROR(-INDEX(Expenses!D$3:D$1002,SMALL(IF((Expenses!E$3:E$1002="GBP")*(Expenses!A$3:A$1002=DATE(2026,7,4)),ROW(Expenses!A$3:A$1002)-2),1)),0)+IFERROR(INDEX(Income!C$3:C$502,SMALL(IF((Income!D$3:D$502="GBP")*(Income!A$3:A$502=DATE(2026,7,4)),ROW(Income!A$3:A$502)-2),1)),0))</f>
        <v/>
      </c>
      <c r="N134" s="38" t="str">
        <f aca="false">IF(IFERROR(INDEX(Expenses!B$3:B$1002,SMALL(IF((Expenses!E$3:E$1002="GBP")*(Expenses!A$3:A$1002=DATE(2026,7,4)),ROW(Expenses!A$3:A$1002)-2),1)),"")&lt;&gt;"",IFERROR(INDEX(Expenses!B$3:B$1002,SMALL(IF((Expenses!E$3:E$1002="GBP")*(Expenses!A$3:A$1002=DATE(2026,7,4)),ROW(Expenses!A$3:A$1002)-2),1)),""),IF(IFERROR(INDEX(Income!B$3:B$502,SMALL(IF((Income!D$3:D$502="GBP")*(Income!A$3:A$502=DATE(2026,7,4)),ROW(Income!A$3:A$502)-2),1)),"")&lt;&gt;"",IFERROR(INDEX(Income!B$3:B$502,SMALL(IF((Income!D$3:D$502="GBP")*(Income!A$3:A$502=DATE(2026,7,4)),ROW(Income!A$3:A$502)-2),1)),""),""))</f>
        <v/>
      </c>
      <c r="O134" s="62" t="str">
        <f aca="false">IF(IFERROR(-INDEX(Expenses!D$3:D$1002,SMALL(IF((Expenses!E$3:E$1002="GBP")*(Expenses!A$3:A$1002=DATE(2026,7,5)),ROW(Expenses!A$3:A$1002)-2),1)),0)+IFERROR(INDEX(Income!C$3:C$502,SMALL(IF((Income!D$3:D$502="GBP")*(Income!A$3:A$502=DATE(2026,7,5)),ROW(Income!A$3:A$502)-2),1)),0)=0,"",IFERROR(-INDEX(Expenses!D$3:D$1002,SMALL(IF((Expenses!E$3:E$1002="GBP")*(Expenses!A$3:A$1002=DATE(2026,7,5)),ROW(Expenses!A$3:A$1002)-2),1)),0)+IFERROR(INDEX(Income!C$3:C$502,SMALL(IF((Income!D$3:D$502="GBP")*(Income!A$3:A$502=DATE(2026,7,5)),ROW(Income!A$3:A$502)-2),1)),0))</f>
        <v/>
      </c>
      <c r="P134" s="38" t="str">
        <f aca="false">IF(IFERROR(INDEX(Expenses!B$3:B$1002,SMALL(IF((Expenses!E$3:E$1002="GBP")*(Expenses!A$3:A$1002=DATE(2026,7,5)),ROW(Expenses!A$3:A$1002)-2),1)),"")&lt;&gt;"",IFERROR(INDEX(Expenses!B$3:B$1002,SMALL(IF((Expenses!E$3:E$1002="GBP")*(Expenses!A$3:A$1002=DATE(2026,7,5)),ROW(Expenses!A$3:A$1002)-2),1)),""),IF(IFERROR(INDEX(Income!B$3:B$502,SMALL(IF((Income!D$3:D$502="GBP")*(Income!A$3:A$502=DATE(2026,7,5)),ROW(Income!A$3:A$502)-2),1)),"")&lt;&gt;"",IFERROR(INDEX(Income!B$3:B$502,SMALL(IF((Income!D$3:D$502="GBP")*(Income!A$3:A$502=DATE(2026,7,5)),ROW(Income!A$3:A$502)-2),1)),""),""))</f>
        <v/>
      </c>
      <c r="Q134" s="3" t="n">
        <v>27</v>
      </c>
      <c r="R134" s="45" t="n">
        <f aca="false">SUM(C134:C138)+SUM(E134:E138)+SUM(G134:G138)+SUM(I134:I138)+SUM(K134:K138)+SUM(M134:M138)+SUM(O134:O138)</f>
        <v>0</v>
      </c>
    </row>
    <row r="135" customFormat="false" ht="15" hidden="false" customHeight="false" outlineLevel="0" collapsed="false">
      <c r="A135" s="16"/>
      <c r="B135" s="16"/>
      <c r="C135" s="62" t="str">
        <f aca="false">IF(IFERROR(-INDEX(Expenses!D$3:D$1002,SMALL(IF((Expenses!E$3:E$1002="GBP")*(Expenses!A$3:A$1002=DATE(2026,6,29)),ROW(Expenses!A$3:A$1002)-2),2)),0)+IFERROR(INDEX(Income!C$3:C$502,SMALL(IF((Income!D$3:D$502="GBP")*(Income!A$3:A$502=DATE(2026,6,29)),ROW(Income!A$3:A$502)-2),2)),0)=0,"",IFERROR(-INDEX(Expenses!D$3:D$1002,SMALL(IF((Expenses!E$3:E$1002="GBP")*(Expenses!A$3:A$1002=DATE(2026,6,29)),ROW(Expenses!A$3:A$1002)-2),2)),0)+IFERROR(INDEX(Income!C$3:C$502,SMALL(IF((Income!D$3:D$502="GBP")*(Income!A$3:A$502=DATE(2026,6,29)),ROW(Income!A$3:A$502)-2),2)),0))</f>
        <v/>
      </c>
      <c r="D135" s="38" t="str">
        <f aca="false">IF(IFERROR(INDEX(Expenses!B$3:B$1002,SMALL(IF((Expenses!E$3:E$1002="GBP")*(Expenses!A$3:A$1002=DATE(2026,6,29)),ROW(Expenses!A$3:A$1002)-2),2)),"")&lt;&gt;"",IFERROR(INDEX(Expenses!B$3:B$1002,SMALL(IF((Expenses!E$3:E$1002="GBP")*(Expenses!A$3:A$1002=DATE(2026,6,29)),ROW(Expenses!A$3:A$1002)-2),2)),""),IF(IFERROR(INDEX(Income!B$3:B$502,SMALL(IF((Income!D$3:D$502="GBP")*(Income!A$3:A$502=DATE(2026,6,29)),ROW(Income!A$3:A$502)-2),2)),"")&lt;&gt;"",IFERROR(INDEX(Income!B$3:B$502,SMALL(IF((Income!D$3:D$502="GBP")*(Income!A$3:A$502=DATE(2026,6,29)),ROW(Income!A$3:A$502)-2),2)),""),""))</f>
        <v/>
      </c>
      <c r="E135" s="62" t="str">
        <f aca="false">IF(IFERROR(-INDEX(Expenses!D$3:D$1002,SMALL(IF((Expenses!E$3:E$1002="GBP")*(Expenses!A$3:A$1002=DATE(2026,6,30)),ROW(Expenses!A$3:A$1002)-2),2)),0)+IFERROR(INDEX(Income!C$3:C$502,SMALL(IF((Income!D$3:D$502="GBP")*(Income!A$3:A$502=DATE(2026,6,30)),ROW(Income!A$3:A$502)-2),2)),0)=0,"",IFERROR(-INDEX(Expenses!D$3:D$1002,SMALL(IF((Expenses!E$3:E$1002="GBP")*(Expenses!A$3:A$1002=DATE(2026,6,30)),ROW(Expenses!A$3:A$1002)-2),2)),0)+IFERROR(INDEX(Income!C$3:C$502,SMALL(IF((Income!D$3:D$502="GBP")*(Income!A$3:A$502=DATE(2026,6,30)),ROW(Income!A$3:A$502)-2),2)),0))</f>
        <v/>
      </c>
      <c r="F135" s="38" t="str">
        <f aca="false">IF(IFERROR(INDEX(Expenses!B$3:B$1002,SMALL(IF((Expenses!E$3:E$1002="GBP")*(Expenses!A$3:A$1002=DATE(2026,6,30)),ROW(Expenses!A$3:A$1002)-2),2)),"")&lt;&gt;"",IFERROR(INDEX(Expenses!B$3:B$1002,SMALL(IF((Expenses!E$3:E$1002="GBP")*(Expenses!A$3:A$1002=DATE(2026,6,30)),ROW(Expenses!A$3:A$1002)-2),2)),""),IF(IFERROR(INDEX(Income!B$3:B$502,SMALL(IF((Income!D$3:D$502="GBP")*(Income!A$3:A$502=DATE(2026,6,30)),ROW(Income!A$3:A$502)-2),2)),"")&lt;&gt;"",IFERROR(INDEX(Income!B$3:B$502,SMALL(IF((Income!D$3:D$502="GBP")*(Income!A$3:A$502=DATE(2026,6,30)),ROW(Income!A$3:A$502)-2),2)),""),""))</f>
        <v/>
      </c>
      <c r="G135" s="62" t="str">
        <f aca="false">IF(IFERROR(-INDEX(Expenses!D$3:D$1002,SMALL(IF((Expenses!E$3:E$1002="GBP")*(Expenses!A$3:A$1002=DATE(2026,7,1)),ROW(Expenses!A$3:A$1002)-2),2)),0)+IFERROR(INDEX(Income!C$3:C$502,SMALL(IF((Income!D$3:D$502="GBP")*(Income!A$3:A$502=DATE(2026,7,1)),ROW(Income!A$3:A$502)-2),2)),0)=0,"",IFERROR(-INDEX(Expenses!D$3:D$1002,SMALL(IF((Expenses!E$3:E$1002="GBP")*(Expenses!A$3:A$1002=DATE(2026,7,1)),ROW(Expenses!A$3:A$1002)-2),2)),0)+IFERROR(INDEX(Income!C$3:C$502,SMALL(IF((Income!D$3:D$502="GBP")*(Income!A$3:A$502=DATE(2026,7,1)),ROW(Income!A$3:A$502)-2),2)),0))</f>
        <v/>
      </c>
      <c r="H135" s="38" t="str">
        <f aca="false">IF(IFERROR(INDEX(Expenses!B$3:B$1002,SMALL(IF((Expenses!E$3:E$1002="GBP")*(Expenses!A$3:A$1002=DATE(2026,7,1)),ROW(Expenses!A$3:A$1002)-2),2)),"")&lt;&gt;"",IFERROR(INDEX(Expenses!B$3:B$1002,SMALL(IF((Expenses!E$3:E$1002="GBP")*(Expenses!A$3:A$1002=DATE(2026,7,1)),ROW(Expenses!A$3:A$1002)-2),2)),""),IF(IFERROR(INDEX(Income!B$3:B$502,SMALL(IF((Income!D$3:D$502="GBP")*(Income!A$3:A$502=DATE(2026,7,1)),ROW(Income!A$3:A$502)-2),2)),"")&lt;&gt;"",IFERROR(INDEX(Income!B$3:B$502,SMALL(IF((Income!D$3:D$502="GBP")*(Income!A$3:A$502=DATE(2026,7,1)),ROW(Income!A$3:A$502)-2),2)),""),""))</f>
        <v/>
      </c>
      <c r="I135" s="62" t="str">
        <f aca="false">IF(IFERROR(-INDEX(Expenses!D$3:D$1002,SMALL(IF((Expenses!E$3:E$1002="GBP")*(Expenses!A$3:A$1002=DATE(2026,7,2)),ROW(Expenses!A$3:A$1002)-2),2)),0)+IFERROR(INDEX(Income!C$3:C$502,SMALL(IF((Income!D$3:D$502="GBP")*(Income!A$3:A$502=DATE(2026,7,2)),ROW(Income!A$3:A$502)-2),2)),0)=0,"",IFERROR(-INDEX(Expenses!D$3:D$1002,SMALL(IF((Expenses!E$3:E$1002="GBP")*(Expenses!A$3:A$1002=DATE(2026,7,2)),ROW(Expenses!A$3:A$1002)-2),2)),0)+IFERROR(INDEX(Income!C$3:C$502,SMALL(IF((Income!D$3:D$502="GBP")*(Income!A$3:A$502=DATE(2026,7,2)),ROW(Income!A$3:A$502)-2),2)),0))</f>
        <v/>
      </c>
      <c r="J135" s="38" t="str">
        <f aca="false">IF(IFERROR(INDEX(Expenses!B$3:B$1002,SMALL(IF((Expenses!E$3:E$1002="GBP")*(Expenses!A$3:A$1002=DATE(2026,7,2)),ROW(Expenses!A$3:A$1002)-2),2)),"")&lt;&gt;"",IFERROR(INDEX(Expenses!B$3:B$1002,SMALL(IF((Expenses!E$3:E$1002="GBP")*(Expenses!A$3:A$1002=DATE(2026,7,2)),ROW(Expenses!A$3:A$1002)-2),2)),""),IF(IFERROR(INDEX(Income!B$3:B$502,SMALL(IF((Income!D$3:D$502="GBP")*(Income!A$3:A$502=DATE(2026,7,2)),ROW(Income!A$3:A$502)-2),2)),"")&lt;&gt;"",IFERROR(INDEX(Income!B$3:B$502,SMALL(IF((Income!D$3:D$502="GBP")*(Income!A$3:A$502=DATE(2026,7,2)),ROW(Income!A$3:A$502)-2),2)),""),""))</f>
        <v/>
      </c>
      <c r="K135" s="62" t="str">
        <f aca="false">IF(IFERROR(-INDEX(Expenses!D$3:D$1002,SMALL(IF((Expenses!E$3:E$1002="GBP")*(Expenses!A$3:A$1002=DATE(2026,7,3)),ROW(Expenses!A$3:A$1002)-2),2)),0)+IFERROR(INDEX(Income!C$3:C$502,SMALL(IF((Income!D$3:D$502="GBP")*(Income!A$3:A$502=DATE(2026,7,3)),ROW(Income!A$3:A$502)-2),2)),0)=0,"",IFERROR(-INDEX(Expenses!D$3:D$1002,SMALL(IF((Expenses!E$3:E$1002="GBP")*(Expenses!A$3:A$1002=DATE(2026,7,3)),ROW(Expenses!A$3:A$1002)-2),2)),0)+IFERROR(INDEX(Income!C$3:C$502,SMALL(IF((Income!D$3:D$502="GBP")*(Income!A$3:A$502=DATE(2026,7,3)),ROW(Income!A$3:A$502)-2),2)),0))</f>
        <v/>
      </c>
      <c r="L135" s="38" t="str">
        <f aca="false">IF(IFERROR(INDEX(Expenses!B$3:B$1002,SMALL(IF((Expenses!E$3:E$1002="GBP")*(Expenses!A$3:A$1002=DATE(2026,7,3)),ROW(Expenses!A$3:A$1002)-2),2)),"")&lt;&gt;"",IFERROR(INDEX(Expenses!B$3:B$1002,SMALL(IF((Expenses!E$3:E$1002="GBP")*(Expenses!A$3:A$1002=DATE(2026,7,3)),ROW(Expenses!A$3:A$1002)-2),2)),""),IF(IFERROR(INDEX(Income!B$3:B$502,SMALL(IF((Income!D$3:D$502="GBP")*(Income!A$3:A$502=DATE(2026,7,3)),ROW(Income!A$3:A$502)-2),2)),"")&lt;&gt;"",IFERROR(INDEX(Income!B$3:B$502,SMALL(IF((Income!D$3:D$502="GBP")*(Income!A$3:A$502=DATE(2026,7,3)),ROW(Income!A$3:A$502)-2),2)),""),""))</f>
        <v/>
      </c>
      <c r="M135" s="62" t="str">
        <f aca="false">IF(IFERROR(-INDEX(Expenses!D$3:D$1002,SMALL(IF((Expenses!E$3:E$1002="GBP")*(Expenses!A$3:A$1002=DATE(2026,7,4)),ROW(Expenses!A$3:A$1002)-2),2)),0)+IFERROR(INDEX(Income!C$3:C$502,SMALL(IF((Income!D$3:D$502="GBP")*(Income!A$3:A$502=DATE(2026,7,4)),ROW(Income!A$3:A$502)-2),2)),0)=0,"",IFERROR(-INDEX(Expenses!D$3:D$1002,SMALL(IF((Expenses!E$3:E$1002="GBP")*(Expenses!A$3:A$1002=DATE(2026,7,4)),ROW(Expenses!A$3:A$1002)-2),2)),0)+IFERROR(INDEX(Income!C$3:C$502,SMALL(IF((Income!D$3:D$502="GBP")*(Income!A$3:A$502=DATE(2026,7,4)),ROW(Income!A$3:A$502)-2),2)),0))</f>
        <v/>
      </c>
      <c r="N135" s="38" t="str">
        <f aca="false">IF(IFERROR(INDEX(Expenses!B$3:B$1002,SMALL(IF((Expenses!E$3:E$1002="GBP")*(Expenses!A$3:A$1002=DATE(2026,7,4)),ROW(Expenses!A$3:A$1002)-2),2)),"")&lt;&gt;"",IFERROR(INDEX(Expenses!B$3:B$1002,SMALL(IF((Expenses!E$3:E$1002="GBP")*(Expenses!A$3:A$1002=DATE(2026,7,4)),ROW(Expenses!A$3:A$1002)-2),2)),""),IF(IFERROR(INDEX(Income!B$3:B$502,SMALL(IF((Income!D$3:D$502="GBP")*(Income!A$3:A$502=DATE(2026,7,4)),ROW(Income!A$3:A$502)-2),2)),"")&lt;&gt;"",IFERROR(INDEX(Income!B$3:B$502,SMALL(IF((Income!D$3:D$502="GBP")*(Income!A$3:A$502=DATE(2026,7,4)),ROW(Income!A$3:A$502)-2),2)),""),""))</f>
        <v/>
      </c>
      <c r="O135" s="62" t="str">
        <f aca="false">IF(IFERROR(-INDEX(Expenses!D$3:D$1002,SMALL(IF((Expenses!E$3:E$1002="GBP")*(Expenses!A$3:A$1002=DATE(2026,7,5)),ROW(Expenses!A$3:A$1002)-2),2)),0)+IFERROR(INDEX(Income!C$3:C$502,SMALL(IF((Income!D$3:D$502="GBP")*(Income!A$3:A$502=DATE(2026,7,5)),ROW(Income!A$3:A$502)-2),2)),0)=0,"",IFERROR(-INDEX(Expenses!D$3:D$1002,SMALL(IF((Expenses!E$3:E$1002="GBP")*(Expenses!A$3:A$1002=DATE(2026,7,5)),ROW(Expenses!A$3:A$1002)-2),2)),0)+IFERROR(INDEX(Income!C$3:C$502,SMALL(IF((Income!D$3:D$502="GBP")*(Income!A$3:A$502=DATE(2026,7,5)),ROW(Income!A$3:A$502)-2),2)),0))</f>
        <v/>
      </c>
      <c r="P135" s="38" t="str">
        <f aca="false">IF(IFERROR(INDEX(Expenses!B$3:B$1002,SMALL(IF((Expenses!E$3:E$1002="GBP")*(Expenses!A$3:A$1002=DATE(2026,7,5)),ROW(Expenses!A$3:A$1002)-2),2)),"")&lt;&gt;"",IFERROR(INDEX(Expenses!B$3:B$1002,SMALL(IF((Expenses!E$3:E$1002="GBP")*(Expenses!A$3:A$1002=DATE(2026,7,5)),ROW(Expenses!A$3:A$1002)-2),2)),""),IF(IFERROR(INDEX(Income!B$3:B$502,SMALL(IF((Income!D$3:D$502="GBP")*(Income!A$3:A$502=DATE(2026,7,5)),ROW(Income!A$3:A$502)-2),2)),"")&lt;&gt;"",IFERROR(INDEX(Income!B$3:B$502,SMALL(IF((Income!D$3:D$502="GBP")*(Income!A$3:A$502=DATE(2026,7,5)),ROW(Income!A$3:A$502)-2),2)),""),""))</f>
        <v/>
      </c>
      <c r="Q135" s="16"/>
      <c r="R135" s="16"/>
    </row>
    <row r="136" customFormat="false" ht="15" hidden="false" customHeight="false" outlineLevel="0" collapsed="false">
      <c r="A136" s="16"/>
      <c r="B136" s="16"/>
      <c r="C136" s="62" t="str">
        <f aca="false">IF(IFERROR(-INDEX(Expenses!D$3:D$1002,SMALL(IF((Expenses!E$3:E$1002="GBP")*(Expenses!A$3:A$1002=DATE(2026,6,29)),ROW(Expenses!A$3:A$1002)-2),3)),0)+IFERROR(INDEX(Income!C$3:C$502,SMALL(IF((Income!D$3:D$502="GBP")*(Income!A$3:A$502=DATE(2026,6,29)),ROW(Income!A$3:A$502)-2),3)),0)=0,"",IFERROR(-INDEX(Expenses!D$3:D$1002,SMALL(IF((Expenses!E$3:E$1002="GBP")*(Expenses!A$3:A$1002=DATE(2026,6,29)),ROW(Expenses!A$3:A$1002)-2),3)),0)+IFERROR(INDEX(Income!C$3:C$502,SMALL(IF((Income!D$3:D$502="GBP")*(Income!A$3:A$502=DATE(2026,6,29)),ROW(Income!A$3:A$502)-2),3)),0))</f>
        <v/>
      </c>
      <c r="D136" s="38" t="str">
        <f aca="false">IF(IFERROR(INDEX(Expenses!B$3:B$1002,SMALL(IF((Expenses!E$3:E$1002="GBP")*(Expenses!A$3:A$1002=DATE(2026,6,29)),ROW(Expenses!A$3:A$1002)-2),3)),"")&lt;&gt;"",IFERROR(INDEX(Expenses!B$3:B$1002,SMALL(IF((Expenses!E$3:E$1002="GBP")*(Expenses!A$3:A$1002=DATE(2026,6,29)),ROW(Expenses!A$3:A$1002)-2),3)),""),IF(IFERROR(INDEX(Income!B$3:B$502,SMALL(IF((Income!D$3:D$502="GBP")*(Income!A$3:A$502=DATE(2026,6,29)),ROW(Income!A$3:A$502)-2),3)),"")&lt;&gt;"",IFERROR(INDEX(Income!B$3:B$502,SMALL(IF((Income!D$3:D$502="GBP")*(Income!A$3:A$502=DATE(2026,6,29)),ROW(Income!A$3:A$502)-2),3)),""),""))</f>
        <v/>
      </c>
      <c r="E136" s="62" t="str">
        <f aca="false">IF(IFERROR(-INDEX(Expenses!D$3:D$1002,SMALL(IF((Expenses!E$3:E$1002="GBP")*(Expenses!A$3:A$1002=DATE(2026,6,30)),ROW(Expenses!A$3:A$1002)-2),3)),0)+IFERROR(INDEX(Income!C$3:C$502,SMALL(IF((Income!D$3:D$502="GBP")*(Income!A$3:A$502=DATE(2026,6,30)),ROW(Income!A$3:A$502)-2),3)),0)=0,"",IFERROR(-INDEX(Expenses!D$3:D$1002,SMALL(IF((Expenses!E$3:E$1002="GBP")*(Expenses!A$3:A$1002=DATE(2026,6,30)),ROW(Expenses!A$3:A$1002)-2),3)),0)+IFERROR(INDEX(Income!C$3:C$502,SMALL(IF((Income!D$3:D$502="GBP")*(Income!A$3:A$502=DATE(2026,6,30)),ROW(Income!A$3:A$502)-2),3)),0))</f>
        <v/>
      </c>
      <c r="F136" s="38" t="str">
        <f aca="false">IF(IFERROR(INDEX(Expenses!B$3:B$1002,SMALL(IF((Expenses!E$3:E$1002="GBP")*(Expenses!A$3:A$1002=DATE(2026,6,30)),ROW(Expenses!A$3:A$1002)-2),3)),"")&lt;&gt;"",IFERROR(INDEX(Expenses!B$3:B$1002,SMALL(IF((Expenses!E$3:E$1002="GBP")*(Expenses!A$3:A$1002=DATE(2026,6,30)),ROW(Expenses!A$3:A$1002)-2),3)),""),IF(IFERROR(INDEX(Income!B$3:B$502,SMALL(IF((Income!D$3:D$502="GBP")*(Income!A$3:A$502=DATE(2026,6,30)),ROW(Income!A$3:A$502)-2),3)),"")&lt;&gt;"",IFERROR(INDEX(Income!B$3:B$502,SMALL(IF((Income!D$3:D$502="GBP")*(Income!A$3:A$502=DATE(2026,6,30)),ROW(Income!A$3:A$502)-2),3)),""),""))</f>
        <v/>
      </c>
      <c r="G136" s="62" t="str">
        <f aca="false">IF(IFERROR(-INDEX(Expenses!D$3:D$1002,SMALL(IF((Expenses!E$3:E$1002="GBP")*(Expenses!A$3:A$1002=DATE(2026,7,1)),ROW(Expenses!A$3:A$1002)-2),3)),0)+IFERROR(INDEX(Income!C$3:C$502,SMALL(IF((Income!D$3:D$502="GBP")*(Income!A$3:A$502=DATE(2026,7,1)),ROW(Income!A$3:A$502)-2),3)),0)=0,"",IFERROR(-INDEX(Expenses!D$3:D$1002,SMALL(IF((Expenses!E$3:E$1002="GBP")*(Expenses!A$3:A$1002=DATE(2026,7,1)),ROW(Expenses!A$3:A$1002)-2),3)),0)+IFERROR(INDEX(Income!C$3:C$502,SMALL(IF((Income!D$3:D$502="GBP")*(Income!A$3:A$502=DATE(2026,7,1)),ROW(Income!A$3:A$502)-2),3)),0))</f>
        <v/>
      </c>
      <c r="H136" s="38" t="str">
        <f aca="false">IF(IFERROR(INDEX(Expenses!B$3:B$1002,SMALL(IF((Expenses!E$3:E$1002="GBP")*(Expenses!A$3:A$1002=DATE(2026,7,1)),ROW(Expenses!A$3:A$1002)-2),3)),"")&lt;&gt;"",IFERROR(INDEX(Expenses!B$3:B$1002,SMALL(IF((Expenses!E$3:E$1002="GBP")*(Expenses!A$3:A$1002=DATE(2026,7,1)),ROW(Expenses!A$3:A$1002)-2),3)),""),IF(IFERROR(INDEX(Income!B$3:B$502,SMALL(IF((Income!D$3:D$502="GBP")*(Income!A$3:A$502=DATE(2026,7,1)),ROW(Income!A$3:A$502)-2),3)),"")&lt;&gt;"",IFERROR(INDEX(Income!B$3:B$502,SMALL(IF((Income!D$3:D$502="GBP")*(Income!A$3:A$502=DATE(2026,7,1)),ROW(Income!A$3:A$502)-2),3)),""),""))</f>
        <v/>
      </c>
      <c r="I136" s="62" t="str">
        <f aca="false">IF(IFERROR(-INDEX(Expenses!D$3:D$1002,SMALL(IF((Expenses!E$3:E$1002="GBP")*(Expenses!A$3:A$1002=DATE(2026,7,2)),ROW(Expenses!A$3:A$1002)-2),3)),0)+IFERROR(INDEX(Income!C$3:C$502,SMALL(IF((Income!D$3:D$502="GBP")*(Income!A$3:A$502=DATE(2026,7,2)),ROW(Income!A$3:A$502)-2),3)),0)=0,"",IFERROR(-INDEX(Expenses!D$3:D$1002,SMALL(IF((Expenses!E$3:E$1002="GBP")*(Expenses!A$3:A$1002=DATE(2026,7,2)),ROW(Expenses!A$3:A$1002)-2),3)),0)+IFERROR(INDEX(Income!C$3:C$502,SMALL(IF((Income!D$3:D$502="GBP")*(Income!A$3:A$502=DATE(2026,7,2)),ROW(Income!A$3:A$502)-2),3)),0))</f>
        <v/>
      </c>
      <c r="J136" s="38" t="str">
        <f aca="false">IF(IFERROR(INDEX(Expenses!B$3:B$1002,SMALL(IF((Expenses!E$3:E$1002="GBP")*(Expenses!A$3:A$1002=DATE(2026,7,2)),ROW(Expenses!A$3:A$1002)-2),3)),"")&lt;&gt;"",IFERROR(INDEX(Expenses!B$3:B$1002,SMALL(IF((Expenses!E$3:E$1002="GBP")*(Expenses!A$3:A$1002=DATE(2026,7,2)),ROW(Expenses!A$3:A$1002)-2),3)),""),IF(IFERROR(INDEX(Income!B$3:B$502,SMALL(IF((Income!D$3:D$502="GBP")*(Income!A$3:A$502=DATE(2026,7,2)),ROW(Income!A$3:A$502)-2),3)),"")&lt;&gt;"",IFERROR(INDEX(Income!B$3:B$502,SMALL(IF((Income!D$3:D$502="GBP")*(Income!A$3:A$502=DATE(2026,7,2)),ROW(Income!A$3:A$502)-2),3)),""),""))</f>
        <v/>
      </c>
      <c r="K136" s="62" t="str">
        <f aca="false">IF(IFERROR(-INDEX(Expenses!D$3:D$1002,SMALL(IF((Expenses!E$3:E$1002="GBP")*(Expenses!A$3:A$1002=DATE(2026,7,3)),ROW(Expenses!A$3:A$1002)-2),3)),0)+IFERROR(INDEX(Income!C$3:C$502,SMALL(IF((Income!D$3:D$502="GBP")*(Income!A$3:A$502=DATE(2026,7,3)),ROW(Income!A$3:A$502)-2),3)),0)=0,"",IFERROR(-INDEX(Expenses!D$3:D$1002,SMALL(IF((Expenses!E$3:E$1002="GBP")*(Expenses!A$3:A$1002=DATE(2026,7,3)),ROW(Expenses!A$3:A$1002)-2),3)),0)+IFERROR(INDEX(Income!C$3:C$502,SMALL(IF((Income!D$3:D$502="GBP")*(Income!A$3:A$502=DATE(2026,7,3)),ROW(Income!A$3:A$502)-2),3)),0))</f>
        <v/>
      </c>
      <c r="L136" s="38" t="str">
        <f aca="false">IF(IFERROR(INDEX(Expenses!B$3:B$1002,SMALL(IF((Expenses!E$3:E$1002="GBP")*(Expenses!A$3:A$1002=DATE(2026,7,3)),ROW(Expenses!A$3:A$1002)-2),3)),"")&lt;&gt;"",IFERROR(INDEX(Expenses!B$3:B$1002,SMALL(IF((Expenses!E$3:E$1002="GBP")*(Expenses!A$3:A$1002=DATE(2026,7,3)),ROW(Expenses!A$3:A$1002)-2),3)),""),IF(IFERROR(INDEX(Income!B$3:B$502,SMALL(IF((Income!D$3:D$502="GBP")*(Income!A$3:A$502=DATE(2026,7,3)),ROW(Income!A$3:A$502)-2),3)),"")&lt;&gt;"",IFERROR(INDEX(Income!B$3:B$502,SMALL(IF((Income!D$3:D$502="GBP")*(Income!A$3:A$502=DATE(2026,7,3)),ROW(Income!A$3:A$502)-2),3)),""),""))</f>
        <v/>
      </c>
      <c r="M136" s="62" t="str">
        <f aca="false">IF(IFERROR(-INDEX(Expenses!D$3:D$1002,SMALL(IF((Expenses!E$3:E$1002="GBP")*(Expenses!A$3:A$1002=DATE(2026,7,4)),ROW(Expenses!A$3:A$1002)-2),3)),0)+IFERROR(INDEX(Income!C$3:C$502,SMALL(IF((Income!D$3:D$502="GBP")*(Income!A$3:A$502=DATE(2026,7,4)),ROW(Income!A$3:A$502)-2),3)),0)=0,"",IFERROR(-INDEX(Expenses!D$3:D$1002,SMALL(IF((Expenses!E$3:E$1002="GBP")*(Expenses!A$3:A$1002=DATE(2026,7,4)),ROW(Expenses!A$3:A$1002)-2),3)),0)+IFERROR(INDEX(Income!C$3:C$502,SMALL(IF((Income!D$3:D$502="GBP")*(Income!A$3:A$502=DATE(2026,7,4)),ROW(Income!A$3:A$502)-2),3)),0))</f>
        <v/>
      </c>
      <c r="N136" s="38" t="str">
        <f aca="false">IF(IFERROR(INDEX(Expenses!B$3:B$1002,SMALL(IF((Expenses!E$3:E$1002="GBP")*(Expenses!A$3:A$1002=DATE(2026,7,4)),ROW(Expenses!A$3:A$1002)-2),3)),"")&lt;&gt;"",IFERROR(INDEX(Expenses!B$3:B$1002,SMALL(IF((Expenses!E$3:E$1002="GBP")*(Expenses!A$3:A$1002=DATE(2026,7,4)),ROW(Expenses!A$3:A$1002)-2),3)),""),IF(IFERROR(INDEX(Income!B$3:B$502,SMALL(IF((Income!D$3:D$502="GBP")*(Income!A$3:A$502=DATE(2026,7,4)),ROW(Income!A$3:A$502)-2),3)),"")&lt;&gt;"",IFERROR(INDEX(Income!B$3:B$502,SMALL(IF((Income!D$3:D$502="GBP")*(Income!A$3:A$502=DATE(2026,7,4)),ROW(Income!A$3:A$502)-2),3)),""),""))</f>
        <v/>
      </c>
      <c r="O136" s="62" t="str">
        <f aca="false">IF(IFERROR(-INDEX(Expenses!D$3:D$1002,SMALL(IF((Expenses!E$3:E$1002="GBP")*(Expenses!A$3:A$1002=DATE(2026,7,5)),ROW(Expenses!A$3:A$1002)-2),3)),0)+IFERROR(INDEX(Income!C$3:C$502,SMALL(IF((Income!D$3:D$502="GBP")*(Income!A$3:A$502=DATE(2026,7,5)),ROW(Income!A$3:A$502)-2),3)),0)=0,"",IFERROR(-INDEX(Expenses!D$3:D$1002,SMALL(IF((Expenses!E$3:E$1002="GBP")*(Expenses!A$3:A$1002=DATE(2026,7,5)),ROW(Expenses!A$3:A$1002)-2),3)),0)+IFERROR(INDEX(Income!C$3:C$502,SMALL(IF((Income!D$3:D$502="GBP")*(Income!A$3:A$502=DATE(2026,7,5)),ROW(Income!A$3:A$502)-2),3)),0))</f>
        <v/>
      </c>
      <c r="P136" s="38" t="str">
        <f aca="false">IF(IFERROR(INDEX(Expenses!B$3:B$1002,SMALL(IF((Expenses!E$3:E$1002="GBP")*(Expenses!A$3:A$1002=DATE(2026,7,5)),ROW(Expenses!A$3:A$1002)-2),3)),"")&lt;&gt;"",IFERROR(INDEX(Expenses!B$3:B$1002,SMALL(IF((Expenses!E$3:E$1002="GBP")*(Expenses!A$3:A$1002=DATE(2026,7,5)),ROW(Expenses!A$3:A$1002)-2),3)),""),IF(IFERROR(INDEX(Income!B$3:B$502,SMALL(IF((Income!D$3:D$502="GBP")*(Income!A$3:A$502=DATE(2026,7,5)),ROW(Income!A$3:A$502)-2),3)),"")&lt;&gt;"",IFERROR(INDEX(Income!B$3:B$502,SMALL(IF((Income!D$3:D$502="GBP")*(Income!A$3:A$502=DATE(2026,7,5)),ROW(Income!A$3:A$502)-2),3)),""),""))</f>
        <v/>
      </c>
      <c r="Q136" s="16"/>
      <c r="R136" s="16"/>
    </row>
    <row r="137" customFormat="false" ht="15" hidden="false" customHeight="false" outlineLevel="0" collapsed="false">
      <c r="A137" s="16"/>
      <c r="B137" s="16"/>
      <c r="C137" s="62" t="str">
        <f aca="false">IF(IFERROR(-INDEX(Expenses!D$3:D$1002,SMALL(IF((Expenses!E$3:E$1002="GBP")*(Expenses!A$3:A$1002=DATE(2026,6,29)),ROW(Expenses!A$3:A$1002)-2),4)),0)+IFERROR(INDEX(Income!C$3:C$502,SMALL(IF((Income!D$3:D$502="GBP")*(Income!A$3:A$502=DATE(2026,6,29)),ROW(Income!A$3:A$502)-2),4)),0)=0,"",IFERROR(-INDEX(Expenses!D$3:D$1002,SMALL(IF((Expenses!E$3:E$1002="GBP")*(Expenses!A$3:A$1002=DATE(2026,6,29)),ROW(Expenses!A$3:A$1002)-2),4)),0)+IFERROR(INDEX(Income!C$3:C$502,SMALL(IF((Income!D$3:D$502="GBP")*(Income!A$3:A$502=DATE(2026,6,29)),ROW(Income!A$3:A$502)-2),4)),0))</f>
        <v/>
      </c>
      <c r="D137" s="38" t="str">
        <f aca="false">IF(IFERROR(INDEX(Expenses!B$3:B$1002,SMALL(IF((Expenses!E$3:E$1002="GBP")*(Expenses!A$3:A$1002=DATE(2026,6,29)),ROW(Expenses!A$3:A$1002)-2),4)),"")&lt;&gt;"",IFERROR(INDEX(Expenses!B$3:B$1002,SMALL(IF((Expenses!E$3:E$1002="GBP")*(Expenses!A$3:A$1002=DATE(2026,6,29)),ROW(Expenses!A$3:A$1002)-2),4)),""),IF(IFERROR(INDEX(Income!B$3:B$502,SMALL(IF((Income!D$3:D$502="GBP")*(Income!A$3:A$502=DATE(2026,6,29)),ROW(Income!A$3:A$502)-2),4)),"")&lt;&gt;"",IFERROR(INDEX(Income!B$3:B$502,SMALL(IF((Income!D$3:D$502="GBP")*(Income!A$3:A$502=DATE(2026,6,29)),ROW(Income!A$3:A$502)-2),4)),""),""))</f>
        <v/>
      </c>
      <c r="E137" s="62" t="str">
        <f aca="false">IF(IFERROR(-INDEX(Expenses!D$3:D$1002,SMALL(IF((Expenses!E$3:E$1002="GBP")*(Expenses!A$3:A$1002=DATE(2026,6,30)),ROW(Expenses!A$3:A$1002)-2),4)),0)+IFERROR(INDEX(Income!C$3:C$502,SMALL(IF((Income!D$3:D$502="GBP")*(Income!A$3:A$502=DATE(2026,6,30)),ROW(Income!A$3:A$502)-2),4)),0)=0,"",IFERROR(-INDEX(Expenses!D$3:D$1002,SMALL(IF((Expenses!E$3:E$1002="GBP")*(Expenses!A$3:A$1002=DATE(2026,6,30)),ROW(Expenses!A$3:A$1002)-2),4)),0)+IFERROR(INDEX(Income!C$3:C$502,SMALL(IF((Income!D$3:D$502="GBP")*(Income!A$3:A$502=DATE(2026,6,30)),ROW(Income!A$3:A$502)-2),4)),0))</f>
        <v/>
      </c>
      <c r="F137" s="38" t="str">
        <f aca="false">IF(IFERROR(INDEX(Expenses!B$3:B$1002,SMALL(IF((Expenses!E$3:E$1002="GBP")*(Expenses!A$3:A$1002=DATE(2026,6,30)),ROW(Expenses!A$3:A$1002)-2),4)),"")&lt;&gt;"",IFERROR(INDEX(Expenses!B$3:B$1002,SMALL(IF((Expenses!E$3:E$1002="GBP")*(Expenses!A$3:A$1002=DATE(2026,6,30)),ROW(Expenses!A$3:A$1002)-2),4)),""),IF(IFERROR(INDEX(Income!B$3:B$502,SMALL(IF((Income!D$3:D$502="GBP")*(Income!A$3:A$502=DATE(2026,6,30)),ROW(Income!A$3:A$502)-2),4)),"")&lt;&gt;"",IFERROR(INDEX(Income!B$3:B$502,SMALL(IF((Income!D$3:D$502="GBP")*(Income!A$3:A$502=DATE(2026,6,30)),ROW(Income!A$3:A$502)-2),4)),""),""))</f>
        <v/>
      </c>
      <c r="G137" s="62" t="str">
        <f aca="false">IF(IFERROR(-INDEX(Expenses!D$3:D$1002,SMALL(IF((Expenses!E$3:E$1002="GBP")*(Expenses!A$3:A$1002=DATE(2026,7,1)),ROW(Expenses!A$3:A$1002)-2),4)),0)+IFERROR(INDEX(Income!C$3:C$502,SMALL(IF((Income!D$3:D$502="GBP")*(Income!A$3:A$502=DATE(2026,7,1)),ROW(Income!A$3:A$502)-2),4)),0)=0,"",IFERROR(-INDEX(Expenses!D$3:D$1002,SMALL(IF((Expenses!E$3:E$1002="GBP")*(Expenses!A$3:A$1002=DATE(2026,7,1)),ROW(Expenses!A$3:A$1002)-2),4)),0)+IFERROR(INDEX(Income!C$3:C$502,SMALL(IF((Income!D$3:D$502="GBP")*(Income!A$3:A$502=DATE(2026,7,1)),ROW(Income!A$3:A$502)-2),4)),0))</f>
        <v/>
      </c>
      <c r="H137" s="38" t="str">
        <f aca="false">IF(IFERROR(INDEX(Expenses!B$3:B$1002,SMALL(IF((Expenses!E$3:E$1002="GBP")*(Expenses!A$3:A$1002=DATE(2026,7,1)),ROW(Expenses!A$3:A$1002)-2),4)),"")&lt;&gt;"",IFERROR(INDEX(Expenses!B$3:B$1002,SMALL(IF((Expenses!E$3:E$1002="GBP")*(Expenses!A$3:A$1002=DATE(2026,7,1)),ROW(Expenses!A$3:A$1002)-2),4)),""),IF(IFERROR(INDEX(Income!B$3:B$502,SMALL(IF((Income!D$3:D$502="GBP")*(Income!A$3:A$502=DATE(2026,7,1)),ROW(Income!A$3:A$502)-2),4)),"")&lt;&gt;"",IFERROR(INDEX(Income!B$3:B$502,SMALL(IF((Income!D$3:D$502="GBP")*(Income!A$3:A$502=DATE(2026,7,1)),ROW(Income!A$3:A$502)-2),4)),""),""))</f>
        <v/>
      </c>
      <c r="I137" s="62" t="str">
        <f aca="false">IF(IFERROR(-INDEX(Expenses!D$3:D$1002,SMALL(IF((Expenses!E$3:E$1002="GBP")*(Expenses!A$3:A$1002=DATE(2026,7,2)),ROW(Expenses!A$3:A$1002)-2),4)),0)+IFERROR(INDEX(Income!C$3:C$502,SMALL(IF((Income!D$3:D$502="GBP")*(Income!A$3:A$502=DATE(2026,7,2)),ROW(Income!A$3:A$502)-2),4)),0)=0,"",IFERROR(-INDEX(Expenses!D$3:D$1002,SMALL(IF((Expenses!E$3:E$1002="GBP")*(Expenses!A$3:A$1002=DATE(2026,7,2)),ROW(Expenses!A$3:A$1002)-2),4)),0)+IFERROR(INDEX(Income!C$3:C$502,SMALL(IF((Income!D$3:D$502="GBP")*(Income!A$3:A$502=DATE(2026,7,2)),ROW(Income!A$3:A$502)-2),4)),0))</f>
        <v/>
      </c>
      <c r="J137" s="38" t="str">
        <f aca="false">IF(IFERROR(INDEX(Expenses!B$3:B$1002,SMALL(IF((Expenses!E$3:E$1002="GBP")*(Expenses!A$3:A$1002=DATE(2026,7,2)),ROW(Expenses!A$3:A$1002)-2),4)),"")&lt;&gt;"",IFERROR(INDEX(Expenses!B$3:B$1002,SMALL(IF((Expenses!E$3:E$1002="GBP")*(Expenses!A$3:A$1002=DATE(2026,7,2)),ROW(Expenses!A$3:A$1002)-2),4)),""),IF(IFERROR(INDEX(Income!B$3:B$502,SMALL(IF((Income!D$3:D$502="GBP")*(Income!A$3:A$502=DATE(2026,7,2)),ROW(Income!A$3:A$502)-2),4)),"")&lt;&gt;"",IFERROR(INDEX(Income!B$3:B$502,SMALL(IF((Income!D$3:D$502="GBP")*(Income!A$3:A$502=DATE(2026,7,2)),ROW(Income!A$3:A$502)-2),4)),""),""))</f>
        <v/>
      </c>
      <c r="K137" s="62" t="str">
        <f aca="false">IF(IFERROR(-INDEX(Expenses!D$3:D$1002,SMALL(IF((Expenses!E$3:E$1002="GBP")*(Expenses!A$3:A$1002=DATE(2026,7,3)),ROW(Expenses!A$3:A$1002)-2),4)),0)+IFERROR(INDEX(Income!C$3:C$502,SMALL(IF((Income!D$3:D$502="GBP")*(Income!A$3:A$502=DATE(2026,7,3)),ROW(Income!A$3:A$502)-2),4)),0)=0,"",IFERROR(-INDEX(Expenses!D$3:D$1002,SMALL(IF((Expenses!E$3:E$1002="GBP")*(Expenses!A$3:A$1002=DATE(2026,7,3)),ROW(Expenses!A$3:A$1002)-2),4)),0)+IFERROR(INDEX(Income!C$3:C$502,SMALL(IF((Income!D$3:D$502="GBP")*(Income!A$3:A$502=DATE(2026,7,3)),ROW(Income!A$3:A$502)-2),4)),0))</f>
        <v/>
      </c>
      <c r="L137" s="38" t="str">
        <f aca="false">IF(IFERROR(INDEX(Expenses!B$3:B$1002,SMALL(IF((Expenses!E$3:E$1002="GBP")*(Expenses!A$3:A$1002=DATE(2026,7,3)),ROW(Expenses!A$3:A$1002)-2),4)),"")&lt;&gt;"",IFERROR(INDEX(Expenses!B$3:B$1002,SMALL(IF((Expenses!E$3:E$1002="GBP")*(Expenses!A$3:A$1002=DATE(2026,7,3)),ROW(Expenses!A$3:A$1002)-2),4)),""),IF(IFERROR(INDEX(Income!B$3:B$502,SMALL(IF((Income!D$3:D$502="GBP")*(Income!A$3:A$502=DATE(2026,7,3)),ROW(Income!A$3:A$502)-2),4)),"")&lt;&gt;"",IFERROR(INDEX(Income!B$3:B$502,SMALL(IF((Income!D$3:D$502="GBP")*(Income!A$3:A$502=DATE(2026,7,3)),ROW(Income!A$3:A$502)-2),4)),""),""))</f>
        <v/>
      </c>
      <c r="M137" s="62" t="str">
        <f aca="false">IF(IFERROR(-INDEX(Expenses!D$3:D$1002,SMALL(IF((Expenses!E$3:E$1002="GBP")*(Expenses!A$3:A$1002=DATE(2026,7,4)),ROW(Expenses!A$3:A$1002)-2),4)),0)+IFERROR(INDEX(Income!C$3:C$502,SMALL(IF((Income!D$3:D$502="GBP")*(Income!A$3:A$502=DATE(2026,7,4)),ROW(Income!A$3:A$502)-2),4)),0)=0,"",IFERROR(-INDEX(Expenses!D$3:D$1002,SMALL(IF((Expenses!E$3:E$1002="GBP")*(Expenses!A$3:A$1002=DATE(2026,7,4)),ROW(Expenses!A$3:A$1002)-2),4)),0)+IFERROR(INDEX(Income!C$3:C$502,SMALL(IF((Income!D$3:D$502="GBP")*(Income!A$3:A$502=DATE(2026,7,4)),ROW(Income!A$3:A$502)-2),4)),0))</f>
        <v/>
      </c>
      <c r="N137" s="38" t="str">
        <f aca="false">IF(IFERROR(INDEX(Expenses!B$3:B$1002,SMALL(IF((Expenses!E$3:E$1002="GBP")*(Expenses!A$3:A$1002=DATE(2026,7,4)),ROW(Expenses!A$3:A$1002)-2),4)),"")&lt;&gt;"",IFERROR(INDEX(Expenses!B$3:B$1002,SMALL(IF((Expenses!E$3:E$1002="GBP")*(Expenses!A$3:A$1002=DATE(2026,7,4)),ROW(Expenses!A$3:A$1002)-2),4)),""),IF(IFERROR(INDEX(Income!B$3:B$502,SMALL(IF((Income!D$3:D$502="GBP")*(Income!A$3:A$502=DATE(2026,7,4)),ROW(Income!A$3:A$502)-2),4)),"")&lt;&gt;"",IFERROR(INDEX(Income!B$3:B$502,SMALL(IF((Income!D$3:D$502="GBP")*(Income!A$3:A$502=DATE(2026,7,4)),ROW(Income!A$3:A$502)-2),4)),""),""))</f>
        <v/>
      </c>
      <c r="O137" s="62" t="str">
        <f aca="false">IF(IFERROR(-INDEX(Expenses!D$3:D$1002,SMALL(IF((Expenses!E$3:E$1002="GBP")*(Expenses!A$3:A$1002=DATE(2026,7,5)),ROW(Expenses!A$3:A$1002)-2),4)),0)+IFERROR(INDEX(Income!C$3:C$502,SMALL(IF((Income!D$3:D$502="GBP")*(Income!A$3:A$502=DATE(2026,7,5)),ROW(Income!A$3:A$502)-2),4)),0)=0,"",IFERROR(-INDEX(Expenses!D$3:D$1002,SMALL(IF((Expenses!E$3:E$1002="GBP")*(Expenses!A$3:A$1002=DATE(2026,7,5)),ROW(Expenses!A$3:A$1002)-2),4)),0)+IFERROR(INDEX(Income!C$3:C$502,SMALL(IF((Income!D$3:D$502="GBP")*(Income!A$3:A$502=DATE(2026,7,5)),ROW(Income!A$3:A$502)-2),4)),0))</f>
        <v/>
      </c>
      <c r="P137" s="38" t="str">
        <f aca="false">IF(IFERROR(INDEX(Expenses!B$3:B$1002,SMALL(IF((Expenses!E$3:E$1002="GBP")*(Expenses!A$3:A$1002=DATE(2026,7,5)),ROW(Expenses!A$3:A$1002)-2),4)),"")&lt;&gt;"",IFERROR(INDEX(Expenses!B$3:B$1002,SMALL(IF((Expenses!E$3:E$1002="GBP")*(Expenses!A$3:A$1002=DATE(2026,7,5)),ROW(Expenses!A$3:A$1002)-2),4)),""),IF(IFERROR(INDEX(Income!B$3:B$502,SMALL(IF((Income!D$3:D$502="GBP")*(Income!A$3:A$502=DATE(2026,7,5)),ROW(Income!A$3:A$502)-2),4)),"")&lt;&gt;"",IFERROR(INDEX(Income!B$3:B$502,SMALL(IF((Income!D$3:D$502="GBP")*(Income!A$3:A$502=DATE(2026,7,5)),ROW(Income!A$3:A$502)-2),4)),""),""))</f>
        <v/>
      </c>
      <c r="Q137" s="16"/>
      <c r="R137" s="16"/>
    </row>
    <row r="138" customFormat="false" ht="15" hidden="false" customHeight="false" outlineLevel="0" collapsed="false">
      <c r="A138" s="16"/>
      <c r="B138" s="16"/>
      <c r="C138" s="62" t="str">
        <f aca="false">IF(IFERROR(-INDEX(Expenses!D$3:D$1002,SMALL(IF((Expenses!E$3:E$1002="GBP")*(Expenses!A$3:A$1002=DATE(2026,6,29)),ROW(Expenses!A$3:A$1002)-2),5)),0)+IFERROR(INDEX(Income!C$3:C$502,SMALL(IF((Income!D$3:D$502="GBP")*(Income!A$3:A$502=DATE(2026,6,29)),ROW(Income!A$3:A$502)-2),5)),0)=0,"",IFERROR(-INDEX(Expenses!D$3:D$1002,SMALL(IF((Expenses!E$3:E$1002="GBP")*(Expenses!A$3:A$1002=DATE(2026,6,29)),ROW(Expenses!A$3:A$1002)-2),5)),0)+IFERROR(INDEX(Income!C$3:C$502,SMALL(IF((Income!D$3:D$502="GBP")*(Income!A$3:A$502=DATE(2026,6,29)),ROW(Income!A$3:A$502)-2),5)),0))</f>
        <v/>
      </c>
      <c r="D138" s="38" t="str">
        <f aca="false">IF(IFERROR(INDEX(Expenses!B$3:B$1002,SMALL(IF((Expenses!E$3:E$1002="GBP")*(Expenses!A$3:A$1002=DATE(2026,6,29)),ROW(Expenses!A$3:A$1002)-2),5)),"")&lt;&gt;"",IFERROR(INDEX(Expenses!B$3:B$1002,SMALL(IF((Expenses!E$3:E$1002="GBP")*(Expenses!A$3:A$1002=DATE(2026,6,29)),ROW(Expenses!A$3:A$1002)-2),5)),""),IF(IFERROR(INDEX(Income!B$3:B$502,SMALL(IF((Income!D$3:D$502="GBP")*(Income!A$3:A$502=DATE(2026,6,29)),ROW(Income!A$3:A$502)-2),5)),"")&lt;&gt;"",IFERROR(INDEX(Income!B$3:B$502,SMALL(IF((Income!D$3:D$502="GBP")*(Income!A$3:A$502=DATE(2026,6,29)),ROW(Income!A$3:A$502)-2),5)),""),""))</f>
        <v/>
      </c>
      <c r="E138" s="62" t="str">
        <f aca="false">IF(IFERROR(-INDEX(Expenses!D$3:D$1002,SMALL(IF((Expenses!E$3:E$1002="GBP")*(Expenses!A$3:A$1002=DATE(2026,6,30)),ROW(Expenses!A$3:A$1002)-2),5)),0)+IFERROR(INDEX(Income!C$3:C$502,SMALL(IF((Income!D$3:D$502="GBP")*(Income!A$3:A$502=DATE(2026,6,30)),ROW(Income!A$3:A$502)-2),5)),0)=0,"",IFERROR(-INDEX(Expenses!D$3:D$1002,SMALL(IF((Expenses!E$3:E$1002="GBP")*(Expenses!A$3:A$1002=DATE(2026,6,30)),ROW(Expenses!A$3:A$1002)-2),5)),0)+IFERROR(INDEX(Income!C$3:C$502,SMALL(IF((Income!D$3:D$502="GBP")*(Income!A$3:A$502=DATE(2026,6,30)),ROW(Income!A$3:A$502)-2),5)),0))</f>
        <v/>
      </c>
      <c r="F138" s="38" t="str">
        <f aca="false">IF(IFERROR(INDEX(Expenses!B$3:B$1002,SMALL(IF((Expenses!E$3:E$1002="GBP")*(Expenses!A$3:A$1002=DATE(2026,6,30)),ROW(Expenses!A$3:A$1002)-2),5)),"")&lt;&gt;"",IFERROR(INDEX(Expenses!B$3:B$1002,SMALL(IF((Expenses!E$3:E$1002="GBP")*(Expenses!A$3:A$1002=DATE(2026,6,30)),ROW(Expenses!A$3:A$1002)-2),5)),""),IF(IFERROR(INDEX(Income!B$3:B$502,SMALL(IF((Income!D$3:D$502="GBP")*(Income!A$3:A$502=DATE(2026,6,30)),ROW(Income!A$3:A$502)-2),5)),"")&lt;&gt;"",IFERROR(INDEX(Income!B$3:B$502,SMALL(IF((Income!D$3:D$502="GBP")*(Income!A$3:A$502=DATE(2026,6,30)),ROW(Income!A$3:A$502)-2),5)),""),""))</f>
        <v/>
      </c>
      <c r="G138" s="62" t="str">
        <f aca="false">IF(IFERROR(-INDEX(Expenses!D$3:D$1002,SMALL(IF((Expenses!E$3:E$1002="GBP")*(Expenses!A$3:A$1002=DATE(2026,7,1)),ROW(Expenses!A$3:A$1002)-2),5)),0)+IFERROR(INDEX(Income!C$3:C$502,SMALL(IF((Income!D$3:D$502="GBP")*(Income!A$3:A$502=DATE(2026,7,1)),ROW(Income!A$3:A$502)-2),5)),0)=0,"",IFERROR(-INDEX(Expenses!D$3:D$1002,SMALL(IF((Expenses!E$3:E$1002="GBP")*(Expenses!A$3:A$1002=DATE(2026,7,1)),ROW(Expenses!A$3:A$1002)-2),5)),0)+IFERROR(INDEX(Income!C$3:C$502,SMALL(IF((Income!D$3:D$502="GBP")*(Income!A$3:A$502=DATE(2026,7,1)),ROW(Income!A$3:A$502)-2),5)),0))</f>
        <v/>
      </c>
      <c r="H138" s="38" t="str">
        <f aca="false">IF(IFERROR(INDEX(Expenses!B$3:B$1002,SMALL(IF((Expenses!E$3:E$1002="GBP")*(Expenses!A$3:A$1002=DATE(2026,7,1)),ROW(Expenses!A$3:A$1002)-2),5)),"")&lt;&gt;"",IFERROR(INDEX(Expenses!B$3:B$1002,SMALL(IF((Expenses!E$3:E$1002="GBP")*(Expenses!A$3:A$1002=DATE(2026,7,1)),ROW(Expenses!A$3:A$1002)-2),5)),""),IF(IFERROR(INDEX(Income!B$3:B$502,SMALL(IF((Income!D$3:D$502="GBP")*(Income!A$3:A$502=DATE(2026,7,1)),ROW(Income!A$3:A$502)-2),5)),"")&lt;&gt;"",IFERROR(INDEX(Income!B$3:B$502,SMALL(IF((Income!D$3:D$502="GBP")*(Income!A$3:A$502=DATE(2026,7,1)),ROW(Income!A$3:A$502)-2),5)),""),""))</f>
        <v/>
      </c>
      <c r="I138" s="62" t="str">
        <f aca="false">IF(IFERROR(-INDEX(Expenses!D$3:D$1002,SMALL(IF((Expenses!E$3:E$1002="GBP")*(Expenses!A$3:A$1002=DATE(2026,7,2)),ROW(Expenses!A$3:A$1002)-2),5)),0)+IFERROR(INDEX(Income!C$3:C$502,SMALL(IF((Income!D$3:D$502="GBP")*(Income!A$3:A$502=DATE(2026,7,2)),ROW(Income!A$3:A$502)-2),5)),0)=0,"",IFERROR(-INDEX(Expenses!D$3:D$1002,SMALL(IF((Expenses!E$3:E$1002="GBP")*(Expenses!A$3:A$1002=DATE(2026,7,2)),ROW(Expenses!A$3:A$1002)-2),5)),0)+IFERROR(INDEX(Income!C$3:C$502,SMALL(IF((Income!D$3:D$502="GBP")*(Income!A$3:A$502=DATE(2026,7,2)),ROW(Income!A$3:A$502)-2),5)),0))</f>
        <v/>
      </c>
      <c r="J138" s="38" t="str">
        <f aca="false">IF(IFERROR(INDEX(Expenses!B$3:B$1002,SMALL(IF((Expenses!E$3:E$1002="GBP")*(Expenses!A$3:A$1002=DATE(2026,7,2)),ROW(Expenses!A$3:A$1002)-2),5)),"")&lt;&gt;"",IFERROR(INDEX(Expenses!B$3:B$1002,SMALL(IF((Expenses!E$3:E$1002="GBP")*(Expenses!A$3:A$1002=DATE(2026,7,2)),ROW(Expenses!A$3:A$1002)-2),5)),""),IF(IFERROR(INDEX(Income!B$3:B$502,SMALL(IF((Income!D$3:D$502="GBP")*(Income!A$3:A$502=DATE(2026,7,2)),ROW(Income!A$3:A$502)-2),5)),"")&lt;&gt;"",IFERROR(INDEX(Income!B$3:B$502,SMALL(IF((Income!D$3:D$502="GBP")*(Income!A$3:A$502=DATE(2026,7,2)),ROW(Income!A$3:A$502)-2),5)),""),""))</f>
        <v/>
      </c>
      <c r="K138" s="62" t="str">
        <f aca="false">IF(IFERROR(-INDEX(Expenses!D$3:D$1002,SMALL(IF((Expenses!E$3:E$1002="GBP")*(Expenses!A$3:A$1002=DATE(2026,7,3)),ROW(Expenses!A$3:A$1002)-2),5)),0)+IFERROR(INDEX(Income!C$3:C$502,SMALL(IF((Income!D$3:D$502="GBP")*(Income!A$3:A$502=DATE(2026,7,3)),ROW(Income!A$3:A$502)-2),5)),0)=0,"",IFERROR(-INDEX(Expenses!D$3:D$1002,SMALL(IF((Expenses!E$3:E$1002="GBP")*(Expenses!A$3:A$1002=DATE(2026,7,3)),ROW(Expenses!A$3:A$1002)-2),5)),0)+IFERROR(INDEX(Income!C$3:C$502,SMALL(IF((Income!D$3:D$502="GBP")*(Income!A$3:A$502=DATE(2026,7,3)),ROW(Income!A$3:A$502)-2),5)),0))</f>
        <v/>
      </c>
      <c r="L138" s="38" t="str">
        <f aca="false">IF(IFERROR(INDEX(Expenses!B$3:B$1002,SMALL(IF((Expenses!E$3:E$1002="GBP")*(Expenses!A$3:A$1002=DATE(2026,7,3)),ROW(Expenses!A$3:A$1002)-2),5)),"")&lt;&gt;"",IFERROR(INDEX(Expenses!B$3:B$1002,SMALL(IF((Expenses!E$3:E$1002="GBP")*(Expenses!A$3:A$1002=DATE(2026,7,3)),ROW(Expenses!A$3:A$1002)-2),5)),""),IF(IFERROR(INDEX(Income!B$3:B$502,SMALL(IF((Income!D$3:D$502="GBP")*(Income!A$3:A$502=DATE(2026,7,3)),ROW(Income!A$3:A$502)-2),5)),"")&lt;&gt;"",IFERROR(INDEX(Income!B$3:B$502,SMALL(IF((Income!D$3:D$502="GBP")*(Income!A$3:A$502=DATE(2026,7,3)),ROW(Income!A$3:A$502)-2),5)),""),""))</f>
        <v/>
      </c>
      <c r="M138" s="62" t="str">
        <f aca="false">IF(IFERROR(-INDEX(Expenses!D$3:D$1002,SMALL(IF((Expenses!E$3:E$1002="GBP")*(Expenses!A$3:A$1002=DATE(2026,7,4)),ROW(Expenses!A$3:A$1002)-2),5)),0)+IFERROR(INDEX(Income!C$3:C$502,SMALL(IF((Income!D$3:D$502="GBP")*(Income!A$3:A$502=DATE(2026,7,4)),ROW(Income!A$3:A$502)-2),5)),0)=0,"",IFERROR(-INDEX(Expenses!D$3:D$1002,SMALL(IF((Expenses!E$3:E$1002="GBP")*(Expenses!A$3:A$1002=DATE(2026,7,4)),ROW(Expenses!A$3:A$1002)-2),5)),0)+IFERROR(INDEX(Income!C$3:C$502,SMALL(IF((Income!D$3:D$502="GBP")*(Income!A$3:A$502=DATE(2026,7,4)),ROW(Income!A$3:A$502)-2),5)),0))</f>
        <v/>
      </c>
      <c r="N138" s="38" t="str">
        <f aca="false">IF(IFERROR(INDEX(Expenses!B$3:B$1002,SMALL(IF((Expenses!E$3:E$1002="GBP")*(Expenses!A$3:A$1002=DATE(2026,7,4)),ROW(Expenses!A$3:A$1002)-2),5)),"")&lt;&gt;"",IFERROR(INDEX(Expenses!B$3:B$1002,SMALL(IF((Expenses!E$3:E$1002="GBP")*(Expenses!A$3:A$1002=DATE(2026,7,4)),ROW(Expenses!A$3:A$1002)-2),5)),""),IF(IFERROR(INDEX(Income!B$3:B$502,SMALL(IF((Income!D$3:D$502="GBP")*(Income!A$3:A$502=DATE(2026,7,4)),ROW(Income!A$3:A$502)-2),5)),"")&lt;&gt;"",IFERROR(INDEX(Income!B$3:B$502,SMALL(IF((Income!D$3:D$502="GBP")*(Income!A$3:A$502=DATE(2026,7,4)),ROW(Income!A$3:A$502)-2),5)),""),""))</f>
        <v/>
      </c>
      <c r="O138" s="62" t="str">
        <f aca="false">IF(IFERROR(-INDEX(Expenses!D$3:D$1002,SMALL(IF((Expenses!E$3:E$1002="GBP")*(Expenses!A$3:A$1002=DATE(2026,7,5)),ROW(Expenses!A$3:A$1002)-2),5)),0)+IFERROR(INDEX(Income!C$3:C$502,SMALL(IF((Income!D$3:D$502="GBP")*(Income!A$3:A$502=DATE(2026,7,5)),ROW(Income!A$3:A$502)-2),5)),0)=0,"",IFERROR(-INDEX(Expenses!D$3:D$1002,SMALL(IF((Expenses!E$3:E$1002="GBP")*(Expenses!A$3:A$1002=DATE(2026,7,5)),ROW(Expenses!A$3:A$1002)-2),5)),0)+IFERROR(INDEX(Income!C$3:C$502,SMALL(IF((Income!D$3:D$502="GBP")*(Income!A$3:A$502=DATE(2026,7,5)),ROW(Income!A$3:A$502)-2),5)),0))</f>
        <v/>
      </c>
      <c r="P138" s="38" t="str">
        <f aca="false">IF(IFERROR(INDEX(Expenses!B$3:B$1002,SMALL(IF((Expenses!E$3:E$1002="GBP")*(Expenses!A$3:A$1002=DATE(2026,7,5)),ROW(Expenses!A$3:A$1002)-2),5)),"")&lt;&gt;"",IFERROR(INDEX(Expenses!B$3:B$1002,SMALL(IF((Expenses!E$3:E$1002="GBP")*(Expenses!A$3:A$1002=DATE(2026,7,5)),ROW(Expenses!A$3:A$1002)-2),5)),""),IF(IFERROR(INDEX(Income!B$3:B$502,SMALL(IF((Income!D$3:D$502="GBP")*(Income!A$3:A$502=DATE(2026,7,5)),ROW(Income!A$3:A$502)-2),5)),"")&lt;&gt;"",IFERROR(INDEX(Income!B$3:B$502,SMALL(IF((Income!D$3:D$502="GBP")*(Income!A$3:A$502=DATE(2026,7,5)),ROW(Income!A$3:A$502)-2),5)),""),""))</f>
        <v/>
      </c>
      <c r="Q138" s="16"/>
      <c r="R138" s="16"/>
    </row>
    <row r="139" customFormat="false" ht="15" hidden="false" customHeight="false" outlineLevel="0" collapsed="false">
      <c r="A139" s="61" t="n">
        <v>46209</v>
      </c>
      <c r="B139" s="3" t="n">
        <v>28</v>
      </c>
      <c r="C139" s="62" t="str">
        <f aca="false">IF(IFERROR(-INDEX(Expenses!D$3:D$1002,SMALL(IF((Expenses!E$3:E$1002="GBP")*(Expenses!A$3:A$1002=DATE(2026,7,6)),ROW(Expenses!A$3:A$1002)-2),1)),0)+IFERROR(INDEX(Income!C$3:C$502,SMALL(IF((Income!D$3:D$502="GBP")*(Income!A$3:A$502=DATE(2026,7,6)),ROW(Income!A$3:A$502)-2),1)),0)=0,"",IFERROR(-INDEX(Expenses!D$3:D$1002,SMALL(IF((Expenses!E$3:E$1002="GBP")*(Expenses!A$3:A$1002=DATE(2026,7,6)),ROW(Expenses!A$3:A$1002)-2),1)),0)+IFERROR(INDEX(Income!C$3:C$502,SMALL(IF((Income!D$3:D$502="GBP")*(Income!A$3:A$502=DATE(2026,7,6)),ROW(Income!A$3:A$502)-2),1)),0))</f>
        <v/>
      </c>
      <c r="D139" s="38" t="str">
        <f aca="false">IF(IFERROR(INDEX(Expenses!B$3:B$1002,SMALL(IF((Expenses!E$3:E$1002="GBP")*(Expenses!A$3:A$1002=DATE(2026,7,6)),ROW(Expenses!A$3:A$1002)-2),1)),"")&lt;&gt;"",IFERROR(INDEX(Expenses!B$3:B$1002,SMALL(IF((Expenses!E$3:E$1002="GBP")*(Expenses!A$3:A$1002=DATE(2026,7,6)),ROW(Expenses!A$3:A$1002)-2),1)),""),IF(IFERROR(INDEX(Income!B$3:B$502,SMALL(IF((Income!D$3:D$502="GBP")*(Income!A$3:A$502=DATE(2026,7,6)),ROW(Income!A$3:A$502)-2),1)),"")&lt;&gt;"",IFERROR(INDEX(Income!B$3:B$502,SMALL(IF((Income!D$3:D$502="GBP")*(Income!A$3:A$502=DATE(2026,7,6)),ROW(Income!A$3:A$502)-2),1)),""),""))</f>
        <v/>
      </c>
      <c r="E139" s="62" t="str">
        <f aca="false">IF(IFERROR(-INDEX(Expenses!D$3:D$1002,SMALL(IF((Expenses!E$3:E$1002="GBP")*(Expenses!A$3:A$1002=DATE(2026,7,7)),ROW(Expenses!A$3:A$1002)-2),1)),0)+IFERROR(INDEX(Income!C$3:C$502,SMALL(IF((Income!D$3:D$502="GBP")*(Income!A$3:A$502=DATE(2026,7,7)),ROW(Income!A$3:A$502)-2),1)),0)=0,"",IFERROR(-INDEX(Expenses!D$3:D$1002,SMALL(IF((Expenses!E$3:E$1002="GBP")*(Expenses!A$3:A$1002=DATE(2026,7,7)),ROW(Expenses!A$3:A$1002)-2),1)),0)+IFERROR(INDEX(Income!C$3:C$502,SMALL(IF((Income!D$3:D$502="GBP")*(Income!A$3:A$502=DATE(2026,7,7)),ROW(Income!A$3:A$502)-2),1)),0))</f>
        <v/>
      </c>
      <c r="F139" s="38" t="str">
        <f aca="false">IF(IFERROR(INDEX(Expenses!B$3:B$1002,SMALL(IF((Expenses!E$3:E$1002="GBP")*(Expenses!A$3:A$1002=DATE(2026,7,7)),ROW(Expenses!A$3:A$1002)-2),1)),"")&lt;&gt;"",IFERROR(INDEX(Expenses!B$3:B$1002,SMALL(IF((Expenses!E$3:E$1002="GBP")*(Expenses!A$3:A$1002=DATE(2026,7,7)),ROW(Expenses!A$3:A$1002)-2),1)),""),IF(IFERROR(INDEX(Income!B$3:B$502,SMALL(IF((Income!D$3:D$502="GBP")*(Income!A$3:A$502=DATE(2026,7,7)),ROW(Income!A$3:A$502)-2),1)),"")&lt;&gt;"",IFERROR(INDEX(Income!B$3:B$502,SMALL(IF((Income!D$3:D$502="GBP")*(Income!A$3:A$502=DATE(2026,7,7)),ROW(Income!A$3:A$502)-2),1)),""),""))</f>
        <v/>
      </c>
      <c r="G139" s="62" t="str">
        <f aca="false">IF(IFERROR(-INDEX(Expenses!D$3:D$1002,SMALL(IF((Expenses!E$3:E$1002="GBP")*(Expenses!A$3:A$1002=DATE(2026,7,8)),ROW(Expenses!A$3:A$1002)-2),1)),0)+IFERROR(INDEX(Income!C$3:C$502,SMALL(IF((Income!D$3:D$502="GBP")*(Income!A$3:A$502=DATE(2026,7,8)),ROW(Income!A$3:A$502)-2),1)),0)=0,"",IFERROR(-INDEX(Expenses!D$3:D$1002,SMALL(IF((Expenses!E$3:E$1002="GBP")*(Expenses!A$3:A$1002=DATE(2026,7,8)),ROW(Expenses!A$3:A$1002)-2),1)),0)+IFERROR(INDEX(Income!C$3:C$502,SMALL(IF((Income!D$3:D$502="GBP")*(Income!A$3:A$502=DATE(2026,7,8)),ROW(Income!A$3:A$502)-2),1)),0))</f>
        <v/>
      </c>
      <c r="H139" s="38" t="str">
        <f aca="false">IF(IFERROR(INDEX(Expenses!B$3:B$1002,SMALL(IF((Expenses!E$3:E$1002="GBP")*(Expenses!A$3:A$1002=DATE(2026,7,8)),ROW(Expenses!A$3:A$1002)-2),1)),"")&lt;&gt;"",IFERROR(INDEX(Expenses!B$3:B$1002,SMALL(IF((Expenses!E$3:E$1002="GBP")*(Expenses!A$3:A$1002=DATE(2026,7,8)),ROW(Expenses!A$3:A$1002)-2),1)),""),IF(IFERROR(INDEX(Income!B$3:B$502,SMALL(IF((Income!D$3:D$502="GBP")*(Income!A$3:A$502=DATE(2026,7,8)),ROW(Income!A$3:A$502)-2),1)),"")&lt;&gt;"",IFERROR(INDEX(Income!B$3:B$502,SMALL(IF((Income!D$3:D$502="GBP")*(Income!A$3:A$502=DATE(2026,7,8)),ROW(Income!A$3:A$502)-2),1)),""),""))</f>
        <v/>
      </c>
      <c r="I139" s="62" t="str">
        <f aca="false">IF(IFERROR(-INDEX(Expenses!D$3:D$1002,SMALL(IF((Expenses!E$3:E$1002="GBP")*(Expenses!A$3:A$1002=DATE(2026,7,9)),ROW(Expenses!A$3:A$1002)-2),1)),0)+IFERROR(INDEX(Income!C$3:C$502,SMALL(IF((Income!D$3:D$502="GBP")*(Income!A$3:A$502=DATE(2026,7,9)),ROW(Income!A$3:A$502)-2),1)),0)=0,"",IFERROR(-INDEX(Expenses!D$3:D$1002,SMALL(IF((Expenses!E$3:E$1002="GBP")*(Expenses!A$3:A$1002=DATE(2026,7,9)),ROW(Expenses!A$3:A$1002)-2),1)),0)+IFERROR(INDEX(Income!C$3:C$502,SMALL(IF((Income!D$3:D$502="GBP")*(Income!A$3:A$502=DATE(2026,7,9)),ROW(Income!A$3:A$502)-2),1)),0))</f>
        <v/>
      </c>
      <c r="J139" s="38" t="str">
        <f aca="false">IF(IFERROR(INDEX(Expenses!B$3:B$1002,SMALL(IF((Expenses!E$3:E$1002="GBP")*(Expenses!A$3:A$1002=DATE(2026,7,9)),ROW(Expenses!A$3:A$1002)-2),1)),"")&lt;&gt;"",IFERROR(INDEX(Expenses!B$3:B$1002,SMALL(IF((Expenses!E$3:E$1002="GBP")*(Expenses!A$3:A$1002=DATE(2026,7,9)),ROW(Expenses!A$3:A$1002)-2),1)),""),IF(IFERROR(INDEX(Income!B$3:B$502,SMALL(IF((Income!D$3:D$502="GBP")*(Income!A$3:A$502=DATE(2026,7,9)),ROW(Income!A$3:A$502)-2),1)),"")&lt;&gt;"",IFERROR(INDEX(Income!B$3:B$502,SMALL(IF((Income!D$3:D$502="GBP")*(Income!A$3:A$502=DATE(2026,7,9)),ROW(Income!A$3:A$502)-2),1)),""),""))</f>
        <v/>
      </c>
      <c r="K139" s="62" t="str">
        <f aca="false">IF(IFERROR(-INDEX(Expenses!D$3:D$1002,SMALL(IF((Expenses!E$3:E$1002="GBP")*(Expenses!A$3:A$1002=DATE(2026,7,10)),ROW(Expenses!A$3:A$1002)-2),1)),0)+IFERROR(INDEX(Income!C$3:C$502,SMALL(IF((Income!D$3:D$502="GBP")*(Income!A$3:A$502=DATE(2026,7,10)),ROW(Income!A$3:A$502)-2),1)),0)=0,"",IFERROR(-INDEX(Expenses!D$3:D$1002,SMALL(IF((Expenses!E$3:E$1002="GBP")*(Expenses!A$3:A$1002=DATE(2026,7,10)),ROW(Expenses!A$3:A$1002)-2),1)),0)+IFERROR(INDEX(Income!C$3:C$502,SMALL(IF((Income!D$3:D$502="GBP")*(Income!A$3:A$502=DATE(2026,7,10)),ROW(Income!A$3:A$502)-2),1)),0))</f>
        <v/>
      </c>
      <c r="L139" s="38" t="str">
        <f aca="false">IF(IFERROR(INDEX(Expenses!B$3:B$1002,SMALL(IF((Expenses!E$3:E$1002="GBP")*(Expenses!A$3:A$1002=DATE(2026,7,10)),ROW(Expenses!A$3:A$1002)-2),1)),"")&lt;&gt;"",IFERROR(INDEX(Expenses!B$3:B$1002,SMALL(IF((Expenses!E$3:E$1002="GBP")*(Expenses!A$3:A$1002=DATE(2026,7,10)),ROW(Expenses!A$3:A$1002)-2),1)),""),IF(IFERROR(INDEX(Income!B$3:B$502,SMALL(IF((Income!D$3:D$502="GBP")*(Income!A$3:A$502=DATE(2026,7,10)),ROW(Income!A$3:A$502)-2),1)),"")&lt;&gt;"",IFERROR(INDEX(Income!B$3:B$502,SMALL(IF((Income!D$3:D$502="GBP")*(Income!A$3:A$502=DATE(2026,7,10)),ROW(Income!A$3:A$502)-2),1)),""),""))</f>
        <v/>
      </c>
      <c r="M139" s="62" t="str">
        <f aca="false">IF(IFERROR(-INDEX(Expenses!D$3:D$1002,SMALL(IF((Expenses!E$3:E$1002="GBP")*(Expenses!A$3:A$1002=DATE(2026,7,11)),ROW(Expenses!A$3:A$1002)-2),1)),0)+IFERROR(INDEX(Income!C$3:C$502,SMALL(IF((Income!D$3:D$502="GBP")*(Income!A$3:A$502=DATE(2026,7,11)),ROW(Income!A$3:A$502)-2),1)),0)=0,"",IFERROR(-INDEX(Expenses!D$3:D$1002,SMALL(IF((Expenses!E$3:E$1002="GBP")*(Expenses!A$3:A$1002=DATE(2026,7,11)),ROW(Expenses!A$3:A$1002)-2),1)),0)+IFERROR(INDEX(Income!C$3:C$502,SMALL(IF((Income!D$3:D$502="GBP")*(Income!A$3:A$502=DATE(2026,7,11)),ROW(Income!A$3:A$502)-2),1)),0))</f>
        <v/>
      </c>
      <c r="N139" s="38" t="str">
        <f aca="false">IF(IFERROR(INDEX(Expenses!B$3:B$1002,SMALL(IF((Expenses!E$3:E$1002="GBP")*(Expenses!A$3:A$1002=DATE(2026,7,11)),ROW(Expenses!A$3:A$1002)-2),1)),"")&lt;&gt;"",IFERROR(INDEX(Expenses!B$3:B$1002,SMALL(IF((Expenses!E$3:E$1002="GBP")*(Expenses!A$3:A$1002=DATE(2026,7,11)),ROW(Expenses!A$3:A$1002)-2),1)),""),IF(IFERROR(INDEX(Income!B$3:B$502,SMALL(IF((Income!D$3:D$502="GBP")*(Income!A$3:A$502=DATE(2026,7,11)),ROW(Income!A$3:A$502)-2),1)),"")&lt;&gt;"",IFERROR(INDEX(Income!B$3:B$502,SMALL(IF((Income!D$3:D$502="GBP")*(Income!A$3:A$502=DATE(2026,7,11)),ROW(Income!A$3:A$502)-2),1)),""),""))</f>
        <v/>
      </c>
      <c r="O139" s="62" t="str">
        <f aca="false">IF(IFERROR(-INDEX(Expenses!D$3:D$1002,SMALL(IF((Expenses!E$3:E$1002="GBP")*(Expenses!A$3:A$1002=DATE(2026,7,12)),ROW(Expenses!A$3:A$1002)-2),1)),0)+IFERROR(INDEX(Income!C$3:C$502,SMALL(IF((Income!D$3:D$502="GBP")*(Income!A$3:A$502=DATE(2026,7,12)),ROW(Income!A$3:A$502)-2),1)),0)=0,"",IFERROR(-INDEX(Expenses!D$3:D$1002,SMALL(IF((Expenses!E$3:E$1002="GBP")*(Expenses!A$3:A$1002=DATE(2026,7,12)),ROW(Expenses!A$3:A$1002)-2),1)),0)+IFERROR(INDEX(Income!C$3:C$502,SMALL(IF((Income!D$3:D$502="GBP")*(Income!A$3:A$502=DATE(2026,7,12)),ROW(Income!A$3:A$502)-2),1)),0))</f>
        <v/>
      </c>
      <c r="P139" s="38" t="str">
        <f aca="false">IF(IFERROR(INDEX(Expenses!B$3:B$1002,SMALL(IF((Expenses!E$3:E$1002="GBP")*(Expenses!A$3:A$1002=DATE(2026,7,12)),ROW(Expenses!A$3:A$1002)-2),1)),"")&lt;&gt;"",IFERROR(INDEX(Expenses!B$3:B$1002,SMALL(IF((Expenses!E$3:E$1002="GBP")*(Expenses!A$3:A$1002=DATE(2026,7,12)),ROW(Expenses!A$3:A$1002)-2),1)),""),IF(IFERROR(INDEX(Income!B$3:B$502,SMALL(IF((Income!D$3:D$502="GBP")*(Income!A$3:A$502=DATE(2026,7,12)),ROW(Income!A$3:A$502)-2),1)),"")&lt;&gt;"",IFERROR(INDEX(Income!B$3:B$502,SMALL(IF((Income!D$3:D$502="GBP")*(Income!A$3:A$502=DATE(2026,7,12)),ROW(Income!A$3:A$502)-2),1)),""),""))</f>
        <v/>
      </c>
      <c r="Q139" s="3" t="n">
        <v>28</v>
      </c>
      <c r="R139" s="45" t="n">
        <f aca="false">SUM(C139:C143)+SUM(E139:E143)+SUM(G139:G143)+SUM(I139:I143)+SUM(K139:K143)+SUM(M139:M143)+SUM(O139:O143)</f>
        <v>0</v>
      </c>
    </row>
    <row r="140" customFormat="false" ht="15" hidden="false" customHeight="false" outlineLevel="0" collapsed="false">
      <c r="A140" s="16"/>
      <c r="B140" s="16"/>
      <c r="C140" s="62" t="str">
        <f aca="false">IF(IFERROR(-INDEX(Expenses!D$3:D$1002,SMALL(IF((Expenses!E$3:E$1002="GBP")*(Expenses!A$3:A$1002=DATE(2026,7,6)),ROW(Expenses!A$3:A$1002)-2),2)),0)+IFERROR(INDEX(Income!C$3:C$502,SMALL(IF((Income!D$3:D$502="GBP")*(Income!A$3:A$502=DATE(2026,7,6)),ROW(Income!A$3:A$502)-2),2)),0)=0,"",IFERROR(-INDEX(Expenses!D$3:D$1002,SMALL(IF((Expenses!E$3:E$1002="GBP")*(Expenses!A$3:A$1002=DATE(2026,7,6)),ROW(Expenses!A$3:A$1002)-2),2)),0)+IFERROR(INDEX(Income!C$3:C$502,SMALL(IF((Income!D$3:D$502="GBP")*(Income!A$3:A$502=DATE(2026,7,6)),ROW(Income!A$3:A$502)-2),2)),0))</f>
        <v/>
      </c>
      <c r="D140" s="38" t="str">
        <f aca="false">IF(IFERROR(INDEX(Expenses!B$3:B$1002,SMALL(IF((Expenses!E$3:E$1002="GBP")*(Expenses!A$3:A$1002=DATE(2026,7,6)),ROW(Expenses!A$3:A$1002)-2),2)),"")&lt;&gt;"",IFERROR(INDEX(Expenses!B$3:B$1002,SMALL(IF((Expenses!E$3:E$1002="GBP")*(Expenses!A$3:A$1002=DATE(2026,7,6)),ROW(Expenses!A$3:A$1002)-2),2)),""),IF(IFERROR(INDEX(Income!B$3:B$502,SMALL(IF((Income!D$3:D$502="GBP")*(Income!A$3:A$502=DATE(2026,7,6)),ROW(Income!A$3:A$502)-2),2)),"")&lt;&gt;"",IFERROR(INDEX(Income!B$3:B$502,SMALL(IF((Income!D$3:D$502="GBP")*(Income!A$3:A$502=DATE(2026,7,6)),ROW(Income!A$3:A$502)-2),2)),""),""))</f>
        <v/>
      </c>
      <c r="E140" s="62" t="str">
        <f aca="false">IF(IFERROR(-INDEX(Expenses!D$3:D$1002,SMALL(IF((Expenses!E$3:E$1002="GBP")*(Expenses!A$3:A$1002=DATE(2026,7,7)),ROW(Expenses!A$3:A$1002)-2),2)),0)+IFERROR(INDEX(Income!C$3:C$502,SMALL(IF((Income!D$3:D$502="GBP")*(Income!A$3:A$502=DATE(2026,7,7)),ROW(Income!A$3:A$502)-2),2)),0)=0,"",IFERROR(-INDEX(Expenses!D$3:D$1002,SMALL(IF((Expenses!E$3:E$1002="GBP")*(Expenses!A$3:A$1002=DATE(2026,7,7)),ROW(Expenses!A$3:A$1002)-2),2)),0)+IFERROR(INDEX(Income!C$3:C$502,SMALL(IF((Income!D$3:D$502="GBP")*(Income!A$3:A$502=DATE(2026,7,7)),ROW(Income!A$3:A$502)-2),2)),0))</f>
        <v/>
      </c>
      <c r="F140" s="38" t="str">
        <f aca="false">IF(IFERROR(INDEX(Expenses!B$3:B$1002,SMALL(IF((Expenses!E$3:E$1002="GBP")*(Expenses!A$3:A$1002=DATE(2026,7,7)),ROW(Expenses!A$3:A$1002)-2),2)),"")&lt;&gt;"",IFERROR(INDEX(Expenses!B$3:B$1002,SMALL(IF((Expenses!E$3:E$1002="GBP")*(Expenses!A$3:A$1002=DATE(2026,7,7)),ROW(Expenses!A$3:A$1002)-2),2)),""),IF(IFERROR(INDEX(Income!B$3:B$502,SMALL(IF((Income!D$3:D$502="GBP")*(Income!A$3:A$502=DATE(2026,7,7)),ROW(Income!A$3:A$502)-2),2)),"")&lt;&gt;"",IFERROR(INDEX(Income!B$3:B$502,SMALL(IF((Income!D$3:D$502="GBP")*(Income!A$3:A$502=DATE(2026,7,7)),ROW(Income!A$3:A$502)-2),2)),""),""))</f>
        <v/>
      </c>
      <c r="G140" s="62" t="str">
        <f aca="false">IF(IFERROR(-INDEX(Expenses!D$3:D$1002,SMALL(IF((Expenses!E$3:E$1002="GBP")*(Expenses!A$3:A$1002=DATE(2026,7,8)),ROW(Expenses!A$3:A$1002)-2),2)),0)+IFERROR(INDEX(Income!C$3:C$502,SMALL(IF((Income!D$3:D$502="GBP")*(Income!A$3:A$502=DATE(2026,7,8)),ROW(Income!A$3:A$502)-2),2)),0)=0,"",IFERROR(-INDEX(Expenses!D$3:D$1002,SMALL(IF((Expenses!E$3:E$1002="GBP")*(Expenses!A$3:A$1002=DATE(2026,7,8)),ROW(Expenses!A$3:A$1002)-2),2)),0)+IFERROR(INDEX(Income!C$3:C$502,SMALL(IF((Income!D$3:D$502="GBP")*(Income!A$3:A$502=DATE(2026,7,8)),ROW(Income!A$3:A$502)-2),2)),0))</f>
        <v/>
      </c>
      <c r="H140" s="38" t="str">
        <f aca="false">IF(IFERROR(INDEX(Expenses!B$3:B$1002,SMALL(IF((Expenses!E$3:E$1002="GBP")*(Expenses!A$3:A$1002=DATE(2026,7,8)),ROW(Expenses!A$3:A$1002)-2),2)),"")&lt;&gt;"",IFERROR(INDEX(Expenses!B$3:B$1002,SMALL(IF((Expenses!E$3:E$1002="GBP")*(Expenses!A$3:A$1002=DATE(2026,7,8)),ROW(Expenses!A$3:A$1002)-2),2)),""),IF(IFERROR(INDEX(Income!B$3:B$502,SMALL(IF((Income!D$3:D$502="GBP")*(Income!A$3:A$502=DATE(2026,7,8)),ROW(Income!A$3:A$502)-2),2)),"")&lt;&gt;"",IFERROR(INDEX(Income!B$3:B$502,SMALL(IF((Income!D$3:D$502="GBP")*(Income!A$3:A$502=DATE(2026,7,8)),ROW(Income!A$3:A$502)-2),2)),""),""))</f>
        <v/>
      </c>
      <c r="I140" s="62" t="str">
        <f aca="false">IF(IFERROR(-INDEX(Expenses!D$3:D$1002,SMALL(IF((Expenses!E$3:E$1002="GBP")*(Expenses!A$3:A$1002=DATE(2026,7,9)),ROW(Expenses!A$3:A$1002)-2),2)),0)+IFERROR(INDEX(Income!C$3:C$502,SMALL(IF((Income!D$3:D$502="GBP")*(Income!A$3:A$502=DATE(2026,7,9)),ROW(Income!A$3:A$502)-2),2)),0)=0,"",IFERROR(-INDEX(Expenses!D$3:D$1002,SMALL(IF((Expenses!E$3:E$1002="GBP")*(Expenses!A$3:A$1002=DATE(2026,7,9)),ROW(Expenses!A$3:A$1002)-2),2)),0)+IFERROR(INDEX(Income!C$3:C$502,SMALL(IF((Income!D$3:D$502="GBP")*(Income!A$3:A$502=DATE(2026,7,9)),ROW(Income!A$3:A$502)-2),2)),0))</f>
        <v/>
      </c>
      <c r="J140" s="38" t="str">
        <f aca="false">IF(IFERROR(INDEX(Expenses!B$3:B$1002,SMALL(IF((Expenses!E$3:E$1002="GBP")*(Expenses!A$3:A$1002=DATE(2026,7,9)),ROW(Expenses!A$3:A$1002)-2),2)),"")&lt;&gt;"",IFERROR(INDEX(Expenses!B$3:B$1002,SMALL(IF((Expenses!E$3:E$1002="GBP")*(Expenses!A$3:A$1002=DATE(2026,7,9)),ROW(Expenses!A$3:A$1002)-2),2)),""),IF(IFERROR(INDEX(Income!B$3:B$502,SMALL(IF((Income!D$3:D$502="GBP")*(Income!A$3:A$502=DATE(2026,7,9)),ROW(Income!A$3:A$502)-2),2)),"")&lt;&gt;"",IFERROR(INDEX(Income!B$3:B$502,SMALL(IF((Income!D$3:D$502="GBP")*(Income!A$3:A$502=DATE(2026,7,9)),ROW(Income!A$3:A$502)-2),2)),""),""))</f>
        <v/>
      </c>
      <c r="K140" s="62" t="str">
        <f aca="false">IF(IFERROR(-INDEX(Expenses!D$3:D$1002,SMALL(IF((Expenses!E$3:E$1002="GBP")*(Expenses!A$3:A$1002=DATE(2026,7,10)),ROW(Expenses!A$3:A$1002)-2),2)),0)+IFERROR(INDEX(Income!C$3:C$502,SMALL(IF((Income!D$3:D$502="GBP")*(Income!A$3:A$502=DATE(2026,7,10)),ROW(Income!A$3:A$502)-2),2)),0)=0,"",IFERROR(-INDEX(Expenses!D$3:D$1002,SMALL(IF((Expenses!E$3:E$1002="GBP")*(Expenses!A$3:A$1002=DATE(2026,7,10)),ROW(Expenses!A$3:A$1002)-2),2)),0)+IFERROR(INDEX(Income!C$3:C$502,SMALL(IF((Income!D$3:D$502="GBP")*(Income!A$3:A$502=DATE(2026,7,10)),ROW(Income!A$3:A$502)-2),2)),0))</f>
        <v/>
      </c>
      <c r="L140" s="38" t="str">
        <f aca="false">IF(IFERROR(INDEX(Expenses!B$3:B$1002,SMALL(IF((Expenses!E$3:E$1002="GBP")*(Expenses!A$3:A$1002=DATE(2026,7,10)),ROW(Expenses!A$3:A$1002)-2),2)),"")&lt;&gt;"",IFERROR(INDEX(Expenses!B$3:B$1002,SMALL(IF((Expenses!E$3:E$1002="GBP")*(Expenses!A$3:A$1002=DATE(2026,7,10)),ROW(Expenses!A$3:A$1002)-2),2)),""),IF(IFERROR(INDEX(Income!B$3:B$502,SMALL(IF((Income!D$3:D$502="GBP")*(Income!A$3:A$502=DATE(2026,7,10)),ROW(Income!A$3:A$502)-2),2)),"")&lt;&gt;"",IFERROR(INDEX(Income!B$3:B$502,SMALL(IF((Income!D$3:D$502="GBP")*(Income!A$3:A$502=DATE(2026,7,10)),ROW(Income!A$3:A$502)-2),2)),""),""))</f>
        <v/>
      </c>
      <c r="M140" s="62" t="str">
        <f aca="false">IF(IFERROR(-INDEX(Expenses!D$3:D$1002,SMALL(IF((Expenses!E$3:E$1002="GBP")*(Expenses!A$3:A$1002=DATE(2026,7,11)),ROW(Expenses!A$3:A$1002)-2),2)),0)+IFERROR(INDEX(Income!C$3:C$502,SMALL(IF((Income!D$3:D$502="GBP")*(Income!A$3:A$502=DATE(2026,7,11)),ROW(Income!A$3:A$502)-2),2)),0)=0,"",IFERROR(-INDEX(Expenses!D$3:D$1002,SMALL(IF((Expenses!E$3:E$1002="GBP")*(Expenses!A$3:A$1002=DATE(2026,7,11)),ROW(Expenses!A$3:A$1002)-2),2)),0)+IFERROR(INDEX(Income!C$3:C$502,SMALL(IF((Income!D$3:D$502="GBP")*(Income!A$3:A$502=DATE(2026,7,11)),ROW(Income!A$3:A$502)-2),2)),0))</f>
        <v/>
      </c>
      <c r="N140" s="38" t="str">
        <f aca="false">IF(IFERROR(INDEX(Expenses!B$3:B$1002,SMALL(IF((Expenses!E$3:E$1002="GBP")*(Expenses!A$3:A$1002=DATE(2026,7,11)),ROW(Expenses!A$3:A$1002)-2),2)),"")&lt;&gt;"",IFERROR(INDEX(Expenses!B$3:B$1002,SMALL(IF((Expenses!E$3:E$1002="GBP")*(Expenses!A$3:A$1002=DATE(2026,7,11)),ROW(Expenses!A$3:A$1002)-2),2)),""),IF(IFERROR(INDEX(Income!B$3:B$502,SMALL(IF((Income!D$3:D$502="GBP")*(Income!A$3:A$502=DATE(2026,7,11)),ROW(Income!A$3:A$502)-2),2)),"")&lt;&gt;"",IFERROR(INDEX(Income!B$3:B$502,SMALL(IF((Income!D$3:D$502="GBP")*(Income!A$3:A$502=DATE(2026,7,11)),ROW(Income!A$3:A$502)-2),2)),""),""))</f>
        <v/>
      </c>
      <c r="O140" s="62" t="str">
        <f aca="false">IF(IFERROR(-INDEX(Expenses!D$3:D$1002,SMALL(IF((Expenses!E$3:E$1002="GBP")*(Expenses!A$3:A$1002=DATE(2026,7,12)),ROW(Expenses!A$3:A$1002)-2),2)),0)+IFERROR(INDEX(Income!C$3:C$502,SMALL(IF((Income!D$3:D$502="GBP")*(Income!A$3:A$502=DATE(2026,7,12)),ROW(Income!A$3:A$502)-2),2)),0)=0,"",IFERROR(-INDEX(Expenses!D$3:D$1002,SMALL(IF((Expenses!E$3:E$1002="GBP")*(Expenses!A$3:A$1002=DATE(2026,7,12)),ROW(Expenses!A$3:A$1002)-2),2)),0)+IFERROR(INDEX(Income!C$3:C$502,SMALL(IF((Income!D$3:D$502="GBP")*(Income!A$3:A$502=DATE(2026,7,12)),ROW(Income!A$3:A$502)-2),2)),0))</f>
        <v/>
      </c>
      <c r="P140" s="38" t="str">
        <f aca="false">IF(IFERROR(INDEX(Expenses!B$3:B$1002,SMALL(IF((Expenses!E$3:E$1002="GBP")*(Expenses!A$3:A$1002=DATE(2026,7,12)),ROW(Expenses!A$3:A$1002)-2),2)),"")&lt;&gt;"",IFERROR(INDEX(Expenses!B$3:B$1002,SMALL(IF((Expenses!E$3:E$1002="GBP")*(Expenses!A$3:A$1002=DATE(2026,7,12)),ROW(Expenses!A$3:A$1002)-2),2)),""),IF(IFERROR(INDEX(Income!B$3:B$502,SMALL(IF((Income!D$3:D$502="GBP")*(Income!A$3:A$502=DATE(2026,7,12)),ROW(Income!A$3:A$502)-2),2)),"")&lt;&gt;"",IFERROR(INDEX(Income!B$3:B$502,SMALL(IF((Income!D$3:D$502="GBP")*(Income!A$3:A$502=DATE(2026,7,12)),ROW(Income!A$3:A$502)-2),2)),""),""))</f>
        <v/>
      </c>
      <c r="Q140" s="16"/>
      <c r="R140" s="16"/>
    </row>
    <row r="141" customFormat="false" ht="15" hidden="false" customHeight="false" outlineLevel="0" collapsed="false">
      <c r="A141" s="16"/>
      <c r="B141" s="16"/>
      <c r="C141" s="62" t="str">
        <f aca="false">IF(IFERROR(-INDEX(Expenses!D$3:D$1002,SMALL(IF((Expenses!E$3:E$1002="GBP")*(Expenses!A$3:A$1002=DATE(2026,7,6)),ROW(Expenses!A$3:A$1002)-2),3)),0)+IFERROR(INDEX(Income!C$3:C$502,SMALL(IF((Income!D$3:D$502="GBP")*(Income!A$3:A$502=DATE(2026,7,6)),ROW(Income!A$3:A$502)-2),3)),0)=0,"",IFERROR(-INDEX(Expenses!D$3:D$1002,SMALL(IF((Expenses!E$3:E$1002="GBP")*(Expenses!A$3:A$1002=DATE(2026,7,6)),ROW(Expenses!A$3:A$1002)-2),3)),0)+IFERROR(INDEX(Income!C$3:C$502,SMALL(IF((Income!D$3:D$502="GBP")*(Income!A$3:A$502=DATE(2026,7,6)),ROW(Income!A$3:A$502)-2),3)),0))</f>
        <v/>
      </c>
      <c r="D141" s="38" t="str">
        <f aca="false">IF(IFERROR(INDEX(Expenses!B$3:B$1002,SMALL(IF((Expenses!E$3:E$1002="GBP")*(Expenses!A$3:A$1002=DATE(2026,7,6)),ROW(Expenses!A$3:A$1002)-2),3)),"")&lt;&gt;"",IFERROR(INDEX(Expenses!B$3:B$1002,SMALL(IF((Expenses!E$3:E$1002="GBP")*(Expenses!A$3:A$1002=DATE(2026,7,6)),ROW(Expenses!A$3:A$1002)-2),3)),""),IF(IFERROR(INDEX(Income!B$3:B$502,SMALL(IF((Income!D$3:D$502="GBP")*(Income!A$3:A$502=DATE(2026,7,6)),ROW(Income!A$3:A$502)-2),3)),"")&lt;&gt;"",IFERROR(INDEX(Income!B$3:B$502,SMALL(IF((Income!D$3:D$502="GBP")*(Income!A$3:A$502=DATE(2026,7,6)),ROW(Income!A$3:A$502)-2),3)),""),""))</f>
        <v/>
      </c>
      <c r="E141" s="62" t="str">
        <f aca="false">IF(IFERROR(-INDEX(Expenses!D$3:D$1002,SMALL(IF((Expenses!E$3:E$1002="GBP")*(Expenses!A$3:A$1002=DATE(2026,7,7)),ROW(Expenses!A$3:A$1002)-2),3)),0)+IFERROR(INDEX(Income!C$3:C$502,SMALL(IF((Income!D$3:D$502="GBP")*(Income!A$3:A$502=DATE(2026,7,7)),ROW(Income!A$3:A$502)-2),3)),0)=0,"",IFERROR(-INDEX(Expenses!D$3:D$1002,SMALL(IF((Expenses!E$3:E$1002="GBP")*(Expenses!A$3:A$1002=DATE(2026,7,7)),ROW(Expenses!A$3:A$1002)-2),3)),0)+IFERROR(INDEX(Income!C$3:C$502,SMALL(IF((Income!D$3:D$502="GBP")*(Income!A$3:A$502=DATE(2026,7,7)),ROW(Income!A$3:A$502)-2),3)),0))</f>
        <v/>
      </c>
      <c r="F141" s="38" t="str">
        <f aca="false">IF(IFERROR(INDEX(Expenses!B$3:B$1002,SMALL(IF((Expenses!E$3:E$1002="GBP")*(Expenses!A$3:A$1002=DATE(2026,7,7)),ROW(Expenses!A$3:A$1002)-2),3)),"")&lt;&gt;"",IFERROR(INDEX(Expenses!B$3:B$1002,SMALL(IF((Expenses!E$3:E$1002="GBP")*(Expenses!A$3:A$1002=DATE(2026,7,7)),ROW(Expenses!A$3:A$1002)-2),3)),""),IF(IFERROR(INDEX(Income!B$3:B$502,SMALL(IF((Income!D$3:D$502="GBP")*(Income!A$3:A$502=DATE(2026,7,7)),ROW(Income!A$3:A$502)-2),3)),"")&lt;&gt;"",IFERROR(INDEX(Income!B$3:B$502,SMALL(IF((Income!D$3:D$502="GBP")*(Income!A$3:A$502=DATE(2026,7,7)),ROW(Income!A$3:A$502)-2),3)),""),""))</f>
        <v/>
      </c>
      <c r="G141" s="62" t="str">
        <f aca="false">IF(IFERROR(-INDEX(Expenses!D$3:D$1002,SMALL(IF((Expenses!E$3:E$1002="GBP")*(Expenses!A$3:A$1002=DATE(2026,7,8)),ROW(Expenses!A$3:A$1002)-2),3)),0)+IFERROR(INDEX(Income!C$3:C$502,SMALL(IF((Income!D$3:D$502="GBP")*(Income!A$3:A$502=DATE(2026,7,8)),ROW(Income!A$3:A$502)-2),3)),0)=0,"",IFERROR(-INDEX(Expenses!D$3:D$1002,SMALL(IF((Expenses!E$3:E$1002="GBP")*(Expenses!A$3:A$1002=DATE(2026,7,8)),ROW(Expenses!A$3:A$1002)-2),3)),0)+IFERROR(INDEX(Income!C$3:C$502,SMALL(IF((Income!D$3:D$502="GBP")*(Income!A$3:A$502=DATE(2026,7,8)),ROW(Income!A$3:A$502)-2),3)),0))</f>
        <v/>
      </c>
      <c r="H141" s="38" t="str">
        <f aca="false">IF(IFERROR(INDEX(Expenses!B$3:B$1002,SMALL(IF((Expenses!E$3:E$1002="GBP")*(Expenses!A$3:A$1002=DATE(2026,7,8)),ROW(Expenses!A$3:A$1002)-2),3)),"")&lt;&gt;"",IFERROR(INDEX(Expenses!B$3:B$1002,SMALL(IF((Expenses!E$3:E$1002="GBP")*(Expenses!A$3:A$1002=DATE(2026,7,8)),ROW(Expenses!A$3:A$1002)-2),3)),""),IF(IFERROR(INDEX(Income!B$3:B$502,SMALL(IF((Income!D$3:D$502="GBP")*(Income!A$3:A$502=DATE(2026,7,8)),ROW(Income!A$3:A$502)-2),3)),"")&lt;&gt;"",IFERROR(INDEX(Income!B$3:B$502,SMALL(IF((Income!D$3:D$502="GBP")*(Income!A$3:A$502=DATE(2026,7,8)),ROW(Income!A$3:A$502)-2),3)),""),""))</f>
        <v/>
      </c>
      <c r="I141" s="62" t="str">
        <f aca="false">IF(IFERROR(-INDEX(Expenses!D$3:D$1002,SMALL(IF((Expenses!E$3:E$1002="GBP")*(Expenses!A$3:A$1002=DATE(2026,7,9)),ROW(Expenses!A$3:A$1002)-2),3)),0)+IFERROR(INDEX(Income!C$3:C$502,SMALL(IF((Income!D$3:D$502="GBP")*(Income!A$3:A$502=DATE(2026,7,9)),ROW(Income!A$3:A$502)-2),3)),0)=0,"",IFERROR(-INDEX(Expenses!D$3:D$1002,SMALL(IF((Expenses!E$3:E$1002="GBP")*(Expenses!A$3:A$1002=DATE(2026,7,9)),ROW(Expenses!A$3:A$1002)-2),3)),0)+IFERROR(INDEX(Income!C$3:C$502,SMALL(IF((Income!D$3:D$502="GBP")*(Income!A$3:A$502=DATE(2026,7,9)),ROW(Income!A$3:A$502)-2),3)),0))</f>
        <v/>
      </c>
      <c r="J141" s="38" t="str">
        <f aca="false">IF(IFERROR(INDEX(Expenses!B$3:B$1002,SMALL(IF((Expenses!E$3:E$1002="GBP")*(Expenses!A$3:A$1002=DATE(2026,7,9)),ROW(Expenses!A$3:A$1002)-2),3)),"")&lt;&gt;"",IFERROR(INDEX(Expenses!B$3:B$1002,SMALL(IF((Expenses!E$3:E$1002="GBP")*(Expenses!A$3:A$1002=DATE(2026,7,9)),ROW(Expenses!A$3:A$1002)-2),3)),""),IF(IFERROR(INDEX(Income!B$3:B$502,SMALL(IF((Income!D$3:D$502="GBP")*(Income!A$3:A$502=DATE(2026,7,9)),ROW(Income!A$3:A$502)-2),3)),"")&lt;&gt;"",IFERROR(INDEX(Income!B$3:B$502,SMALL(IF((Income!D$3:D$502="GBP")*(Income!A$3:A$502=DATE(2026,7,9)),ROW(Income!A$3:A$502)-2),3)),""),""))</f>
        <v/>
      </c>
      <c r="K141" s="62" t="str">
        <f aca="false">IF(IFERROR(-INDEX(Expenses!D$3:D$1002,SMALL(IF((Expenses!E$3:E$1002="GBP")*(Expenses!A$3:A$1002=DATE(2026,7,10)),ROW(Expenses!A$3:A$1002)-2),3)),0)+IFERROR(INDEX(Income!C$3:C$502,SMALL(IF((Income!D$3:D$502="GBP")*(Income!A$3:A$502=DATE(2026,7,10)),ROW(Income!A$3:A$502)-2),3)),0)=0,"",IFERROR(-INDEX(Expenses!D$3:D$1002,SMALL(IF((Expenses!E$3:E$1002="GBP")*(Expenses!A$3:A$1002=DATE(2026,7,10)),ROW(Expenses!A$3:A$1002)-2),3)),0)+IFERROR(INDEX(Income!C$3:C$502,SMALL(IF((Income!D$3:D$502="GBP")*(Income!A$3:A$502=DATE(2026,7,10)),ROW(Income!A$3:A$502)-2),3)),0))</f>
        <v/>
      </c>
      <c r="L141" s="38" t="str">
        <f aca="false">IF(IFERROR(INDEX(Expenses!B$3:B$1002,SMALL(IF((Expenses!E$3:E$1002="GBP")*(Expenses!A$3:A$1002=DATE(2026,7,10)),ROW(Expenses!A$3:A$1002)-2),3)),"")&lt;&gt;"",IFERROR(INDEX(Expenses!B$3:B$1002,SMALL(IF((Expenses!E$3:E$1002="GBP")*(Expenses!A$3:A$1002=DATE(2026,7,10)),ROW(Expenses!A$3:A$1002)-2),3)),""),IF(IFERROR(INDEX(Income!B$3:B$502,SMALL(IF((Income!D$3:D$502="GBP")*(Income!A$3:A$502=DATE(2026,7,10)),ROW(Income!A$3:A$502)-2),3)),"")&lt;&gt;"",IFERROR(INDEX(Income!B$3:B$502,SMALL(IF((Income!D$3:D$502="GBP")*(Income!A$3:A$502=DATE(2026,7,10)),ROW(Income!A$3:A$502)-2),3)),""),""))</f>
        <v/>
      </c>
      <c r="M141" s="62" t="str">
        <f aca="false">IF(IFERROR(-INDEX(Expenses!D$3:D$1002,SMALL(IF((Expenses!E$3:E$1002="GBP")*(Expenses!A$3:A$1002=DATE(2026,7,11)),ROW(Expenses!A$3:A$1002)-2),3)),0)+IFERROR(INDEX(Income!C$3:C$502,SMALL(IF((Income!D$3:D$502="GBP")*(Income!A$3:A$502=DATE(2026,7,11)),ROW(Income!A$3:A$502)-2),3)),0)=0,"",IFERROR(-INDEX(Expenses!D$3:D$1002,SMALL(IF((Expenses!E$3:E$1002="GBP")*(Expenses!A$3:A$1002=DATE(2026,7,11)),ROW(Expenses!A$3:A$1002)-2),3)),0)+IFERROR(INDEX(Income!C$3:C$502,SMALL(IF((Income!D$3:D$502="GBP")*(Income!A$3:A$502=DATE(2026,7,11)),ROW(Income!A$3:A$502)-2),3)),0))</f>
        <v/>
      </c>
      <c r="N141" s="38" t="str">
        <f aca="false">IF(IFERROR(INDEX(Expenses!B$3:B$1002,SMALL(IF((Expenses!E$3:E$1002="GBP")*(Expenses!A$3:A$1002=DATE(2026,7,11)),ROW(Expenses!A$3:A$1002)-2),3)),"")&lt;&gt;"",IFERROR(INDEX(Expenses!B$3:B$1002,SMALL(IF((Expenses!E$3:E$1002="GBP")*(Expenses!A$3:A$1002=DATE(2026,7,11)),ROW(Expenses!A$3:A$1002)-2),3)),""),IF(IFERROR(INDEX(Income!B$3:B$502,SMALL(IF((Income!D$3:D$502="GBP")*(Income!A$3:A$502=DATE(2026,7,11)),ROW(Income!A$3:A$502)-2),3)),"")&lt;&gt;"",IFERROR(INDEX(Income!B$3:B$502,SMALL(IF((Income!D$3:D$502="GBP")*(Income!A$3:A$502=DATE(2026,7,11)),ROW(Income!A$3:A$502)-2),3)),""),""))</f>
        <v/>
      </c>
      <c r="O141" s="62" t="str">
        <f aca="false">IF(IFERROR(-INDEX(Expenses!D$3:D$1002,SMALL(IF((Expenses!E$3:E$1002="GBP")*(Expenses!A$3:A$1002=DATE(2026,7,12)),ROW(Expenses!A$3:A$1002)-2),3)),0)+IFERROR(INDEX(Income!C$3:C$502,SMALL(IF((Income!D$3:D$502="GBP")*(Income!A$3:A$502=DATE(2026,7,12)),ROW(Income!A$3:A$502)-2),3)),0)=0,"",IFERROR(-INDEX(Expenses!D$3:D$1002,SMALL(IF((Expenses!E$3:E$1002="GBP")*(Expenses!A$3:A$1002=DATE(2026,7,12)),ROW(Expenses!A$3:A$1002)-2),3)),0)+IFERROR(INDEX(Income!C$3:C$502,SMALL(IF((Income!D$3:D$502="GBP")*(Income!A$3:A$502=DATE(2026,7,12)),ROW(Income!A$3:A$502)-2),3)),0))</f>
        <v/>
      </c>
      <c r="P141" s="38" t="str">
        <f aca="false">IF(IFERROR(INDEX(Expenses!B$3:B$1002,SMALL(IF((Expenses!E$3:E$1002="GBP")*(Expenses!A$3:A$1002=DATE(2026,7,12)),ROW(Expenses!A$3:A$1002)-2),3)),"")&lt;&gt;"",IFERROR(INDEX(Expenses!B$3:B$1002,SMALL(IF((Expenses!E$3:E$1002="GBP")*(Expenses!A$3:A$1002=DATE(2026,7,12)),ROW(Expenses!A$3:A$1002)-2),3)),""),IF(IFERROR(INDEX(Income!B$3:B$502,SMALL(IF((Income!D$3:D$502="GBP")*(Income!A$3:A$502=DATE(2026,7,12)),ROW(Income!A$3:A$502)-2),3)),"")&lt;&gt;"",IFERROR(INDEX(Income!B$3:B$502,SMALL(IF((Income!D$3:D$502="GBP")*(Income!A$3:A$502=DATE(2026,7,12)),ROW(Income!A$3:A$502)-2),3)),""),""))</f>
        <v/>
      </c>
      <c r="Q141" s="16"/>
      <c r="R141" s="16"/>
    </row>
    <row r="142" customFormat="false" ht="15" hidden="false" customHeight="false" outlineLevel="0" collapsed="false">
      <c r="A142" s="16"/>
      <c r="B142" s="16"/>
      <c r="C142" s="62" t="str">
        <f aca="false">IF(IFERROR(-INDEX(Expenses!D$3:D$1002,SMALL(IF((Expenses!E$3:E$1002="GBP")*(Expenses!A$3:A$1002=DATE(2026,7,6)),ROW(Expenses!A$3:A$1002)-2),4)),0)+IFERROR(INDEX(Income!C$3:C$502,SMALL(IF((Income!D$3:D$502="GBP")*(Income!A$3:A$502=DATE(2026,7,6)),ROW(Income!A$3:A$502)-2),4)),0)=0,"",IFERROR(-INDEX(Expenses!D$3:D$1002,SMALL(IF((Expenses!E$3:E$1002="GBP")*(Expenses!A$3:A$1002=DATE(2026,7,6)),ROW(Expenses!A$3:A$1002)-2),4)),0)+IFERROR(INDEX(Income!C$3:C$502,SMALL(IF((Income!D$3:D$502="GBP")*(Income!A$3:A$502=DATE(2026,7,6)),ROW(Income!A$3:A$502)-2),4)),0))</f>
        <v/>
      </c>
      <c r="D142" s="38" t="str">
        <f aca="false">IF(IFERROR(INDEX(Expenses!B$3:B$1002,SMALL(IF((Expenses!E$3:E$1002="GBP")*(Expenses!A$3:A$1002=DATE(2026,7,6)),ROW(Expenses!A$3:A$1002)-2),4)),"")&lt;&gt;"",IFERROR(INDEX(Expenses!B$3:B$1002,SMALL(IF((Expenses!E$3:E$1002="GBP")*(Expenses!A$3:A$1002=DATE(2026,7,6)),ROW(Expenses!A$3:A$1002)-2),4)),""),IF(IFERROR(INDEX(Income!B$3:B$502,SMALL(IF((Income!D$3:D$502="GBP")*(Income!A$3:A$502=DATE(2026,7,6)),ROW(Income!A$3:A$502)-2),4)),"")&lt;&gt;"",IFERROR(INDEX(Income!B$3:B$502,SMALL(IF((Income!D$3:D$502="GBP")*(Income!A$3:A$502=DATE(2026,7,6)),ROW(Income!A$3:A$502)-2),4)),""),""))</f>
        <v/>
      </c>
      <c r="E142" s="62" t="str">
        <f aca="false">IF(IFERROR(-INDEX(Expenses!D$3:D$1002,SMALL(IF((Expenses!E$3:E$1002="GBP")*(Expenses!A$3:A$1002=DATE(2026,7,7)),ROW(Expenses!A$3:A$1002)-2),4)),0)+IFERROR(INDEX(Income!C$3:C$502,SMALL(IF((Income!D$3:D$502="GBP")*(Income!A$3:A$502=DATE(2026,7,7)),ROW(Income!A$3:A$502)-2),4)),0)=0,"",IFERROR(-INDEX(Expenses!D$3:D$1002,SMALL(IF((Expenses!E$3:E$1002="GBP")*(Expenses!A$3:A$1002=DATE(2026,7,7)),ROW(Expenses!A$3:A$1002)-2),4)),0)+IFERROR(INDEX(Income!C$3:C$502,SMALL(IF((Income!D$3:D$502="GBP")*(Income!A$3:A$502=DATE(2026,7,7)),ROW(Income!A$3:A$502)-2),4)),0))</f>
        <v/>
      </c>
      <c r="F142" s="38" t="str">
        <f aca="false">IF(IFERROR(INDEX(Expenses!B$3:B$1002,SMALL(IF((Expenses!E$3:E$1002="GBP")*(Expenses!A$3:A$1002=DATE(2026,7,7)),ROW(Expenses!A$3:A$1002)-2),4)),"")&lt;&gt;"",IFERROR(INDEX(Expenses!B$3:B$1002,SMALL(IF((Expenses!E$3:E$1002="GBP")*(Expenses!A$3:A$1002=DATE(2026,7,7)),ROW(Expenses!A$3:A$1002)-2),4)),""),IF(IFERROR(INDEX(Income!B$3:B$502,SMALL(IF((Income!D$3:D$502="GBP")*(Income!A$3:A$502=DATE(2026,7,7)),ROW(Income!A$3:A$502)-2),4)),"")&lt;&gt;"",IFERROR(INDEX(Income!B$3:B$502,SMALL(IF((Income!D$3:D$502="GBP")*(Income!A$3:A$502=DATE(2026,7,7)),ROW(Income!A$3:A$502)-2),4)),""),""))</f>
        <v/>
      </c>
      <c r="G142" s="62" t="str">
        <f aca="false">IF(IFERROR(-INDEX(Expenses!D$3:D$1002,SMALL(IF((Expenses!E$3:E$1002="GBP")*(Expenses!A$3:A$1002=DATE(2026,7,8)),ROW(Expenses!A$3:A$1002)-2),4)),0)+IFERROR(INDEX(Income!C$3:C$502,SMALL(IF((Income!D$3:D$502="GBP")*(Income!A$3:A$502=DATE(2026,7,8)),ROW(Income!A$3:A$502)-2),4)),0)=0,"",IFERROR(-INDEX(Expenses!D$3:D$1002,SMALL(IF((Expenses!E$3:E$1002="GBP")*(Expenses!A$3:A$1002=DATE(2026,7,8)),ROW(Expenses!A$3:A$1002)-2),4)),0)+IFERROR(INDEX(Income!C$3:C$502,SMALL(IF((Income!D$3:D$502="GBP")*(Income!A$3:A$502=DATE(2026,7,8)),ROW(Income!A$3:A$502)-2),4)),0))</f>
        <v/>
      </c>
      <c r="H142" s="38" t="str">
        <f aca="false">IF(IFERROR(INDEX(Expenses!B$3:B$1002,SMALL(IF((Expenses!E$3:E$1002="GBP")*(Expenses!A$3:A$1002=DATE(2026,7,8)),ROW(Expenses!A$3:A$1002)-2),4)),"")&lt;&gt;"",IFERROR(INDEX(Expenses!B$3:B$1002,SMALL(IF((Expenses!E$3:E$1002="GBP")*(Expenses!A$3:A$1002=DATE(2026,7,8)),ROW(Expenses!A$3:A$1002)-2),4)),""),IF(IFERROR(INDEX(Income!B$3:B$502,SMALL(IF((Income!D$3:D$502="GBP")*(Income!A$3:A$502=DATE(2026,7,8)),ROW(Income!A$3:A$502)-2),4)),"")&lt;&gt;"",IFERROR(INDEX(Income!B$3:B$502,SMALL(IF((Income!D$3:D$502="GBP")*(Income!A$3:A$502=DATE(2026,7,8)),ROW(Income!A$3:A$502)-2),4)),""),""))</f>
        <v/>
      </c>
      <c r="I142" s="62" t="str">
        <f aca="false">IF(IFERROR(-INDEX(Expenses!D$3:D$1002,SMALL(IF((Expenses!E$3:E$1002="GBP")*(Expenses!A$3:A$1002=DATE(2026,7,9)),ROW(Expenses!A$3:A$1002)-2),4)),0)+IFERROR(INDEX(Income!C$3:C$502,SMALL(IF((Income!D$3:D$502="GBP")*(Income!A$3:A$502=DATE(2026,7,9)),ROW(Income!A$3:A$502)-2),4)),0)=0,"",IFERROR(-INDEX(Expenses!D$3:D$1002,SMALL(IF((Expenses!E$3:E$1002="GBP")*(Expenses!A$3:A$1002=DATE(2026,7,9)),ROW(Expenses!A$3:A$1002)-2),4)),0)+IFERROR(INDEX(Income!C$3:C$502,SMALL(IF((Income!D$3:D$502="GBP")*(Income!A$3:A$502=DATE(2026,7,9)),ROW(Income!A$3:A$502)-2),4)),0))</f>
        <v/>
      </c>
      <c r="J142" s="38" t="str">
        <f aca="false">IF(IFERROR(INDEX(Expenses!B$3:B$1002,SMALL(IF((Expenses!E$3:E$1002="GBP")*(Expenses!A$3:A$1002=DATE(2026,7,9)),ROW(Expenses!A$3:A$1002)-2),4)),"")&lt;&gt;"",IFERROR(INDEX(Expenses!B$3:B$1002,SMALL(IF((Expenses!E$3:E$1002="GBP")*(Expenses!A$3:A$1002=DATE(2026,7,9)),ROW(Expenses!A$3:A$1002)-2),4)),""),IF(IFERROR(INDEX(Income!B$3:B$502,SMALL(IF((Income!D$3:D$502="GBP")*(Income!A$3:A$502=DATE(2026,7,9)),ROW(Income!A$3:A$502)-2),4)),"")&lt;&gt;"",IFERROR(INDEX(Income!B$3:B$502,SMALL(IF((Income!D$3:D$502="GBP")*(Income!A$3:A$502=DATE(2026,7,9)),ROW(Income!A$3:A$502)-2),4)),""),""))</f>
        <v/>
      </c>
      <c r="K142" s="62" t="str">
        <f aca="false">IF(IFERROR(-INDEX(Expenses!D$3:D$1002,SMALL(IF((Expenses!E$3:E$1002="GBP")*(Expenses!A$3:A$1002=DATE(2026,7,10)),ROW(Expenses!A$3:A$1002)-2),4)),0)+IFERROR(INDEX(Income!C$3:C$502,SMALL(IF((Income!D$3:D$502="GBP")*(Income!A$3:A$502=DATE(2026,7,10)),ROW(Income!A$3:A$502)-2),4)),0)=0,"",IFERROR(-INDEX(Expenses!D$3:D$1002,SMALL(IF((Expenses!E$3:E$1002="GBP")*(Expenses!A$3:A$1002=DATE(2026,7,10)),ROW(Expenses!A$3:A$1002)-2),4)),0)+IFERROR(INDEX(Income!C$3:C$502,SMALL(IF((Income!D$3:D$502="GBP")*(Income!A$3:A$502=DATE(2026,7,10)),ROW(Income!A$3:A$502)-2),4)),0))</f>
        <v/>
      </c>
      <c r="L142" s="38" t="str">
        <f aca="false">IF(IFERROR(INDEX(Expenses!B$3:B$1002,SMALL(IF((Expenses!E$3:E$1002="GBP")*(Expenses!A$3:A$1002=DATE(2026,7,10)),ROW(Expenses!A$3:A$1002)-2),4)),"")&lt;&gt;"",IFERROR(INDEX(Expenses!B$3:B$1002,SMALL(IF((Expenses!E$3:E$1002="GBP")*(Expenses!A$3:A$1002=DATE(2026,7,10)),ROW(Expenses!A$3:A$1002)-2),4)),""),IF(IFERROR(INDEX(Income!B$3:B$502,SMALL(IF((Income!D$3:D$502="GBP")*(Income!A$3:A$502=DATE(2026,7,10)),ROW(Income!A$3:A$502)-2),4)),"")&lt;&gt;"",IFERROR(INDEX(Income!B$3:B$502,SMALL(IF((Income!D$3:D$502="GBP")*(Income!A$3:A$502=DATE(2026,7,10)),ROW(Income!A$3:A$502)-2),4)),""),""))</f>
        <v/>
      </c>
      <c r="M142" s="62" t="str">
        <f aca="false">IF(IFERROR(-INDEX(Expenses!D$3:D$1002,SMALL(IF((Expenses!E$3:E$1002="GBP")*(Expenses!A$3:A$1002=DATE(2026,7,11)),ROW(Expenses!A$3:A$1002)-2),4)),0)+IFERROR(INDEX(Income!C$3:C$502,SMALL(IF((Income!D$3:D$502="GBP")*(Income!A$3:A$502=DATE(2026,7,11)),ROW(Income!A$3:A$502)-2),4)),0)=0,"",IFERROR(-INDEX(Expenses!D$3:D$1002,SMALL(IF((Expenses!E$3:E$1002="GBP")*(Expenses!A$3:A$1002=DATE(2026,7,11)),ROW(Expenses!A$3:A$1002)-2),4)),0)+IFERROR(INDEX(Income!C$3:C$502,SMALL(IF((Income!D$3:D$502="GBP")*(Income!A$3:A$502=DATE(2026,7,11)),ROW(Income!A$3:A$502)-2),4)),0))</f>
        <v/>
      </c>
      <c r="N142" s="38" t="str">
        <f aca="false">IF(IFERROR(INDEX(Expenses!B$3:B$1002,SMALL(IF((Expenses!E$3:E$1002="GBP")*(Expenses!A$3:A$1002=DATE(2026,7,11)),ROW(Expenses!A$3:A$1002)-2),4)),"")&lt;&gt;"",IFERROR(INDEX(Expenses!B$3:B$1002,SMALL(IF((Expenses!E$3:E$1002="GBP")*(Expenses!A$3:A$1002=DATE(2026,7,11)),ROW(Expenses!A$3:A$1002)-2),4)),""),IF(IFERROR(INDEX(Income!B$3:B$502,SMALL(IF((Income!D$3:D$502="GBP")*(Income!A$3:A$502=DATE(2026,7,11)),ROW(Income!A$3:A$502)-2),4)),"")&lt;&gt;"",IFERROR(INDEX(Income!B$3:B$502,SMALL(IF((Income!D$3:D$502="GBP")*(Income!A$3:A$502=DATE(2026,7,11)),ROW(Income!A$3:A$502)-2),4)),""),""))</f>
        <v/>
      </c>
      <c r="O142" s="62" t="str">
        <f aca="false">IF(IFERROR(-INDEX(Expenses!D$3:D$1002,SMALL(IF((Expenses!E$3:E$1002="GBP")*(Expenses!A$3:A$1002=DATE(2026,7,12)),ROW(Expenses!A$3:A$1002)-2),4)),0)+IFERROR(INDEX(Income!C$3:C$502,SMALL(IF((Income!D$3:D$502="GBP")*(Income!A$3:A$502=DATE(2026,7,12)),ROW(Income!A$3:A$502)-2),4)),0)=0,"",IFERROR(-INDEX(Expenses!D$3:D$1002,SMALL(IF((Expenses!E$3:E$1002="GBP")*(Expenses!A$3:A$1002=DATE(2026,7,12)),ROW(Expenses!A$3:A$1002)-2),4)),0)+IFERROR(INDEX(Income!C$3:C$502,SMALL(IF((Income!D$3:D$502="GBP")*(Income!A$3:A$502=DATE(2026,7,12)),ROW(Income!A$3:A$502)-2),4)),0))</f>
        <v/>
      </c>
      <c r="P142" s="38" t="str">
        <f aca="false">IF(IFERROR(INDEX(Expenses!B$3:B$1002,SMALL(IF((Expenses!E$3:E$1002="GBP")*(Expenses!A$3:A$1002=DATE(2026,7,12)),ROW(Expenses!A$3:A$1002)-2),4)),"")&lt;&gt;"",IFERROR(INDEX(Expenses!B$3:B$1002,SMALL(IF((Expenses!E$3:E$1002="GBP")*(Expenses!A$3:A$1002=DATE(2026,7,12)),ROW(Expenses!A$3:A$1002)-2),4)),""),IF(IFERROR(INDEX(Income!B$3:B$502,SMALL(IF((Income!D$3:D$502="GBP")*(Income!A$3:A$502=DATE(2026,7,12)),ROW(Income!A$3:A$502)-2),4)),"")&lt;&gt;"",IFERROR(INDEX(Income!B$3:B$502,SMALL(IF((Income!D$3:D$502="GBP")*(Income!A$3:A$502=DATE(2026,7,12)),ROW(Income!A$3:A$502)-2),4)),""),""))</f>
        <v/>
      </c>
      <c r="Q142" s="16"/>
      <c r="R142" s="16"/>
    </row>
    <row r="143" customFormat="false" ht="15" hidden="false" customHeight="false" outlineLevel="0" collapsed="false">
      <c r="A143" s="16"/>
      <c r="B143" s="16"/>
      <c r="C143" s="62" t="str">
        <f aca="false">IF(IFERROR(-INDEX(Expenses!D$3:D$1002,SMALL(IF((Expenses!E$3:E$1002="GBP")*(Expenses!A$3:A$1002=DATE(2026,7,6)),ROW(Expenses!A$3:A$1002)-2),5)),0)+IFERROR(INDEX(Income!C$3:C$502,SMALL(IF((Income!D$3:D$502="GBP")*(Income!A$3:A$502=DATE(2026,7,6)),ROW(Income!A$3:A$502)-2),5)),0)=0,"",IFERROR(-INDEX(Expenses!D$3:D$1002,SMALL(IF((Expenses!E$3:E$1002="GBP")*(Expenses!A$3:A$1002=DATE(2026,7,6)),ROW(Expenses!A$3:A$1002)-2),5)),0)+IFERROR(INDEX(Income!C$3:C$502,SMALL(IF((Income!D$3:D$502="GBP")*(Income!A$3:A$502=DATE(2026,7,6)),ROW(Income!A$3:A$502)-2),5)),0))</f>
        <v/>
      </c>
      <c r="D143" s="38" t="str">
        <f aca="false">IF(IFERROR(INDEX(Expenses!B$3:B$1002,SMALL(IF((Expenses!E$3:E$1002="GBP")*(Expenses!A$3:A$1002=DATE(2026,7,6)),ROW(Expenses!A$3:A$1002)-2),5)),"")&lt;&gt;"",IFERROR(INDEX(Expenses!B$3:B$1002,SMALL(IF((Expenses!E$3:E$1002="GBP")*(Expenses!A$3:A$1002=DATE(2026,7,6)),ROW(Expenses!A$3:A$1002)-2),5)),""),IF(IFERROR(INDEX(Income!B$3:B$502,SMALL(IF((Income!D$3:D$502="GBP")*(Income!A$3:A$502=DATE(2026,7,6)),ROW(Income!A$3:A$502)-2),5)),"")&lt;&gt;"",IFERROR(INDEX(Income!B$3:B$502,SMALL(IF((Income!D$3:D$502="GBP")*(Income!A$3:A$502=DATE(2026,7,6)),ROW(Income!A$3:A$502)-2),5)),""),""))</f>
        <v/>
      </c>
      <c r="E143" s="62" t="str">
        <f aca="false">IF(IFERROR(-INDEX(Expenses!D$3:D$1002,SMALL(IF((Expenses!E$3:E$1002="GBP")*(Expenses!A$3:A$1002=DATE(2026,7,7)),ROW(Expenses!A$3:A$1002)-2),5)),0)+IFERROR(INDEX(Income!C$3:C$502,SMALL(IF((Income!D$3:D$502="GBP")*(Income!A$3:A$502=DATE(2026,7,7)),ROW(Income!A$3:A$502)-2),5)),0)=0,"",IFERROR(-INDEX(Expenses!D$3:D$1002,SMALL(IF((Expenses!E$3:E$1002="GBP")*(Expenses!A$3:A$1002=DATE(2026,7,7)),ROW(Expenses!A$3:A$1002)-2),5)),0)+IFERROR(INDEX(Income!C$3:C$502,SMALL(IF((Income!D$3:D$502="GBP")*(Income!A$3:A$502=DATE(2026,7,7)),ROW(Income!A$3:A$502)-2),5)),0))</f>
        <v/>
      </c>
      <c r="F143" s="38" t="str">
        <f aca="false">IF(IFERROR(INDEX(Expenses!B$3:B$1002,SMALL(IF((Expenses!E$3:E$1002="GBP")*(Expenses!A$3:A$1002=DATE(2026,7,7)),ROW(Expenses!A$3:A$1002)-2),5)),"")&lt;&gt;"",IFERROR(INDEX(Expenses!B$3:B$1002,SMALL(IF((Expenses!E$3:E$1002="GBP")*(Expenses!A$3:A$1002=DATE(2026,7,7)),ROW(Expenses!A$3:A$1002)-2),5)),""),IF(IFERROR(INDEX(Income!B$3:B$502,SMALL(IF((Income!D$3:D$502="GBP")*(Income!A$3:A$502=DATE(2026,7,7)),ROW(Income!A$3:A$502)-2),5)),"")&lt;&gt;"",IFERROR(INDEX(Income!B$3:B$502,SMALL(IF((Income!D$3:D$502="GBP")*(Income!A$3:A$502=DATE(2026,7,7)),ROW(Income!A$3:A$502)-2),5)),""),""))</f>
        <v/>
      </c>
      <c r="G143" s="62" t="str">
        <f aca="false">IF(IFERROR(-INDEX(Expenses!D$3:D$1002,SMALL(IF((Expenses!E$3:E$1002="GBP")*(Expenses!A$3:A$1002=DATE(2026,7,8)),ROW(Expenses!A$3:A$1002)-2),5)),0)+IFERROR(INDEX(Income!C$3:C$502,SMALL(IF((Income!D$3:D$502="GBP")*(Income!A$3:A$502=DATE(2026,7,8)),ROW(Income!A$3:A$502)-2),5)),0)=0,"",IFERROR(-INDEX(Expenses!D$3:D$1002,SMALL(IF((Expenses!E$3:E$1002="GBP")*(Expenses!A$3:A$1002=DATE(2026,7,8)),ROW(Expenses!A$3:A$1002)-2),5)),0)+IFERROR(INDEX(Income!C$3:C$502,SMALL(IF((Income!D$3:D$502="GBP")*(Income!A$3:A$502=DATE(2026,7,8)),ROW(Income!A$3:A$502)-2),5)),0))</f>
        <v/>
      </c>
      <c r="H143" s="38" t="str">
        <f aca="false">IF(IFERROR(INDEX(Expenses!B$3:B$1002,SMALL(IF((Expenses!E$3:E$1002="GBP")*(Expenses!A$3:A$1002=DATE(2026,7,8)),ROW(Expenses!A$3:A$1002)-2),5)),"")&lt;&gt;"",IFERROR(INDEX(Expenses!B$3:B$1002,SMALL(IF((Expenses!E$3:E$1002="GBP")*(Expenses!A$3:A$1002=DATE(2026,7,8)),ROW(Expenses!A$3:A$1002)-2),5)),""),IF(IFERROR(INDEX(Income!B$3:B$502,SMALL(IF((Income!D$3:D$502="GBP")*(Income!A$3:A$502=DATE(2026,7,8)),ROW(Income!A$3:A$502)-2),5)),"")&lt;&gt;"",IFERROR(INDEX(Income!B$3:B$502,SMALL(IF((Income!D$3:D$502="GBP")*(Income!A$3:A$502=DATE(2026,7,8)),ROW(Income!A$3:A$502)-2),5)),""),""))</f>
        <v/>
      </c>
      <c r="I143" s="62" t="str">
        <f aca="false">IF(IFERROR(-INDEX(Expenses!D$3:D$1002,SMALL(IF((Expenses!E$3:E$1002="GBP")*(Expenses!A$3:A$1002=DATE(2026,7,9)),ROW(Expenses!A$3:A$1002)-2),5)),0)+IFERROR(INDEX(Income!C$3:C$502,SMALL(IF((Income!D$3:D$502="GBP")*(Income!A$3:A$502=DATE(2026,7,9)),ROW(Income!A$3:A$502)-2),5)),0)=0,"",IFERROR(-INDEX(Expenses!D$3:D$1002,SMALL(IF((Expenses!E$3:E$1002="GBP")*(Expenses!A$3:A$1002=DATE(2026,7,9)),ROW(Expenses!A$3:A$1002)-2),5)),0)+IFERROR(INDEX(Income!C$3:C$502,SMALL(IF((Income!D$3:D$502="GBP")*(Income!A$3:A$502=DATE(2026,7,9)),ROW(Income!A$3:A$502)-2),5)),0))</f>
        <v/>
      </c>
      <c r="J143" s="38" t="str">
        <f aca="false">IF(IFERROR(INDEX(Expenses!B$3:B$1002,SMALL(IF((Expenses!E$3:E$1002="GBP")*(Expenses!A$3:A$1002=DATE(2026,7,9)),ROW(Expenses!A$3:A$1002)-2),5)),"")&lt;&gt;"",IFERROR(INDEX(Expenses!B$3:B$1002,SMALL(IF((Expenses!E$3:E$1002="GBP")*(Expenses!A$3:A$1002=DATE(2026,7,9)),ROW(Expenses!A$3:A$1002)-2),5)),""),IF(IFERROR(INDEX(Income!B$3:B$502,SMALL(IF((Income!D$3:D$502="GBP")*(Income!A$3:A$502=DATE(2026,7,9)),ROW(Income!A$3:A$502)-2),5)),"")&lt;&gt;"",IFERROR(INDEX(Income!B$3:B$502,SMALL(IF((Income!D$3:D$502="GBP")*(Income!A$3:A$502=DATE(2026,7,9)),ROW(Income!A$3:A$502)-2),5)),""),""))</f>
        <v/>
      </c>
      <c r="K143" s="62" t="str">
        <f aca="false">IF(IFERROR(-INDEX(Expenses!D$3:D$1002,SMALL(IF((Expenses!E$3:E$1002="GBP")*(Expenses!A$3:A$1002=DATE(2026,7,10)),ROW(Expenses!A$3:A$1002)-2),5)),0)+IFERROR(INDEX(Income!C$3:C$502,SMALL(IF((Income!D$3:D$502="GBP")*(Income!A$3:A$502=DATE(2026,7,10)),ROW(Income!A$3:A$502)-2),5)),0)=0,"",IFERROR(-INDEX(Expenses!D$3:D$1002,SMALL(IF((Expenses!E$3:E$1002="GBP")*(Expenses!A$3:A$1002=DATE(2026,7,10)),ROW(Expenses!A$3:A$1002)-2),5)),0)+IFERROR(INDEX(Income!C$3:C$502,SMALL(IF((Income!D$3:D$502="GBP")*(Income!A$3:A$502=DATE(2026,7,10)),ROW(Income!A$3:A$502)-2),5)),0))</f>
        <v/>
      </c>
      <c r="L143" s="38" t="str">
        <f aca="false">IF(IFERROR(INDEX(Expenses!B$3:B$1002,SMALL(IF((Expenses!E$3:E$1002="GBP")*(Expenses!A$3:A$1002=DATE(2026,7,10)),ROW(Expenses!A$3:A$1002)-2),5)),"")&lt;&gt;"",IFERROR(INDEX(Expenses!B$3:B$1002,SMALL(IF((Expenses!E$3:E$1002="GBP")*(Expenses!A$3:A$1002=DATE(2026,7,10)),ROW(Expenses!A$3:A$1002)-2),5)),""),IF(IFERROR(INDEX(Income!B$3:B$502,SMALL(IF((Income!D$3:D$502="GBP")*(Income!A$3:A$502=DATE(2026,7,10)),ROW(Income!A$3:A$502)-2),5)),"")&lt;&gt;"",IFERROR(INDEX(Income!B$3:B$502,SMALL(IF((Income!D$3:D$502="GBP")*(Income!A$3:A$502=DATE(2026,7,10)),ROW(Income!A$3:A$502)-2),5)),""),""))</f>
        <v/>
      </c>
      <c r="M143" s="62" t="str">
        <f aca="false">IF(IFERROR(-INDEX(Expenses!D$3:D$1002,SMALL(IF((Expenses!E$3:E$1002="GBP")*(Expenses!A$3:A$1002=DATE(2026,7,11)),ROW(Expenses!A$3:A$1002)-2),5)),0)+IFERROR(INDEX(Income!C$3:C$502,SMALL(IF((Income!D$3:D$502="GBP")*(Income!A$3:A$502=DATE(2026,7,11)),ROW(Income!A$3:A$502)-2),5)),0)=0,"",IFERROR(-INDEX(Expenses!D$3:D$1002,SMALL(IF((Expenses!E$3:E$1002="GBP")*(Expenses!A$3:A$1002=DATE(2026,7,11)),ROW(Expenses!A$3:A$1002)-2),5)),0)+IFERROR(INDEX(Income!C$3:C$502,SMALL(IF((Income!D$3:D$502="GBP")*(Income!A$3:A$502=DATE(2026,7,11)),ROW(Income!A$3:A$502)-2),5)),0))</f>
        <v/>
      </c>
      <c r="N143" s="38" t="str">
        <f aca="false">IF(IFERROR(INDEX(Expenses!B$3:B$1002,SMALL(IF((Expenses!E$3:E$1002="GBP")*(Expenses!A$3:A$1002=DATE(2026,7,11)),ROW(Expenses!A$3:A$1002)-2),5)),"")&lt;&gt;"",IFERROR(INDEX(Expenses!B$3:B$1002,SMALL(IF((Expenses!E$3:E$1002="GBP")*(Expenses!A$3:A$1002=DATE(2026,7,11)),ROW(Expenses!A$3:A$1002)-2),5)),""),IF(IFERROR(INDEX(Income!B$3:B$502,SMALL(IF((Income!D$3:D$502="GBP")*(Income!A$3:A$502=DATE(2026,7,11)),ROW(Income!A$3:A$502)-2),5)),"")&lt;&gt;"",IFERROR(INDEX(Income!B$3:B$502,SMALL(IF((Income!D$3:D$502="GBP")*(Income!A$3:A$502=DATE(2026,7,11)),ROW(Income!A$3:A$502)-2),5)),""),""))</f>
        <v/>
      </c>
      <c r="O143" s="62" t="str">
        <f aca="false">IF(IFERROR(-INDEX(Expenses!D$3:D$1002,SMALL(IF((Expenses!E$3:E$1002="GBP")*(Expenses!A$3:A$1002=DATE(2026,7,12)),ROW(Expenses!A$3:A$1002)-2),5)),0)+IFERROR(INDEX(Income!C$3:C$502,SMALL(IF((Income!D$3:D$502="GBP")*(Income!A$3:A$502=DATE(2026,7,12)),ROW(Income!A$3:A$502)-2),5)),0)=0,"",IFERROR(-INDEX(Expenses!D$3:D$1002,SMALL(IF((Expenses!E$3:E$1002="GBP")*(Expenses!A$3:A$1002=DATE(2026,7,12)),ROW(Expenses!A$3:A$1002)-2),5)),0)+IFERROR(INDEX(Income!C$3:C$502,SMALL(IF((Income!D$3:D$502="GBP")*(Income!A$3:A$502=DATE(2026,7,12)),ROW(Income!A$3:A$502)-2),5)),0))</f>
        <v/>
      </c>
      <c r="P143" s="38" t="str">
        <f aca="false">IF(IFERROR(INDEX(Expenses!B$3:B$1002,SMALL(IF((Expenses!E$3:E$1002="GBP")*(Expenses!A$3:A$1002=DATE(2026,7,12)),ROW(Expenses!A$3:A$1002)-2),5)),"")&lt;&gt;"",IFERROR(INDEX(Expenses!B$3:B$1002,SMALL(IF((Expenses!E$3:E$1002="GBP")*(Expenses!A$3:A$1002=DATE(2026,7,12)),ROW(Expenses!A$3:A$1002)-2),5)),""),IF(IFERROR(INDEX(Income!B$3:B$502,SMALL(IF((Income!D$3:D$502="GBP")*(Income!A$3:A$502=DATE(2026,7,12)),ROW(Income!A$3:A$502)-2),5)),"")&lt;&gt;"",IFERROR(INDEX(Income!B$3:B$502,SMALL(IF((Income!D$3:D$502="GBP")*(Income!A$3:A$502=DATE(2026,7,12)),ROW(Income!A$3:A$502)-2),5)),""),""))</f>
        <v/>
      </c>
      <c r="Q143" s="16"/>
      <c r="R143" s="16"/>
    </row>
    <row r="144" customFormat="false" ht="15" hidden="false" customHeight="false" outlineLevel="0" collapsed="false">
      <c r="A144" s="61" t="n">
        <v>46216</v>
      </c>
      <c r="B144" s="3" t="n">
        <v>29</v>
      </c>
      <c r="C144" s="62" t="str">
        <f aca="false">IF(IFERROR(-INDEX(Expenses!D$3:D$1002,SMALL(IF((Expenses!E$3:E$1002="GBP")*(Expenses!A$3:A$1002=DATE(2026,7,13)),ROW(Expenses!A$3:A$1002)-2),1)),0)+IFERROR(INDEX(Income!C$3:C$502,SMALL(IF((Income!D$3:D$502="GBP")*(Income!A$3:A$502=DATE(2026,7,13)),ROW(Income!A$3:A$502)-2),1)),0)=0,"",IFERROR(-INDEX(Expenses!D$3:D$1002,SMALL(IF((Expenses!E$3:E$1002="GBP")*(Expenses!A$3:A$1002=DATE(2026,7,13)),ROW(Expenses!A$3:A$1002)-2),1)),0)+IFERROR(INDEX(Income!C$3:C$502,SMALL(IF((Income!D$3:D$502="GBP")*(Income!A$3:A$502=DATE(2026,7,13)),ROW(Income!A$3:A$502)-2),1)),0))</f>
        <v/>
      </c>
      <c r="D144" s="38" t="str">
        <f aca="false">IF(IFERROR(INDEX(Expenses!B$3:B$1002,SMALL(IF((Expenses!E$3:E$1002="GBP")*(Expenses!A$3:A$1002=DATE(2026,7,13)),ROW(Expenses!A$3:A$1002)-2),1)),"")&lt;&gt;"",IFERROR(INDEX(Expenses!B$3:B$1002,SMALL(IF((Expenses!E$3:E$1002="GBP")*(Expenses!A$3:A$1002=DATE(2026,7,13)),ROW(Expenses!A$3:A$1002)-2),1)),""),IF(IFERROR(INDEX(Income!B$3:B$502,SMALL(IF((Income!D$3:D$502="GBP")*(Income!A$3:A$502=DATE(2026,7,13)),ROW(Income!A$3:A$502)-2),1)),"")&lt;&gt;"",IFERROR(INDEX(Income!B$3:B$502,SMALL(IF((Income!D$3:D$502="GBP")*(Income!A$3:A$502=DATE(2026,7,13)),ROW(Income!A$3:A$502)-2),1)),""),""))</f>
        <v/>
      </c>
      <c r="E144" s="62" t="str">
        <f aca="false">IF(IFERROR(-INDEX(Expenses!D$3:D$1002,SMALL(IF((Expenses!E$3:E$1002="GBP")*(Expenses!A$3:A$1002=DATE(2026,7,14)),ROW(Expenses!A$3:A$1002)-2),1)),0)+IFERROR(INDEX(Income!C$3:C$502,SMALL(IF((Income!D$3:D$502="GBP")*(Income!A$3:A$502=DATE(2026,7,14)),ROW(Income!A$3:A$502)-2),1)),0)=0,"",IFERROR(-INDEX(Expenses!D$3:D$1002,SMALL(IF((Expenses!E$3:E$1002="GBP")*(Expenses!A$3:A$1002=DATE(2026,7,14)),ROW(Expenses!A$3:A$1002)-2),1)),0)+IFERROR(INDEX(Income!C$3:C$502,SMALL(IF((Income!D$3:D$502="GBP")*(Income!A$3:A$502=DATE(2026,7,14)),ROW(Income!A$3:A$502)-2),1)),0))</f>
        <v/>
      </c>
      <c r="F144" s="38" t="str">
        <f aca="false">IF(IFERROR(INDEX(Expenses!B$3:B$1002,SMALL(IF((Expenses!E$3:E$1002="GBP")*(Expenses!A$3:A$1002=DATE(2026,7,14)),ROW(Expenses!A$3:A$1002)-2),1)),"")&lt;&gt;"",IFERROR(INDEX(Expenses!B$3:B$1002,SMALL(IF((Expenses!E$3:E$1002="GBP")*(Expenses!A$3:A$1002=DATE(2026,7,14)),ROW(Expenses!A$3:A$1002)-2),1)),""),IF(IFERROR(INDEX(Income!B$3:B$502,SMALL(IF((Income!D$3:D$502="GBP")*(Income!A$3:A$502=DATE(2026,7,14)),ROW(Income!A$3:A$502)-2),1)),"")&lt;&gt;"",IFERROR(INDEX(Income!B$3:B$502,SMALL(IF((Income!D$3:D$502="GBP")*(Income!A$3:A$502=DATE(2026,7,14)),ROW(Income!A$3:A$502)-2),1)),""),""))</f>
        <v/>
      </c>
      <c r="G144" s="62" t="str">
        <f aca="false">IF(IFERROR(-INDEX(Expenses!D$3:D$1002,SMALL(IF((Expenses!E$3:E$1002="GBP")*(Expenses!A$3:A$1002=DATE(2026,7,15)),ROW(Expenses!A$3:A$1002)-2),1)),0)+IFERROR(INDEX(Income!C$3:C$502,SMALL(IF((Income!D$3:D$502="GBP")*(Income!A$3:A$502=DATE(2026,7,15)),ROW(Income!A$3:A$502)-2),1)),0)=0,"",IFERROR(-INDEX(Expenses!D$3:D$1002,SMALL(IF((Expenses!E$3:E$1002="GBP")*(Expenses!A$3:A$1002=DATE(2026,7,15)),ROW(Expenses!A$3:A$1002)-2),1)),0)+IFERROR(INDEX(Income!C$3:C$502,SMALL(IF((Income!D$3:D$502="GBP")*(Income!A$3:A$502=DATE(2026,7,15)),ROW(Income!A$3:A$502)-2),1)),0))</f>
        <v/>
      </c>
      <c r="H144" s="38" t="str">
        <f aca="false">IF(IFERROR(INDEX(Expenses!B$3:B$1002,SMALL(IF((Expenses!E$3:E$1002="GBP")*(Expenses!A$3:A$1002=DATE(2026,7,15)),ROW(Expenses!A$3:A$1002)-2),1)),"")&lt;&gt;"",IFERROR(INDEX(Expenses!B$3:B$1002,SMALL(IF((Expenses!E$3:E$1002="GBP")*(Expenses!A$3:A$1002=DATE(2026,7,15)),ROW(Expenses!A$3:A$1002)-2),1)),""),IF(IFERROR(INDEX(Income!B$3:B$502,SMALL(IF((Income!D$3:D$502="GBP")*(Income!A$3:A$502=DATE(2026,7,15)),ROW(Income!A$3:A$502)-2),1)),"")&lt;&gt;"",IFERROR(INDEX(Income!B$3:B$502,SMALL(IF((Income!D$3:D$502="GBP")*(Income!A$3:A$502=DATE(2026,7,15)),ROW(Income!A$3:A$502)-2),1)),""),""))</f>
        <v/>
      </c>
      <c r="I144" s="62" t="str">
        <f aca="false">IF(IFERROR(-INDEX(Expenses!D$3:D$1002,SMALL(IF((Expenses!E$3:E$1002="GBP")*(Expenses!A$3:A$1002=DATE(2026,7,16)),ROW(Expenses!A$3:A$1002)-2),1)),0)+IFERROR(INDEX(Income!C$3:C$502,SMALL(IF((Income!D$3:D$502="GBP")*(Income!A$3:A$502=DATE(2026,7,16)),ROW(Income!A$3:A$502)-2),1)),0)=0,"",IFERROR(-INDEX(Expenses!D$3:D$1002,SMALL(IF((Expenses!E$3:E$1002="GBP")*(Expenses!A$3:A$1002=DATE(2026,7,16)),ROW(Expenses!A$3:A$1002)-2),1)),0)+IFERROR(INDEX(Income!C$3:C$502,SMALL(IF((Income!D$3:D$502="GBP")*(Income!A$3:A$502=DATE(2026,7,16)),ROW(Income!A$3:A$502)-2),1)),0))</f>
        <v/>
      </c>
      <c r="J144" s="38" t="str">
        <f aca="false">IF(IFERROR(INDEX(Expenses!B$3:B$1002,SMALL(IF((Expenses!E$3:E$1002="GBP")*(Expenses!A$3:A$1002=DATE(2026,7,16)),ROW(Expenses!A$3:A$1002)-2),1)),"")&lt;&gt;"",IFERROR(INDEX(Expenses!B$3:B$1002,SMALL(IF((Expenses!E$3:E$1002="GBP")*(Expenses!A$3:A$1002=DATE(2026,7,16)),ROW(Expenses!A$3:A$1002)-2),1)),""),IF(IFERROR(INDEX(Income!B$3:B$502,SMALL(IF((Income!D$3:D$502="GBP")*(Income!A$3:A$502=DATE(2026,7,16)),ROW(Income!A$3:A$502)-2),1)),"")&lt;&gt;"",IFERROR(INDEX(Income!B$3:B$502,SMALL(IF((Income!D$3:D$502="GBP")*(Income!A$3:A$502=DATE(2026,7,16)),ROW(Income!A$3:A$502)-2),1)),""),""))</f>
        <v/>
      </c>
      <c r="K144" s="62" t="str">
        <f aca="false">IF(IFERROR(-INDEX(Expenses!D$3:D$1002,SMALL(IF((Expenses!E$3:E$1002="GBP")*(Expenses!A$3:A$1002=DATE(2026,7,17)),ROW(Expenses!A$3:A$1002)-2),1)),0)+IFERROR(INDEX(Income!C$3:C$502,SMALL(IF((Income!D$3:D$502="GBP")*(Income!A$3:A$502=DATE(2026,7,17)),ROW(Income!A$3:A$502)-2),1)),0)=0,"",IFERROR(-INDEX(Expenses!D$3:D$1002,SMALL(IF((Expenses!E$3:E$1002="GBP")*(Expenses!A$3:A$1002=DATE(2026,7,17)),ROW(Expenses!A$3:A$1002)-2),1)),0)+IFERROR(INDEX(Income!C$3:C$502,SMALL(IF((Income!D$3:D$502="GBP")*(Income!A$3:A$502=DATE(2026,7,17)),ROW(Income!A$3:A$502)-2),1)),0))</f>
        <v/>
      </c>
      <c r="L144" s="38" t="str">
        <f aca="false">IF(IFERROR(INDEX(Expenses!B$3:B$1002,SMALL(IF((Expenses!E$3:E$1002="GBP")*(Expenses!A$3:A$1002=DATE(2026,7,17)),ROW(Expenses!A$3:A$1002)-2),1)),"")&lt;&gt;"",IFERROR(INDEX(Expenses!B$3:B$1002,SMALL(IF((Expenses!E$3:E$1002="GBP")*(Expenses!A$3:A$1002=DATE(2026,7,17)),ROW(Expenses!A$3:A$1002)-2),1)),""),IF(IFERROR(INDEX(Income!B$3:B$502,SMALL(IF((Income!D$3:D$502="GBP")*(Income!A$3:A$502=DATE(2026,7,17)),ROW(Income!A$3:A$502)-2),1)),"")&lt;&gt;"",IFERROR(INDEX(Income!B$3:B$502,SMALL(IF((Income!D$3:D$502="GBP")*(Income!A$3:A$502=DATE(2026,7,17)),ROW(Income!A$3:A$502)-2),1)),""),""))</f>
        <v/>
      </c>
      <c r="M144" s="62" t="str">
        <f aca="false">IF(IFERROR(-INDEX(Expenses!D$3:D$1002,SMALL(IF((Expenses!E$3:E$1002="GBP")*(Expenses!A$3:A$1002=DATE(2026,7,18)),ROW(Expenses!A$3:A$1002)-2),1)),0)+IFERROR(INDEX(Income!C$3:C$502,SMALL(IF((Income!D$3:D$502="GBP")*(Income!A$3:A$502=DATE(2026,7,18)),ROW(Income!A$3:A$502)-2),1)),0)=0,"",IFERROR(-INDEX(Expenses!D$3:D$1002,SMALL(IF((Expenses!E$3:E$1002="GBP")*(Expenses!A$3:A$1002=DATE(2026,7,18)),ROW(Expenses!A$3:A$1002)-2),1)),0)+IFERROR(INDEX(Income!C$3:C$502,SMALL(IF((Income!D$3:D$502="GBP")*(Income!A$3:A$502=DATE(2026,7,18)),ROW(Income!A$3:A$502)-2),1)),0))</f>
        <v/>
      </c>
      <c r="N144" s="38" t="str">
        <f aca="false">IF(IFERROR(INDEX(Expenses!B$3:B$1002,SMALL(IF((Expenses!E$3:E$1002="GBP")*(Expenses!A$3:A$1002=DATE(2026,7,18)),ROW(Expenses!A$3:A$1002)-2),1)),"")&lt;&gt;"",IFERROR(INDEX(Expenses!B$3:B$1002,SMALL(IF((Expenses!E$3:E$1002="GBP")*(Expenses!A$3:A$1002=DATE(2026,7,18)),ROW(Expenses!A$3:A$1002)-2),1)),""),IF(IFERROR(INDEX(Income!B$3:B$502,SMALL(IF((Income!D$3:D$502="GBP")*(Income!A$3:A$502=DATE(2026,7,18)),ROW(Income!A$3:A$502)-2),1)),"")&lt;&gt;"",IFERROR(INDEX(Income!B$3:B$502,SMALL(IF((Income!D$3:D$502="GBP")*(Income!A$3:A$502=DATE(2026,7,18)),ROW(Income!A$3:A$502)-2),1)),""),""))</f>
        <v/>
      </c>
      <c r="O144" s="62" t="str">
        <f aca="false">IF(IFERROR(-INDEX(Expenses!D$3:D$1002,SMALL(IF((Expenses!E$3:E$1002="GBP")*(Expenses!A$3:A$1002=DATE(2026,7,19)),ROW(Expenses!A$3:A$1002)-2),1)),0)+IFERROR(INDEX(Income!C$3:C$502,SMALL(IF((Income!D$3:D$502="GBP")*(Income!A$3:A$502=DATE(2026,7,19)),ROW(Income!A$3:A$502)-2),1)),0)=0,"",IFERROR(-INDEX(Expenses!D$3:D$1002,SMALL(IF((Expenses!E$3:E$1002="GBP")*(Expenses!A$3:A$1002=DATE(2026,7,19)),ROW(Expenses!A$3:A$1002)-2),1)),0)+IFERROR(INDEX(Income!C$3:C$502,SMALL(IF((Income!D$3:D$502="GBP")*(Income!A$3:A$502=DATE(2026,7,19)),ROW(Income!A$3:A$502)-2),1)),0))</f>
        <v/>
      </c>
      <c r="P144" s="38" t="str">
        <f aca="false">IF(IFERROR(INDEX(Expenses!B$3:B$1002,SMALL(IF((Expenses!E$3:E$1002="GBP")*(Expenses!A$3:A$1002=DATE(2026,7,19)),ROW(Expenses!A$3:A$1002)-2),1)),"")&lt;&gt;"",IFERROR(INDEX(Expenses!B$3:B$1002,SMALL(IF((Expenses!E$3:E$1002="GBP")*(Expenses!A$3:A$1002=DATE(2026,7,19)),ROW(Expenses!A$3:A$1002)-2),1)),""),IF(IFERROR(INDEX(Income!B$3:B$502,SMALL(IF((Income!D$3:D$502="GBP")*(Income!A$3:A$502=DATE(2026,7,19)),ROW(Income!A$3:A$502)-2),1)),"")&lt;&gt;"",IFERROR(INDEX(Income!B$3:B$502,SMALL(IF((Income!D$3:D$502="GBP")*(Income!A$3:A$502=DATE(2026,7,19)),ROW(Income!A$3:A$502)-2),1)),""),""))</f>
        <v/>
      </c>
      <c r="Q144" s="3" t="n">
        <v>29</v>
      </c>
      <c r="R144" s="45" t="n">
        <f aca="false">SUM(C144:C148)+SUM(E144:E148)+SUM(G144:G148)+SUM(I144:I148)+SUM(K144:K148)+SUM(M144:M148)+SUM(O144:O148)</f>
        <v>0</v>
      </c>
    </row>
    <row r="145" customFormat="false" ht="15" hidden="false" customHeight="false" outlineLevel="0" collapsed="false">
      <c r="A145" s="16"/>
      <c r="B145" s="16"/>
      <c r="C145" s="62" t="str">
        <f aca="false">IF(IFERROR(-INDEX(Expenses!D$3:D$1002,SMALL(IF((Expenses!E$3:E$1002="GBP")*(Expenses!A$3:A$1002=DATE(2026,7,13)),ROW(Expenses!A$3:A$1002)-2),2)),0)+IFERROR(INDEX(Income!C$3:C$502,SMALL(IF((Income!D$3:D$502="GBP")*(Income!A$3:A$502=DATE(2026,7,13)),ROW(Income!A$3:A$502)-2),2)),0)=0,"",IFERROR(-INDEX(Expenses!D$3:D$1002,SMALL(IF((Expenses!E$3:E$1002="GBP")*(Expenses!A$3:A$1002=DATE(2026,7,13)),ROW(Expenses!A$3:A$1002)-2),2)),0)+IFERROR(INDEX(Income!C$3:C$502,SMALL(IF((Income!D$3:D$502="GBP")*(Income!A$3:A$502=DATE(2026,7,13)),ROW(Income!A$3:A$502)-2),2)),0))</f>
        <v/>
      </c>
      <c r="D145" s="38" t="str">
        <f aca="false">IF(IFERROR(INDEX(Expenses!B$3:B$1002,SMALL(IF((Expenses!E$3:E$1002="GBP")*(Expenses!A$3:A$1002=DATE(2026,7,13)),ROW(Expenses!A$3:A$1002)-2),2)),"")&lt;&gt;"",IFERROR(INDEX(Expenses!B$3:B$1002,SMALL(IF((Expenses!E$3:E$1002="GBP")*(Expenses!A$3:A$1002=DATE(2026,7,13)),ROW(Expenses!A$3:A$1002)-2),2)),""),IF(IFERROR(INDEX(Income!B$3:B$502,SMALL(IF((Income!D$3:D$502="GBP")*(Income!A$3:A$502=DATE(2026,7,13)),ROW(Income!A$3:A$502)-2),2)),"")&lt;&gt;"",IFERROR(INDEX(Income!B$3:B$502,SMALL(IF((Income!D$3:D$502="GBP")*(Income!A$3:A$502=DATE(2026,7,13)),ROW(Income!A$3:A$502)-2),2)),""),""))</f>
        <v/>
      </c>
      <c r="E145" s="62" t="str">
        <f aca="false">IF(IFERROR(-INDEX(Expenses!D$3:D$1002,SMALL(IF((Expenses!E$3:E$1002="GBP")*(Expenses!A$3:A$1002=DATE(2026,7,14)),ROW(Expenses!A$3:A$1002)-2),2)),0)+IFERROR(INDEX(Income!C$3:C$502,SMALL(IF((Income!D$3:D$502="GBP")*(Income!A$3:A$502=DATE(2026,7,14)),ROW(Income!A$3:A$502)-2),2)),0)=0,"",IFERROR(-INDEX(Expenses!D$3:D$1002,SMALL(IF((Expenses!E$3:E$1002="GBP")*(Expenses!A$3:A$1002=DATE(2026,7,14)),ROW(Expenses!A$3:A$1002)-2),2)),0)+IFERROR(INDEX(Income!C$3:C$502,SMALL(IF((Income!D$3:D$502="GBP")*(Income!A$3:A$502=DATE(2026,7,14)),ROW(Income!A$3:A$502)-2),2)),0))</f>
        <v/>
      </c>
      <c r="F145" s="38" t="str">
        <f aca="false">IF(IFERROR(INDEX(Expenses!B$3:B$1002,SMALL(IF((Expenses!E$3:E$1002="GBP")*(Expenses!A$3:A$1002=DATE(2026,7,14)),ROW(Expenses!A$3:A$1002)-2),2)),"")&lt;&gt;"",IFERROR(INDEX(Expenses!B$3:B$1002,SMALL(IF((Expenses!E$3:E$1002="GBP")*(Expenses!A$3:A$1002=DATE(2026,7,14)),ROW(Expenses!A$3:A$1002)-2),2)),""),IF(IFERROR(INDEX(Income!B$3:B$502,SMALL(IF((Income!D$3:D$502="GBP")*(Income!A$3:A$502=DATE(2026,7,14)),ROW(Income!A$3:A$502)-2),2)),"")&lt;&gt;"",IFERROR(INDEX(Income!B$3:B$502,SMALL(IF((Income!D$3:D$502="GBP")*(Income!A$3:A$502=DATE(2026,7,14)),ROW(Income!A$3:A$502)-2),2)),""),""))</f>
        <v/>
      </c>
      <c r="G145" s="62" t="str">
        <f aca="false">IF(IFERROR(-INDEX(Expenses!D$3:D$1002,SMALL(IF((Expenses!E$3:E$1002="GBP")*(Expenses!A$3:A$1002=DATE(2026,7,15)),ROW(Expenses!A$3:A$1002)-2),2)),0)+IFERROR(INDEX(Income!C$3:C$502,SMALL(IF((Income!D$3:D$502="GBP")*(Income!A$3:A$502=DATE(2026,7,15)),ROW(Income!A$3:A$502)-2),2)),0)=0,"",IFERROR(-INDEX(Expenses!D$3:D$1002,SMALL(IF((Expenses!E$3:E$1002="GBP")*(Expenses!A$3:A$1002=DATE(2026,7,15)),ROW(Expenses!A$3:A$1002)-2),2)),0)+IFERROR(INDEX(Income!C$3:C$502,SMALL(IF((Income!D$3:D$502="GBP")*(Income!A$3:A$502=DATE(2026,7,15)),ROW(Income!A$3:A$502)-2),2)),0))</f>
        <v/>
      </c>
      <c r="H145" s="38" t="str">
        <f aca="false">IF(IFERROR(INDEX(Expenses!B$3:B$1002,SMALL(IF((Expenses!E$3:E$1002="GBP")*(Expenses!A$3:A$1002=DATE(2026,7,15)),ROW(Expenses!A$3:A$1002)-2),2)),"")&lt;&gt;"",IFERROR(INDEX(Expenses!B$3:B$1002,SMALL(IF((Expenses!E$3:E$1002="GBP")*(Expenses!A$3:A$1002=DATE(2026,7,15)),ROW(Expenses!A$3:A$1002)-2),2)),""),IF(IFERROR(INDEX(Income!B$3:B$502,SMALL(IF((Income!D$3:D$502="GBP")*(Income!A$3:A$502=DATE(2026,7,15)),ROW(Income!A$3:A$502)-2),2)),"")&lt;&gt;"",IFERROR(INDEX(Income!B$3:B$502,SMALL(IF((Income!D$3:D$502="GBP")*(Income!A$3:A$502=DATE(2026,7,15)),ROW(Income!A$3:A$502)-2),2)),""),""))</f>
        <v/>
      </c>
      <c r="I145" s="62" t="str">
        <f aca="false">IF(IFERROR(-INDEX(Expenses!D$3:D$1002,SMALL(IF((Expenses!E$3:E$1002="GBP")*(Expenses!A$3:A$1002=DATE(2026,7,16)),ROW(Expenses!A$3:A$1002)-2),2)),0)+IFERROR(INDEX(Income!C$3:C$502,SMALL(IF((Income!D$3:D$502="GBP")*(Income!A$3:A$502=DATE(2026,7,16)),ROW(Income!A$3:A$502)-2),2)),0)=0,"",IFERROR(-INDEX(Expenses!D$3:D$1002,SMALL(IF((Expenses!E$3:E$1002="GBP")*(Expenses!A$3:A$1002=DATE(2026,7,16)),ROW(Expenses!A$3:A$1002)-2),2)),0)+IFERROR(INDEX(Income!C$3:C$502,SMALL(IF((Income!D$3:D$502="GBP")*(Income!A$3:A$502=DATE(2026,7,16)),ROW(Income!A$3:A$502)-2),2)),0))</f>
        <v/>
      </c>
      <c r="J145" s="38" t="str">
        <f aca="false">IF(IFERROR(INDEX(Expenses!B$3:B$1002,SMALL(IF((Expenses!E$3:E$1002="GBP")*(Expenses!A$3:A$1002=DATE(2026,7,16)),ROW(Expenses!A$3:A$1002)-2),2)),"")&lt;&gt;"",IFERROR(INDEX(Expenses!B$3:B$1002,SMALL(IF((Expenses!E$3:E$1002="GBP")*(Expenses!A$3:A$1002=DATE(2026,7,16)),ROW(Expenses!A$3:A$1002)-2),2)),""),IF(IFERROR(INDEX(Income!B$3:B$502,SMALL(IF((Income!D$3:D$502="GBP")*(Income!A$3:A$502=DATE(2026,7,16)),ROW(Income!A$3:A$502)-2),2)),"")&lt;&gt;"",IFERROR(INDEX(Income!B$3:B$502,SMALL(IF((Income!D$3:D$502="GBP")*(Income!A$3:A$502=DATE(2026,7,16)),ROW(Income!A$3:A$502)-2),2)),""),""))</f>
        <v/>
      </c>
      <c r="K145" s="62" t="str">
        <f aca="false">IF(IFERROR(-INDEX(Expenses!D$3:D$1002,SMALL(IF((Expenses!E$3:E$1002="GBP")*(Expenses!A$3:A$1002=DATE(2026,7,17)),ROW(Expenses!A$3:A$1002)-2),2)),0)+IFERROR(INDEX(Income!C$3:C$502,SMALL(IF((Income!D$3:D$502="GBP")*(Income!A$3:A$502=DATE(2026,7,17)),ROW(Income!A$3:A$502)-2),2)),0)=0,"",IFERROR(-INDEX(Expenses!D$3:D$1002,SMALL(IF((Expenses!E$3:E$1002="GBP")*(Expenses!A$3:A$1002=DATE(2026,7,17)),ROW(Expenses!A$3:A$1002)-2),2)),0)+IFERROR(INDEX(Income!C$3:C$502,SMALL(IF((Income!D$3:D$502="GBP")*(Income!A$3:A$502=DATE(2026,7,17)),ROW(Income!A$3:A$502)-2),2)),0))</f>
        <v/>
      </c>
      <c r="L145" s="38" t="str">
        <f aca="false">IF(IFERROR(INDEX(Expenses!B$3:B$1002,SMALL(IF((Expenses!E$3:E$1002="GBP")*(Expenses!A$3:A$1002=DATE(2026,7,17)),ROW(Expenses!A$3:A$1002)-2),2)),"")&lt;&gt;"",IFERROR(INDEX(Expenses!B$3:B$1002,SMALL(IF((Expenses!E$3:E$1002="GBP")*(Expenses!A$3:A$1002=DATE(2026,7,17)),ROW(Expenses!A$3:A$1002)-2),2)),""),IF(IFERROR(INDEX(Income!B$3:B$502,SMALL(IF((Income!D$3:D$502="GBP")*(Income!A$3:A$502=DATE(2026,7,17)),ROW(Income!A$3:A$502)-2),2)),"")&lt;&gt;"",IFERROR(INDEX(Income!B$3:B$502,SMALL(IF((Income!D$3:D$502="GBP")*(Income!A$3:A$502=DATE(2026,7,17)),ROW(Income!A$3:A$502)-2),2)),""),""))</f>
        <v/>
      </c>
      <c r="M145" s="62" t="str">
        <f aca="false">IF(IFERROR(-INDEX(Expenses!D$3:D$1002,SMALL(IF((Expenses!E$3:E$1002="GBP")*(Expenses!A$3:A$1002=DATE(2026,7,18)),ROW(Expenses!A$3:A$1002)-2),2)),0)+IFERROR(INDEX(Income!C$3:C$502,SMALL(IF((Income!D$3:D$502="GBP")*(Income!A$3:A$502=DATE(2026,7,18)),ROW(Income!A$3:A$502)-2),2)),0)=0,"",IFERROR(-INDEX(Expenses!D$3:D$1002,SMALL(IF((Expenses!E$3:E$1002="GBP")*(Expenses!A$3:A$1002=DATE(2026,7,18)),ROW(Expenses!A$3:A$1002)-2),2)),0)+IFERROR(INDEX(Income!C$3:C$502,SMALL(IF((Income!D$3:D$502="GBP")*(Income!A$3:A$502=DATE(2026,7,18)),ROW(Income!A$3:A$502)-2),2)),0))</f>
        <v/>
      </c>
      <c r="N145" s="38" t="str">
        <f aca="false">IF(IFERROR(INDEX(Expenses!B$3:B$1002,SMALL(IF((Expenses!E$3:E$1002="GBP")*(Expenses!A$3:A$1002=DATE(2026,7,18)),ROW(Expenses!A$3:A$1002)-2),2)),"")&lt;&gt;"",IFERROR(INDEX(Expenses!B$3:B$1002,SMALL(IF((Expenses!E$3:E$1002="GBP")*(Expenses!A$3:A$1002=DATE(2026,7,18)),ROW(Expenses!A$3:A$1002)-2),2)),""),IF(IFERROR(INDEX(Income!B$3:B$502,SMALL(IF((Income!D$3:D$502="GBP")*(Income!A$3:A$502=DATE(2026,7,18)),ROW(Income!A$3:A$502)-2),2)),"")&lt;&gt;"",IFERROR(INDEX(Income!B$3:B$502,SMALL(IF((Income!D$3:D$502="GBP")*(Income!A$3:A$502=DATE(2026,7,18)),ROW(Income!A$3:A$502)-2),2)),""),""))</f>
        <v/>
      </c>
      <c r="O145" s="62" t="str">
        <f aca="false">IF(IFERROR(-INDEX(Expenses!D$3:D$1002,SMALL(IF((Expenses!E$3:E$1002="GBP")*(Expenses!A$3:A$1002=DATE(2026,7,19)),ROW(Expenses!A$3:A$1002)-2),2)),0)+IFERROR(INDEX(Income!C$3:C$502,SMALL(IF((Income!D$3:D$502="GBP")*(Income!A$3:A$502=DATE(2026,7,19)),ROW(Income!A$3:A$502)-2),2)),0)=0,"",IFERROR(-INDEX(Expenses!D$3:D$1002,SMALL(IF((Expenses!E$3:E$1002="GBP")*(Expenses!A$3:A$1002=DATE(2026,7,19)),ROW(Expenses!A$3:A$1002)-2),2)),0)+IFERROR(INDEX(Income!C$3:C$502,SMALL(IF((Income!D$3:D$502="GBP")*(Income!A$3:A$502=DATE(2026,7,19)),ROW(Income!A$3:A$502)-2),2)),0))</f>
        <v/>
      </c>
      <c r="P145" s="38" t="str">
        <f aca="false">IF(IFERROR(INDEX(Expenses!B$3:B$1002,SMALL(IF((Expenses!E$3:E$1002="GBP")*(Expenses!A$3:A$1002=DATE(2026,7,19)),ROW(Expenses!A$3:A$1002)-2),2)),"")&lt;&gt;"",IFERROR(INDEX(Expenses!B$3:B$1002,SMALL(IF((Expenses!E$3:E$1002="GBP")*(Expenses!A$3:A$1002=DATE(2026,7,19)),ROW(Expenses!A$3:A$1002)-2),2)),""),IF(IFERROR(INDEX(Income!B$3:B$502,SMALL(IF((Income!D$3:D$502="GBP")*(Income!A$3:A$502=DATE(2026,7,19)),ROW(Income!A$3:A$502)-2),2)),"")&lt;&gt;"",IFERROR(INDEX(Income!B$3:B$502,SMALL(IF((Income!D$3:D$502="GBP")*(Income!A$3:A$502=DATE(2026,7,19)),ROW(Income!A$3:A$502)-2),2)),""),""))</f>
        <v/>
      </c>
      <c r="Q145" s="16"/>
      <c r="R145" s="16"/>
    </row>
    <row r="146" customFormat="false" ht="15" hidden="false" customHeight="false" outlineLevel="0" collapsed="false">
      <c r="A146" s="16"/>
      <c r="B146" s="16"/>
      <c r="C146" s="62" t="str">
        <f aca="false">IF(IFERROR(-INDEX(Expenses!D$3:D$1002,SMALL(IF((Expenses!E$3:E$1002="GBP")*(Expenses!A$3:A$1002=DATE(2026,7,13)),ROW(Expenses!A$3:A$1002)-2),3)),0)+IFERROR(INDEX(Income!C$3:C$502,SMALL(IF((Income!D$3:D$502="GBP")*(Income!A$3:A$502=DATE(2026,7,13)),ROW(Income!A$3:A$502)-2),3)),0)=0,"",IFERROR(-INDEX(Expenses!D$3:D$1002,SMALL(IF((Expenses!E$3:E$1002="GBP")*(Expenses!A$3:A$1002=DATE(2026,7,13)),ROW(Expenses!A$3:A$1002)-2),3)),0)+IFERROR(INDEX(Income!C$3:C$502,SMALL(IF((Income!D$3:D$502="GBP")*(Income!A$3:A$502=DATE(2026,7,13)),ROW(Income!A$3:A$502)-2),3)),0))</f>
        <v/>
      </c>
      <c r="D146" s="38" t="str">
        <f aca="false">IF(IFERROR(INDEX(Expenses!B$3:B$1002,SMALL(IF((Expenses!E$3:E$1002="GBP")*(Expenses!A$3:A$1002=DATE(2026,7,13)),ROW(Expenses!A$3:A$1002)-2),3)),"")&lt;&gt;"",IFERROR(INDEX(Expenses!B$3:B$1002,SMALL(IF((Expenses!E$3:E$1002="GBP")*(Expenses!A$3:A$1002=DATE(2026,7,13)),ROW(Expenses!A$3:A$1002)-2),3)),""),IF(IFERROR(INDEX(Income!B$3:B$502,SMALL(IF((Income!D$3:D$502="GBP")*(Income!A$3:A$502=DATE(2026,7,13)),ROW(Income!A$3:A$502)-2),3)),"")&lt;&gt;"",IFERROR(INDEX(Income!B$3:B$502,SMALL(IF((Income!D$3:D$502="GBP")*(Income!A$3:A$502=DATE(2026,7,13)),ROW(Income!A$3:A$502)-2),3)),""),""))</f>
        <v/>
      </c>
      <c r="E146" s="62" t="str">
        <f aca="false">IF(IFERROR(-INDEX(Expenses!D$3:D$1002,SMALL(IF((Expenses!E$3:E$1002="GBP")*(Expenses!A$3:A$1002=DATE(2026,7,14)),ROW(Expenses!A$3:A$1002)-2),3)),0)+IFERROR(INDEX(Income!C$3:C$502,SMALL(IF((Income!D$3:D$502="GBP")*(Income!A$3:A$502=DATE(2026,7,14)),ROW(Income!A$3:A$502)-2),3)),0)=0,"",IFERROR(-INDEX(Expenses!D$3:D$1002,SMALL(IF((Expenses!E$3:E$1002="GBP")*(Expenses!A$3:A$1002=DATE(2026,7,14)),ROW(Expenses!A$3:A$1002)-2),3)),0)+IFERROR(INDEX(Income!C$3:C$502,SMALL(IF((Income!D$3:D$502="GBP")*(Income!A$3:A$502=DATE(2026,7,14)),ROW(Income!A$3:A$502)-2),3)),0))</f>
        <v/>
      </c>
      <c r="F146" s="38" t="str">
        <f aca="false">IF(IFERROR(INDEX(Expenses!B$3:B$1002,SMALL(IF((Expenses!E$3:E$1002="GBP")*(Expenses!A$3:A$1002=DATE(2026,7,14)),ROW(Expenses!A$3:A$1002)-2),3)),"")&lt;&gt;"",IFERROR(INDEX(Expenses!B$3:B$1002,SMALL(IF((Expenses!E$3:E$1002="GBP")*(Expenses!A$3:A$1002=DATE(2026,7,14)),ROW(Expenses!A$3:A$1002)-2),3)),""),IF(IFERROR(INDEX(Income!B$3:B$502,SMALL(IF((Income!D$3:D$502="GBP")*(Income!A$3:A$502=DATE(2026,7,14)),ROW(Income!A$3:A$502)-2),3)),"")&lt;&gt;"",IFERROR(INDEX(Income!B$3:B$502,SMALL(IF((Income!D$3:D$502="GBP")*(Income!A$3:A$502=DATE(2026,7,14)),ROW(Income!A$3:A$502)-2),3)),""),""))</f>
        <v/>
      </c>
      <c r="G146" s="62" t="str">
        <f aca="false">IF(IFERROR(-INDEX(Expenses!D$3:D$1002,SMALL(IF((Expenses!E$3:E$1002="GBP")*(Expenses!A$3:A$1002=DATE(2026,7,15)),ROW(Expenses!A$3:A$1002)-2),3)),0)+IFERROR(INDEX(Income!C$3:C$502,SMALL(IF((Income!D$3:D$502="GBP")*(Income!A$3:A$502=DATE(2026,7,15)),ROW(Income!A$3:A$502)-2),3)),0)=0,"",IFERROR(-INDEX(Expenses!D$3:D$1002,SMALL(IF((Expenses!E$3:E$1002="GBP")*(Expenses!A$3:A$1002=DATE(2026,7,15)),ROW(Expenses!A$3:A$1002)-2),3)),0)+IFERROR(INDEX(Income!C$3:C$502,SMALL(IF((Income!D$3:D$502="GBP")*(Income!A$3:A$502=DATE(2026,7,15)),ROW(Income!A$3:A$502)-2),3)),0))</f>
        <v/>
      </c>
      <c r="H146" s="38" t="str">
        <f aca="false">IF(IFERROR(INDEX(Expenses!B$3:B$1002,SMALL(IF((Expenses!E$3:E$1002="GBP")*(Expenses!A$3:A$1002=DATE(2026,7,15)),ROW(Expenses!A$3:A$1002)-2),3)),"")&lt;&gt;"",IFERROR(INDEX(Expenses!B$3:B$1002,SMALL(IF((Expenses!E$3:E$1002="GBP")*(Expenses!A$3:A$1002=DATE(2026,7,15)),ROW(Expenses!A$3:A$1002)-2),3)),""),IF(IFERROR(INDEX(Income!B$3:B$502,SMALL(IF((Income!D$3:D$502="GBP")*(Income!A$3:A$502=DATE(2026,7,15)),ROW(Income!A$3:A$502)-2),3)),"")&lt;&gt;"",IFERROR(INDEX(Income!B$3:B$502,SMALL(IF((Income!D$3:D$502="GBP")*(Income!A$3:A$502=DATE(2026,7,15)),ROW(Income!A$3:A$502)-2),3)),""),""))</f>
        <v/>
      </c>
      <c r="I146" s="62" t="str">
        <f aca="false">IF(IFERROR(-INDEX(Expenses!D$3:D$1002,SMALL(IF((Expenses!E$3:E$1002="GBP")*(Expenses!A$3:A$1002=DATE(2026,7,16)),ROW(Expenses!A$3:A$1002)-2),3)),0)+IFERROR(INDEX(Income!C$3:C$502,SMALL(IF((Income!D$3:D$502="GBP")*(Income!A$3:A$502=DATE(2026,7,16)),ROW(Income!A$3:A$502)-2),3)),0)=0,"",IFERROR(-INDEX(Expenses!D$3:D$1002,SMALL(IF((Expenses!E$3:E$1002="GBP")*(Expenses!A$3:A$1002=DATE(2026,7,16)),ROW(Expenses!A$3:A$1002)-2),3)),0)+IFERROR(INDEX(Income!C$3:C$502,SMALL(IF((Income!D$3:D$502="GBP")*(Income!A$3:A$502=DATE(2026,7,16)),ROW(Income!A$3:A$502)-2),3)),0))</f>
        <v/>
      </c>
      <c r="J146" s="38" t="str">
        <f aca="false">IF(IFERROR(INDEX(Expenses!B$3:B$1002,SMALL(IF((Expenses!E$3:E$1002="GBP")*(Expenses!A$3:A$1002=DATE(2026,7,16)),ROW(Expenses!A$3:A$1002)-2),3)),"")&lt;&gt;"",IFERROR(INDEX(Expenses!B$3:B$1002,SMALL(IF((Expenses!E$3:E$1002="GBP")*(Expenses!A$3:A$1002=DATE(2026,7,16)),ROW(Expenses!A$3:A$1002)-2),3)),""),IF(IFERROR(INDEX(Income!B$3:B$502,SMALL(IF((Income!D$3:D$502="GBP")*(Income!A$3:A$502=DATE(2026,7,16)),ROW(Income!A$3:A$502)-2),3)),"")&lt;&gt;"",IFERROR(INDEX(Income!B$3:B$502,SMALL(IF((Income!D$3:D$502="GBP")*(Income!A$3:A$502=DATE(2026,7,16)),ROW(Income!A$3:A$502)-2),3)),""),""))</f>
        <v/>
      </c>
      <c r="K146" s="62" t="str">
        <f aca="false">IF(IFERROR(-INDEX(Expenses!D$3:D$1002,SMALL(IF((Expenses!E$3:E$1002="GBP")*(Expenses!A$3:A$1002=DATE(2026,7,17)),ROW(Expenses!A$3:A$1002)-2),3)),0)+IFERROR(INDEX(Income!C$3:C$502,SMALL(IF((Income!D$3:D$502="GBP")*(Income!A$3:A$502=DATE(2026,7,17)),ROW(Income!A$3:A$502)-2),3)),0)=0,"",IFERROR(-INDEX(Expenses!D$3:D$1002,SMALL(IF((Expenses!E$3:E$1002="GBP")*(Expenses!A$3:A$1002=DATE(2026,7,17)),ROW(Expenses!A$3:A$1002)-2),3)),0)+IFERROR(INDEX(Income!C$3:C$502,SMALL(IF((Income!D$3:D$502="GBP")*(Income!A$3:A$502=DATE(2026,7,17)),ROW(Income!A$3:A$502)-2),3)),0))</f>
        <v/>
      </c>
      <c r="L146" s="38" t="str">
        <f aca="false">IF(IFERROR(INDEX(Expenses!B$3:B$1002,SMALL(IF((Expenses!E$3:E$1002="GBP")*(Expenses!A$3:A$1002=DATE(2026,7,17)),ROW(Expenses!A$3:A$1002)-2),3)),"")&lt;&gt;"",IFERROR(INDEX(Expenses!B$3:B$1002,SMALL(IF((Expenses!E$3:E$1002="GBP")*(Expenses!A$3:A$1002=DATE(2026,7,17)),ROW(Expenses!A$3:A$1002)-2),3)),""),IF(IFERROR(INDEX(Income!B$3:B$502,SMALL(IF((Income!D$3:D$502="GBP")*(Income!A$3:A$502=DATE(2026,7,17)),ROW(Income!A$3:A$502)-2),3)),"")&lt;&gt;"",IFERROR(INDEX(Income!B$3:B$502,SMALL(IF((Income!D$3:D$502="GBP")*(Income!A$3:A$502=DATE(2026,7,17)),ROW(Income!A$3:A$502)-2),3)),""),""))</f>
        <v/>
      </c>
      <c r="M146" s="62" t="str">
        <f aca="false">IF(IFERROR(-INDEX(Expenses!D$3:D$1002,SMALL(IF((Expenses!E$3:E$1002="GBP")*(Expenses!A$3:A$1002=DATE(2026,7,18)),ROW(Expenses!A$3:A$1002)-2),3)),0)+IFERROR(INDEX(Income!C$3:C$502,SMALL(IF((Income!D$3:D$502="GBP")*(Income!A$3:A$502=DATE(2026,7,18)),ROW(Income!A$3:A$502)-2),3)),0)=0,"",IFERROR(-INDEX(Expenses!D$3:D$1002,SMALL(IF((Expenses!E$3:E$1002="GBP")*(Expenses!A$3:A$1002=DATE(2026,7,18)),ROW(Expenses!A$3:A$1002)-2),3)),0)+IFERROR(INDEX(Income!C$3:C$502,SMALL(IF((Income!D$3:D$502="GBP")*(Income!A$3:A$502=DATE(2026,7,18)),ROW(Income!A$3:A$502)-2),3)),0))</f>
        <v/>
      </c>
      <c r="N146" s="38" t="str">
        <f aca="false">IF(IFERROR(INDEX(Expenses!B$3:B$1002,SMALL(IF((Expenses!E$3:E$1002="GBP")*(Expenses!A$3:A$1002=DATE(2026,7,18)),ROW(Expenses!A$3:A$1002)-2),3)),"")&lt;&gt;"",IFERROR(INDEX(Expenses!B$3:B$1002,SMALL(IF((Expenses!E$3:E$1002="GBP")*(Expenses!A$3:A$1002=DATE(2026,7,18)),ROW(Expenses!A$3:A$1002)-2),3)),""),IF(IFERROR(INDEX(Income!B$3:B$502,SMALL(IF((Income!D$3:D$502="GBP")*(Income!A$3:A$502=DATE(2026,7,18)),ROW(Income!A$3:A$502)-2),3)),"")&lt;&gt;"",IFERROR(INDEX(Income!B$3:B$502,SMALL(IF((Income!D$3:D$502="GBP")*(Income!A$3:A$502=DATE(2026,7,18)),ROW(Income!A$3:A$502)-2),3)),""),""))</f>
        <v/>
      </c>
      <c r="O146" s="62" t="str">
        <f aca="false">IF(IFERROR(-INDEX(Expenses!D$3:D$1002,SMALL(IF((Expenses!E$3:E$1002="GBP")*(Expenses!A$3:A$1002=DATE(2026,7,19)),ROW(Expenses!A$3:A$1002)-2),3)),0)+IFERROR(INDEX(Income!C$3:C$502,SMALL(IF((Income!D$3:D$502="GBP")*(Income!A$3:A$502=DATE(2026,7,19)),ROW(Income!A$3:A$502)-2),3)),0)=0,"",IFERROR(-INDEX(Expenses!D$3:D$1002,SMALL(IF((Expenses!E$3:E$1002="GBP")*(Expenses!A$3:A$1002=DATE(2026,7,19)),ROW(Expenses!A$3:A$1002)-2),3)),0)+IFERROR(INDEX(Income!C$3:C$502,SMALL(IF((Income!D$3:D$502="GBP")*(Income!A$3:A$502=DATE(2026,7,19)),ROW(Income!A$3:A$502)-2),3)),0))</f>
        <v/>
      </c>
      <c r="P146" s="38" t="str">
        <f aca="false">IF(IFERROR(INDEX(Expenses!B$3:B$1002,SMALL(IF((Expenses!E$3:E$1002="GBP")*(Expenses!A$3:A$1002=DATE(2026,7,19)),ROW(Expenses!A$3:A$1002)-2),3)),"")&lt;&gt;"",IFERROR(INDEX(Expenses!B$3:B$1002,SMALL(IF((Expenses!E$3:E$1002="GBP")*(Expenses!A$3:A$1002=DATE(2026,7,19)),ROW(Expenses!A$3:A$1002)-2),3)),""),IF(IFERROR(INDEX(Income!B$3:B$502,SMALL(IF((Income!D$3:D$502="GBP")*(Income!A$3:A$502=DATE(2026,7,19)),ROW(Income!A$3:A$502)-2),3)),"")&lt;&gt;"",IFERROR(INDEX(Income!B$3:B$502,SMALL(IF((Income!D$3:D$502="GBP")*(Income!A$3:A$502=DATE(2026,7,19)),ROW(Income!A$3:A$502)-2),3)),""),""))</f>
        <v/>
      </c>
      <c r="Q146" s="16"/>
      <c r="R146" s="16"/>
    </row>
    <row r="147" customFormat="false" ht="15" hidden="false" customHeight="false" outlineLevel="0" collapsed="false">
      <c r="A147" s="16"/>
      <c r="B147" s="16"/>
      <c r="C147" s="62" t="str">
        <f aca="false">IF(IFERROR(-INDEX(Expenses!D$3:D$1002,SMALL(IF((Expenses!E$3:E$1002="GBP")*(Expenses!A$3:A$1002=DATE(2026,7,13)),ROW(Expenses!A$3:A$1002)-2),4)),0)+IFERROR(INDEX(Income!C$3:C$502,SMALL(IF((Income!D$3:D$502="GBP")*(Income!A$3:A$502=DATE(2026,7,13)),ROW(Income!A$3:A$502)-2),4)),0)=0,"",IFERROR(-INDEX(Expenses!D$3:D$1002,SMALL(IF((Expenses!E$3:E$1002="GBP")*(Expenses!A$3:A$1002=DATE(2026,7,13)),ROW(Expenses!A$3:A$1002)-2),4)),0)+IFERROR(INDEX(Income!C$3:C$502,SMALL(IF((Income!D$3:D$502="GBP")*(Income!A$3:A$502=DATE(2026,7,13)),ROW(Income!A$3:A$502)-2),4)),0))</f>
        <v/>
      </c>
      <c r="D147" s="38" t="str">
        <f aca="false">IF(IFERROR(INDEX(Expenses!B$3:B$1002,SMALL(IF((Expenses!E$3:E$1002="GBP")*(Expenses!A$3:A$1002=DATE(2026,7,13)),ROW(Expenses!A$3:A$1002)-2),4)),"")&lt;&gt;"",IFERROR(INDEX(Expenses!B$3:B$1002,SMALL(IF((Expenses!E$3:E$1002="GBP")*(Expenses!A$3:A$1002=DATE(2026,7,13)),ROW(Expenses!A$3:A$1002)-2),4)),""),IF(IFERROR(INDEX(Income!B$3:B$502,SMALL(IF((Income!D$3:D$502="GBP")*(Income!A$3:A$502=DATE(2026,7,13)),ROW(Income!A$3:A$502)-2),4)),"")&lt;&gt;"",IFERROR(INDEX(Income!B$3:B$502,SMALL(IF((Income!D$3:D$502="GBP")*(Income!A$3:A$502=DATE(2026,7,13)),ROW(Income!A$3:A$502)-2),4)),""),""))</f>
        <v/>
      </c>
      <c r="E147" s="62" t="str">
        <f aca="false">IF(IFERROR(-INDEX(Expenses!D$3:D$1002,SMALL(IF((Expenses!E$3:E$1002="GBP")*(Expenses!A$3:A$1002=DATE(2026,7,14)),ROW(Expenses!A$3:A$1002)-2),4)),0)+IFERROR(INDEX(Income!C$3:C$502,SMALL(IF((Income!D$3:D$502="GBP")*(Income!A$3:A$502=DATE(2026,7,14)),ROW(Income!A$3:A$502)-2),4)),0)=0,"",IFERROR(-INDEX(Expenses!D$3:D$1002,SMALL(IF((Expenses!E$3:E$1002="GBP")*(Expenses!A$3:A$1002=DATE(2026,7,14)),ROW(Expenses!A$3:A$1002)-2),4)),0)+IFERROR(INDEX(Income!C$3:C$502,SMALL(IF((Income!D$3:D$502="GBP")*(Income!A$3:A$502=DATE(2026,7,14)),ROW(Income!A$3:A$502)-2),4)),0))</f>
        <v/>
      </c>
      <c r="F147" s="38" t="str">
        <f aca="false">IF(IFERROR(INDEX(Expenses!B$3:B$1002,SMALL(IF((Expenses!E$3:E$1002="GBP")*(Expenses!A$3:A$1002=DATE(2026,7,14)),ROW(Expenses!A$3:A$1002)-2),4)),"")&lt;&gt;"",IFERROR(INDEX(Expenses!B$3:B$1002,SMALL(IF((Expenses!E$3:E$1002="GBP")*(Expenses!A$3:A$1002=DATE(2026,7,14)),ROW(Expenses!A$3:A$1002)-2),4)),""),IF(IFERROR(INDEX(Income!B$3:B$502,SMALL(IF((Income!D$3:D$502="GBP")*(Income!A$3:A$502=DATE(2026,7,14)),ROW(Income!A$3:A$502)-2),4)),"")&lt;&gt;"",IFERROR(INDEX(Income!B$3:B$502,SMALL(IF((Income!D$3:D$502="GBP")*(Income!A$3:A$502=DATE(2026,7,14)),ROW(Income!A$3:A$502)-2),4)),""),""))</f>
        <v/>
      </c>
      <c r="G147" s="62" t="str">
        <f aca="false">IF(IFERROR(-INDEX(Expenses!D$3:D$1002,SMALL(IF((Expenses!E$3:E$1002="GBP")*(Expenses!A$3:A$1002=DATE(2026,7,15)),ROW(Expenses!A$3:A$1002)-2),4)),0)+IFERROR(INDEX(Income!C$3:C$502,SMALL(IF((Income!D$3:D$502="GBP")*(Income!A$3:A$502=DATE(2026,7,15)),ROW(Income!A$3:A$502)-2),4)),0)=0,"",IFERROR(-INDEX(Expenses!D$3:D$1002,SMALL(IF((Expenses!E$3:E$1002="GBP")*(Expenses!A$3:A$1002=DATE(2026,7,15)),ROW(Expenses!A$3:A$1002)-2),4)),0)+IFERROR(INDEX(Income!C$3:C$502,SMALL(IF((Income!D$3:D$502="GBP")*(Income!A$3:A$502=DATE(2026,7,15)),ROW(Income!A$3:A$502)-2),4)),0))</f>
        <v/>
      </c>
      <c r="H147" s="38" t="str">
        <f aca="false">IF(IFERROR(INDEX(Expenses!B$3:B$1002,SMALL(IF((Expenses!E$3:E$1002="GBP")*(Expenses!A$3:A$1002=DATE(2026,7,15)),ROW(Expenses!A$3:A$1002)-2),4)),"")&lt;&gt;"",IFERROR(INDEX(Expenses!B$3:B$1002,SMALL(IF((Expenses!E$3:E$1002="GBP")*(Expenses!A$3:A$1002=DATE(2026,7,15)),ROW(Expenses!A$3:A$1002)-2),4)),""),IF(IFERROR(INDEX(Income!B$3:B$502,SMALL(IF((Income!D$3:D$502="GBP")*(Income!A$3:A$502=DATE(2026,7,15)),ROW(Income!A$3:A$502)-2),4)),"")&lt;&gt;"",IFERROR(INDEX(Income!B$3:B$502,SMALL(IF((Income!D$3:D$502="GBP")*(Income!A$3:A$502=DATE(2026,7,15)),ROW(Income!A$3:A$502)-2),4)),""),""))</f>
        <v/>
      </c>
      <c r="I147" s="62" t="str">
        <f aca="false">IF(IFERROR(-INDEX(Expenses!D$3:D$1002,SMALL(IF((Expenses!E$3:E$1002="GBP")*(Expenses!A$3:A$1002=DATE(2026,7,16)),ROW(Expenses!A$3:A$1002)-2),4)),0)+IFERROR(INDEX(Income!C$3:C$502,SMALL(IF((Income!D$3:D$502="GBP")*(Income!A$3:A$502=DATE(2026,7,16)),ROW(Income!A$3:A$502)-2),4)),0)=0,"",IFERROR(-INDEX(Expenses!D$3:D$1002,SMALL(IF((Expenses!E$3:E$1002="GBP")*(Expenses!A$3:A$1002=DATE(2026,7,16)),ROW(Expenses!A$3:A$1002)-2),4)),0)+IFERROR(INDEX(Income!C$3:C$502,SMALL(IF((Income!D$3:D$502="GBP")*(Income!A$3:A$502=DATE(2026,7,16)),ROW(Income!A$3:A$502)-2),4)),0))</f>
        <v/>
      </c>
      <c r="J147" s="38" t="str">
        <f aca="false">IF(IFERROR(INDEX(Expenses!B$3:B$1002,SMALL(IF((Expenses!E$3:E$1002="GBP")*(Expenses!A$3:A$1002=DATE(2026,7,16)),ROW(Expenses!A$3:A$1002)-2),4)),"")&lt;&gt;"",IFERROR(INDEX(Expenses!B$3:B$1002,SMALL(IF((Expenses!E$3:E$1002="GBP")*(Expenses!A$3:A$1002=DATE(2026,7,16)),ROW(Expenses!A$3:A$1002)-2),4)),""),IF(IFERROR(INDEX(Income!B$3:B$502,SMALL(IF((Income!D$3:D$502="GBP")*(Income!A$3:A$502=DATE(2026,7,16)),ROW(Income!A$3:A$502)-2),4)),"")&lt;&gt;"",IFERROR(INDEX(Income!B$3:B$502,SMALL(IF((Income!D$3:D$502="GBP")*(Income!A$3:A$502=DATE(2026,7,16)),ROW(Income!A$3:A$502)-2),4)),""),""))</f>
        <v/>
      </c>
      <c r="K147" s="62" t="str">
        <f aca="false">IF(IFERROR(-INDEX(Expenses!D$3:D$1002,SMALL(IF((Expenses!E$3:E$1002="GBP")*(Expenses!A$3:A$1002=DATE(2026,7,17)),ROW(Expenses!A$3:A$1002)-2),4)),0)+IFERROR(INDEX(Income!C$3:C$502,SMALL(IF((Income!D$3:D$502="GBP")*(Income!A$3:A$502=DATE(2026,7,17)),ROW(Income!A$3:A$502)-2),4)),0)=0,"",IFERROR(-INDEX(Expenses!D$3:D$1002,SMALL(IF((Expenses!E$3:E$1002="GBP")*(Expenses!A$3:A$1002=DATE(2026,7,17)),ROW(Expenses!A$3:A$1002)-2),4)),0)+IFERROR(INDEX(Income!C$3:C$502,SMALL(IF((Income!D$3:D$502="GBP")*(Income!A$3:A$502=DATE(2026,7,17)),ROW(Income!A$3:A$502)-2),4)),0))</f>
        <v/>
      </c>
      <c r="L147" s="38" t="str">
        <f aca="false">IF(IFERROR(INDEX(Expenses!B$3:B$1002,SMALL(IF((Expenses!E$3:E$1002="GBP")*(Expenses!A$3:A$1002=DATE(2026,7,17)),ROW(Expenses!A$3:A$1002)-2),4)),"")&lt;&gt;"",IFERROR(INDEX(Expenses!B$3:B$1002,SMALL(IF((Expenses!E$3:E$1002="GBP")*(Expenses!A$3:A$1002=DATE(2026,7,17)),ROW(Expenses!A$3:A$1002)-2),4)),""),IF(IFERROR(INDEX(Income!B$3:B$502,SMALL(IF((Income!D$3:D$502="GBP")*(Income!A$3:A$502=DATE(2026,7,17)),ROW(Income!A$3:A$502)-2),4)),"")&lt;&gt;"",IFERROR(INDEX(Income!B$3:B$502,SMALL(IF((Income!D$3:D$502="GBP")*(Income!A$3:A$502=DATE(2026,7,17)),ROW(Income!A$3:A$502)-2),4)),""),""))</f>
        <v/>
      </c>
      <c r="M147" s="62" t="str">
        <f aca="false">IF(IFERROR(-INDEX(Expenses!D$3:D$1002,SMALL(IF((Expenses!E$3:E$1002="GBP")*(Expenses!A$3:A$1002=DATE(2026,7,18)),ROW(Expenses!A$3:A$1002)-2),4)),0)+IFERROR(INDEX(Income!C$3:C$502,SMALL(IF((Income!D$3:D$502="GBP")*(Income!A$3:A$502=DATE(2026,7,18)),ROW(Income!A$3:A$502)-2),4)),0)=0,"",IFERROR(-INDEX(Expenses!D$3:D$1002,SMALL(IF((Expenses!E$3:E$1002="GBP")*(Expenses!A$3:A$1002=DATE(2026,7,18)),ROW(Expenses!A$3:A$1002)-2),4)),0)+IFERROR(INDEX(Income!C$3:C$502,SMALL(IF((Income!D$3:D$502="GBP")*(Income!A$3:A$502=DATE(2026,7,18)),ROW(Income!A$3:A$502)-2),4)),0))</f>
        <v/>
      </c>
      <c r="N147" s="38" t="str">
        <f aca="false">IF(IFERROR(INDEX(Expenses!B$3:B$1002,SMALL(IF((Expenses!E$3:E$1002="GBP")*(Expenses!A$3:A$1002=DATE(2026,7,18)),ROW(Expenses!A$3:A$1002)-2),4)),"")&lt;&gt;"",IFERROR(INDEX(Expenses!B$3:B$1002,SMALL(IF((Expenses!E$3:E$1002="GBP")*(Expenses!A$3:A$1002=DATE(2026,7,18)),ROW(Expenses!A$3:A$1002)-2),4)),""),IF(IFERROR(INDEX(Income!B$3:B$502,SMALL(IF((Income!D$3:D$502="GBP")*(Income!A$3:A$502=DATE(2026,7,18)),ROW(Income!A$3:A$502)-2),4)),"")&lt;&gt;"",IFERROR(INDEX(Income!B$3:B$502,SMALL(IF((Income!D$3:D$502="GBP")*(Income!A$3:A$502=DATE(2026,7,18)),ROW(Income!A$3:A$502)-2),4)),""),""))</f>
        <v/>
      </c>
      <c r="O147" s="62" t="str">
        <f aca="false">IF(IFERROR(-INDEX(Expenses!D$3:D$1002,SMALL(IF((Expenses!E$3:E$1002="GBP")*(Expenses!A$3:A$1002=DATE(2026,7,19)),ROW(Expenses!A$3:A$1002)-2),4)),0)+IFERROR(INDEX(Income!C$3:C$502,SMALL(IF((Income!D$3:D$502="GBP")*(Income!A$3:A$502=DATE(2026,7,19)),ROW(Income!A$3:A$502)-2),4)),0)=0,"",IFERROR(-INDEX(Expenses!D$3:D$1002,SMALL(IF((Expenses!E$3:E$1002="GBP")*(Expenses!A$3:A$1002=DATE(2026,7,19)),ROW(Expenses!A$3:A$1002)-2),4)),0)+IFERROR(INDEX(Income!C$3:C$502,SMALL(IF((Income!D$3:D$502="GBP")*(Income!A$3:A$502=DATE(2026,7,19)),ROW(Income!A$3:A$502)-2),4)),0))</f>
        <v/>
      </c>
      <c r="P147" s="38" t="str">
        <f aca="false">IF(IFERROR(INDEX(Expenses!B$3:B$1002,SMALL(IF((Expenses!E$3:E$1002="GBP")*(Expenses!A$3:A$1002=DATE(2026,7,19)),ROW(Expenses!A$3:A$1002)-2),4)),"")&lt;&gt;"",IFERROR(INDEX(Expenses!B$3:B$1002,SMALL(IF((Expenses!E$3:E$1002="GBP")*(Expenses!A$3:A$1002=DATE(2026,7,19)),ROW(Expenses!A$3:A$1002)-2),4)),""),IF(IFERROR(INDEX(Income!B$3:B$502,SMALL(IF((Income!D$3:D$502="GBP")*(Income!A$3:A$502=DATE(2026,7,19)),ROW(Income!A$3:A$502)-2),4)),"")&lt;&gt;"",IFERROR(INDEX(Income!B$3:B$502,SMALL(IF((Income!D$3:D$502="GBP")*(Income!A$3:A$502=DATE(2026,7,19)),ROW(Income!A$3:A$502)-2),4)),""),""))</f>
        <v/>
      </c>
      <c r="Q147" s="16"/>
      <c r="R147" s="16"/>
    </row>
    <row r="148" customFormat="false" ht="15" hidden="false" customHeight="false" outlineLevel="0" collapsed="false">
      <c r="A148" s="16"/>
      <c r="B148" s="16"/>
      <c r="C148" s="62" t="str">
        <f aca="false">IF(IFERROR(-INDEX(Expenses!D$3:D$1002,SMALL(IF((Expenses!E$3:E$1002="GBP")*(Expenses!A$3:A$1002=DATE(2026,7,13)),ROW(Expenses!A$3:A$1002)-2),5)),0)+IFERROR(INDEX(Income!C$3:C$502,SMALL(IF((Income!D$3:D$502="GBP")*(Income!A$3:A$502=DATE(2026,7,13)),ROW(Income!A$3:A$502)-2),5)),0)=0,"",IFERROR(-INDEX(Expenses!D$3:D$1002,SMALL(IF((Expenses!E$3:E$1002="GBP")*(Expenses!A$3:A$1002=DATE(2026,7,13)),ROW(Expenses!A$3:A$1002)-2),5)),0)+IFERROR(INDEX(Income!C$3:C$502,SMALL(IF((Income!D$3:D$502="GBP")*(Income!A$3:A$502=DATE(2026,7,13)),ROW(Income!A$3:A$502)-2),5)),0))</f>
        <v/>
      </c>
      <c r="D148" s="38" t="str">
        <f aca="false">IF(IFERROR(INDEX(Expenses!B$3:B$1002,SMALL(IF((Expenses!E$3:E$1002="GBP")*(Expenses!A$3:A$1002=DATE(2026,7,13)),ROW(Expenses!A$3:A$1002)-2),5)),"")&lt;&gt;"",IFERROR(INDEX(Expenses!B$3:B$1002,SMALL(IF((Expenses!E$3:E$1002="GBP")*(Expenses!A$3:A$1002=DATE(2026,7,13)),ROW(Expenses!A$3:A$1002)-2),5)),""),IF(IFERROR(INDEX(Income!B$3:B$502,SMALL(IF((Income!D$3:D$502="GBP")*(Income!A$3:A$502=DATE(2026,7,13)),ROW(Income!A$3:A$502)-2),5)),"")&lt;&gt;"",IFERROR(INDEX(Income!B$3:B$502,SMALL(IF((Income!D$3:D$502="GBP")*(Income!A$3:A$502=DATE(2026,7,13)),ROW(Income!A$3:A$502)-2),5)),""),""))</f>
        <v/>
      </c>
      <c r="E148" s="62" t="str">
        <f aca="false">IF(IFERROR(-INDEX(Expenses!D$3:D$1002,SMALL(IF((Expenses!E$3:E$1002="GBP")*(Expenses!A$3:A$1002=DATE(2026,7,14)),ROW(Expenses!A$3:A$1002)-2),5)),0)+IFERROR(INDEX(Income!C$3:C$502,SMALL(IF((Income!D$3:D$502="GBP")*(Income!A$3:A$502=DATE(2026,7,14)),ROW(Income!A$3:A$502)-2),5)),0)=0,"",IFERROR(-INDEX(Expenses!D$3:D$1002,SMALL(IF((Expenses!E$3:E$1002="GBP")*(Expenses!A$3:A$1002=DATE(2026,7,14)),ROW(Expenses!A$3:A$1002)-2),5)),0)+IFERROR(INDEX(Income!C$3:C$502,SMALL(IF((Income!D$3:D$502="GBP")*(Income!A$3:A$502=DATE(2026,7,14)),ROW(Income!A$3:A$502)-2),5)),0))</f>
        <v/>
      </c>
      <c r="F148" s="38" t="str">
        <f aca="false">IF(IFERROR(INDEX(Expenses!B$3:B$1002,SMALL(IF((Expenses!E$3:E$1002="GBP")*(Expenses!A$3:A$1002=DATE(2026,7,14)),ROW(Expenses!A$3:A$1002)-2),5)),"")&lt;&gt;"",IFERROR(INDEX(Expenses!B$3:B$1002,SMALL(IF((Expenses!E$3:E$1002="GBP")*(Expenses!A$3:A$1002=DATE(2026,7,14)),ROW(Expenses!A$3:A$1002)-2),5)),""),IF(IFERROR(INDEX(Income!B$3:B$502,SMALL(IF((Income!D$3:D$502="GBP")*(Income!A$3:A$502=DATE(2026,7,14)),ROW(Income!A$3:A$502)-2),5)),"")&lt;&gt;"",IFERROR(INDEX(Income!B$3:B$502,SMALL(IF((Income!D$3:D$502="GBP")*(Income!A$3:A$502=DATE(2026,7,14)),ROW(Income!A$3:A$502)-2),5)),""),""))</f>
        <v/>
      </c>
      <c r="G148" s="62" t="str">
        <f aca="false">IF(IFERROR(-INDEX(Expenses!D$3:D$1002,SMALL(IF((Expenses!E$3:E$1002="GBP")*(Expenses!A$3:A$1002=DATE(2026,7,15)),ROW(Expenses!A$3:A$1002)-2),5)),0)+IFERROR(INDEX(Income!C$3:C$502,SMALL(IF((Income!D$3:D$502="GBP")*(Income!A$3:A$502=DATE(2026,7,15)),ROW(Income!A$3:A$502)-2),5)),0)=0,"",IFERROR(-INDEX(Expenses!D$3:D$1002,SMALL(IF((Expenses!E$3:E$1002="GBP")*(Expenses!A$3:A$1002=DATE(2026,7,15)),ROW(Expenses!A$3:A$1002)-2),5)),0)+IFERROR(INDEX(Income!C$3:C$502,SMALL(IF((Income!D$3:D$502="GBP")*(Income!A$3:A$502=DATE(2026,7,15)),ROW(Income!A$3:A$502)-2),5)),0))</f>
        <v/>
      </c>
      <c r="H148" s="38" t="str">
        <f aca="false">IF(IFERROR(INDEX(Expenses!B$3:B$1002,SMALL(IF((Expenses!E$3:E$1002="GBP")*(Expenses!A$3:A$1002=DATE(2026,7,15)),ROW(Expenses!A$3:A$1002)-2),5)),"")&lt;&gt;"",IFERROR(INDEX(Expenses!B$3:B$1002,SMALL(IF((Expenses!E$3:E$1002="GBP")*(Expenses!A$3:A$1002=DATE(2026,7,15)),ROW(Expenses!A$3:A$1002)-2),5)),""),IF(IFERROR(INDEX(Income!B$3:B$502,SMALL(IF((Income!D$3:D$502="GBP")*(Income!A$3:A$502=DATE(2026,7,15)),ROW(Income!A$3:A$502)-2),5)),"")&lt;&gt;"",IFERROR(INDEX(Income!B$3:B$502,SMALL(IF((Income!D$3:D$502="GBP")*(Income!A$3:A$502=DATE(2026,7,15)),ROW(Income!A$3:A$502)-2),5)),""),""))</f>
        <v/>
      </c>
      <c r="I148" s="62" t="str">
        <f aca="false">IF(IFERROR(-INDEX(Expenses!D$3:D$1002,SMALL(IF((Expenses!E$3:E$1002="GBP")*(Expenses!A$3:A$1002=DATE(2026,7,16)),ROW(Expenses!A$3:A$1002)-2),5)),0)+IFERROR(INDEX(Income!C$3:C$502,SMALL(IF((Income!D$3:D$502="GBP")*(Income!A$3:A$502=DATE(2026,7,16)),ROW(Income!A$3:A$502)-2),5)),0)=0,"",IFERROR(-INDEX(Expenses!D$3:D$1002,SMALL(IF((Expenses!E$3:E$1002="GBP")*(Expenses!A$3:A$1002=DATE(2026,7,16)),ROW(Expenses!A$3:A$1002)-2),5)),0)+IFERROR(INDEX(Income!C$3:C$502,SMALL(IF((Income!D$3:D$502="GBP")*(Income!A$3:A$502=DATE(2026,7,16)),ROW(Income!A$3:A$502)-2),5)),0))</f>
        <v/>
      </c>
      <c r="J148" s="38" t="str">
        <f aca="false">IF(IFERROR(INDEX(Expenses!B$3:B$1002,SMALL(IF((Expenses!E$3:E$1002="GBP")*(Expenses!A$3:A$1002=DATE(2026,7,16)),ROW(Expenses!A$3:A$1002)-2),5)),"")&lt;&gt;"",IFERROR(INDEX(Expenses!B$3:B$1002,SMALL(IF((Expenses!E$3:E$1002="GBP")*(Expenses!A$3:A$1002=DATE(2026,7,16)),ROW(Expenses!A$3:A$1002)-2),5)),""),IF(IFERROR(INDEX(Income!B$3:B$502,SMALL(IF((Income!D$3:D$502="GBP")*(Income!A$3:A$502=DATE(2026,7,16)),ROW(Income!A$3:A$502)-2),5)),"")&lt;&gt;"",IFERROR(INDEX(Income!B$3:B$502,SMALL(IF((Income!D$3:D$502="GBP")*(Income!A$3:A$502=DATE(2026,7,16)),ROW(Income!A$3:A$502)-2),5)),""),""))</f>
        <v/>
      </c>
      <c r="K148" s="62" t="str">
        <f aca="false">IF(IFERROR(-INDEX(Expenses!D$3:D$1002,SMALL(IF((Expenses!E$3:E$1002="GBP")*(Expenses!A$3:A$1002=DATE(2026,7,17)),ROW(Expenses!A$3:A$1002)-2),5)),0)+IFERROR(INDEX(Income!C$3:C$502,SMALL(IF((Income!D$3:D$502="GBP")*(Income!A$3:A$502=DATE(2026,7,17)),ROW(Income!A$3:A$502)-2),5)),0)=0,"",IFERROR(-INDEX(Expenses!D$3:D$1002,SMALL(IF((Expenses!E$3:E$1002="GBP")*(Expenses!A$3:A$1002=DATE(2026,7,17)),ROW(Expenses!A$3:A$1002)-2),5)),0)+IFERROR(INDEX(Income!C$3:C$502,SMALL(IF((Income!D$3:D$502="GBP")*(Income!A$3:A$502=DATE(2026,7,17)),ROW(Income!A$3:A$502)-2),5)),0))</f>
        <v/>
      </c>
      <c r="L148" s="38" t="str">
        <f aca="false">IF(IFERROR(INDEX(Expenses!B$3:B$1002,SMALL(IF((Expenses!E$3:E$1002="GBP")*(Expenses!A$3:A$1002=DATE(2026,7,17)),ROW(Expenses!A$3:A$1002)-2),5)),"")&lt;&gt;"",IFERROR(INDEX(Expenses!B$3:B$1002,SMALL(IF((Expenses!E$3:E$1002="GBP")*(Expenses!A$3:A$1002=DATE(2026,7,17)),ROW(Expenses!A$3:A$1002)-2),5)),""),IF(IFERROR(INDEX(Income!B$3:B$502,SMALL(IF((Income!D$3:D$502="GBP")*(Income!A$3:A$502=DATE(2026,7,17)),ROW(Income!A$3:A$502)-2),5)),"")&lt;&gt;"",IFERROR(INDEX(Income!B$3:B$502,SMALL(IF((Income!D$3:D$502="GBP")*(Income!A$3:A$502=DATE(2026,7,17)),ROW(Income!A$3:A$502)-2),5)),""),""))</f>
        <v/>
      </c>
      <c r="M148" s="62" t="str">
        <f aca="false">IF(IFERROR(-INDEX(Expenses!D$3:D$1002,SMALL(IF((Expenses!E$3:E$1002="GBP")*(Expenses!A$3:A$1002=DATE(2026,7,18)),ROW(Expenses!A$3:A$1002)-2),5)),0)+IFERROR(INDEX(Income!C$3:C$502,SMALL(IF((Income!D$3:D$502="GBP")*(Income!A$3:A$502=DATE(2026,7,18)),ROW(Income!A$3:A$502)-2),5)),0)=0,"",IFERROR(-INDEX(Expenses!D$3:D$1002,SMALL(IF((Expenses!E$3:E$1002="GBP")*(Expenses!A$3:A$1002=DATE(2026,7,18)),ROW(Expenses!A$3:A$1002)-2),5)),0)+IFERROR(INDEX(Income!C$3:C$502,SMALL(IF((Income!D$3:D$502="GBP")*(Income!A$3:A$502=DATE(2026,7,18)),ROW(Income!A$3:A$502)-2),5)),0))</f>
        <v/>
      </c>
      <c r="N148" s="38" t="str">
        <f aca="false">IF(IFERROR(INDEX(Expenses!B$3:B$1002,SMALL(IF((Expenses!E$3:E$1002="GBP")*(Expenses!A$3:A$1002=DATE(2026,7,18)),ROW(Expenses!A$3:A$1002)-2),5)),"")&lt;&gt;"",IFERROR(INDEX(Expenses!B$3:B$1002,SMALL(IF((Expenses!E$3:E$1002="GBP")*(Expenses!A$3:A$1002=DATE(2026,7,18)),ROW(Expenses!A$3:A$1002)-2),5)),""),IF(IFERROR(INDEX(Income!B$3:B$502,SMALL(IF((Income!D$3:D$502="GBP")*(Income!A$3:A$502=DATE(2026,7,18)),ROW(Income!A$3:A$502)-2),5)),"")&lt;&gt;"",IFERROR(INDEX(Income!B$3:B$502,SMALL(IF((Income!D$3:D$502="GBP")*(Income!A$3:A$502=DATE(2026,7,18)),ROW(Income!A$3:A$502)-2),5)),""),""))</f>
        <v/>
      </c>
      <c r="O148" s="62" t="str">
        <f aca="false">IF(IFERROR(-INDEX(Expenses!D$3:D$1002,SMALL(IF((Expenses!E$3:E$1002="GBP")*(Expenses!A$3:A$1002=DATE(2026,7,19)),ROW(Expenses!A$3:A$1002)-2),5)),0)+IFERROR(INDEX(Income!C$3:C$502,SMALL(IF((Income!D$3:D$502="GBP")*(Income!A$3:A$502=DATE(2026,7,19)),ROW(Income!A$3:A$502)-2),5)),0)=0,"",IFERROR(-INDEX(Expenses!D$3:D$1002,SMALL(IF((Expenses!E$3:E$1002="GBP")*(Expenses!A$3:A$1002=DATE(2026,7,19)),ROW(Expenses!A$3:A$1002)-2),5)),0)+IFERROR(INDEX(Income!C$3:C$502,SMALL(IF((Income!D$3:D$502="GBP")*(Income!A$3:A$502=DATE(2026,7,19)),ROW(Income!A$3:A$502)-2),5)),0))</f>
        <v/>
      </c>
      <c r="P148" s="38" t="str">
        <f aca="false">IF(IFERROR(INDEX(Expenses!B$3:B$1002,SMALL(IF((Expenses!E$3:E$1002="GBP")*(Expenses!A$3:A$1002=DATE(2026,7,19)),ROW(Expenses!A$3:A$1002)-2),5)),"")&lt;&gt;"",IFERROR(INDEX(Expenses!B$3:B$1002,SMALL(IF((Expenses!E$3:E$1002="GBP")*(Expenses!A$3:A$1002=DATE(2026,7,19)),ROW(Expenses!A$3:A$1002)-2),5)),""),IF(IFERROR(INDEX(Income!B$3:B$502,SMALL(IF((Income!D$3:D$502="GBP")*(Income!A$3:A$502=DATE(2026,7,19)),ROW(Income!A$3:A$502)-2),5)),"")&lt;&gt;"",IFERROR(INDEX(Income!B$3:B$502,SMALL(IF((Income!D$3:D$502="GBP")*(Income!A$3:A$502=DATE(2026,7,19)),ROW(Income!A$3:A$502)-2),5)),""),""))</f>
        <v/>
      </c>
      <c r="Q148" s="16"/>
      <c r="R148" s="16"/>
    </row>
    <row r="149" customFormat="false" ht="15" hidden="false" customHeight="false" outlineLevel="0" collapsed="false">
      <c r="A149" s="61" t="n">
        <v>46223</v>
      </c>
      <c r="B149" s="3" t="n">
        <v>30</v>
      </c>
      <c r="C149" s="62" t="str">
        <f aca="false">IF(IFERROR(-INDEX(Expenses!D$3:D$1002,SMALL(IF((Expenses!E$3:E$1002="GBP")*(Expenses!A$3:A$1002=DATE(2026,7,20)),ROW(Expenses!A$3:A$1002)-2),1)),0)+IFERROR(INDEX(Income!C$3:C$502,SMALL(IF((Income!D$3:D$502="GBP")*(Income!A$3:A$502=DATE(2026,7,20)),ROW(Income!A$3:A$502)-2),1)),0)=0,"",IFERROR(-INDEX(Expenses!D$3:D$1002,SMALL(IF((Expenses!E$3:E$1002="GBP")*(Expenses!A$3:A$1002=DATE(2026,7,20)),ROW(Expenses!A$3:A$1002)-2),1)),0)+IFERROR(INDEX(Income!C$3:C$502,SMALL(IF((Income!D$3:D$502="GBP")*(Income!A$3:A$502=DATE(2026,7,20)),ROW(Income!A$3:A$502)-2),1)),0))</f>
        <v/>
      </c>
      <c r="D149" s="38" t="str">
        <f aca="false">IF(IFERROR(INDEX(Expenses!B$3:B$1002,SMALL(IF((Expenses!E$3:E$1002="GBP")*(Expenses!A$3:A$1002=DATE(2026,7,20)),ROW(Expenses!A$3:A$1002)-2),1)),"")&lt;&gt;"",IFERROR(INDEX(Expenses!B$3:B$1002,SMALL(IF((Expenses!E$3:E$1002="GBP")*(Expenses!A$3:A$1002=DATE(2026,7,20)),ROW(Expenses!A$3:A$1002)-2),1)),""),IF(IFERROR(INDEX(Income!B$3:B$502,SMALL(IF((Income!D$3:D$502="GBP")*(Income!A$3:A$502=DATE(2026,7,20)),ROW(Income!A$3:A$502)-2),1)),"")&lt;&gt;"",IFERROR(INDEX(Income!B$3:B$502,SMALL(IF((Income!D$3:D$502="GBP")*(Income!A$3:A$502=DATE(2026,7,20)),ROW(Income!A$3:A$502)-2),1)),""),""))</f>
        <v/>
      </c>
      <c r="E149" s="62" t="str">
        <f aca="false">IF(IFERROR(-INDEX(Expenses!D$3:D$1002,SMALL(IF((Expenses!E$3:E$1002="GBP")*(Expenses!A$3:A$1002=DATE(2026,7,21)),ROW(Expenses!A$3:A$1002)-2),1)),0)+IFERROR(INDEX(Income!C$3:C$502,SMALL(IF((Income!D$3:D$502="GBP")*(Income!A$3:A$502=DATE(2026,7,21)),ROW(Income!A$3:A$502)-2),1)),0)=0,"",IFERROR(-INDEX(Expenses!D$3:D$1002,SMALL(IF((Expenses!E$3:E$1002="GBP")*(Expenses!A$3:A$1002=DATE(2026,7,21)),ROW(Expenses!A$3:A$1002)-2),1)),0)+IFERROR(INDEX(Income!C$3:C$502,SMALL(IF((Income!D$3:D$502="GBP")*(Income!A$3:A$502=DATE(2026,7,21)),ROW(Income!A$3:A$502)-2),1)),0))</f>
        <v/>
      </c>
      <c r="F149" s="38" t="str">
        <f aca="false">IF(IFERROR(INDEX(Expenses!B$3:B$1002,SMALL(IF((Expenses!E$3:E$1002="GBP")*(Expenses!A$3:A$1002=DATE(2026,7,21)),ROW(Expenses!A$3:A$1002)-2),1)),"")&lt;&gt;"",IFERROR(INDEX(Expenses!B$3:B$1002,SMALL(IF((Expenses!E$3:E$1002="GBP")*(Expenses!A$3:A$1002=DATE(2026,7,21)),ROW(Expenses!A$3:A$1002)-2),1)),""),IF(IFERROR(INDEX(Income!B$3:B$502,SMALL(IF((Income!D$3:D$502="GBP")*(Income!A$3:A$502=DATE(2026,7,21)),ROW(Income!A$3:A$502)-2),1)),"")&lt;&gt;"",IFERROR(INDEX(Income!B$3:B$502,SMALL(IF((Income!D$3:D$502="GBP")*(Income!A$3:A$502=DATE(2026,7,21)),ROW(Income!A$3:A$502)-2),1)),""),""))</f>
        <v/>
      </c>
      <c r="G149" s="62" t="str">
        <f aca="false">IF(IFERROR(-INDEX(Expenses!D$3:D$1002,SMALL(IF((Expenses!E$3:E$1002="GBP")*(Expenses!A$3:A$1002=DATE(2026,7,22)),ROW(Expenses!A$3:A$1002)-2),1)),0)+IFERROR(INDEX(Income!C$3:C$502,SMALL(IF((Income!D$3:D$502="GBP")*(Income!A$3:A$502=DATE(2026,7,22)),ROW(Income!A$3:A$502)-2),1)),0)=0,"",IFERROR(-INDEX(Expenses!D$3:D$1002,SMALL(IF((Expenses!E$3:E$1002="GBP")*(Expenses!A$3:A$1002=DATE(2026,7,22)),ROW(Expenses!A$3:A$1002)-2),1)),0)+IFERROR(INDEX(Income!C$3:C$502,SMALL(IF((Income!D$3:D$502="GBP")*(Income!A$3:A$502=DATE(2026,7,22)),ROW(Income!A$3:A$502)-2),1)),0))</f>
        <v/>
      </c>
      <c r="H149" s="38" t="str">
        <f aca="false">IF(IFERROR(INDEX(Expenses!B$3:B$1002,SMALL(IF((Expenses!E$3:E$1002="GBP")*(Expenses!A$3:A$1002=DATE(2026,7,22)),ROW(Expenses!A$3:A$1002)-2),1)),"")&lt;&gt;"",IFERROR(INDEX(Expenses!B$3:B$1002,SMALL(IF((Expenses!E$3:E$1002="GBP")*(Expenses!A$3:A$1002=DATE(2026,7,22)),ROW(Expenses!A$3:A$1002)-2),1)),""),IF(IFERROR(INDEX(Income!B$3:B$502,SMALL(IF((Income!D$3:D$502="GBP")*(Income!A$3:A$502=DATE(2026,7,22)),ROW(Income!A$3:A$502)-2),1)),"")&lt;&gt;"",IFERROR(INDEX(Income!B$3:B$502,SMALL(IF((Income!D$3:D$502="GBP")*(Income!A$3:A$502=DATE(2026,7,22)),ROW(Income!A$3:A$502)-2),1)),""),""))</f>
        <v/>
      </c>
      <c r="I149" s="62" t="str">
        <f aca="false">IF(IFERROR(-INDEX(Expenses!D$3:D$1002,SMALL(IF((Expenses!E$3:E$1002="GBP")*(Expenses!A$3:A$1002=DATE(2026,7,23)),ROW(Expenses!A$3:A$1002)-2),1)),0)+IFERROR(INDEX(Income!C$3:C$502,SMALL(IF((Income!D$3:D$502="GBP")*(Income!A$3:A$502=DATE(2026,7,23)),ROW(Income!A$3:A$502)-2),1)),0)=0,"",IFERROR(-INDEX(Expenses!D$3:D$1002,SMALL(IF((Expenses!E$3:E$1002="GBP")*(Expenses!A$3:A$1002=DATE(2026,7,23)),ROW(Expenses!A$3:A$1002)-2),1)),0)+IFERROR(INDEX(Income!C$3:C$502,SMALL(IF((Income!D$3:D$502="GBP")*(Income!A$3:A$502=DATE(2026,7,23)),ROW(Income!A$3:A$502)-2),1)),0))</f>
        <v/>
      </c>
      <c r="J149" s="38" t="str">
        <f aca="false">IF(IFERROR(INDEX(Expenses!B$3:B$1002,SMALL(IF((Expenses!E$3:E$1002="GBP")*(Expenses!A$3:A$1002=DATE(2026,7,23)),ROW(Expenses!A$3:A$1002)-2),1)),"")&lt;&gt;"",IFERROR(INDEX(Expenses!B$3:B$1002,SMALL(IF((Expenses!E$3:E$1002="GBP")*(Expenses!A$3:A$1002=DATE(2026,7,23)),ROW(Expenses!A$3:A$1002)-2),1)),""),IF(IFERROR(INDEX(Income!B$3:B$502,SMALL(IF((Income!D$3:D$502="GBP")*(Income!A$3:A$502=DATE(2026,7,23)),ROW(Income!A$3:A$502)-2),1)),"")&lt;&gt;"",IFERROR(INDEX(Income!B$3:B$502,SMALL(IF((Income!D$3:D$502="GBP")*(Income!A$3:A$502=DATE(2026,7,23)),ROW(Income!A$3:A$502)-2),1)),""),""))</f>
        <v/>
      </c>
      <c r="K149" s="62" t="str">
        <f aca="false">IF(IFERROR(-INDEX(Expenses!D$3:D$1002,SMALL(IF((Expenses!E$3:E$1002="GBP")*(Expenses!A$3:A$1002=DATE(2026,7,24)),ROW(Expenses!A$3:A$1002)-2),1)),0)+IFERROR(INDEX(Income!C$3:C$502,SMALL(IF((Income!D$3:D$502="GBP")*(Income!A$3:A$502=DATE(2026,7,24)),ROW(Income!A$3:A$502)-2),1)),0)=0,"",IFERROR(-INDEX(Expenses!D$3:D$1002,SMALL(IF((Expenses!E$3:E$1002="GBP")*(Expenses!A$3:A$1002=DATE(2026,7,24)),ROW(Expenses!A$3:A$1002)-2),1)),0)+IFERROR(INDEX(Income!C$3:C$502,SMALL(IF((Income!D$3:D$502="GBP")*(Income!A$3:A$502=DATE(2026,7,24)),ROW(Income!A$3:A$502)-2),1)),0))</f>
        <v/>
      </c>
      <c r="L149" s="38" t="str">
        <f aca="false">IF(IFERROR(INDEX(Expenses!B$3:B$1002,SMALL(IF((Expenses!E$3:E$1002="GBP")*(Expenses!A$3:A$1002=DATE(2026,7,24)),ROW(Expenses!A$3:A$1002)-2),1)),"")&lt;&gt;"",IFERROR(INDEX(Expenses!B$3:B$1002,SMALL(IF((Expenses!E$3:E$1002="GBP")*(Expenses!A$3:A$1002=DATE(2026,7,24)),ROW(Expenses!A$3:A$1002)-2),1)),""),IF(IFERROR(INDEX(Income!B$3:B$502,SMALL(IF((Income!D$3:D$502="GBP")*(Income!A$3:A$502=DATE(2026,7,24)),ROW(Income!A$3:A$502)-2),1)),"")&lt;&gt;"",IFERROR(INDEX(Income!B$3:B$502,SMALL(IF((Income!D$3:D$502="GBP")*(Income!A$3:A$502=DATE(2026,7,24)),ROW(Income!A$3:A$502)-2),1)),""),""))</f>
        <v/>
      </c>
      <c r="M149" s="62" t="str">
        <f aca="false">IF(IFERROR(-INDEX(Expenses!D$3:D$1002,SMALL(IF((Expenses!E$3:E$1002="GBP")*(Expenses!A$3:A$1002=DATE(2026,7,25)),ROW(Expenses!A$3:A$1002)-2),1)),0)+IFERROR(INDEX(Income!C$3:C$502,SMALL(IF((Income!D$3:D$502="GBP")*(Income!A$3:A$502=DATE(2026,7,25)),ROW(Income!A$3:A$502)-2),1)),0)=0,"",IFERROR(-INDEX(Expenses!D$3:D$1002,SMALL(IF((Expenses!E$3:E$1002="GBP")*(Expenses!A$3:A$1002=DATE(2026,7,25)),ROW(Expenses!A$3:A$1002)-2),1)),0)+IFERROR(INDEX(Income!C$3:C$502,SMALL(IF((Income!D$3:D$502="GBP")*(Income!A$3:A$502=DATE(2026,7,25)),ROW(Income!A$3:A$502)-2),1)),0))</f>
        <v/>
      </c>
      <c r="N149" s="38" t="str">
        <f aca="false">IF(IFERROR(INDEX(Expenses!B$3:B$1002,SMALL(IF((Expenses!E$3:E$1002="GBP")*(Expenses!A$3:A$1002=DATE(2026,7,25)),ROW(Expenses!A$3:A$1002)-2),1)),"")&lt;&gt;"",IFERROR(INDEX(Expenses!B$3:B$1002,SMALL(IF((Expenses!E$3:E$1002="GBP")*(Expenses!A$3:A$1002=DATE(2026,7,25)),ROW(Expenses!A$3:A$1002)-2),1)),""),IF(IFERROR(INDEX(Income!B$3:B$502,SMALL(IF((Income!D$3:D$502="GBP")*(Income!A$3:A$502=DATE(2026,7,25)),ROW(Income!A$3:A$502)-2),1)),"")&lt;&gt;"",IFERROR(INDEX(Income!B$3:B$502,SMALL(IF((Income!D$3:D$502="GBP")*(Income!A$3:A$502=DATE(2026,7,25)),ROW(Income!A$3:A$502)-2),1)),""),""))</f>
        <v/>
      </c>
      <c r="O149" s="62" t="str">
        <f aca="false">IF(IFERROR(-INDEX(Expenses!D$3:D$1002,SMALL(IF((Expenses!E$3:E$1002="GBP")*(Expenses!A$3:A$1002=DATE(2026,7,26)),ROW(Expenses!A$3:A$1002)-2),1)),0)+IFERROR(INDEX(Income!C$3:C$502,SMALL(IF((Income!D$3:D$502="GBP")*(Income!A$3:A$502=DATE(2026,7,26)),ROW(Income!A$3:A$502)-2),1)),0)=0,"",IFERROR(-INDEX(Expenses!D$3:D$1002,SMALL(IF((Expenses!E$3:E$1002="GBP")*(Expenses!A$3:A$1002=DATE(2026,7,26)),ROW(Expenses!A$3:A$1002)-2),1)),0)+IFERROR(INDEX(Income!C$3:C$502,SMALL(IF((Income!D$3:D$502="GBP")*(Income!A$3:A$502=DATE(2026,7,26)),ROW(Income!A$3:A$502)-2),1)),0))</f>
        <v/>
      </c>
      <c r="P149" s="38" t="str">
        <f aca="false">IF(IFERROR(INDEX(Expenses!B$3:B$1002,SMALL(IF((Expenses!E$3:E$1002="GBP")*(Expenses!A$3:A$1002=DATE(2026,7,26)),ROW(Expenses!A$3:A$1002)-2),1)),"")&lt;&gt;"",IFERROR(INDEX(Expenses!B$3:B$1002,SMALL(IF((Expenses!E$3:E$1002="GBP")*(Expenses!A$3:A$1002=DATE(2026,7,26)),ROW(Expenses!A$3:A$1002)-2),1)),""),IF(IFERROR(INDEX(Income!B$3:B$502,SMALL(IF((Income!D$3:D$502="GBP")*(Income!A$3:A$502=DATE(2026,7,26)),ROW(Income!A$3:A$502)-2),1)),"")&lt;&gt;"",IFERROR(INDEX(Income!B$3:B$502,SMALL(IF((Income!D$3:D$502="GBP")*(Income!A$3:A$502=DATE(2026,7,26)),ROW(Income!A$3:A$502)-2),1)),""),""))</f>
        <v/>
      </c>
      <c r="Q149" s="3" t="n">
        <v>30</v>
      </c>
      <c r="R149" s="45" t="n">
        <f aca="false">SUM(C149:C153)+SUM(E149:E153)+SUM(G149:G153)+SUM(I149:I153)+SUM(K149:K153)+SUM(M149:M153)+SUM(O149:O153)</f>
        <v>0</v>
      </c>
    </row>
    <row r="150" customFormat="false" ht="15" hidden="false" customHeight="false" outlineLevel="0" collapsed="false">
      <c r="A150" s="16"/>
      <c r="B150" s="16"/>
      <c r="C150" s="62" t="str">
        <f aca="false">IF(IFERROR(-INDEX(Expenses!D$3:D$1002,SMALL(IF((Expenses!E$3:E$1002="GBP")*(Expenses!A$3:A$1002=DATE(2026,7,20)),ROW(Expenses!A$3:A$1002)-2),2)),0)+IFERROR(INDEX(Income!C$3:C$502,SMALL(IF((Income!D$3:D$502="GBP")*(Income!A$3:A$502=DATE(2026,7,20)),ROW(Income!A$3:A$502)-2),2)),0)=0,"",IFERROR(-INDEX(Expenses!D$3:D$1002,SMALL(IF((Expenses!E$3:E$1002="GBP")*(Expenses!A$3:A$1002=DATE(2026,7,20)),ROW(Expenses!A$3:A$1002)-2),2)),0)+IFERROR(INDEX(Income!C$3:C$502,SMALL(IF((Income!D$3:D$502="GBP")*(Income!A$3:A$502=DATE(2026,7,20)),ROW(Income!A$3:A$502)-2),2)),0))</f>
        <v/>
      </c>
      <c r="D150" s="38" t="str">
        <f aca="false">IF(IFERROR(INDEX(Expenses!B$3:B$1002,SMALL(IF((Expenses!E$3:E$1002="GBP")*(Expenses!A$3:A$1002=DATE(2026,7,20)),ROW(Expenses!A$3:A$1002)-2),2)),"")&lt;&gt;"",IFERROR(INDEX(Expenses!B$3:B$1002,SMALL(IF((Expenses!E$3:E$1002="GBP")*(Expenses!A$3:A$1002=DATE(2026,7,20)),ROW(Expenses!A$3:A$1002)-2),2)),""),IF(IFERROR(INDEX(Income!B$3:B$502,SMALL(IF((Income!D$3:D$502="GBP")*(Income!A$3:A$502=DATE(2026,7,20)),ROW(Income!A$3:A$502)-2),2)),"")&lt;&gt;"",IFERROR(INDEX(Income!B$3:B$502,SMALL(IF((Income!D$3:D$502="GBP")*(Income!A$3:A$502=DATE(2026,7,20)),ROW(Income!A$3:A$502)-2),2)),""),""))</f>
        <v/>
      </c>
      <c r="E150" s="62" t="str">
        <f aca="false">IF(IFERROR(-INDEX(Expenses!D$3:D$1002,SMALL(IF((Expenses!E$3:E$1002="GBP")*(Expenses!A$3:A$1002=DATE(2026,7,21)),ROW(Expenses!A$3:A$1002)-2),2)),0)+IFERROR(INDEX(Income!C$3:C$502,SMALL(IF((Income!D$3:D$502="GBP")*(Income!A$3:A$502=DATE(2026,7,21)),ROW(Income!A$3:A$502)-2),2)),0)=0,"",IFERROR(-INDEX(Expenses!D$3:D$1002,SMALL(IF((Expenses!E$3:E$1002="GBP")*(Expenses!A$3:A$1002=DATE(2026,7,21)),ROW(Expenses!A$3:A$1002)-2),2)),0)+IFERROR(INDEX(Income!C$3:C$502,SMALL(IF((Income!D$3:D$502="GBP")*(Income!A$3:A$502=DATE(2026,7,21)),ROW(Income!A$3:A$502)-2),2)),0))</f>
        <v/>
      </c>
      <c r="F150" s="38" t="str">
        <f aca="false">IF(IFERROR(INDEX(Expenses!B$3:B$1002,SMALL(IF((Expenses!E$3:E$1002="GBP")*(Expenses!A$3:A$1002=DATE(2026,7,21)),ROW(Expenses!A$3:A$1002)-2),2)),"")&lt;&gt;"",IFERROR(INDEX(Expenses!B$3:B$1002,SMALL(IF((Expenses!E$3:E$1002="GBP")*(Expenses!A$3:A$1002=DATE(2026,7,21)),ROW(Expenses!A$3:A$1002)-2),2)),""),IF(IFERROR(INDEX(Income!B$3:B$502,SMALL(IF((Income!D$3:D$502="GBP")*(Income!A$3:A$502=DATE(2026,7,21)),ROW(Income!A$3:A$502)-2),2)),"")&lt;&gt;"",IFERROR(INDEX(Income!B$3:B$502,SMALL(IF((Income!D$3:D$502="GBP")*(Income!A$3:A$502=DATE(2026,7,21)),ROW(Income!A$3:A$502)-2),2)),""),""))</f>
        <v/>
      </c>
      <c r="G150" s="62" t="str">
        <f aca="false">IF(IFERROR(-INDEX(Expenses!D$3:D$1002,SMALL(IF((Expenses!E$3:E$1002="GBP")*(Expenses!A$3:A$1002=DATE(2026,7,22)),ROW(Expenses!A$3:A$1002)-2),2)),0)+IFERROR(INDEX(Income!C$3:C$502,SMALL(IF((Income!D$3:D$502="GBP")*(Income!A$3:A$502=DATE(2026,7,22)),ROW(Income!A$3:A$502)-2),2)),0)=0,"",IFERROR(-INDEX(Expenses!D$3:D$1002,SMALL(IF((Expenses!E$3:E$1002="GBP")*(Expenses!A$3:A$1002=DATE(2026,7,22)),ROW(Expenses!A$3:A$1002)-2),2)),0)+IFERROR(INDEX(Income!C$3:C$502,SMALL(IF((Income!D$3:D$502="GBP")*(Income!A$3:A$502=DATE(2026,7,22)),ROW(Income!A$3:A$502)-2),2)),0))</f>
        <v/>
      </c>
      <c r="H150" s="38" t="str">
        <f aca="false">IF(IFERROR(INDEX(Expenses!B$3:B$1002,SMALL(IF((Expenses!E$3:E$1002="GBP")*(Expenses!A$3:A$1002=DATE(2026,7,22)),ROW(Expenses!A$3:A$1002)-2),2)),"")&lt;&gt;"",IFERROR(INDEX(Expenses!B$3:B$1002,SMALL(IF((Expenses!E$3:E$1002="GBP")*(Expenses!A$3:A$1002=DATE(2026,7,22)),ROW(Expenses!A$3:A$1002)-2),2)),""),IF(IFERROR(INDEX(Income!B$3:B$502,SMALL(IF((Income!D$3:D$502="GBP")*(Income!A$3:A$502=DATE(2026,7,22)),ROW(Income!A$3:A$502)-2),2)),"")&lt;&gt;"",IFERROR(INDEX(Income!B$3:B$502,SMALL(IF((Income!D$3:D$502="GBP")*(Income!A$3:A$502=DATE(2026,7,22)),ROW(Income!A$3:A$502)-2),2)),""),""))</f>
        <v/>
      </c>
      <c r="I150" s="62" t="str">
        <f aca="false">IF(IFERROR(-INDEX(Expenses!D$3:D$1002,SMALL(IF((Expenses!E$3:E$1002="GBP")*(Expenses!A$3:A$1002=DATE(2026,7,23)),ROW(Expenses!A$3:A$1002)-2),2)),0)+IFERROR(INDEX(Income!C$3:C$502,SMALL(IF((Income!D$3:D$502="GBP")*(Income!A$3:A$502=DATE(2026,7,23)),ROW(Income!A$3:A$502)-2),2)),0)=0,"",IFERROR(-INDEX(Expenses!D$3:D$1002,SMALL(IF((Expenses!E$3:E$1002="GBP")*(Expenses!A$3:A$1002=DATE(2026,7,23)),ROW(Expenses!A$3:A$1002)-2),2)),0)+IFERROR(INDEX(Income!C$3:C$502,SMALL(IF((Income!D$3:D$502="GBP")*(Income!A$3:A$502=DATE(2026,7,23)),ROW(Income!A$3:A$502)-2),2)),0))</f>
        <v/>
      </c>
      <c r="J150" s="38" t="str">
        <f aca="false">IF(IFERROR(INDEX(Expenses!B$3:B$1002,SMALL(IF((Expenses!E$3:E$1002="GBP")*(Expenses!A$3:A$1002=DATE(2026,7,23)),ROW(Expenses!A$3:A$1002)-2),2)),"")&lt;&gt;"",IFERROR(INDEX(Expenses!B$3:B$1002,SMALL(IF((Expenses!E$3:E$1002="GBP")*(Expenses!A$3:A$1002=DATE(2026,7,23)),ROW(Expenses!A$3:A$1002)-2),2)),""),IF(IFERROR(INDEX(Income!B$3:B$502,SMALL(IF((Income!D$3:D$502="GBP")*(Income!A$3:A$502=DATE(2026,7,23)),ROW(Income!A$3:A$502)-2),2)),"")&lt;&gt;"",IFERROR(INDEX(Income!B$3:B$502,SMALL(IF((Income!D$3:D$502="GBP")*(Income!A$3:A$502=DATE(2026,7,23)),ROW(Income!A$3:A$502)-2),2)),""),""))</f>
        <v/>
      </c>
      <c r="K150" s="62" t="str">
        <f aca="false">IF(IFERROR(-INDEX(Expenses!D$3:D$1002,SMALL(IF((Expenses!E$3:E$1002="GBP")*(Expenses!A$3:A$1002=DATE(2026,7,24)),ROW(Expenses!A$3:A$1002)-2),2)),0)+IFERROR(INDEX(Income!C$3:C$502,SMALL(IF((Income!D$3:D$502="GBP")*(Income!A$3:A$502=DATE(2026,7,24)),ROW(Income!A$3:A$502)-2),2)),0)=0,"",IFERROR(-INDEX(Expenses!D$3:D$1002,SMALL(IF((Expenses!E$3:E$1002="GBP")*(Expenses!A$3:A$1002=DATE(2026,7,24)),ROW(Expenses!A$3:A$1002)-2),2)),0)+IFERROR(INDEX(Income!C$3:C$502,SMALL(IF((Income!D$3:D$502="GBP")*(Income!A$3:A$502=DATE(2026,7,24)),ROW(Income!A$3:A$502)-2),2)),0))</f>
        <v/>
      </c>
      <c r="L150" s="38" t="str">
        <f aca="false">IF(IFERROR(INDEX(Expenses!B$3:B$1002,SMALL(IF((Expenses!E$3:E$1002="GBP")*(Expenses!A$3:A$1002=DATE(2026,7,24)),ROW(Expenses!A$3:A$1002)-2),2)),"")&lt;&gt;"",IFERROR(INDEX(Expenses!B$3:B$1002,SMALL(IF((Expenses!E$3:E$1002="GBP")*(Expenses!A$3:A$1002=DATE(2026,7,24)),ROW(Expenses!A$3:A$1002)-2),2)),""),IF(IFERROR(INDEX(Income!B$3:B$502,SMALL(IF((Income!D$3:D$502="GBP")*(Income!A$3:A$502=DATE(2026,7,24)),ROW(Income!A$3:A$502)-2),2)),"")&lt;&gt;"",IFERROR(INDEX(Income!B$3:B$502,SMALL(IF((Income!D$3:D$502="GBP")*(Income!A$3:A$502=DATE(2026,7,24)),ROW(Income!A$3:A$502)-2),2)),""),""))</f>
        <v/>
      </c>
      <c r="M150" s="62" t="str">
        <f aca="false">IF(IFERROR(-INDEX(Expenses!D$3:D$1002,SMALL(IF((Expenses!E$3:E$1002="GBP")*(Expenses!A$3:A$1002=DATE(2026,7,25)),ROW(Expenses!A$3:A$1002)-2),2)),0)+IFERROR(INDEX(Income!C$3:C$502,SMALL(IF((Income!D$3:D$502="GBP")*(Income!A$3:A$502=DATE(2026,7,25)),ROW(Income!A$3:A$502)-2),2)),0)=0,"",IFERROR(-INDEX(Expenses!D$3:D$1002,SMALL(IF((Expenses!E$3:E$1002="GBP")*(Expenses!A$3:A$1002=DATE(2026,7,25)),ROW(Expenses!A$3:A$1002)-2),2)),0)+IFERROR(INDEX(Income!C$3:C$502,SMALL(IF((Income!D$3:D$502="GBP")*(Income!A$3:A$502=DATE(2026,7,25)),ROW(Income!A$3:A$502)-2),2)),0))</f>
        <v/>
      </c>
      <c r="N150" s="38" t="str">
        <f aca="false">IF(IFERROR(INDEX(Expenses!B$3:B$1002,SMALL(IF((Expenses!E$3:E$1002="GBP")*(Expenses!A$3:A$1002=DATE(2026,7,25)),ROW(Expenses!A$3:A$1002)-2),2)),"")&lt;&gt;"",IFERROR(INDEX(Expenses!B$3:B$1002,SMALL(IF((Expenses!E$3:E$1002="GBP")*(Expenses!A$3:A$1002=DATE(2026,7,25)),ROW(Expenses!A$3:A$1002)-2),2)),""),IF(IFERROR(INDEX(Income!B$3:B$502,SMALL(IF((Income!D$3:D$502="GBP")*(Income!A$3:A$502=DATE(2026,7,25)),ROW(Income!A$3:A$502)-2),2)),"")&lt;&gt;"",IFERROR(INDEX(Income!B$3:B$502,SMALL(IF((Income!D$3:D$502="GBP")*(Income!A$3:A$502=DATE(2026,7,25)),ROW(Income!A$3:A$502)-2),2)),""),""))</f>
        <v/>
      </c>
      <c r="O150" s="62" t="str">
        <f aca="false">IF(IFERROR(-INDEX(Expenses!D$3:D$1002,SMALL(IF((Expenses!E$3:E$1002="GBP")*(Expenses!A$3:A$1002=DATE(2026,7,26)),ROW(Expenses!A$3:A$1002)-2),2)),0)+IFERROR(INDEX(Income!C$3:C$502,SMALL(IF((Income!D$3:D$502="GBP")*(Income!A$3:A$502=DATE(2026,7,26)),ROW(Income!A$3:A$502)-2),2)),0)=0,"",IFERROR(-INDEX(Expenses!D$3:D$1002,SMALL(IF((Expenses!E$3:E$1002="GBP")*(Expenses!A$3:A$1002=DATE(2026,7,26)),ROW(Expenses!A$3:A$1002)-2),2)),0)+IFERROR(INDEX(Income!C$3:C$502,SMALL(IF((Income!D$3:D$502="GBP")*(Income!A$3:A$502=DATE(2026,7,26)),ROW(Income!A$3:A$502)-2),2)),0))</f>
        <v/>
      </c>
      <c r="P150" s="38" t="str">
        <f aca="false">IF(IFERROR(INDEX(Expenses!B$3:B$1002,SMALL(IF((Expenses!E$3:E$1002="GBP")*(Expenses!A$3:A$1002=DATE(2026,7,26)),ROW(Expenses!A$3:A$1002)-2),2)),"")&lt;&gt;"",IFERROR(INDEX(Expenses!B$3:B$1002,SMALL(IF((Expenses!E$3:E$1002="GBP")*(Expenses!A$3:A$1002=DATE(2026,7,26)),ROW(Expenses!A$3:A$1002)-2),2)),""),IF(IFERROR(INDEX(Income!B$3:B$502,SMALL(IF((Income!D$3:D$502="GBP")*(Income!A$3:A$502=DATE(2026,7,26)),ROW(Income!A$3:A$502)-2),2)),"")&lt;&gt;"",IFERROR(INDEX(Income!B$3:B$502,SMALL(IF((Income!D$3:D$502="GBP")*(Income!A$3:A$502=DATE(2026,7,26)),ROW(Income!A$3:A$502)-2),2)),""),""))</f>
        <v/>
      </c>
      <c r="Q150" s="16"/>
      <c r="R150" s="16"/>
    </row>
    <row r="151" customFormat="false" ht="15" hidden="false" customHeight="false" outlineLevel="0" collapsed="false">
      <c r="A151" s="16"/>
      <c r="B151" s="16"/>
      <c r="C151" s="62" t="str">
        <f aca="false">IF(IFERROR(-INDEX(Expenses!D$3:D$1002,SMALL(IF((Expenses!E$3:E$1002="GBP")*(Expenses!A$3:A$1002=DATE(2026,7,20)),ROW(Expenses!A$3:A$1002)-2),3)),0)+IFERROR(INDEX(Income!C$3:C$502,SMALL(IF((Income!D$3:D$502="GBP")*(Income!A$3:A$502=DATE(2026,7,20)),ROW(Income!A$3:A$502)-2),3)),0)=0,"",IFERROR(-INDEX(Expenses!D$3:D$1002,SMALL(IF((Expenses!E$3:E$1002="GBP")*(Expenses!A$3:A$1002=DATE(2026,7,20)),ROW(Expenses!A$3:A$1002)-2),3)),0)+IFERROR(INDEX(Income!C$3:C$502,SMALL(IF((Income!D$3:D$502="GBP")*(Income!A$3:A$502=DATE(2026,7,20)),ROW(Income!A$3:A$502)-2),3)),0))</f>
        <v/>
      </c>
      <c r="D151" s="38" t="str">
        <f aca="false">IF(IFERROR(INDEX(Expenses!B$3:B$1002,SMALL(IF((Expenses!E$3:E$1002="GBP")*(Expenses!A$3:A$1002=DATE(2026,7,20)),ROW(Expenses!A$3:A$1002)-2),3)),"")&lt;&gt;"",IFERROR(INDEX(Expenses!B$3:B$1002,SMALL(IF((Expenses!E$3:E$1002="GBP")*(Expenses!A$3:A$1002=DATE(2026,7,20)),ROW(Expenses!A$3:A$1002)-2),3)),""),IF(IFERROR(INDEX(Income!B$3:B$502,SMALL(IF((Income!D$3:D$502="GBP")*(Income!A$3:A$502=DATE(2026,7,20)),ROW(Income!A$3:A$502)-2),3)),"")&lt;&gt;"",IFERROR(INDEX(Income!B$3:B$502,SMALL(IF((Income!D$3:D$502="GBP")*(Income!A$3:A$502=DATE(2026,7,20)),ROW(Income!A$3:A$502)-2),3)),""),""))</f>
        <v/>
      </c>
      <c r="E151" s="62" t="str">
        <f aca="false">IF(IFERROR(-INDEX(Expenses!D$3:D$1002,SMALL(IF((Expenses!E$3:E$1002="GBP")*(Expenses!A$3:A$1002=DATE(2026,7,21)),ROW(Expenses!A$3:A$1002)-2),3)),0)+IFERROR(INDEX(Income!C$3:C$502,SMALL(IF((Income!D$3:D$502="GBP")*(Income!A$3:A$502=DATE(2026,7,21)),ROW(Income!A$3:A$502)-2),3)),0)=0,"",IFERROR(-INDEX(Expenses!D$3:D$1002,SMALL(IF((Expenses!E$3:E$1002="GBP")*(Expenses!A$3:A$1002=DATE(2026,7,21)),ROW(Expenses!A$3:A$1002)-2),3)),0)+IFERROR(INDEX(Income!C$3:C$502,SMALL(IF((Income!D$3:D$502="GBP")*(Income!A$3:A$502=DATE(2026,7,21)),ROW(Income!A$3:A$502)-2),3)),0))</f>
        <v/>
      </c>
      <c r="F151" s="38" t="str">
        <f aca="false">IF(IFERROR(INDEX(Expenses!B$3:B$1002,SMALL(IF((Expenses!E$3:E$1002="GBP")*(Expenses!A$3:A$1002=DATE(2026,7,21)),ROW(Expenses!A$3:A$1002)-2),3)),"")&lt;&gt;"",IFERROR(INDEX(Expenses!B$3:B$1002,SMALL(IF((Expenses!E$3:E$1002="GBP")*(Expenses!A$3:A$1002=DATE(2026,7,21)),ROW(Expenses!A$3:A$1002)-2),3)),""),IF(IFERROR(INDEX(Income!B$3:B$502,SMALL(IF((Income!D$3:D$502="GBP")*(Income!A$3:A$502=DATE(2026,7,21)),ROW(Income!A$3:A$502)-2),3)),"")&lt;&gt;"",IFERROR(INDEX(Income!B$3:B$502,SMALL(IF((Income!D$3:D$502="GBP")*(Income!A$3:A$502=DATE(2026,7,21)),ROW(Income!A$3:A$502)-2),3)),""),""))</f>
        <v/>
      </c>
      <c r="G151" s="62" t="str">
        <f aca="false">IF(IFERROR(-INDEX(Expenses!D$3:D$1002,SMALL(IF((Expenses!E$3:E$1002="GBP")*(Expenses!A$3:A$1002=DATE(2026,7,22)),ROW(Expenses!A$3:A$1002)-2),3)),0)+IFERROR(INDEX(Income!C$3:C$502,SMALL(IF((Income!D$3:D$502="GBP")*(Income!A$3:A$502=DATE(2026,7,22)),ROW(Income!A$3:A$502)-2),3)),0)=0,"",IFERROR(-INDEX(Expenses!D$3:D$1002,SMALL(IF((Expenses!E$3:E$1002="GBP")*(Expenses!A$3:A$1002=DATE(2026,7,22)),ROW(Expenses!A$3:A$1002)-2),3)),0)+IFERROR(INDEX(Income!C$3:C$502,SMALL(IF((Income!D$3:D$502="GBP")*(Income!A$3:A$502=DATE(2026,7,22)),ROW(Income!A$3:A$502)-2),3)),0))</f>
        <v/>
      </c>
      <c r="H151" s="38" t="str">
        <f aca="false">IF(IFERROR(INDEX(Expenses!B$3:B$1002,SMALL(IF((Expenses!E$3:E$1002="GBP")*(Expenses!A$3:A$1002=DATE(2026,7,22)),ROW(Expenses!A$3:A$1002)-2),3)),"")&lt;&gt;"",IFERROR(INDEX(Expenses!B$3:B$1002,SMALL(IF((Expenses!E$3:E$1002="GBP")*(Expenses!A$3:A$1002=DATE(2026,7,22)),ROW(Expenses!A$3:A$1002)-2),3)),""),IF(IFERROR(INDEX(Income!B$3:B$502,SMALL(IF((Income!D$3:D$502="GBP")*(Income!A$3:A$502=DATE(2026,7,22)),ROW(Income!A$3:A$502)-2),3)),"")&lt;&gt;"",IFERROR(INDEX(Income!B$3:B$502,SMALL(IF((Income!D$3:D$502="GBP")*(Income!A$3:A$502=DATE(2026,7,22)),ROW(Income!A$3:A$502)-2),3)),""),""))</f>
        <v/>
      </c>
      <c r="I151" s="62" t="str">
        <f aca="false">IF(IFERROR(-INDEX(Expenses!D$3:D$1002,SMALL(IF((Expenses!E$3:E$1002="GBP")*(Expenses!A$3:A$1002=DATE(2026,7,23)),ROW(Expenses!A$3:A$1002)-2),3)),0)+IFERROR(INDEX(Income!C$3:C$502,SMALL(IF((Income!D$3:D$502="GBP")*(Income!A$3:A$502=DATE(2026,7,23)),ROW(Income!A$3:A$502)-2),3)),0)=0,"",IFERROR(-INDEX(Expenses!D$3:D$1002,SMALL(IF((Expenses!E$3:E$1002="GBP")*(Expenses!A$3:A$1002=DATE(2026,7,23)),ROW(Expenses!A$3:A$1002)-2),3)),0)+IFERROR(INDEX(Income!C$3:C$502,SMALL(IF((Income!D$3:D$502="GBP")*(Income!A$3:A$502=DATE(2026,7,23)),ROW(Income!A$3:A$502)-2),3)),0))</f>
        <v/>
      </c>
      <c r="J151" s="38" t="str">
        <f aca="false">IF(IFERROR(INDEX(Expenses!B$3:B$1002,SMALL(IF((Expenses!E$3:E$1002="GBP")*(Expenses!A$3:A$1002=DATE(2026,7,23)),ROW(Expenses!A$3:A$1002)-2),3)),"")&lt;&gt;"",IFERROR(INDEX(Expenses!B$3:B$1002,SMALL(IF((Expenses!E$3:E$1002="GBP")*(Expenses!A$3:A$1002=DATE(2026,7,23)),ROW(Expenses!A$3:A$1002)-2),3)),""),IF(IFERROR(INDEX(Income!B$3:B$502,SMALL(IF((Income!D$3:D$502="GBP")*(Income!A$3:A$502=DATE(2026,7,23)),ROW(Income!A$3:A$502)-2),3)),"")&lt;&gt;"",IFERROR(INDEX(Income!B$3:B$502,SMALL(IF((Income!D$3:D$502="GBP")*(Income!A$3:A$502=DATE(2026,7,23)),ROW(Income!A$3:A$502)-2),3)),""),""))</f>
        <v/>
      </c>
      <c r="K151" s="62" t="str">
        <f aca="false">IF(IFERROR(-INDEX(Expenses!D$3:D$1002,SMALL(IF((Expenses!E$3:E$1002="GBP")*(Expenses!A$3:A$1002=DATE(2026,7,24)),ROW(Expenses!A$3:A$1002)-2),3)),0)+IFERROR(INDEX(Income!C$3:C$502,SMALL(IF((Income!D$3:D$502="GBP")*(Income!A$3:A$502=DATE(2026,7,24)),ROW(Income!A$3:A$502)-2),3)),0)=0,"",IFERROR(-INDEX(Expenses!D$3:D$1002,SMALL(IF((Expenses!E$3:E$1002="GBP")*(Expenses!A$3:A$1002=DATE(2026,7,24)),ROW(Expenses!A$3:A$1002)-2),3)),0)+IFERROR(INDEX(Income!C$3:C$502,SMALL(IF((Income!D$3:D$502="GBP")*(Income!A$3:A$502=DATE(2026,7,24)),ROW(Income!A$3:A$502)-2),3)),0))</f>
        <v/>
      </c>
      <c r="L151" s="38" t="str">
        <f aca="false">IF(IFERROR(INDEX(Expenses!B$3:B$1002,SMALL(IF((Expenses!E$3:E$1002="GBP")*(Expenses!A$3:A$1002=DATE(2026,7,24)),ROW(Expenses!A$3:A$1002)-2),3)),"")&lt;&gt;"",IFERROR(INDEX(Expenses!B$3:B$1002,SMALL(IF((Expenses!E$3:E$1002="GBP")*(Expenses!A$3:A$1002=DATE(2026,7,24)),ROW(Expenses!A$3:A$1002)-2),3)),""),IF(IFERROR(INDEX(Income!B$3:B$502,SMALL(IF((Income!D$3:D$502="GBP")*(Income!A$3:A$502=DATE(2026,7,24)),ROW(Income!A$3:A$502)-2),3)),"")&lt;&gt;"",IFERROR(INDEX(Income!B$3:B$502,SMALL(IF((Income!D$3:D$502="GBP")*(Income!A$3:A$502=DATE(2026,7,24)),ROW(Income!A$3:A$502)-2),3)),""),""))</f>
        <v/>
      </c>
      <c r="M151" s="62" t="str">
        <f aca="false">IF(IFERROR(-INDEX(Expenses!D$3:D$1002,SMALL(IF((Expenses!E$3:E$1002="GBP")*(Expenses!A$3:A$1002=DATE(2026,7,25)),ROW(Expenses!A$3:A$1002)-2),3)),0)+IFERROR(INDEX(Income!C$3:C$502,SMALL(IF((Income!D$3:D$502="GBP")*(Income!A$3:A$502=DATE(2026,7,25)),ROW(Income!A$3:A$502)-2),3)),0)=0,"",IFERROR(-INDEX(Expenses!D$3:D$1002,SMALL(IF((Expenses!E$3:E$1002="GBP")*(Expenses!A$3:A$1002=DATE(2026,7,25)),ROW(Expenses!A$3:A$1002)-2),3)),0)+IFERROR(INDEX(Income!C$3:C$502,SMALL(IF((Income!D$3:D$502="GBP")*(Income!A$3:A$502=DATE(2026,7,25)),ROW(Income!A$3:A$502)-2),3)),0))</f>
        <v/>
      </c>
      <c r="N151" s="38" t="str">
        <f aca="false">IF(IFERROR(INDEX(Expenses!B$3:B$1002,SMALL(IF((Expenses!E$3:E$1002="GBP")*(Expenses!A$3:A$1002=DATE(2026,7,25)),ROW(Expenses!A$3:A$1002)-2),3)),"")&lt;&gt;"",IFERROR(INDEX(Expenses!B$3:B$1002,SMALL(IF((Expenses!E$3:E$1002="GBP")*(Expenses!A$3:A$1002=DATE(2026,7,25)),ROW(Expenses!A$3:A$1002)-2),3)),""),IF(IFERROR(INDEX(Income!B$3:B$502,SMALL(IF((Income!D$3:D$502="GBP")*(Income!A$3:A$502=DATE(2026,7,25)),ROW(Income!A$3:A$502)-2),3)),"")&lt;&gt;"",IFERROR(INDEX(Income!B$3:B$502,SMALL(IF((Income!D$3:D$502="GBP")*(Income!A$3:A$502=DATE(2026,7,25)),ROW(Income!A$3:A$502)-2),3)),""),""))</f>
        <v/>
      </c>
      <c r="O151" s="62" t="str">
        <f aca="false">IF(IFERROR(-INDEX(Expenses!D$3:D$1002,SMALL(IF((Expenses!E$3:E$1002="GBP")*(Expenses!A$3:A$1002=DATE(2026,7,26)),ROW(Expenses!A$3:A$1002)-2),3)),0)+IFERROR(INDEX(Income!C$3:C$502,SMALL(IF((Income!D$3:D$502="GBP")*(Income!A$3:A$502=DATE(2026,7,26)),ROW(Income!A$3:A$502)-2),3)),0)=0,"",IFERROR(-INDEX(Expenses!D$3:D$1002,SMALL(IF((Expenses!E$3:E$1002="GBP")*(Expenses!A$3:A$1002=DATE(2026,7,26)),ROW(Expenses!A$3:A$1002)-2),3)),0)+IFERROR(INDEX(Income!C$3:C$502,SMALL(IF((Income!D$3:D$502="GBP")*(Income!A$3:A$502=DATE(2026,7,26)),ROW(Income!A$3:A$502)-2),3)),0))</f>
        <v/>
      </c>
      <c r="P151" s="38" t="str">
        <f aca="false">IF(IFERROR(INDEX(Expenses!B$3:B$1002,SMALL(IF((Expenses!E$3:E$1002="GBP")*(Expenses!A$3:A$1002=DATE(2026,7,26)),ROW(Expenses!A$3:A$1002)-2),3)),"")&lt;&gt;"",IFERROR(INDEX(Expenses!B$3:B$1002,SMALL(IF((Expenses!E$3:E$1002="GBP")*(Expenses!A$3:A$1002=DATE(2026,7,26)),ROW(Expenses!A$3:A$1002)-2),3)),""),IF(IFERROR(INDEX(Income!B$3:B$502,SMALL(IF((Income!D$3:D$502="GBP")*(Income!A$3:A$502=DATE(2026,7,26)),ROW(Income!A$3:A$502)-2),3)),"")&lt;&gt;"",IFERROR(INDEX(Income!B$3:B$502,SMALL(IF((Income!D$3:D$502="GBP")*(Income!A$3:A$502=DATE(2026,7,26)),ROW(Income!A$3:A$502)-2),3)),""),""))</f>
        <v/>
      </c>
      <c r="Q151" s="16"/>
      <c r="R151" s="16"/>
    </row>
    <row r="152" customFormat="false" ht="15" hidden="false" customHeight="false" outlineLevel="0" collapsed="false">
      <c r="A152" s="16"/>
      <c r="B152" s="16"/>
      <c r="C152" s="62" t="str">
        <f aca="false">IF(IFERROR(-INDEX(Expenses!D$3:D$1002,SMALL(IF((Expenses!E$3:E$1002="GBP")*(Expenses!A$3:A$1002=DATE(2026,7,20)),ROW(Expenses!A$3:A$1002)-2),4)),0)+IFERROR(INDEX(Income!C$3:C$502,SMALL(IF((Income!D$3:D$502="GBP")*(Income!A$3:A$502=DATE(2026,7,20)),ROW(Income!A$3:A$502)-2),4)),0)=0,"",IFERROR(-INDEX(Expenses!D$3:D$1002,SMALL(IF((Expenses!E$3:E$1002="GBP")*(Expenses!A$3:A$1002=DATE(2026,7,20)),ROW(Expenses!A$3:A$1002)-2),4)),0)+IFERROR(INDEX(Income!C$3:C$502,SMALL(IF((Income!D$3:D$502="GBP")*(Income!A$3:A$502=DATE(2026,7,20)),ROW(Income!A$3:A$502)-2),4)),0))</f>
        <v/>
      </c>
      <c r="D152" s="38" t="str">
        <f aca="false">IF(IFERROR(INDEX(Expenses!B$3:B$1002,SMALL(IF((Expenses!E$3:E$1002="GBP")*(Expenses!A$3:A$1002=DATE(2026,7,20)),ROW(Expenses!A$3:A$1002)-2),4)),"")&lt;&gt;"",IFERROR(INDEX(Expenses!B$3:B$1002,SMALL(IF((Expenses!E$3:E$1002="GBP")*(Expenses!A$3:A$1002=DATE(2026,7,20)),ROW(Expenses!A$3:A$1002)-2),4)),""),IF(IFERROR(INDEX(Income!B$3:B$502,SMALL(IF((Income!D$3:D$502="GBP")*(Income!A$3:A$502=DATE(2026,7,20)),ROW(Income!A$3:A$502)-2),4)),"")&lt;&gt;"",IFERROR(INDEX(Income!B$3:B$502,SMALL(IF((Income!D$3:D$502="GBP")*(Income!A$3:A$502=DATE(2026,7,20)),ROW(Income!A$3:A$502)-2),4)),""),""))</f>
        <v/>
      </c>
      <c r="E152" s="62" t="str">
        <f aca="false">IF(IFERROR(-INDEX(Expenses!D$3:D$1002,SMALL(IF((Expenses!E$3:E$1002="GBP")*(Expenses!A$3:A$1002=DATE(2026,7,21)),ROW(Expenses!A$3:A$1002)-2),4)),0)+IFERROR(INDEX(Income!C$3:C$502,SMALL(IF((Income!D$3:D$502="GBP")*(Income!A$3:A$502=DATE(2026,7,21)),ROW(Income!A$3:A$502)-2),4)),0)=0,"",IFERROR(-INDEX(Expenses!D$3:D$1002,SMALL(IF((Expenses!E$3:E$1002="GBP")*(Expenses!A$3:A$1002=DATE(2026,7,21)),ROW(Expenses!A$3:A$1002)-2),4)),0)+IFERROR(INDEX(Income!C$3:C$502,SMALL(IF((Income!D$3:D$502="GBP")*(Income!A$3:A$502=DATE(2026,7,21)),ROW(Income!A$3:A$502)-2),4)),0))</f>
        <v/>
      </c>
      <c r="F152" s="38" t="str">
        <f aca="false">IF(IFERROR(INDEX(Expenses!B$3:B$1002,SMALL(IF((Expenses!E$3:E$1002="GBP")*(Expenses!A$3:A$1002=DATE(2026,7,21)),ROW(Expenses!A$3:A$1002)-2),4)),"")&lt;&gt;"",IFERROR(INDEX(Expenses!B$3:B$1002,SMALL(IF((Expenses!E$3:E$1002="GBP")*(Expenses!A$3:A$1002=DATE(2026,7,21)),ROW(Expenses!A$3:A$1002)-2),4)),""),IF(IFERROR(INDEX(Income!B$3:B$502,SMALL(IF((Income!D$3:D$502="GBP")*(Income!A$3:A$502=DATE(2026,7,21)),ROW(Income!A$3:A$502)-2),4)),"")&lt;&gt;"",IFERROR(INDEX(Income!B$3:B$502,SMALL(IF((Income!D$3:D$502="GBP")*(Income!A$3:A$502=DATE(2026,7,21)),ROW(Income!A$3:A$502)-2),4)),""),""))</f>
        <v/>
      </c>
      <c r="G152" s="62" t="str">
        <f aca="false">IF(IFERROR(-INDEX(Expenses!D$3:D$1002,SMALL(IF((Expenses!E$3:E$1002="GBP")*(Expenses!A$3:A$1002=DATE(2026,7,22)),ROW(Expenses!A$3:A$1002)-2),4)),0)+IFERROR(INDEX(Income!C$3:C$502,SMALL(IF((Income!D$3:D$502="GBP")*(Income!A$3:A$502=DATE(2026,7,22)),ROW(Income!A$3:A$502)-2),4)),0)=0,"",IFERROR(-INDEX(Expenses!D$3:D$1002,SMALL(IF((Expenses!E$3:E$1002="GBP")*(Expenses!A$3:A$1002=DATE(2026,7,22)),ROW(Expenses!A$3:A$1002)-2),4)),0)+IFERROR(INDEX(Income!C$3:C$502,SMALL(IF((Income!D$3:D$502="GBP")*(Income!A$3:A$502=DATE(2026,7,22)),ROW(Income!A$3:A$502)-2),4)),0))</f>
        <v/>
      </c>
      <c r="H152" s="38" t="str">
        <f aca="false">IF(IFERROR(INDEX(Expenses!B$3:B$1002,SMALL(IF((Expenses!E$3:E$1002="GBP")*(Expenses!A$3:A$1002=DATE(2026,7,22)),ROW(Expenses!A$3:A$1002)-2),4)),"")&lt;&gt;"",IFERROR(INDEX(Expenses!B$3:B$1002,SMALL(IF((Expenses!E$3:E$1002="GBP")*(Expenses!A$3:A$1002=DATE(2026,7,22)),ROW(Expenses!A$3:A$1002)-2),4)),""),IF(IFERROR(INDEX(Income!B$3:B$502,SMALL(IF((Income!D$3:D$502="GBP")*(Income!A$3:A$502=DATE(2026,7,22)),ROW(Income!A$3:A$502)-2),4)),"")&lt;&gt;"",IFERROR(INDEX(Income!B$3:B$502,SMALL(IF((Income!D$3:D$502="GBP")*(Income!A$3:A$502=DATE(2026,7,22)),ROW(Income!A$3:A$502)-2),4)),""),""))</f>
        <v/>
      </c>
      <c r="I152" s="62" t="str">
        <f aca="false">IF(IFERROR(-INDEX(Expenses!D$3:D$1002,SMALL(IF((Expenses!E$3:E$1002="GBP")*(Expenses!A$3:A$1002=DATE(2026,7,23)),ROW(Expenses!A$3:A$1002)-2),4)),0)+IFERROR(INDEX(Income!C$3:C$502,SMALL(IF((Income!D$3:D$502="GBP")*(Income!A$3:A$502=DATE(2026,7,23)),ROW(Income!A$3:A$502)-2),4)),0)=0,"",IFERROR(-INDEX(Expenses!D$3:D$1002,SMALL(IF((Expenses!E$3:E$1002="GBP")*(Expenses!A$3:A$1002=DATE(2026,7,23)),ROW(Expenses!A$3:A$1002)-2),4)),0)+IFERROR(INDEX(Income!C$3:C$502,SMALL(IF((Income!D$3:D$502="GBP")*(Income!A$3:A$502=DATE(2026,7,23)),ROW(Income!A$3:A$502)-2),4)),0))</f>
        <v/>
      </c>
      <c r="J152" s="38" t="str">
        <f aca="false">IF(IFERROR(INDEX(Expenses!B$3:B$1002,SMALL(IF((Expenses!E$3:E$1002="GBP")*(Expenses!A$3:A$1002=DATE(2026,7,23)),ROW(Expenses!A$3:A$1002)-2),4)),"")&lt;&gt;"",IFERROR(INDEX(Expenses!B$3:B$1002,SMALL(IF((Expenses!E$3:E$1002="GBP")*(Expenses!A$3:A$1002=DATE(2026,7,23)),ROW(Expenses!A$3:A$1002)-2),4)),""),IF(IFERROR(INDEX(Income!B$3:B$502,SMALL(IF((Income!D$3:D$502="GBP")*(Income!A$3:A$502=DATE(2026,7,23)),ROW(Income!A$3:A$502)-2),4)),"")&lt;&gt;"",IFERROR(INDEX(Income!B$3:B$502,SMALL(IF((Income!D$3:D$502="GBP")*(Income!A$3:A$502=DATE(2026,7,23)),ROW(Income!A$3:A$502)-2),4)),""),""))</f>
        <v/>
      </c>
      <c r="K152" s="62" t="str">
        <f aca="false">IF(IFERROR(-INDEX(Expenses!D$3:D$1002,SMALL(IF((Expenses!E$3:E$1002="GBP")*(Expenses!A$3:A$1002=DATE(2026,7,24)),ROW(Expenses!A$3:A$1002)-2),4)),0)+IFERROR(INDEX(Income!C$3:C$502,SMALL(IF((Income!D$3:D$502="GBP")*(Income!A$3:A$502=DATE(2026,7,24)),ROW(Income!A$3:A$502)-2),4)),0)=0,"",IFERROR(-INDEX(Expenses!D$3:D$1002,SMALL(IF((Expenses!E$3:E$1002="GBP")*(Expenses!A$3:A$1002=DATE(2026,7,24)),ROW(Expenses!A$3:A$1002)-2),4)),0)+IFERROR(INDEX(Income!C$3:C$502,SMALL(IF((Income!D$3:D$502="GBP")*(Income!A$3:A$502=DATE(2026,7,24)),ROW(Income!A$3:A$502)-2),4)),0))</f>
        <v/>
      </c>
      <c r="L152" s="38" t="str">
        <f aca="false">IF(IFERROR(INDEX(Expenses!B$3:B$1002,SMALL(IF((Expenses!E$3:E$1002="GBP")*(Expenses!A$3:A$1002=DATE(2026,7,24)),ROW(Expenses!A$3:A$1002)-2),4)),"")&lt;&gt;"",IFERROR(INDEX(Expenses!B$3:B$1002,SMALL(IF((Expenses!E$3:E$1002="GBP")*(Expenses!A$3:A$1002=DATE(2026,7,24)),ROW(Expenses!A$3:A$1002)-2),4)),""),IF(IFERROR(INDEX(Income!B$3:B$502,SMALL(IF((Income!D$3:D$502="GBP")*(Income!A$3:A$502=DATE(2026,7,24)),ROW(Income!A$3:A$502)-2),4)),"")&lt;&gt;"",IFERROR(INDEX(Income!B$3:B$502,SMALL(IF((Income!D$3:D$502="GBP")*(Income!A$3:A$502=DATE(2026,7,24)),ROW(Income!A$3:A$502)-2),4)),""),""))</f>
        <v/>
      </c>
      <c r="M152" s="62" t="str">
        <f aca="false">IF(IFERROR(-INDEX(Expenses!D$3:D$1002,SMALL(IF((Expenses!E$3:E$1002="GBP")*(Expenses!A$3:A$1002=DATE(2026,7,25)),ROW(Expenses!A$3:A$1002)-2),4)),0)+IFERROR(INDEX(Income!C$3:C$502,SMALL(IF((Income!D$3:D$502="GBP")*(Income!A$3:A$502=DATE(2026,7,25)),ROW(Income!A$3:A$502)-2),4)),0)=0,"",IFERROR(-INDEX(Expenses!D$3:D$1002,SMALL(IF((Expenses!E$3:E$1002="GBP")*(Expenses!A$3:A$1002=DATE(2026,7,25)),ROW(Expenses!A$3:A$1002)-2),4)),0)+IFERROR(INDEX(Income!C$3:C$502,SMALL(IF((Income!D$3:D$502="GBP")*(Income!A$3:A$502=DATE(2026,7,25)),ROW(Income!A$3:A$502)-2),4)),0))</f>
        <v/>
      </c>
      <c r="N152" s="38" t="str">
        <f aca="false">IF(IFERROR(INDEX(Expenses!B$3:B$1002,SMALL(IF((Expenses!E$3:E$1002="GBP")*(Expenses!A$3:A$1002=DATE(2026,7,25)),ROW(Expenses!A$3:A$1002)-2),4)),"")&lt;&gt;"",IFERROR(INDEX(Expenses!B$3:B$1002,SMALL(IF((Expenses!E$3:E$1002="GBP")*(Expenses!A$3:A$1002=DATE(2026,7,25)),ROW(Expenses!A$3:A$1002)-2),4)),""),IF(IFERROR(INDEX(Income!B$3:B$502,SMALL(IF((Income!D$3:D$502="GBP")*(Income!A$3:A$502=DATE(2026,7,25)),ROW(Income!A$3:A$502)-2),4)),"")&lt;&gt;"",IFERROR(INDEX(Income!B$3:B$502,SMALL(IF((Income!D$3:D$502="GBP")*(Income!A$3:A$502=DATE(2026,7,25)),ROW(Income!A$3:A$502)-2),4)),""),""))</f>
        <v/>
      </c>
      <c r="O152" s="62" t="str">
        <f aca="false">IF(IFERROR(-INDEX(Expenses!D$3:D$1002,SMALL(IF((Expenses!E$3:E$1002="GBP")*(Expenses!A$3:A$1002=DATE(2026,7,26)),ROW(Expenses!A$3:A$1002)-2),4)),0)+IFERROR(INDEX(Income!C$3:C$502,SMALL(IF((Income!D$3:D$502="GBP")*(Income!A$3:A$502=DATE(2026,7,26)),ROW(Income!A$3:A$502)-2),4)),0)=0,"",IFERROR(-INDEX(Expenses!D$3:D$1002,SMALL(IF((Expenses!E$3:E$1002="GBP")*(Expenses!A$3:A$1002=DATE(2026,7,26)),ROW(Expenses!A$3:A$1002)-2),4)),0)+IFERROR(INDEX(Income!C$3:C$502,SMALL(IF((Income!D$3:D$502="GBP")*(Income!A$3:A$502=DATE(2026,7,26)),ROW(Income!A$3:A$502)-2),4)),0))</f>
        <v/>
      </c>
      <c r="P152" s="38" t="str">
        <f aca="false">IF(IFERROR(INDEX(Expenses!B$3:B$1002,SMALL(IF((Expenses!E$3:E$1002="GBP")*(Expenses!A$3:A$1002=DATE(2026,7,26)),ROW(Expenses!A$3:A$1002)-2),4)),"")&lt;&gt;"",IFERROR(INDEX(Expenses!B$3:B$1002,SMALL(IF((Expenses!E$3:E$1002="GBP")*(Expenses!A$3:A$1002=DATE(2026,7,26)),ROW(Expenses!A$3:A$1002)-2),4)),""),IF(IFERROR(INDEX(Income!B$3:B$502,SMALL(IF((Income!D$3:D$502="GBP")*(Income!A$3:A$502=DATE(2026,7,26)),ROW(Income!A$3:A$502)-2),4)),"")&lt;&gt;"",IFERROR(INDEX(Income!B$3:B$502,SMALL(IF((Income!D$3:D$502="GBP")*(Income!A$3:A$502=DATE(2026,7,26)),ROW(Income!A$3:A$502)-2),4)),""),""))</f>
        <v/>
      </c>
      <c r="Q152" s="16"/>
      <c r="R152" s="16"/>
    </row>
    <row r="153" customFormat="false" ht="15" hidden="false" customHeight="false" outlineLevel="0" collapsed="false">
      <c r="A153" s="16"/>
      <c r="B153" s="16"/>
      <c r="C153" s="62" t="str">
        <f aca="false">IF(IFERROR(-INDEX(Expenses!D$3:D$1002,SMALL(IF((Expenses!E$3:E$1002="GBP")*(Expenses!A$3:A$1002=DATE(2026,7,20)),ROW(Expenses!A$3:A$1002)-2),5)),0)+IFERROR(INDEX(Income!C$3:C$502,SMALL(IF((Income!D$3:D$502="GBP")*(Income!A$3:A$502=DATE(2026,7,20)),ROW(Income!A$3:A$502)-2),5)),0)=0,"",IFERROR(-INDEX(Expenses!D$3:D$1002,SMALL(IF((Expenses!E$3:E$1002="GBP")*(Expenses!A$3:A$1002=DATE(2026,7,20)),ROW(Expenses!A$3:A$1002)-2),5)),0)+IFERROR(INDEX(Income!C$3:C$502,SMALL(IF((Income!D$3:D$502="GBP")*(Income!A$3:A$502=DATE(2026,7,20)),ROW(Income!A$3:A$502)-2),5)),0))</f>
        <v/>
      </c>
      <c r="D153" s="38" t="str">
        <f aca="false">IF(IFERROR(INDEX(Expenses!B$3:B$1002,SMALL(IF((Expenses!E$3:E$1002="GBP")*(Expenses!A$3:A$1002=DATE(2026,7,20)),ROW(Expenses!A$3:A$1002)-2),5)),"")&lt;&gt;"",IFERROR(INDEX(Expenses!B$3:B$1002,SMALL(IF((Expenses!E$3:E$1002="GBP")*(Expenses!A$3:A$1002=DATE(2026,7,20)),ROW(Expenses!A$3:A$1002)-2),5)),""),IF(IFERROR(INDEX(Income!B$3:B$502,SMALL(IF((Income!D$3:D$502="GBP")*(Income!A$3:A$502=DATE(2026,7,20)),ROW(Income!A$3:A$502)-2),5)),"")&lt;&gt;"",IFERROR(INDEX(Income!B$3:B$502,SMALL(IF((Income!D$3:D$502="GBP")*(Income!A$3:A$502=DATE(2026,7,20)),ROW(Income!A$3:A$502)-2),5)),""),""))</f>
        <v/>
      </c>
      <c r="E153" s="62" t="str">
        <f aca="false">IF(IFERROR(-INDEX(Expenses!D$3:D$1002,SMALL(IF((Expenses!E$3:E$1002="GBP")*(Expenses!A$3:A$1002=DATE(2026,7,21)),ROW(Expenses!A$3:A$1002)-2),5)),0)+IFERROR(INDEX(Income!C$3:C$502,SMALL(IF((Income!D$3:D$502="GBP")*(Income!A$3:A$502=DATE(2026,7,21)),ROW(Income!A$3:A$502)-2),5)),0)=0,"",IFERROR(-INDEX(Expenses!D$3:D$1002,SMALL(IF((Expenses!E$3:E$1002="GBP")*(Expenses!A$3:A$1002=DATE(2026,7,21)),ROW(Expenses!A$3:A$1002)-2),5)),0)+IFERROR(INDEX(Income!C$3:C$502,SMALL(IF((Income!D$3:D$502="GBP")*(Income!A$3:A$502=DATE(2026,7,21)),ROW(Income!A$3:A$502)-2),5)),0))</f>
        <v/>
      </c>
      <c r="F153" s="38" t="str">
        <f aca="false">IF(IFERROR(INDEX(Expenses!B$3:B$1002,SMALL(IF((Expenses!E$3:E$1002="GBP")*(Expenses!A$3:A$1002=DATE(2026,7,21)),ROW(Expenses!A$3:A$1002)-2),5)),"")&lt;&gt;"",IFERROR(INDEX(Expenses!B$3:B$1002,SMALL(IF((Expenses!E$3:E$1002="GBP")*(Expenses!A$3:A$1002=DATE(2026,7,21)),ROW(Expenses!A$3:A$1002)-2),5)),""),IF(IFERROR(INDEX(Income!B$3:B$502,SMALL(IF((Income!D$3:D$502="GBP")*(Income!A$3:A$502=DATE(2026,7,21)),ROW(Income!A$3:A$502)-2),5)),"")&lt;&gt;"",IFERROR(INDEX(Income!B$3:B$502,SMALL(IF((Income!D$3:D$502="GBP")*(Income!A$3:A$502=DATE(2026,7,21)),ROW(Income!A$3:A$502)-2),5)),""),""))</f>
        <v/>
      </c>
      <c r="G153" s="62" t="str">
        <f aca="false">IF(IFERROR(-INDEX(Expenses!D$3:D$1002,SMALL(IF((Expenses!E$3:E$1002="GBP")*(Expenses!A$3:A$1002=DATE(2026,7,22)),ROW(Expenses!A$3:A$1002)-2),5)),0)+IFERROR(INDEX(Income!C$3:C$502,SMALL(IF((Income!D$3:D$502="GBP")*(Income!A$3:A$502=DATE(2026,7,22)),ROW(Income!A$3:A$502)-2),5)),0)=0,"",IFERROR(-INDEX(Expenses!D$3:D$1002,SMALL(IF((Expenses!E$3:E$1002="GBP")*(Expenses!A$3:A$1002=DATE(2026,7,22)),ROW(Expenses!A$3:A$1002)-2),5)),0)+IFERROR(INDEX(Income!C$3:C$502,SMALL(IF((Income!D$3:D$502="GBP")*(Income!A$3:A$502=DATE(2026,7,22)),ROW(Income!A$3:A$502)-2),5)),0))</f>
        <v/>
      </c>
      <c r="H153" s="38" t="str">
        <f aca="false">IF(IFERROR(INDEX(Expenses!B$3:B$1002,SMALL(IF((Expenses!E$3:E$1002="GBP")*(Expenses!A$3:A$1002=DATE(2026,7,22)),ROW(Expenses!A$3:A$1002)-2),5)),"")&lt;&gt;"",IFERROR(INDEX(Expenses!B$3:B$1002,SMALL(IF((Expenses!E$3:E$1002="GBP")*(Expenses!A$3:A$1002=DATE(2026,7,22)),ROW(Expenses!A$3:A$1002)-2),5)),""),IF(IFERROR(INDEX(Income!B$3:B$502,SMALL(IF((Income!D$3:D$502="GBP")*(Income!A$3:A$502=DATE(2026,7,22)),ROW(Income!A$3:A$502)-2),5)),"")&lt;&gt;"",IFERROR(INDEX(Income!B$3:B$502,SMALL(IF((Income!D$3:D$502="GBP")*(Income!A$3:A$502=DATE(2026,7,22)),ROW(Income!A$3:A$502)-2),5)),""),""))</f>
        <v/>
      </c>
      <c r="I153" s="62" t="str">
        <f aca="false">IF(IFERROR(-INDEX(Expenses!D$3:D$1002,SMALL(IF((Expenses!E$3:E$1002="GBP")*(Expenses!A$3:A$1002=DATE(2026,7,23)),ROW(Expenses!A$3:A$1002)-2),5)),0)+IFERROR(INDEX(Income!C$3:C$502,SMALL(IF((Income!D$3:D$502="GBP")*(Income!A$3:A$502=DATE(2026,7,23)),ROW(Income!A$3:A$502)-2),5)),0)=0,"",IFERROR(-INDEX(Expenses!D$3:D$1002,SMALL(IF((Expenses!E$3:E$1002="GBP")*(Expenses!A$3:A$1002=DATE(2026,7,23)),ROW(Expenses!A$3:A$1002)-2),5)),0)+IFERROR(INDEX(Income!C$3:C$502,SMALL(IF((Income!D$3:D$502="GBP")*(Income!A$3:A$502=DATE(2026,7,23)),ROW(Income!A$3:A$502)-2),5)),0))</f>
        <v/>
      </c>
      <c r="J153" s="38" t="str">
        <f aca="false">IF(IFERROR(INDEX(Expenses!B$3:B$1002,SMALL(IF((Expenses!E$3:E$1002="GBP")*(Expenses!A$3:A$1002=DATE(2026,7,23)),ROW(Expenses!A$3:A$1002)-2),5)),"")&lt;&gt;"",IFERROR(INDEX(Expenses!B$3:B$1002,SMALL(IF((Expenses!E$3:E$1002="GBP")*(Expenses!A$3:A$1002=DATE(2026,7,23)),ROW(Expenses!A$3:A$1002)-2),5)),""),IF(IFERROR(INDEX(Income!B$3:B$502,SMALL(IF((Income!D$3:D$502="GBP")*(Income!A$3:A$502=DATE(2026,7,23)),ROW(Income!A$3:A$502)-2),5)),"")&lt;&gt;"",IFERROR(INDEX(Income!B$3:B$502,SMALL(IF((Income!D$3:D$502="GBP")*(Income!A$3:A$502=DATE(2026,7,23)),ROW(Income!A$3:A$502)-2),5)),""),""))</f>
        <v/>
      </c>
      <c r="K153" s="62" t="str">
        <f aca="false">IF(IFERROR(-INDEX(Expenses!D$3:D$1002,SMALL(IF((Expenses!E$3:E$1002="GBP")*(Expenses!A$3:A$1002=DATE(2026,7,24)),ROW(Expenses!A$3:A$1002)-2),5)),0)+IFERROR(INDEX(Income!C$3:C$502,SMALL(IF((Income!D$3:D$502="GBP")*(Income!A$3:A$502=DATE(2026,7,24)),ROW(Income!A$3:A$502)-2),5)),0)=0,"",IFERROR(-INDEX(Expenses!D$3:D$1002,SMALL(IF((Expenses!E$3:E$1002="GBP")*(Expenses!A$3:A$1002=DATE(2026,7,24)),ROW(Expenses!A$3:A$1002)-2),5)),0)+IFERROR(INDEX(Income!C$3:C$502,SMALL(IF((Income!D$3:D$502="GBP")*(Income!A$3:A$502=DATE(2026,7,24)),ROW(Income!A$3:A$502)-2),5)),0))</f>
        <v/>
      </c>
      <c r="L153" s="38" t="str">
        <f aca="false">IF(IFERROR(INDEX(Expenses!B$3:B$1002,SMALL(IF((Expenses!E$3:E$1002="GBP")*(Expenses!A$3:A$1002=DATE(2026,7,24)),ROW(Expenses!A$3:A$1002)-2),5)),"")&lt;&gt;"",IFERROR(INDEX(Expenses!B$3:B$1002,SMALL(IF((Expenses!E$3:E$1002="GBP")*(Expenses!A$3:A$1002=DATE(2026,7,24)),ROW(Expenses!A$3:A$1002)-2),5)),""),IF(IFERROR(INDEX(Income!B$3:B$502,SMALL(IF((Income!D$3:D$502="GBP")*(Income!A$3:A$502=DATE(2026,7,24)),ROW(Income!A$3:A$502)-2),5)),"")&lt;&gt;"",IFERROR(INDEX(Income!B$3:B$502,SMALL(IF((Income!D$3:D$502="GBP")*(Income!A$3:A$502=DATE(2026,7,24)),ROW(Income!A$3:A$502)-2),5)),""),""))</f>
        <v/>
      </c>
      <c r="M153" s="62" t="str">
        <f aca="false">IF(IFERROR(-INDEX(Expenses!D$3:D$1002,SMALL(IF((Expenses!E$3:E$1002="GBP")*(Expenses!A$3:A$1002=DATE(2026,7,25)),ROW(Expenses!A$3:A$1002)-2),5)),0)+IFERROR(INDEX(Income!C$3:C$502,SMALL(IF((Income!D$3:D$502="GBP")*(Income!A$3:A$502=DATE(2026,7,25)),ROW(Income!A$3:A$502)-2),5)),0)=0,"",IFERROR(-INDEX(Expenses!D$3:D$1002,SMALL(IF((Expenses!E$3:E$1002="GBP")*(Expenses!A$3:A$1002=DATE(2026,7,25)),ROW(Expenses!A$3:A$1002)-2),5)),0)+IFERROR(INDEX(Income!C$3:C$502,SMALL(IF((Income!D$3:D$502="GBP")*(Income!A$3:A$502=DATE(2026,7,25)),ROW(Income!A$3:A$502)-2),5)),0))</f>
        <v/>
      </c>
      <c r="N153" s="38" t="str">
        <f aca="false">IF(IFERROR(INDEX(Expenses!B$3:B$1002,SMALL(IF((Expenses!E$3:E$1002="GBP")*(Expenses!A$3:A$1002=DATE(2026,7,25)),ROW(Expenses!A$3:A$1002)-2),5)),"")&lt;&gt;"",IFERROR(INDEX(Expenses!B$3:B$1002,SMALL(IF((Expenses!E$3:E$1002="GBP")*(Expenses!A$3:A$1002=DATE(2026,7,25)),ROW(Expenses!A$3:A$1002)-2),5)),""),IF(IFERROR(INDEX(Income!B$3:B$502,SMALL(IF((Income!D$3:D$502="GBP")*(Income!A$3:A$502=DATE(2026,7,25)),ROW(Income!A$3:A$502)-2),5)),"")&lt;&gt;"",IFERROR(INDEX(Income!B$3:B$502,SMALL(IF((Income!D$3:D$502="GBP")*(Income!A$3:A$502=DATE(2026,7,25)),ROW(Income!A$3:A$502)-2),5)),""),""))</f>
        <v/>
      </c>
      <c r="O153" s="62" t="str">
        <f aca="false">IF(IFERROR(-INDEX(Expenses!D$3:D$1002,SMALL(IF((Expenses!E$3:E$1002="GBP")*(Expenses!A$3:A$1002=DATE(2026,7,26)),ROW(Expenses!A$3:A$1002)-2),5)),0)+IFERROR(INDEX(Income!C$3:C$502,SMALL(IF((Income!D$3:D$502="GBP")*(Income!A$3:A$502=DATE(2026,7,26)),ROW(Income!A$3:A$502)-2),5)),0)=0,"",IFERROR(-INDEX(Expenses!D$3:D$1002,SMALL(IF((Expenses!E$3:E$1002="GBP")*(Expenses!A$3:A$1002=DATE(2026,7,26)),ROW(Expenses!A$3:A$1002)-2),5)),0)+IFERROR(INDEX(Income!C$3:C$502,SMALL(IF((Income!D$3:D$502="GBP")*(Income!A$3:A$502=DATE(2026,7,26)),ROW(Income!A$3:A$502)-2),5)),0))</f>
        <v/>
      </c>
      <c r="P153" s="38" t="str">
        <f aca="false">IF(IFERROR(INDEX(Expenses!B$3:B$1002,SMALL(IF((Expenses!E$3:E$1002="GBP")*(Expenses!A$3:A$1002=DATE(2026,7,26)),ROW(Expenses!A$3:A$1002)-2),5)),"")&lt;&gt;"",IFERROR(INDEX(Expenses!B$3:B$1002,SMALL(IF((Expenses!E$3:E$1002="GBP")*(Expenses!A$3:A$1002=DATE(2026,7,26)),ROW(Expenses!A$3:A$1002)-2),5)),""),IF(IFERROR(INDEX(Income!B$3:B$502,SMALL(IF((Income!D$3:D$502="GBP")*(Income!A$3:A$502=DATE(2026,7,26)),ROW(Income!A$3:A$502)-2),5)),"")&lt;&gt;"",IFERROR(INDEX(Income!B$3:B$502,SMALL(IF((Income!D$3:D$502="GBP")*(Income!A$3:A$502=DATE(2026,7,26)),ROW(Income!A$3:A$502)-2),5)),""),""))</f>
        <v/>
      </c>
      <c r="Q153" s="16"/>
      <c r="R153" s="16"/>
    </row>
    <row r="154" customFormat="false" ht="15" hidden="false" customHeight="false" outlineLevel="0" collapsed="false">
      <c r="A154" s="61" t="n">
        <v>46230</v>
      </c>
      <c r="B154" s="3" t="n">
        <v>31</v>
      </c>
      <c r="C154" s="62" t="str">
        <f aca="false">IF(IFERROR(-INDEX(Expenses!D$3:D$1002,SMALL(IF((Expenses!E$3:E$1002="GBP")*(Expenses!A$3:A$1002=DATE(2026,7,27)),ROW(Expenses!A$3:A$1002)-2),1)),0)+IFERROR(INDEX(Income!C$3:C$502,SMALL(IF((Income!D$3:D$502="GBP")*(Income!A$3:A$502=DATE(2026,7,27)),ROW(Income!A$3:A$502)-2),1)),0)=0,"",IFERROR(-INDEX(Expenses!D$3:D$1002,SMALL(IF((Expenses!E$3:E$1002="GBP")*(Expenses!A$3:A$1002=DATE(2026,7,27)),ROW(Expenses!A$3:A$1002)-2),1)),0)+IFERROR(INDEX(Income!C$3:C$502,SMALL(IF((Income!D$3:D$502="GBP")*(Income!A$3:A$502=DATE(2026,7,27)),ROW(Income!A$3:A$502)-2),1)),0))</f>
        <v/>
      </c>
      <c r="D154" s="38" t="str">
        <f aca="false">IF(IFERROR(INDEX(Expenses!B$3:B$1002,SMALL(IF((Expenses!E$3:E$1002="GBP")*(Expenses!A$3:A$1002=DATE(2026,7,27)),ROW(Expenses!A$3:A$1002)-2),1)),"")&lt;&gt;"",IFERROR(INDEX(Expenses!B$3:B$1002,SMALL(IF((Expenses!E$3:E$1002="GBP")*(Expenses!A$3:A$1002=DATE(2026,7,27)),ROW(Expenses!A$3:A$1002)-2),1)),""),IF(IFERROR(INDEX(Income!B$3:B$502,SMALL(IF((Income!D$3:D$502="GBP")*(Income!A$3:A$502=DATE(2026,7,27)),ROW(Income!A$3:A$502)-2),1)),"")&lt;&gt;"",IFERROR(INDEX(Income!B$3:B$502,SMALL(IF((Income!D$3:D$502="GBP")*(Income!A$3:A$502=DATE(2026,7,27)),ROW(Income!A$3:A$502)-2),1)),""),""))</f>
        <v/>
      </c>
      <c r="E154" s="62" t="str">
        <f aca="false">IF(IFERROR(-INDEX(Expenses!D$3:D$1002,SMALL(IF((Expenses!E$3:E$1002="GBP")*(Expenses!A$3:A$1002=DATE(2026,7,28)),ROW(Expenses!A$3:A$1002)-2),1)),0)+IFERROR(INDEX(Income!C$3:C$502,SMALL(IF((Income!D$3:D$502="GBP")*(Income!A$3:A$502=DATE(2026,7,28)),ROW(Income!A$3:A$502)-2),1)),0)=0,"",IFERROR(-INDEX(Expenses!D$3:D$1002,SMALL(IF((Expenses!E$3:E$1002="GBP")*(Expenses!A$3:A$1002=DATE(2026,7,28)),ROW(Expenses!A$3:A$1002)-2),1)),0)+IFERROR(INDEX(Income!C$3:C$502,SMALL(IF((Income!D$3:D$502="GBP")*(Income!A$3:A$502=DATE(2026,7,28)),ROW(Income!A$3:A$502)-2),1)),0))</f>
        <v/>
      </c>
      <c r="F154" s="38" t="str">
        <f aca="false">IF(IFERROR(INDEX(Expenses!B$3:B$1002,SMALL(IF((Expenses!E$3:E$1002="GBP")*(Expenses!A$3:A$1002=DATE(2026,7,28)),ROW(Expenses!A$3:A$1002)-2),1)),"")&lt;&gt;"",IFERROR(INDEX(Expenses!B$3:B$1002,SMALL(IF((Expenses!E$3:E$1002="GBP")*(Expenses!A$3:A$1002=DATE(2026,7,28)),ROW(Expenses!A$3:A$1002)-2),1)),""),IF(IFERROR(INDEX(Income!B$3:B$502,SMALL(IF((Income!D$3:D$502="GBP")*(Income!A$3:A$502=DATE(2026,7,28)),ROW(Income!A$3:A$502)-2),1)),"")&lt;&gt;"",IFERROR(INDEX(Income!B$3:B$502,SMALL(IF((Income!D$3:D$502="GBP")*(Income!A$3:A$502=DATE(2026,7,28)),ROW(Income!A$3:A$502)-2),1)),""),""))</f>
        <v/>
      </c>
      <c r="G154" s="62" t="str">
        <f aca="false">IF(IFERROR(-INDEX(Expenses!D$3:D$1002,SMALL(IF((Expenses!E$3:E$1002="GBP")*(Expenses!A$3:A$1002=DATE(2026,7,29)),ROW(Expenses!A$3:A$1002)-2),1)),0)+IFERROR(INDEX(Income!C$3:C$502,SMALL(IF((Income!D$3:D$502="GBP")*(Income!A$3:A$502=DATE(2026,7,29)),ROW(Income!A$3:A$502)-2),1)),0)=0,"",IFERROR(-INDEX(Expenses!D$3:D$1002,SMALL(IF((Expenses!E$3:E$1002="GBP")*(Expenses!A$3:A$1002=DATE(2026,7,29)),ROW(Expenses!A$3:A$1002)-2),1)),0)+IFERROR(INDEX(Income!C$3:C$502,SMALL(IF((Income!D$3:D$502="GBP")*(Income!A$3:A$502=DATE(2026,7,29)),ROW(Income!A$3:A$502)-2),1)),0))</f>
        <v/>
      </c>
      <c r="H154" s="38" t="str">
        <f aca="false">IF(IFERROR(INDEX(Expenses!B$3:B$1002,SMALL(IF((Expenses!E$3:E$1002="GBP")*(Expenses!A$3:A$1002=DATE(2026,7,29)),ROW(Expenses!A$3:A$1002)-2),1)),"")&lt;&gt;"",IFERROR(INDEX(Expenses!B$3:B$1002,SMALL(IF((Expenses!E$3:E$1002="GBP")*(Expenses!A$3:A$1002=DATE(2026,7,29)),ROW(Expenses!A$3:A$1002)-2),1)),""),IF(IFERROR(INDEX(Income!B$3:B$502,SMALL(IF((Income!D$3:D$502="GBP")*(Income!A$3:A$502=DATE(2026,7,29)),ROW(Income!A$3:A$502)-2),1)),"")&lt;&gt;"",IFERROR(INDEX(Income!B$3:B$502,SMALL(IF((Income!D$3:D$502="GBP")*(Income!A$3:A$502=DATE(2026,7,29)),ROW(Income!A$3:A$502)-2),1)),""),""))</f>
        <v/>
      </c>
      <c r="I154" s="62" t="str">
        <f aca="false">IF(IFERROR(-INDEX(Expenses!D$3:D$1002,SMALL(IF((Expenses!E$3:E$1002="GBP")*(Expenses!A$3:A$1002=DATE(2026,7,30)),ROW(Expenses!A$3:A$1002)-2),1)),0)+IFERROR(INDEX(Income!C$3:C$502,SMALL(IF((Income!D$3:D$502="GBP")*(Income!A$3:A$502=DATE(2026,7,30)),ROW(Income!A$3:A$502)-2),1)),0)=0,"",IFERROR(-INDEX(Expenses!D$3:D$1002,SMALL(IF((Expenses!E$3:E$1002="GBP")*(Expenses!A$3:A$1002=DATE(2026,7,30)),ROW(Expenses!A$3:A$1002)-2),1)),0)+IFERROR(INDEX(Income!C$3:C$502,SMALL(IF((Income!D$3:D$502="GBP")*(Income!A$3:A$502=DATE(2026,7,30)),ROW(Income!A$3:A$502)-2),1)),0))</f>
        <v/>
      </c>
      <c r="J154" s="38" t="str">
        <f aca="false">IF(IFERROR(INDEX(Expenses!B$3:B$1002,SMALL(IF((Expenses!E$3:E$1002="GBP")*(Expenses!A$3:A$1002=DATE(2026,7,30)),ROW(Expenses!A$3:A$1002)-2),1)),"")&lt;&gt;"",IFERROR(INDEX(Expenses!B$3:B$1002,SMALL(IF((Expenses!E$3:E$1002="GBP")*(Expenses!A$3:A$1002=DATE(2026,7,30)),ROW(Expenses!A$3:A$1002)-2),1)),""),IF(IFERROR(INDEX(Income!B$3:B$502,SMALL(IF((Income!D$3:D$502="GBP")*(Income!A$3:A$502=DATE(2026,7,30)),ROW(Income!A$3:A$502)-2),1)),"")&lt;&gt;"",IFERROR(INDEX(Income!B$3:B$502,SMALL(IF((Income!D$3:D$502="GBP")*(Income!A$3:A$502=DATE(2026,7,30)),ROW(Income!A$3:A$502)-2),1)),""),""))</f>
        <v/>
      </c>
      <c r="K154" s="62" t="str">
        <f aca="false">IF(IFERROR(-INDEX(Expenses!D$3:D$1002,SMALL(IF((Expenses!E$3:E$1002="GBP")*(Expenses!A$3:A$1002=DATE(2026,7,31)),ROW(Expenses!A$3:A$1002)-2),1)),0)+IFERROR(INDEX(Income!C$3:C$502,SMALL(IF((Income!D$3:D$502="GBP")*(Income!A$3:A$502=DATE(2026,7,31)),ROW(Income!A$3:A$502)-2),1)),0)=0,"",IFERROR(-INDEX(Expenses!D$3:D$1002,SMALL(IF((Expenses!E$3:E$1002="GBP")*(Expenses!A$3:A$1002=DATE(2026,7,31)),ROW(Expenses!A$3:A$1002)-2),1)),0)+IFERROR(INDEX(Income!C$3:C$502,SMALL(IF((Income!D$3:D$502="GBP")*(Income!A$3:A$502=DATE(2026,7,31)),ROW(Income!A$3:A$502)-2),1)),0))</f>
        <v/>
      </c>
      <c r="L154" s="38" t="str">
        <f aca="false">IF(IFERROR(INDEX(Expenses!B$3:B$1002,SMALL(IF((Expenses!E$3:E$1002="GBP")*(Expenses!A$3:A$1002=DATE(2026,7,31)),ROW(Expenses!A$3:A$1002)-2),1)),"")&lt;&gt;"",IFERROR(INDEX(Expenses!B$3:B$1002,SMALL(IF((Expenses!E$3:E$1002="GBP")*(Expenses!A$3:A$1002=DATE(2026,7,31)),ROW(Expenses!A$3:A$1002)-2),1)),""),IF(IFERROR(INDEX(Income!B$3:B$502,SMALL(IF((Income!D$3:D$502="GBP")*(Income!A$3:A$502=DATE(2026,7,31)),ROW(Income!A$3:A$502)-2),1)),"")&lt;&gt;"",IFERROR(INDEX(Income!B$3:B$502,SMALL(IF((Income!D$3:D$502="GBP")*(Income!A$3:A$502=DATE(2026,7,31)),ROW(Income!A$3:A$502)-2),1)),""),""))</f>
        <v/>
      </c>
      <c r="M154" s="62" t="str">
        <f aca="false">IF(IFERROR(-INDEX(Expenses!D$3:D$1002,SMALL(IF((Expenses!E$3:E$1002="GBP")*(Expenses!A$3:A$1002=DATE(2026,8,1)),ROW(Expenses!A$3:A$1002)-2),1)),0)+IFERROR(INDEX(Income!C$3:C$502,SMALL(IF((Income!D$3:D$502="GBP")*(Income!A$3:A$502=DATE(2026,8,1)),ROW(Income!A$3:A$502)-2),1)),0)=0,"",IFERROR(-INDEX(Expenses!D$3:D$1002,SMALL(IF((Expenses!E$3:E$1002="GBP")*(Expenses!A$3:A$1002=DATE(2026,8,1)),ROW(Expenses!A$3:A$1002)-2),1)),0)+IFERROR(INDEX(Income!C$3:C$502,SMALL(IF((Income!D$3:D$502="GBP")*(Income!A$3:A$502=DATE(2026,8,1)),ROW(Income!A$3:A$502)-2),1)),0))</f>
        <v/>
      </c>
      <c r="N154" s="38" t="str">
        <f aca="false">IF(IFERROR(INDEX(Expenses!B$3:B$1002,SMALL(IF((Expenses!E$3:E$1002="GBP")*(Expenses!A$3:A$1002=DATE(2026,8,1)),ROW(Expenses!A$3:A$1002)-2),1)),"")&lt;&gt;"",IFERROR(INDEX(Expenses!B$3:B$1002,SMALL(IF((Expenses!E$3:E$1002="GBP")*(Expenses!A$3:A$1002=DATE(2026,8,1)),ROW(Expenses!A$3:A$1002)-2),1)),""),IF(IFERROR(INDEX(Income!B$3:B$502,SMALL(IF((Income!D$3:D$502="GBP")*(Income!A$3:A$502=DATE(2026,8,1)),ROW(Income!A$3:A$502)-2),1)),"")&lt;&gt;"",IFERROR(INDEX(Income!B$3:B$502,SMALL(IF((Income!D$3:D$502="GBP")*(Income!A$3:A$502=DATE(2026,8,1)),ROW(Income!A$3:A$502)-2),1)),""),""))</f>
        <v/>
      </c>
      <c r="O154" s="62" t="str">
        <f aca="false">IF(IFERROR(-INDEX(Expenses!D$3:D$1002,SMALL(IF((Expenses!E$3:E$1002="GBP")*(Expenses!A$3:A$1002=DATE(2026,8,2)),ROW(Expenses!A$3:A$1002)-2),1)),0)+IFERROR(INDEX(Income!C$3:C$502,SMALL(IF((Income!D$3:D$502="GBP")*(Income!A$3:A$502=DATE(2026,8,2)),ROW(Income!A$3:A$502)-2),1)),0)=0,"",IFERROR(-INDEX(Expenses!D$3:D$1002,SMALL(IF((Expenses!E$3:E$1002="GBP")*(Expenses!A$3:A$1002=DATE(2026,8,2)),ROW(Expenses!A$3:A$1002)-2),1)),0)+IFERROR(INDEX(Income!C$3:C$502,SMALL(IF((Income!D$3:D$502="GBP")*(Income!A$3:A$502=DATE(2026,8,2)),ROW(Income!A$3:A$502)-2),1)),0))</f>
        <v/>
      </c>
      <c r="P154" s="38" t="str">
        <f aca="false">IF(IFERROR(INDEX(Expenses!B$3:B$1002,SMALL(IF((Expenses!E$3:E$1002="GBP")*(Expenses!A$3:A$1002=DATE(2026,8,2)),ROW(Expenses!A$3:A$1002)-2),1)),"")&lt;&gt;"",IFERROR(INDEX(Expenses!B$3:B$1002,SMALL(IF((Expenses!E$3:E$1002="GBP")*(Expenses!A$3:A$1002=DATE(2026,8,2)),ROW(Expenses!A$3:A$1002)-2),1)),""),IF(IFERROR(INDEX(Income!B$3:B$502,SMALL(IF((Income!D$3:D$502="GBP")*(Income!A$3:A$502=DATE(2026,8,2)),ROW(Income!A$3:A$502)-2),1)),"")&lt;&gt;"",IFERROR(INDEX(Income!B$3:B$502,SMALL(IF((Income!D$3:D$502="GBP")*(Income!A$3:A$502=DATE(2026,8,2)),ROW(Income!A$3:A$502)-2),1)),""),""))</f>
        <v/>
      </c>
      <c r="Q154" s="3" t="n">
        <v>31</v>
      </c>
      <c r="R154" s="45" t="n">
        <f aca="false">SUM(C154:C158)+SUM(E154:E158)+SUM(G154:G158)+SUM(I154:I158)+SUM(K154:K158)+SUM(M154:M158)+SUM(O154:O158)</f>
        <v>0</v>
      </c>
    </row>
    <row r="155" customFormat="false" ht="15" hidden="false" customHeight="false" outlineLevel="0" collapsed="false">
      <c r="A155" s="16"/>
      <c r="B155" s="16"/>
      <c r="C155" s="62" t="str">
        <f aca="false">IF(IFERROR(-INDEX(Expenses!D$3:D$1002,SMALL(IF((Expenses!E$3:E$1002="GBP")*(Expenses!A$3:A$1002=DATE(2026,7,27)),ROW(Expenses!A$3:A$1002)-2),2)),0)+IFERROR(INDEX(Income!C$3:C$502,SMALL(IF((Income!D$3:D$502="GBP")*(Income!A$3:A$502=DATE(2026,7,27)),ROW(Income!A$3:A$502)-2),2)),0)=0,"",IFERROR(-INDEX(Expenses!D$3:D$1002,SMALL(IF((Expenses!E$3:E$1002="GBP")*(Expenses!A$3:A$1002=DATE(2026,7,27)),ROW(Expenses!A$3:A$1002)-2),2)),0)+IFERROR(INDEX(Income!C$3:C$502,SMALL(IF((Income!D$3:D$502="GBP")*(Income!A$3:A$502=DATE(2026,7,27)),ROW(Income!A$3:A$502)-2),2)),0))</f>
        <v/>
      </c>
      <c r="D155" s="38" t="str">
        <f aca="false">IF(IFERROR(INDEX(Expenses!B$3:B$1002,SMALL(IF((Expenses!E$3:E$1002="GBP")*(Expenses!A$3:A$1002=DATE(2026,7,27)),ROW(Expenses!A$3:A$1002)-2),2)),"")&lt;&gt;"",IFERROR(INDEX(Expenses!B$3:B$1002,SMALL(IF((Expenses!E$3:E$1002="GBP")*(Expenses!A$3:A$1002=DATE(2026,7,27)),ROW(Expenses!A$3:A$1002)-2),2)),""),IF(IFERROR(INDEX(Income!B$3:B$502,SMALL(IF((Income!D$3:D$502="GBP")*(Income!A$3:A$502=DATE(2026,7,27)),ROW(Income!A$3:A$502)-2),2)),"")&lt;&gt;"",IFERROR(INDEX(Income!B$3:B$502,SMALL(IF((Income!D$3:D$502="GBP")*(Income!A$3:A$502=DATE(2026,7,27)),ROW(Income!A$3:A$502)-2),2)),""),""))</f>
        <v/>
      </c>
      <c r="E155" s="62" t="str">
        <f aca="false">IF(IFERROR(-INDEX(Expenses!D$3:D$1002,SMALL(IF((Expenses!E$3:E$1002="GBP")*(Expenses!A$3:A$1002=DATE(2026,7,28)),ROW(Expenses!A$3:A$1002)-2),2)),0)+IFERROR(INDEX(Income!C$3:C$502,SMALL(IF((Income!D$3:D$502="GBP")*(Income!A$3:A$502=DATE(2026,7,28)),ROW(Income!A$3:A$502)-2),2)),0)=0,"",IFERROR(-INDEX(Expenses!D$3:D$1002,SMALL(IF((Expenses!E$3:E$1002="GBP")*(Expenses!A$3:A$1002=DATE(2026,7,28)),ROW(Expenses!A$3:A$1002)-2),2)),0)+IFERROR(INDEX(Income!C$3:C$502,SMALL(IF((Income!D$3:D$502="GBP")*(Income!A$3:A$502=DATE(2026,7,28)),ROW(Income!A$3:A$502)-2),2)),0))</f>
        <v/>
      </c>
      <c r="F155" s="38" t="str">
        <f aca="false">IF(IFERROR(INDEX(Expenses!B$3:B$1002,SMALL(IF((Expenses!E$3:E$1002="GBP")*(Expenses!A$3:A$1002=DATE(2026,7,28)),ROW(Expenses!A$3:A$1002)-2),2)),"")&lt;&gt;"",IFERROR(INDEX(Expenses!B$3:B$1002,SMALL(IF((Expenses!E$3:E$1002="GBP")*(Expenses!A$3:A$1002=DATE(2026,7,28)),ROW(Expenses!A$3:A$1002)-2),2)),""),IF(IFERROR(INDEX(Income!B$3:B$502,SMALL(IF((Income!D$3:D$502="GBP")*(Income!A$3:A$502=DATE(2026,7,28)),ROW(Income!A$3:A$502)-2),2)),"")&lt;&gt;"",IFERROR(INDEX(Income!B$3:B$502,SMALL(IF((Income!D$3:D$502="GBP")*(Income!A$3:A$502=DATE(2026,7,28)),ROW(Income!A$3:A$502)-2),2)),""),""))</f>
        <v/>
      </c>
      <c r="G155" s="62" t="str">
        <f aca="false">IF(IFERROR(-INDEX(Expenses!D$3:D$1002,SMALL(IF((Expenses!E$3:E$1002="GBP")*(Expenses!A$3:A$1002=DATE(2026,7,29)),ROW(Expenses!A$3:A$1002)-2),2)),0)+IFERROR(INDEX(Income!C$3:C$502,SMALL(IF((Income!D$3:D$502="GBP")*(Income!A$3:A$502=DATE(2026,7,29)),ROW(Income!A$3:A$502)-2),2)),0)=0,"",IFERROR(-INDEX(Expenses!D$3:D$1002,SMALL(IF((Expenses!E$3:E$1002="GBP")*(Expenses!A$3:A$1002=DATE(2026,7,29)),ROW(Expenses!A$3:A$1002)-2),2)),0)+IFERROR(INDEX(Income!C$3:C$502,SMALL(IF((Income!D$3:D$502="GBP")*(Income!A$3:A$502=DATE(2026,7,29)),ROW(Income!A$3:A$502)-2),2)),0))</f>
        <v/>
      </c>
      <c r="H155" s="38" t="str">
        <f aca="false">IF(IFERROR(INDEX(Expenses!B$3:B$1002,SMALL(IF((Expenses!E$3:E$1002="GBP")*(Expenses!A$3:A$1002=DATE(2026,7,29)),ROW(Expenses!A$3:A$1002)-2),2)),"")&lt;&gt;"",IFERROR(INDEX(Expenses!B$3:B$1002,SMALL(IF((Expenses!E$3:E$1002="GBP")*(Expenses!A$3:A$1002=DATE(2026,7,29)),ROW(Expenses!A$3:A$1002)-2),2)),""),IF(IFERROR(INDEX(Income!B$3:B$502,SMALL(IF((Income!D$3:D$502="GBP")*(Income!A$3:A$502=DATE(2026,7,29)),ROW(Income!A$3:A$502)-2),2)),"")&lt;&gt;"",IFERROR(INDEX(Income!B$3:B$502,SMALL(IF((Income!D$3:D$502="GBP")*(Income!A$3:A$502=DATE(2026,7,29)),ROW(Income!A$3:A$502)-2),2)),""),""))</f>
        <v/>
      </c>
      <c r="I155" s="62" t="str">
        <f aca="false">IF(IFERROR(-INDEX(Expenses!D$3:D$1002,SMALL(IF((Expenses!E$3:E$1002="GBP")*(Expenses!A$3:A$1002=DATE(2026,7,30)),ROW(Expenses!A$3:A$1002)-2),2)),0)+IFERROR(INDEX(Income!C$3:C$502,SMALL(IF((Income!D$3:D$502="GBP")*(Income!A$3:A$502=DATE(2026,7,30)),ROW(Income!A$3:A$502)-2),2)),0)=0,"",IFERROR(-INDEX(Expenses!D$3:D$1002,SMALL(IF((Expenses!E$3:E$1002="GBP")*(Expenses!A$3:A$1002=DATE(2026,7,30)),ROW(Expenses!A$3:A$1002)-2),2)),0)+IFERROR(INDEX(Income!C$3:C$502,SMALL(IF((Income!D$3:D$502="GBP")*(Income!A$3:A$502=DATE(2026,7,30)),ROW(Income!A$3:A$502)-2),2)),0))</f>
        <v/>
      </c>
      <c r="J155" s="38" t="str">
        <f aca="false">IF(IFERROR(INDEX(Expenses!B$3:B$1002,SMALL(IF((Expenses!E$3:E$1002="GBP")*(Expenses!A$3:A$1002=DATE(2026,7,30)),ROW(Expenses!A$3:A$1002)-2),2)),"")&lt;&gt;"",IFERROR(INDEX(Expenses!B$3:B$1002,SMALL(IF((Expenses!E$3:E$1002="GBP")*(Expenses!A$3:A$1002=DATE(2026,7,30)),ROW(Expenses!A$3:A$1002)-2),2)),""),IF(IFERROR(INDEX(Income!B$3:B$502,SMALL(IF((Income!D$3:D$502="GBP")*(Income!A$3:A$502=DATE(2026,7,30)),ROW(Income!A$3:A$502)-2),2)),"")&lt;&gt;"",IFERROR(INDEX(Income!B$3:B$502,SMALL(IF((Income!D$3:D$502="GBP")*(Income!A$3:A$502=DATE(2026,7,30)),ROW(Income!A$3:A$502)-2),2)),""),""))</f>
        <v/>
      </c>
      <c r="K155" s="62" t="str">
        <f aca="false">IF(IFERROR(-INDEX(Expenses!D$3:D$1002,SMALL(IF((Expenses!E$3:E$1002="GBP")*(Expenses!A$3:A$1002=DATE(2026,7,31)),ROW(Expenses!A$3:A$1002)-2),2)),0)+IFERROR(INDEX(Income!C$3:C$502,SMALL(IF((Income!D$3:D$502="GBP")*(Income!A$3:A$502=DATE(2026,7,31)),ROW(Income!A$3:A$502)-2),2)),0)=0,"",IFERROR(-INDEX(Expenses!D$3:D$1002,SMALL(IF((Expenses!E$3:E$1002="GBP")*(Expenses!A$3:A$1002=DATE(2026,7,31)),ROW(Expenses!A$3:A$1002)-2),2)),0)+IFERROR(INDEX(Income!C$3:C$502,SMALL(IF((Income!D$3:D$502="GBP")*(Income!A$3:A$502=DATE(2026,7,31)),ROW(Income!A$3:A$502)-2),2)),0))</f>
        <v/>
      </c>
      <c r="L155" s="38" t="str">
        <f aca="false">IF(IFERROR(INDEX(Expenses!B$3:B$1002,SMALL(IF((Expenses!E$3:E$1002="GBP")*(Expenses!A$3:A$1002=DATE(2026,7,31)),ROW(Expenses!A$3:A$1002)-2),2)),"")&lt;&gt;"",IFERROR(INDEX(Expenses!B$3:B$1002,SMALL(IF((Expenses!E$3:E$1002="GBP")*(Expenses!A$3:A$1002=DATE(2026,7,31)),ROW(Expenses!A$3:A$1002)-2),2)),""),IF(IFERROR(INDEX(Income!B$3:B$502,SMALL(IF((Income!D$3:D$502="GBP")*(Income!A$3:A$502=DATE(2026,7,31)),ROW(Income!A$3:A$502)-2),2)),"")&lt;&gt;"",IFERROR(INDEX(Income!B$3:B$502,SMALL(IF((Income!D$3:D$502="GBP")*(Income!A$3:A$502=DATE(2026,7,31)),ROW(Income!A$3:A$502)-2),2)),""),""))</f>
        <v/>
      </c>
      <c r="M155" s="62" t="str">
        <f aca="false">IF(IFERROR(-INDEX(Expenses!D$3:D$1002,SMALL(IF((Expenses!E$3:E$1002="GBP")*(Expenses!A$3:A$1002=DATE(2026,8,1)),ROW(Expenses!A$3:A$1002)-2),2)),0)+IFERROR(INDEX(Income!C$3:C$502,SMALL(IF((Income!D$3:D$502="GBP")*(Income!A$3:A$502=DATE(2026,8,1)),ROW(Income!A$3:A$502)-2),2)),0)=0,"",IFERROR(-INDEX(Expenses!D$3:D$1002,SMALL(IF((Expenses!E$3:E$1002="GBP")*(Expenses!A$3:A$1002=DATE(2026,8,1)),ROW(Expenses!A$3:A$1002)-2),2)),0)+IFERROR(INDEX(Income!C$3:C$502,SMALL(IF((Income!D$3:D$502="GBP")*(Income!A$3:A$502=DATE(2026,8,1)),ROW(Income!A$3:A$502)-2),2)),0))</f>
        <v/>
      </c>
      <c r="N155" s="38" t="str">
        <f aca="false">IF(IFERROR(INDEX(Expenses!B$3:B$1002,SMALL(IF((Expenses!E$3:E$1002="GBP")*(Expenses!A$3:A$1002=DATE(2026,8,1)),ROW(Expenses!A$3:A$1002)-2),2)),"")&lt;&gt;"",IFERROR(INDEX(Expenses!B$3:B$1002,SMALL(IF((Expenses!E$3:E$1002="GBP")*(Expenses!A$3:A$1002=DATE(2026,8,1)),ROW(Expenses!A$3:A$1002)-2),2)),""),IF(IFERROR(INDEX(Income!B$3:B$502,SMALL(IF((Income!D$3:D$502="GBP")*(Income!A$3:A$502=DATE(2026,8,1)),ROW(Income!A$3:A$502)-2),2)),"")&lt;&gt;"",IFERROR(INDEX(Income!B$3:B$502,SMALL(IF((Income!D$3:D$502="GBP")*(Income!A$3:A$502=DATE(2026,8,1)),ROW(Income!A$3:A$502)-2),2)),""),""))</f>
        <v/>
      </c>
      <c r="O155" s="62" t="str">
        <f aca="false">IF(IFERROR(-INDEX(Expenses!D$3:D$1002,SMALL(IF((Expenses!E$3:E$1002="GBP")*(Expenses!A$3:A$1002=DATE(2026,8,2)),ROW(Expenses!A$3:A$1002)-2),2)),0)+IFERROR(INDEX(Income!C$3:C$502,SMALL(IF((Income!D$3:D$502="GBP")*(Income!A$3:A$502=DATE(2026,8,2)),ROW(Income!A$3:A$502)-2),2)),0)=0,"",IFERROR(-INDEX(Expenses!D$3:D$1002,SMALL(IF((Expenses!E$3:E$1002="GBP")*(Expenses!A$3:A$1002=DATE(2026,8,2)),ROW(Expenses!A$3:A$1002)-2),2)),0)+IFERROR(INDEX(Income!C$3:C$502,SMALL(IF((Income!D$3:D$502="GBP")*(Income!A$3:A$502=DATE(2026,8,2)),ROW(Income!A$3:A$502)-2),2)),0))</f>
        <v/>
      </c>
      <c r="P155" s="38" t="str">
        <f aca="false">IF(IFERROR(INDEX(Expenses!B$3:B$1002,SMALL(IF((Expenses!E$3:E$1002="GBP")*(Expenses!A$3:A$1002=DATE(2026,8,2)),ROW(Expenses!A$3:A$1002)-2),2)),"")&lt;&gt;"",IFERROR(INDEX(Expenses!B$3:B$1002,SMALL(IF((Expenses!E$3:E$1002="GBP")*(Expenses!A$3:A$1002=DATE(2026,8,2)),ROW(Expenses!A$3:A$1002)-2),2)),""),IF(IFERROR(INDEX(Income!B$3:B$502,SMALL(IF((Income!D$3:D$502="GBP")*(Income!A$3:A$502=DATE(2026,8,2)),ROW(Income!A$3:A$502)-2),2)),"")&lt;&gt;"",IFERROR(INDEX(Income!B$3:B$502,SMALL(IF((Income!D$3:D$502="GBP")*(Income!A$3:A$502=DATE(2026,8,2)),ROW(Income!A$3:A$502)-2),2)),""),""))</f>
        <v/>
      </c>
      <c r="Q155" s="16"/>
      <c r="R155" s="16"/>
    </row>
    <row r="156" customFormat="false" ht="15" hidden="false" customHeight="false" outlineLevel="0" collapsed="false">
      <c r="A156" s="16"/>
      <c r="B156" s="16"/>
      <c r="C156" s="62" t="str">
        <f aca="false">IF(IFERROR(-INDEX(Expenses!D$3:D$1002,SMALL(IF((Expenses!E$3:E$1002="GBP")*(Expenses!A$3:A$1002=DATE(2026,7,27)),ROW(Expenses!A$3:A$1002)-2),3)),0)+IFERROR(INDEX(Income!C$3:C$502,SMALL(IF((Income!D$3:D$502="GBP")*(Income!A$3:A$502=DATE(2026,7,27)),ROW(Income!A$3:A$502)-2),3)),0)=0,"",IFERROR(-INDEX(Expenses!D$3:D$1002,SMALL(IF((Expenses!E$3:E$1002="GBP")*(Expenses!A$3:A$1002=DATE(2026,7,27)),ROW(Expenses!A$3:A$1002)-2),3)),0)+IFERROR(INDEX(Income!C$3:C$502,SMALL(IF((Income!D$3:D$502="GBP")*(Income!A$3:A$502=DATE(2026,7,27)),ROW(Income!A$3:A$502)-2),3)),0))</f>
        <v/>
      </c>
      <c r="D156" s="38" t="str">
        <f aca="false">IF(IFERROR(INDEX(Expenses!B$3:B$1002,SMALL(IF((Expenses!E$3:E$1002="GBP")*(Expenses!A$3:A$1002=DATE(2026,7,27)),ROW(Expenses!A$3:A$1002)-2),3)),"")&lt;&gt;"",IFERROR(INDEX(Expenses!B$3:B$1002,SMALL(IF((Expenses!E$3:E$1002="GBP")*(Expenses!A$3:A$1002=DATE(2026,7,27)),ROW(Expenses!A$3:A$1002)-2),3)),""),IF(IFERROR(INDEX(Income!B$3:B$502,SMALL(IF((Income!D$3:D$502="GBP")*(Income!A$3:A$502=DATE(2026,7,27)),ROW(Income!A$3:A$502)-2),3)),"")&lt;&gt;"",IFERROR(INDEX(Income!B$3:B$502,SMALL(IF((Income!D$3:D$502="GBP")*(Income!A$3:A$502=DATE(2026,7,27)),ROW(Income!A$3:A$502)-2),3)),""),""))</f>
        <v/>
      </c>
      <c r="E156" s="62" t="str">
        <f aca="false">IF(IFERROR(-INDEX(Expenses!D$3:D$1002,SMALL(IF((Expenses!E$3:E$1002="GBP")*(Expenses!A$3:A$1002=DATE(2026,7,28)),ROW(Expenses!A$3:A$1002)-2),3)),0)+IFERROR(INDEX(Income!C$3:C$502,SMALL(IF((Income!D$3:D$502="GBP")*(Income!A$3:A$502=DATE(2026,7,28)),ROW(Income!A$3:A$502)-2),3)),0)=0,"",IFERROR(-INDEX(Expenses!D$3:D$1002,SMALL(IF((Expenses!E$3:E$1002="GBP")*(Expenses!A$3:A$1002=DATE(2026,7,28)),ROW(Expenses!A$3:A$1002)-2),3)),0)+IFERROR(INDEX(Income!C$3:C$502,SMALL(IF((Income!D$3:D$502="GBP")*(Income!A$3:A$502=DATE(2026,7,28)),ROW(Income!A$3:A$502)-2),3)),0))</f>
        <v/>
      </c>
      <c r="F156" s="38" t="str">
        <f aca="false">IF(IFERROR(INDEX(Expenses!B$3:B$1002,SMALL(IF((Expenses!E$3:E$1002="GBP")*(Expenses!A$3:A$1002=DATE(2026,7,28)),ROW(Expenses!A$3:A$1002)-2),3)),"")&lt;&gt;"",IFERROR(INDEX(Expenses!B$3:B$1002,SMALL(IF((Expenses!E$3:E$1002="GBP")*(Expenses!A$3:A$1002=DATE(2026,7,28)),ROW(Expenses!A$3:A$1002)-2),3)),""),IF(IFERROR(INDEX(Income!B$3:B$502,SMALL(IF((Income!D$3:D$502="GBP")*(Income!A$3:A$502=DATE(2026,7,28)),ROW(Income!A$3:A$502)-2),3)),"")&lt;&gt;"",IFERROR(INDEX(Income!B$3:B$502,SMALL(IF((Income!D$3:D$502="GBP")*(Income!A$3:A$502=DATE(2026,7,28)),ROW(Income!A$3:A$502)-2),3)),""),""))</f>
        <v/>
      </c>
      <c r="G156" s="62" t="str">
        <f aca="false">IF(IFERROR(-INDEX(Expenses!D$3:D$1002,SMALL(IF((Expenses!E$3:E$1002="GBP")*(Expenses!A$3:A$1002=DATE(2026,7,29)),ROW(Expenses!A$3:A$1002)-2),3)),0)+IFERROR(INDEX(Income!C$3:C$502,SMALL(IF((Income!D$3:D$502="GBP")*(Income!A$3:A$502=DATE(2026,7,29)),ROW(Income!A$3:A$502)-2),3)),0)=0,"",IFERROR(-INDEX(Expenses!D$3:D$1002,SMALL(IF((Expenses!E$3:E$1002="GBP")*(Expenses!A$3:A$1002=DATE(2026,7,29)),ROW(Expenses!A$3:A$1002)-2),3)),0)+IFERROR(INDEX(Income!C$3:C$502,SMALL(IF((Income!D$3:D$502="GBP")*(Income!A$3:A$502=DATE(2026,7,29)),ROW(Income!A$3:A$502)-2),3)),0))</f>
        <v/>
      </c>
      <c r="H156" s="38" t="str">
        <f aca="false">IF(IFERROR(INDEX(Expenses!B$3:B$1002,SMALL(IF((Expenses!E$3:E$1002="GBP")*(Expenses!A$3:A$1002=DATE(2026,7,29)),ROW(Expenses!A$3:A$1002)-2),3)),"")&lt;&gt;"",IFERROR(INDEX(Expenses!B$3:B$1002,SMALL(IF((Expenses!E$3:E$1002="GBP")*(Expenses!A$3:A$1002=DATE(2026,7,29)),ROW(Expenses!A$3:A$1002)-2),3)),""),IF(IFERROR(INDEX(Income!B$3:B$502,SMALL(IF((Income!D$3:D$502="GBP")*(Income!A$3:A$502=DATE(2026,7,29)),ROW(Income!A$3:A$502)-2),3)),"")&lt;&gt;"",IFERROR(INDEX(Income!B$3:B$502,SMALL(IF((Income!D$3:D$502="GBP")*(Income!A$3:A$502=DATE(2026,7,29)),ROW(Income!A$3:A$502)-2),3)),""),""))</f>
        <v/>
      </c>
      <c r="I156" s="62" t="str">
        <f aca="false">IF(IFERROR(-INDEX(Expenses!D$3:D$1002,SMALL(IF((Expenses!E$3:E$1002="GBP")*(Expenses!A$3:A$1002=DATE(2026,7,30)),ROW(Expenses!A$3:A$1002)-2),3)),0)+IFERROR(INDEX(Income!C$3:C$502,SMALL(IF((Income!D$3:D$502="GBP")*(Income!A$3:A$502=DATE(2026,7,30)),ROW(Income!A$3:A$502)-2),3)),0)=0,"",IFERROR(-INDEX(Expenses!D$3:D$1002,SMALL(IF((Expenses!E$3:E$1002="GBP")*(Expenses!A$3:A$1002=DATE(2026,7,30)),ROW(Expenses!A$3:A$1002)-2),3)),0)+IFERROR(INDEX(Income!C$3:C$502,SMALL(IF((Income!D$3:D$502="GBP")*(Income!A$3:A$502=DATE(2026,7,30)),ROW(Income!A$3:A$502)-2),3)),0))</f>
        <v/>
      </c>
      <c r="J156" s="38" t="str">
        <f aca="false">IF(IFERROR(INDEX(Expenses!B$3:B$1002,SMALL(IF((Expenses!E$3:E$1002="GBP")*(Expenses!A$3:A$1002=DATE(2026,7,30)),ROW(Expenses!A$3:A$1002)-2),3)),"")&lt;&gt;"",IFERROR(INDEX(Expenses!B$3:B$1002,SMALL(IF((Expenses!E$3:E$1002="GBP")*(Expenses!A$3:A$1002=DATE(2026,7,30)),ROW(Expenses!A$3:A$1002)-2),3)),""),IF(IFERROR(INDEX(Income!B$3:B$502,SMALL(IF((Income!D$3:D$502="GBP")*(Income!A$3:A$502=DATE(2026,7,30)),ROW(Income!A$3:A$502)-2),3)),"")&lt;&gt;"",IFERROR(INDEX(Income!B$3:B$502,SMALL(IF((Income!D$3:D$502="GBP")*(Income!A$3:A$502=DATE(2026,7,30)),ROW(Income!A$3:A$502)-2),3)),""),""))</f>
        <v/>
      </c>
      <c r="K156" s="62" t="str">
        <f aca="false">IF(IFERROR(-INDEX(Expenses!D$3:D$1002,SMALL(IF((Expenses!E$3:E$1002="GBP")*(Expenses!A$3:A$1002=DATE(2026,7,31)),ROW(Expenses!A$3:A$1002)-2),3)),0)+IFERROR(INDEX(Income!C$3:C$502,SMALL(IF((Income!D$3:D$502="GBP")*(Income!A$3:A$502=DATE(2026,7,31)),ROW(Income!A$3:A$502)-2),3)),0)=0,"",IFERROR(-INDEX(Expenses!D$3:D$1002,SMALL(IF((Expenses!E$3:E$1002="GBP")*(Expenses!A$3:A$1002=DATE(2026,7,31)),ROW(Expenses!A$3:A$1002)-2),3)),0)+IFERROR(INDEX(Income!C$3:C$502,SMALL(IF((Income!D$3:D$502="GBP")*(Income!A$3:A$502=DATE(2026,7,31)),ROW(Income!A$3:A$502)-2),3)),0))</f>
        <v/>
      </c>
      <c r="L156" s="38" t="str">
        <f aca="false">IF(IFERROR(INDEX(Expenses!B$3:B$1002,SMALL(IF((Expenses!E$3:E$1002="GBP")*(Expenses!A$3:A$1002=DATE(2026,7,31)),ROW(Expenses!A$3:A$1002)-2),3)),"")&lt;&gt;"",IFERROR(INDEX(Expenses!B$3:B$1002,SMALL(IF((Expenses!E$3:E$1002="GBP")*(Expenses!A$3:A$1002=DATE(2026,7,31)),ROW(Expenses!A$3:A$1002)-2),3)),""),IF(IFERROR(INDEX(Income!B$3:B$502,SMALL(IF((Income!D$3:D$502="GBP")*(Income!A$3:A$502=DATE(2026,7,31)),ROW(Income!A$3:A$502)-2),3)),"")&lt;&gt;"",IFERROR(INDEX(Income!B$3:B$502,SMALL(IF((Income!D$3:D$502="GBP")*(Income!A$3:A$502=DATE(2026,7,31)),ROW(Income!A$3:A$502)-2),3)),""),""))</f>
        <v/>
      </c>
      <c r="M156" s="62" t="str">
        <f aca="false">IF(IFERROR(-INDEX(Expenses!D$3:D$1002,SMALL(IF((Expenses!E$3:E$1002="GBP")*(Expenses!A$3:A$1002=DATE(2026,8,1)),ROW(Expenses!A$3:A$1002)-2),3)),0)+IFERROR(INDEX(Income!C$3:C$502,SMALL(IF((Income!D$3:D$502="GBP")*(Income!A$3:A$502=DATE(2026,8,1)),ROW(Income!A$3:A$502)-2),3)),0)=0,"",IFERROR(-INDEX(Expenses!D$3:D$1002,SMALL(IF((Expenses!E$3:E$1002="GBP")*(Expenses!A$3:A$1002=DATE(2026,8,1)),ROW(Expenses!A$3:A$1002)-2),3)),0)+IFERROR(INDEX(Income!C$3:C$502,SMALL(IF((Income!D$3:D$502="GBP")*(Income!A$3:A$502=DATE(2026,8,1)),ROW(Income!A$3:A$502)-2),3)),0))</f>
        <v/>
      </c>
      <c r="N156" s="38" t="str">
        <f aca="false">IF(IFERROR(INDEX(Expenses!B$3:B$1002,SMALL(IF((Expenses!E$3:E$1002="GBP")*(Expenses!A$3:A$1002=DATE(2026,8,1)),ROW(Expenses!A$3:A$1002)-2),3)),"")&lt;&gt;"",IFERROR(INDEX(Expenses!B$3:B$1002,SMALL(IF((Expenses!E$3:E$1002="GBP")*(Expenses!A$3:A$1002=DATE(2026,8,1)),ROW(Expenses!A$3:A$1002)-2),3)),""),IF(IFERROR(INDEX(Income!B$3:B$502,SMALL(IF((Income!D$3:D$502="GBP")*(Income!A$3:A$502=DATE(2026,8,1)),ROW(Income!A$3:A$502)-2),3)),"")&lt;&gt;"",IFERROR(INDEX(Income!B$3:B$502,SMALL(IF((Income!D$3:D$502="GBP")*(Income!A$3:A$502=DATE(2026,8,1)),ROW(Income!A$3:A$502)-2),3)),""),""))</f>
        <v/>
      </c>
      <c r="O156" s="62" t="str">
        <f aca="false">IF(IFERROR(-INDEX(Expenses!D$3:D$1002,SMALL(IF((Expenses!E$3:E$1002="GBP")*(Expenses!A$3:A$1002=DATE(2026,8,2)),ROW(Expenses!A$3:A$1002)-2),3)),0)+IFERROR(INDEX(Income!C$3:C$502,SMALL(IF((Income!D$3:D$502="GBP")*(Income!A$3:A$502=DATE(2026,8,2)),ROW(Income!A$3:A$502)-2),3)),0)=0,"",IFERROR(-INDEX(Expenses!D$3:D$1002,SMALL(IF((Expenses!E$3:E$1002="GBP")*(Expenses!A$3:A$1002=DATE(2026,8,2)),ROW(Expenses!A$3:A$1002)-2),3)),0)+IFERROR(INDEX(Income!C$3:C$502,SMALL(IF((Income!D$3:D$502="GBP")*(Income!A$3:A$502=DATE(2026,8,2)),ROW(Income!A$3:A$502)-2),3)),0))</f>
        <v/>
      </c>
      <c r="P156" s="38" t="str">
        <f aca="false">IF(IFERROR(INDEX(Expenses!B$3:B$1002,SMALL(IF((Expenses!E$3:E$1002="GBP")*(Expenses!A$3:A$1002=DATE(2026,8,2)),ROW(Expenses!A$3:A$1002)-2),3)),"")&lt;&gt;"",IFERROR(INDEX(Expenses!B$3:B$1002,SMALL(IF((Expenses!E$3:E$1002="GBP")*(Expenses!A$3:A$1002=DATE(2026,8,2)),ROW(Expenses!A$3:A$1002)-2),3)),""),IF(IFERROR(INDEX(Income!B$3:B$502,SMALL(IF((Income!D$3:D$502="GBP")*(Income!A$3:A$502=DATE(2026,8,2)),ROW(Income!A$3:A$502)-2),3)),"")&lt;&gt;"",IFERROR(INDEX(Income!B$3:B$502,SMALL(IF((Income!D$3:D$502="GBP")*(Income!A$3:A$502=DATE(2026,8,2)),ROW(Income!A$3:A$502)-2),3)),""),""))</f>
        <v/>
      </c>
      <c r="Q156" s="16"/>
      <c r="R156" s="16"/>
    </row>
    <row r="157" customFormat="false" ht="15" hidden="false" customHeight="false" outlineLevel="0" collapsed="false">
      <c r="A157" s="16"/>
      <c r="B157" s="16"/>
      <c r="C157" s="62" t="str">
        <f aca="false">IF(IFERROR(-INDEX(Expenses!D$3:D$1002,SMALL(IF((Expenses!E$3:E$1002="GBP")*(Expenses!A$3:A$1002=DATE(2026,7,27)),ROW(Expenses!A$3:A$1002)-2),4)),0)+IFERROR(INDEX(Income!C$3:C$502,SMALL(IF((Income!D$3:D$502="GBP")*(Income!A$3:A$502=DATE(2026,7,27)),ROW(Income!A$3:A$502)-2),4)),0)=0,"",IFERROR(-INDEX(Expenses!D$3:D$1002,SMALL(IF((Expenses!E$3:E$1002="GBP")*(Expenses!A$3:A$1002=DATE(2026,7,27)),ROW(Expenses!A$3:A$1002)-2),4)),0)+IFERROR(INDEX(Income!C$3:C$502,SMALL(IF((Income!D$3:D$502="GBP")*(Income!A$3:A$502=DATE(2026,7,27)),ROW(Income!A$3:A$502)-2),4)),0))</f>
        <v/>
      </c>
      <c r="D157" s="38" t="str">
        <f aca="false">IF(IFERROR(INDEX(Expenses!B$3:B$1002,SMALL(IF((Expenses!E$3:E$1002="GBP")*(Expenses!A$3:A$1002=DATE(2026,7,27)),ROW(Expenses!A$3:A$1002)-2),4)),"")&lt;&gt;"",IFERROR(INDEX(Expenses!B$3:B$1002,SMALL(IF((Expenses!E$3:E$1002="GBP")*(Expenses!A$3:A$1002=DATE(2026,7,27)),ROW(Expenses!A$3:A$1002)-2),4)),""),IF(IFERROR(INDEX(Income!B$3:B$502,SMALL(IF((Income!D$3:D$502="GBP")*(Income!A$3:A$502=DATE(2026,7,27)),ROW(Income!A$3:A$502)-2),4)),"")&lt;&gt;"",IFERROR(INDEX(Income!B$3:B$502,SMALL(IF((Income!D$3:D$502="GBP")*(Income!A$3:A$502=DATE(2026,7,27)),ROW(Income!A$3:A$502)-2),4)),""),""))</f>
        <v/>
      </c>
      <c r="E157" s="62" t="str">
        <f aca="false">IF(IFERROR(-INDEX(Expenses!D$3:D$1002,SMALL(IF((Expenses!E$3:E$1002="GBP")*(Expenses!A$3:A$1002=DATE(2026,7,28)),ROW(Expenses!A$3:A$1002)-2),4)),0)+IFERROR(INDEX(Income!C$3:C$502,SMALL(IF((Income!D$3:D$502="GBP")*(Income!A$3:A$502=DATE(2026,7,28)),ROW(Income!A$3:A$502)-2),4)),0)=0,"",IFERROR(-INDEX(Expenses!D$3:D$1002,SMALL(IF((Expenses!E$3:E$1002="GBP")*(Expenses!A$3:A$1002=DATE(2026,7,28)),ROW(Expenses!A$3:A$1002)-2),4)),0)+IFERROR(INDEX(Income!C$3:C$502,SMALL(IF((Income!D$3:D$502="GBP")*(Income!A$3:A$502=DATE(2026,7,28)),ROW(Income!A$3:A$502)-2),4)),0))</f>
        <v/>
      </c>
      <c r="F157" s="38" t="str">
        <f aca="false">IF(IFERROR(INDEX(Expenses!B$3:B$1002,SMALL(IF((Expenses!E$3:E$1002="GBP")*(Expenses!A$3:A$1002=DATE(2026,7,28)),ROW(Expenses!A$3:A$1002)-2),4)),"")&lt;&gt;"",IFERROR(INDEX(Expenses!B$3:B$1002,SMALL(IF((Expenses!E$3:E$1002="GBP")*(Expenses!A$3:A$1002=DATE(2026,7,28)),ROW(Expenses!A$3:A$1002)-2),4)),""),IF(IFERROR(INDEX(Income!B$3:B$502,SMALL(IF((Income!D$3:D$502="GBP")*(Income!A$3:A$502=DATE(2026,7,28)),ROW(Income!A$3:A$502)-2),4)),"")&lt;&gt;"",IFERROR(INDEX(Income!B$3:B$502,SMALL(IF((Income!D$3:D$502="GBP")*(Income!A$3:A$502=DATE(2026,7,28)),ROW(Income!A$3:A$502)-2),4)),""),""))</f>
        <v/>
      </c>
      <c r="G157" s="62" t="str">
        <f aca="false">IF(IFERROR(-INDEX(Expenses!D$3:D$1002,SMALL(IF((Expenses!E$3:E$1002="GBP")*(Expenses!A$3:A$1002=DATE(2026,7,29)),ROW(Expenses!A$3:A$1002)-2),4)),0)+IFERROR(INDEX(Income!C$3:C$502,SMALL(IF((Income!D$3:D$502="GBP")*(Income!A$3:A$502=DATE(2026,7,29)),ROW(Income!A$3:A$502)-2),4)),0)=0,"",IFERROR(-INDEX(Expenses!D$3:D$1002,SMALL(IF((Expenses!E$3:E$1002="GBP")*(Expenses!A$3:A$1002=DATE(2026,7,29)),ROW(Expenses!A$3:A$1002)-2),4)),0)+IFERROR(INDEX(Income!C$3:C$502,SMALL(IF((Income!D$3:D$502="GBP")*(Income!A$3:A$502=DATE(2026,7,29)),ROW(Income!A$3:A$502)-2),4)),0))</f>
        <v/>
      </c>
      <c r="H157" s="38" t="str">
        <f aca="false">IF(IFERROR(INDEX(Expenses!B$3:B$1002,SMALL(IF((Expenses!E$3:E$1002="GBP")*(Expenses!A$3:A$1002=DATE(2026,7,29)),ROW(Expenses!A$3:A$1002)-2),4)),"")&lt;&gt;"",IFERROR(INDEX(Expenses!B$3:B$1002,SMALL(IF((Expenses!E$3:E$1002="GBP")*(Expenses!A$3:A$1002=DATE(2026,7,29)),ROW(Expenses!A$3:A$1002)-2),4)),""),IF(IFERROR(INDEX(Income!B$3:B$502,SMALL(IF((Income!D$3:D$502="GBP")*(Income!A$3:A$502=DATE(2026,7,29)),ROW(Income!A$3:A$502)-2),4)),"")&lt;&gt;"",IFERROR(INDEX(Income!B$3:B$502,SMALL(IF((Income!D$3:D$502="GBP")*(Income!A$3:A$502=DATE(2026,7,29)),ROW(Income!A$3:A$502)-2),4)),""),""))</f>
        <v/>
      </c>
      <c r="I157" s="62" t="str">
        <f aca="false">IF(IFERROR(-INDEX(Expenses!D$3:D$1002,SMALL(IF((Expenses!E$3:E$1002="GBP")*(Expenses!A$3:A$1002=DATE(2026,7,30)),ROW(Expenses!A$3:A$1002)-2),4)),0)+IFERROR(INDEX(Income!C$3:C$502,SMALL(IF((Income!D$3:D$502="GBP")*(Income!A$3:A$502=DATE(2026,7,30)),ROW(Income!A$3:A$502)-2),4)),0)=0,"",IFERROR(-INDEX(Expenses!D$3:D$1002,SMALL(IF((Expenses!E$3:E$1002="GBP")*(Expenses!A$3:A$1002=DATE(2026,7,30)),ROW(Expenses!A$3:A$1002)-2),4)),0)+IFERROR(INDEX(Income!C$3:C$502,SMALL(IF((Income!D$3:D$502="GBP")*(Income!A$3:A$502=DATE(2026,7,30)),ROW(Income!A$3:A$502)-2),4)),0))</f>
        <v/>
      </c>
      <c r="J157" s="38" t="str">
        <f aca="false">IF(IFERROR(INDEX(Expenses!B$3:B$1002,SMALL(IF((Expenses!E$3:E$1002="GBP")*(Expenses!A$3:A$1002=DATE(2026,7,30)),ROW(Expenses!A$3:A$1002)-2),4)),"")&lt;&gt;"",IFERROR(INDEX(Expenses!B$3:B$1002,SMALL(IF((Expenses!E$3:E$1002="GBP")*(Expenses!A$3:A$1002=DATE(2026,7,30)),ROW(Expenses!A$3:A$1002)-2),4)),""),IF(IFERROR(INDEX(Income!B$3:B$502,SMALL(IF((Income!D$3:D$502="GBP")*(Income!A$3:A$502=DATE(2026,7,30)),ROW(Income!A$3:A$502)-2),4)),"")&lt;&gt;"",IFERROR(INDEX(Income!B$3:B$502,SMALL(IF((Income!D$3:D$502="GBP")*(Income!A$3:A$502=DATE(2026,7,30)),ROW(Income!A$3:A$502)-2),4)),""),""))</f>
        <v/>
      </c>
      <c r="K157" s="62" t="str">
        <f aca="false">IF(IFERROR(-INDEX(Expenses!D$3:D$1002,SMALL(IF((Expenses!E$3:E$1002="GBP")*(Expenses!A$3:A$1002=DATE(2026,7,31)),ROW(Expenses!A$3:A$1002)-2),4)),0)+IFERROR(INDEX(Income!C$3:C$502,SMALL(IF((Income!D$3:D$502="GBP")*(Income!A$3:A$502=DATE(2026,7,31)),ROW(Income!A$3:A$502)-2),4)),0)=0,"",IFERROR(-INDEX(Expenses!D$3:D$1002,SMALL(IF((Expenses!E$3:E$1002="GBP")*(Expenses!A$3:A$1002=DATE(2026,7,31)),ROW(Expenses!A$3:A$1002)-2),4)),0)+IFERROR(INDEX(Income!C$3:C$502,SMALL(IF((Income!D$3:D$502="GBP")*(Income!A$3:A$502=DATE(2026,7,31)),ROW(Income!A$3:A$502)-2),4)),0))</f>
        <v/>
      </c>
      <c r="L157" s="38" t="str">
        <f aca="false">IF(IFERROR(INDEX(Expenses!B$3:B$1002,SMALL(IF((Expenses!E$3:E$1002="GBP")*(Expenses!A$3:A$1002=DATE(2026,7,31)),ROW(Expenses!A$3:A$1002)-2),4)),"")&lt;&gt;"",IFERROR(INDEX(Expenses!B$3:B$1002,SMALL(IF((Expenses!E$3:E$1002="GBP")*(Expenses!A$3:A$1002=DATE(2026,7,31)),ROW(Expenses!A$3:A$1002)-2),4)),""),IF(IFERROR(INDEX(Income!B$3:B$502,SMALL(IF((Income!D$3:D$502="GBP")*(Income!A$3:A$502=DATE(2026,7,31)),ROW(Income!A$3:A$502)-2),4)),"")&lt;&gt;"",IFERROR(INDEX(Income!B$3:B$502,SMALL(IF((Income!D$3:D$502="GBP")*(Income!A$3:A$502=DATE(2026,7,31)),ROW(Income!A$3:A$502)-2),4)),""),""))</f>
        <v/>
      </c>
      <c r="M157" s="62" t="str">
        <f aca="false">IF(IFERROR(-INDEX(Expenses!D$3:D$1002,SMALL(IF((Expenses!E$3:E$1002="GBP")*(Expenses!A$3:A$1002=DATE(2026,8,1)),ROW(Expenses!A$3:A$1002)-2),4)),0)+IFERROR(INDEX(Income!C$3:C$502,SMALL(IF((Income!D$3:D$502="GBP")*(Income!A$3:A$502=DATE(2026,8,1)),ROW(Income!A$3:A$502)-2),4)),0)=0,"",IFERROR(-INDEX(Expenses!D$3:D$1002,SMALL(IF((Expenses!E$3:E$1002="GBP")*(Expenses!A$3:A$1002=DATE(2026,8,1)),ROW(Expenses!A$3:A$1002)-2),4)),0)+IFERROR(INDEX(Income!C$3:C$502,SMALL(IF((Income!D$3:D$502="GBP")*(Income!A$3:A$502=DATE(2026,8,1)),ROW(Income!A$3:A$502)-2),4)),0))</f>
        <v/>
      </c>
      <c r="N157" s="38" t="str">
        <f aca="false">IF(IFERROR(INDEX(Expenses!B$3:B$1002,SMALL(IF((Expenses!E$3:E$1002="GBP")*(Expenses!A$3:A$1002=DATE(2026,8,1)),ROW(Expenses!A$3:A$1002)-2),4)),"")&lt;&gt;"",IFERROR(INDEX(Expenses!B$3:B$1002,SMALL(IF((Expenses!E$3:E$1002="GBP")*(Expenses!A$3:A$1002=DATE(2026,8,1)),ROW(Expenses!A$3:A$1002)-2),4)),""),IF(IFERROR(INDEX(Income!B$3:B$502,SMALL(IF((Income!D$3:D$502="GBP")*(Income!A$3:A$502=DATE(2026,8,1)),ROW(Income!A$3:A$502)-2),4)),"")&lt;&gt;"",IFERROR(INDEX(Income!B$3:B$502,SMALL(IF((Income!D$3:D$502="GBP")*(Income!A$3:A$502=DATE(2026,8,1)),ROW(Income!A$3:A$502)-2),4)),""),""))</f>
        <v/>
      </c>
      <c r="O157" s="62" t="str">
        <f aca="false">IF(IFERROR(-INDEX(Expenses!D$3:D$1002,SMALL(IF((Expenses!E$3:E$1002="GBP")*(Expenses!A$3:A$1002=DATE(2026,8,2)),ROW(Expenses!A$3:A$1002)-2),4)),0)+IFERROR(INDEX(Income!C$3:C$502,SMALL(IF((Income!D$3:D$502="GBP")*(Income!A$3:A$502=DATE(2026,8,2)),ROW(Income!A$3:A$502)-2),4)),0)=0,"",IFERROR(-INDEX(Expenses!D$3:D$1002,SMALL(IF((Expenses!E$3:E$1002="GBP")*(Expenses!A$3:A$1002=DATE(2026,8,2)),ROW(Expenses!A$3:A$1002)-2),4)),0)+IFERROR(INDEX(Income!C$3:C$502,SMALL(IF((Income!D$3:D$502="GBP")*(Income!A$3:A$502=DATE(2026,8,2)),ROW(Income!A$3:A$502)-2),4)),0))</f>
        <v/>
      </c>
      <c r="P157" s="38" t="str">
        <f aca="false">IF(IFERROR(INDEX(Expenses!B$3:B$1002,SMALL(IF((Expenses!E$3:E$1002="GBP")*(Expenses!A$3:A$1002=DATE(2026,8,2)),ROW(Expenses!A$3:A$1002)-2),4)),"")&lt;&gt;"",IFERROR(INDEX(Expenses!B$3:B$1002,SMALL(IF((Expenses!E$3:E$1002="GBP")*(Expenses!A$3:A$1002=DATE(2026,8,2)),ROW(Expenses!A$3:A$1002)-2),4)),""),IF(IFERROR(INDEX(Income!B$3:B$502,SMALL(IF((Income!D$3:D$502="GBP")*(Income!A$3:A$502=DATE(2026,8,2)),ROW(Income!A$3:A$502)-2),4)),"")&lt;&gt;"",IFERROR(INDEX(Income!B$3:B$502,SMALL(IF((Income!D$3:D$502="GBP")*(Income!A$3:A$502=DATE(2026,8,2)),ROW(Income!A$3:A$502)-2),4)),""),""))</f>
        <v/>
      </c>
      <c r="Q157" s="16"/>
      <c r="R157" s="16"/>
    </row>
    <row r="158" customFormat="false" ht="15" hidden="false" customHeight="false" outlineLevel="0" collapsed="false">
      <c r="A158" s="16"/>
      <c r="B158" s="16"/>
      <c r="C158" s="62" t="str">
        <f aca="false">IF(IFERROR(-INDEX(Expenses!D$3:D$1002,SMALL(IF((Expenses!E$3:E$1002="GBP")*(Expenses!A$3:A$1002=DATE(2026,7,27)),ROW(Expenses!A$3:A$1002)-2),5)),0)+IFERROR(INDEX(Income!C$3:C$502,SMALL(IF((Income!D$3:D$502="GBP")*(Income!A$3:A$502=DATE(2026,7,27)),ROW(Income!A$3:A$502)-2),5)),0)=0,"",IFERROR(-INDEX(Expenses!D$3:D$1002,SMALL(IF((Expenses!E$3:E$1002="GBP")*(Expenses!A$3:A$1002=DATE(2026,7,27)),ROW(Expenses!A$3:A$1002)-2),5)),0)+IFERROR(INDEX(Income!C$3:C$502,SMALL(IF((Income!D$3:D$502="GBP")*(Income!A$3:A$502=DATE(2026,7,27)),ROW(Income!A$3:A$502)-2),5)),0))</f>
        <v/>
      </c>
      <c r="D158" s="38" t="str">
        <f aca="false">IF(IFERROR(INDEX(Expenses!B$3:B$1002,SMALL(IF((Expenses!E$3:E$1002="GBP")*(Expenses!A$3:A$1002=DATE(2026,7,27)),ROW(Expenses!A$3:A$1002)-2),5)),"")&lt;&gt;"",IFERROR(INDEX(Expenses!B$3:B$1002,SMALL(IF((Expenses!E$3:E$1002="GBP")*(Expenses!A$3:A$1002=DATE(2026,7,27)),ROW(Expenses!A$3:A$1002)-2),5)),""),IF(IFERROR(INDEX(Income!B$3:B$502,SMALL(IF((Income!D$3:D$502="GBP")*(Income!A$3:A$502=DATE(2026,7,27)),ROW(Income!A$3:A$502)-2),5)),"")&lt;&gt;"",IFERROR(INDEX(Income!B$3:B$502,SMALL(IF((Income!D$3:D$502="GBP")*(Income!A$3:A$502=DATE(2026,7,27)),ROW(Income!A$3:A$502)-2),5)),""),""))</f>
        <v/>
      </c>
      <c r="E158" s="62" t="str">
        <f aca="false">IF(IFERROR(-INDEX(Expenses!D$3:D$1002,SMALL(IF((Expenses!E$3:E$1002="GBP")*(Expenses!A$3:A$1002=DATE(2026,7,28)),ROW(Expenses!A$3:A$1002)-2),5)),0)+IFERROR(INDEX(Income!C$3:C$502,SMALL(IF((Income!D$3:D$502="GBP")*(Income!A$3:A$502=DATE(2026,7,28)),ROW(Income!A$3:A$502)-2),5)),0)=0,"",IFERROR(-INDEX(Expenses!D$3:D$1002,SMALL(IF((Expenses!E$3:E$1002="GBP")*(Expenses!A$3:A$1002=DATE(2026,7,28)),ROW(Expenses!A$3:A$1002)-2),5)),0)+IFERROR(INDEX(Income!C$3:C$502,SMALL(IF((Income!D$3:D$502="GBP")*(Income!A$3:A$502=DATE(2026,7,28)),ROW(Income!A$3:A$502)-2),5)),0))</f>
        <v/>
      </c>
      <c r="F158" s="38" t="str">
        <f aca="false">IF(IFERROR(INDEX(Expenses!B$3:B$1002,SMALL(IF((Expenses!E$3:E$1002="GBP")*(Expenses!A$3:A$1002=DATE(2026,7,28)),ROW(Expenses!A$3:A$1002)-2),5)),"")&lt;&gt;"",IFERROR(INDEX(Expenses!B$3:B$1002,SMALL(IF((Expenses!E$3:E$1002="GBP")*(Expenses!A$3:A$1002=DATE(2026,7,28)),ROW(Expenses!A$3:A$1002)-2),5)),""),IF(IFERROR(INDEX(Income!B$3:B$502,SMALL(IF((Income!D$3:D$502="GBP")*(Income!A$3:A$502=DATE(2026,7,28)),ROW(Income!A$3:A$502)-2),5)),"")&lt;&gt;"",IFERROR(INDEX(Income!B$3:B$502,SMALL(IF((Income!D$3:D$502="GBP")*(Income!A$3:A$502=DATE(2026,7,28)),ROW(Income!A$3:A$502)-2),5)),""),""))</f>
        <v/>
      </c>
      <c r="G158" s="62" t="str">
        <f aca="false">IF(IFERROR(-INDEX(Expenses!D$3:D$1002,SMALL(IF((Expenses!E$3:E$1002="GBP")*(Expenses!A$3:A$1002=DATE(2026,7,29)),ROW(Expenses!A$3:A$1002)-2),5)),0)+IFERROR(INDEX(Income!C$3:C$502,SMALL(IF((Income!D$3:D$502="GBP")*(Income!A$3:A$502=DATE(2026,7,29)),ROW(Income!A$3:A$502)-2),5)),0)=0,"",IFERROR(-INDEX(Expenses!D$3:D$1002,SMALL(IF((Expenses!E$3:E$1002="GBP")*(Expenses!A$3:A$1002=DATE(2026,7,29)),ROW(Expenses!A$3:A$1002)-2),5)),0)+IFERROR(INDEX(Income!C$3:C$502,SMALL(IF((Income!D$3:D$502="GBP")*(Income!A$3:A$502=DATE(2026,7,29)),ROW(Income!A$3:A$502)-2),5)),0))</f>
        <v/>
      </c>
      <c r="H158" s="38" t="str">
        <f aca="false">IF(IFERROR(INDEX(Expenses!B$3:B$1002,SMALL(IF((Expenses!E$3:E$1002="GBP")*(Expenses!A$3:A$1002=DATE(2026,7,29)),ROW(Expenses!A$3:A$1002)-2),5)),"")&lt;&gt;"",IFERROR(INDEX(Expenses!B$3:B$1002,SMALL(IF((Expenses!E$3:E$1002="GBP")*(Expenses!A$3:A$1002=DATE(2026,7,29)),ROW(Expenses!A$3:A$1002)-2),5)),""),IF(IFERROR(INDEX(Income!B$3:B$502,SMALL(IF((Income!D$3:D$502="GBP")*(Income!A$3:A$502=DATE(2026,7,29)),ROW(Income!A$3:A$502)-2),5)),"")&lt;&gt;"",IFERROR(INDEX(Income!B$3:B$502,SMALL(IF((Income!D$3:D$502="GBP")*(Income!A$3:A$502=DATE(2026,7,29)),ROW(Income!A$3:A$502)-2),5)),""),""))</f>
        <v/>
      </c>
      <c r="I158" s="62" t="str">
        <f aca="false">IF(IFERROR(-INDEX(Expenses!D$3:D$1002,SMALL(IF((Expenses!E$3:E$1002="GBP")*(Expenses!A$3:A$1002=DATE(2026,7,30)),ROW(Expenses!A$3:A$1002)-2),5)),0)+IFERROR(INDEX(Income!C$3:C$502,SMALL(IF((Income!D$3:D$502="GBP")*(Income!A$3:A$502=DATE(2026,7,30)),ROW(Income!A$3:A$502)-2),5)),0)=0,"",IFERROR(-INDEX(Expenses!D$3:D$1002,SMALL(IF((Expenses!E$3:E$1002="GBP")*(Expenses!A$3:A$1002=DATE(2026,7,30)),ROW(Expenses!A$3:A$1002)-2),5)),0)+IFERROR(INDEX(Income!C$3:C$502,SMALL(IF((Income!D$3:D$502="GBP")*(Income!A$3:A$502=DATE(2026,7,30)),ROW(Income!A$3:A$502)-2),5)),0))</f>
        <v/>
      </c>
      <c r="J158" s="38" t="str">
        <f aca="false">IF(IFERROR(INDEX(Expenses!B$3:B$1002,SMALL(IF((Expenses!E$3:E$1002="GBP")*(Expenses!A$3:A$1002=DATE(2026,7,30)),ROW(Expenses!A$3:A$1002)-2),5)),"")&lt;&gt;"",IFERROR(INDEX(Expenses!B$3:B$1002,SMALL(IF((Expenses!E$3:E$1002="GBP")*(Expenses!A$3:A$1002=DATE(2026,7,30)),ROW(Expenses!A$3:A$1002)-2),5)),""),IF(IFERROR(INDEX(Income!B$3:B$502,SMALL(IF((Income!D$3:D$502="GBP")*(Income!A$3:A$502=DATE(2026,7,30)),ROW(Income!A$3:A$502)-2),5)),"")&lt;&gt;"",IFERROR(INDEX(Income!B$3:B$502,SMALL(IF((Income!D$3:D$502="GBP")*(Income!A$3:A$502=DATE(2026,7,30)),ROW(Income!A$3:A$502)-2),5)),""),""))</f>
        <v/>
      </c>
      <c r="K158" s="62" t="str">
        <f aca="false">IF(IFERROR(-INDEX(Expenses!D$3:D$1002,SMALL(IF((Expenses!E$3:E$1002="GBP")*(Expenses!A$3:A$1002=DATE(2026,7,31)),ROW(Expenses!A$3:A$1002)-2),5)),0)+IFERROR(INDEX(Income!C$3:C$502,SMALL(IF((Income!D$3:D$502="GBP")*(Income!A$3:A$502=DATE(2026,7,31)),ROW(Income!A$3:A$502)-2),5)),0)=0,"",IFERROR(-INDEX(Expenses!D$3:D$1002,SMALL(IF((Expenses!E$3:E$1002="GBP")*(Expenses!A$3:A$1002=DATE(2026,7,31)),ROW(Expenses!A$3:A$1002)-2),5)),0)+IFERROR(INDEX(Income!C$3:C$502,SMALL(IF((Income!D$3:D$502="GBP")*(Income!A$3:A$502=DATE(2026,7,31)),ROW(Income!A$3:A$502)-2),5)),0))</f>
        <v/>
      </c>
      <c r="L158" s="38" t="str">
        <f aca="false">IF(IFERROR(INDEX(Expenses!B$3:B$1002,SMALL(IF((Expenses!E$3:E$1002="GBP")*(Expenses!A$3:A$1002=DATE(2026,7,31)),ROW(Expenses!A$3:A$1002)-2),5)),"")&lt;&gt;"",IFERROR(INDEX(Expenses!B$3:B$1002,SMALL(IF((Expenses!E$3:E$1002="GBP")*(Expenses!A$3:A$1002=DATE(2026,7,31)),ROW(Expenses!A$3:A$1002)-2),5)),""),IF(IFERROR(INDEX(Income!B$3:B$502,SMALL(IF((Income!D$3:D$502="GBP")*(Income!A$3:A$502=DATE(2026,7,31)),ROW(Income!A$3:A$502)-2),5)),"")&lt;&gt;"",IFERROR(INDEX(Income!B$3:B$502,SMALL(IF((Income!D$3:D$502="GBP")*(Income!A$3:A$502=DATE(2026,7,31)),ROW(Income!A$3:A$502)-2),5)),""),""))</f>
        <v/>
      </c>
      <c r="M158" s="62" t="str">
        <f aca="false">IF(IFERROR(-INDEX(Expenses!D$3:D$1002,SMALL(IF((Expenses!E$3:E$1002="GBP")*(Expenses!A$3:A$1002=DATE(2026,8,1)),ROW(Expenses!A$3:A$1002)-2),5)),0)+IFERROR(INDEX(Income!C$3:C$502,SMALL(IF((Income!D$3:D$502="GBP")*(Income!A$3:A$502=DATE(2026,8,1)),ROW(Income!A$3:A$502)-2),5)),0)=0,"",IFERROR(-INDEX(Expenses!D$3:D$1002,SMALL(IF((Expenses!E$3:E$1002="GBP")*(Expenses!A$3:A$1002=DATE(2026,8,1)),ROW(Expenses!A$3:A$1002)-2),5)),0)+IFERROR(INDEX(Income!C$3:C$502,SMALL(IF((Income!D$3:D$502="GBP")*(Income!A$3:A$502=DATE(2026,8,1)),ROW(Income!A$3:A$502)-2),5)),0))</f>
        <v/>
      </c>
      <c r="N158" s="38" t="str">
        <f aca="false">IF(IFERROR(INDEX(Expenses!B$3:B$1002,SMALL(IF((Expenses!E$3:E$1002="GBP")*(Expenses!A$3:A$1002=DATE(2026,8,1)),ROW(Expenses!A$3:A$1002)-2),5)),"")&lt;&gt;"",IFERROR(INDEX(Expenses!B$3:B$1002,SMALL(IF((Expenses!E$3:E$1002="GBP")*(Expenses!A$3:A$1002=DATE(2026,8,1)),ROW(Expenses!A$3:A$1002)-2),5)),""),IF(IFERROR(INDEX(Income!B$3:B$502,SMALL(IF((Income!D$3:D$502="GBP")*(Income!A$3:A$502=DATE(2026,8,1)),ROW(Income!A$3:A$502)-2),5)),"")&lt;&gt;"",IFERROR(INDEX(Income!B$3:B$502,SMALL(IF((Income!D$3:D$502="GBP")*(Income!A$3:A$502=DATE(2026,8,1)),ROW(Income!A$3:A$502)-2),5)),""),""))</f>
        <v/>
      </c>
      <c r="O158" s="62" t="str">
        <f aca="false">IF(IFERROR(-INDEX(Expenses!D$3:D$1002,SMALL(IF((Expenses!E$3:E$1002="GBP")*(Expenses!A$3:A$1002=DATE(2026,8,2)),ROW(Expenses!A$3:A$1002)-2),5)),0)+IFERROR(INDEX(Income!C$3:C$502,SMALL(IF((Income!D$3:D$502="GBP")*(Income!A$3:A$502=DATE(2026,8,2)),ROW(Income!A$3:A$502)-2),5)),0)=0,"",IFERROR(-INDEX(Expenses!D$3:D$1002,SMALL(IF((Expenses!E$3:E$1002="GBP")*(Expenses!A$3:A$1002=DATE(2026,8,2)),ROW(Expenses!A$3:A$1002)-2),5)),0)+IFERROR(INDEX(Income!C$3:C$502,SMALL(IF((Income!D$3:D$502="GBP")*(Income!A$3:A$502=DATE(2026,8,2)),ROW(Income!A$3:A$502)-2),5)),0))</f>
        <v/>
      </c>
      <c r="P158" s="38" t="str">
        <f aca="false">IF(IFERROR(INDEX(Expenses!B$3:B$1002,SMALL(IF((Expenses!E$3:E$1002="GBP")*(Expenses!A$3:A$1002=DATE(2026,8,2)),ROW(Expenses!A$3:A$1002)-2),5)),"")&lt;&gt;"",IFERROR(INDEX(Expenses!B$3:B$1002,SMALL(IF((Expenses!E$3:E$1002="GBP")*(Expenses!A$3:A$1002=DATE(2026,8,2)),ROW(Expenses!A$3:A$1002)-2),5)),""),IF(IFERROR(INDEX(Income!B$3:B$502,SMALL(IF((Income!D$3:D$502="GBP")*(Income!A$3:A$502=DATE(2026,8,2)),ROW(Income!A$3:A$502)-2),5)),"")&lt;&gt;"",IFERROR(INDEX(Income!B$3:B$502,SMALL(IF((Income!D$3:D$502="GBP")*(Income!A$3:A$502=DATE(2026,8,2)),ROW(Income!A$3:A$502)-2),5)),""),""))</f>
        <v/>
      </c>
      <c r="Q158" s="16"/>
      <c r="R158" s="16"/>
    </row>
    <row r="159" customFormat="false" ht="15" hidden="false" customHeight="false" outlineLevel="0" collapsed="false">
      <c r="A159" s="61" t="n">
        <v>46237</v>
      </c>
      <c r="B159" s="3" t="n">
        <v>32</v>
      </c>
      <c r="C159" s="62" t="str">
        <f aca="false">IF(IFERROR(-INDEX(Expenses!D$3:D$1002,SMALL(IF((Expenses!E$3:E$1002="GBP")*(Expenses!A$3:A$1002=DATE(2026,8,3)),ROW(Expenses!A$3:A$1002)-2),1)),0)+IFERROR(INDEX(Income!C$3:C$502,SMALL(IF((Income!D$3:D$502="GBP")*(Income!A$3:A$502=DATE(2026,8,3)),ROW(Income!A$3:A$502)-2),1)),0)=0,"",IFERROR(-INDEX(Expenses!D$3:D$1002,SMALL(IF((Expenses!E$3:E$1002="GBP")*(Expenses!A$3:A$1002=DATE(2026,8,3)),ROW(Expenses!A$3:A$1002)-2),1)),0)+IFERROR(INDEX(Income!C$3:C$502,SMALL(IF((Income!D$3:D$502="GBP")*(Income!A$3:A$502=DATE(2026,8,3)),ROW(Income!A$3:A$502)-2),1)),0))</f>
        <v/>
      </c>
      <c r="D159" s="38" t="str">
        <f aca="false">IF(IFERROR(INDEX(Expenses!B$3:B$1002,SMALL(IF((Expenses!E$3:E$1002="GBP")*(Expenses!A$3:A$1002=DATE(2026,8,3)),ROW(Expenses!A$3:A$1002)-2),1)),"")&lt;&gt;"",IFERROR(INDEX(Expenses!B$3:B$1002,SMALL(IF((Expenses!E$3:E$1002="GBP")*(Expenses!A$3:A$1002=DATE(2026,8,3)),ROW(Expenses!A$3:A$1002)-2),1)),""),IF(IFERROR(INDEX(Income!B$3:B$502,SMALL(IF((Income!D$3:D$502="GBP")*(Income!A$3:A$502=DATE(2026,8,3)),ROW(Income!A$3:A$502)-2),1)),"")&lt;&gt;"",IFERROR(INDEX(Income!B$3:B$502,SMALL(IF((Income!D$3:D$502="GBP")*(Income!A$3:A$502=DATE(2026,8,3)),ROW(Income!A$3:A$502)-2),1)),""),""))</f>
        <v/>
      </c>
      <c r="E159" s="62" t="str">
        <f aca="false">IF(IFERROR(-INDEX(Expenses!D$3:D$1002,SMALL(IF((Expenses!E$3:E$1002="GBP")*(Expenses!A$3:A$1002=DATE(2026,8,4)),ROW(Expenses!A$3:A$1002)-2),1)),0)+IFERROR(INDEX(Income!C$3:C$502,SMALL(IF((Income!D$3:D$502="GBP")*(Income!A$3:A$502=DATE(2026,8,4)),ROW(Income!A$3:A$502)-2),1)),0)=0,"",IFERROR(-INDEX(Expenses!D$3:D$1002,SMALL(IF((Expenses!E$3:E$1002="GBP")*(Expenses!A$3:A$1002=DATE(2026,8,4)),ROW(Expenses!A$3:A$1002)-2),1)),0)+IFERROR(INDEX(Income!C$3:C$502,SMALL(IF((Income!D$3:D$502="GBP")*(Income!A$3:A$502=DATE(2026,8,4)),ROW(Income!A$3:A$502)-2),1)),0))</f>
        <v/>
      </c>
      <c r="F159" s="38" t="str">
        <f aca="false">IF(IFERROR(INDEX(Expenses!B$3:B$1002,SMALL(IF((Expenses!E$3:E$1002="GBP")*(Expenses!A$3:A$1002=DATE(2026,8,4)),ROW(Expenses!A$3:A$1002)-2),1)),"")&lt;&gt;"",IFERROR(INDEX(Expenses!B$3:B$1002,SMALL(IF((Expenses!E$3:E$1002="GBP")*(Expenses!A$3:A$1002=DATE(2026,8,4)),ROW(Expenses!A$3:A$1002)-2),1)),""),IF(IFERROR(INDEX(Income!B$3:B$502,SMALL(IF((Income!D$3:D$502="GBP")*(Income!A$3:A$502=DATE(2026,8,4)),ROW(Income!A$3:A$502)-2),1)),"")&lt;&gt;"",IFERROR(INDEX(Income!B$3:B$502,SMALL(IF((Income!D$3:D$502="GBP")*(Income!A$3:A$502=DATE(2026,8,4)),ROW(Income!A$3:A$502)-2),1)),""),""))</f>
        <v/>
      </c>
      <c r="G159" s="62" t="str">
        <f aca="false">IF(IFERROR(-INDEX(Expenses!D$3:D$1002,SMALL(IF((Expenses!E$3:E$1002="GBP")*(Expenses!A$3:A$1002=DATE(2026,8,5)),ROW(Expenses!A$3:A$1002)-2),1)),0)+IFERROR(INDEX(Income!C$3:C$502,SMALL(IF((Income!D$3:D$502="GBP")*(Income!A$3:A$502=DATE(2026,8,5)),ROW(Income!A$3:A$502)-2),1)),0)=0,"",IFERROR(-INDEX(Expenses!D$3:D$1002,SMALL(IF((Expenses!E$3:E$1002="GBP")*(Expenses!A$3:A$1002=DATE(2026,8,5)),ROW(Expenses!A$3:A$1002)-2),1)),0)+IFERROR(INDEX(Income!C$3:C$502,SMALL(IF((Income!D$3:D$502="GBP")*(Income!A$3:A$502=DATE(2026,8,5)),ROW(Income!A$3:A$502)-2),1)),0))</f>
        <v/>
      </c>
      <c r="H159" s="38" t="str">
        <f aca="false">IF(IFERROR(INDEX(Expenses!B$3:B$1002,SMALL(IF((Expenses!E$3:E$1002="GBP")*(Expenses!A$3:A$1002=DATE(2026,8,5)),ROW(Expenses!A$3:A$1002)-2),1)),"")&lt;&gt;"",IFERROR(INDEX(Expenses!B$3:B$1002,SMALL(IF((Expenses!E$3:E$1002="GBP")*(Expenses!A$3:A$1002=DATE(2026,8,5)),ROW(Expenses!A$3:A$1002)-2),1)),""),IF(IFERROR(INDEX(Income!B$3:B$502,SMALL(IF((Income!D$3:D$502="GBP")*(Income!A$3:A$502=DATE(2026,8,5)),ROW(Income!A$3:A$502)-2),1)),"")&lt;&gt;"",IFERROR(INDEX(Income!B$3:B$502,SMALL(IF((Income!D$3:D$502="GBP")*(Income!A$3:A$502=DATE(2026,8,5)),ROW(Income!A$3:A$502)-2),1)),""),""))</f>
        <v/>
      </c>
      <c r="I159" s="62" t="str">
        <f aca="false">IF(IFERROR(-INDEX(Expenses!D$3:D$1002,SMALL(IF((Expenses!E$3:E$1002="GBP")*(Expenses!A$3:A$1002=DATE(2026,8,6)),ROW(Expenses!A$3:A$1002)-2),1)),0)+IFERROR(INDEX(Income!C$3:C$502,SMALL(IF((Income!D$3:D$502="GBP")*(Income!A$3:A$502=DATE(2026,8,6)),ROW(Income!A$3:A$502)-2),1)),0)=0,"",IFERROR(-INDEX(Expenses!D$3:D$1002,SMALL(IF((Expenses!E$3:E$1002="GBP")*(Expenses!A$3:A$1002=DATE(2026,8,6)),ROW(Expenses!A$3:A$1002)-2),1)),0)+IFERROR(INDEX(Income!C$3:C$502,SMALL(IF((Income!D$3:D$502="GBP")*(Income!A$3:A$502=DATE(2026,8,6)),ROW(Income!A$3:A$502)-2),1)),0))</f>
        <v/>
      </c>
      <c r="J159" s="38" t="str">
        <f aca="false">IF(IFERROR(INDEX(Expenses!B$3:B$1002,SMALL(IF((Expenses!E$3:E$1002="GBP")*(Expenses!A$3:A$1002=DATE(2026,8,6)),ROW(Expenses!A$3:A$1002)-2),1)),"")&lt;&gt;"",IFERROR(INDEX(Expenses!B$3:B$1002,SMALL(IF((Expenses!E$3:E$1002="GBP")*(Expenses!A$3:A$1002=DATE(2026,8,6)),ROW(Expenses!A$3:A$1002)-2),1)),""),IF(IFERROR(INDEX(Income!B$3:B$502,SMALL(IF((Income!D$3:D$502="GBP")*(Income!A$3:A$502=DATE(2026,8,6)),ROW(Income!A$3:A$502)-2),1)),"")&lt;&gt;"",IFERROR(INDEX(Income!B$3:B$502,SMALL(IF((Income!D$3:D$502="GBP")*(Income!A$3:A$502=DATE(2026,8,6)),ROW(Income!A$3:A$502)-2),1)),""),""))</f>
        <v/>
      </c>
      <c r="K159" s="62" t="str">
        <f aca="false">IF(IFERROR(-INDEX(Expenses!D$3:D$1002,SMALL(IF((Expenses!E$3:E$1002="GBP")*(Expenses!A$3:A$1002=DATE(2026,8,7)),ROW(Expenses!A$3:A$1002)-2),1)),0)+IFERROR(INDEX(Income!C$3:C$502,SMALL(IF((Income!D$3:D$502="GBP")*(Income!A$3:A$502=DATE(2026,8,7)),ROW(Income!A$3:A$502)-2),1)),0)=0,"",IFERROR(-INDEX(Expenses!D$3:D$1002,SMALL(IF((Expenses!E$3:E$1002="GBP")*(Expenses!A$3:A$1002=DATE(2026,8,7)),ROW(Expenses!A$3:A$1002)-2),1)),0)+IFERROR(INDEX(Income!C$3:C$502,SMALL(IF((Income!D$3:D$502="GBP")*(Income!A$3:A$502=DATE(2026,8,7)),ROW(Income!A$3:A$502)-2),1)),0))</f>
        <v/>
      </c>
      <c r="L159" s="38" t="str">
        <f aca="false">IF(IFERROR(INDEX(Expenses!B$3:B$1002,SMALL(IF((Expenses!E$3:E$1002="GBP")*(Expenses!A$3:A$1002=DATE(2026,8,7)),ROW(Expenses!A$3:A$1002)-2),1)),"")&lt;&gt;"",IFERROR(INDEX(Expenses!B$3:B$1002,SMALL(IF((Expenses!E$3:E$1002="GBP")*(Expenses!A$3:A$1002=DATE(2026,8,7)),ROW(Expenses!A$3:A$1002)-2),1)),""),IF(IFERROR(INDEX(Income!B$3:B$502,SMALL(IF((Income!D$3:D$502="GBP")*(Income!A$3:A$502=DATE(2026,8,7)),ROW(Income!A$3:A$502)-2),1)),"")&lt;&gt;"",IFERROR(INDEX(Income!B$3:B$502,SMALL(IF((Income!D$3:D$502="GBP")*(Income!A$3:A$502=DATE(2026,8,7)),ROW(Income!A$3:A$502)-2),1)),""),""))</f>
        <v/>
      </c>
      <c r="M159" s="62" t="str">
        <f aca="false">IF(IFERROR(-INDEX(Expenses!D$3:D$1002,SMALL(IF((Expenses!E$3:E$1002="GBP")*(Expenses!A$3:A$1002=DATE(2026,8,8)),ROW(Expenses!A$3:A$1002)-2),1)),0)+IFERROR(INDEX(Income!C$3:C$502,SMALL(IF((Income!D$3:D$502="GBP")*(Income!A$3:A$502=DATE(2026,8,8)),ROW(Income!A$3:A$502)-2),1)),0)=0,"",IFERROR(-INDEX(Expenses!D$3:D$1002,SMALL(IF((Expenses!E$3:E$1002="GBP")*(Expenses!A$3:A$1002=DATE(2026,8,8)),ROW(Expenses!A$3:A$1002)-2),1)),0)+IFERROR(INDEX(Income!C$3:C$502,SMALL(IF((Income!D$3:D$502="GBP")*(Income!A$3:A$502=DATE(2026,8,8)),ROW(Income!A$3:A$502)-2),1)),0))</f>
        <v/>
      </c>
      <c r="N159" s="38" t="str">
        <f aca="false">IF(IFERROR(INDEX(Expenses!B$3:B$1002,SMALL(IF((Expenses!E$3:E$1002="GBP")*(Expenses!A$3:A$1002=DATE(2026,8,8)),ROW(Expenses!A$3:A$1002)-2),1)),"")&lt;&gt;"",IFERROR(INDEX(Expenses!B$3:B$1002,SMALL(IF((Expenses!E$3:E$1002="GBP")*(Expenses!A$3:A$1002=DATE(2026,8,8)),ROW(Expenses!A$3:A$1002)-2),1)),""),IF(IFERROR(INDEX(Income!B$3:B$502,SMALL(IF((Income!D$3:D$502="GBP")*(Income!A$3:A$502=DATE(2026,8,8)),ROW(Income!A$3:A$502)-2),1)),"")&lt;&gt;"",IFERROR(INDEX(Income!B$3:B$502,SMALL(IF((Income!D$3:D$502="GBP")*(Income!A$3:A$502=DATE(2026,8,8)),ROW(Income!A$3:A$502)-2),1)),""),""))</f>
        <v/>
      </c>
      <c r="O159" s="62" t="str">
        <f aca="false">IF(IFERROR(-INDEX(Expenses!D$3:D$1002,SMALL(IF((Expenses!E$3:E$1002="GBP")*(Expenses!A$3:A$1002=DATE(2026,8,9)),ROW(Expenses!A$3:A$1002)-2),1)),0)+IFERROR(INDEX(Income!C$3:C$502,SMALL(IF((Income!D$3:D$502="GBP")*(Income!A$3:A$502=DATE(2026,8,9)),ROW(Income!A$3:A$502)-2),1)),0)=0,"",IFERROR(-INDEX(Expenses!D$3:D$1002,SMALL(IF((Expenses!E$3:E$1002="GBP")*(Expenses!A$3:A$1002=DATE(2026,8,9)),ROW(Expenses!A$3:A$1002)-2),1)),0)+IFERROR(INDEX(Income!C$3:C$502,SMALL(IF((Income!D$3:D$502="GBP")*(Income!A$3:A$502=DATE(2026,8,9)),ROW(Income!A$3:A$502)-2),1)),0))</f>
        <v/>
      </c>
      <c r="P159" s="38" t="str">
        <f aca="false">IF(IFERROR(INDEX(Expenses!B$3:B$1002,SMALL(IF((Expenses!E$3:E$1002="GBP")*(Expenses!A$3:A$1002=DATE(2026,8,9)),ROW(Expenses!A$3:A$1002)-2),1)),"")&lt;&gt;"",IFERROR(INDEX(Expenses!B$3:B$1002,SMALL(IF((Expenses!E$3:E$1002="GBP")*(Expenses!A$3:A$1002=DATE(2026,8,9)),ROW(Expenses!A$3:A$1002)-2),1)),""),IF(IFERROR(INDEX(Income!B$3:B$502,SMALL(IF((Income!D$3:D$502="GBP")*(Income!A$3:A$502=DATE(2026,8,9)),ROW(Income!A$3:A$502)-2),1)),"")&lt;&gt;"",IFERROR(INDEX(Income!B$3:B$502,SMALL(IF((Income!D$3:D$502="GBP")*(Income!A$3:A$502=DATE(2026,8,9)),ROW(Income!A$3:A$502)-2),1)),""),""))</f>
        <v/>
      </c>
      <c r="Q159" s="3" t="n">
        <v>32</v>
      </c>
      <c r="R159" s="45" t="n">
        <f aca="false">SUM(C159:C163)+SUM(E159:E163)+SUM(G159:G163)+SUM(I159:I163)+SUM(K159:K163)+SUM(M159:M163)+SUM(O159:O163)</f>
        <v>0</v>
      </c>
    </row>
    <row r="160" customFormat="false" ht="15" hidden="false" customHeight="false" outlineLevel="0" collapsed="false">
      <c r="A160" s="16"/>
      <c r="B160" s="16"/>
      <c r="C160" s="62" t="str">
        <f aca="false">IF(IFERROR(-INDEX(Expenses!D$3:D$1002,SMALL(IF((Expenses!E$3:E$1002="GBP")*(Expenses!A$3:A$1002=DATE(2026,8,3)),ROW(Expenses!A$3:A$1002)-2),2)),0)+IFERROR(INDEX(Income!C$3:C$502,SMALL(IF((Income!D$3:D$502="GBP")*(Income!A$3:A$502=DATE(2026,8,3)),ROW(Income!A$3:A$502)-2),2)),0)=0,"",IFERROR(-INDEX(Expenses!D$3:D$1002,SMALL(IF((Expenses!E$3:E$1002="GBP")*(Expenses!A$3:A$1002=DATE(2026,8,3)),ROW(Expenses!A$3:A$1002)-2),2)),0)+IFERROR(INDEX(Income!C$3:C$502,SMALL(IF((Income!D$3:D$502="GBP")*(Income!A$3:A$502=DATE(2026,8,3)),ROW(Income!A$3:A$502)-2),2)),0))</f>
        <v/>
      </c>
      <c r="D160" s="38" t="str">
        <f aca="false">IF(IFERROR(INDEX(Expenses!B$3:B$1002,SMALL(IF((Expenses!E$3:E$1002="GBP")*(Expenses!A$3:A$1002=DATE(2026,8,3)),ROW(Expenses!A$3:A$1002)-2),2)),"")&lt;&gt;"",IFERROR(INDEX(Expenses!B$3:B$1002,SMALL(IF((Expenses!E$3:E$1002="GBP")*(Expenses!A$3:A$1002=DATE(2026,8,3)),ROW(Expenses!A$3:A$1002)-2),2)),""),IF(IFERROR(INDEX(Income!B$3:B$502,SMALL(IF((Income!D$3:D$502="GBP")*(Income!A$3:A$502=DATE(2026,8,3)),ROW(Income!A$3:A$502)-2),2)),"")&lt;&gt;"",IFERROR(INDEX(Income!B$3:B$502,SMALL(IF((Income!D$3:D$502="GBP")*(Income!A$3:A$502=DATE(2026,8,3)),ROW(Income!A$3:A$502)-2),2)),""),""))</f>
        <v/>
      </c>
      <c r="E160" s="62" t="str">
        <f aca="false">IF(IFERROR(-INDEX(Expenses!D$3:D$1002,SMALL(IF((Expenses!E$3:E$1002="GBP")*(Expenses!A$3:A$1002=DATE(2026,8,4)),ROW(Expenses!A$3:A$1002)-2),2)),0)+IFERROR(INDEX(Income!C$3:C$502,SMALL(IF((Income!D$3:D$502="GBP")*(Income!A$3:A$502=DATE(2026,8,4)),ROW(Income!A$3:A$502)-2),2)),0)=0,"",IFERROR(-INDEX(Expenses!D$3:D$1002,SMALL(IF((Expenses!E$3:E$1002="GBP")*(Expenses!A$3:A$1002=DATE(2026,8,4)),ROW(Expenses!A$3:A$1002)-2),2)),0)+IFERROR(INDEX(Income!C$3:C$502,SMALL(IF((Income!D$3:D$502="GBP")*(Income!A$3:A$502=DATE(2026,8,4)),ROW(Income!A$3:A$502)-2),2)),0))</f>
        <v/>
      </c>
      <c r="F160" s="38" t="str">
        <f aca="false">IF(IFERROR(INDEX(Expenses!B$3:B$1002,SMALL(IF((Expenses!E$3:E$1002="GBP")*(Expenses!A$3:A$1002=DATE(2026,8,4)),ROW(Expenses!A$3:A$1002)-2),2)),"")&lt;&gt;"",IFERROR(INDEX(Expenses!B$3:B$1002,SMALL(IF((Expenses!E$3:E$1002="GBP")*(Expenses!A$3:A$1002=DATE(2026,8,4)),ROW(Expenses!A$3:A$1002)-2),2)),""),IF(IFERROR(INDEX(Income!B$3:B$502,SMALL(IF((Income!D$3:D$502="GBP")*(Income!A$3:A$502=DATE(2026,8,4)),ROW(Income!A$3:A$502)-2),2)),"")&lt;&gt;"",IFERROR(INDEX(Income!B$3:B$502,SMALL(IF((Income!D$3:D$502="GBP")*(Income!A$3:A$502=DATE(2026,8,4)),ROW(Income!A$3:A$502)-2),2)),""),""))</f>
        <v/>
      </c>
      <c r="G160" s="62" t="str">
        <f aca="false">IF(IFERROR(-INDEX(Expenses!D$3:D$1002,SMALL(IF((Expenses!E$3:E$1002="GBP")*(Expenses!A$3:A$1002=DATE(2026,8,5)),ROW(Expenses!A$3:A$1002)-2),2)),0)+IFERROR(INDEX(Income!C$3:C$502,SMALL(IF((Income!D$3:D$502="GBP")*(Income!A$3:A$502=DATE(2026,8,5)),ROW(Income!A$3:A$502)-2),2)),0)=0,"",IFERROR(-INDEX(Expenses!D$3:D$1002,SMALL(IF((Expenses!E$3:E$1002="GBP")*(Expenses!A$3:A$1002=DATE(2026,8,5)),ROW(Expenses!A$3:A$1002)-2),2)),0)+IFERROR(INDEX(Income!C$3:C$502,SMALL(IF((Income!D$3:D$502="GBP")*(Income!A$3:A$502=DATE(2026,8,5)),ROW(Income!A$3:A$502)-2),2)),0))</f>
        <v/>
      </c>
      <c r="H160" s="38" t="str">
        <f aca="false">IF(IFERROR(INDEX(Expenses!B$3:B$1002,SMALL(IF((Expenses!E$3:E$1002="GBP")*(Expenses!A$3:A$1002=DATE(2026,8,5)),ROW(Expenses!A$3:A$1002)-2),2)),"")&lt;&gt;"",IFERROR(INDEX(Expenses!B$3:B$1002,SMALL(IF((Expenses!E$3:E$1002="GBP")*(Expenses!A$3:A$1002=DATE(2026,8,5)),ROW(Expenses!A$3:A$1002)-2),2)),""),IF(IFERROR(INDEX(Income!B$3:B$502,SMALL(IF((Income!D$3:D$502="GBP")*(Income!A$3:A$502=DATE(2026,8,5)),ROW(Income!A$3:A$502)-2),2)),"")&lt;&gt;"",IFERROR(INDEX(Income!B$3:B$502,SMALL(IF((Income!D$3:D$502="GBP")*(Income!A$3:A$502=DATE(2026,8,5)),ROW(Income!A$3:A$502)-2),2)),""),""))</f>
        <v/>
      </c>
      <c r="I160" s="62" t="str">
        <f aca="false">IF(IFERROR(-INDEX(Expenses!D$3:D$1002,SMALL(IF((Expenses!E$3:E$1002="GBP")*(Expenses!A$3:A$1002=DATE(2026,8,6)),ROW(Expenses!A$3:A$1002)-2),2)),0)+IFERROR(INDEX(Income!C$3:C$502,SMALL(IF((Income!D$3:D$502="GBP")*(Income!A$3:A$502=DATE(2026,8,6)),ROW(Income!A$3:A$502)-2),2)),0)=0,"",IFERROR(-INDEX(Expenses!D$3:D$1002,SMALL(IF((Expenses!E$3:E$1002="GBP")*(Expenses!A$3:A$1002=DATE(2026,8,6)),ROW(Expenses!A$3:A$1002)-2),2)),0)+IFERROR(INDEX(Income!C$3:C$502,SMALL(IF((Income!D$3:D$502="GBP")*(Income!A$3:A$502=DATE(2026,8,6)),ROW(Income!A$3:A$502)-2),2)),0))</f>
        <v/>
      </c>
      <c r="J160" s="38" t="str">
        <f aca="false">IF(IFERROR(INDEX(Expenses!B$3:B$1002,SMALL(IF((Expenses!E$3:E$1002="GBP")*(Expenses!A$3:A$1002=DATE(2026,8,6)),ROW(Expenses!A$3:A$1002)-2),2)),"")&lt;&gt;"",IFERROR(INDEX(Expenses!B$3:B$1002,SMALL(IF((Expenses!E$3:E$1002="GBP")*(Expenses!A$3:A$1002=DATE(2026,8,6)),ROW(Expenses!A$3:A$1002)-2),2)),""),IF(IFERROR(INDEX(Income!B$3:B$502,SMALL(IF((Income!D$3:D$502="GBP")*(Income!A$3:A$502=DATE(2026,8,6)),ROW(Income!A$3:A$502)-2),2)),"")&lt;&gt;"",IFERROR(INDEX(Income!B$3:B$502,SMALL(IF((Income!D$3:D$502="GBP")*(Income!A$3:A$502=DATE(2026,8,6)),ROW(Income!A$3:A$502)-2),2)),""),""))</f>
        <v/>
      </c>
      <c r="K160" s="62" t="str">
        <f aca="false">IF(IFERROR(-INDEX(Expenses!D$3:D$1002,SMALL(IF((Expenses!E$3:E$1002="GBP")*(Expenses!A$3:A$1002=DATE(2026,8,7)),ROW(Expenses!A$3:A$1002)-2),2)),0)+IFERROR(INDEX(Income!C$3:C$502,SMALL(IF((Income!D$3:D$502="GBP")*(Income!A$3:A$502=DATE(2026,8,7)),ROW(Income!A$3:A$502)-2),2)),0)=0,"",IFERROR(-INDEX(Expenses!D$3:D$1002,SMALL(IF((Expenses!E$3:E$1002="GBP")*(Expenses!A$3:A$1002=DATE(2026,8,7)),ROW(Expenses!A$3:A$1002)-2),2)),0)+IFERROR(INDEX(Income!C$3:C$502,SMALL(IF((Income!D$3:D$502="GBP")*(Income!A$3:A$502=DATE(2026,8,7)),ROW(Income!A$3:A$502)-2),2)),0))</f>
        <v/>
      </c>
      <c r="L160" s="38" t="str">
        <f aca="false">IF(IFERROR(INDEX(Expenses!B$3:B$1002,SMALL(IF((Expenses!E$3:E$1002="GBP")*(Expenses!A$3:A$1002=DATE(2026,8,7)),ROW(Expenses!A$3:A$1002)-2),2)),"")&lt;&gt;"",IFERROR(INDEX(Expenses!B$3:B$1002,SMALL(IF((Expenses!E$3:E$1002="GBP")*(Expenses!A$3:A$1002=DATE(2026,8,7)),ROW(Expenses!A$3:A$1002)-2),2)),""),IF(IFERROR(INDEX(Income!B$3:B$502,SMALL(IF((Income!D$3:D$502="GBP")*(Income!A$3:A$502=DATE(2026,8,7)),ROW(Income!A$3:A$502)-2),2)),"")&lt;&gt;"",IFERROR(INDEX(Income!B$3:B$502,SMALL(IF((Income!D$3:D$502="GBP")*(Income!A$3:A$502=DATE(2026,8,7)),ROW(Income!A$3:A$502)-2),2)),""),""))</f>
        <v/>
      </c>
      <c r="M160" s="62" t="str">
        <f aca="false">IF(IFERROR(-INDEX(Expenses!D$3:D$1002,SMALL(IF((Expenses!E$3:E$1002="GBP")*(Expenses!A$3:A$1002=DATE(2026,8,8)),ROW(Expenses!A$3:A$1002)-2),2)),0)+IFERROR(INDEX(Income!C$3:C$502,SMALL(IF((Income!D$3:D$502="GBP")*(Income!A$3:A$502=DATE(2026,8,8)),ROW(Income!A$3:A$502)-2),2)),0)=0,"",IFERROR(-INDEX(Expenses!D$3:D$1002,SMALL(IF((Expenses!E$3:E$1002="GBP")*(Expenses!A$3:A$1002=DATE(2026,8,8)),ROW(Expenses!A$3:A$1002)-2),2)),0)+IFERROR(INDEX(Income!C$3:C$502,SMALL(IF((Income!D$3:D$502="GBP")*(Income!A$3:A$502=DATE(2026,8,8)),ROW(Income!A$3:A$502)-2),2)),0))</f>
        <v/>
      </c>
      <c r="N160" s="38" t="str">
        <f aca="false">IF(IFERROR(INDEX(Expenses!B$3:B$1002,SMALL(IF((Expenses!E$3:E$1002="GBP")*(Expenses!A$3:A$1002=DATE(2026,8,8)),ROW(Expenses!A$3:A$1002)-2),2)),"")&lt;&gt;"",IFERROR(INDEX(Expenses!B$3:B$1002,SMALL(IF((Expenses!E$3:E$1002="GBP")*(Expenses!A$3:A$1002=DATE(2026,8,8)),ROW(Expenses!A$3:A$1002)-2),2)),""),IF(IFERROR(INDEX(Income!B$3:B$502,SMALL(IF((Income!D$3:D$502="GBP")*(Income!A$3:A$502=DATE(2026,8,8)),ROW(Income!A$3:A$502)-2),2)),"")&lt;&gt;"",IFERROR(INDEX(Income!B$3:B$502,SMALL(IF((Income!D$3:D$502="GBP")*(Income!A$3:A$502=DATE(2026,8,8)),ROW(Income!A$3:A$502)-2),2)),""),""))</f>
        <v/>
      </c>
      <c r="O160" s="62" t="str">
        <f aca="false">IF(IFERROR(-INDEX(Expenses!D$3:D$1002,SMALL(IF((Expenses!E$3:E$1002="GBP")*(Expenses!A$3:A$1002=DATE(2026,8,9)),ROW(Expenses!A$3:A$1002)-2),2)),0)+IFERROR(INDEX(Income!C$3:C$502,SMALL(IF((Income!D$3:D$502="GBP")*(Income!A$3:A$502=DATE(2026,8,9)),ROW(Income!A$3:A$502)-2),2)),0)=0,"",IFERROR(-INDEX(Expenses!D$3:D$1002,SMALL(IF((Expenses!E$3:E$1002="GBP")*(Expenses!A$3:A$1002=DATE(2026,8,9)),ROW(Expenses!A$3:A$1002)-2),2)),0)+IFERROR(INDEX(Income!C$3:C$502,SMALL(IF((Income!D$3:D$502="GBP")*(Income!A$3:A$502=DATE(2026,8,9)),ROW(Income!A$3:A$502)-2),2)),0))</f>
        <v/>
      </c>
      <c r="P160" s="38" t="str">
        <f aca="false">IF(IFERROR(INDEX(Expenses!B$3:B$1002,SMALL(IF((Expenses!E$3:E$1002="GBP")*(Expenses!A$3:A$1002=DATE(2026,8,9)),ROW(Expenses!A$3:A$1002)-2),2)),"")&lt;&gt;"",IFERROR(INDEX(Expenses!B$3:B$1002,SMALL(IF((Expenses!E$3:E$1002="GBP")*(Expenses!A$3:A$1002=DATE(2026,8,9)),ROW(Expenses!A$3:A$1002)-2),2)),""),IF(IFERROR(INDEX(Income!B$3:B$502,SMALL(IF((Income!D$3:D$502="GBP")*(Income!A$3:A$502=DATE(2026,8,9)),ROW(Income!A$3:A$502)-2),2)),"")&lt;&gt;"",IFERROR(INDEX(Income!B$3:B$502,SMALL(IF((Income!D$3:D$502="GBP")*(Income!A$3:A$502=DATE(2026,8,9)),ROW(Income!A$3:A$502)-2),2)),""),""))</f>
        <v/>
      </c>
      <c r="Q160" s="16"/>
      <c r="R160" s="16"/>
    </row>
    <row r="161" customFormat="false" ht="15" hidden="false" customHeight="false" outlineLevel="0" collapsed="false">
      <c r="A161" s="16"/>
      <c r="B161" s="16"/>
      <c r="C161" s="62" t="str">
        <f aca="false">IF(IFERROR(-INDEX(Expenses!D$3:D$1002,SMALL(IF((Expenses!E$3:E$1002="GBP")*(Expenses!A$3:A$1002=DATE(2026,8,3)),ROW(Expenses!A$3:A$1002)-2),3)),0)+IFERROR(INDEX(Income!C$3:C$502,SMALL(IF((Income!D$3:D$502="GBP")*(Income!A$3:A$502=DATE(2026,8,3)),ROW(Income!A$3:A$502)-2),3)),0)=0,"",IFERROR(-INDEX(Expenses!D$3:D$1002,SMALL(IF((Expenses!E$3:E$1002="GBP")*(Expenses!A$3:A$1002=DATE(2026,8,3)),ROW(Expenses!A$3:A$1002)-2),3)),0)+IFERROR(INDEX(Income!C$3:C$502,SMALL(IF((Income!D$3:D$502="GBP")*(Income!A$3:A$502=DATE(2026,8,3)),ROW(Income!A$3:A$502)-2),3)),0))</f>
        <v/>
      </c>
      <c r="D161" s="38" t="str">
        <f aca="false">IF(IFERROR(INDEX(Expenses!B$3:B$1002,SMALL(IF((Expenses!E$3:E$1002="GBP")*(Expenses!A$3:A$1002=DATE(2026,8,3)),ROW(Expenses!A$3:A$1002)-2),3)),"")&lt;&gt;"",IFERROR(INDEX(Expenses!B$3:B$1002,SMALL(IF((Expenses!E$3:E$1002="GBP")*(Expenses!A$3:A$1002=DATE(2026,8,3)),ROW(Expenses!A$3:A$1002)-2),3)),""),IF(IFERROR(INDEX(Income!B$3:B$502,SMALL(IF((Income!D$3:D$502="GBP")*(Income!A$3:A$502=DATE(2026,8,3)),ROW(Income!A$3:A$502)-2),3)),"")&lt;&gt;"",IFERROR(INDEX(Income!B$3:B$502,SMALL(IF((Income!D$3:D$502="GBP")*(Income!A$3:A$502=DATE(2026,8,3)),ROW(Income!A$3:A$502)-2),3)),""),""))</f>
        <v/>
      </c>
      <c r="E161" s="62" t="str">
        <f aca="false">IF(IFERROR(-INDEX(Expenses!D$3:D$1002,SMALL(IF((Expenses!E$3:E$1002="GBP")*(Expenses!A$3:A$1002=DATE(2026,8,4)),ROW(Expenses!A$3:A$1002)-2),3)),0)+IFERROR(INDEX(Income!C$3:C$502,SMALL(IF((Income!D$3:D$502="GBP")*(Income!A$3:A$502=DATE(2026,8,4)),ROW(Income!A$3:A$502)-2),3)),0)=0,"",IFERROR(-INDEX(Expenses!D$3:D$1002,SMALL(IF((Expenses!E$3:E$1002="GBP")*(Expenses!A$3:A$1002=DATE(2026,8,4)),ROW(Expenses!A$3:A$1002)-2),3)),0)+IFERROR(INDEX(Income!C$3:C$502,SMALL(IF((Income!D$3:D$502="GBP")*(Income!A$3:A$502=DATE(2026,8,4)),ROW(Income!A$3:A$502)-2),3)),0))</f>
        <v/>
      </c>
      <c r="F161" s="38" t="str">
        <f aca="false">IF(IFERROR(INDEX(Expenses!B$3:B$1002,SMALL(IF((Expenses!E$3:E$1002="GBP")*(Expenses!A$3:A$1002=DATE(2026,8,4)),ROW(Expenses!A$3:A$1002)-2),3)),"")&lt;&gt;"",IFERROR(INDEX(Expenses!B$3:B$1002,SMALL(IF((Expenses!E$3:E$1002="GBP")*(Expenses!A$3:A$1002=DATE(2026,8,4)),ROW(Expenses!A$3:A$1002)-2),3)),""),IF(IFERROR(INDEX(Income!B$3:B$502,SMALL(IF((Income!D$3:D$502="GBP")*(Income!A$3:A$502=DATE(2026,8,4)),ROW(Income!A$3:A$502)-2),3)),"")&lt;&gt;"",IFERROR(INDEX(Income!B$3:B$502,SMALL(IF((Income!D$3:D$502="GBP")*(Income!A$3:A$502=DATE(2026,8,4)),ROW(Income!A$3:A$502)-2),3)),""),""))</f>
        <v/>
      </c>
      <c r="G161" s="62" t="str">
        <f aca="false">IF(IFERROR(-INDEX(Expenses!D$3:D$1002,SMALL(IF((Expenses!E$3:E$1002="GBP")*(Expenses!A$3:A$1002=DATE(2026,8,5)),ROW(Expenses!A$3:A$1002)-2),3)),0)+IFERROR(INDEX(Income!C$3:C$502,SMALL(IF((Income!D$3:D$502="GBP")*(Income!A$3:A$502=DATE(2026,8,5)),ROW(Income!A$3:A$502)-2),3)),0)=0,"",IFERROR(-INDEX(Expenses!D$3:D$1002,SMALL(IF((Expenses!E$3:E$1002="GBP")*(Expenses!A$3:A$1002=DATE(2026,8,5)),ROW(Expenses!A$3:A$1002)-2),3)),0)+IFERROR(INDEX(Income!C$3:C$502,SMALL(IF((Income!D$3:D$502="GBP")*(Income!A$3:A$502=DATE(2026,8,5)),ROW(Income!A$3:A$502)-2),3)),0))</f>
        <v/>
      </c>
      <c r="H161" s="38" t="str">
        <f aca="false">IF(IFERROR(INDEX(Expenses!B$3:B$1002,SMALL(IF((Expenses!E$3:E$1002="GBP")*(Expenses!A$3:A$1002=DATE(2026,8,5)),ROW(Expenses!A$3:A$1002)-2),3)),"")&lt;&gt;"",IFERROR(INDEX(Expenses!B$3:B$1002,SMALL(IF((Expenses!E$3:E$1002="GBP")*(Expenses!A$3:A$1002=DATE(2026,8,5)),ROW(Expenses!A$3:A$1002)-2),3)),""),IF(IFERROR(INDEX(Income!B$3:B$502,SMALL(IF((Income!D$3:D$502="GBP")*(Income!A$3:A$502=DATE(2026,8,5)),ROW(Income!A$3:A$502)-2),3)),"")&lt;&gt;"",IFERROR(INDEX(Income!B$3:B$502,SMALL(IF((Income!D$3:D$502="GBP")*(Income!A$3:A$502=DATE(2026,8,5)),ROW(Income!A$3:A$502)-2),3)),""),""))</f>
        <v/>
      </c>
      <c r="I161" s="62" t="str">
        <f aca="false">IF(IFERROR(-INDEX(Expenses!D$3:D$1002,SMALL(IF((Expenses!E$3:E$1002="GBP")*(Expenses!A$3:A$1002=DATE(2026,8,6)),ROW(Expenses!A$3:A$1002)-2),3)),0)+IFERROR(INDEX(Income!C$3:C$502,SMALL(IF((Income!D$3:D$502="GBP")*(Income!A$3:A$502=DATE(2026,8,6)),ROW(Income!A$3:A$502)-2),3)),0)=0,"",IFERROR(-INDEX(Expenses!D$3:D$1002,SMALL(IF((Expenses!E$3:E$1002="GBP")*(Expenses!A$3:A$1002=DATE(2026,8,6)),ROW(Expenses!A$3:A$1002)-2),3)),0)+IFERROR(INDEX(Income!C$3:C$502,SMALL(IF((Income!D$3:D$502="GBP")*(Income!A$3:A$502=DATE(2026,8,6)),ROW(Income!A$3:A$502)-2),3)),0))</f>
        <v/>
      </c>
      <c r="J161" s="38" t="str">
        <f aca="false">IF(IFERROR(INDEX(Expenses!B$3:B$1002,SMALL(IF((Expenses!E$3:E$1002="GBP")*(Expenses!A$3:A$1002=DATE(2026,8,6)),ROW(Expenses!A$3:A$1002)-2),3)),"")&lt;&gt;"",IFERROR(INDEX(Expenses!B$3:B$1002,SMALL(IF((Expenses!E$3:E$1002="GBP")*(Expenses!A$3:A$1002=DATE(2026,8,6)),ROW(Expenses!A$3:A$1002)-2),3)),""),IF(IFERROR(INDEX(Income!B$3:B$502,SMALL(IF((Income!D$3:D$502="GBP")*(Income!A$3:A$502=DATE(2026,8,6)),ROW(Income!A$3:A$502)-2),3)),"")&lt;&gt;"",IFERROR(INDEX(Income!B$3:B$502,SMALL(IF((Income!D$3:D$502="GBP")*(Income!A$3:A$502=DATE(2026,8,6)),ROW(Income!A$3:A$502)-2),3)),""),""))</f>
        <v/>
      </c>
      <c r="K161" s="62" t="str">
        <f aca="false">IF(IFERROR(-INDEX(Expenses!D$3:D$1002,SMALL(IF((Expenses!E$3:E$1002="GBP")*(Expenses!A$3:A$1002=DATE(2026,8,7)),ROW(Expenses!A$3:A$1002)-2),3)),0)+IFERROR(INDEX(Income!C$3:C$502,SMALL(IF((Income!D$3:D$502="GBP")*(Income!A$3:A$502=DATE(2026,8,7)),ROW(Income!A$3:A$502)-2),3)),0)=0,"",IFERROR(-INDEX(Expenses!D$3:D$1002,SMALL(IF((Expenses!E$3:E$1002="GBP")*(Expenses!A$3:A$1002=DATE(2026,8,7)),ROW(Expenses!A$3:A$1002)-2),3)),0)+IFERROR(INDEX(Income!C$3:C$502,SMALL(IF((Income!D$3:D$502="GBP")*(Income!A$3:A$502=DATE(2026,8,7)),ROW(Income!A$3:A$502)-2),3)),0))</f>
        <v/>
      </c>
      <c r="L161" s="38" t="str">
        <f aca="false">IF(IFERROR(INDEX(Expenses!B$3:B$1002,SMALL(IF((Expenses!E$3:E$1002="GBP")*(Expenses!A$3:A$1002=DATE(2026,8,7)),ROW(Expenses!A$3:A$1002)-2),3)),"")&lt;&gt;"",IFERROR(INDEX(Expenses!B$3:B$1002,SMALL(IF((Expenses!E$3:E$1002="GBP")*(Expenses!A$3:A$1002=DATE(2026,8,7)),ROW(Expenses!A$3:A$1002)-2),3)),""),IF(IFERROR(INDEX(Income!B$3:B$502,SMALL(IF((Income!D$3:D$502="GBP")*(Income!A$3:A$502=DATE(2026,8,7)),ROW(Income!A$3:A$502)-2),3)),"")&lt;&gt;"",IFERROR(INDEX(Income!B$3:B$502,SMALL(IF((Income!D$3:D$502="GBP")*(Income!A$3:A$502=DATE(2026,8,7)),ROW(Income!A$3:A$502)-2),3)),""),""))</f>
        <v/>
      </c>
      <c r="M161" s="62" t="str">
        <f aca="false">IF(IFERROR(-INDEX(Expenses!D$3:D$1002,SMALL(IF((Expenses!E$3:E$1002="GBP")*(Expenses!A$3:A$1002=DATE(2026,8,8)),ROW(Expenses!A$3:A$1002)-2),3)),0)+IFERROR(INDEX(Income!C$3:C$502,SMALL(IF((Income!D$3:D$502="GBP")*(Income!A$3:A$502=DATE(2026,8,8)),ROW(Income!A$3:A$502)-2),3)),0)=0,"",IFERROR(-INDEX(Expenses!D$3:D$1002,SMALL(IF((Expenses!E$3:E$1002="GBP")*(Expenses!A$3:A$1002=DATE(2026,8,8)),ROW(Expenses!A$3:A$1002)-2),3)),0)+IFERROR(INDEX(Income!C$3:C$502,SMALL(IF((Income!D$3:D$502="GBP")*(Income!A$3:A$502=DATE(2026,8,8)),ROW(Income!A$3:A$502)-2),3)),0))</f>
        <v/>
      </c>
      <c r="N161" s="38" t="str">
        <f aca="false">IF(IFERROR(INDEX(Expenses!B$3:B$1002,SMALL(IF((Expenses!E$3:E$1002="GBP")*(Expenses!A$3:A$1002=DATE(2026,8,8)),ROW(Expenses!A$3:A$1002)-2),3)),"")&lt;&gt;"",IFERROR(INDEX(Expenses!B$3:B$1002,SMALL(IF((Expenses!E$3:E$1002="GBP")*(Expenses!A$3:A$1002=DATE(2026,8,8)),ROW(Expenses!A$3:A$1002)-2),3)),""),IF(IFERROR(INDEX(Income!B$3:B$502,SMALL(IF((Income!D$3:D$502="GBP")*(Income!A$3:A$502=DATE(2026,8,8)),ROW(Income!A$3:A$502)-2),3)),"")&lt;&gt;"",IFERROR(INDEX(Income!B$3:B$502,SMALL(IF((Income!D$3:D$502="GBP")*(Income!A$3:A$502=DATE(2026,8,8)),ROW(Income!A$3:A$502)-2),3)),""),""))</f>
        <v/>
      </c>
      <c r="O161" s="62" t="str">
        <f aca="false">IF(IFERROR(-INDEX(Expenses!D$3:D$1002,SMALL(IF((Expenses!E$3:E$1002="GBP")*(Expenses!A$3:A$1002=DATE(2026,8,9)),ROW(Expenses!A$3:A$1002)-2),3)),0)+IFERROR(INDEX(Income!C$3:C$502,SMALL(IF((Income!D$3:D$502="GBP")*(Income!A$3:A$502=DATE(2026,8,9)),ROW(Income!A$3:A$502)-2),3)),0)=0,"",IFERROR(-INDEX(Expenses!D$3:D$1002,SMALL(IF((Expenses!E$3:E$1002="GBP")*(Expenses!A$3:A$1002=DATE(2026,8,9)),ROW(Expenses!A$3:A$1002)-2),3)),0)+IFERROR(INDEX(Income!C$3:C$502,SMALL(IF((Income!D$3:D$502="GBP")*(Income!A$3:A$502=DATE(2026,8,9)),ROW(Income!A$3:A$502)-2),3)),0))</f>
        <v/>
      </c>
      <c r="P161" s="38" t="str">
        <f aca="false">IF(IFERROR(INDEX(Expenses!B$3:B$1002,SMALL(IF((Expenses!E$3:E$1002="GBP")*(Expenses!A$3:A$1002=DATE(2026,8,9)),ROW(Expenses!A$3:A$1002)-2),3)),"")&lt;&gt;"",IFERROR(INDEX(Expenses!B$3:B$1002,SMALL(IF((Expenses!E$3:E$1002="GBP")*(Expenses!A$3:A$1002=DATE(2026,8,9)),ROW(Expenses!A$3:A$1002)-2),3)),""),IF(IFERROR(INDEX(Income!B$3:B$502,SMALL(IF((Income!D$3:D$502="GBP")*(Income!A$3:A$502=DATE(2026,8,9)),ROW(Income!A$3:A$502)-2),3)),"")&lt;&gt;"",IFERROR(INDEX(Income!B$3:B$502,SMALL(IF((Income!D$3:D$502="GBP")*(Income!A$3:A$502=DATE(2026,8,9)),ROW(Income!A$3:A$502)-2),3)),""),""))</f>
        <v/>
      </c>
      <c r="Q161" s="16"/>
      <c r="R161" s="16"/>
    </row>
    <row r="162" customFormat="false" ht="15" hidden="false" customHeight="false" outlineLevel="0" collapsed="false">
      <c r="A162" s="16"/>
      <c r="B162" s="16"/>
      <c r="C162" s="62" t="str">
        <f aca="false">IF(IFERROR(-INDEX(Expenses!D$3:D$1002,SMALL(IF((Expenses!E$3:E$1002="GBP")*(Expenses!A$3:A$1002=DATE(2026,8,3)),ROW(Expenses!A$3:A$1002)-2),4)),0)+IFERROR(INDEX(Income!C$3:C$502,SMALL(IF((Income!D$3:D$502="GBP")*(Income!A$3:A$502=DATE(2026,8,3)),ROW(Income!A$3:A$502)-2),4)),0)=0,"",IFERROR(-INDEX(Expenses!D$3:D$1002,SMALL(IF((Expenses!E$3:E$1002="GBP")*(Expenses!A$3:A$1002=DATE(2026,8,3)),ROW(Expenses!A$3:A$1002)-2),4)),0)+IFERROR(INDEX(Income!C$3:C$502,SMALL(IF((Income!D$3:D$502="GBP")*(Income!A$3:A$502=DATE(2026,8,3)),ROW(Income!A$3:A$502)-2),4)),0))</f>
        <v/>
      </c>
      <c r="D162" s="38" t="str">
        <f aca="false">IF(IFERROR(INDEX(Expenses!B$3:B$1002,SMALL(IF((Expenses!E$3:E$1002="GBP")*(Expenses!A$3:A$1002=DATE(2026,8,3)),ROW(Expenses!A$3:A$1002)-2),4)),"")&lt;&gt;"",IFERROR(INDEX(Expenses!B$3:B$1002,SMALL(IF((Expenses!E$3:E$1002="GBP")*(Expenses!A$3:A$1002=DATE(2026,8,3)),ROW(Expenses!A$3:A$1002)-2),4)),""),IF(IFERROR(INDEX(Income!B$3:B$502,SMALL(IF((Income!D$3:D$502="GBP")*(Income!A$3:A$502=DATE(2026,8,3)),ROW(Income!A$3:A$502)-2),4)),"")&lt;&gt;"",IFERROR(INDEX(Income!B$3:B$502,SMALL(IF((Income!D$3:D$502="GBP")*(Income!A$3:A$502=DATE(2026,8,3)),ROW(Income!A$3:A$502)-2),4)),""),""))</f>
        <v/>
      </c>
      <c r="E162" s="62" t="str">
        <f aca="false">IF(IFERROR(-INDEX(Expenses!D$3:D$1002,SMALL(IF((Expenses!E$3:E$1002="GBP")*(Expenses!A$3:A$1002=DATE(2026,8,4)),ROW(Expenses!A$3:A$1002)-2),4)),0)+IFERROR(INDEX(Income!C$3:C$502,SMALL(IF((Income!D$3:D$502="GBP")*(Income!A$3:A$502=DATE(2026,8,4)),ROW(Income!A$3:A$502)-2),4)),0)=0,"",IFERROR(-INDEX(Expenses!D$3:D$1002,SMALL(IF((Expenses!E$3:E$1002="GBP")*(Expenses!A$3:A$1002=DATE(2026,8,4)),ROW(Expenses!A$3:A$1002)-2),4)),0)+IFERROR(INDEX(Income!C$3:C$502,SMALL(IF((Income!D$3:D$502="GBP")*(Income!A$3:A$502=DATE(2026,8,4)),ROW(Income!A$3:A$502)-2),4)),0))</f>
        <v/>
      </c>
      <c r="F162" s="38" t="str">
        <f aca="false">IF(IFERROR(INDEX(Expenses!B$3:B$1002,SMALL(IF((Expenses!E$3:E$1002="GBP")*(Expenses!A$3:A$1002=DATE(2026,8,4)),ROW(Expenses!A$3:A$1002)-2),4)),"")&lt;&gt;"",IFERROR(INDEX(Expenses!B$3:B$1002,SMALL(IF((Expenses!E$3:E$1002="GBP")*(Expenses!A$3:A$1002=DATE(2026,8,4)),ROW(Expenses!A$3:A$1002)-2),4)),""),IF(IFERROR(INDEX(Income!B$3:B$502,SMALL(IF((Income!D$3:D$502="GBP")*(Income!A$3:A$502=DATE(2026,8,4)),ROW(Income!A$3:A$502)-2),4)),"")&lt;&gt;"",IFERROR(INDEX(Income!B$3:B$502,SMALL(IF((Income!D$3:D$502="GBP")*(Income!A$3:A$502=DATE(2026,8,4)),ROW(Income!A$3:A$502)-2),4)),""),""))</f>
        <v/>
      </c>
      <c r="G162" s="62" t="str">
        <f aca="false">IF(IFERROR(-INDEX(Expenses!D$3:D$1002,SMALL(IF((Expenses!E$3:E$1002="GBP")*(Expenses!A$3:A$1002=DATE(2026,8,5)),ROW(Expenses!A$3:A$1002)-2),4)),0)+IFERROR(INDEX(Income!C$3:C$502,SMALL(IF((Income!D$3:D$502="GBP")*(Income!A$3:A$502=DATE(2026,8,5)),ROW(Income!A$3:A$502)-2),4)),0)=0,"",IFERROR(-INDEX(Expenses!D$3:D$1002,SMALL(IF((Expenses!E$3:E$1002="GBP")*(Expenses!A$3:A$1002=DATE(2026,8,5)),ROW(Expenses!A$3:A$1002)-2),4)),0)+IFERROR(INDEX(Income!C$3:C$502,SMALL(IF((Income!D$3:D$502="GBP")*(Income!A$3:A$502=DATE(2026,8,5)),ROW(Income!A$3:A$502)-2),4)),0))</f>
        <v/>
      </c>
      <c r="H162" s="38" t="str">
        <f aca="false">IF(IFERROR(INDEX(Expenses!B$3:B$1002,SMALL(IF((Expenses!E$3:E$1002="GBP")*(Expenses!A$3:A$1002=DATE(2026,8,5)),ROW(Expenses!A$3:A$1002)-2),4)),"")&lt;&gt;"",IFERROR(INDEX(Expenses!B$3:B$1002,SMALL(IF((Expenses!E$3:E$1002="GBP")*(Expenses!A$3:A$1002=DATE(2026,8,5)),ROW(Expenses!A$3:A$1002)-2),4)),""),IF(IFERROR(INDEX(Income!B$3:B$502,SMALL(IF((Income!D$3:D$502="GBP")*(Income!A$3:A$502=DATE(2026,8,5)),ROW(Income!A$3:A$502)-2),4)),"")&lt;&gt;"",IFERROR(INDEX(Income!B$3:B$502,SMALL(IF((Income!D$3:D$502="GBP")*(Income!A$3:A$502=DATE(2026,8,5)),ROW(Income!A$3:A$502)-2),4)),""),""))</f>
        <v/>
      </c>
      <c r="I162" s="62" t="str">
        <f aca="false">IF(IFERROR(-INDEX(Expenses!D$3:D$1002,SMALL(IF((Expenses!E$3:E$1002="GBP")*(Expenses!A$3:A$1002=DATE(2026,8,6)),ROW(Expenses!A$3:A$1002)-2),4)),0)+IFERROR(INDEX(Income!C$3:C$502,SMALL(IF((Income!D$3:D$502="GBP")*(Income!A$3:A$502=DATE(2026,8,6)),ROW(Income!A$3:A$502)-2),4)),0)=0,"",IFERROR(-INDEX(Expenses!D$3:D$1002,SMALL(IF((Expenses!E$3:E$1002="GBP")*(Expenses!A$3:A$1002=DATE(2026,8,6)),ROW(Expenses!A$3:A$1002)-2),4)),0)+IFERROR(INDEX(Income!C$3:C$502,SMALL(IF((Income!D$3:D$502="GBP")*(Income!A$3:A$502=DATE(2026,8,6)),ROW(Income!A$3:A$502)-2),4)),0))</f>
        <v/>
      </c>
      <c r="J162" s="38" t="str">
        <f aca="false">IF(IFERROR(INDEX(Expenses!B$3:B$1002,SMALL(IF((Expenses!E$3:E$1002="GBP")*(Expenses!A$3:A$1002=DATE(2026,8,6)),ROW(Expenses!A$3:A$1002)-2),4)),"")&lt;&gt;"",IFERROR(INDEX(Expenses!B$3:B$1002,SMALL(IF((Expenses!E$3:E$1002="GBP")*(Expenses!A$3:A$1002=DATE(2026,8,6)),ROW(Expenses!A$3:A$1002)-2),4)),""),IF(IFERROR(INDEX(Income!B$3:B$502,SMALL(IF((Income!D$3:D$502="GBP")*(Income!A$3:A$502=DATE(2026,8,6)),ROW(Income!A$3:A$502)-2),4)),"")&lt;&gt;"",IFERROR(INDEX(Income!B$3:B$502,SMALL(IF((Income!D$3:D$502="GBP")*(Income!A$3:A$502=DATE(2026,8,6)),ROW(Income!A$3:A$502)-2),4)),""),""))</f>
        <v/>
      </c>
      <c r="K162" s="62" t="str">
        <f aca="false">IF(IFERROR(-INDEX(Expenses!D$3:D$1002,SMALL(IF((Expenses!E$3:E$1002="GBP")*(Expenses!A$3:A$1002=DATE(2026,8,7)),ROW(Expenses!A$3:A$1002)-2),4)),0)+IFERROR(INDEX(Income!C$3:C$502,SMALL(IF((Income!D$3:D$502="GBP")*(Income!A$3:A$502=DATE(2026,8,7)),ROW(Income!A$3:A$502)-2),4)),0)=0,"",IFERROR(-INDEX(Expenses!D$3:D$1002,SMALL(IF((Expenses!E$3:E$1002="GBP")*(Expenses!A$3:A$1002=DATE(2026,8,7)),ROW(Expenses!A$3:A$1002)-2),4)),0)+IFERROR(INDEX(Income!C$3:C$502,SMALL(IF((Income!D$3:D$502="GBP")*(Income!A$3:A$502=DATE(2026,8,7)),ROW(Income!A$3:A$502)-2),4)),0))</f>
        <v/>
      </c>
      <c r="L162" s="38" t="str">
        <f aca="false">IF(IFERROR(INDEX(Expenses!B$3:B$1002,SMALL(IF((Expenses!E$3:E$1002="GBP")*(Expenses!A$3:A$1002=DATE(2026,8,7)),ROW(Expenses!A$3:A$1002)-2),4)),"")&lt;&gt;"",IFERROR(INDEX(Expenses!B$3:B$1002,SMALL(IF((Expenses!E$3:E$1002="GBP")*(Expenses!A$3:A$1002=DATE(2026,8,7)),ROW(Expenses!A$3:A$1002)-2),4)),""),IF(IFERROR(INDEX(Income!B$3:B$502,SMALL(IF((Income!D$3:D$502="GBP")*(Income!A$3:A$502=DATE(2026,8,7)),ROW(Income!A$3:A$502)-2),4)),"")&lt;&gt;"",IFERROR(INDEX(Income!B$3:B$502,SMALL(IF((Income!D$3:D$502="GBP")*(Income!A$3:A$502=DATE(2026,8,7)),ROW(Income!A$3:A$502)-2),4)),""),""))</f>
        <v/>
      </c>
      <c r="M162" s="62" t="str">
        <f aca="false">IF(IFERROR(-INDEX(Expenses!D$3:D$1002,SMALL(IF((Expenses!E$3:E$1002="GBP")*(Expenses!A$3:A$1002=DATE(2026,8,8)),ROW(Expenses!A$3:A$1002)-2),4)),0)+IFERROR(INDEX(Income!C$3:C$502,SMALL(IF((Income!D$3:D$502="GBP")*(Income!A$3:A$502=DATE(2026,8,8)),ROW(Income!A$3:A$502)-2),4)),0)=0,"",IFERROR(-INDEX(Expenses!D$3:D$1002,SMALL(IF((Expenses!E$3:E$1002="GBP")*(Expenses!A$3:A$1002=DATE(2026,8,8)),ROW(Expenses!A$3:A$1002)-2),4)),0)+IFERROR(INDEX(Income!C$3:C$502,SMALL(IF((Income!D$3:D$502="GBP")*(Income!A$3:A$502=DATE(2026,8,8)),ROW(Income!A$3:A$502)-2),4)),0))</f>
        <v/>
      </c>
      <c r="N162" s="38" t="str">
        <f aca="false">IF(IFERROR(INDEX(Expenses!B$3:B$1002,SMALL(IF((Expenses!E$3:E$1002="GBP")*(Expenses!A$3:A$1002=DATE(2026,8,8)),ROW(Expenses!A$3:A$1002)-2),4)),"")&lt;&gt;"",IFERROR(INDEX(Expenses!B$3:B$1002,SMALL(IF((Expenses!E$3:E$1002="GBP")*(Expenses!A$3:A$1002=DATE(2026,8,8)),ROW(Expenses!A$3:A$1002)-2),4)),""),IF(IFERROR(INDEX(Income!B$3:B$502,SMALL(IF((Income!D$3:D$502="GBP")*(Income!A$3:A$502=DATE(2026,8,8)),ROW(Income!A$3:A$502)-2),4)),"")&lt;&gt;"",IFERROR(INDEX(Income!B$3:B$502,SMALL(IF((Income!D$3:D$502="GBP")*(Income!A$3:A$502=DATE(2026,8,8)),ROW(Income!A$3:A$502)-2),4)),""),""))</f>
        <v/>
      </c>
      <c r="O162" s="62" t="str">
        <f aca="false">IF(IFERROR(-INDEX(Expenses!D$3:D$1002,SMALL(IF((Expenses!E$3:E$1002="GBP")*(Expenses!A$3:A$1002=DATE(2026,8,9)),ROW(Expenses!A$3:A$1002)-2),4)),0)+IFERROR(INDEX(Income!C$3:C$502,SMALL(IF((Income!D$3:D$502="GBP")*(Income!A$3:A$502=DATE(2026,8,9)),ROW(Income!A$3:A$502)-2),4)),0)=0,"",IFERROR(-INDEX(Expenses!D$3:D$1002,SMALL(IF((Expenses!E$3:E$1002="GBP")*(Expenses!A$3:A$1002=DATE(2026,8,9)),ROW(Expenses!A$3:A$1002)-2),4)),0)+IFERROR(INDEX(Income!C$3:C$502,SMALL(IF((Income!D$3:D$502="GBP")*(Income!A$3:A$502=DATE(2026,8,9)),ROW(Income!A$3:A$502)-2),4)),0))</f>
        <v/>
      </c>
      <c r="P162" s="38" t="str">
        <f aca="false">IF(IFERROR(INDEX(Expenses!B$3:B$1002,SMALL(IF((Expenses!E$3:E$1002="GBP")*(Expenses!A$3:A$1002=DATE(2026,8,9)),ROW(Expenses!A$3:A$1002)-2),4)),"")&lt;&gt;"",IFERROR(INDEX(Expenses!B$3:B$1002,SMALL(IF((Expenses!E$3:E$1002="GBP")*(Expenses!A$3:A$1002=DATE(2026,8,9)),ROW(Expenses!A$3:A$1002)-2),4)),""),IF(IFERROR(INDEX(Income!B$3:B$502,SMALL(IF((Income!D$3:D$502="GBP")*(Income!A$3:A$502=DATE(2026,8,9)),ROW(Income!A$3:A$502)-2),4)),"")&lt;&gt;"",IFERROR(INDEX(Income!B$3:B$502,SMALL(IF((Income!D$3:D$502="GBP")*(Income!A$3:A$502=DATE(2026,8,9)),ROW(Income!A$3:A$502)-2),4)),""),""))</f>
        <v/>
      </c>
      <c r="Q162" s="16"/>
      <c r="R162" s="16"/>
    </row>
    <row r="163" customFormat="false" ht="15" hidden="false" customHeight="false" outlineLevel="0" collapsed="false">
      <c r="A163" s="16"/>
      <c r="B163" s="16"/>
      <c r="C163" s="62" t="str">
        <f aca="false">IF(IFERROR(-INDEX(Expenses!D$3:D$1002,SMALL(IF((Expenses!E$3:E$1002="GBP")*(Expenses!A$3:A$1002=DATE(2026,8,3)),ROW(Expenses!A$3:A$1002)-2),5)),0)+IFERROR(INDEX(Income!C$3:C$502,SMALL(IF((Income!D$3:D$502="GBP")*(Income!A$3:A$502=DATE(2026,8,3)),ROW(Income!A$3:A$502)-2),5)),0)=0,"",IFERROR(-INDEX(Expenses!D$3:D$1002,SMALL(IF((Expenses!E$3:E$1002="GBP")*(Expenses!A$3:A$1002=DATE(2026,8,3)),ROW(Expenses!A$3:A$1002)-2),5)),0)+IFERROR(INDEX(Income!C$3:C$502,SMALL(IF((Income!D$3:D$502="GBP")*(Income!A$3:A$502=DATE(2026,8,3)),ROW(Income!A$3:A$502)-2),5)),0))</f>
        <v/>
      </c>
      <c r="D163" s="38" t="str">
        <f aca="false">IF(IFERROR(INDEX(Expenses!B$3:B$1002,SMALL(IF((Expenses!E$3:E$1002="GBP")*(Expenses!A$3:A$1002=DATE(2026,8,3)),ROW(Expenses!A$3:A$1002)-2),5)),"")&lt;&gt;"",IFERROR(INDEX(Expenses!B$3:B$1002,SMALL(IF((Expenses!E$3:E$1002="GBP")*(Expenses!A$3:A$1002=DATE(2026,8,3)),ROW(Expenses!A$3:A$1002)-2),5)),""),IF(IFERROR(INDEX(Income!B$3:B$502,SMALL(IF((Income!D$3:D$502="GBP")*(Income!A$3:A$502=DATE(2026,8,3)),ROW(Income!A$3:A$502)-2),5)),"")&lt;&gt;"",IFERROR(INDEX(Income!B$3:B$502,SMALL(IF((Income!D$3:D$502="GBP")*(Income!A$3:A$502=DATE(2026,8,3)),ROW(Income!A$3:A$502)-2),5)),""),""))</f>
        <v/>
      </c>
      <c r="E163" s="62" t="str">
        <f aca="false">IF(IFERROR(-INDEX(Expenses!D$3:D$1002,SMALL(IF((Expenses!E$3:E$1002="GBP")*(Expenses!A$3:A$1002=DATE(2026,8,4)),ROW(Expenses!A$3:A$1002)-2),5)),0)+IFERROR(INDEX(Income!C$3:C$502,SMALL(IF((Income!D$3:D$502="GBP")*(Income!A$3:A$502=DATE(2026,8,4)),ROW(Income!A$3:A$502)-2),5)),0)=0,"",IFERROR(-INDEX(Expenses!D$3:D$1002,SMALL(IF((Expenses!E$3:E$1002="GBP")*(Expenses!A$3:A$1002=DATE(2026,8,4)),ROW(Expenses!A$3:A$1002)-2),5)),0)+IFERROR(INDEX(Income!C$3:C$502,SMALL(IF((Income!D$3:D$502="GBP")*(Income!A$3:A$502=DATE(2026,8,4)),ROW(Income!A$3:A$502)-2),5)),0))</f>
        <v/>
      </c>
      <c r="F163" s="38" t="str">
        <f aca="false">IF(IFERROR(INDEX(Expenses!B$3:B$1002,SMALL(IF((Expenses!E$3:E$1002="GBP")*(Expenses!A$3:A$1002=DATE(2026,8,4)),ROW(Expenses!A$3:A$1002)-2),5)),"")&lt;&gt;"",IFERROR(INDEX(Expenses!B$3:B$1002,SMALL(IF((Expenses!E$3:E$1002="GBP")*(Expenses!A$3:A$1002=DATE(2026,8,4)),ROW(Expenses!A$3:A$1002)-2),5)),""),IF(IFERROR(INDEX(Income!B$3:B$502,SMALL(IF((Income!D$3:D$502="GBP")*(Income!A$3:A$502=DATE(2026,8,4)),ROW(Income!A$3:A$502)-2),5)),"")&lt;&gt;"",IFERROR(INDEX(Income!B$3:B$502,SMALL(IF((Income!D$3:D$502="GBP")*(Income!A$3:A$502=DATE(2026,8,4)),ROW(Income!A$3:A$502)-2),5)),""),""))</f>
        <v/>
      </c>
      <c r="G163" s="62" t="str">
        <f aca="false">IF(IFERROR(-INDEX(Expenses!D$3:D$1002,SMALL(IF((Expenses!E$3:E$1002="GBP")*(Expenses!A$3:A$1002=DATE(2026,8,5)),ROW(Expenses!A$3:A$1002)-2),5)),0)+IFERROR(INDEX(Income!C$3:C$502,SMALL(IF((Income!D$3:D$502="GBP")*(Income!A$3:A$502=DATE(2026,8,5)),ROW(Income!A$3:A$502)-2),5)),0)=0,"",IFERROR(-INDEX(Expenses!D$3:D$1002,SMALL(IF((Expenses!E$3:E$1002="GBP")*(Expenses!A$3:A$1002=DATE(2026,8,5)),ROW(Expenses!A$3:A$1002)-2),5)),0)+IFERROR(INDEX(Income!C$3:C$502,SMALL(IF((Income!D$3:D$502="GBP")*(Income!A$3:A$502=DATE(2026,8,5)),ROW(Income!A$3:A$502)-2),5)),0))</f>
        <v/>
      </c>
      <c r="H163" s="38" t="str">
        <f aca="false">IF(IFERROR(INDEX(Expenses!B$3:B$1002,SMALL(IF((Expenses!E$3:E$1002="GBP")*(Expenses!A$3:A$1002=DATE(2026,8,5)),ROW(Expenses!A$3:A$1002)-2),5)),"")&lt;&gt;"",IFERROR(INDEX(Expenses!B$3:B$1002,SMALL(IF((Expenses!E$3:E$1002="GBP")*(Expenses!A$3:A$1002=DATE(2026,8,5)),ROW(Expenses!A$3:A$1002)-2),5)),""),IF(IFERROR(INDEX(Income!B$3:B$502,SMALL(IF((Income!D$3:D$502="GBP")*(Income!A$3:A$502=DATE(2026,8,5)),ROW(Income!A$3:A$502)-2),5)),"")&lt;&gt;"",IFERROR(INDEX(Income!B$3:B$502,SMALL(IF((Income!D$3:D$502="GBP")*(Income!A$3:A$502=DATE(2026,8,5)),ROW(Income!A$3:A$502)-2),5)),""),""))</f>
        <v/>
      </c>
      <c r="I163" s="62" t="str">
        <f aca="false">IF(IFERROR(-INDEX(Expenses!D$3:D$1002,SMALL(IF((Expenses!E$3:E$1002="GBP")*(Expenses!A$3:A$1002=DATE(2026,8,6)),ROW(Expenses!A$3:A$1002)-2),5)),0)+IFERROR(INDEX(Income!C$3:C$502,SMALL(IF((Income!D$3:D$502="GBP")*(Income!A$3:A$502=DATE(2026,8,6)),ROW(Income!A$3:A$502)-2),5)),0)=0,"",IFERROR(-INDEX(Expenses!D$3:D$1002,SMALL(IF((Expenses!E$3:E$1002="GBP")*(Expenses!A$3:A$1002=DATE(2026,8,6)),ROW(Expenses!A$3:A$1002)-2),5)),0)+IFERROR(INDEX(Income!C$3:C$502,SMALL(IF((Income!D$3:D$502="GBP")*(Income!A$3:A$502=DATE(2026,8,6)),ROW(Income!A$3:A$502)-2),5)),0))</f>
        <v/>
      </c>
      <c r="J163" s="38" t="str">
        <f aca="false">IF(IFERROR(INDEX(Expenses!B$3:B$1002,SMALL(IF((Expenses!E$3:E$1002="GBP")*(Expenses!A$3:A$1002=DATE(2026,8,6)),ROW(Expenses!A$3:A$1002)-2),5)),"")&lt;&gt;"",IFERROR(INDEX(Expenses!B$3:B$1002,SMALL(IF((Expenses!E$3:E$1002="GBP")*(Expenses!A$3:A$1002=DATE(2026,8,6)),ROW(Expenses!A$3:A$1002)-2),5)),""),IF(IFERROR(INDEX(Income!B$3:B$502,SMALL(IF((Income!D$3:D$502="GBP")*(Income!A$3:A$502=DATE(2026,8,6)),ROW(Income!A$3:A$502)-2),5)),"")&lt;&gt;"",IFERROR(INDEX(Income!B$3:B$502,SMALL(IF((Income!D$3:D$502="GBP")*(Income!A$3:A$502=DATE(2026,8,6)),ROW(Income!A$3:A$502)-2),5)),""),""))</f>
        <v/>
      </c>
      <c r="K163" s="62" t="str">
        <f aca="false">IF(IFERROR(-INDEX(Expenses!D$3:D$1002,SMALL(IF((Expenses!E$3:E$1002="GBP")*(Expenses!A$3:A$1002=DATE(2026,8,7)),ROW(Expenses!A$3:A$1002)-2),5)),0)+IFERROR(INDEX(Income!C$3:C$502,SMALL(IF((Income!D$3:D$502="GBP")*(Income!A$3:A$502=DATE(2026,8,7)),ROW(Income!A$3:A$502)-2),5)),0)=0,"",IFERROR(-INDEX(Expenses!D$3:D$1002,SMALL(IF((Expenses!E$3:E$1002="GBP")*(Expenses!A$3:A$1002=DATE(2026,8,7)),ROW(Expenses!A$3:A$1002)-2),5)),0)+IFERROR(INDEX(Income!C$3:C$502,SMALL(IF((Income!D$3:D$502="GBP")*(Income!A$3:A$502=DATE(2026,8,7)),ROW(Income!A$3:A$502)-2),5)),0))</f>
        <v/>
      </c>
      <c r="L163" s="38" t="str">
        <f aca="false">IF(IFERROR(INDEX(Expenses!B$3:B$1002,SMALL(IF((Expenses!E$3:E$1002="GBP")*(Expenses!A$3:A$1002=DATE(2026,8,7)),ROW(Expenses!A$3:A$1002)-2),5)),"")&lt;&gt;"",IFERROR(INDEX(Expenses!B$3:B$1002,SMALL(IF((Expenses!E$3:E$1002="GBP")*(Expenses!A$3:A$1002=DATE(2026,8,7)),ROW(Expenses!A$3:A$1002)-2),5)),""),IF(IFERROR(INDEX(Income!B$3:B$502,SMALL(IF((Income!D$3:D$502="GBP")*(Income!A$3:A$502=DATE(2026,8,7)),ROW(Income!A$3:A$502)-2),5)),"")&lt;&gt;"",IFERROR(INDEX(Income!B$3:B$502,SMALL(IF((Income!D$3:D$502="GBP")*(Income!A$3:A$502=DATE(2026,8,7)),ROW(Income!A$3:A$502)-2),5)),""),""))</f>
        <v/>
      </c>
      <c r="M163" s="62" t="str">
        <f aca="false">IF(IFERROR(-INDEX(Expenses!D$3:D$1002,SMALL(IF((Expenses!E$3:E$1002="GBP")*(Expenses!A$3:A$1002=DATE(2026,8,8)),ROW(Expenses!A$3:A$1002)-2),5)),0)+IFERROR(INDEX(Income!C$3:C$502,SMALL(IF((Income!D$3:D$502="GBP")*(Income!A$3:A$502=DATE(2026,8,8)),ROW(Income!A$3:A$502)-2),5)),0)=0,"",IFERROR(-INDEX(Expenses!D$3:D$1002,SMALL(IF((Expenses!E$3:E$1002="GBP")*(Expenses!A$3:A$1002=DATE(2026,8,8)),ROW(Expenses!A$3:A$1002)-2),5)),0)+IFERROR(INDEX(Income!C$3:C$502,SMALL(IF((Income!D$3:D$502="GBP")*(Income!A$3:A$502=DATE(2026,8,8)),ROW(Income!A$3:A$502)-2),5)),0))</f>
        <v/>
      </c>
      <c r="N163" s="38" t="str">
        <f aca="false">IF(IFERROR(INDEX(Expenses!B$3:B$1002,SMALL(IF((Expenses!E$3:E$1002="GBP")*(Expenses!A$3:A$1002=DATE(2026,8,8)),ROW(Expenses!A$3:A$1002)-2),5)),"")&lt;&gt;"",IFERROR(INDEX(Expenses!B$3:B$1002,SMALL(IF((Expenses!E$3:E$1002="GBP")*(Expenses!A$3:A$1002=DATE(2026,8,8)),ROW(Expenses!A$3:A$1002)-2),5)),""),IF(IFERROR(INDEX(Income!B$3:B$502,SMALL(IF((Income!D$3:D$502="GBP")*(Income!A$3:A$502=DATE(2026,8,8)),ROW(Income!A$3:A$502)-2),5)),"")&lt;&gt;"",IFERROR(INDEX(Income!B$3:B$502,SMALL(IF((Income!D$3:D$502="GBP")*(Income!A$3:A$502=DATE(2026,8,8)),ROW(Income!A$3:A$502)-2),5)),""),""))</f>
        <v/>
      </c>
      <c r="O163" s="62" t="str">
        <f aca="false">IF(IFERROR(-INDEX(Expenses!D$3:D$1002,SMALL(IF((Expenses!E$3:E$1002="GBP")*(Expenses!A$3:A$1002=DATE(2026,8,9)),ROW(Expenses!A$3:A$1002)-2),5)),0)+IFERROR(INDEX(Income!C$3:C$502,SMALL(IF((Income!D$3:D$502="GBP")*(Income!A$3:A$502=DATE(2026,8,9)),ROW(Income!A$3:A$502)-2),5)),0)=0,"",IFERROR(-INDEX(Expenses!D$3:D$1002,SMALL(IF((Expenses!E$3:E$1002="GBP")*(Expenses!A$3:A$1002=DATE(2026,8,9)),ROW(Expenses!A$3:A$1002)-2),5)),0)+IFERROR(INDEX(Income!C$3:C$502,SMALL(IF((Income!D$3:D$502="GBP")*(Income!A$3:A$502=DATE(2026,8,9)),ROW(Income!A$3:A$502)-2),5)),0))</f>
        <v/>
      </c>
      <c r="P163" s="38" t="str">
        <f aca="false">IF(IFERROR(INDEX(Expenses!B$3:B$1002,SMALL(IF((Expenses!E$3:E$1002="GBP")*(Expenses!A$3:A$1002=DATE(2026,8,9)),ROW(Expenses!A$3:A$1002)-2),5)),"")&lt;&gt;"",IFERROR(INDEX(Expenses!B$3:B$1002,SMALL(IF((Expenses!E$3:E$1002="GBP")*(Expenses!A$3:A$1002=DATE(2026,8,9)),ROW(Expenses!A$3:A$1002)-2),5)),""),IF(IFERROR(INDEX(Income!B$3:B$502,SMALL(IF((Income!D$3:D$502="GBP")*(Income!A$3:A$502=DATE(2026,8,9)),ROW(Income!A$3:A$502)-2),5)),"")&lt;&gt;"",IFERROR(INDEX(Income!B$3:B$502,SMALL(IF((Income!D$3:D$502="GBP")*(Income!A$3:A$502=DATE(2026,8,9)),ROW(Income!A$3:A$502)-2),5)),""),""))</f>
        <v/>
      </c>
      <c r="Q163" s="16"/>
      <c r="R163" s="16"/>
    </row>
    <row r="164" customFormat="false" ht="15" hidden="false" customHeight="false" outlineLevel="0" collapsed="false">
      <c r="A164" s="61" t="n">
        <v>46244</v>
      </c>
      <c r="B164" s="3" t="n">
        <v>33</v>
      </c>
      <c r="C164" s="62" t="str">
        <f aca="false">IF(IFERROR(-INDEX(Expenses!D$3:D$1002,SMALL(IF((Expenses!E$3:E$1002="GBP")*(Expenses!A$3:A$1002=DATE(2026,8,10)),ROW(Expenses!A$3:A$1002)-2),1)),0)+IFERROR(INDEX(Income!C$3:C$502,SMALL(IF((Income!D$3:D$502="GBP")*(Income!A$3:A$502=DATE(2026,8,10)),ROW(Income!A$3:A$502)-2),1)),0)=0,"",IFERROR(-INDEX(Expenses!D$3:D$1002,SMALL(IF((Expenses!E$3:E$1002="GBP")*(Expenses!A$3:A$1002=DATE(2026,8,10)),ROW(Expenses!A$3:A$1002)-2),1)),0)+IFERROR(INDEX(Income!C$3:C$502,SMALL(IF((Income!D$3:D$502="GBP")*(Income!A$3:A$502=DATE(2026,8,10)),ROW(Income!A$3:A$502)-2),1)),0))</f>
        <v/>
      </c>
      <c r="D164" s="38" t="str">
        <f aca="false">IF(IFERROR(INDEX(Expenses!B$3:B$1002,SMALL(IF((Expenses!E$3:E$1002="GBP")*(Expenses!A$3:A$1002=DATE(2026,8,10)),ROW(Expenses!A$3:A$1002)-2),1)),"")&lt;&gt;"",IFERROR(INDEX(Expenses!B$3:B$1002,SMALL(IF((Expenses!E$3:E$1002="GBP")*(Expenses!A$3:A$1002=DATE(2026,8,10)),ROW(Expenses!A$3:A$1002)-2),1)),""),IF(IFERROR(INDEX(Income!B$3:B$502,SMALL(IF((Income!D$3:D$502="GBP")*(Income!A$3:A$502=DATE(2026,8,10)),ROW(Income!A$3:A$502)-2),1)),"")&lt;&gt;"",IFERROR(INDEX(Income!B$3:B$502,SMALL(IF((Income!D$3:D$502="GBP")*(Income!A$3:A$502=DATE(2026,8,10)),ROW(Income!A$3:A$502)-2),1)),""),""))</f>
        <v/>
      </c>
      <c r="E164" s="62" t="str">
        <f aca="false">IF(IFERROR(-INDEX(Expenses!D$3:D$1002,SMALL(IF((Expenses!E$3:E$1002="GBP")*(Expenses!A$3:A$1002=DATE(2026,8,11)),ROW(Expenses!A$3:A$1002)-2),1)),0)+IFERROR(INDEX(Income!C$3:C$502,SMALL(IF((Income!D$3:D$502="GBP")*(Income!A$3:A$502=DATE(2026,8,11)),ROW(Income!A$3:A$502)-2),1)),0)=0,"",IFERROR(-INDEX(Expenses!D$3:D$1002,SMALL(IF((Expenses!E$3:E$1002="GBP")*(Expenses!A$3:A$1002=DATE(2026,8,11)),ROW(Expenses!A$3:A$1002)-2),1)),0)+IFERROR(INDEX(Income!C$3:C$502,SMALL(IF((Income!D$3:D$502="GBP")*(Income!A$3:A$502=DATE(2026,8,11)),ROW(Income!A$3:A$502)-2),1)),0))</f>
        <v/>
      </c>
      <c r="F164" s="38" t="str">
        <f aca="false">IF(IFERROR(INDEX(Expenses!B$3:B$1002,SMALL(IF((Expenses!E$3:E$1002="GBP")*(Expenses!A$3:A$1002=DATE(2026,8,11)),ROW(Expenses!A$3:A$1002)-2),1)),"")&lt;&gt;"",IFERROR(INDEX(Expenses!B$3:B$1002,SMALL(IF((Expenses!E$3:E$1002="GBP")*(Expenses!A$3:A$1002=DATE(2026,8,11)),ROW(Expenses!A$3:A$1002)-2),1)),""),IF(IFERROR(INDEX(Income!B$3:B$502,SMALL(IF((Income!D$3:D$502="GBP")*(Income!A$3:A$502=DATE(2026,8,11)),ROW(Income!A$3:A$502)-2),1)),"")&lt;&gt;"",IFERROR(INDEX(Income!B$3:B$502,SMALL(IF((Income!D$3:D$502="GBP")*(Income!A$3:A$502=DATE(2026,8,11)),ROW(Income!A$3:A$502)-2),1)),""),""))</f>
        <v/>
      </c>
      <c r="G164" s="62" t="str">
        <f aca="false">IF(IFERROR(-INDEX(Expenses!D$3:D$1002,SMALL(IF((Expenses!E$3:E$1002="GBP")*(Expenses!A$3:A$1002=DATE(2026,8,12)),ROW(Expenses!A$3:A$1002)-2),1)),0)+IFERROR(INDEX(Income!C$3:C$502,SMALL(IF((Income!D$3:D$502="GBP")*(Income!A$3:A$502=DATE(2026,8,12)),ROW(Income!A$3:A$502)-2),1)),0)=0,"",IFERROR(-INDEX(Expenses!D$3:D$1002,SMALL(IF((Expenses!E$3:E$1002="GBP")*(Expenses!A$3:A$1002=DATE(2026,8,12)),ROW(Expenses!A$3:A$1002)-2),1)),0)+IFERROR(INDEX(Income!C$3:C$502,SMALL(IF((Income!D$3:D$502="GBP")*(Income!A$3:A$502=DATE(2026,8,12)),ROW(Income!A$3:A$502)-2),1)),0))</f>
        <v/>
      </c>
      <c r="H164" s="38" t="str">
        <f aca="false">IF(IFERROR(INDEX(Expenses!B$3:B$1002,SMALL(IF((Expenses!E$3:E$1002="GBP")*(Expenses!A$3:A$1002=DATE(2026,8,12)),ROW(Expenses!A$3:A$1002)-2),1)),"")&lt;&gt;"",IFERROR(INDEX(Expenses!B$3:B$1002,SMALL(IF((Expenses!E$3:E$1002="GBP")*(Expenses!A$3:A$1002=DATE(2026,8,12)),ROW(Expenses!A$3:A$1002)-2),1)),""),IF(IFERROR(INDEX(Income!B$3:B$502,SMALL(IF((Income!D$3:D$502="GBP")*(Income!A$3:A$502=DATE(2026,8,12)),ROW(Income!A$3:A$502)-2),1)),"")&lt;&gt;"",IFERROR(INDEX(Income!B$3:B$502,SMALL(IF((Income!D$3:D$502="GBP")*(Income!A$3:A$502=DATE(2026,8,12)),ROW(Income!A$3:A$502)-2),1)),""),""))</f>
        <v/>
      </c>
      <c r="I164" s="62" t="str">
        <f aca="false">IF(IFERROR(-INDEX(Expenses!D$3:D$1002,SMALL(IF((Expenses!E$3:E$1002="GBP")*(Expenses!A$3:A$1002=DATE(2026,8,13)),ROW(Expenses!A$3:A$1002)-2),1)),0)+IFERROR(INDEX(Income!C$3:C$502,SMALL(IF((Income!D$3:D$502="GBP")*(Income!A$3:A$502=DATE(2026,8,13)),ROW(Income!A$3:A$502)-2),1)),0)=0,"",IFERROR(-INDEX(Expenses!D$3:D$1002,SMALL(IF((Expenses!E$3:E$1002="GBP")*(Expenses!A$3:A$1002=DATE(2026,8,13)),ROW(Expenses!A$3:A$1002)-2),1)),0)+IFERROR(INDEX(Income!C$3:C$502,SMALL(IF((Income!D$3:D$502="GBP")*(Income!A$3:A$502=DATE(2026,8,13)),ROW(Income!A$3:A$502)-2),1)),0))</f>
        <v/>
      </c>
      <c r="J164" s="38" t="str">
        <f aca="false">IF(IFERROR(INDEX(Expenses!B$3:B$1002,SMALL(IF((Expenses!E$3:E$1002="GBP")*(Expenses!A$3:A$1002=DATE(2026,8,13)),ROW(Expenses!A$3:A$1002)-2),1)),"")&lt;&gt;"",IFERROR(INDEX(Expenses!B$3:B$1002,SMALL(IF((Expenses!E$3:E$1002="GBP")*(Expenses!A$3:A$1002=DATE(2026,8,13)),ROW(Expenses!A$3:A$1002)-2),1)),""),IF(IFERROR(INDEX(Income!B$3:B$502,SMALL(IF((Income!D$3:D$502="GBP")*(Income!A$3:A$502=DATE(2026,8,13)),ROW(Income!A$3:A$502)-2),1)),"")&lt;&gt;"",IFERROR(INDEX(Income!B$3:B$502,SMALL(IF((Income!D$3:D$502="GBP")*(Income!A$3:A$502=DATE(2026,8,13)),ROW(Income!A$3:A$502)-2),1)),""),""))</f>
        <v/>
      </c>
      <c r="K164" s="62" t="str">
        <f aca="false">IF(IFERROR(-INDEX(Expenses!D$3:D$1002,SMALL(IF((Expenses!E$3:E$1002="GBP")*(Expenses!A$3:A$1002=DATE(2026,8,14)),ROW(Expenses!A$3:A$1002)-2),1)),0)+IFERROR(INDEX(Income!C$3:C$502,SMALL(IF((Income!D$3:D$502="GBP")*(Income!A$3:A$502=DATE(2026,8,14)),ROW(Income!A$3:A$502)-2),1)),0)=0,"",IFERROR(-INDEX(Expenses!D$3:D$1002,SMALL(IF((Expenses!E$3:E$1002="GBP")*(Expenses!A$3:A$1002=DATE(2026,8,14)),ROW(Expenses!A$3:A$1002)-2),1)),0)+IFERROR(INDEX(Income!C$3:C$502,SMALL(IF((Income!D$3:D$502="GBP")*(Income!A$3:A$502=DATE(2026,8,14)),ROW(Income!A$3:A$502)-2),1)),0))</f>
        <v/>
      </c>
      <c r="L164" s="38" t="str">
        <f aca="false">IF(IFERROR(INDEX(Expenses!B$3:B$1002,SMALL(IF((Expenses!E$3:E$1002="GBP")*(Expenses!A$3:A$1002=DATE(2026,8,14)),ROW(Expenses!A$3:A$1002)-2),1)),"")&lt;&gt;"",IFERROR(INDEX(Expenses!B$3:B$1002,SMALL(IF((Expenses!E$3:E$1002="GBP")*(Expenses!A$3:A$1002=DATE(2026,8,14)),ROW(Expenses!A$3:A$1002)-2),1)),""),IF(IFERROR(INDEX(Income!B$3:B$502,SMALL(IF((Income!D$3:D$502="GBP")*(Income!A$3:A$502=DATE(2026,8,14)),ROW(Income!A$3:A$502)-2),1)),"")&lt;&gt;"",IFERROR(INDEX(Income!B$3:B$502,SMALL(IF((Income!D$3:D$502="GBP")*(Income!A$3:A$502=DATE(2026,8,14)),ROW(Income!A$3:A$502)-2),1)),""),""))</f>
        <v/>
      </c>
      <c r="M164" s="62" t="str">
        <f aca="false">IF(IFERROR(-INDEX(Expenses!D$3:D$1002,SMALL(IF((Expenses!E$3:E$1002="GBP")*(Expenses!A$3:A$1002=DATE(2026,8,15)),ROW(Expenses!A$3:A$1002)-2),1)),0)+IFERROR(INDEX(Income!C$3:C$502,SMALL(IF((Income!D$3:D$502="GBP")*(Income!A$3:A$502=DATE(2026,8,15)),ROW(Income!A$3:A$502)-2),1)),0)=0,"",IFERROR(-INDEX(Expenses!D$3:D$1002,SMALL(IF((Expenses!E$3:E$1002="GBP")*(Expenses!A$3:A$1002=DATE(2026,8,15)),ROW(Expenses!A$3:A$1002)-2),1)),0)+IFERROR(INDEX(Income!C$3:C$502,SMALL(IF((Income!D$3:D$502="GBP")*(Income!A$3:A$502=DATE(2026,8,15)),ROW(Income!A$3:A$502)-2),1)),0))</f>
        <v/>
      </c>
      <c r="N164" s="38" t="str">
        <f aca="false">IF(IFERROR(INDEX(Expenses!B$3:B$1002,SMALL(IF((Expenses!E$3:E$1002="GBP")*(Expenses!A$3:A$1002=DATE(2026,8,15)),ROW(Expenses!A$3:A$1002)-2),1)),"")&lt;&gt;"",IFERROR(INDEX(Expenses!B$3:B$1002,SMALL(IF((Expenses!E$3:E$1002="GBP")*(Expenses!A$3:A$1002=DATE(2026,8,15)),ROW(Expenses!A$3:A$1002)-2),1)),""),IF(IFERROR(INDEX(Income!B$3:B$502,SMALL(IF((Income!D$3:D$502="GBP")*(Income!A$3:A$502=DATE(2026,8,15)),ROW(Income!A$3:A$502)-2),1)),"")&lt;&gt;"",IFERROR(INDEX(Income!B$3:B$502,SMALL(IF((Income!D$3:D$502="GBP")*(Income!A$3:A$502=DATE(2026,8,15)),ROW(Income!A$3:A$502)-2),1)),""),""))</f>
        <v/>
      </c>
      <c r="O164" s="62" t="str">
        <f aca="false">IF(IFERROR(-INDEX(Expenses!D$3:D$1002,SMALL(IF((Expenses!E$3:E$1002="GBP")*(Expenses!A$3:A$1002=DATE(2026,8,16)),ROW(Expenses!A$3:A$1002)-2),1)),0)+IFERROR(INDEX(Income!C$3:C$502,SMALL(IF((Income!D$3:D$502="GBP")*(Income!A$3:A$502=DATE(2026,8,16)),ROW(Income!A$3:A$502)-2),1)),0)=0,"",IFERROR(-INDEX(Expenses!D$3:D$1002,SMALL(IF((Expenses!E$3:E$1002="GBP")*(Expenses!A$3:A$1002=DATE(2026,8,16)),ROW(Expenses!A$3:A$1002)-2),1)),0)+IFERROR(INDEX(Income!C$3:C$502,SMALL(IF((Income!D$3:D$502="GBP")*(Income!A$3:A$502=DATE(2026,8,16)),ROW(Income!A$3:A$502)-2),1)),0))</f>
        <v/>
      </c>
      <c r="P164" s="38" t="str">
        <f aca="false">IF(IFERROR(INDEX(Expenses!B$3:B$1002,SMALL(IF((Expenses!E$3:E$1002="GBP")*(Expenses!A$3:A$1002=DATE(2026,8,16)),ROW(Expenses!A$3:A$1002)-2),1)),"")&lt;&gt;"",IFERROR(INDEX(Expenses!B$3:B$1002,SMALL(IF((Expenses!E$3:E$1002="GBP")*(Expenses!A$3:A$1002=DATE(2026,8,16)),ROW(Expenses!A$3:A$1002)-2),1)),""),IF(IFERROR(INDEX(Income!B$3:B$502,SMALL(IF((Income!D$3:D$502="GBP")*(Income!A$3:A$502=DATE(2026,8,16)),ROW(Income!A$3:A$502)-2),1)),"")&lt;&gt;"",IFERROR(INDEX(Income!B$3:B$502,SMALL(IF((Income!D$3:D$502="GBP")*(Income!A$3:A$502=DATE(2026,8,16)),ROW(Income!A$3:A$502)-2),1)),""),""))</f>
        <v/>
      </c>
      <c r="Q164" s="3" t="n">
        <v>33</v>
      </c>
      <c r="R164" s="45" t="n">
        <f aca="false">SUM(C164:C168)+SUM(E164:E168)+SUM(G164:G168)+SUM(I164:I168)+SUM(K164:K168)+SUM(M164:M168)+SUM(O164:O168)</f>
        <v>0</v>
      </c>
    </row>
    <row r="165" customFormat="false" ht="15" hidden="false" customHeight="false" outlineLevel="0" collapsed="false">
      <c r="A165" s="16"/>
      <c r="B165" s="16"/>
      <c r="C165" s="62" t="str">
        <f aca="false">IF(IFERROR(-INDEX(Expenses!D$3:D$1002,SMALL(IF((Expenses!E$3:E$1002="GBP")*(Expenses!A$3:A$1002=DATE(2026,8,10)),ROW(Expenses!A$3:A$1002)-2),2)),0)+IFERROR(INDEX(Income!C$3:C$502,SMALL(IF((Income!D$3:D$502="GBP")*(Income!A$3:A$502=DATE(2026,8,10)),ROW(Income!A$3:A$502)-2),2)),0)=0,"",IFERROR(-INDEX(Expenses!D$3:D$1002,SMALL(IF((Expenses!E$3:E$1002="GBP")*(Expenses!A$3:A$1002=DATE(2026,8,10)),ROW(Expenses!A$3:A$1002)-2),2)),0)+IFERROR(INDEX(Income!C$3:C$502,SMALL(IF((Income!D$3:D$502="GBP")*(Income!A$3:A$502=DATE(2026,8,10)),ROW(Income!A$3:A$502)-2),2)),0))</f>
        <v/>
      </c>
      <c r="D165" s="38" t="str">
        <f aca="false">IF(IFERROR(INDEX(Expenses!B$3:B$1002,SMALL(IF((Expenses!E$3:E$1002="GBP")*(Expenses!A$3:A$1002=DATE(2026,8,10)),ROW(Expenses!A$3:A$1002)-2),2)),"")&lt;&gt;"",IFERROR(INDEX(Expenses!B$3:B$1002,SMALL(IF((Expenses!E$3:E$1002="GBP")*(Expenses!A$3:A$1002=DATE(2026,8,10)),ROW(Expenses!A$3:A$1002)-2),2)),""),IF(IFERROR(INDEX(Income!B$3:B$502,SMALL(IF((Income!D$3:D$502="GBP")*(Income!A$3:A$502=DATE(2026,8,10)),ROW(Income!A$3:A$502)-2),2)),"")&lt;&gt;"",IFERROR(INDEX(Income!B$3:B$502,SMALL(IF((Income!D$3:D$502="GBP")*(Income!A$3:A$502=DATE(2026,8,10)),ROW(Income!A$3:A$502)-2),2)),""),""))</f>
        <v/>
      </c>
      <c r="E165" s="62" t="str">
        <f aca="false">IF(IFERROR(-INDEX(Expenses!D$3:D$1002,SMALL(IF((Expenses!E$3:E$1002="GBP")*(Expenses!A$3:A$1002=DATE(2026,8,11)),ROW(Expenses!A$3:A$1002)-2),2)),0)+IFERROR(INDEX(Income!C$3:C$502,SMALL(IF((Income!D$3:D$502="GBP")*(Income!A$3:A$502=DATE(2026,8,11)),ROW(Income!A$3:A$502)-2),2)),0)=0,"",IFERROR(-INDEX(Expenses!D$3:D$1002,SMALL(IF((Expenses!E$3:E$1002="GBP")*(Expenses!A$3:A$1002=DATE(2026,8,11)),ROW(Expenses!A$3:A$1002)-2),2)),0)+IFERROR(INDEX(Income!C$3:C$502,SMALL(IF((Income!D$3:D$502="GBP")*(Income!A$3:A$502=DATE(2026,8,11)),ROW(Income!A$3:A$502)-2),2)),0))</f>
        <v/>
      </c>
      <c r="F165" s="38" t="str">
        <f aca="false">IF(IFERROR(INDEX(Expenses!B$3:B$1002,SMALL(IF((Expenses!E$3:E$1002="GBP")*(Expenses!A$3:A$1002=DATE(2026,8,11)),ROW(Expenses!A$3:A$1002)-2),2)),"")&lt;&gt;"",IFERROR(INDEX(Expenses!B$3:B$1002,SMALL(IF((Expenses!E$3:E$1002="GBP")*(Expenses!A$3:A$1002=DATE(2026,8,11)),ROW(Expenses!A$3:A$1002)-2),2)),""),IF(IFERROR(INDEX(Income!B$3:B$502,SMALL(IF((Income!D$3:D$502="GBP")*(Income!A$3:A$502=DATE(2026,8,11)),ROW(Income!A$3:A$502)-2),2)),"")&lt;&gt;"",IFERROR(INDEX(Income!B$3:B$502,SMALL(IF((Income!D$3:D$502="GBP")*(Income!A$3:A$502=DATE(2026,8,11)),ROW(Income!A$3:A$502)-2),2)),""),""))</f>
        <v/>
      </c>
      <c r="G165" s="62" t="str">
        <f aca="false">IF(IFERROR(-INDEX(Expenses!D$3:D$1002,SMALL(IF((Expenses!E$3:E$1002="GBP")*(Expenses!A$3:A$1002=DATE(2026,8,12)),ROW(Expenses!A$3:A$1002)-2),2)),0)+IFERROR(INDEX(Income!C$3:C$502,SMALL(IF((Income!D$3:D$502="GBP")*(Income!A$3:A$502=DATE(2026,8,12)),ROW(Income!A$3:A$502)-2),2)),0)=0,"",IFERROR(-INDEX(Expenses!D$3:D$1002,SMALL(IF((Expenses!E$3:E$1002="GBP")*(Expenses!A$3:A$1002=DATE(2026,8,12)),ROW(Expenses!A$3:A$1002)-2),2)),0)+IFERROR(INDEX(Income!C$3:C$502,SMALL(IF((Income!D$3:D$502="GBP")*(Income!A$3:A$502=DATE(2026,8,12)),ROW(Income!A$3:A$502)-2),2)),0))</f>
        <v/>
      </c>
      <c r="H165" s="38" t="str">
        <f aca="false">IF(IFERROR(INDEX(Expenses!B$3:B$1002,SMALL(IF((Expenses!E$3:E$1002="GBP")*(Expenses!A$3:A$1002=DATE(2026,8,12)),ROW(Expenses!A$3:A$1002)-2),2)),"")&lt;&gt;"",IFERROR(INDEX(Expenses!B$3:B$1002,SMALL(IF((Expenses!E$3:E$1002="GBP")*(Expenses!A$3:A$1002=DATE(2026,8,12)),ROW(Expenses!A$3:A$1002)-2),2)),""),IF(IFERROR(INDEX(Income!B$3:B$502,SMALL(IF((Income!D$3:D$502="GBP")*(Income!A$3:A$502=DATE(2026,8,12)),ROW(Income!A$3:A$502)-2),2)),"")&lt;&gt;"",IFERROR(INDEX(Income!B$3:B$502,SMALL(IF((Income!D$3:D$502="GBP")*(Income!A$3:A$502=DATE(2026,8,12)),ROW(Income!A$3:A$502)-2),2)),""),""))</f>
        <v/>
      </c>
      <c r="I165" s="62" t="str">
        <f aca="false">IF(IFERROR(-INDEX(Expenses!D$3:D$1002,SMALL(IF((Expenses!E$3:E$1002="GBP")*(Expenses!A$3:A$1002=DATE(2026,8,13)),ROW(Expenses!A$3:A$1002)-2),2)),0)+IFERROR(INDEX(Income!C$3:C$502,SMALL(IF((Income!D$3:D$502="GBP")*(Income!A$3:A$502=DATE(2026,8,13)),ROW(Income!A$3:A$502)-2),2)),0)=0,"",IFERROR(-INDEX(Expenses!D$3:D$1002,SMALL(IF((Expenses!E$3:E$1002="GBP")*(Expenses!A$3:A$1002=DATE(2026,8,13)),ROW(Expenses!A$3:A$1002)-2),2)),0)+IFERROR(INDEX(Income!C$3:C$502,SMALL(IF((Income!D$3:D$502="GBP")*(Income!A$3:A$502=DATE(2026,8,13)),ROW(Income!A$3:A$502)-2),2)),0))</f>
        <v/>
      </c>
      <c r="J165" s="38" t="str">
        <f aca="false">IF(IFERROR(INDEX(Expenses!B$3:B$1002,SMALL(IF((Expenses!E$3:E$1002="GBP")*(Expenses!A$3:A$1002=DATE(2026,8,13)),ROW(Expenses!A$3:A$1002)-2),2)),"")&lt;&gt;"",IFERROR(INDEX(Expenses!B$3:B$1002,SMALL(IF((Expenses!E$3:E$1002="GBP")*(Expenses!A$3:A$1002=DATE(2026,8,13)),ROW(Expenses!A$3:A$1002)-2),2)),""),IF(IFERROR(INDEX(Income!B$3:B$502,SMALL(IF((Income!D$3:D$502="GBP")*(Income!A$3:A$502=DATE(2026,8,13)),ROW(Income!A$3:A$502)-2),2)),"")&lt;&gt;"",IFERROR(INDEX(Income!B$3:B$502,SMALL(IF((Income!D$3:D$502="GBP")*(Income!A$3:A$502=DATE(2026,8,13)),ROW(Income!A$3:A$502)-2),2)),""),""))</f>
        <v/>
      </c>
      <c r="K165" s="62" t="str">
        <f aca="false">IF(IFERROR(-INDEX(Expenses!D$3:D$1002,SMALL(IF((Expenses!E$3:E$1002="GBP")*(Expenses!A$3:A$1002=DATE(2026,8,14)),ROW(Expenses!A$3:A$1002)-2),2)),0)+IFERROR(INDEX(Income!C$3:C$502,SMALL(IF((Income!D$3:D$502="GBP")*(Income!A$3:A$502=DATE(2026,8,14)),ROW(Income!A$3:A$502)-2),2)),0)=0,"",IFERROR(-INDEX(Expenses!D$3:D$1002,SMALL(IF((Expenses!E$3:E$1002="GBP")*(Expenses!A$3:A$1002=DATE(2026,8,14)),ROW(Expenses!A$3:A$1002)-2),2)),0)+IFERROR(INDEX(Income!C$3:C$502,SMALL(IF((Income!D$3:D$502="GBP")*(Income!A$3:A$502=DATE(2026,8,14)),ROW(Income!A$3:A$502)-2),2)),0))</f>
        <v/>
      </c>
      <c r="L165" s="38" t="str">
        <f aca="false">IF(IFERROR(INDEX(Expenses!B$3:B$1002,SMALL(IF((Expenses!E$3:E$1002="GBP")*(Expenses!A$3:A$1002=DATE(2026,8,14)),ROW(Expenses!A$3:A$1002)-2),2)),"")&lt;&gt;"",IFERROR(INDEX(Expenses!B$3:B$1002,SMALL(IF((Expenses!E$3:E$1002="GBP")*(Expenses!A$3:A$1002=DATE(2026,8,14)),ROW(Expenses!A$3:A$1002)-2),2)),""),IF(IFERROR(INDEX(Income!B$3:B$502,SMALL(IF((Income!D$3:D$502="GBP")*(Income!A$3:A$502=DATE(2026,8,14)),ROW(Income!A$3:A$502)-2),2)),"")&lt;&gt;"",IFERROR(INDEX(Income!B$3:B$502,SMALL(IF((Income!D$3:D$502="GBP")*(Income!A$3:A$502=DATE(2026,8,14)),ROW(Income!A$3:A$502)-2),2)),""),""))</f>
        <v/>
      </c>
      <c r="M165" s="62" t="str">
        <f aca="false">IF(IFERROR(-INDEX(Expenses!D$3:D$1002,SMALL(IF((Expenses!E$3:E$1002="GBP")*(Expenses!A$3:A$1002=DATE(2026,8,15)),ROW(Expenses!A$3:A$1002)-2),2)),0)+IFERROR(INDEX(Income!C$3:C$502,SMALL(IF((Income!D$3:D$502="GBP")*(Income!A$3:A$502=DATE(2026,8,15)),ROW(Income!A$3:A$502)-2),2)),0)=0,"",IFERROR(-INDEX(Expenses!D$3:D$1002,SMALL(IF((Expenses!E$3:E$1002="GBP")*(Expenses!A$3:A$1002=DATE(2026,8,15)),ROW(Expenses!A$3:A$1002)-2),2)),0)+IFERROR(INDEX(Income!C$3:C$502,SMALL(IF((Income!D$3:D$502="GBP")*(Income!A$3:A$502=DATE(2026,8,15)),ROW(Income!A$3:A$502)-2),2)),0))</f>
        <v/>
      </c>
      <c r="N165" s="38" t="str">
        <f aca="false">IF(IFERROR(INDEX(Expenses!B$3:B$1002,SMALL(IF((Expenses!E$3:E$1002="GBP")*(Expenses!A$3:A$1002=DATE(2026,8,15)),ROW(Expenses!A$3:A$1002)-2),2)),"")&lt;&gt;"",IFERROR(INDEX(Expenses!B$3:B$1002,SMALL(IF((Expenses!E$3:E$1002="GBP")*(Expenses!A$3:A$1002=DATE(2026,8,15)),ROW(Expenses!A$3:A$1002)-2),2)),""),IF(IFERROR(INDEX(Income!B$3:B$502,SMALL(IF((Income!D$3:D$502="GBP")*(Income!A$3:A$502=DATE(2026,8,15)),ROW(Income!A$3:A$502)-2),2)),"")&lt;&gt;"",IFERROR(INDEX(Income!B$3:B$502,SMALL(IF((Income!D$3:D$502="GBP")*(Income!A$3:A$502=DATE(2026,8,15)),ROW(Income!A$3:A$502)-2),2)),""),""))</f>
        <v/>
      </c>
      <c r="O165" s="62" t="str">
        <f aca="false">IF(IFERROR(-INDEX(Expenses!D$3:D$1002,SMALL(IF((Expenses!E$3:E$1002="GBP")*(Expenses!A$3:A$1002=DATE(2026,8,16)),ROW(Expenses!A$3:A$1002)-2),2)),0)+IFERROR(INDEX(Income!C$3:C$502,SMALL(IF((Income!D$3:D$502="GBP")*(Income!A$3:A$502=DATE(2026,8,16)),ROW(Income!A$3:A$502)-2),2)),0)=0,"",IFERROR(-INDEX(Expenses!D$3:D$1002,SMALL(IF((Expenses!E$3:E$1002="GBP")*(Expenses!A$3:A$1002=DATE(2026,8,16)),ROW(Expenses!A$3:A$1002)-2),2)),0)+IFERROR(INDEX(Income!C$3:C$502,SMALL(IF((Income!D$3:D$502="GBP")*(Income!A$3:A$502=DATE(2026,8,16)),ROW(Income!A$3:A$502)-2),2)),0))</f>
        <v/>
      </c>
      <c r="P165" s="38" t="str">
        <f aca="false">IF(IFERROR(INDEX(Expenses!B$3:B$1002,SMALL(IF((Expenses!E$3:E$1002="GBP")*(Expenses!A$3:A$1002=DATE(2026,8,16)),ROW(Expenses!A$3:A$1002)-2),2)),"")&lt;&gt;"",IFERROR(INDEX(Expenses!B$3:B$1002,SMALL(IF((Expenses!E$3:E$1002="GBP")*(Expenses!A$3:A$1002=DATE(2026,8,16)),ROW(Expenses!A$3:A$1002)-2),2)),""),IF(IFERROR(INDEX(Income!B$3:B$502,SMALL(IF((Income!D$3:D$502="GBP")*(Income!A$3:A$502=DATE(2026,8,16)),ROW(Income!A$3:A$502)-2),2)),"")&lt;&gt;"",IFERROR(INDEX(Income!B$3:B$502,SMALL(IF((Income!D$3:D$502="GBP")*(Income!A$3:A$502=DATE(2026,8,16)),ROW(Income!A$3:A$502)-2),2)),""),""))</f>
        <v/>
      </c>
      <c r="Q165" s="16"/>
      <c r="R165" s="16"/>
    </row>
    <row r="166" customFormat="false" ht="15" hidden="false" customHeight="false" outlineLevel="0" collapsed="false">
      <c r="A166" s="16"/>
      <c r="B166" s="16"/>
      <c r="C166" s="62" t="str">
        <f aca="false">IF(IFERROR(-INDEX(Expenses!D$3:D$1002,SMALL(IF((Expenses!E$3:E$1002="GBP")*(Expenses!A$3:A$1002=DATE(2026,8,10)),ROW(Expenses!A$3:A$1002)-2),3)),0)+IFERROR(INDEX(Income!C$3:C$502,SMALL(IF((Income!D$3:D$502="GBP")*(Income!A$3:A$502=DATE(2026,8,10)),ROW(Income!A$3:A$502)-2),3)),0)=0,"",IFERROR(-INDEX(Expenses!D$3:D$1002,SMALL(IF((Expenses!E$3:E$1002="GBP")*(Expenses!A$3:A$1002=DATE(2026,8,10)),ROW(Expenses!A$3:A$1002)-2),3)),0)+IFERROR(INDEX(Income!C$3:C$502,SMALL(IF((Income!D$3:D$502="GBP")*(Income!A$3:A$502=DATE(2026,8,10)),ROW(Income!A$3:A$502)-2),3)),0))</f>
        <v/>
      </c>
      <c r="D166" s="38" t="str">
        <f aca="false">IF(IFERROR(INDEX(Expenses!B$3:B$1002,SMALL(IF((Expenses!E$3:E$1002="GBP")*(Expenses!A$3:A$1002=DATE(2026,8,10)),ROW(Expenses!A$3:A$1002)-2),3)),"")&lt;&gt;"",IFERROR(INDEX(Expenses!B$3:B$1002,SMALL(IF((Expenses!E$3:E$1002="GBP")*(Expenses!A$3:A$1002=DATE(2026,8,10)),ROW(Expenses!A$3:A$1002)-2),3)),""),IF(IFERROR(INDEX(Income!B$3:B$502,SMALL(IF((Income!D$3:D$502="GBP")*(Income!A$3:A$502=DATE(2026,8,10)),ROW(Income!A$3:A$502)-2),3)),"")&lt;&gt;"",IFERROR(INDEX(Income!B$3:B$502,SMALL(IF((Income!D$3:D$502="GBP")*(Income!A$3:A$502=DATE(2026,8,10)),ROW(Income!A$3:A$502)-2),3)),""),""))</f>
        <v/>
      </c>
      <c r="E166" s="62" t="str">
        <f aca="false">IF(IFERROR(-INDEX(Expenses!D$3:D$1002,SMALL(IF((Expenses!E$3:E$1002="GBP")*(Expenses!A$3:A$1002=DATE(2026,8,11)),ROW(Expenses!A$3:A$1002)-2),3)),0)+IFERROR(INDEX(Income!C$3:C$502,SMALL(IF((Income!D$3:D$502="GBP")*(Income!A$3:A$502=DATE(2026,8,11)),ROW(Income!A$3:A$502)-2),3)),0)=0,"",IFERROR(-INDEX(Expenses!D$3:D$1002,SMALL(IF((Expenses!E$3:E$1002="GBP")*(Expenses!A$3:A$1002=DATE(2026,8,11)),ROW(Expenses!A$3:A$1002)-2),3)),0)+IFERROR(INDEX(Income!C$3:C$502,SMALL(IF((Income!D$3:D$502="GBP")*(Income!A$3:A$502=DATE(2026,8,11)),ROW(Income!A$3:A$502)-2),3)),0))</f>
        <v/>
      </c>
      <c r="F166" s="38" t="str">
        <f aca="false">IF(IFERROR(INDEX(Expenses!B$3:B$1002,SMALL(IF((Expenses!E$3:E$1002="GBP")*(Expenses!A$3:A$1002=DATE(2026,8,11)),ROW(Expenses!A$3:A$1002)-2),3)),"")&lt;&gt;"",IFERROR(INDEX(Expenses!B$3:B$1002,SMALL(IF((Expenses!E$3:E$1002="GBP")*(Expenses!A$3:A$1002=DATE(2026,8,11)),ROW(Expenses!A$3:A$1002)-2),3)),""),IF(IFERROR(INDEX(Income!B$3:B$502,SMALL(IF((Income!D$3:D$502="GBP")*(Income!A$3:A$502=DATE(2026,8,11)),ROW(Income!A$3:A$502)-2),3)),"")&lt;&gt;"",IFERROR(INDEX(Income!B$3:B$502,SMALL(IF((Income!D$3:D$502="GBP")*(Income!A$3:A$502=DATE(2026,8,11)),ROW(Income!A$3:A$502)-2),3)),""),""))</f>
        <v/>
      </c>
      <c r="G166" s="62" t="str">
        <f aca="false">IF(IFERROR(-INDEX(Expenses!D$3:D$1002,SMALL(IF((Expenses!E$3:E$1002="GBP")*(Expenses!A$3:A$1002=DATE(2026,8,12)),ROW(Expenses!A$3:A$1002)-2),3)),0)+IFERROR(INDEX(Income!C$3:C$502,SMALL(IF((Income!D$3:D$502="GBP")*(Income!A$3:A$502=DATE(2026,8,12)),ROW(Income!A$3:A$502)-2),3)),0)=0,"",IFERROR(-INDEX(Expenses!D$3:D$1002,SMALL(IF((Expenses!E$3:E$1002="GBP")*(Expenses!A$3:A$1002=DATE(2026,8,12)),ROW(Expenses!A$3:A$1002)-2),3)),0)+IFERROR(INDEX(Income!C$3:C$502,SMALL(IF((Income!D$3:D$502="GBP")*(Income!A$3:A$502=DATE(2026,8,12)),ROW(Income!A$3:A$502)-2),3)),0))</f>
        <v/>
      </c>
      <c r="H166" s="38" t="str">
        <f aca="false">IF(IFERROR(INDEX(Expenses!B$3:B$1002,SMALL(IF((Expenses!E$3:E$1002="GBP")*(Expenses!A$3:A$1002=DATE(2026,8,12)),ROW(Expenses!A$3:A$1002)-2),3)),"")&lt;&gt;"",IFERROR(INDEX(Expenses!B$3:B$1002,SMALL(IF((Expenses!E$3:E$1002="GBP")*(Expenses!A$3:A$1002=DATE(2026,8,12)),ROW(Expenses!A$3:A$1002)-2),3)),""),IF(IFERROR(INDEX(Income!B$3:B$502,SMALL(IF((Income!D$3:D$502="GBP")*(Income!A$3:A$502=DATE(2026,8,12)),ROW(Income!A$3:A$502)-2),3)),"")&lt;&gt;"",IFERROR(INDEX(Income!B$3:B$502,SMALL(IF((Income!D$3:D$502="GBP")*(Income!A$3:A$502=DATE(2026,8,12)),ROW(Income!A$3:A$502)-2),3)),""),""))</f>
        <v/>
      </c>
      <c r="I166" s="62" t="str">
        <f aca="false">IF(IFERROR(-INDEX(Expenses!D$3:D$1002,SMALL(IF((Expenses!E$3:E$1002="GBP")*(Expenses!A$3:A$1002=DATE(2026,8,13)),ROW(Expenses!A$3:A$1002)-2),3)),0)+IFERROR(INDEX(Income!C$3:C$502,SMALL(IF((Income!D$3:D$502="GBP")*(Income!A$3:A$502=DATE(2026,8,13)),ROW(Income!A$3:A$502)-2),3)),0)=0,"",IFERROR(-INDEX(Expenses!D$3:D$1002,SMALL(IF((Expenses!E$3:E$1002="GBP")*(Expenses!A$3:A$1002=DATE(2026,8,13)),ROW(Expenses!A$3:A$1002)-2),3)),0)+IFERROR(INDEX(Income!C$3:C$502,SMALL(IF((Income!D$3:D$502="GBP")*(Income!A$3:A$502=DATE(2026,8,13)),ROW(Income!A$3:A$502)-2),3)),0))</f>
        <v/>
      </c>
      <c r="J166" s="38" t="str">
        <f aca="false">IF(IFERROR(INDEX(Expenses!B$3:B$1002,SMALL(IF((Expenses!E$3:E$1002="GBP")*(Expenses!A$3:A$1002=DATE(2026,8,13)),ROW(Expenses!A$3:A$1002)-2),3)),"")&lt;&gt;"",IFERROR(INDEX(Expenses!B$3:B$1002,SMALL(IF((Expenses!E$3:E$1002="GBP")*(Expenses!A$3:A$1002=DATE(2026,8,13)),ROW(Expenses!A$3:A$1002)-2),3)),""),IF(IFERROR(INDEX(Income!B$3:B$502,SMALL(IF((Income!D$3:D$502="GBP")*(Income!A$3:A$502=DATE(2026,8,13)),ROW(Income!A$3:A$502)-2),3)),"")&lt;&gt;"",IFERROR(INDEX(Income!B$3:B$502,SMALL(IF((Income!D$3:D$502="GBP")*(Income!A$3:A$502=DATE(2026,8,13)),ROW(Income!A$3:A$502)-2),3)),""),""))</f>
        <v/>
      </c>
      <c r="K166" s="62" t="str">
        <f aca="false">IF(IFERROR(-INDEX(Expenses!D$3:D$1002,SMALL(IF((Expenses!E$3:E$1002="GBP")*(Expenses!A$3:A$1002=DATE(2026,8,14)),ROW(Expenses!A$3:A$1002)-2),3)),0)+IFERROR(INDEX(Income!C$3:C$502,SMALL(IF((Income!D$3:D$502="GBP")*(Income!A$3:A$502=DATE(2026,8,14)),ROW(Income!A$3:A$502)-2),3)),0)=0,"",IFERROR(-INDEX(Expenses!D$3:D$1002,SMALL(IF((Expenses!E$3:E$1002="GBP")*(Expenses!A$3:A$1002=DATE(2026,8,14)),ROW(Expenses!A$3:A$1002)-2),3)),0)+IFERROR(INDEX(Income!C$3:C$502,SMALL(IF((Income!D$3:D$502="GBP")*(Income!A$3:A$502=DATE(2026,8,14)),ROW(Income!A$3:A$502)-2),3)),0))</f>
        <v/>
      </c>
      <c r="L166" s="38" t="str">
        <f aca="false">IF(IFERROR(INDEX(Expenses!B$3:B$1002,SMALL(IF((Expenses!E$3:E$1002="GBP")*(Expenses!A$3:A$1002=DATE(2026,8,14)),ROW(Expenses!A$3:A$1002)-2),3)),"")&lt;&gt;"",IFERROR(INDEX(Expenses!B$3:B$1002,SMALL(IF((Expenses!E$3:E$1002="GBP")*(Expenses!A$3:A$1002=DATE(2026,8,14)),ROW(Expenses!A$3:A$1002)-2),3)),""),IF(IFERROR(INDEX(Income!B$3:B$502,SMALL(IF((Income!D$3:D$502="GBP")*(Income!A$3:A$502=DATE(2026,8,14)),ROW(Income!A$3:A$502)-2),3)),"")&lt;&gt;"",IFERROR(INDEX(Income!B$3:B$502,SMALL(IF((Income!D$3:D$502="GBP")*(Income!A$3:A$502=DATE(2026,8,14)),ROW(Income!A$3:A$502)-2),3)),""),""))</f>
        <v/>
      </c>
      <c r="M166" s="62" t="str">
        <f aca="false">IF(IFERROR(-INDEX(Expenses!D$3:D$1002,SMALL(IF((Expenses!E$3:E$1002="GBP")*(Expenses!A$3:A$1002=DATE(2026,8,15)),ROW(Expenses!A$3:A$1002)-2),3)),0)+IFERROR(INDEX(Income!C$3:C$502,SMALL(IF((Income!D$3:D$502="GBP")*(Income!A$3:A$502=DATE(2026,8,15)),ROW(Income!A$3:A$502)-2),3)),0)=0,"",IFERROR(-INDEX(Expenses!D$3:D$1002,SMALL(IF((Expenses!E$3:E$1002="GBP")*(Expenses!A$3:A$1002=DATE(2026,8,15)),ROW(Expenses!A$3:A$1002)-2),3)),0)+IFERROR(INDEX(Income!C$3:C$502,SMALL(IF((Income!D$3:D$502="GBP")*(Income!A$3:A$502=DATE(2026,8,15)),ROW(Income!A$3:A$502)-2),3)),0))</f>
        <v/>
      </c>
      <c r="N166" s="38" t="str">
        <f aca="false">IF(IFERROR(INDEX(Expenses!B$3:B$1002,SMALL(IF((Expenses!E$3:E$1002="GBP")*(Expenses!A$3:A$1002=DATE(2026,8,15)),ROW(Expenses!A$3:A$1002)-2),3)),"")&lt;&gt;"",IFERROR(INDEX(Expenses!B$3:B$1002,SMALL(IF((Expenses!E$3:E$1002="GBP")*(Expenses!A$3:A$1002=DATE(2026,8,15)),ROW(Expenses!A$3:A$1002)-2),3)),""),IF(IFERROR(INDEX(Income!B$3:B$502,SMALL(IF((Income!D$3:D$502="GBP")*(Income!A$3:A$502=DATE(2026,8,15)),ROW(Income!A$3:A$502)-2),3)),"")&lt;&gt;"",IFERROR(INDEX(Income!B$3:B$502,SMALL(IF((Income!D$3:D$502="GBP")*(Income!A$3:A$502=DATE(2026,8,15)),ROW(Income!A$3:A$502)-2),3)),""),""))</f>
        <v/>
      </c>
      <c r="O166" s="62" t="str">
        <f aca="false">IF(IFERROR(-INDEX(Expenses!D$3:D$1002,SMALL(IF((Expenses!E$3:E$1002="GBP")*(Expenses!A$3:A$1002=DATE(2026,8,16)),ROW(Expenses!A$3:A$1002)-2),3)),0)+IFERROR(INDEX(Income!C$3:C$502,SMALL(IF((Income!D$3:D$502="GBP")*(Income!A$3:A$502=DATE(2026,8,16)),ROW(Income!A$3:A$502)-2),3)),0)=0,"",IFERROR(-INDEX(Expenses!D$3:D$1002,SMALL(IF((Expenses!E$3:E$1002="GBP")*(Expenses!A$3:A$1002=DATE(2026,8,16)),ROW(Expenses!A$3:A$1002)-2),3)),0)+IFERROR(INDEX(Income!C$3:C$502,SMALL(IF((Income!D$3:D$502="GBP")*(Income!A$3:A$502=DATE(2026,8,16)),ROW(Income!A$3:A$502)-2),3)),0))</f>
        <v/>
      </c>
      <c r="P166" s="38" t="str">
        <f aca="false">IF(IFERROR(INDEX(Expenses!B$3:B$1002,SMALL(IF((Expenses!E$3:E$1002="GBP")*(Expenses!A$3:A$1002=DATE(2026,8,16)),ROW(Expenses!A$3:A$1002)-2),3)),"")&lt;&gt;"",IFERROR(INDEX(Expenses!B$3:B$1002,SMALL(IF((Expenses!E$3:E$1002="GBP")*(Expenses!A$3:A$1002=DATE(2026,8,16)),ROW(Expenses!A$3:A$1002)-2),3)),""),IF(IFERROR(INDEX(Income!B$3:B$502,SMALL(IF((Income!D$3:D$502="GBP")*(Income!A$3:A$502=DATE(2026,8,16)),ROW(Income!A$3:A$502)-2),3)),"")&lt;&gt;"",IFERROR(INDEX(Income!B$3:B$502,SMALL(IF((Income!D$3:D$502="GBP")*(Income!A$3:A$502=DATE(2026,8,16)),ROW(Income!A$3:A$502)-2),3)),""),""))</f>
        <v/>
      </c>
      <c r="Q166" s="16"/>
      <c r="R166" s="16"/>
    </row>
    <row r="167" customFormat="false" ht="15" hidden="false" customHeight="false" outlineLevel="0" collapsed="false">
      <c r="A167" s="16"/>
      <c r="B167" s="16"/>
      <c r="C167" s="62" t="str">
        <f aca="false">IF(IFERROR(-INDEX(Expenses!D$3:D$1002,SMALL(IF((Expenses!E$3:E$1002="GBP")*(Expenses!A$3:A$1002=DATE(2026,8,10)),ROW(Expenses!A$3:A$1002)-2),4)),0)+IFERROR(INDEX(Income!C$3:C$502,SMALL(IF((Income!D$3:D$502="GBP")*(Income!A$3:A$502=DATE(2026,8,10)),ROW(Income!A$3:A$502)-2),4)),0)=0,"",IFERROR(-INDEX(Expenses!D$3:D$1002,SMALL(IF((Expenses!E$3:E$1002="GBP")*(Expenses!A$3:A$1002=DATE(2026,8,10)),ROW(Expenses!A$3:A$1002)-2),4)),0)+IFERROR(INDEX(Income!C$3:C$502,SMALL(IF((Income!D$3:D$502="GBP")*(Income!A$3:A$502=DATE(2026,8,10)),ROW(Income!A$3:A$502)-2),4)),0))</f>
        <v/>
      </c>
      <c r="D167" s="38" t="str">
        <f aca="false">IF(IFERROR(INDEX(Expenses!B$3:B$1002,SMALL(IF((Expenses!E$3:E$1002="GBP")*(Expenses!A$3:A$1002=DATE(2026,8,10)),ROW(Expenses!A$3:A$1002)-2),4)),"")&lt;&gt;"",IFERROR(INDEX(Expenses!B$3:B$1002,SMALL(IF((Expenses!E$3:E$1002="GBP")*(Expenses!A$3:A$1002=DATE(2026,8,10)),ROW(Expenses!A$3:A$1002)-2),4)),""),IF(IFERROR(INDEX(Income!B$3:B$502,SMALL(IF((Income!D$3:D$502="GBP")*(Income!A$3:A$502=DATE(2026,8,10)),ROW(Income!A$3:A$502)-2),4)),"")&lt;&gt;"",IFERROR(INDEX(Income!B$3:B$502,SMALL(IF((Income!D$3:D$502="GBP")*(Income!A$3:A$502=DATE(2026,8,10)),ROW(Income!A$3:A$502)-2),4)),""),""))</f>
        <v/>
      </c>
      <c r="E167" s="62" t="str">
        <f aca="false">IF(IFERROR(-INDEX(Expenses!D$3:D$1002,SMALL(IF((Expenses!E$3:E$1002="GBP")*(Expenses!A$3:A$1002=DATE(2026,8,11)),ROW(Expenses!A$3:A$1002)-2),4)),0)+IFERROR(INDEX(Income!C$3:C$502,SMALL(IF((Income!D$3:D$502="GBP")*(Income!A$3:A$502=DATE(2026,8,11)),ROW(Income!A$3:A$502)-2),4)),0)=0,"",IFERROR(-INDEX(Expenses!D$3:D$1002,SMALL(IF((Expenses!E$3:E$1002="GBP")*(Expenses!A$3:A$1002=DATE(2026,8,11)),ROW(Expenses!A$3:A$1002)-2),4)),0)+IFERROR(INDEX(Income!C$3:C$502,SMALL(IF((Income!D$3:D$502="GBP")*(Income!A$3:A$502=DATE(2026,8,11)),ROW(Income!A$3:A$502)-2),4)),0))</f>
        <v/>
      </c>
      <c r="F167" s="38" t="str">
        <f aca="false">IF(IFERROR(INDEX(Expenses!B$3:B$1002,SMALL(IF((Expenses!E$3:E$1002="GBP")*(Expenses!A$3:A$1002=DATE(2026,8,11)),ROW(Expenses!A$3:A$1002)-2),4)),"")&lt;&gt;"",IFERROR(INDEX(Expenses!B$3:B$1002,SMALL(IF((Expenses!E$3:E$1002="GBP")*(Expenses!A$3:A$1002=DATE(2026,8,11)),ROW(Expenses!A$3:A$1002)-2),4)),""),IF(IFERROR(INDEX(Income!B$3:B$502,SMALL(IF((Income!D$3:D$502="GBP")*(Income!A$3:A$502=DATE(2026,8,11)),ROW(Income!A$3:A$502)-2),4)),"")&lt;&gt;"",IFERROR(INDEX(Income!B$3:B$502,SMALL(IF((Income!D$3:D$502="GBP")*(Income!A$3:A$502=DATE(2026,8,11)),ROW(Income!A$3:A$502)-2),4)),""),""))</f>
        <v/>
      </c>
      <c r="G167" s="62" t="str">
        <f aca="false">IF(IFERROR(-INDEX(Expenses!D$3:D$1002,SMALL(IF((Expenses!E$3:E$1002="GBP")*(Expenses!A$3:A$1002=DATE(2026,8,12)),ROW(Expenses!A$3:A$1002)-2),4)),0)+IFERROR(INDEX(Income!C$3:C$502,SMALL(IF((Income!D$3:D$502="GBP")*(Income!A$3:A$502=DATE(2026,8,12)),ROW(Income!A$3:A$502)-2),4)),0)=0,"",IFERROR(-INDEX(Expenses!D$3:D$1002,SMALL(IF((Expenses!E$3:E$1002="GBP")*(Expenses!A$3:A$1002=DATE(2026,8,12)),ROW(Expenses!A$3:A$1002)-2),4)),0)+IFERROR(INDEX(Income!C$3:C$502,SMALL(IF((Income!D$3:D$502="GBP")*(Income!A$3:A$502=DATE(2026,8,12)),ROW(Income!A$3:A$502)-2),4)),0))</f>
        <v/>
      </c>
      <c r="H167" s="38" t="str">
        <f aca="false">IF(IFERROR(INDEX(Expenses!B$3:B$1002,SMALL(IF((Expenses!E$3:E$1002="GBP")*(Expenses!A$3:A$1002=DATE(2026,8,12)),ROW(Expenses!A$3:A$1002)-2),4)),"")&lt;&gt;"",IFERROR(INDEX(Expenses!B$3:B$1002,SMALL(IF((Expenses!E$3:E$1002="GBP")*(Expenses!A$3:A$1002=DATE(2026,8,12)),ROW(Expenses!A$3:A$1002)-2),4)),""),IF(IFERROR(INDEX(Income!B$3:B$502,SMALL(IF((Income!D$3:D$502="GBP")*(Income!A$3:A$502=DATE(2026,8,12)),ROW(Income!A$3:A$502)-2),4)),"")&lt;&gt;"",IFERROR(INDEX(Income!B$3:B$502,SMALL(IF((Income!D$3:D$502="GBP")*(Income!A$3:A$502=DATE(2026,8,12)),ROW(Income!A$3:A$502)-2),4)),""),""))</f>
        <v/>
      </c>
      <c r="I167" s="62" t="str">
        <f aca="false">IF(IFERROR(-INDEX(Expenses!D$3:D$1002,SMALL(IF((Expenses!E$3:E$1002="GBP")*(Expenses!A$3:A$1002=DATE(2026,8,13)),ROW(Expenses!A$3:A$1002)-2),4)),0)+IFERROR(INDEX(Income!C$3:C$502,SMALL(IF((Income!D$3:D$502="GBP")*(Income!A$3:A$502=DATE(2026,8,13)),ROW(Income!A$3:A$502)-2),4)),0)=0,"",IFERROR(-INDEX(Expenses!D$3:D$1002,SMALL(IF((Expenses!E$3:E$1002="GBP")*(Expenses!A$3:A$1002=DATE(2026,8,13)),ROW(Expenses!A$3:A$1002)-2),4)),0)+IFERROR(INDEX(Income!C$3:C$502,SMALL(IF((Income!D$3:D$502="GBP")*(Income!A$3:A$502=DATE(2026,8,13)),ROW(Income!A$3:A$502)-2),4)),0))</f>
        <v/>
      </c>
      <c r="J167" s="38" t="str">
        <f aca="false">IF(IFERROR(INDEX(Expenses!B$3:B$1002,SMALL(IF((Expenses!E$3:E$1002="GBP")*(Expenses!A$3:A$1002=DATE(2026,8,13)),ROW(Expenses!A$3:A$1002)-2),4)),"")&lt;&gt;"",IFERROR(INDEX(Expenses!B$3:B$1002,SMALL(IF((Expenses!E$3:E$1002="GBP")*(Expenses!A$3:A$1002=DATE(2026,8,13)),ROW(Expenses!A$3:A$1002)-2),4)),""),IF(IFERROR(INDEX(Income!B$3:B$502,SMALL(IF((Income!D$3:D$502="GBP")*(Income!A$3:A$502=DATE(2026,8,13)),ROW(Income!A$3:A$502)-2),4)),"")&lt;&gt;"",IFERROR(INDEX(Income!B$3:B$502,SMALL(IF((Income!D$3:D$502="GBP")*(Income!A$3:A$502=DATE(2026,8,13)),ROW(Income!A$3:A$502)-2),4)),""),""))</f>
        <v/>
      </c>
      <c r="K167" s="62" t="str">
        <f aca="false">IF(IFERROR(-INDEX(Expenses!D$3:D$1002,SMALL(IF((Expenses!E$3:E$1002="GBP")*(Expenses!A$3:A$1002=DATE(2026,8,14)),ROW(Expenses!A$3:A$1002)-2),4)),0)+IFERROR(INDEX(Income!C$3:C$502,SMALL(IF((Income!D$3:D$502="GBP")*(Income!A$3:A$502=DATE(2026,8,14)),ROW(Income!A$3:A$502)-2),4)),0)=0,"",IFERROR(-INDEX(Expenses!D$3:D$1002,SMALL(IF((Expenses!E$3:E$1002="GBP")*(Expenses!A$3:A$1002=DATE(2026,8,14)),ROW(Expenses!A$3:A$1002)-2),4)),0)+IFERROR(INDEX(Income!C$3:C$502,SMALL(IF((Income!D$3:D$502="GBP")*(Income!A$3:A$502=DATE(2026,8,14)),ROW(Income!A$3:A$502)-2),4)),0))</f>
        <v/>
      </c>
      <c r="L167" s="38" t="str">
        <f aca="false">IF(IFERROR(INDEX(Expenses!B$3:B$1002,SMALL(IF((Expenses!E$3:E$1002="GBP")*(Expenses!A$3:A$1002=DATE(2026,8,14)),ROW(Expenses!A$3:A$1002)-2),4)),"")&lt;&gt;"",IFERROR(INDEX(Expenses!B$3:B$1002,SMALL(IF((Expenses!E$3:E$1002="GBP")*(Expenses!A$3:A$1002=DATE(2026,8,14)),ROW(Expenses!A$3:A$1002)-2),4)),""),IF(IFERROR(INDEX(Income!B$3:B$502,SMALL(IF((Income!D$3:D$502="GBP")*(Income!A$3:A$502=DATE(2026,8,14)),ROW(Income!A$3:A$502)-2),4)),"")&lt;&gt;"",IFERROR(INDEX(Income!B$3:B$502,SMALL(IF((Income!D$3:D$502="GBP")*(Income!A$3:A$502=DATE(2026,8,14)),ROW(Income!A$3:A$502)-2),4)),""),""))</f>
        <v/>
      </c>
      <c r="M167" s="62" t="str">
        <f aca="false">IF(IFERROR(-INDEX(Expenses!D$3:D$1002,SMALL(IF((Expenses!E$3:E$1002="GBP")*(Expenses!A$3:A$1002=DATE(2026,8,15)),ROW(Expenses!A$3:A$1002)-2),4)),0)+IFERROR(INDEX(Income!C$3:C$502,SMALL(IF((Income!D$3:D$502="GBP")*(Income!A$3:A$502=DATE(2026,8,15)),ROW(Income!A$3:A$502)-2),4)),0)=0,"",IFERROR(-INDEX(Expenses!D$3:D$1002,SMALL(IF((Expenses!E$3:E$1002="GBP")*(Expenses!A$3:A$1002=DATE(2026,8,15)),ROW(Expenses!A$3:A$1002)-2),4)),0)+IFERROR(INDEX(Income!C$3:C$502,SMALL(IF((Income!D$3:D$502="GBP")*(Income!A$3:A$502=DATE(2026,8,15)),ROW(Income!A$3:A$502)-2),4)),0))</f>
        <v/>
      </c>
      <c r="N167" s="38" t="str">
        <f aca="false">IF(IFERROR(INDEX(Expenses!B$3:B$1002,SMALL(IF((Expenses!E$3:E$1002="GBP")*(Expenses!A$3:A$1002=DATE(2026,8,15)),ROW(Expenses!A$3:A$1002)-2),4)),"")&lt;&gt;"",IFERROR(INDEX(Expenses!B$3:B$1002,SMALL(IF((Expenses!E$3:E$1002="GBP")*(Expenses!A$3:A$1002=DATE(2026,8,15)),ROW(Expenses!A$3:A$1002)-2),4)),""),IF(IFERROR(INDEX(Income!B$3:B$502,SMALL(IF((Income!D$3:D$502="GBP")*(Income!A$3:A$502=DATE(2026,8,15)),ROW(Income!A$3:A$502)-2),4)),"")&lt;&gt;"",IFERROR(INDEX(Income!B$3:B$502,SMALL(IF((Income!D$3:D$502="GBP")*(Income!A$3:A$502=DATE(2026,8,15)),ROW(Income!A$3:A$502)-2),4)),""),""))</f>
        <v/>
      </c>
      <c r="O167" s="62" t="str">
        <f aca="false">IF(IFERROR(-INDEX(Expenses!D$3:D$1002,SMALL(IF((Expenses!E$3:E$1002="GBP")*(Expenses!A$3:A$1002=DATE(2026,8,16)),ROW(Expenses!A$3:A$1002)-2),4)),0)+IFERROR(INDEX(Income!C$3:C$502,SMALL(IF((Income!D$3:D$502="GBP")*(Income!A$3:A$502=DATE(2026,8,16)),ROW(Income!A$3:A$502)-2),4)),0)=0,"",IFERROR(-INDEX(Expenses!D$3:D$1002,SMALL(IF((Expenses!E$3:E$1002="GBP")*(Expenses!A$3:A$1002=DATE(2026,8,16)),ROW(Expenses!A$3:A$1002)-2),4)),0)+IFERROR(INDEX(Income!C$3:C$502,SMALL(IF((Income!D$3:D$502="GBP")*(Income!A$3:A$502=DATE(2026,8,16)),ROW(Income!A$3:A$502)-2),4)),0))</f>
        <v/>
      </c>
      <c r="P167" s="38" t="str">
        <f aca="false">IF(IFERROR(INDEX(Expenses!B$3:B$1002,SMALL(IF((Expenses!E$3:E$1002="GBP")*(Expenses!A$3:A$1002=DATE(2026,8,16)),ROW(Expenses!A$3:A$1002)-2),4)),"")&lt;&gt;"",IFERROR(INDEX(Expenses!B$3:B$1002,SMALL(IF((Expenses!E$3:E$1002="GBP")*(Expenses!A$3:A$1002=DATE(2026,8,16)),ROW(Expenses!A$3:A$1002)-2),4)),""),IF(IFERROR(INDEX(Income!B$3:B$502,SMALL(IF((Income!D$3:D$502="GBP")*(Income!A$3:A$502=DATE(2026,8,16)),ROW(Income!A$3:A$502)-2),4)),"")&lt;&gt;"",IFERROR(INDEX(Income!B$3:B$502,SMALL(IF((Income!D$3:D$502="GBP")*(Income!A$3:A$502=DATE(2026,8,16)),ROW(Income!A$3:A$502)-2),4)),""),""))</f>
        <v/>
      </c>
      <c r="Q167" s="16"/>
      <c r="R167" s="16"/>
    </row>
    <row r="168" customFormat="false" ht="15" hidden="false" customHeight="false" outlineLevel="0" collapsed="false">
      <c r="A168" s="16"/>
      <c r="B168" s="16"/>
      <c r="C168" s="62" t="str">
        <f aca="false">IF(IFERROR(-INDEX(Expenses!D$3:D$1002,SMALL(IF((Expenses!E$3:E$1002="GBP")*(Expenses!A$3:A$1002=DATE(2026,8,10)),ROW(Expenses!A$3:A$1002)-2),5)),0)+IFERROR(INDEX(Income!C$3:C$502,SMALL(IF((Income!D$3:D$502="GBP")*(Income!A$3:A$502=DATE(2026,8,10)),ROW(Income!A$3:A$502)-2),5)),0)=0,"",IFERROR(-INDEX(Expenses!D$3:D$1002,SMALL(IF((Expenses!E$3:E$1002="GBP")*(Expenses!A$3:A$1002=DATE(2026,8,10)),ROW(Expenses!A$3:A$1002)-2),5)),0)+IFERROR(INDEX(Income!C$3:C$502,SMALL(IF((Income!D$3:D$502="GBP")*(Income!A$3:A$502=DATE(2026,8,10)),ROW(Income!A$3:A$502)-2),5)),0))</f>
        <v/>
      </c>
      <c r="D168" s="38" t="str">
        <f aca="false">IF(IFERROR(INDEX(Expenses!B$3:B$1002,SMALL(IF((Expenses!E$3:E$1002="GBP")*(Expenses!A$3:A$1002=DATE(2026,8,10)),ROW(Expenses!A$3:A$1002)-2),5)),"")&lt;&gt;"",IFERROR(INDEX(Expenses!B$3:B$1002,SMALL(IF((Expenses!E$3:E$1002="GBP")*(Expenses!A$3:A$1002=DATE(2026,8,10)),ROW(Expenses!A$3:A$1002)-2),5)),""),IF(IFERROR(INDEX(Income!B$3:B$502,SMALL(IF((Income!D$3:D$502="GBP")*(Income!A$3:A$502=DATE(2026,8,10)),ROW(Income!A$3:A$502)-2),5)),"")&lt;&gt;"",IFERROR(INDEX(Income!B$3:B$502,SMALL(IF((Income!D$3:D$502="GBP")*(Income!A$3:A$502=DATE(2026,8,10)),ROW(Income!A$3:A$502)-2),5)),""),""))</f>
        <v/>
      </c>
      <c r="E168" s="62" t="str">
        <f aca="false">IF(IFERROR(-INDEX(Expenses!D$3:D$1002,SMALL(IF((Expenses!E$3:E$1002="GBP")*(Expenses!A$3:A$1002=DATE(2026,8,11)),ROW(Expenses!A$3:A$1002)-2),5)),0)+IFERROR(INDEX(Income!C$3:C$502,SMALL(IF((Income!D$3:D$502="GBP")*(Income!A$3:A$502=DATE(2026,8,11)),ROW(Income!A$3:A$502)-2),5)),0)=0,"",IFERROR(-INDEX(Expenses!D$3:D$1002,SMALL(IF((Expenses!E$3:E$1002="GBP")*(Expenses!A$3:A$1002=DATE(2026,8,11)),ROW(Expenses!A$3:A$1002)-2),5)),0)+IFERROR(INDEX(Income!C$3:C$502,SMALL(IF((Income!D$3:D$502="GBP")*(Income!A$3:A$502=DATE(2026,8,11)),ROW(Income!A$3:A$502)-2),5)),0))</f>
        <v/>
      </c>
      <c r="F168" s="38" t="str">
        <f aca="false">IF(IFERROR(INDEX(Expenses!B$3:B$1002,SMALL(IF((Expenses!E$3:E$1002="GBP")*(Expenses!A$3:A$1002=DATE(2026,8,11)),ROW(Expenses!A$3:A$1002)-2),5)),"")&lt;&gt;"",IFERROR(INDEX(Expenses!B$3:B$1002,SMALL(IF((Expenses!E$3:E$1002="GBP")*(Expenses!A$3:A$1002=DATE(2026,8,11)),ROW(Expenses!A$3:A$1002)-2),5)),""),IF(IFERROR(INDEX(Income!B$3:B$502,SMALL(IF((Income!D$3:D$502="GBP")*(Income!A$3:A$502=DATE(2026,8,11)),ROW(Income!A$3:A$502)-2),5)),"")&lt;&gt;"",IFERROR(INDEX(Income!B$3:B$502,SMALL(IF((Income!D$3:D$502="GBP")*(Income!A$3:A$502=DATE(2026,8,11)),ROW(Income!A$3:A$502)-2),5)),""),""))</f>
        <v/>
      </c>
      <c r="G168" s="62" t="str">
        <f aca="false">IF(IFERROR(-INDEX(Expenses!D$3:D$1002,SMALL(IF((Expenses!E$3:E$1002="GBP")*(Expenses!A$3:A$1002=DATE(2026,8,12)),ROW(Expenses!A$3:A$1002)-2),5)),0)+IFERROR(INDEX(Income!C$3:C$502,SMALL(IF((Income!D$3:D$502="GBP")*(Income!A$3:A$502=DATE(2026,8,12)),ROW(Income!A$3:A$502)-2),5)),0)=0,"",IFERROR(-INDEX(Expenses!D$3:D$1002,SMALL(IF((Expenses!E$3:E$1002="GBP")*(Expenses!A$3:A$1002=DATE(2026,8,12)),ROW(Expenses!A$3:A$1002)-2),5)),0)+IFERROR(INDEX(Income!C$3:C$502,SMALL(IF((Income!D$3:D$502="GBP")*(Income!A$3:A$502=DATE(2026,8,12)),ROW(Income!A$3:A$502)-2),5)),0))</f>
        <v/>
      </c>
      <c r="H168" s="38" t="str">
        <f aca="false">IF(IFERROR(INDEX(Expenses!B$3:B$1002,SMALL(IF((Expenses!E$3:E$1002="GBP")*(Expenses!A$3:A$1002=DATE(2026,8,12)),ROW(Expenses!A$3:A$1002)-2),5)),"")&lt;&gt;"",IFERROR(INDEX(Expenses!B$3:B$1002,SMALL(IF((Expenses!E$3:E$1002="GBP")*(Expenses!A$3:A$1002=DATE(2026,8,12)),ROW(Expenses!A$3:A$1002)-2),5)),""),IF(IFERROR(INDEX(Income!B$3:B$502,SMALL(IF((Income!D$3:D$502="GBP")*(Income!A$3:A$502=DATE(2026,8,12)),ROW(Income!A$3:A$502)-2),5)),"")&lt;&gt;"",IFERROR(INDEX(Income!B$3:B$502,SMALL(IF((Income!D$3:D$502="GBP")*(Income!A$3:A$502=DATE(2026,8,12)),ROW(Income!A$3:A$502)-2),5)),""),""))</f>
        <v/>
      </c>
      <c r="I168" s="62" t="str">
        <f aca="false">IF(IFERROR(-INDEX(Expenses!D$3:D$1002,SMALL(IF((Expenses!E$3:E$1002="GBP")*(Expenses!A$3:A$1002=DATE(2026,8,13)),ROW(Expenses!A$3:A$1002)-2),5)),0)+IFERROR(INDEX(Income!C$3:C$502,SMALL(IF((Income!D$3:D$502="GBP")*(Income!A$3:A$502=DATE(2026,8,13)),ROW(Income!A$3:A$502)-2),5)),0)=0,"",IFERROR(-INDEX(Expenses!D$3:D$1002,SMALL(IF((Expenses!E$3:E$1002="GBP")*(Expenses!A$3:A$1002=DATE(2026,8,13)),ROW(Expenses!A$3:A$1002)-2),5)),0)+IFERROR(INDEX(Income!C$3:C$502,SMALL(IF((Income!D$3:D$502="GBP")*(Income!A$3:A$502=DATE(2026,8,13)),ROW(Income!A$3:A$502)-2),5)),0))</f>
        <v/>
      </c>
      <c r="J168" s="38" t="str">
        <f aca="false">IF(IFERROR(INDEX(Expenses!B$3:B$1002,SMALL(IF((Expenses!E$3:E$1002="GBP")*(Expenses!A$3:A$1002=DATE(2026,8,13)),ROW(Expenses!A$3:A$1002)-2),5)),"")&lt;&gt;"",IFERROR(INDEX(Expenses!B$3:B$1002,SMALL(IF((Expenses!E$3:E$1002="GBP")*(Expenses!A$3:A$1002=DATE(2026,8,13)),ROW(Expenses!A$3:A$1002)-2),5)),""),IF(IFERROR(INDEX(Income!B$3:B$502,SMALL(IF((Income!D$3:D$502="GBP")*(Income!A$3:A$502=DATE(2026,8,13)),ROW(Income!A$3:A$502)-2),5)),"")&lt;&gt;"",IFERROR(INDEX(Income!B$3:B$502,SMALL(IF((Income!D$3:D$502="GBP")*(Income!A$3:A$502=DATE(2026,8,13)),ROW(Income!A$3:A$502)-2),5)),""),""))</f>
        <v/>
      </c>
      <c r="K168" s="62" t="str">
        <f aca="false">IF(IFERROR(-INDEX(Expenses!D$3:D$1002,SMALL(IF((Expenses!E$3:E$1002="GBP")*(Expenses!A$3:A$1002=DATE(2026,8,14)),ROW(Expenses!A$3:A$1002)-2),5)),0)+IFERROR(INDEX(Income!C$3:C$502,SMALL(IF((Income!D$3:D$502="GBP")*(Income!A$3:A$502=DATE(2026,8,14)),ROW(Income!A$3:A$502)-2),5)),0)=0,"",IFERROR(-INDEX(Expenses!D$3:D$1002,SMALL(IF((Expenses!E$3:E$1002="GBP")*(Expenses!A$3:A$1002=DATE(2026,8,14)),ROW(Expenses!A$3:A$1002)-2),5)),0)+IFERROR(INDEX(Income!C$3:C$502,SMALL(IF((Income!D$3:D$502="GBP")*(Income!A$3:A$502=DATE(2026,8,14)),ROW(Income!A$3:A$502)-2),5)),0))</f>
        <v/>
      </c>
      <c r="L168" s="38" t="str">
        <f aca="false">IF(IFERROR(INDEX(Expenses!B$3:B$1002,SMALL(IF((Expenses!E$3:E$1002="GBP")*(Expenses!A$3:A$1002=DATE(2026,8,14)),ROW(Expenses!A$3:A$1002)-2),5)),"")&lt;&gt;"",IFERROR(INDEX(Expenses!B$3:B$1002,SMALL(IF((Expenses!E$3:E$1002="GBP")*(Expenses!A$3:A$1002=DATE(2026,8,14)),ROW(Expenses!A$3:A$1002)-2),5)),""),IF(IFERROR(INDEX(Income!B$3:B$502,SMALL(IF((Income!D$3:D$502="GBP")*(Income!A$3:A$502=DATE(2026,8,14)),ROW(Income!A$3:A$502)-2),5)),"")&lt;&gt;"",IFERROR(INDEX(Income!B$3:B$502,SMALL(IF((Income!D$3:D$502="GBP")*(Income!A$3:A$502=DATE(2026,8,14)),ROW(Income!A$3:A$502)-2),5)),""),""))</f>
        <v/>
      </c>
      <c r="M168" s="62" t="str">
        <f aca="false">IF(IFERROR(-INDEX(Expenses!D$3:D$1002,SMALL(IF((Expenses!E$3:E$1002="GBP")*(Expenses!A$3:A$1002=DATE(2026,8,15)),ROW(Expenses!A$3:A$1002)-2),5)),0)+IFERROR(INDEX(Income!C$3:C$502,SMALL(IF((Income!D$3:D$502="GBP")*(Income!A$3:A$502=DATE(2026,8,15)),ROW(Income!A$3:A$502)-2),5)),0)=0,"",IFERROR(-INDEX(Expenses!D$3:D$1002,SMALL(IF((Expenses!E$3:E$1002="GBP")*(Expenses!A$3:A$1002=DATE(2026,8,15)),ROW(Expenses!A$3:A$1002)-2),5)),0)+IFERROR(INDEX(Income!C$3:C$502,SMALL(IF((Income!D$3:D$502="GBP")*(Income!A$3:A$502=DATE(2026,8,15)),ROW(Income!A$3:A$502)-2),5)),0))</f>
        <v/>
      </c>
      <c r="N168" s="38" t="str">
        <f aca="false">IF(IFERROR(INDEX(Expenses!B$3:B$1002,SMALL(IF((Expenses!E$3:E$1002="GBP")*(Expenses!A$3:A$1002=DATE(2026,8,15)),ROW(Expenses!A$3:A$1002)-2),5)),"")&lt;&gt;"",IFERROR(INDEX(Expenses!B$3:B$1002,SMALL(IF((Expenses!E$3:E$1002="GBP")*(Expenses!A$3:A$1002=DATE(2026,8,15)),ROW(Expenses!A$3:A$1002)-2),5)),""),IF(IFERROR(INDEX(Income!B$3:B$502,SMALL(IF((Income!D$3:D$502="GBP")*(Income!A$3:A$502=DATE(2026,8,15)),ROW(Income!A$3:A$502)-2),5)),"")&lt;&gt;"",IFERROR(INDEX(Income!B$3:B$502,SMALL(IF((Income!D$3:D$502="GBP")*(Income!A$3:A$502=DATE(2026,8,15)),ROW(Income!A$3:A$502)-2),5)),""),""))</f>
        <v/>
      </c>
      <c r="O168" s="62" t="str">
        <f aca="false">IF(IFERROR(-INDEX(Expenses!D$3:D$1002,SMALL(IF((Expenses!E$3:E$1002="GBP")*(Expenses!A$3:A$1002=DATE(2026,8,16)),ROW(Expenses!A$3:A$1002)-2),5)),0)+IFERROR(INDEX(Income!C$3:C$502,SMALL(IF((Income!D$3:D$502="GBP")*(Income!A$3:A$502=DATE(2026,8,16)),ROW(Income!A$3:A$502)-2),5)),0)=0,"",IFERROR(-INDEX(Expenses!D$3:D$1002,SMALL(IF((Expenses!E$3:E$1002="GBP")*(Expenses!A$3:A$1002=DATE(2026,8,16)),ROW(Expenses!A$3:A$1002)-2),5)),0)+IFERROR(INDEX(Income!C$3:C$502,SMALL(IF((Income!D$3:D$502="GBP")*(Income!A$3:A$502=DATE(2026,8,16)),ROW(Income!A$3:A$502)-2),5)),0))</f>
        <v/>
      </c>
      <c r="P168" s="38" t="str">
        <f aca="false">IF(IFERROR(INDEX(Expenses!B$3:B$1002,SMALL(IF((Expenses!E$3:E$1002="GBP")*(Expenses!A$3:A$1002=DATE(2026,8,16)),ROW(Expenses!A$3:A$1002)-2),5)),"")&lt;&gt;"",IFERROR(INDEX(Expenses!B$3:B$1002,SMALL(IF((Expenses!E$3:E$1002="GBP")*(Expenses!A$3:A$1002=DATE(2026,8,16)),ROW(Expenses!A$3:A$1002)-2),5)),""),IF(IFERROR(INDEX(Income!B$3:B$502,SMALL(IF((Income!D$3:D$502="GBP")*(Income!A$3:A$502=DATE(2026,8,16)),ROW(Income!A$3:A$502)-2),5)),"")&lt;&gt;"",IFERROR(INDEX(Income!B$3:B$502,SMALL(IF((Income!D$3:D$502="GBP")*(Income!A$3:A$502=DATE(2026,8,16)),ROW(Income!A$3:A$502)-2),5)),""),""))</f>
        <v/>
      </c>
      <c r="Q168" s="16"/>
      <c r="R168" s="16"/>
    </row>
    <row r="169" customFormat="false" ht="15" hidden="false" customHeight="false" outlineLevel="0" collapsed="false">
      <c r="A169" s="61" t="n">
        <v>46251</v>
      </c>
      <c r="B169" s="3" t="n">
        <v>34</v>
      </c>
      <c r="C169" s="62" t="str">
        <f aca="false">IF(IFERROR(-INDEX(Expenses!D$3:D$1002,SMALL(IF((Expenses!E$3:E$1002="GBP")*(Expenses!A$3:A$1002=DATE(2026,8,17)),ROW(Expenses!A$3:A$1002)-2),1)),0)+IFERROR(INDEX(Income!C$3:C$502,SMALL(IF((Income!D$3:D$502="GBP")*(Income!A$3:A$502=DATE(2026,8,17)),ROW(Income!A$3:A$502)-2),1)),0)=0,"",IFERROR(-INDEX(Expenses!D$3:D$1002,SMALL(IF((Expenses!E$3:E$1002="GBP")*(Expenses!A$3:A$1002=DATE(2026,8,17)),ROW(Expenses!A$3:A$1002)-2),1)),0)+IFERROR(INDEX(Income!C$3:C$502,SMALL(IF((Income!D$3:D$502="GBP")*(Income!A$3:A$502=DATE(2026,8,17)),ROW(Income!A$3:A$502)-2),1)),0))</f>
        <v/>
      </c>
      <c r="D169" s="38" t="str">
        <f aca="false">IF(IFERROR(INDEX(Expenses!B$3:B$1002,SMALL(IF((Expenses!E$3:E$1002="GBP")*(Expenses!A$3:A$1002=DATE(2026,8,17)),ROW(Expenses!A$3:A$1002)-2),1)),"")&lt;&gt;"",IFERROR(INDEX(Expenses!B$3:B$1002,SMALL(IF((Expenses!E$3:E$1002="GBP")*(Expenses!A$3:A$1002=DATE(2026,8,17)),ROW(Expenses!A$3:A$1002)-2),1)),""),IF(IFERROR(INDEX(Income!B$3:B$502,SMALL(IF((Income!D$3:D$502="GBP")*(Income!A$3:A$502=DATE(2026,8,17)),ROW(Income!A$3:A$502)-2),1)),"")&lt;&gt;"",IFERROR(INDEX(Income!B$3:B$502,SMALL(IF((Income!D$3:D$502="GBP")*(Income!A$3:A$502=DATE(2026,8,17)),ROW(Income!A$3:A$502)-2),1)),""),""))</f>
        <v/>
      </c>
      <c r="E169" s="62" t="str">
        <f aca="false">IF(IFERROR(-INDEX(Expenses!D$3:D$1002,SMALL(IF((Expenses!E$3:E$1002="GBP")*(Expenses!A$3:A$1002=DATE(2026,8,18)),ROW(Expenses!A$3:A$1002)-2),1)),0)+IFERROR(INDEX(Income!C$3:C$502,SMALL(IF((Income!D$3:D$502="GBP")*(Income!A$3:A$502=DATE(2026,8,18)),ROW(Income!A$3:A$502)-2),1)),0)=0,"",IFERROR(-INDEX(Expenses!D$3:D$1002,SMALL(IF((Expenses!E$3:E$1002="GBP")*(Expenses!A$3:A$1002=DATE(2026,8,18)),ROW(Expenses!A$3:A$1002)-2),1)),0)+IFERROR(INDEX(Income!C$3:C$502,SMALL(IF((Income!D$3:D$502="GBP")*(Income!A$3:A$502=DATE(2026,8,18)),ROW(Income!A$3:A$502)-2),1)),0))</f>
        <v/>
      </c>
      <c r="F169" s="38" t="str">
        <f aca="false">IF(IFERROR(INDEX(Expenses!B$3:B$1002,SMALL(IF((Expenses!E$3:E$1002="GBP")*(Expenses!A$3:A$1002=DATE(2026,8,18)),ROW(Expenses!A$3:A$1002)-2),1)),"")&lt;&gt;"",IFERROR(INDEX(Expenses!B$3:B$1002,SMALL(IF((Expenses!E$3:E$1002="GBP")*(Expenses!A$3:A$1002=DATE(2026,8,18)),ROW(Expenses!A$3:A$1002)-2),1)),""),IF(IFERROR(INDEX(Income!B$3:B$502,SMALL(IF((Income!D$3:D$502="GBP")*(Income!A$3:A$502=DATE(2026,8,18)),ROW(Income!A$3:A$502)-2),1)),"")&lt;&gt;"",IFERROR(INDEX(Income!B$3:B$502,SMALL(IF((Income!D$3:D$502="GBP")*(Income!A$3:A$502=DATE(2026,8,18)),ROW(Income!A$3:A$502)-2),1)),""),""))</f>
        <v/>
      </c>
      <c r="G169" s="62" t="str">
        <f aca="false">IF(IFERROR(-INDEX(Expenses!D$3:D$1002,SMALL(IF((Expenses!E$3:E$1002="GBP")*(Expenses!A$3:A$1002=DATE(2026,8,19)),ROW(Expenses!A$3:A$1002)-2),1)),0)+IFERROR(INDEX(Income!C$3:C$502,SMALL(IF((Income!D$3:D$502="GBP")*(Income!A$3:A$502=DATE(2026,8,19)),ROW(Income!A$3:A$502)-2),1)),0)=0,"",IFERROR(-INDEX(Expenses!D$3:D$1002,SMALL(IF((Expenses!E$3:E$1002="GBP")*(Expenses!A$3:A$1002=DATE(2026,8,19)),ROW(Expenses!A$3:A$1002)-2),1)),0)+IFERROR(INDEX(Income!C$3:C$502,SMALL(IF((Income!D$3:D$502="GBP")*(Income!A$3:A$502=DATE(2026,8,19)),ROW(Income!A$3:A$502)-2),1)),0))</f>
        <v/>
      </c>
      <c r="H169" s="38" t="str">
        <f aca="false">IF(IFERROR(INDEX(Expenses!B$3:B$1002,SMALL(IF((Expenses!E$3:E$1002="GBP")*(Expenses!A$3:A$1002=DATE(2026,8,19)),ROW(Expenses!A$3:A$1002)-2),1)),"")&lt;&gt;"",IFERROR(INDEX(Expenses!B$3:B$1002,SMALL(IF((Expenses!E$3:E$1002="GBP")*(Expenses!A$3:A$1002=DATE(2026,8,19)),ROW(Expenses!A$3:A$1002)-2),1)),""),IF(IFERROR(INDEX(Income!B$3:B$502,SMALL(IF((Income!D$3:D$502="GBP")*(Income!A$3:A$502=DATE(2026,8,19)),ROW(Income!A$3:A$502)-2),1)),"")&lt;&gt;"",IFERROR(INDEX(Income!B$3:B$502,SMALL(IF((Income!D$3:D$502="GBP")*(Income!A$3:A$502=DATE(2026,8,19)),ROW(Income!A$3:A$502)-2),1)),""),""))</f>
        <v/>
      </c>
      <c r="I169" s="62" t="str">
        <f aca="false">IF(IFERROR(-INDEX(Expenses!D$3:D$1002,SMALL(IF((Expenses!E$3:E$1002="GBP")*(Expenses!A$3:A$1002=DATE(2026,8,20)),ROW(Expenses!A$3:A$1002)-2),1)),0)+IFERROR(INDEX(Income!C$3:C$502,SMALL(IF((Income!D$3:D$502="GBP")*(Income!A$3:A$502=DATE(2026,8,20)),ROW(Income!A$3:A$502)-2),1)),0)=0,"",IFERROR(-INDEX(Expenses!D$3:D$1002,SMALL(IF((Expenses!E$3:E$1002="GBP")*(Expenses!A$3:A$1002=DATE(2026,8,20)),ROW(Expenses!A$3:A$1002)-2),1)),0)+IFERROR(INDEX(Income!C$3:C$502,SMALL(IF((Income!D$3:D$502="GBP")*(Income!A$3:A$502=DATE(2026,8,20)),ROW(Income!A$3:A$502)-2),1)),0))</f>
        <v/>
      </c>
      <c r="J169" s="38" t="str">
        <f aca="false">IF(IFERROR(INDEX(Expenses!B$3:B$1002,SMALL(IF((Expenses!E$3:E$1002="GBP")*(Expenses!A$3:A$1002=DATE(2026,8,20)),ROW(Expenses!A$3:A$1002)-2),1)),"")&lt;&gt;"",IFERROR(INDEX(Expenses!B$3:B$1002,SMALL(IF((Expenses!E$3:E$1002="GBP")*(Expenses!A$3:A$1002=DATE(2026,8,20)),ROW(Expenses!A$3:A$1002)-2),1)),""),IF(IFERROR(INDEX(Income!B$3:B$502,SMALL(IF((Income!D$3:D$502="GBP")*(Income!A$3:A$502=DATE(2026,8,20)),ROW(Income!A$3:A$502)-2),1)),"")&lt;&gt;"",IFERROR(INDEX(Income!B$3:B$502,SMALL(IF((Income!D$3:D$502="GBP")*(Income!A$3:A$502=DATE(2026,8,20)),ROW(Income!A$3:A$502)-2),1)),""),""))</f>
        <v/>
      </c>
      <c r="K169" s="62" t="str">
        <f aca="false">IF(IFERROR(-INDEX(Expenses!D$3:D$1002,SMALL(IF((Expenses!E$3:E$1002="GBP")*(Expenses!A$3:A$1002=DATE(2026,8,21)),ROW(Expenses!A$3:A$1002)-2),1)),0)+IFERROR(INDEX(Income!C$3:C$502,SMALL(IF((Income!D$3:D$502="GBP")*(Income!A$3:A$502=DATE(2026,8,21)),ROW(Income!A$3:A$502)-2),1)),0)=0,"",IFERROR(-INDEX(Expenses!D$3:D$1002,SMALL(IF((Expenses!E$3:E$1002="GBP")*(Expenses!A$3:A$1002=DATE(2026,8,21)),ROW(Expenses!A$3:A$1002)-2),1)),0)+IFERROR(INDEX(Income!C$3:C$502,SMALL(IF((Income!D$3:D$502="GBP")*(Income!A$3:A$502=DATE(2026,8,21)),ROW(Income!A$3:A$502)-2),1)),0))</f>
        <v/>
      </c>
      <c r="L169" s="38" t="str">
        <f aca="false">IF(IFERROR(INDEX(Expenses!B$3:B$1002,SMALL(IF((Expenses!E$3:E$1002="GBP")*(Expenses!A$3:A$1002=DATE(2026,8,21)),ROW(Expenses!A$3:A$1002)-2),1)),"")&lt;&gt;"",IFERROR(INDEX(Expenses!B$3:B$1002,SMALL(IF((Expenses!E$3:E$1002="GBP")*(Expenses!A$3:A$1002=DATE(2026,8,21)),ROW(Expenses!A$3:A$1002)-2),1)),""),IF(IFERROR(INDEX(Income!B$3:B$502,SMALL(IF((Income!D$3:D$502="GBP")*(Income!A$3:A$502=DATE(2026,8,21)),ROW(Income!A$3:A$502)-2),1)),"")&lt;&gt;"",IFERROR(INDEX(Income!B$3:B$502,SMALL(IF((Income!D$3:D$502="GBP")*(Income!A$3:A$502=DATE(2026,8,21)),ROW(Income!A$3:A$502)-2),1)),""),""))</f>
        <v/>
      </c>
      <c r="M169" s="62" t="str">
        <f aca="false">IF(IFERROR(-INDEX(Expenses!D$3:D$1002,SMALL(IF((Expenses!E$3:E$1002="GBP")*(Expenses!A$3:A$1002=DATE(2026,8,22)),ROW(Expenses!A$3:A$1002)-2),1)),0)+IFERROR(INDEX(Income!C$3:C$502,SMALL(IF((Income!D$3:D$502="GBP")*(Income!A$3:A$502=DATE(2026,8,22)),ROW(Income!A$3:A$502)-2),1)),0)=0,"",IFERROR(-INDEX(Expenses!D$3:D$1002,SMALL(IF((Expenses!E$3:E$1002="GBP")*(Expenses!A$3:A$1002=DATE(2026,8,22)),ROW(Expenses!A$3:A$1002)-2),1)),0)+IFERROR(INDEX(Income!C$3:C$502,SMALL(IF((Income!D$3:D$502="GBP")*(Income!A$3:A$502=DATE(2026,8,22)),ROW(Income!A$3:A$502)-2),1)),0))</f>
        <v/>
      </c>
      <c r="N169" s="38" t="str">
        <f aca="false">IF(IFERROR(INDEX(Expenses!B$3:B$1002,SMALL(IF((Expenses!E$3:E$1002="GBP")*(Expenses!A$3:A$1002=DATE(2026,8,22)),ROW(Expenses!A$3:A$1002)-2),1)),"")&lt;&gt;"",IFERROR(INDEX(Expenses!B$3:B$1002,SMALL(IF((Expenses!E$3:E$1002="GBP")*(Expenses!A$3:A$1002=DATE(2026,8,22)),ROW(Expenses!A$3:A$1002)-2),1)),""),IF(IFERROR(INDEX(Income!B$3:B$502,SMALL(IF((Income!D$3:D$502="GBP")*(Income!A$3:A$502=DATE(2026,8,22)),ROW(Income!A$3:A$502)-2),1)),"")&lt;&gt;"",IFERROR(INDEX(Income!B$3:B$502,SMALL(IF((Income!D$3:D$502="GBP")*(Income!A$3:A$502=DATE(2026,8,22)),ROW(Income!A$3:A$502)-2),1)),""),""))</f>
        <v/>
      </c>
      <c r="O169" s="62" t="str">
        <f aca="false">IF(IFERROR(-INDEX(Expenses!D$3:D$1002,SMALL(IF((Expenses!E$3:E$1002="GBP")*(Expenses!A$3:A$1002=DATE(2026,8,23)),ROW(Expenses!A$3:A$1002)-2),1)),0)+IFERROR(INDEX(Income!C$3:C$502,SMALL(IF((Income!D$3:D$502="GBP")*(Income!A$3:A$502=DATE(2026,8,23)),ROW(Income!A$3:A$502)-2),1)),0)=0,"",IFERROR(-INDEX(Expenses!D$3:D$1002,SMALL(IF((Expenses!E$3:E$1002="GBP")*(Expenses!A$3:A$1002=DATE(2026,8,23)),ROW(Expenses!A$3:A$1002)-2),1)),0)+IFERROR(INDEX(Income!C$3:C$502,SMALL(IF((Income!D$3:D$502="GBP")*(Income!A$3:A$502=DATE(2026,8,23)),ROW(Income!A$3:A$502)-2),1)),0))</f>
        <v/>
      </c>
      <c r="P169" s="38" t="str">
        <f aca="false">IF(IFERROR(INDEX(Expenses!B$3:B$1002,SMALL(IF((Expenses!E$3:E$1002="GBP")*(Expenses!A$3:A$1002=DATE(2026,8,23)),ROW(Expenses!A$3:A$1002)-2),1)),"")&lt;&gt;"",IFERROR(INDEX(Expenses!B$3:B$1002,SMALL(IF((Expenses!E$3:E$1002="GBP")*(Expenses!A$3:A$1002=DATE(2026,8,23)),ROW(Expenses!A$3:A$1002)-2),1)),""),IF(IFERROR(INDEX(Income!B$3:B$502,SMALL(IF((Income!D$3:D$502="GBP")*(Income!A$3:A$502=DATE(2026,8,23)),ROW(Income!A$3:A$502)-2),1)),"")&lt;&gt;"",IFERROR(INDEX(Income!B$3:B$502,SMALL(IF((Income!D$3:D$502="GBP")*(Income!A$3:A$502=DATE(2026,8,23)),ROW(Income!A$3:A$502)-2),1)),""),""))</f>
        <v/>
      </c>
      <c r="Q169" s="3" t="n">
        <v>34</v>
      </c>
      <c r="R169" s="45" t="n">
        <f aca="false">SUM(C169:C173)+SUM(E169:E173)+SUM(G169:G173)+SUM(I169:I173)+SUM(K169:K173)+SUM(M169:M173)+SUM(O169:O173)</f>
        <v>0</v>
      </c>
    </row>
    <row r="170" customFormat="false" ht="15" hidden="false" customHeight="false" outlineLevel="0" collapsed="false">
      <c r="A170" s="16"/>
      <c r="B170" s="16"/>
      <c r="C170" s="62" t="str">
        <f aca="false">IF(IFERROR(-INDEX(Expenses!D$3:D$1002,SMALL(IF((Expenses!E$3:E$1002="GBP")*(Expenses!A$3:A$1002=DATE(2026,8,17)),ROW(Expenses!A$3:A$1002)-2),2)),0)+IFERROR(INDEX(Income!C$3:C$502,SMALL(IF((Income!D$3:D$502="GBP")*(Income!A$3:A$502=DATE(2026,8,17)),ROW(Income!A$3:A$502)-2),2)),0)=0,"",IFERROR(-INDEX(Expenses!D$3:D$1002,SMALL(IF((Expenses!E$3:E$1002="GBP")*(Expenses!A$3:A$1002=DATE(2026,8,17)),ROW(Expenses!A$3:A$1002)-2),2)),0)+IFERROR(INDEX(Income!C$3:C$502,SMALL(IF((Income!D$3:D$502="GBP")*(Income!A$3:A$502=DATE(2026,8,17)),ROW(Income!A$3:A$502)-2),2)),0))</f>
        <v/>
      </c>
      <c r="D170" s="38" t="str">
        <f aca="false">IF(IFERROR(INDEX(Expenses!B$3:B$1002,SMALL(IF((Expenses!E$3:E$1002="GBP")*(Expenses!A$3:A$1002=DATE(2026,8,17)),ROW(Expenses!A$3:A$1002)-2),2)),"")&lt;&gt;"",IFERROR(INDEX(Expenses!B$3:B$1002,SMALL(IF((Expenses!E$3:E$1002="GBP")*(Expenses!A$3:A$1002=DATE(2026,8,17)),ROW(Expenses!A$3:A$1002)-2),2)),""),IF(IFERROR(INDEX(Income!B$3:B$502,SMALL(IF((Income!D$3:D$502="GBP")*(Income!A$3:A$502=DATE(2026,8,17)),ROW(Income!A$3:A$502)-2),2)),"")&lt;&gt;"",IFERROR(INDEX(Income!B$3:B$502,SMALL(IF((Income!D$3:D$502="GBP")*(Income!A$3:A$502=DATE(2026,8,17)),ROW(Income!A$3:A$502)-2),2)),""),""))</f>
        <v/>
      </c>
      <c r="E170" s="62" t="str">
        <f aca="false">IF(IFERROR(-INDEX(Expenses!D$3:D$1002,SMALL(IF((Expenses!E$3:E$1002="GBP")*(Expenses!A$3:A$1002=DATE(2026,8,18)),ROW(Expenses!A$3:A$1002)-2),2)),0)+IFERROR(INDEX(Income!C$3:C$502,SMALL(IF((Income!D$3:D$502="GBP")*(Income!A$3:A$502=DATE(2026,8,18)),ROW(Income!A$3:A$502)-2),2)),0)=0,"",IFERROR(-INDEX(Expenses!D$3:D$1002,SMALL(IF((Expenses!E$3:E$1002="GBP")*(Expenses!A$3:A$1002=DATE(2026,8,18)),ROW(Expenses!A$3:A$1002)-2),2)),0)+IFERROR(INDEX(Income!C$3:C$502,SMALL(IF((Income!D$3:D$502="GBP")*(Income!A$3:A$502=DATE(2026,8,18)),ROW(Income!A$3:A$502)-2),2)),0))</f>
        <v/>
      </c>
      <c r="F170" s="38" t="str">
        <f aca="false">IF(IFERROR(INDEX(Expenses!B$3:B$1002,SMALL(IF((Expenses!E$3:E$1002="GBP")*(Expenses!A$3:A$1002=DATE(2026,8,18)),ROW(Expenses!A$3:A$1002)-2),2)),"")&lt;&gt;"",IFERROR(INDEX(Expenses!B$3:B$1002,SMALL(IF((Expenses!E$3:E$1002="GBP")*(Expenses!A$3:A$1002=DATE(2026,8,18)),ROW(Expenses!A$3:A$1002)-2),2)),""),IF(IFERROR(INDEX(Income!B$3:B$502,SMALL(IF((Income!D$3:D$502="GBP")*(Income!A$3:A$502=DATE(2026,8,18)),ROW(Income!A$3:A$502)-2),2)),"")&lt;&gt;"",IFERROR(INDEX(Income!B$3:B$502,SMALL(IF((Income!D$3:D$502="GBP")*(Income!A$3:A$502=DATE(2026,8,18)),ROW(Income!A$3:A$502)-2),2)),""),""))</f>
        <v/>
      </c>
      <c r="G170" s="62" t="str">
        <f aca="false">IF(IFERROR(-INDEX(Expenses!D$3:D$1002,SMALL(IF((Expenses!E$3:E$1002="GBP")*(Expenses!A$3:A$1002=DATE(2026,8,19)),ROW(Expenses!A$3:A$1002)-2),2)),0)+IFERROR(INDEX(Income!C$3:C$502,SMALL(IF((Income!D$3:D$502="GBP")*(Income!A$3:A$502=DATE(2026,8,19)),ROW(Income!A$3:A$502)-2),2)),0)=0,"",IFERROR(-INDEX(Expenses!D$3:D$1002,SMALL(IF((Expenses!E$3:E$1002="GBP")*(Expenses!A$3:A$1002=DATE(2026,8,19)),ROW(Expenses!A$3:A$1002)-2),2)),0)+IFERROR(INDEX(Income!C$3:C$502,SMALL(IF((Income!D$3:D$502="GBP")*(Income!A$3:A$502=DATE(2026,8,19)),ROW(Income!A$3:A$502)-2),2)),0))</f>
        <v/>
      </c>
      <c r="H170" s="38" t="str">
        <f aca="false">IF(IFERROR(INDEX(Expenses!B$3:B$1002,SMALL(IF((Expenses!E$3:E$1002="GBP")*(Expenses!A$3:A$1002=DATE(2026,8,19)),ROW(Expenses!A$3:A$1002)-2),2)),"")&lt;&gt;"",IFERROR(INDEX(Expenses!B$3:B$1002,SMALL(IF((Expenses!E$3:E$1002="GBP")*(Expenses!A$3:A$1002=DATE(2026,8,19)),ROW(Expenses!A$3:A$1002)-2),2)),""),IF(IFERROR(INDEX(Income!B$3:B$502,SMALL(IF((Income!D$3:D$502="GBP")*(Income!A$3:A$502=DATE(2026,8,19)),ROW(Income!A$3:A$502)-2),2)),"")&lt;&gt;"",IFERROR(INDEX(Income!B$3:B$502,SMALL(IF((Income!D$3:D$502="GBP")*(Income!A$3:A$502=DATE(2026,8,19)),ROW(Income!A$3:A$502)-2),2)),""),""))</f>
        <v/>
      </c>
      <c r="I170" s="62" t="str">
        <f aca="false">IF(IFERROR(-INDEX(Expenses!D$3:D$1002,SMALL(IF((Expenses!E$3:E$1002="GBP")*(Expenses!A$3:A$1002=DATE(2026,8,20)),ROW(Expenses!A$3:A$1002)-2),2)),0)+IFERROR(INDEX(Income!C$3:C$502,SMALL(IF((Income!D$3:D$502="GBP")*(Income!A$3:A$502=DATE(2026,8,20)),ROW(Income!A$3:A$502)-2),2)),0)=0,"",IFERROR(-INDEX(Expenses!D$3:D$1002,SMALL(IF((Expenses!E$3:E$1002="GBP")*(Expenses!A$3:A$1002=DATE(2026,8,20)),ROW(Expenses!A$3:A$1002)-2),2)),0)+IFERROR(INDEX(Income!C$3:C$502,SMALL(IF((Income!D$3:D$502="GBP")*(Income!A$3:A$502=DATE(2026,8,20)),ROW(Income!A$3:A$502)-2),2)),0))</f>
        <v/>
      </c>
      <c r="J170" s="38" t="str">
        <f aca="false">IF(IFERROR(INDEX(Expenses!B$3:B$1002,SMALL(IF((Expenses!E$3:E$1002="GBP")*(Expenses!A$3:A$1002=DATE(2026,8,20)),ROW(Expenses!A$3:A$1002)-2),2)),"")&lt;&gt;"",IFERROR(INDEX(Expenses!B$3:B$1002,SMALL(IF((Expenses!E$3:E$1002="GBP")*(Expenses!A$3:A$1002=DATE(2026,8,20)),ROW(Expenses!A$3:A$1002)-2),2)),""),IF(IFERROR(INDEX(Income!B$3:B$502,SMALL(IF((Income!D$3:D$502="GBP")*(Income!A$3:A$502=DATE(2026,8,20)),ROW(Income!A$3:A$502)-2),2)),"")&lt;&gt;"",IFERROR(INDEX(Income!B$3:B$502,SMALL(IF((Income!D$3:D$502="GBP")*(Income!A$3:A$502=DATE(2026,8,20)),ROW(Income!A$3:A$502)-2),2)),""),""))</f>
        <v/>
      </c>
      <c r="K170" s="62" t="str">
        <f aca="false">IF(IFERROR(-INDEX(Expenses!D$3:D$1002,SMALL(IF((Expenses!E$3:E$1002="GBP")*(Expenses!A$3:A$1002=DATE(2026,8,21)),ROW(Expenses!A$3:A$1002)-2),2)),0)+IFERROR(INDEX(Income!C$3:C$502,SMALL(IF((Income!D$3:D$502="GBP")*(Income!A$3:A$502=DATE(2026,8,21)),ROW(Income!A$3:A$502)-2),2)),0)=0,"",IFERROR(-INDEX(Expenses!D$3:D$1002,SMALL(IF((Expenses!E$3:E$1002="GBP")*(Expenses!A$3:A$1002=DATE(2026,8,21)),ROW(Expenses!A$3:A$1002)-2),2)),0)+IFERROR(INDEX(Income!C$3:C$502,SMALL(IF((Income!D$3:D$502="GBP")*(Income!A$3:A$502=DATE(2026,8,21)),ROW(Income!A$3:A$502)-2),2)),0))</f>
        <v/>
      </c>
      <c r="L170" s="38" t="str">
        <f aca="false">IF(IFERROR(INDEX(Expenses!B$3:B$1002,SMALL(IF((Expenses!E$3:E$1002="GBP")*(Expenses!A$3:A$1002=DATE(2026,8,21)),ROW(Expenses!A$3:A$1002)-2),2)),"")&lt;&gt;"",IFERROR(INDEX(Expenses!B$3:B$1002,SMALL(IF((Expenses!E$3:E$1002="GBP")*(Expenses!A$3:A$1002=DATE(2026,8,21)),ROW(Expenses!A$3:A$1002)-2),2)),""),IF(IFERROR(INDEX(Income!B$3:B$502,SMALL(IF((Income!D$3:D$502="GBP")*(Income!A$3:A$502=DATE(2026,8,21)),ROW(Income!A$3:A$502)-2),2)),"")&lt;&gt;"",IFERROR(INDEX(Income!B$3:B$502,SMALL(IF((Income!D$3:D$502="GBP")*(Income!A$3:A$502=DATE(2026,8,21)),ROW(Income!A$3:A$502)-2),2)),""),""))</f>
        <v/>
      </c>
      <c r="M170" s="62" t="str">
        <f aca="false">IF(IFERROR(-INDEX(Expenses!D$3:D$1002,SMALL(IF((Expenses!E$3:E$1002="GBP")*(Expenses!A$3:A$1002=DATE(2026,8,22)),ROW(Expenses!A$3:A$1002)-2),2)),0)+IFERROR(INDEX(Income!C$3:C$502,SMALL(IF((Income!D$3:D$502="GBP")*(Income!A$3:A$502=DATE(2026,8,22)),ROW(Income!A$3:A$502)-2),2)),0)=0,"",IFERROR(-INDEX(Expenses!D$3:D$1002,SMALL(IF((Expenses!E$3:E$1002="GBP")*(Expenses!A$3:A$1002=DATE(2026,8,22)),ROW(Expenses!A$3:A$1002)-2),2)),0)+IFERROR(INDEX(Income!C$3:C$502,SMALL(IF((Income!D$3:D$502="GBP")*(Income!A$3:A$502=DATE(2026,8,22)),ROW(Income!A$3:A$502)-2),2)),0))</f>
        <v/>
      </c>
      <c r="N170" s="38" t="str">
        <f aca="false">IF(IFERROR(INDEX(Expenses!B$3:B$1002,SMALL(IF((Expenses!E$3:E$1002="GBP")*(Expenses!A$3:A$1002=DATE(2026,8,22)),ROW(Expenses!A$3:A$1002)-2),2)),"")&lt;&gt;"",IFERROR(INDEX(Expenses!B$3:B$1002,SMALL(IF((Expenses!E$3:E$1002="GBP")*(Expenses!A$3:A$1002=DATE(2026,8,22)),ROW(Expenses!A$3:A$1002)-2),2)),""),IF(IFERROR(INDEX(Income!B$3:B$502,SMALL(IF((Income!D$3:D$502="GBP")*(Income!A$3:A$502=DATE(2026,8,22)),ROW(Income!A$3:A$502)-2),2)),"")&lt;&gt;"",IFERROR(INDEX(Income!B$3:B$502,SMALL(IF((Income!D$3:D$502="GBP")*(Income!A$3:A$502=DATE(2026,8,22)),ROW(Income!A$3:A$502)-2),2)),""),""))</f>
        <v/>
      </c>
      <c r="O170" s="62" t="str">
        <f aca="false">IF(IFERROR(-INDEX(Expenses!D$3:D$1002,SMALL(IF((Expenses!E$3:E$1002="GBP")*(Expenses!A$3:A$1002=DATE(2026,8,23)),ROW(Expenses!A$3:A$1002)-2),2)),0)+IFERROR(INDEX(Income!C$3:C$502,SMALL(IF((Income!D$3:D$502="GBP")*(Income!A$3:A$502=DATE(2026,8,23)),ROW(Income!A$3:A$502)-2),2)),0)=0,"",IFERROR(-INDEX(Expenses!D$3:D$1002,SMALL(IF((Expenses!E$3:E$1002="GBP")*(Expenses!A$3:A$1002=DATE(2026,8,23)),ROW(Expenses!A$3:A$1002)-2),2)),0)+IFERROR(INDEX(Income!C$3:C$502,SMALL(IF((Income!D$3:D$502="GBP")*(Income!A$3:A$502=DATE(2026,8,23)),ROW(Income!A$3:A$502)-2),2)),0))</f>
        <v/>
      </c>
      <c r="P170" s="38" t="str">
        <f aca="false">IF(IFERROR(INDEX(Expenses!B$3:B$1002,SMALL(IF((Expenses!E$3:E$1002="GBP")*(Expenses!A$3:A$1002=DATE(2026,8,23)),ROW(Expenses!A$3:A$1002)-2),2)),"")&lt;&gt;"",IFERROR(INDEX(Expenses!B$3:B$1002,SMALL(IF((Expenses!E$3:E$1002="GBP")*(Expenses!A$3:A$1002=DATE(2026,8,23)),ROW(Expenses!A$3:A$1002)-2),2)),""),IF(IFERROR(INDEX(Income!B$3:B$502,SMALL(IF((Income!D$3:D$502="GBP")*(Income!A$3:A$502=DATE(2026,8,23)),ROW(Income!A$3:A$502)-2),2)),"")&lt;&gt;"",IFERROR(INDEX(Income!B$3:B$502,SMALL(IF((Income!D$3:D$502="GBP")*(Income!A$3:A$502=DATE(2026,8,23)),ROW(Income!A$3:A$502)-2),2)),""),""))</f>
        <v/>
      </c>
      <c r="Q170" s="16"/>
      <c r="R170" s="16"/>
    </row>
    <row r="171" customFormat="false" ht="15" hidden="false" customHeight="false" outlineLevel="0" collapsed="false">
      <c r="A171" s="16"/>
      <c r="B171" s="16"/>
      <c r="C171" s="62" t="str">
        <f aca="false">IF(IFERROR(-INDEX(Expenses!D$3:D$1002,SMALL(IF((Expenses!E$3:E$1002="GBP")*(Expenses!A$3:A$1002=DATE(2026,8,17)),ROW(Expenses!A$3:A$1002)-2),3)),0)+IFERROR(INDEX(Income!C$3:C$502,SMALL(IF((Income!D$3:D$502="GBP")*(Income!A$3:A$502=DATE(2026,8,17)),ROW(Income!A$3:A$502)-2),3)),0)=0,"",IFERROR(-INDEX(Expenses!D$3:D$1002,SMALL(IF((Expenses!E$3:E$1002="GBP")*(Expenses!A$3:A$1002=DATE(2026,8,17)),ROW(Expenses!A$3:A$1002)-2),3)),0)+IFERROR(INDEX(Income!C$3:C$502,SMALL(IF((Income!D$3:D$502="GBP")*(Income!A$3:A$502=DATE(2026,8,17)),ROW(Income!A$3:A$502)-2),3)),0))</f>
        <v/>
      </c>
      <c r="D171" s="38" t="str">
        <f aca="false">IF(IFERROR(INDEX(Expenses!B$3:B$1002,SMALL(IF((Expenses!E$3:E$1002="GBP")*(Expenses!A$3:A$1002=DATE(2026,8,17)),ROW(Expenses!A$3:A$1002)-2),3)),"")&lt;&gt;"",IFERROR(INDEX(Expenses!B$3:B$1002,SMALL(IF((Expenses!E$3:E$1002="GBP")*(Expenses!A$3:A$1002=DATE(2026,8,17)),ROW(Expenses!A$3:A$1002)-2),3)),""),IF(IFERROR(INDEX(Income!B$3:B$502,SMALL(IF((Income!D$3:D$502="GBP")*(Income!A$3:A$502=DATE(2026,8,17)),ROW(Income!A$3:A$502)-2),3)),"")&lt;&gt;"",IFERROR(INDEX(Income!B$3:B$502,SMALL(IF((Income!D$3:D$502="GBP")*(Income!A$3:A$502=DATE(2026,8,17)),ROW(Income!A$3:A$502)-2),3)),""),""))</f>
        <v/>
      </c>
      <c r="E171" s="62" t="str">
        <f aca="false">IF(IFERROR(-INDEX(Expenses!D$3:D$1002,SMALL(IF((Expenses!E$3:E$1002="GBP")*(Expenses!A$3:A$1002=DATE(2026,8,18)),ROW(Expenses!A$3:A$1002)-2),3)),0)+IFERROR(INDEX(Income!C$3:C$502,SMALL(IF((Income!D$3:D$502="GBP")*(Income!A$3:A$502=DATE(2026,8,18)),ROW(Income!A$3:A$502)-2),3)),0)=0,"",IFERROR(-INDEX(Expenses!D$3:D$1002,SMALL(IF((Expenses!E$3:E$1002="GBP")*(Expenses!A$3:A$1002=DATE(2026,8,18)),ROW(Expenses!A$3:A$1002)-2),3)),0)+IFERROR(INDEX(Income!C$3:C$502,SMALL(IF((Income!D$3:D$502="GBP")*(Income!A$3:A$502=DATE(2026,8,18)),ROW(Income!A$3:A$502)-2),3)),0))</f>
        <v/>
      </c>
      <c r="F171" s="38" t="str">
        <f aca="false">IF(IFERROR(INDEX(Expenses!B$3:B$1002,SMALL(IF((Expenses!E$3:E$1002="GBP")*(Expenses!A$3:A$1002=DATE(2026,8,18)),ROW(Expenses!A$3:A$1002)-2),3)),"")&lt;&gt;"",IFERROR(INDEX(Expenses!B$3:B$1002,SMALL(IF((Expenses!E$3:E$1002="GBP")*(Expenses!A$3:A$1002=DATE(2026,8,18)),ROW(Expenses!A$3:A$1002)-2),3)),""),IF(IFERROR(INDEX(Income!B$3:B$502,SMALL(IF((Income!D$3:D$502="GBP")*(Income!A$3:A$502=DATE(2026,8,18)),ROW(Income!A$3:A$502)-2),3)),"")&lt;&gt;"",IFERROR(INDEX(Income!B$3:B$502,SMALL(IF((Income!D$3:D$502="GBP")*(Income!A$3:A$502=DATE(2026,8,18)),ROW(Income!A$3:A$502)-2),3)),""),""))</f>
        <v/>
      </c>
      <c r="G171" s="62" t="str">
        <f aca="false">IF(IFERROR(-INDEX(Expenses!D$3:D$1002,SMALL(IF((Expenses!E$3:E$1002="GBP")*(Expenses!A$3:A$1002=DATE(2026,8,19)),ROW(Expenses!A$3:A$1002)-2),3)),0)+IFERROR(INDEX(Income!C$3:C$502,SMALL(IF((Income!D$3:D$502="GBP")*(Income!A$3:A$502=DATE(2026,8,19)),ROW(Income!A$3:A$502)-2),3)),0)=0,"",IFERROR(-INDEX(Expenses!D$3:D$1002,SMALL(IF((Expenses!E$3:E$1002="GBP")*(Expenses!A$3:A$1002=DATE(2026,8,19)),ROW(Expenses!A$3:A$1002)-2),3)),0)+IFERROR(INDEX(Income!C$3:C$502,SMALL(IF((Income!D$3:D$502="GBP")*(Income!A$3:A$502=DATE(2026,8,19)),ROW(Income!A$3:A$502)-2),3)),0))</f>
        <v/>
      </c>
      <c r="H171" s="38" t="str">
        <f aca="false">IF(IFERROR(INDEX(Expenses!B$3:B$1002,SMALL(IF((Expenses!E$3:E$1002="GBP")*(Expenses!A$3:A$1002=DATE(2026,8,19)),ROW(Expenses!A$3:A$1002)-2),3)),"")&lt;&gt;"",IFERROR(INDEX(Expenses!B$3:B$1002,SMALL(IF((Expenses!E$3:E$1002="GBP")*(Expenses!A$3:A$1002=DATE(2026,8,19)),ROW(Expenses!A$3:A$1002)-2),3)),""),IF(IFERROR(INDEX(Income!B$3:B$502,SMALL(IF((Income!D$3:D$502="GBP")*(Income!A$3:A$502=DATE(2026,8,19)),ROW(Income!A$3:A$502)-2),3)),"")&lt;&gt;"",IFERROR(INDEX(Income!B$3:B$502,SMALL(IF((Income!D$3:D$502="GBP")*(Income!A$3:A$502=DATE(2026,8,19)),ROW(Income!A$3:A$502)-2),3)),""),""))</f>
        <v/>
      </c>
      <c r="I171" s="62" t="str">
        <f aca="false">IF(IFERROR(-INDEX(Expenses!D$3:D$1002,SMALL(IF((Expenses!E$3:E$1002="GBP")*(Expenses!A$3:A$1002=DATE(2026,8,20)),ROW(Expenses!A$3:A$1002)-2),3)),0)+IFERROR(INDEX(Income!C$3:C$502,SMALL(IF((Income!D$3:D$502="GBP")*(Income!A$3:A$502=DATE(2026,8,20)),ROW(Income!A$3:A$502)-2),3)),0)=0,"",IFERROR(-INDEX(Expenses!D$3:D$1002,SMALL(IF((Expenses!E$3:E$1002="GBP")*(Expenses!A$3:A$1002=DATE(2026,8,20)),ROW(Expenses!A$3:A$1002)-2),3)),0)+IFERROR(INDEX(Income!C$3:C$502,SMALL(IF((Income!D$3:D$502="GBP")*(Income!A$3:A$502=DATE(2026,8,20)),ROW(Income!A$3:A$502)-2),3)),0))</f>
        <v/>
      </c>
      <c r="J171" s="38" t="str">
        <f aca="false">IF(IFERROR(INDEX(Expenses!B$3:B$1002,SMALL(IF((Expenses!E$3:E$1002="GBP")*(Expenses!A$3:A$1002=DATE(2026,8,20)),ROW(Expenses!A$3:A$1002)-2),3)),"")&lt;&gt;"",IFERROR(INDEX(Expenses!B$3:B$1002,SMALL(IF((Expenses!E$3:E$1002="GBP")*(Expenses!A$3:A$1002=DATE(2026,8,20)),ROW(Expenses!A$3:A$1002)-2),3)),""),IF(IFERROR(INDEX(Income!B$3:B$502,SMALL(IF((Income!D$3:D$502="GBP")*(Income!A$3:A$502=DATE(2026,8,20)),ROW(Income!A$3:A$502)-2),3)),"")&lt;&gt;"",IFERROR(INDEX(Income!B$3:B$502,SMALL(IF((Income!D$3:D$502="GBP")*(Income!A$3:A$502=DATE(2026,8,20)),ROW(Income!A$3:A$502)-2),3)),""),""))</f>
        <v/>
      </c>
      <c r="K171" s="62" t="str">
        <f aca="false">IF(IFERROR(-INDEX(Expenses!D$3:D$1002,SMALL(IF((Expenses!E$3:E$1002="GBP")*(Expenses!A$3:A$1002=DATE(2026,8,21)),ROW(Expenses!A$3:A$1002)-2),3)),0)+IFERROR(INDEX(Income!C$3:C$502,SMALL(IF((Income!D$3:D$502="GBP")*(Income!A$3:A$502=DATE(2026,8,21)),ROW(Income!A$3:A$502)-2),3)),0)=0,"",IFERROR(-INDEX(Expenses!D$3:D$1002,SMALL(IF((Expenses!E$3:E$1002="GBP")*(Expenses!A$3:A$1002=DATE(2026,8,21)),ROW(Expenses!A$3:A$1002)-2),3)),0)+IFERROR(INDEX(Income!C$3:C$502,SMALL(IF((Income!D$3:D$502="GBP")*(Income!A$3:A$502=DATE(2026,8,21)),ROW(Income!A$3:A$502)-2),3)),0))</f>
        <v/>
      </c>
      <c r="L171" s="38" t="str">
        <f aca="false">IF(IFERROR(INDEX(Expenses!B$3:B$1002,SMALL(IF((Expenses!E$3:E$1002="GBP")*(Expenses!A$3:A$1002=DATE(2026,8,21)),ROW(Expenses!A$3:A$1002)-2),3)),"")&lt;&gt;"",IFERROR(INDEX(Expenses!B$3:B$1002,SMALL(IF((Expenses!E$3:E$1002="GBP")*(Expenses!A$3:A$1002=DATE(2026,8,21)),ROW(Expenses!A$3:A$1002)-2),3)),""),IF(IFERROR(INDEX(Income!B$3:B$502,SMALL(IF((Income!D$3:D$502="GBP")*(Income!A$3:A$502=DATE(2026,8,21)),ROW(Income!A$3:A$502)-2),3)),"")&lt;&gt;"",IFERROR(INDEX(Income!B$3:B$502,SMALL(IF((Income!D$3:D$502="GBP")*(Income!A$3:A$502=DATE(2026,8,21)),ROW(Income!A$3:A$502)-2),3)),""),""))</f>
        <v/>
      </c>
      <c r="M171" s="62" t="str">
        <f aca="false">IF(IFERROR(-INDEX(Expenses!D$3:D$1002,SMALL(IF((Expenses!E$3:E$1002="GBP")*(Expenses!A$3:A$1002=DATE(2026,8,22)),ROW(Expenses!A$3:A$1002)-2),3)),0)+IFERROR(INDEX(Income!C$3:C$502,SMALL(IF((Income!D$3:D$502="GBP")*(Income!A$3:A$502=DATE(2026,8,22)),ROW(Income!A$3:A$502)-2),3)),0)=0,"",IFERROR(-INDEX(Expenses!D$3:D$1002,SMALL(IF((Expenses!E$3:E$1002="GBP")*(Expenses!A$3:A$1002=DATE(2026,8,22)),ROW(Expenses!A$3:A$1002)-2),3)),0)+IFERROR(INDEX(Income!C$3:C$502,SMALL(IF((Income!D$3:D$502="GBP")*(Income!A$3:A$502=DATE(2026,8,22)),ROW(Income!A$3:A$502)-2),3)),0))</f>
        <v/>
      </c>
      <c r="N171" s="38" t="str">
        <f aca="false">IF(IFERROR(INDEX(Expenses!B$3:B$1002,SMALL(IF((Expenses!E$3:E$1002="GBP")*(Expenses!A$3:A$1002=DATE(2026,8,22)),ROW(Expenses!A$3:A$1002)-2),3)),"")&lt;&gt;"",IFERROR(INDEX(Expenses!B$3:B$1002,SMALL(IF((Expenses!E$3:E$1002="GBP")*(Expenses!A$3:A$1002=DATE(2026,8,22)),ROW(Expenses!A$3:A$1002)-2),3)),""),IF(IFERROR(INDEX(Income!B$3:B$502,SMALL(IF((Income!D$3:D$502="GBP")*(Income!A$3:A$502=DATE(2026,8,22)),ROW(Income!A$3:A$502)-2),3)),"")&lt;&gt;"",IFERROR(INDEX(Income!B$3:B$502,SMALL(IF((Income!D$3:D$502="GBP")*(Income!A$3:A$502=DATE(2026,8,22)),ROW(Income!A$3:A$502)-2),3)),""),""))</f>
        <v/>
      </c>
      <c r="O171" s="62" t="str">
        <f aca="false">IF(IFERROR(-INDEX(Expenses!D$3:D$1002,SMALL(IF((Expenses!E$3:E$1002="GBP")*(Expenses!A$3:A$1002=DATE(2026,8,23)),ROW(Expenses!A$3:A$1002)-2),3)),0)+IFERROR(INDEX(Income!C$3:C$502,SMALL(IF((Income!D$3:D$502="GBP")*(Income!A$3:A$502=DATE(2026,8,23)),ROW(Income!A$3:A$502)-2),3)),0)=0,"",IFERROR(-INDEX(Expenses!D$3:D$1002,SMALL(IF((Expenses!E$3:E$1002="GBP")*(Expenses!A$3:A$1002=DATE(2026,8,23)),ROW(Expenses!A$3:A$1002)-2),3)),0)+IFERROR(INDEX(Income!C$3:C$502,SMALL(IF((Income!D$3:D$502="GBP")*(Income!A$3:A$502=DATE(2026,8,23)),ROW(Income!A$3:A$502)-2),3)),0))</f>
        <v/>
      </c>
      <c r="P171" s="38" t="str">
        <f aca="false">IF(IFERROR(INDEX(Expenses!B$3:B$1002,SMALL(IF((Expenses!E$3:E$1002="GBP")*(Expenses!A$3:A$1002=DATE(2026,8,23)),ROW(Expenses!A$3:A$1002)-2),3)),"")&lt;&gt;"",IFERROR(INDEX(Expenses!B$3:B$1002,SMALL(IF((Expenses!E$3:E$1002="GBP")*(Expenses!A$3:A$1002=DATE(2026,8,23)),ROW(Expenses!A$3:A$1002)-2),3)),""),IF(IFERROR(INDEX(Income!B$3:B$502,SMALL(IF((Income!D$3:D$502="GBP")*(Income!A$3:A$502=DATE(2026,8,23)),ROW(Income!A$3:A$502)-2),3)),"")&lt;&gt;"",IFERROR(INDEX(Income!B$3:B$502,SMALL(IF((Income!D$3:D$502="GBP")*(Income!A$3:A$502=DATE(2026,8,23)),ROW(Income!A$3:A$502)-2),3)),""),""))</f>
        <v/>
      </c>
      <c r="Q171" s="16"/>
      <c r="R171" s="16"/>
    </row>
    <row r="172" customFormat="false" ht="15" hidden="false" customHeight="false" outlineLevel="0" collapsed="false">
      <c r="A172" s="16"/>
      <c r="B172" s="16"/>
      <c r="C172" s="62" t="str">
        <f aca="false">IF(IFERROR(-INDEX(Expenses!D$3:D$1002,SMALL(IF((Expenses!E$3:E$1002="GBP")*(Expenses!A$3:A$1002=DATE(2026,8,17)),ROW(Expenses!A$3:A$1002)-2),4)),0)+IFERROR(INDEX(Income!C$3:C$502,SMALL(IF((Income!D$3:D$502="GBP")*(Income!A$3:A$502=DATE(2026,8,17)),ROW(Income!A$3:A$502)-2),4)),0)=0,"",IFERROR(-INDEX(Expenses!D$3:D$1002,SMALL(IF((Expenses!E$3:E$1002="GBP")*(Expenses!A$3:A$1002=DATE(2026,8,17)),ROW(Expenses!A$3:A$1002)-2),4)),0)+IFERROR(INDEX(Income!C$3:C$502,SMALL(IF((Income!D$3:D$502="GBP")*(Income!A$3:A$502=DATE(2026,8,17)),ROW(Income!A$3:A$502)-2),4)),0))</f>
        <v/>
      </c>
      <c r="D172" s="38" t="str">
        <f aca="false">IF(IFERROR(INDEX(Expenses!B$3:B$1002,SMALL(IF((Expenses!E$3:E$1002="GBP")*(Expenses!A$3:A$1002=DATE(2026,8,17)),ROW(Expenses!A$3:A$1002)-2),4)),"")&lt;&gt;"",IFERROR(INDEX(Expenses!B$3:B$1002,SMALL(IF((Expenses!E$3:E$1002="GBP")*(Expenses!A$3:A$1002=DATE(2026,8,17)),ROW(Expenses!A$3:A$1002)-2),4)),""),IF(IFERROR(INDEX(Income!B$3:B$502,SMALL(IF((Income!D$3:D$502="GBP")*(Income!A$3:A$502=DATE(2026,8,17)),ROW(Income!A$3:A$502)-2),4)),"")&lt;&gt;"",IFERROR(INDEX(Income!B$3:B$502,SMALL(IF((Income!D$3:D$502="GBP")*(Income!A$3:A$502=DATE(2026,8,17)),ROW(Income!A$3:A$502)-2),4)),""),""))</f>
        <v/>
      </c>
      <c r="E172" s="62" t="str">
        <f aca="false">IF(IFERROR(-INDEX(Expenses!D$3:D$1002,SMALL(IF((Expenses!E$3:E$1002="GBP")*(Expenses!A$3:A$1002=DATE(2026,8,18)),ROW(Expenses!A$3:A$1002)-2),4)),0)+IFERROR(INDEX(Income!C$3:C$502,SMALL(IF((Income!D$3:D$502="GBP")*(Income!A$3:A$502=DATE(2026,8,18)),ROW(Income!A$3:A$502)-2),4)),0)=0,"",IFERROR(-INDEX(Expenses!D$3:D$1002,SMALL(IF((Expenses!E$3:E$1002="GBP")*(Expenses!A$3:A$1002=DATE(2026,8,18)),ROW(Expenses!A$3:A$1002)-2),4)),0)+IFERROR(INDEX(Income!C$3:C$502,SMALL(IF((Income!D$3:D$502="GBP")*(Income!A$3:A$502=DATE(2026,8,18)),ROW(Income!A$3:A$502)-2),4)),0))</f>
        <v/>
      </c>
      <c r="F172" s="38" t="str">
        <f aca="false">IF(IFERROR(INDEX(Expenses!B$3:B$1002,SMALL(IF((Expenses!E$3:E$1002="GBP")*(Expenses!A$3:A$1002=DATE(2026,8,18)),ROW(Expenses!A$3:A$1002)-2),4)),"")&lt;&gt;"",IFERROR(INDEX(Expenses!B$3:B$1002,SMALL(IF((Expenses!E$3:E$1002="GBP")*(Expenses!A$3:A$1002=DATE(2026,8,18)),ROW(Expenses!A$3:A$1002)-2),4)),""),IF(IFERROR(INDEX(Income!B$3:B$502,SMALL(IF((Income!D$3:D$502="GBP")*(Income!A$3:A$502=DATE(2026,8,18)),ROW(Income!A$3:A$502)-2),4)),"")&lt;&gt;"",IFERROR(INDEX(Income!B$3:B$502,SMALL(IF((Income!D$3:D$502="GBP")*(Income!A$3:A$502=DATE(2026,8,18)),ROW(Income!A$3:A$502)-2),4)),""),""))</f>
        <v/>
      </c>
      <c r="G172" s="62" t="str">
        <f aca="false">IF(IFERROR(-INDEX(Expenses!D$3:D$1002,SMALL(IF((Expenses!E$3:E$1002="GBP")*(Expenses!A$3:A$1002=DATE(2026,8,19)),ROW(Expenses!A$3:A$1002)-2),4)),0)+IFERROR(INDEX(Income!C$3:C$502,SMALL(IF((Income!D$3:D$502="GBP")*(Income!A$3:A$502=DATE(2026,8,19)),ROW(Income!A$3:A$502)-2),4)),0)=0,"",IFERROR(-INDEX(Expenses!D$3:D$1002,SMALL(IF((Expenses!E$3:E$1002="GBP")*(Expenses!A$3:A$1002=DATE(2026,8,19)),ROW(Expenses!A$3:A$1002)-2),4)),0)+IFERROR(INDEX(Income!C$3:C$502,SMALL(IF((Income!D$3:D$502="GBP")*(Income!A$3:A$502=DATE(2026,8,19)),ROW(Income!A$3:A$502)-2),4)),0))</f>
        <v/>
      </c>
      <c r="H172" s="38" t="str">
        <f aca="false">IF(IFERROR(INDEX(Expenses!B$3:B$1002,SMALL(IF((Expenses!E$3:E$1002="GBP")*(Expenses!A$3:A$1002=DATE(2026,8,19)),ROW(Expenses!A$3:A$1002)-2),4)),"")&lt;&gt;"",IFERROR(INDEX(Expenses!B$3:B$1002,SMALL(IF((Expenses!E$3:E$1002="GBP")*(Expenses!A$3:A$1002=DATE(2026,8,19)),ROW(Expenses!A$3:A$1002)-2),4)),""),IF(IFERROR(INDEX(Income!B$3:B$502,SMALL(IF((Income!D$3:D$502="GBP")*(Income!A$3:A$502=DATE(2026,8,19)),ROW(Income!A$3:A$502)-2),4)),"")&lt;&gt;"",IFERROR(INDEX(Income!B$3:B$502,SMALL(IF((Income!D$3:D$502="GBP")*(Income!A$3:A$502=DATE(2026,8,19)),ROW(Income!A$3:A$502)-2),4)),""),""))</f>
        <v/>
      </c>
      <c r="I172" s="62" t="str">
        <f aca="false">IF(IFERROR(-INDEX(Expenses!D$3:D$1002,SMALL(IF((Expenses!E$3:E$1002="GBP")*(Expenses!A$3:A$1002=DATE(2026,8,20)),ROW(Expenses!A$3:A$1002)-2),4)),0)+IFERROR(INDEX(Income!C$3:C$502,SMALL(IF((Income!D$3:D$502="GBP")*(Income!A$3:A$502=DATE(2026,8,20)),ROW(Income!A$3:A$502)-2),4)),0)=0,"",IFERROR(-INDEX(Expenses!D$3:D$1002,SMALL(IF((Expenses!E$3:E$1002="GBP")*(Expenses!A$3:A$1002=DATE(2026,8,20)),ROW(Expenses!A$3:A$1002)-2),4)),0)+IFERROR(INDEX(Income!C$3:C$502,SMALL(IF((Income!D$3:D$502="GBP")*(Income!A$3:A$502=DATE(2026,8,20)),ROW(Income!A$3:A$502)-2),4)),0))</f>
        <v/>
      </c>
      <c r="J172" s="38" t="str">
        <f aca="false">IF(IFERROR(INDEX(Expenses!B$3:B$1002,SMALL(IF((Expenses!E$3:E$1002="GBP")*(Expenses!A$3:A$1002=DATE(2026,8,20)),ROW(Expenses!A$3:A$1002)-2),4)),"")&lt;&gt;"",IFERROR(INDEX(Expenses!B$3:B$1002,SMALL(IF((Expenses!E$3:E$1002="GBP")*(Expenses!A$3:A$1002=DATE(2026,8,20)),ROW(Expenses!A$3:A$1002)-2),4)),""),IF(IFERROR(INDEX(Income!B$3:B$502,SMALL(IF((Income!D$3:D$502="GBP")*(Income!A$3:A$502=DATE(2026,8,20)),ROW(Income!A$3:A$502)-2),4)),"")&lt;&gt;"",IFERROR(INDEX(Income!B$3:B$502,SMALL(IF((Income!D$3:D$502="GBP")*(Income!A$3:A$502=DATE(2026,8,20)),ROW(Income!A$3:A$502)-2),4)),""),""))</f>
        <v/>
      </c>
      <c r="K172" s="62" t="str">
        <f aca="false">IF(IFERROR(-INDEX(Expenses!D$3:D$1002,SMALL(IF((Expenses!E$3:E$1002="GBP")*(Expenses!A$3:A$1002=DATE(2026,8,21)),ROW(Expenses!A$3:A$1002)-2),4)),0)+IFERROR(INDEX(Income!C$3:C$502,SMALL(IF((Income!D$3:D$502="GBP")*(Income!A$3:A$502=DATE(2026,8,21)),ROW(Income!A$3:A$502)-2),4)),0)=0,"",IFERROR(-INDEX(Expenses!D$3:D$1002,SMALL(IF((Expenses!E$3:E$1002="GBP")*(Expenses!A$3:A$1002=DATE(2026,8,21)),ROW(Expenses!A$3:A$1002)-2),4)),0)+IFERROR(INDEX(Income!C$3:C$502,SMALL(IF((Income!D$3:D$502="GBP")*(Income!A$3:A$502=DATE(2026,8,21)),ROW(Income!A$3:A$502)-2),4)),0))</f>
        <v/>
      </c>
      <c r="L172" s="38" t="str">
        <f aca="false">IF(IFERROR(INDEX(Expenses!B$3:B$1002,SMALL(IF((Expenses!E$3:E$1002="GBP")*(Expenses!A$3:A$1002=DATE(2026,8,21)),ROW(Expenses!A$3:A$1002)-2),4)),"")&lt;&gt;"",IFERROR(INDEX(Expenses!B$3:B$1002,SMALL(IF((Expenses!E$3:E$1002="GBP")*(Expenses!A$3:A$1002=DATE(2026,8,21)),ROW(Expenses!A$3:A$1002)-2),4)),""),IF(IFERROR(INDEX(Income!B$3:B$502,SMALL(IF((Income!D$3:D$502="GBP")*(Income!A$3:A$502=DATE(2026,8,21)),ROW(Income!A$3:A$502)-2),4)),"")&lt;&gt;"",IFERROR(INDEX(Income!B$3:B$502,SMALL(IF((Income!D$3:D$502="GBP")*(Income!A$3:A$502=DATE(2026,8,21)),ROW(Income!A$3:A$502)-2),4)),""),""))</f>
        <v/>
      </c>
      <c r="M172" s="62" t="str">
        <f aca="false">IF(IFERROR(-INDEX(Expenses!D$3:D$1002,SMALL(IF((Expenses!E$3:E$1002="GBP")*(Expenses!A$3:A$1002=DATE(2026,8,22)),ROW(Expenses!A$3:A$1002)-2),4)),0)+IFERROR(INDEX(Income!C$3:C$502,SMALL(IF((Income!D$3:D$502="GBP")*(Income!A$3:A$502=DATE(2026,8,22)),ROW(Income!A$3:A$502)-2),4)),0)=0,"",IFERROR(-INDEX(Expenses!D$3:D$1002,SMALL(IF((Expenses!E$3:E$1002="GBP")*(Expenses!A$3:A$1002=DATE(2026,8,22)),ROW(Expenses!A$3:A$1002)-2),4)),0)+IFERROR(INDEX(Income!C$3:C$502,SMALL(IF((Income!D$3:D$502="GBP")*(Income!A$3:A$502=DATE(2026,8,22)),ROW(Income!A$3:A$502)-2),4)),0))</f>
        <v/>
      </c>
      <c r="N172" s="38" t="str">
        <f aca="false">IF(IFERROR(INDEX(Expenses!B$3:B$1002,SMALL(IF((Expenses!E$3:E$1002="GBP")*(Expenses!A$3:A$1002=DATE(2026,8,22)),ROW(Expenses!A$3:A$1002)-2),4)),"")&lt;&gt;"",IFERROR(INDEX(Expenses!B$3:B$1002,SMALL(IF((Expenses!E$3:E$1002="GBP")*(Expenses!A$3:A$1002=DATE(2026,8,22)),ROW(Expenses!A$3:A$1002)-2),4)),""),IF(IFERROR(INDEX(Income!B$3:B$502,SMALL(IF((Income!D$3:D$502="GBP")*(Income!A$3:A$502=DATE(2026,8,22)),ROW(Income!A$3:A$502)-2),4)),"")&lt;&gt;"",IFERROR(INDEX(Income!B$3:B$502,SMALL(IF((Income!D$3:D$502="GBP")*(Income!A$3:A$502=DATE(2026,8,22)),ROW(Income!A$3:A$502)-2),4)),""),""))</f>
        <v/>
      </c>
      <c r="O172" s="62" t="str">
        <f aca="false">IF(IFERROR(-INDEX(Expenses!D$3:D$1002,SMALL(IF((Expenses!E$3:E$1002="GBP")*(Expenses!A$3:A$1002=DATE(2026,8,23)),ROW(Expenses!A$3:A$1002)-2),4)),0)+IFERROR(INDEX(Income!C$3:C$502,SMALL(IF((Income!D$3:D$502="GBP")*(Income!A$3:A$502=DATE(2026,8,23)),ROW(Income!A$3:A$502)-2),4)),0)=0,"",IFERROR(-INDEX(Expenses!D$3:D$1002,SMALL(IF((Expenses!E$3:E$1002="GBP")*(Expenses!A$3:A$1002=DATE(2026,8,23)),ROW(Expenses!A$3:A$1002)-2),4)),0)+IFERROR(INDEX(Income!C$3:C$502,SMALL(IF((Income!D$3:D$502="GBP")*(Income!A$3:A$502=DATE(2026,8,23)),ROW(Income!A$3:A$502)-2),4)),0))</f>
        <v/>
      </c>
      <c r="P172" s="38" t="str">
        <f aca="false">IF(IFERROR(INDEX(Expenses!B$3:B$1002,SMALL(IF((Expenses!E$3:E$1002="GBP")*(Expenses!A$3:A$1002=DATE(2026,8,23)),ROW(Expenses!A$3:A$1002)-2),4)),"")&lt;&gt;"",IFERROR(INDEX(Expenses!B$3:B$1002,SMALL(IF((Expenses!E$3:E$1002="GBP")*(Expenses!A$3:A$1002=DATE(2026,8,23)),ROW(Expenses!A$3:A$1002)-2),4)),""),IF(IFERROR(INDEX(Income!B$3:B$502,SMALL(IF((Income!D$3:D$502="GBP")*(Income!A$3:A$502=DATE(2026,8,23)),ROW(Income!A$3:A$502)-2),4)),"")&lt;&gt;"",IFERROR(INDEX(Income!B$3:B$502,SMALL(IF((Income!D$3:D$502="GBP")*(Income!A$3:A$502=DATE(2026,8,23)),ROW(Income!A$3:A$502)-2),4)),""),""))</f>
        <v/>
      </c>
      <c r="Q172" s="16"/>
      <c r="R172" s="16"/>
    </row>
    <row r="173" customFormat="false" ht="15" hidden="false" customHeight="false" outlineLevel="0" collapsed="false">
      <c r="A173" s="16"/>
      <c r="B173" s="16"/>
      <c r="C173" s="62" t="str">
        <f aca="false">IF(IFERROR(-INDEX(Expenses!D$3:D$1002,SMALL(IF((Expenses!E$3:E$1002="GBP")*(Expenses!A$3:A$1002=DATE(2026,8,17)),ROW(Expenses!A$3:A$1002)-2),5)),0)+IFERROR(INDEX(Income!C$3:C$502,SMALL(IF((Income!D$3:D$502="GBP")*(Income!A$3:A$502=DATE(2026,8,17)),ROW(Income!A$3:A$502)-2),5)),0)=0,"",IFERROR(-INDEX(Expenses!D$3:D$1002,SMALL(IF((Expenses!E$3:E$1002="GBP")*(Expenses!A$3:A$1002=DATE(2026,8,17)),ROW(Expenses!A$3:A$1002)-2),5)),0)+IFERROR(INDEX(Income!C$3:C$502,SMALL(IF((Income!D$3:D$502="GBP")*(Income!A$3:A$502=DATE(2026,8,17)),ROW(Income!A$3:A$502)-2),5)),0))</f>
        <v/>
      </c>
      <c r="D173" s="38" t="str">
        <f aca="false">IF(IFERROR(INDEX(Expenses!B$3:B$1002,SMALL(IF((Expenses!E$3:E$1002="GBP")*(Expenses!A$3:A$1002=DATE(2026,8,17)),ROW(Expenses!A$3:A$1002)-2),5)),"")&lt;&gt;"",IFERROR(INDEX(Expenses!B$3:B$1002,SMALL(IF((Expenses!E$3:E$1002="GBP")*(Expenses!A$3:A$1002=DATE(2026,8,17)),ROW(Expenses!A$3:A$1002)-2),5)),""),IF(IFERROR(INDEX(Income!B$3:B$502,SMALL(IF((Income!D$3:D$502="GBP")*(Income!A$3:A$502=DATE(2026,8,17)),ROW(Income!A$3:A$502)-2),5)),"")&lt;&gt;"",IFERROR(INDEX(Income!B$3:B$502,SMALL(IF((Income!D$3:D$502="GBP")*(Income!A$3:A$502=DATE(2026,8,17)),ROW(Income!A$3:A$502)-2),5)),""),""))</f>
        <v/>
      </c>
      <c r="E173" s="62" t="str">
        <f aca="false">IF(IFERROR(-INDEX(Expenses!D$3:D$1002,SMALL(IF((Expenses!E$3:E$1002="GBP")*(Expenses!A$3:A$1002=DATE(2026,8,18)),ROW(Expenses!A$3:A$1002)-2),5)),0)+IFERROR(INDEX(Income!C$3:C$502,SMALL(IF((Income!D$3:D$502="GBP")*(Income!A$3:A$502=DATE(2026,8,18)),ROW(Income!A$3:A$502)-2),5)),0)=0,"",IFERROR(-INDEX(Expenses!D$3:D$1002,SMALL(IF((Expenses!E$3:E$1002="GBP")*(Expenses!A$3:A$1002=DATE(2026,8,18)),ROW(Expenses!A$3:A$1002)-2),5)),0)+IFERROR(INDEX(Income!C$3:C$502,SMALL(IF((Income!D$3:D$502="GBP")*(Income!A$3:A$502=DATE(2026,8,18)),ROW(Income!A$3:A$502)-2),5)),0))</f>
        <v/>
      </c>
      <c r="F173" s="38" t="str">
        <f aca="false">IF(IFERROR(INDEX(Expenses!B$3:B$1002,SMALL(IF((Expenses!E$3:E$1002="GBP")*(Expenses!A$3:A$1002=DATE(2026,8,18)),ROW(Expenses!A$3:A$1002)-2),5)),"")&lt;&gt;"",IFERROR(INDEX(Expenses!B$3:B$1002,SMALL(IF((Expenses!E$3:E$1002="GBP")*(Expenses!A$3:A$1002=DATE(2026,8,18)),ROW(Expenses!A$3:A$1002)-2),5)),""),IF(IFERROR(INDEX(Income!B$3:B$502,SMALL(IF((Income!D$3:D$502="GBP")*(Income!A$3:A$502=DATE(2026,8,18)),ROW(Income!A$3:A$502)-2),5)),"")&lt;&gt;"",IFERROR(INDEX(Income!B$3:B$502,SMALL(IF((Income!D$3:D$502="GBP")*(Income!A$3:A$502=DATE(2026,8,18)),ROW(Income!A$3:A$502)-2),5)),""),""))</f>
        <v/>
      </c>
      <c r="G173" s="62" t="str">
        <f aca="false">IF(IFERROR(-INDEX(Expenses!D$3:D$1002,SMALL(IF((Expenses!E$3:E$1002="GBP")*(Expenses!A$3:A$1002=DATE(2026,8,19)),ROW(Expenses!A$3:A$1002)-2),5)),0)+IFERROR(INDEX(Income!C$3:C$502,SMALL(IF((Income!D$3:D$502="GBP")*(Income!A$3:A$502=DATE(2026,8,19)),ROW(Income!A$3:A$502)-2),5)),0)=0,"",IFERROR(-INDEX(Expenses!D$3:D$1002,SMALL(IF((Expenses!E$3:E$1002="GBP")*(Expenses!A$3:A$1002=DATE(2026,8,19)),ROW(Expenses!A$3:A$1002)-2),5)),0)+IFERROR(INDEX(Income!C$3:C$502,SMALL(IF((Income!D$3:D$502="GBP")*(Income!A$3:A$502=DATE(2026,8,19)),ROW(Income!A$3:A$502)-2),5)),0))</f>
        <v/>
      </c>
      <c r="H173" s="38" t="str">
        <f aca="false">IF(IFERROR(INDEX(Expenses!B$3:B$1002,SMALL(IF((Expenses!E$3:E$1002="GBP")*(Expenses!A$3:A$1002=DATE(2026,8,19)),ROW(Expenses!A$3:A$1002)-2),5)),"")&lt;&gt;"",IFERROR(INDEX(Expenses!B$3:B$1002,SMALL(IF((Expenses!E$3:E$1002="GBP")*(Expenses!A$3:A$1002=DATE(2026,8,19)),ROW(Expenses!A$3:A$1002)-2),5)),""),IF(IFERROR(INDEX(Income!B$3:B$502,SMALL(IF((Income!D$3:D$502="GBP")*(Income!A$3:A$502=DATE(2026,8,19)),ROW(Income!A$3:A$502)-2),5)),"")&lt;&gt;"",IFERROR(INDEX(Income!B$3:B$502,SMALL(IF((Income!D$3:D$502="GBP")*(Income!A$3:A$502=DATE(2026,8,19)),ROW(Income!A$3:A$502)-2),5)),""),""))</f>
        <v/>
      </c>
      <c r="I173" s="62" t="str">
        <f aca="false">IF(IFERROR(-INDEX(Expenses!D$3:D$1002,SMALL(IF((Expenses!E$3:E$1002="GBP")*(Expenses!A$3:A$1002=DATE(2026,8,20)),ROW(Expenses!A$3:A$1002)-2),5)),0)+IFERROR(INDEX(Income!C$3:C$502,SMALL(IF((Income!D$3:D$502="GBP")*(Income!A$3:A$502=DATE(2026,8,20)),ROW(Income!A$3:A$502)-2),5)),0)=0,"",IFERROR(-INDEX(Expenses!D$3:D$1002,SMALL(IF((Expenses!E$3:E$1002="GBP")*(Expenses!A$3:A$1002=DATE(2026,8,20)),ROW(Expenses!A$3:A$1002)-2),5)),0)+IFERROR(INDEX(Income!C$3:C$502,SMALL(IF((Income!D$3:D$502="GBP")*(Income!A$3:A$502=DATE(2026,8,20)),ROW(Income!A$3:A$502)-2),5)),0))</f>
        <v/>
      </c>
      <c r="J173" s="38" t="str">
        <f aca="false">IF(IFERROR(INDEX(Expenses!B$3:B$1002,SMALL(IF((Expenses!E$3:E$1002="GBP")*(Expenses!A$3:A$1002=DATE(2026,8,20)),ROW(Expenses!A$3:A$1002)-2),5)),"")&lt;&gt;"",IFERROR(INDEX(Expenses!B$3:B$1002,SMALL(IF((Expenses!E$3:E$1002="GBP")*(Expenses!A$3:A$1002=DATE(2026,8,20)),ROW(Expenses!A$3:A$1002)-2),5)),""),IF(IFERROR(INDEX(Income!B$3:B$502,SMALL(IF((Income!D$3:D$502="GBP")*(Income!A$3:A$502=DATE(2026,8,20)),ROW(Income!A$3:A$502)-2),5)),"")&lt;&gt;"",IFERROR(INDEX(Income!B$3:B$502,SMALL(IF((Income!D$3:D$502="GBP")*(Income!A$3:A$502=DATE(2026,8,20)),ROW(Income!A$3:A$502)-2),5)),""),""))</f>
        <v/>
      </c>
      <c r="K173" s="62" t="str">
        <f aca="false">IF(IFERROR(-INDEX(Expenses!D$3:D$1002,SMALL(IF((Expenses!E$3:E$1002="GBP")*(Expenses!A$3:A$1002=DATE(2026,8,21)),ROW(Expenses!A$3:A$1002)-2),5)),0)+IFERROR(INDEX(Income!C$3:C$502,SMALL(IF((Income!D$3:D$502="GBP")*(Income!A$3:A$502=DATE(2026,8,21)),ROW(Income!A$3:A$502)-2),5)),0)=0,"",IFERROR(-INDEX(Expenses!D$3:D$1002,SMALL(IF((Expenses!E$3:E$1002="GBP")*(Expenses!A$3:A$1002=DATE(2026,8,21)),ROW(Expenses!A$3:A$1002)-2),5)),0)+IFERROR(INDEX(Income!C$3:C$502,SMALL(IF((Income!D$3:D$502="GBP")*(Income!A$3:A$502=DATE(2026,8,21)),ROW(Income!A$3:A$502)-2),5)),0))</f>
        <v/>
      </c>
      <c r="L173" s="38" t="str">
        <f aca="false">IF(IFERROR(INDEX(Expenses!B$3:B$1002,SMALL(IF((Expenses!E$3:E$1002="GBP")*(Expenses!A$3:A$1002=DATE(2026,8,21)),ROW(Expenses!A$3:A$1002)-2),5)),"")&lt;&gt;"",IFERROR(INDEX(Expenses!B$3:B$1002,SMALL(IF((Expenses!E$3:E$1002="GBP")*(Expenses!A$3:A$1002=DATE(2026,8,21)),ROW(Expenses!A$3:A$1002)-2),5)),""),IF(IFERROR(INDEX(Income!B$3:B$502,SMALL(IF((Income!D$3:D$502="GBP")*(Income!A$3:A$502=DATE(2026,8,21)),ROW(Income!A$3:A$502)-2),5)),"")&lt;&gt;"",IFERROR(INDEX(Income!B$3:B$502,SMALL(IF((Income!D$3:D$502="GBP")*(Income!A$3:A$502=DATE(2026,8,21)),ROW(Income!A$3:A$502)-2),5)),""),""))</f>
        <v/>
      </c>
      <c r="M173" s="62" t="str">
        <f aca="false">IF(IFERROR(-INDEX(Expenses!D$3:D$1002,SMALL(IF((Expenses!E$3:E$1002="GBP")*(Expenses!A$3:A$1002=DATE(2026,8,22)),ROW(Expenses!A$3:A$1002)-2),5)),0)+IFERROR(INDEX(Income!C$3:C$502,SMALL(IF((Income!D$3:D$502="GBP")*(Income!A$3:A$502=DATE(2026,8,22)),ROW(Income!A$3:A$502)-2),5)),0)=0,"",IFERROR(-INDEX(Expenses!D$3:D$1002,SMALL(IF((Expenses!E$3:E$1002="GBP")*(Expenses!A$3:A$1002=DATE(2026,8,22)),ROW(Expenses!A$3:A$1002)-2),5)),0)+IFERROR(INDEX(Income!C$3:C$502,SMALL(IF((Income!D$3:D$502="GBP")*(Income!A$3:A$502=DATE(2026,8,22)),ROW(Income!A$3:A$502)-2),5)),0))</f>
        <v/>
      </c>
      <c r="N173" s="38" t="str">
        <f aca="false">IF(IFERROR(INDEX(Expenses!B$3:B$1002,SMALL(IF((Expenses!E$3:E$1002="GBP")*(Expenses!A$3:A$1002=DATE(2026,8,22)),ROW(Expenses!A$3:A$1002)-2),5)),"")&lt;&gt;"",IFERROR(INDEX(Expenses!B$3:B$1002,SMALL(IF((Expenses!E$3:E$1002="GBP")*(Expenses!A$3:A$1002=DATE(2026,8,22)),ROW(Expenses!A$3:A$1002)-2),5)),""),IF(IFERROR(INDEX(Income!B$3:B$502,SMALL(IF((Income!D$3:D$502="GBP")*(Income!A$3:A$502=DATE(2026,8,22)),ROW(Income!A$3:A$502)-2),5)),"")&lt;&gt;"",IFERROR(INDEX(Income!B$3:B$502,SMALL(IF((Income!D$3:D$502="GBP")*(Income!A$3:A$502=DATE(2026,8,22)),ROW(Income!A$3:A$502)-2),5)),""),""))</f>
        <v/>
      </c>
      <c r="O173" s="62" t="str">
        <f aca="false">IF(IFERROR(-INDEX(Expenses!D$3:D$1002,SMALL(IF((Expenses!E$3:E$1002="GBP")*(Expenses!A$3:A$1002=DATE(2026,8,23)),ROW(Expenses!A$3:A$1002)-2),5)),0)+IFERROR(INDEX(Income!C$3:C$502,SMALL(IF((Income!D$3:D$502="GBP")*(Income!A$3:A$502=DATE(2026,8,23)),ROW(Income!A$3:A$502)-2),5)),0)=0,"",IFERROR(-INDEX(Expenses!D$3:D$1002,SMALL(IF((Expenses!E$3:E$1002="GBP")*(Expenses!A$3:A$1002=DATE(2026,8,23)),ROW(Expenses!A$3:A$1002)-2),5)),0)+IFERROR(INDEX(Income!C$3:C$502,SMALL(IF((Income!D$3:D$502="GBP")*(Income!A$3:A$502=DATE(2026,8,23)),ROW(Income!A$3:A$502)-2),5)),0))</f>
        <v/>
      </c>
      <c r="P173" s="38" t="str">
        <f aca="false">IF(IFERROR(INDEX(Expenses!B$3:B$1002,SMALL(IF((Expenses!E$3:E$1002="GBP")*(Expenses!A$3:A$1002=DATE(2026,8,23)),ROW(Expenses!A$3:A$1002)-2),5)),"")&lt;&gt;"",IFERROR(INDEX(Expenses!B$3:B$1002,SMALL(IF((Expenses!E$3:E$1002="GBP")*(Expenses!A$3:A$1002=DATE(2026,8,23)),ROW(Expenses!A$3:A$1002)-2),5)),""),IF(IFERROR(INDEX(Income!B$3:B$502,SMALL(IF((Income!D$3:D$502="GBP")*(Income!A$3:A$502=DATE(2026,8,23)),ROW(Income!A$3:A$502)-2),5)),"")&lt;&gt;"",IFERROR(INDEX(Income!B$3:B$502,SMALL(IF((Income!D$3:D$502="GBP")*(Income!A$3:A$502=DATE(2026,8,23)),ROW(Income!A$3:A$502)-2),5)),""),""))</f>
        <v/>
      </c>
      <c r="Q173" s="16"/>
      <c r="R173" s="16"/>
    </row>
    <row r="174" customFormat="false" ht="15" hidden="false" customHeight="false" outlineLevel="0" collapsed="false">
      <c r="A174" s="61" t="n">
        <v>46258</v>
      </c>
      <c r="B174" s="3" t="n">
        <v>35</v>
      </c>
      <c r="C174" s="62" t="str">
        <f aca="false">IF(IFERROR(-INDEX(Expenses!D$3:D$1002,SMALL(IF((Expenses!E$3:E$1002="GBP")*(Expenses!A$3:A$1002=DATE(2026,8,24)),ROW(Expenses!A$3:A$1002)-2),1)),0)+IFERROR(INDEX(Income!C$3:C$502,SMALL(IF((Income!D$3:D$502="GBP")*(Income!A$3:A$502=DATE(2026,8,24)),ROW(Income!A$3:A$502)-2),1)),0)=0,"",IFERROR(-INDEX(Expenses!D$3:D$1002,SMALL(IF((Expenses!E$3:E$1002="GBP")*(Expenses!A$3:A$1002=DATE(2026,8,24)),ROW(Expenses!A$3:A$1002)-2),1)),0)+IFERROR(INDEX(Income!C$3:C$502,SMALL(IF((Income!D$3:D$502="GBP")*(Income!A$3:A$502=DATE(2026,8,24)),ROW(Income!A$3:A$502)-2),1)),0))</f>
        <v/>
      </c>
      <c r="D174" s="38" t="str">
        <f aca="false">IF(IFERROR(INDEX(Expenses!B$3:B$1002,SMALL(IF((Expenses!E$3:E$1002="GBP")*(Expenses!A$3:A$1002=DATE(2026,8,24)),ROW(Expenses!A$3:A$1002)-2),1)),"")&lt;&gt;"",IFERROR(INDEX(Expenses!B$3:B$1002,SMALL(IF((Expenses!E$3:E$1002="GBP")*(Expenses!A$3:A$1002=DATE(2026,8,24)),ROW(Expenses!A$3:A$1002)-2),1)),""),IF(IFERROR(INDEX(Income!B$3:B$502,SMALL(IF((Income!D$3:D$502="GBP")*(Income!A$3:A$502=DATE(2026,8,24)),ROW(Income!A$3:A$502)-2),1)),"")&lt;&gt;"",IFERROR(INDEX(Income!B$3:B$502,SMALL(IF((Income!D$3:D$502="GBP")*(Income!A$3:A$502=DATE(2026,8,24)),ROW(Income!A$3:A$502)-2),1)),""),""))</f>
        <v/>
      </c>
      <c r="E174" s="62" t="str">
        <f aca="false">IF(IFERROR(-INDEX(Expenses!D$3:D$1002,SMALL(IF((Expenses!E$3:E$1002="GBP")*(Expenses!A$3:A$1002=DATE(2026,8,25)),ROW(Expenses!A$3:A$1002)-2),1)),0)+IFERROR(INDEX(Income!C$3:C$502,SMALL(IF((Income!D$3:D$502="GBP")*(Income!A$3:A$502=DATE(2026,8,25)),ROW(Income!A$3:A$502)-2),1)),0)=0,"",IFERROR(-INDEX(Expenses!D$3:D$1002,SMALL(IF((Expenses!E$3:E$1002="GBP")*(Expenses!A$3:A$1002=DATE(2026,8,25)),ROW(Expenses!A$3:A$1002)-2),1)),0)+IFERROR(INDEX(Income!C$3:C$502,SMALL(IF((Income!D$3:D$502="GBP")*(Income!A$3:A$502=DATE(2026,8,25)),ROW(Income!A$3:A$502)-2),1)),0))</f>
        <v/>
      </c>
      <c r="F174" s="38" t="str">
        <f aca="false">IF(IFERROR(INDEX(Expenses!B$3:B$1002,SMALL(IF((Expenses!E$3:E$1002="GBP")*(Expenses!A$3:A$1002=DATE(2026,8,25)),ROW(Expenses!A$3:A$1002)-2),1)),"")&lt;&gt;"",IFERROR(INDEX(Expenses!B$3:B$1002,SMALL(IF((Expenses!E$3:E$1002="GBP")*(Expenses!A$3:A$1002=DATE(2026,8,25)),ROW(Expenses!A$3:A$1002)-2),1)),""),IF(IFERROR(INDEX(Income!B$3:B$502,SMALL(IF((Income!D$3:D$502="GBP")*(Income!A$3:A$502=DATE(2026,8,25)),ROW(Income!A$3:A$502)-2),1)),"")&lt;&gt;"",IFERROR(INDEX(Income!B$3:B$502,SMALL(IF((Income!D$3:D$502="GBP")*(Income!A$3:A$502=DATE(2026,8,25)),ROW(Income!A$3:A$502)-2),1)),""),""))</f>
        <v/>
      </c>
      <c r="G174" s="62" t="str">
        <f aca="false">IF(IFERROR(-INDEX(Expenses!D$3:D$1002,SMALL(IF((Expenses!E$3:E$1002="GBP")*(Expenses!A$3:A$1002=DATE(2026,8,26)),ROW(Expenses!A$3:A$1002)-2),1)),0)+IFERROR(INDEX(Income!C$3:C$502,SMALL(IF((Income!D$3:D$502="GBP")*(Income!A$3:A$502=DATE(2026,8,26)),ROW(Income!A$3:A$502)-2),1)),0)=0,"",IFERROR(-INDEX(Expenses!D$3:D$1002,SMALL(IF((Expenses!E$3:E$1002="GBP")*(Expenses!A$3:A$1002=DATE(2026,8,26)),ROW(Expenses!A$3:A$1002)-2),1)),0)+IFERROR(INDEX(Income!C$3:C$502,SMALL(IF((Income!D$3:D$502="GBP")*(Income!A$3:A$502=DATE(2026,8,26)),ROW(Income!A$3:A$502)-2),1)),0))</f>
        <v/>
      </c>
      <c r="H174" s="38" t="str">
        <f aca="false">IF(IFERROR(INDEX(Expenses!B$3:B$1002,SMALL(IF((Expenses!E$3:E$1002="GBP")*(Expenses!A$3:A$1002=DATE(2026,8,26)),ROW(Expenses!A$3:A$1002)-2),1)),"")&lt;&gt;"",IFERROR(INDEX(Expenses!B$3:B$1002,SMALL(IF((Expenses!E$3:E$1002="GBP")*(Expenses!A$3:A$1002=DATE(2026,8,26)),ROW(Expenses!A$3:A$1002)-2),1)),""),IF(IFERROR(INDEX(Income!B$3:B$502,SMALL(IF((Income!D$3:D$502="GBP")*(Income!A$3:A$502=DATE(2026,8,26)),ROW(Income!A$3:A$502)-2),1)),"")&lt;&gt;"",IFERROR(INDEX(Income!B$3:B$502,SMALL(IF((Income!D$3:D$502="GBP")*(Income!A$3:A$502=DATE(2026,8,26)),ROW(Income!A$3:A$502)-2),1)),""),""))</f>
        <v/>
      </c>
      <c r="I174" s="62" t="str">
        <f aca="false">IF(IFERROR(-INDEX(Expenses!D$3:D$1002,SMALL(IF((Expenses!E$3:E$1002="GBP")*(Expenses!A$3:A$1002=DATE(2026,8,27)),ROW(Expenses!A$3:A$1002)-2),1)),0)+IFERROR(INDEX(Income!C$3:C$502,SMALL(IF((Income!D$3:D$502="GBP")*(Income!A$3:A$502=DATE(2026,8,27)),ROW(Income!A$3:A$502)-2),1)),0)=0,"",IFERROR(-INDEX(Expenses!D$3:D$1002,SMALL(IF((Expenses!E$3:E$1002="GBP")*(Expenses!A$3:A$1002=DATE(2026,8,27)),ROW(Expenses!A$3:A$1002)-2),1)),0)+IFERROR(INDEX(Income!C$3:C$502,SMALL(IF((Income!D$3:D$502="GBP")*(Income!A$3:A$502=DATE(2026,8,27)),ROW(Income!A$3:A$502)-2),1)),0))</f>
        <v/>
      </c>
      <c r="J174" s="38" t="str">
        <f aca="false">IF(IFERROR(INDEX(Expenses!B$3:B$1002,SMALL(IF((Expenses!E$3:E$1002="GBP")*(Expenses!A$3:A$1002=DATE(2026,8,27)),ROW(Expenses!A$3:A$1002)-2),1)),"")&lt;&gt;"",IFERROR(INDEX(Expenses!B$3:B$1002,SMALL(IF((Expenses!E$3:E$1002="GBP")*(Expenses!A$3:A$1002=DATE(2026,8,27)),ROW(Expenses!A$3:A$1002)-2),1)),""),IF(IFERROR(INDEX(Income!B$3:B$502,SMALL(IF((Income!D$3:D$502="GBP")*(Income!A$3:A$502=DATE(2026,8,27)),ROW(Income!A$3:A$502)-2),1)),"")&lt;&gt;"",IFERROR(INDEX(Income!B$3:B$502,SMALL(IF((Income!D$3:D$502="GBP")*(Income!A$3:A$502=DATE(2026,8,27)),ROW(Income!A$3:A$502)-2),1)),""),""))</f>
        <v/>
      </c>
      <c r="K174" s="62" t="str">
        <f aca="false">IF(IFERROR(-INDEX(Expenses!D$3:D$1002,SMALL(IF((Expenses!E$3:E$1002="GBP")*(Expenses!A$3:A$1002=DATE(2026,8,28)),ROW(Expenses!A$3:A$1002)-2),1)),0)+IFERROR(INDEX(Income!C$3:C$502,SMALL(IF((Income!D$3:D$502="GBP")*(Income!A$3:A$502=DATE(2026,8,28)),ROW(Income!A$3:A$502)-2),1)),0)=0,"",IFERROR(-INDEX(Expenses!D$3:D$1002,SMALL(IF((Expenses!E$3:E$1002="GBP")*(Expenses!A$3:A$1002=DATE(2026,8,28)),ROW(Expenses!A$3:A$1002)-2),1)),0)+IFERROR(INDEX(Income!C$3:C$502,SMALL(IF((Income!D$3:D$502="GBP")*(Income!A$3:A$502=DATE(2026,8,28)),ROW(Income!A$3:A$502)-2),1)),0))</f>
        <v/>
      </c>
      <c r="L174" s="38" t="str">
        <f aca="false">IF(IFERROR(INDEX(Expenses!B$3:B$1002,SMALL(IF((Expenses!E$3:E$1002="GBP")*(Expenses!A$3:A$1002=DATE(2026,8,28)),ROW(Expenses!A$3:A$1002)-2),1)),"")&lt;&gt;"",IFERROR(INDEX(Expenses!B$3:B$1002,SMALL(IF((Expenses!E$3:E$1002="GBP")*(Expenses!A$3:A$1002=DATE(2026,8,28)),ROW(Expenses!A$3:A$1002)-2),1)),""),IF(IFERROR(INDEX(Income!B$3:B$502,SMALL(IF((Income!D$3:D$502="GBP")*(Income!A$3:A$502=DATE(2026,8,28)),ROW(Income!A$3:A$502)-2),1)),"")&lt;&gt;"",IFERROR(INDEX(Income!B$3:B$502,SMALL(IF((Income!D$3:D$502="GBP")*(Income!A$3:A$502=DATE(2026,8,28)),ROW(Income!A$3:A$502)-2),1)),""),""))</f>
        <v/>
      </c>
      <c r="M174" s="62" t="str">
        <f aca="false">IF(IFERROR(-INDEX(Expenses!D$3:D$1002,SMALL(IF((Expenses!E$3:E$1002="GBP")*(Expenses!A$3:A$1002=DATE(2026,8,29)),ROW(Expenses!A$3:A$1002)-2),1)),0)+IFERROR(INDEX(Income!C$3:C$502,SMALL(IF((Income!D$3:D$502="GBP")*(Income!A$3:A$502=DATE(2026,8,29)),ROW(Income!A$3:A$502)-2),1)),0)=0,"",IFERROR(-INDEX(Expenses!D$3:D$1002,SMALL(IF((Expenses!E$3:E$1002="GBP")*(Expenses!A$3:A$1002=DATE(2026,8,29)),ROW(Expenses!A$3:A$1002)-2),1)),0)+IFERROR(INDEX(Income!C$3:C$502,SMALL(IF((Income!D$3:D$502="GBP")*(Income!A$3:A$502=DATE(2026,8,29)),ROW(Income!A$3:A$502)-2),1)),0))</f>
        <v/>
      </c>
      <c r="N174" s="38" t="str">
        <f aca="false">IF(IFERROR(INDEX(Expenses!B$3:B$1002,SMALL(IF((Expenses!E$3:E$1002="GBP")*(Expenses!A$3:A$1002=DATE(2026,8,29)),ROW(Expenses!A$3:A$1002)-2),1)),"")&lt;&gt;"",IFERROR(INDEX(Expenses!B$3:B$1002,SMALL(IF((Expenses!E$3:E$1002="GBP")*(Expenses!A$3:A$1002=DATE(2026,8,29)),ROW(Expenses!A$3:A$1002)-2),1)),""),IF(IFERROR(INDEX(Income!B$3:B$502,SMALL(IF((Income!D$3:D$502="GBP")*(Income!A$3:A$502=DATE(2026,8,29)),ROW(Income!A$3:A$502)-2),1)),"")&lt;&gt;"",IFERROR(INDEX(Income!B$3:B$502,SMALL(IF((Income!D$3:D$502="GBP")*(Income!A$3:A$502=DATE(2026,8,29)),ROW(Income!A$3:A$502)-2),1)),""),""))</f>
        <v/>
      </c>
      <c r="O174" s="62" t="str">
        <f aca="false">IF(IFERROR(-INDEX(Expenses!D$3:D$1002,SMALL(IF((Expenses!E$3:E$1002="GBP")*(Expenses!A$3:A$1002=DATE(2026,8,30)),ROW(Expenses!A$3:A$1002)-2),1)),0)+IFERROR(INDEX(Income!C$3:C$502,SMALL(IF((Income!D$3:D$502="GBP")*(Income!A$3:A$502=DATE(2026,8,30)),ROW(Income!A$3:A$502)-2),1)),0)=0,"",IFERROR(-INDEX(Expenses!D$3:D$1002,SMALL(IF((Expenses!E$3:E$1002="GBP")*(Expenses!A$3:A$1002=DATE(2026,8,30)),ROW(Expenses!A$3:A$1002)-2),1)),0)+IFERROR(INDEX(Income!C$3:C$502,SMALL(IF((Income!D$3:D$502="GBP")*(Income!A$3:A$502=DATE(2026,8,30)),ROW(Income!A$3:A$502)-2),1)),0))</f>
        <v/>
      </c>
      <c r="P174" s="38" t="str">
        <f aca="false">IF(IFERROR(INDEX(Expenses!B$3:B$1002,SMALL(IF((Expenses!E$3:E$1002="GBP")*(Expenses!A$3:A$1002=DATE(2026,8,30)),ROW(Expenses!A$3:A$1002)-2),1)),"")&lt;&gt;"",IFERROR(INDEX(Expenses!B$3:B$1002,SMALL(IF((Expenses!E$3:E$1002="GBP")*(Expenses!A$3:A$1002=DATE(2026,8,30)),ROW(Expenses!A$3:A$1002)-2),1)),""),IF(IFERROR(INDEX(Income!B$3:B$502,SMALL(IF((Income!D$3:D$502="GBP")*(Income!A$3:A$502=DATE(2026,8,30)),ROW(Income!A$3:A$502)-2),1)),"")&lt;&gt;"",IFERROR(INDEX(Income!B$3:B$502,SMALL(IF((Income!D$3:D$502="GBP")*(Income!A$3:A$502=DATE(2026,8,30)),ROW(Income!A$3:A$502)-2),1)),""),""))</f>
        <v/>
      </c>
      <c r="Q174" s="3" t="n">
        <v>35</v>
      </c>
      <c r="R174" s="45" t="n">
        <f aca="false">SUM(C174:C178)+SUM(E174:E178)+SUM(G174:G178)+SUM(I174:I178)+SUM(K174:K178)+SUM(M174:M178)+SUM(O174:O178)</f>
        <v>0</v>
      </c>
    </row>
    <row r="175" customFormat="false" ht="15" hidden="false" customHeight="false" outlineLevel="0" collapsed="false">
      <c r="A175" s="16"/>
      <c r="B175" s="16"/>
      <c r="C175" s="62" t="str">
        <f aca="false">IF(IFERROR(-INDEX(Expenses!D$3:D$1002,SMALL(IF((Expenses!E$3:E$1002="GBP")*(Expenses!A$3:A$1002=DATE(2026,8,24)),ROW(Expenses!A$3:A$1002)-2),2)),0)+IFERROR(INDEX(Income!C$3:C$502,SMALL(IF((Income!D$3:D$502="GBP")*(Income!A$3:A$502=DATE(2026,8,24)),ROW(Income!A$3:A$502)-2),2)),0)=0,"",IFERROR(-INDEX(Expenses!D$3:D$1002,SMALL(IF((Expenses!E$3:E$1002="GBP")*(Expenses!A$3:A$1002=DATE(2026,8,24)),ROW(Expenses!A$3:A$1002)-2),2)),0)+IFERROR(INDEX(Income!C$3:C$502,SMALL(IF((Income!D$3:D$502="GBP")*(Income!A$3:A$502=DATE(2026,8,24)),ROW(Income!A$3:A$502)-2),2)),0))</f>
        <v/>
      </c>
      <c r="D175" s="38" t="str">
        <f aca="false">IF(IFERROR(INDEX(Expenses!B$3:B$1002,SMALL(IF((Expenses!E$3:E$1002="GBP")*(Expenses!A$3:A$1002=DATE(2026,8,24)),ROW(Expenses!A$3:A$1002)-2),2)),"")&lt;&gt;"",IFERROR(INDEX(Expenses!B$3:B$1002,SMALL(IF((Expenses!E$3:E$1002="GBP")*(Expenses!A$3:A$1002=DATE(2026,8,24)),ROW(Expenses!A$3:A$1002)-2),2)),""),IF(IFERROR(INDEX(Income!B$3:B$502,SMALL(IF((Income!D$3:D$502="GBP")*(Income!A$3:A$502=DATE(2026,8,24)),ROW(Income!A$3:A$502)-2),2)),"")&lt;&gt;"",IFERROR(INDEX(Income!B$3:B$502,SMALL(IF((Income!D$3:D$502="GBP")*(Income!A$3:A$502=DATE(2026,8,24)),ROW(Income!A$3:A$502)-2),2)),""),""))</f>
        <v/>
      </c>
      <c r="E175" s="62" t="str">
        <f aca="false">IF(IFERROR(-INDEX(Expenses!D$3:D$1002,SMALL(IF((Expenses!E$3:E$1002="GBP")*(Expenses!A$3:A$1002=DATE(2026,8,25)),ROW(Expenses!A$3:A$1002)-2),2)),0)+IFERROR(INDEX(Income!C$3:C$502,SMALL(IF((Income!D$3:D$502="GBP")*(Income!A$3:A$502=DATE(2026,8,25)),ROW(Income!A$3:A$502)-2),2)),0)=0,"",IFERROR(-INDEX(Expenses!D$3:D$1002,SMALL(IF((Expenses!E$3:E$1002="GBP")*(Expenses!A$3:A$1002=DATE(2026,8,25)),ROW(Expenses!A$3:A$1002)-2),2)),0)+IFERROR(INDEX(Income!C$3:C$502,SMALL(IF((Income!D$3:D$502="GBP")*(Income!A$3:A$502=DATE(2026,8,25)),ROW(Income!A$3:A$502)-2),2)),0))</f>
        <v/>
      </c>
      <c r="F175" s="38" t="str">
        <f aca="false">IF(IFERROR(INDEX(Expenses!B$3:B$1002,SMALL(IF((Expenses!E$3:E$1002="GBP")*(Expenses!A$3:A$1002=DATE(2026,8,25)),ROW(Expenses!A$3:A$1002)-2),2)),"")&lt;&gt;"",IFERROR(INDEX(Expenses!B$3:B$1002,SMALL(IF((Expenses!E$3:E$1002="GBP")*(Expenses!A$3:A$1002=DATE(2026,8,25)),ROW(Expenses!A$3:A$1002)-2),2)),""),IF(IFERROR(INDEX(Income!B$3:B$502,SMALL(IF((Income!D$3:D$502="GBP")*(Income!A$3:A$502=DATE(2026,8,25)),ROW(Income!A$3:A$502)-2),2)),"")&lt;&gt;"",IFERROR(INDEX(Income!B$3:B$502,SMALL(IF((Income!D$3:D$502="GBP")*(Income!A$3:A$502=DATE(2026,8,25)),ROW(Income!A$3:A$502)-2),2)),""),""))</f>
        <v/>
      </c>
      <c r="G175" s="62" t="str">
        <f aca="false">IF(IFERROR(-INDEX(Expenses!D$3:D$1002,SMALL(IF((Expenses!E$3:E$1002="GBP")*(Expenses!A$3:A$1002=DATE(2026,8,26)),ROW(Expenses!A$3:A$1002)-2),2)),0)+IFERROR(INDEX(Income!C$3:C$502,SMALL(IF((Income!D$3:D$502="GBP")*(Income!A$3:A$502=DATE(2026,8,26)),ROW(Income!A$3:A$502)-2),2)),0)=0,"",IFERROR(-INDEX(Expenses!D$3:D$1002,SMALL(IF((Expenses!E$3:E$1002="GBP")*(Expenses!A$3:A$1002=DATE(2026,8,26)),ROW(Expenses!A$3:A$1002)-2),2)),0)+IFERROR(INDEX(Income!C$3:C$502,SMALL(IF((Income!D$3:D$502="GBP")*(Income!A$3:A$502=DATE(2026,8,26)),ROW(Income!A$3:A$502)-2),2)),0))</f>
        <v/>
      </c>
      <c r="H175" s="38" t="str">
        <f aca="false">IF(IFERROR(INDEX(Expenses!B$3:B$1002,SMALL(IF((Expenses!E$3:E$1002="GBP")*(Expenses!A$3:A$1002=DATE(2026,8,26)),ROW(Expenses!A$3:A$1002)-2),2)),"")&lt;&gt;"",IFERROR(INDEX(Expenses!B$3:B$1002,SMALL(IF((Expenses!E$3:E$1002="GBP")*(Expenses!A$3:A$1002=DATE(2026,8,26)),ROW(Expenses!A$3:A$1002)-2),2)),""),IF(IFERROR(INDEX(Income!B$3:B$502,SMALL(IF((Income!D$3:D$502="GBP")*(Income!A$3:A$502=DATE(2026,8,26)),ROW(Income!A$3:A$502)-2),2)),"")&lt;&gt;"",IFERROR(INDEX(Income!B$3:B$502,SMALL(IF((Income!D$3:D$502="GBP")*(Income!A$3:A$502=DATE(2026,8,26)),ROW(Income!A$3:A$502)-2),2)),""),""))</f>
        <v/>
      </c>
      <c r="I175" s="62" t="str">
        <f aca="false">IF(IFERROR(-INDEX(Expenses!D$3:D$1002,SMALL(IF((Expenses!E$3:E$1002="GBP")*(Expenses!A$3:A$1002=DATE(2026,8,27)),ROW(Expenses!A$3:A$1002)-2),2)),0)+IFERROR(INDEX(Income!C$3:C$502,SMALL(IF((Income!D$3:D$502="GBP")*(Income!A$3:A$502=DATE(2026,8,27)),ROW(Income!A$3:A$502)-2),2)),0)=0,"",IFERROR(-INDEX(Expenses!D$3:D$1002,SMALL(IF((Expenses!E$3:E$1002="GBP")*(Expenses!A$3:A$1002=DATE(2026,8,27)),ROW(Expenses!A$3:A$1002)-2),2)),0)+IFERROR(INDEX(Income!C$3:C$502,SMALL(IF((Income!D$3:D$502="GBP")*(Income!A$3:A$502=DATE(2026,8,27)),ROW(Income!A$3:A$502)-2),2)),0))</f>
        <v/>
      </c>
      <c r="J175" s="38" t="str">
        <f aca="false">IF(IFERROR(INDEX(Expenses!B$3:B$1002,SMALL(IF((Expenses!E$3:E$1002="GBP")*(Expenses!A$3:A$1002=DATE(2026,8,27)),ROW(Expenses!A$3:A$1002)-2),2)),"")&lt;&gt;"",IFERROR(INDEX(Expenses!B$3:B$1002,SMALL(IF((Expenses!E$3:E$1002="GBP")*(Expenses!A$3:A$1002=DATE(2026,8,27)),ROW(Expenses!A$3:A$1002)-2),2)),""),IF(IFERROR(INDEX(Income!B$3:B$502,SMALL(IF((Income!D$3:D$502="GBP")*(Income!A$3:A$502=DATE(2026,8,27)),ROW(Income!A$3:A$502)-2),2)),"")&lt;&gt;"",IFERROR(INDEX(Income!B$3:B$502,SMALL(IF((Income!D$3:D$502="GBP")*(Income!A$3:A$502=DATE(2026,8,27)),ROW(Income!A$3:A$502)-2),2)),""),""))</f>
        <v/>
      </c>
      <c r="K175" s="62" t="str">
        <f aca="false">IF(IFERROR(-INDEX(Expenses!D$3:D$1002,SMALL(IF((Expenses!E$3:E$1002="GBP")*(Expenses!A$3:A$1002=DATE(2026,8,28)),ROW(Expenses!A$3:A$1002)-2),2)),0)+IFERROR(INDEX(Income!C$3:C$502,SMALL(IF((Income!D$3:D$502="GBP")*(Income!A$3:A$502=DATE(2026,8,28)),ROW(Income!A$3:A$502)-2),2)),0)=0,"",IFERROR(-INDEX(Expenses!D$3:D$1002,SMALL(IF((Expenses!E$3:E$1002="GBP")*(Expenses!A$3:A$1002=DATE(2026,8,28)),ROW(Expenses!A$3:A$1002)-2),2)),0)+IFERROR(INDEX(Income!C$3:C$502,SMALL(IF((Income!D$3:D$502="GBP")*(Income!A$3:A$502=DATE(2026,8,28)),ROW(Income!A$3:A$502)-2),2)),0))</f>
        <v/>
      </c>
      <c r="L175" s="38" t="str">
        <f aca="false">IF(IFERROR(INDEX(Expenses!B$3:B$1002,SMALL(IF((Expenses!E$3:E$1002="GBP")*(Expenses!A$3:A$1002=DATE(2026,8,28)),ROW(Expenses!A$3:A$1002)-2),2)),"")&lt;&gt;"",IFERROR(INDEX(Expenses!B$3:B$1002,SMALL(IF((Expenses!E$3:E$1002="GBP")*(Expenses!A$3:A$1002=DATE(2026,8,28)),ROW(Expenses!A$3:A$1002)-2),2)),""),IF(IFERROR(INDEX(Income!B$3:B$502,SMALL(IF((Income!D$3:D$502="GBP")*(Income!A$3:A$502=DATE(2026,8,28)),ROW(Income!A$3:A$502)-2),2)),"")&lt;&gt;"",IFERROR(INDEX(Income!B$3:B$502,SMALL(IF((Income!D$3:D$502="GBP")*(Income!A$3:A$502=DATE(2026,8,28)),ROW(Income!A$3:A$502)-2),2)),""),""))</f>
        <v/>
      </c>
      <c r="M175" s="62" t="str">
        <f aca="false">IF(IFERROR(-INDEX(Expenses!D$3:D$1002,SMALL(IF((Expenses!E$3:E$1002="GBP")*(Expenses!A$3:A$1002=DATE(2026,8,29)),ROW(Expenses!A$3:A$1002)-2),2)),0)+IFERROR(INDEX(Income!C$3:C$502,SMALL(IF((Income!D$3:D$502="GBP")*(Income!A$3:A$502=DATE(2026,8,29)),ROW(Income!A$3:A$502)-2),2)),0)=0,"",IFERROR(-INDEX(Expenses!D$3:D$1002,SMALL(IF((Expenses!E$3:E$1002="GBP")*(Expenses!A$3:A$1002=DATE(2026,8,29)),ROW(Expenses!A$3:A$1002)-2),2)),0)+IFERROR(INDEX(Income!C$3:C$502,SMALL(IF((Income!D$3:D$502="GBP")*(Income!A$3:A$502=DATE(2026,8,29)),ROW(Income!A$3:A$502)-2),2)),0))</f>
        <v/>
      </c>
      <c r="N175" s="38" t="str">
        <f aca="false">IF(IFERROR(INDEX(Expenses!B$3:B$1002,SMALL(IF((Expenses!E$3:E$1002="GBP")*(Expenses!A$3:A$1002=DATE(2026,8,29)),ROW(Expenses!A$3:A$1002)-2),2)),"")&lt;&gt;"",IFERROR(INDEX(Expenses!B$3:B$1002,SMALL(IF((Expenses!E$3:E$1002="GBP")*(Expenses!A$3:A$1002=DATE(2026,8,29)),ROW(Expenses!A$3:A$1002)-2),2)),""),IF(IFERROR(INDEX(Income!B$3:B$502,SMALL(IF((Income!D$3:D$502="GBP")*(Income!A$3:A$502=DATE(2026,8,29)),ROW(Income!A$3:A$502)-2),2)),"")&lt;&gt;"",IFERROR(INDEX(Income!B$3:B$502,SMALL(IF((Income!D$3:D$502="GBP")*(Income!A$3:A$502=DATE(2026,8,29)),ROW(Income!A$3:A$502)-2),2)),""),""))</f>
        <v/>
      </c>
      <c r="O175" s="62" t="str">
        <f aca="false">IF(IFERROR(-INDEX(Expenses!D$3:D$1002,SMALL(IF((Expenses!E$3:E$1002="GBP")*(Expenses!A$3:A$1002=DATE(2026,8,30)),ROW(Expenses!A$3:A$1002)-2),2)),0)+IFERROR(INDEX(Income!C$3:C$502,SMALL(IF((Income!D$3:D$502="GBP")*(Income!A$3:A$502=DATE(2026,8,30)),ROW(Income!A$3:A$502)-2),2)),0)=0,"",IFERROR(-INDEX(Expenses!D$3:D$1002,SMALL(IF((Expenses!E$3:E$1002="GBP")*(Expenses!A$3:A$1002=DATE(2026,8,30)),ROW(Expenses!A$3:A$1002)-2),2)),0)+IFERROR(INDEX(Income!C$3:C$502,SMALL(IF((Income!D$3:D$502="GBP")*(Income!A$3:A$502=DATE(2026,8,30)),ROW(Income!A$3:A$502)-2),2)),0))</f>
        <v/>
      </c>
      <c r="P175" s="38" t="str">
        <f aca="false">IF(IFERROR(INDEX(Expenses!B$3:B$1002,SMALL(IF((Expenses!E$3:E$1002="GBP")*(Expenses!A$3:A$1002=DATE(2026,8,30)),ROW(Expenses!A$3:A$1002)-2),2)),"")&lt;&gt;"",IFERROR(INDEX(Expenses!B$3:B$1002,SMALL(IF((Expenses!E$3:E$1002="GBP")*(Expenses!A$3:A$1002=DATE(2026,8,30)),ROW(Expenses!A$3:A$1002)-2),2)),""),IF(IFERROR(INDEX(Income!B$3:B$502,SMALL(IF((Income!D$3:D$502="GBP")*(Income!A$3:A$502=DATE(2026,8,30)),ROW(Income!A$3:A$502)-2),2)),"")&lt;&gt;"",IFERROR(INDEX(Income!B$3:B$502,SMALL(IF((Income!D$3:D$502="GBP")*(Income!A$3:A$502=DATE(2026,8,30)),ROW(Income!A$3:A$502)-2),2)),""),""))</f>
        <v/>
      </c>
      <c r="Q175" s="16"/>
      <c r="R175" s="16"/>
    </row>
    <row r="176" customFormat="false" ht="15" hidden="false" customHeight="false" outlineLevel="0" collapsed="false">
      <c r="A176" s="16"/>
      <c r="B176" s="16"/>
      <c r="C176" s="62" t="str">
        <f aca="false">IF(IFERROR(-INDEX(Expenses!D$3:D$1002,SMALL(IF((Expenses!E$3:E$1002="GBP")*(Expenses!A$3:A$1002=DATE(2026,8,24)),ROW(Expenses!A$3:A$1002)-2),3)),0)+IFERROR(INDEX(Income!C$3:C$502,SMALL(IF((Income!D$3:D$502="GBP")*(Income!A$3:A$502=DATE(2026,8,24)),ROW(Income!A$3:A$502)-2),3)),0)=0,"",IFERROR(-INDEX(Expenses!D$3:D$1002,SMALL(IF((Expenses!E$3:E$1002="GBP")*(Expenses!A$3:A$1002=DATE(2026,8,24)),ROW(Expenses!A$3:A$1002)-2),3)),0)+IFERROR(INDEX(Income!C$3:C$502,SMALL(IF((Income!D$3:D$502="GBP")*(Income!A$3:A$502=DATE(2026,8,24)),ROW(Income!A$3:A$502)-2),3)),0))</f>
        <v/>
      </c>
      <c r="D176" s="38" t="str">
        <f aca="false">IF(IFERROR(INDEX(Expenses!B$3:B$1002,SMALL(IF((Expenses!E$3:E$1002="GBP")*(Expenses!A$3:A$1002=DATE(2026,8,24)),ROW(Expenses!A$3:A$1002)-2),3)),"")&lt;&gt;"",IFERROR(INDEX(Expenses!B$3:B$1002,SMALL(IF((Expenses!E$3:E$1002="GBP")*(Expenses!A$3:A$1002=DATE(2026,8,24)),ROW(Expenses!A$3:A$1002)-2),3)),""),IF(IFERROR(INDEX(Income!B$3:B$502,SMALL(IF((Income!D$3:D$502="GBP")*(Income!A$3:A$502=DATE(2026,8,24)),ROW(Income!A$3:A$502)-2),3)),"")&lt;&gt;"",IFERROR(INDEX(Income!B$3:B$502,SMALL(IF((Income!D$3:D$502="GBP")*(Income!A$3:A$502=DATE(2026,8,24)),ROW(Income!A$3:A$502)-2),3)),""),""))</f>
        <v/>
      </c>
      <c r="E176" s="62" t="str">
        <f aca="false">IF(IFERROR(-INDEX(Expenses!D$3:D$1002,SMALL(IF((Expenses!E$3:E$1002="GBP")*(Expenses!A$3:A$1002=DATE(2026,8,25)),ROW(Expenses!A$3:A$1002)-2),3)),0)+IFERROR(INDEX(Income!C$3:C$502,SMALL(IF((Income!D$3:D$502="GBP")*(Income!A$3:A$502=DATE(2026,8,25)),ROW(Income!A$3:A$502)-2),3)),0)=0,"",IFERROR(-INDEX(Expenses!D$3:D$1002,SMALL(IF((Expenses!E$3:E$1002="GBP")*(Expenses!A$3:A$1002=DATE(2026,8,25)),ROW(Expenses!A$3:A$1002)-2),3)),0)+IFERROR(INDEX(Income!C$3:C$502,SMALL(IF((Income!D$3:D$502="GBP")*(Income!A$3:A$502=DATE(2026,8,25)),ROW(Income!A$3:A$502)-2),3)),0))</f>
        <v/>
      </c>
      <c r="F176" s="38" t="str">
        <f aca="false">IF(IFERROR(INDEX(Expenses!B$3:B$1002,SMALL(IF((Expenses!E$3:E$1002="GBP")*(Expenses!A$3:A$1002=DATE(2026,8,25)),ROW(Expenses!A$3:A$1002)-2),3)),"")&lt;&gt;"",IFERROR(INDEX(Expenses!B$3:B$1002,SMALL(IF((Expenses!E$3:E$1002="GBP")*(Expenses!A$3:A$1002=DATE(2026,8,25)),ROW(Expenses!A$3:A$1002)-2),3)),""),IF(IFERROR(INDEX(Income!B$3:B$502,SMALL(IF((Income!D$3:D$502="GBP")*(Income!A$3:A$502=DATE(2026,8,25)),ROW(Income!A$3:A$502)-2),3)),"")&lt;&gt;"",IFERROR(INDEX(Income!B$3:B$502,SMALL(IF((Income!D$3:D$502="GBP")*(Income!A$3:A$502=DATE(2026,8,25)),ROW(Income!A$3:A$502)-2),3)),""),""))</f>
        <v/>
      </c>
      <c r="G176" s="62" t="str">
        <f aca="false">IF(IFERROR(-INDEX(Expenses!D$3:D$1002,SMALL(IF((Expenses!E$3:E$1002="GBP")*(Expenses!A$3:A$1002=DATE(2026,8,26)),ROW(Expenses!A$3:A$1002)-2),3)),0)+IFERROR(INDEX(Income!C$3:C$502,SMALL(IF((Income!D$3:D$502="GBP")*(Income!A$3:A$502=DATE(2026,8,26)),ROW(Income!A$3:A$502)-2),3)),0)=0,"",IFERROR(-INDEX(Expenses!D$3:D$1002,SMALL(IF((Expenses!E$3:E$1002="GBP")*(Expenses!A$3:A$1002=DATE(2026,8,26)),ROW(Expenses!A$3:A$1002)-2),3)),0)+IFERROR(INDEX(Income!C$3:C$502,SMALL(IF((Income!D$3:D$502="GBP")*(Income!A$3:A$502=DATE(2026,8,26)),ROW(Income!A$3:A$502)-2),3)),0))</f>
        <v/>
      </c>
      <c r="H176" s="38" t="str">
        <f aca="false">IF(IFERROR(INDEX(Expenses!B$3:B$1002,SMALL(IF((Expenses!E$3:E$1002="GBP")*(Expenses!A$3:A$1002=DATE(2026,8,26)),ROW(Expenses!A$3:A$1002)-2),3)),"")&lt;&gt;"",IFERROR(INDEX(Expenses!B$3:B$1002,SMALL(IF((Expenses!E$3:E$1002="GBP")*(Expenses!A$3:A$1002=DATE(2026,8,26)),ROW(Expenses!A$3:A$1002)-2),3)),""),IF(IFERROR(INDEX(Income!B$3:B$502,SMALL(IF((Income!D$3:D$502="GBP")*(Income!A$3:A$502=DATE(2026,8,26)),ROW(Income!A$3:A$502)-2),3)),"")&lt;&gt;"",IFERROR(INDEX(Income!B$3:B$502,SMALL(IF((Income!D$3:D$502="GBP")*(Income!A$3:A$502=DATE(2026,8,26)),ROW(Income!A$3:A$502)-2),3)),""),""))</f>
        <v/>
      </c>
      <c r="I176" s="62" t="str">
        <f aca="false">IF(IFERROR(-INDEX(Expenses!D$3:D$1002,SMALL(IF((Expenses!E$3:E$1002="GBP")*(Expenses!A$3:A$1002=DATE(2026,8,27)),ROW(Expenses!A$3:A$1002)-2),3)),0)+IFERROR(INDEX(Income!C$3:C$502,SMALL(IF((Income!D$3:D$502="GBP")*(Income!A$3:A$502=DATE(2026,8,27)),ROW(Income!A$3:A$502)-2),3)),0)=0,"",IFERROR(-INDEX(Expenses!D$3:D$1002,SMALL(IF((Expenses!E$3:E$1002="GBP")*(Expenses!A$3:A$1002=DATE(2026,8,27)),ROW(Expenses!A$3:A$1002)-2),3)),0)+IFERROR(INDEX(Income!C$3:C$502,SMALL(IF((Income!D$3:D$502="GBP")*(Income!A$3:A$502=DATE(2026,8,27)),ROW(Income!A$3:A$502)-2),3)),0))</f>
        <v/>
      </c>
      <c r="J176" s="38" t="str">
        <f aca="false">IF(IFERROR(INDEX(Expenses!B$3:B$1002,SMALL(IF((Expenses!E$3:E$1002="GBP")*(Expenses!A$3:A$1002=DATE(2026,8,27)),ROW(Expenses!A$3:A$1002)-2),3)),"")&lt;&gt;"",IFERROR(INDEX(Expenses!B$3:B$1002,SMALL(IF((Expenses!E$3:E$1002="GBP")*(Expenses!A$3:A$1002=DATE(2026,8,27)),ROW(Expenses!A$3:A$1002)-2),3)),""),IF(IFERROR(INDEX(Income!B$3:B$502,SMALL(IF((Income!D$3:D$502="GBP")*(Income!A$3:A$502=DATE(2026,8,27)),ROW(Income!A$3:A$502)-2),3)),"")&lt;&gt;"",IFERROR(INDEX(Income!B$3:B$502,SMALL(IF((Income!D$3:D$502="GBP")*(Income!A$3:A$502=DATE(2026,8,27)),ROW(Income!A$3:A$502)-2),3)),""),""))</f>
        <v/>
      </c>
      <c r="K176" s="62" t="str">
        <f aca="false">IF(IFERROR(-INDEX(Expenses!D$3:D$1002,SMALL(IF((Expenses!E$3:E$1002="GBP")*(Expenses!A$3:A$1002=DATE(2026,8,28)),ROW(Expenses!A$3:A$1002)-2),3)),0)+IFERROR(INDEX(Income!C$3:C$502,SMALL(IF((Income!D$3:D$502="GBP")*(Income!A$3:A$502=DATE(2026,8,28)),ROW(Income!A$3:A$502)-2),3)),0)=0,"",IFERROR(-INDEX(Expenses!D$3:D$1002,SMALL(IF((Expenses!E$3:E$1002="GBP")*(Expenses!A$3:A$1002=DATE(2026,8,28)),ROW(Expenses!A$3:A$1002)-2),3)),0)+IFERROR(INDEX(Income!C$3:C$502,SMALL(IF((Income!D$3:D$502="GBP")*(Income!A$3:A$502=DATE(2026,8,28)),ROW(Income!A$3:A$502)-2),3)),0))</f>
        <v/>
      </c>
      <c r="L176" s="38" t="str">
        <f aca="false">IF(IFERROR(INDEX(Expenses!B$3:B$1002,SMALL(IF((Expenses!E$3:E$1002="GBP")*(Expenses!A$3:A$1002=DATE(2026,8,28)),ROW(Expenses!A$3:A$1002)-2),3)),"")&lt;&gt;"",IFERROR(INDEX(Expenses!B$3:B$1002,SMALL(IF((Expenses!E$3:E$1002="GBP")*(Expenses!A$3:A$1002=DATE(2026,8,28)),ROW(Expenses!A$3:A$1002)-2),3)),""),IF(IFERROR(INDEX(Income!B$3:B$502,SMALL(IF((Income!D$3:D$502="GBP")*(Income!A$3:A$502=DATE(2026,8,28)),ROW(Income!A$3:A$502)-2),3)),"")&lt;&gt;"",IFERROR(INDEX(Income!B$3:B$502,SMALL(IF((Income!D$3:D$502="GBP")*(Income!A$3:A$502=DATE(2026,8,28)),ROW(Income!A$3:A$502)-2),3)),""),""))</f>
        <v/>
      </c>
      <c r="M176" s="62" t="str">
        <f aca="false">IF(IFERROR(-INDEX(Expenses!D$3:D$1002,SMALL(IF((Expenses!E$3:E$1002="GBP")*(Expenses!A$3:A$1002=DATE(2026,8,29)),ROW(Expenses!A$3:A$1002)-2),3)),0)+IFERROR(INDEX(Income!C$3:C$502,SMALL(IF((Income!D$3:D$502="GBP")*(Income!A$3:A$502=DATE(2026,8,29)),ROW(Income!A$3:A$502)-2),3)),0)=0,"",IFERROR(-INDEX(Expenses!D$3:D$1002,SMALL(IF((Expenses!E$3:E$1002="GBP")*(Expenses!A$3:A$1002=DATE(2026,8,29)),ROW(Expenses!A$3:A$1002)-2),3)),0)+IFERROR(INDEX(Income!C$3:C$502,SMALL(IF((Income!D$3:D$502="GBP")*(Income!A$3:A$502=DATE(2026,8,29)),ROW(Income!A$3:A$502)-2),3)),0))</f>
        <v/>
      </c>
      <c r="N176" s="38" t="str">
        <f aca="false">IF(IFERROR(INDEX(Expenses!B$3:B$1002,SMALL(IF((Expenses!E$3:E$1002="GBP")*(Expenses!A$3:A$1002=DATE(2026,8,29)),ROW(Expenses!A$3:A$1002)-2),3)),"")&lt;&gt;"",IFERROR(INDEX(Expenses!B$3:B$1002,SMALL(IF((Expenses!E$3:E$1002="GBP")*(Expenses!A$3:A$1002=DATE(2026,8,29)),ROW(Expenses!A$3:A$1002)-2),3)),""),IF(IFERROR(INDEX(Income!B$3:B$502,SMALL(IF((Income!D$3:D$502="GBP")*(Income!A$3:A$502=DATE(2026,8,29)),ROW(Income!A$3:A$502)-2),3)),"")&lt;&gt;"",IFERROR(INDEX(Income!B$3:B$502,SMALL(IF((Income!D$3:D$502="GBP")*(Income!A$3:A$502=DATE(2026,8,29)),ROW(Income!A$3:A$502)-2),3)),""),""))</f>
        <v/>
      </c>
      <c r="O176" s="62" t="str">
        <f aca="false">IF(IFERROR(-INDEX(Expenses!D$3:D$1002,SMALL(IF((Expenses!E$3:E$1002="GBP")*(Expenses!A$3:A$1002=DATE(2026,8,30)),ROW(Expenses!A$3:A$1002)-2),3)),0)+IFERROR(INDEX(Income!C$3:C$502,SMALL(IF((Income!D$3:D$502="GBP")*(Income!A$3:A$502=DATE(2026,8,30)),ROW(Income!A$3:A$502)-2),3)),0)=0,"",IFERROR(-INDEX(Expenses!D$3:D$1002,SMALL(IF((Expenses!E$3:E$1002="GBP")*(Expenses!A$3:A$1002=DATE(2026,8,30)),ROW(Expenses!A$3:A$1002)-2),3)),0)+IFERROR(INDEX(Income!C$3:C$502,SMALL(IF((Income!D$3:D$502="GBP")*(Income!A$3:A$502=DATE(2026,8,30)),ROW(Income!A$3:A$502)-2),3)),0))</f>
        <v/>
      </c>
      <c r="P176" s="38" t="str">
        <f aca="false">IF(IFERROR(INDEX(Expenses!B$3:B$1002,SMALL(IF((Expenses!E$3:E$1002="GBP")*(Expenses!A$3:A$1002=DATE(2026,8,30)),ROW(Expenses!A$3:A$1002)-2),3)),"")&lt;&gt;"",IFERROR(INDEX(Expenses!B$3:B$1002,SMALL(IF((Expenses!E$3:E$1002="GBP")*(Expenses!A$3:A$1002=DATE(2026,8,30)),ROW(Expenses!A$3:A$1002)-2),3)),""),IF(IFERROR(INDEX(Income!B$3:B$502,SMALL(IF((Income!D$3:D$502="GBP")*(Income!A$3:A$502=DATE(2026,8,30)),ROW(Income!A$3:A$502)-2),3)),"")&lt;&gt;"",IFERROR(INDEX(Income!B$3:B$502,SMALL(IF((Income!D$3:D$502="GBP")*(Income!A$3:A$502=DATE(2026,8,30)),ROW(Income!A$3:A$502)-2),3)),""),""))</f>
        <v/>
      </c>
      <c r="Q176" s="16"/>
      <c r="R176" s="16"/>
    </row>
    <row r="177" customFormat="false" ht="15" hidden="false" customHeight="false" outlineLevel="0" collapsed="false">
      <c r="A177" s="16"/>
      <c r="B177" s="16"/>
      <c r="C177" s="62" t="str">
        <f aca="false">IF(IFERROR(-INDEX(Expenses!D$3:D$1002,SMALL(IF((Expenses!E$3:E$1002="GBP")*(Expenses!A$3:A$1002=DATE(2026,8,24)),ROW(Expenses!A$3:A$1002)-2),4)),0)+IFERROR(INDEX(Income!C$3:C$502,SMALL(IF((Income!D$3:D$502="GBP")*(Income!A$3:A$502=DATE(2026,8,24)),ROW(Income!A$3:A$502)-2),4)),0)=0,"",IFERROR(-INDEX(Expenses!D$3:D$1002,SMALL(IF((Expenses!E$3:E$1002="GBP")*(Expenses!A$3:A$1002=DATE(2026,8,24)),ROW(Expenses!A$3:A$1002)-2),4)),0)+IFERROR(INDEX(Income!C$3:C$502,SMALL(IF((Income!D$3:D$502="GBP")*(Income!A$3:A$502=DATE(2026,8,24)),ROW(Income!A$3:A$502)-2),4)),0))</f>
        <v/>
      </c>
      <c r="D177" s="38" t="str">
        <f aca="false">IF(IFERROR(INDEX(Expenses!B$3:B$1002,SMALL(IF((Expenses!E$3:E$1002="GBP")*(Expenses!A$3:A$1002=DATE(2026,8,24)),ROW(Expenses!A$3:A$1002)-2),4)),"")&lt;&gt;"",IFERROR(INDEX(Expenses!B$3:B$1002,SMALL(IF((Expenses!E$3:E$1002="GBP")*(Expenses!A$3:A$1002=DATE(2026,8,24)),ROW(Expenses!A$3:A$1002)-2),4)),""),IF(IFERROR(INDEX(Income!B$3:B$502,SMALL(IF((Income!D$3:D$502="GBP")*(Income!A$3:A$502=DATE(2026,8,24)),ROW(Income!A$3:A$502)-2),4)),"")&lt;&gt;"",IFERROR(INDEX(Income!B$3:B$502,SMALL(IF((Income!D$3:D$502="GBP")*(Income!A$3:A$502=DATE(2026,8,24)),ROW(Income!A$3:A$502)-2),4)),""),""))</f>
        <v/>
      </c>
      <c r="E177" s="62" t="str">
        <f aca="false">IF(IFERROR(-INDEX(Expenses!D$3:D$1002,SMALL(IF((Expenses!E$3:E$1002="GBP")*(Expenses!A$3:A$1002=DATE(2026,8,25)),ROW(Expenses!A$3:A$1002)-2),4)),0)+IFERROR(INDEX(Income!C$3:C$502,SMALL(IF((Income!D$3:D$502="GBP")*(Income!A$3:A$502=DATE(2026,8,25)),ROW(Income!A$3:A$502)-2),4)),0)=0,"",IFERROR(-INDEX(Expenses!D$3:D$1002,SMALL(IF((Expenses!E$3:E$1002="GBP")*(Expenses!A$3:A$1002=DATE(2026,8,25)),ROW(Expenses!A$3:A$1002)-2),4)),0)+IFERROR(INDEX(Income!C$3:C$502,SMALL(IF((Income!D$3:D$502="GBP")*(Income!A$3:A$502=DATE(2026,8,25)),ROW(Income!A$3:A$502)-2),4)),0))</f>
        <v/>
      </c>
      <c r="F177" s="38" t="str">
        <f aca="false">IF(IFERROR(INDEX(Expenses!B$3:B$1002,SMALL(IF((Expenses!E$3:E$1002="GBP")*(Expenses!A$3:A$1002=DATE(2026,8,25)),ROW(Expenses!A$3:A$1002)-2),4)),"")&lt;&gt;"",IFERROR(INDEX(Expenses!B$3:B$1002,SMALL(IF((Expenses!E$3:E$1002="GBP")*(Expenses!A$3:A$1002=DATE(2026,8,25)),ROW(Expenses!A$3:A$1002)-2),4)),""),IF(IFERROR(INDEX(Income!B$3:B$502,SMALL(IF((Income!D$3:D$502="GBP")*(Income!A$3:A$502=DATE(2026,8,25)),ROW(Income!A$3:A$502)-2),4)),"")&lt;&gt;"",IFERROR(INDEX(Income!B$3:B$502,SMALL(IF((Income!D$3:D$502="GBP")*(Income!A$3:A$502=DATE(2026,8,25)),ROW(Income!A$3:A$502)-2),4)),""),""))</f>
        <v/>
      </c>
      <c r="G177" s="62" t="str">
        <f aca="false">IF(IFERROR(-INDEX(Expenses!D$3:D$1002,SMALL(IF((Expenses!E$3:E$1002="GBP")*(Expenses!A$3:A$1002=DATE(2026,8,26)),ROW(Expenses!A$3:A$1002)-2),4)),0)+IFERROR(INDEX(Income!C$3:C$502,SMALL(IF((Income!D$3:D$502="GBP")*(Income!A$3:A$502=DATE(2026,8,26)),ROW(Income!A$3:A$502)-2),4)),0)=0,"",IFERROR(-INDEX(Expenses!D$3:D$1002,SMALL(IF((Expenses!E$3:E$1002="GBP")*(Expenses!A$3:A$1002=DATE(2026,8,26)),ROW(Expenses!A$3:A$1002)-2),4)),0)+IFERROR(INDEX(Income!C$3:C$502,SMALL(IF((Income!D$3:D$502="GBP")*(Income!A$3:A$502=DATE(2026,8,26)),ROW(Income!A$3:A$502)-2),4)),0))</f>
        <v/>
      </c>
      <c r="H177" s="38" t="str">
        <f aca="false">IF(IFERROR(INDEX(Expenses!B$3:B$1002,SMALL(IF((Expenses!E$3:E$1002="GBP")*(Expenses!A$3:A$1002=DATE(2026,8,26)),ROW(Expenses!A$3:A$1002)-2),4)),"")&lt;&gt;"",IFERROR(INDEX(Expenses!B$3:B$1002,SMALL(IF((Expenses!E$3:E$1002="GBP")*(Expenses!A$3:A$1002=DATE(2026,8,26)),ROW(Expenses!A$3:A$1002)-2),4)),""),IF(IFERROR(INDEX(Income!B$3:B$502,SMALL(IF((Income!D$3:D$502="GBP")*(Income!A$3:A$502=DATE(2026,8,26)),ROW(Income!A$3:A$502)-2),4)),"")&lt;&gt;"",IFERROR(INDEX(Income!B$3:B$502,SMALL(IF((Income!D$3:D$502="GBP")*(Income!A$3:A$502=DATE(2026,8,26)),ROW(Income!A$3:A$502)-2),4)),""),""))</f>
        <v/>
      </c>
      <c r="I177" s="62" t="str">
        <f aca="false">IF(IFERROR(-INDEX(Expenses!D$3:D$1002,SMALL(IF((Expenses!E$3:E$1002="GBP")*(Expenses!A$3:A$1002=DATE(2026,8,27)),ROW(Expenses!A$3:A$1002)-2),4)),0)+IFERROR(INDEX(Income!C$3:C$502,SMALL(IF((Income!D$3:D$502="GBP")*(Income!A$3:A$502=DATE(2026,8,27)),ROW(Income!A$3:A$502)-2),4)),0)=0,"",IFERROR(-INDEX(Expenses!D$3:D$1002,SMALL(IF((Expenses!E$3:E$1002="GBP")*(Expenses!A$3:A$1002=DATE(2026,8,27)),ROW(Expenses!A$3:A$1002)-2),4)),0)+IFERROR(INDEX(Income!C$3:C$502,SMALL(IF((Income!D$3:D$502="GBP")*(Income!A$3:A$502=DATE(2026,8,27)),ROW(Income!A$3:A$502)-2),4)),0))</f>
        <v/>
      </c>
      <c r="J177" s="38" t="str">
        <f aca="false">IF(IFERROR(INDEX(Expenses!B$3:B$1002,SMALL(IF((Expenses!E$3:E$1002="GBP")*(Expenses!A$3:A$1002=DATE(2026,8,27)),ROW(Expenses!A$3:A$1002)-2),4)),"")&lt;&gt;"",IFERROR(INDEX(Expenses!B$3:B$1002,SMALL(IF((Expenses!E$3:E$1002="GBP")*(Expenses!A$3:A$1002=DATE(2026,8,27)),ROW(Expenses!A$3:A$1002)-2),4)),""),IF(IFERROR(INDEX(Income!B$3:B$502,SMALL(IF((Income!D$3:D$502="GBP")*(Income!A$3:A$502=DATE(2026,8,27)),ROW(Income!A$3:A$502)-2),4)),"")&lt;&gt;"",IFERROR(INDEX(Income!B$3:B$502,SMALL(IF((Income!D$3:D$502="GBP")*(Income!A$3:A$502=DATE(2026,8,27)),ROW(Income!A$3:A$502)-2),4)),""),""))</f>
        <v/>
      </c>
      <c r="K177" s="62" t="str">
        <f aca="false">IF(IFERROR(-INDEX(Expenses!D$3:D$1002,SMALL(IF((Expenses!E$3:E$1002="GBP")*(Expenses!A$3:A$1002=DATE(2026,8,28)),ROW(Expenses!A$3:A$1002)-2),4)),0)+IFERROR(INDEX(Income!C$3:C$502,SMALL(IF((Income!D$3:D$502="GBP")*(Income!A$3:A$502=DATE(2026,8,28)),ROW(Income!A$3:A$502)-2),4)),0)=0,"",IFERROR(-INDEX(Expenses!D$3:D$1002,SMALL(IF((Expenses!E$3:E$1002="GBP")*(Expenses!A$3:A$1002=DATE(2026,8,28)),ROW(Expenses!A$3:A$1002)-2),4)),0)+IFERROR(INDEX(Income!C$3:C$502,SMALL(IF((Income!D$3:D$502="GBP")*(Income!A$3:A$502=DATE(2026,8,28)),ROW(Income!A$3:A$502)-2),4)),0))</f>
        <v/>
      </c>
      <c r="L177" s="38" t="str">
        <f aca="false">IF(IFERROR(INDEX(Expenses!B$3:B$1002,SMALL(IF((Expenses!E$3:E$1002="GBP")*(Expenses!A$3:A$1002=DATE(2026,8,28)),ROW(Expenses!A$3:A$1002)-2),4)),"")&lt;&gt;"",IFERROR(INDEX(Expenses!B$3:B$1002,SMALL(IF((Expenses!E$3:E$1002="GBP")*(Expenses!A$3:A$1002=DATE(2026,8,28)),ROW(Expenses!A$3:A$1002)-2),4)),""),IF(IFERROR(INDEX(Income!B$3:B$502,SMALL(IF((Income!D$3:D$502="GBP")*(Income!A$3:A$502=DATE(2026,8,28)),ROW(Income!A$3:A$502)-2),4)),"")&lt;&gt;"",IFERROR(INDEX(Income!B$3:B$502,SMALL(IF((Income!D$3:D$502="GBP")*(Income!A$3:A$502=DATE(2026,8,28)),ROW(Income!A$3:A$502)-2),4)),""),""))</f>
        <v/>
      </c>
      <c r="M177" s="62" t="str">
        <f aca="false">IF(IFERROR(-INDEX(Expenses!D$3:D$1002,SMALL(IF((Expenses!E$3:E$1002="GBP")*(Expenses!A$3:A$1002=DATE(2026,8,29)),ROW(Expenses!A$3:A$1002)-2),4)),0)+IFERROR(INDEX(Income!C$3:C$502,SMALL(IF((Income!D$3:D$502="GBP")*(Income!A$3:A$502=DATE(2026,8,29)),ROW(Income!A$3:A$502)-2),4)),0)=0,"",IFERROR(-INDEX(Expenses!D$3:D$1002,SMALL(IF((Expenses!E$3:E$1002="GBP")*(Expenses!A$3:A$1002=DATE(2026,8,29)),ROW(Expenses!A$3:A$1002)-2),4)),0)+IFERROR(INDEX(Income!C$3:C$502,SMALL(IF((Income!D$3:D$502="GBP")*(Income!A$3:A$502=DATE(2026,8,29)),ROW(Income!A$3:A$502)-2),4)),0))</f>
        <v/>
      </c>
      <c r="N177" s="38" t="str">
        <f aca="false">IF(IFERROR(INDEX(Expenses!B$3:B$1002,SMALL(IF((Expenses!E$3:E$1002="GBP")*(Expenses!A$3:A$1002=DATE(2026,8,29)),ROW(Expenses!A$3:A$1002)-2),4)),"")&lt;&gt;"",IFERROR(INDEX(Expenses!B$3:B$1002,SMALL(IF((Expenses!E$3:E$1002="GBP")*(Expenses!A$3:A$1002=DATE(2026,8,29)),ROW(Expenses!A$3:A$1002)-2),4)),""),IF(IFERROR(INDEX(Income!B$3:B$502,SMALL(IF((Income!D$3:D$502="GBP")*(Income!A$3:A$502=DATE(2026,8,29)),ROW(Income!A$3:A$502)-2),4)),"")&lt;&gt;"",IFERROR(INDEX(Income!B$3:B$502,SMALL(IF((Income!D$3:D$502="GBP")*(Income!A$3:A$502=DATE(2026,8,29)),ROW(Income!A$3:A$502)-2),4)),""),""))</f>
        <v/>
      </c>
      <c r="O177" s="62" t="str">
        <f aca="false">IF(IFERROR(-INDEX(Expenses!D$3:D$1002,SMALL(IF((Expenses!E$3:E$1002="GBP")*(Expenses!A$3:A$1002=DATE(2026,8,30)),ROW(Expenses!A$3:A$1002)-2),4)),0)+IFERROR(INDEX(Income!C$3:C$502,SMALL(IF((Income!D$3:D$502="GBP")*(Income!A$3:A$502=DATE(2026,8,30)),ROW(Income!A$3:A$502)-2),4)),0)=0,"",IFERROR(-INDEX(Expenses!D$3:D$1002,SMALL(IF((Expenses!E$3:E$1002="GBP")*(Expenses!A$3:A$1002=DATE(2026,8,30)),ROW(Expenses!A$3:A$1002)-2),4)),0)+IFERROR(INDEX(Income!C$3:C$502,SMALL(IF((Income!D$3:D$502="GBP")*(Income!A$3:A$502=DATE(2026,8,30)),ROW(Income!A$3:A$502)-2),4)),0))</f>
        <v/>
      </c>
      <c r="P177" s="38" t="str">
        <f aca="false">IF(IFERROR(INDEX(Expenses!B$3:B$1002,SMALL(IF((Expenses!E$3:E$1002="GBP")*(Expenses!A$3:A$1002=DATE(2026,8,30)),ROW(Expenses!A$3:A$1002)-2),4)),"")&lt;&gt;"",IFERROR(INDEX(Expenses!B$3:B$1002,SMALL(IF((Expenses!E$3:E$1002="GBP")*(Expenses!A$3:A$1002=DATE(2026,8,30)),ROW(Expenses!A$3:A$1002)-2),4)),""),IF(IFERROR(INDEX(Income!B$3:B$502,SMALL(IF((Income!D$3:D$502="GBP")*(Income!A$3:A$502=DATE(2026,8,30)),ROW(Income!A$3:A$502)-2),4)),"")&lt;&gt;"",IFERROR(INDEX(Income!B$3:B$502,SMALL(IF((Income!D$3:D$502="GBP")*(Income!A$3:A$502=DATE(2026,8,30)),ROW(Income!A$3:A$502)-2),4)),""),""))</f>
        <v/>
      </c>
      <c r="Q177" s="16"/>
      <c r="R177" s="16"/>
    </row>
    <row r="178" customFormat="false" ht="15" hidden="false" customHeight="false" outlineLevel="0" collapsed="false">
      <c r="A178" s="16"/>
      <c r="B178" s="16"/>
      <c r="C178" s="62" t="str">
        <f aca="false">IF(IFERROR(-INDEX(Expenses!D$3:D$1002,SMALL(IF((Expenses!E$3:E$1002="GBP")*(Expenses!A$3:A$1002=DATE(2026,8,24)),ROW(Expenses!A$3:A$1002)-2),5)),0)+IFERROR(INDEX(Income!C$3:C$502,SMALL(IF((Income!D$3:D$502="GBP")*(Income!A$3:A$502=DATE(2026,8,24)),ROW(Income!A$3:A$502)-2),5)),0)=0,"",IFERROR(-INDEX(Expenses!D$3:D$1002,SMALL(IF((Expenses!E$3:E$1002="GBP")*(Expenses!A$3:A$1002=DATE(2026,8,24)),ROW(Expenses!A$3:A$1002)-2),5)),0)+IFERROR(INDEX(Income!C$3:C$502,SMALL(IF((Income!D$3:D$502="GBP")*(Income!A$3:A$502=DATE(2026,8,24)),ROW(Income!A$3:A$502)-2),5)),0))</f>
        <v/>
      </c>
      <c r="D178" s="38" t="str">
        <f aca="false">IF(IFERROR(INDEX(Expenses!B$3:B$1002,SMALL(IF((Expenses!E$3:E$1002="GBP")*(Expenses!A$3:A$1002=DATE(2026,8,24)),ROW(Expenses!A$3:A$1002)-2),5)),"")&lt;&gt;"",IFERROR(INDEX(Expenses!B$3:B$1002,SMALL(IF((Expenses!E$3:E$1002="GBP")*(Expenses!A$3:A$1002=DATE(2026,8,24)),ROW(Expenses!A$3:A$1002)-2),5)),""),IF(IFERROR(INDEX(Income!B$3:B$502,SMALL(IF((Income!D$3:D$502="GBP")*(Income!A$3:A$502=DATE(2026,8,24)),ROW(Income!A$3:A$502)-2),5)),"")&lt;&gt;"",IFERROR(INDEX(Income!B$3:B$502,SMALL(IF((Income!D$3:D$502="GBP")*(Income!A$3:A$502=DATE(2026,8,24)),ROW(Income!A$3:A$502)-2),5)),""),""))</f>
        <v/>
      </c>
      <c r="E178" s="62" t="str">
        <f aca="false">IF(IFERROR(-INDEX(Expenses!D$3:D$1002,SMALL(IF((Expenses!E$3:E$1002="GBP")*(Expenses!A$3:A$1002=DATE(2026,8,25)),ROW(Expenses!A$3:A$1002)-2),5)),0)+IFERROR(INDEX(Income!C$3:C$502,SMALL(IF((Income!D$3:D$502="GBP")*(Income!A$3:A$502=DATE(2026,8,25)),ROW(Income!A$3:A$502)-2),5)),0)=0,"",IFERROR(-INDEX(Expenses!D$3:D$1002,SMALL(IF((Expenses!E$3:E$1002="GBP")*(Expenses!A$3:A$1002=DATE(2026,8,25)),ROW(Expenses!A$3:A$1002)-2),5)),0)+IFERROR(INDEX(Income!C$3:C$502,SMALL(IF((Income!D$3:D$502="GBP")*(Income!A$3:A$502=DATE(2026,8,25)),ROW(Income!A$3:A$502)-2),5)),0))</f>
        <v/>
      </c>
      <c r="F178" s="38" t="str">
        <f aca="false">IF(IFERROR(INDEX(Expenses!B$3:B$1002,SMALL(IF((Expenses!E$3:E$1002="GBP")*(Expenses!A$3:A$1002=DATE(2026,8,25)),ROW(Expenses!A$3:A$1002)-2),5)),"")&lt;&gt;"",IFERROR(INDEX(Expenses!B$3:B$1002,SMALL(IF((Expenses!E$3:E$1002="GBP")*(Expenses!A$3:A$1002=DATE(2026,8,25)),ROW(Expenses!A$3:A$1002)-2),5)),""),IF(IFERROR(INDEX(Income!B$3:B$502,SMALL(IF((Income!D$3:D$502="GBP")*(Income!A$3:A$502=DATE(2026,8,25)),ROW(Income!A$3:A$502)-2),5)),"")&lt;&gt;"",IFERROR(INDEX(Income!B$3:B$502,SMALL(IF((Income!D$3:D$502="GBP")*(Income!A$3:A$502=DATE(2026,8,25)),ROW(Income!A$3:A$502)-2),5)),""),""))</f>
        <v/>
      </c>
      <c r="G178" s="62" t="str">
        <f aca="false">IF(IFERROR(-INDEX(Expenses!D$3:D$1002,SMALL(IF((Expenses!E$3:E$1002="GBP")*(Expenses!A$3:A$1002=DATE(2026,8,26)),ROW(Expenses!A$3:A$1002)-2),5)),0)+IFERROR(INDEX(Income!C$3:C$502,SMALL(IF((Income!D$3:D$502="GBP")*(Income!A$3:A$502=DATE(2026,8,26)),ROW(Income!A$3:A$502)-2),5)),0)=0,"",IFERROR(-INDEX(Expenses!D$3:D$1002,SMALL(IF((Expenses!E$3:E$1002="GBP")*(Expenses!A$3:A$1002=DATE(2026,8,26)),ROW(Expenses!A$3:A$1002)-2),5)),0)+IFERROR(INDEX(Income!C$3:C$502,SMALL(IF((Income!D$3:D$502="GBP")*(Income!A$3:A$502=DATE(2026,8,26)),ROW(Income!A$3:A$502)-2),5)),0))</f>
        <v/>
      </c>
      <c r="H178" s="38" t="str">
        <f aca="false">IF(IFERROR(INDEX(Expenses!B$3:B$1002,SMALL(IF((Expenses!E$3:E$1002="GBP")*(Expenses!A$3:A$1002=DATE(2026,8,26)),ROW(Expenses!A$3:A$1002)-2),5)),"")&lt;&gt;"",IFERROR(INDEX(Expenses!B$3:B$1002,SMALL(IF((Expenses!E$3:E$1002="GBP")*(Expenses!A$3:A$1002=DATE(2026,8,26)),ROW(Expenses!A$3:A$1002)-2),5)),""),IF(IFERROR(INDEX(Income!B$3:B$502,SMALL(IF((Income!D$3:D$502="GBP")*(Income!A$3:A$502=DATE(2026,8,26)),ROW(Income!A$3:A$502)-2),5)),"")&lt;&gt;"",IFERROR(INDEX(Income!B$3:B$502,SMALL(IF((Income!D$3:D$502="GBP")*(Income!A$3:A$502=DATE(2026,8,26)),ROW(Income!A$3:A$502)-2),5)),""),""))</f>
        <v/>
      </c>
      <c r="I178" s="62" t="str">
        <f aca="false">IF(IFERROR(-INDEX(Expenses!D$3:D$1002,SMALL(IF((Expenses!E$3:E$1002="GBP")*(Expenses!A$3:A$1002=DATE(2026,8,27)),ROW(Expenses!A$3:A$1002)-2),5)),0)+IFERROR(INDEX(Income!C$3:C$502,SMALL(IF((Income!D$3:D$502="GBP")*(Income!A$3:A$502=DATE(2026,8,27)),ROW(Income!A$3:A$502)-2),5)),0)=0,"",IFERROR(-INDEX(Expenses!D$3:D$1002,SMALL(IF((Expenses!E$3:E$1002="GBP")*(Expenses!A$3:A$1002=DATE(2026,8,27)),ROW(Expenses!A$3:A$1002)-2),5)),0)+IFERROR(INDEX(Income!C$3:C$502,SMALL(IF((Income!D$3:D$502="GBP")*(Income!A$3:A$502=DATE(2026,8,27)),ROW(Income!A$3:A$502)-2),5)),0))</f>
        <v/>
      </c>
      <c r="J178" s="38" t="str">
        <f aca="false">IF(IFERROR(INDEX(Expenses!B$3:B$1002,SMALL(IF((Expenses!E$3:E$1002="GBP")*(Expenses!A$3:A$1002=DATE(2026,8,27)),ROW(Expenses!A$3:A$1002)-2),5)),"")&lt;&gt;"",IFERROR(INDEX(Expenses!B$3:B$1002,SMALL(IF((Expenses!E$3:E$1002="GBP")*(Expenses!A$3:A$1002=DATE(2026,8,27)),ROW(Expenses!A$3:A$1002)-2),5)),""),IF(IFERROR(INDEX(Income!B$3:B$502,SMALL(IF((Income!D$3:D$502="GBP")*(Income!A$3:A$502=DATE(2026,8,27)),ROW(Income!A$3:A$502)-2),5)),"")&lt;&gt;"",IFERROR(INDEX(Income!B$3:B$502,SMALL(IF((Income!D$3:D$502="GBP")*(Income!A$3:A$502=DATE(2026,8,27)),ROW(Income!A$3:A$502)-2),5)),""),""))</f>
        <v/>
      </c>
      <c r="K178" s="62" t="str">
        <f aca="false">IF(IFERROR(-INDEX(Expenses!D$3:D$1002,SMALL(IF((Expenses!E$3:E$1002="GBP")*(Expenses!A$3:A$1002=DATE(2026,8,28)),ROW(Expenses!A$3:A$1002)-2),5)),0)+IFERROR(INDEX(Income!C$3:C$502,SMALL(IF((Income!D$3:D$502="GBP")*(Income!A$3:A$502=DATE(2026,8,28)),ROW(Income!A$3:A$502)-2),5)),0)=0,"",IFERROR(-INDEX(Expenses!D$3:D$1002,SMALL(IF((Expenses!E$3:E$1002="GBP")*(Expenses!A$3:A$1002=DATE(2026,8,28)),ROW(Expenses!A$3:A$1002)-2),5)),0)+IFERROR(INDEX(Income!C$3:C$502,SMALL(IF((Income!D$3:D$502="GBP")*(Income!A$3:A$502=DATE(2026,8,28)),ROW(Income!A$3:A$502)-2),5)),0))</f>
        <v/>
      </c>
      <c r="L178" s="38" t="str">
        <f aca="false">IF(IFERROR(INDEX(Expenses!B$3:B$1002,SMALL(IF((Expenses!E$3:E$1002="GBP")*(Expenses!A$3:A$1002=DATE(2026,8,28)),ROW(Expenses!A$3:A$1002)-2),5)),"")&lt;&gt;"",IFERROR(INDEX(Expenses!B$3:B$1002,SMALL(IF((Expenses!E$3:E$1002="GBP")*(Expenses!A$3:A$1002=DATE(2026,8,28)),ROW(Expenses!A$3:A$1002)-2),5)),""),IF(IFERROR(INDEX(Income!B$3:B$502,SMALL(IF((Income!D$3:D$502="GBP")*(Income!A$3:A$502=DATE(2026,8,28)),ROW(Income!A$3:A$502)-2),5)),"")&lt;&gt;"",IFERROR(INDEX(Income!B$3:B$502,SMALL(IF((Income!D$3:D$502="GBP")*(Income!A$3:A$502=DATE(2026,8,28)),ROW(Income!A$3:A$502)-2),5)),""),""))</f>
        <v/>
      </c>
      <c r="M178" s="62" t="str">
        <f aca="false">IF(IFERROR(-INDEX(Expenses!D$3:D$1002,SMALL(IF((Expenses!E$3:E$1002="GBP")*(Expenses!A$3:A$1002=DATE(2026,8,29)),ROW(Expenses!A$3:A$1002)-2),5)),0)+IFERROR(INDEX(Income!C$3:C$502,SMALL(IF((Income!D$3:D$502="GBP")*(Income!A$3:A$502=DATE(2026,8,29)),ROW(Income!A$3:A$502)-2),5)),0)=0,"",IFERROR(-INDEX(Expenses!D$3:D$1002,SMALL(IF((Expenses!E$3:E$1002="GBP")*(Expenses!A$3:A$1002=DATE(2026,8,29)),ROW(Expenses!A$3:A$1002)-2),5)),0)+IFERROR(INDEX(Income!C$3:C$502,SMALL(IF((Income!D$3:D$502="GBP")*(Income!A$3:A$502=DATE(2026,8,29)),ROW(Income!A$3:A$502)-2),5)),0))</f>
        <v/>
      </c>
      <c r="N178" s="38" t="str">
        <f aca="false">IF(IFERROR(INDEX(Expenses!B$3:B$1002,SMALL(IF((Expenses!E$3:E$1002="GBP")*(Expenses!A$3:A$1002=DATE(2026,8,29)),ROW(Expenses!A$3:A$1002)-2),5)),"")&lt;&gt;"",IFERROR(INDEX(Expenses!B$3:B$1002,SMALL(IF((Expenses!E$3:E$1002="GBP")*(Expenses!A$3:A$1002=DATE(2026,8,29)),ROW(Expenses!A$3:A$1002)-2),5)),""),IF(IFERROR(INDEX(Income!B$3:B$502,SMALL(IF((Income!D$3:D$502="GBP")*(Income!A$3:A$502=DATE(2026,8,29)),ROW(Income!A$3:A$502)-2),5)),"")&lt;&gt;"",IFERROR(INDEX(Income!B$3:B$502,SMALL(IF((Income!D$3:D$502="GBP")*(Income!A$3:A$502=DATE(2026,8,29)),ROW(Income!A$3:A$502)-2),5)),""),""))</f>
        <v/>
      </c>
      <c r="O178" s="62" t="str">
        <f aca="false">IF(IFERROR(-INDEX(Expenses!D$3:D$1002,SMALL(IF((Expenses!E$3:E$1002="GBP")*(Expenses!A$3:A$1002=DATE(2026,8,30)),ROW(Expenses!A$3:A$1002)-2),5)),0)+IFERROR(INDEX(Income!C$3:C$502,SMALL(IF((Income!D$3:D$502="GBP")*(Income!A$3:A$502=DATE(2026,8,30)),ROW(Income!A$3:A$502)-2),5)),0)=0,"",IFERROR(-INDEX(Expenses!D$3:D$1002,SMALL(IF((Expenses!E$3:E$1002="GBP")*(Expenses!A$3:A$1002=DATE(2026,8,30)),ROW(Expenses!A$3:A$1002)-2),5)),0)+IFERROR(INDEX(Income!C$3:C$502,SMALL(IF((Income!D$3:D$502="GBP")*(Income!A$3:A$502=DATE(2026,8,30)),ROW(Income!A$3:A$502)-2),5)),0))</f>
        <v/>
      </c>
      <c r="P178" s="38" t="str">
        <f aca="false">IF(IFERROR(INDEX(Expenses!B$3:B$1002,SMALL(IF((Expenses!E$3:E$1002="GBP")*(Expenses!A$3:A$1002=DATE(2026,8,30)),ROW(Expenses!A$3:A$1002)-2),5)),"")&lt;&gt;"",IFERROR(INDEX(Expenses!B$3:B$1002,SMALL(IF((Expenses!E$3:E$1002="GBP")*(Expenses!A$3:A$1002=DATE(2026,8,30)),ROW(Expenses!A$3:A$1002)-2),5)),""),IF(IFERROR(INDEX(Income!B$3:B$502,SMALL(IF((Income!D$3:D$502="GBP")*(Income!A$3:A$502=DATE(2026,8,30)),ROW(Income!A$3:A$502)-2),5)),"")&lt;&gt;"",IFERROR(INDEX(Income!B$3:B$502,SMALL(IF((Income!D$3:D$502="GBP")*(Income!A$3:A$502=DATE(2026,8,30)),ROW(Income!A$3:A$502)-2),5)),""),""))</f>
        <v/>
      </c>
      <c r="Q178" s="16"/>
      <c r="R178" s="16"/>
    </row>
    <row r="179" customFormat="false" ht="15" hidden="false" customHeight="false" outlineLevel="0" collapsed="false">
      <c r="A179" s="61" t="n">
        <v>46265</v>
      </c>
      <c r="B179" s="3" t="n">
        <v>36</v>
      </c>
      <c r="C179" s="62" t="str">
        <f aca="false">IF(IFERROR(-INDEX(Expenses!D$3:D$1002,SMALL(IF((Expenses!E$3:E$1002="GBP")*(Expenses!A$3:A$1002=DATE(2026,8,31)),ROW(Expenses!A$3:A$1002)-2),1)),0)+IFERROR(INDEX(Income!C$3:C$502,SMALL(IF((Income!D$3:D$502="GBP")*(Income!A$3:A$502=DATE(2026,8,31)),ROW(Income!A$3:A$502)-2),1)),0)=0,"",IFERROR(-INDEX(Expenses!D$3:D$1002,SMALL(IF((Expenses!E$3:E$1002="GBP")*(Expenses!A$3:A$1002=DATE(2026,8,31)),ROW(Expenses!A$3:A$1002)-2),1)),0)+IFERROR(INDEX(Income!C$3:C$502,SMALL(IF((Income!D$3:D$502="GBP")*(Income!A$3:A$502=DATE(2026,8,31)),ROW(Income!A$3:A$502)-2),1)),0))</f>
        <v/>
      </c>
      <c r="D179" s="38" t="str">
        <f aca="false">IF(IFERROR(INDEX(Expenses!B$3:B$1002,SMALL(IF((Expenses!E$3:E$1002="GBP")*(Expenses!A$3:A$1002=DATE(2026,8,31)),ROW(Expenses!A$3:A$1002)-2),1)),"")&lt;&gt;"",IFERROR(INDEX(Expenses!B$3:B$1002,SMALL(IF((Expenses!E$3:E$1002="GBP")*(Expenses!A$3:A$1002=DATE(2026,8,31)),ROW(Expenses!A$3:A$1002)-2),1)),""),IF(IFERROR(INDEX(Income!B$3:B$502,SMALL(IF((Income!D$3:D$502="GBP")*(Income!A$3:A$502=DATE(2026,8,31)),ROW(Income!A$3:A$502)-2),1)),"")&lt;&gt;"",IFERROR(INDEX(Income!B$3:B$502,SMALL(IF((Income!D$3:D$502="GBP")*(Income!A$3:A$502=DATE(2026,8,31)),ROW(Income!A$3:A$502)-2),1)),""),""))</f>
        <v/>
      </c>
      <c r="E179" s="62" t="str">
        <f aca="false">IF(IFERROR(-INDEX(Expenses!D$3:D$1002,SMALL(IF((Expenses!E$3:E$1002="GBP")*(Expenses!A$3:A$1002=DATE(2026,9,1)),ROW(Expenses!A$3:A$1002)-2),1)),0)+IFERROR(INDEX(Income!C$3:C$502,SMALL(IF((Income!D$3:D$502="GBP")*(Income!A$3:A$502=DATE(2026,9,1)),ROW(Income!A$3:A$502)-2),1)),0)=0,"",IFERROR(-INDEX(Expenses!D$3:D$1002,SMALL(IF((Expenses!E$3:E$1002="GBP")*(Expenses!A$3:A$1002=DATE(2026,9,1)),ROW(Expenses!A$3:A$1002)-2),1)),0)+IFERROR(INDEX(Income!C$3:C$502,SMALL(IF((Income!D$3:D$502="GBP")*(Income!A$3:A$502=DATE(2026,9,1)),ROW(Income!A$3:A$502)-2),1)),0))</f>
        <v/>
      </c>
      <c r="F179" s="38" t="str">
        <f aca="false">IF(IFERROR(INDEX(Expenses!B$3:B$1002,SMALL(IF((Expenses!E$3:E$1002="GBP")*(Expenses!A$3:A$1002=DATE(2026,9,1)),ROW(Expenses!A$3:A$1002)-2),1)),"")&lt;&gt;"",IFERROR(INDEX(Expenses!B$3:B$1002,SMALL(IF((Expenses!E$3:E$1002="GBP")*(Expenses!A$3:A$1002=DATE(2026,9,1)),ROW(Expenses!A$3:A$1002)-2),1)),""),IF(IFERROR(INDEX(Income!B$3:B$502,SMALL(IF((Income!D$3:D$502="GBP")*(Income!A$3:A$502=DATE(2026,9,1)),ROW(Income!A$3:A$502)-2),1)),"")&lt;&gt;"",IFERROR(INDEX(Income!B$3:B$502,SMALL(IF((Income!D$3:D$502="GBP")*(Income!A$3:A$502=DATE(2026,9,1)),ROW(Income!A$3:A$502)-2),1)),""),""))</f>
        <v/>
      </c>
      <c r="G179" s="62" t="str">
        <f aca="false">IF(IFERROR(-INDEX(Expenses!D$3:D$1002,SMALL(IF((Expenses!E$3:E$1002="GBP")*(Expenses!A$3:A$1002=DATE(2026,9,2)),ROW(Expenses!A$3:A$1002)-2),1)),0)+IFERROR(INDEX(Income!C$3:C$502,SMALL(IF((Income!D$3:D$502="GBP")*(Income!A$3:A$502=DATE(2026,9,2)),ROW(Income!A$3:A$502)-2),1)),0)=0,"",IFERROR(-INDEX(Expenses!D$3:D$1002,SMALL(IF((Expenses!E$3:E$1002="GBP")*(Expenses!A$3:A$1002=DATE(2026,9,2)),ROW(Expenses!A$3:A$1002)-2),1)),0)+IFERROR(INDEX(Income!C$3:C$502,SMALL(IF((Income!D$3:D$502="GBP")*(Income!A$3:A$502=DATE(2026,9,2)),ROW(Income!A$3:A$502)-2),1)),0))</f>
        <v/>
      </c>
      <c r="H179" s="38" t="str">
        <f aca="false">IF(IFERROR(INDEX(Expenses!B$3:B$1002,SMALL(IF((Expenses!E$3:E$1002="GBP")*(Expenses!A$3:A$1002=DATE(2026,9,2)),ROW(Expenses!A$3:A$1002)-2),1)),"")&lt;&gt;"",IFERROR(INDEX(Expenses!B$3:B$1002,SMALL(IF((Expenses!E$3:E$1002="GBP")*(Expenses!A$3:A$1002=DATE(2026,9,2)),ROW(Expenses!A$3:A$1002)-2),1)),""),IF(IFERROR(INDEX(Income!B$3:B$502,SMALL(IF((Income!D$3:D$502="GBP")*(Income!A$3:A$502=DATE(2026,9,2)),ROW(Income!A$3:A$502)-2),1)),"")&lt;&gt;"",IFERROR(INDEX(Income!B$3:B$502,SMALL(IF((Income!D$3:D$502="GBP")*(Income!A$3:A$502=DATE(2026,9,2)),ROW(Income!A$3:A$502)-2),1)),""),""))</f>
        <v/>
      </c>
      <c r="I179" s="62" t="str">
        <f aca="false">IF(IFERROR(-INDEX(Expenses!D$3:D$1002,SMALL(IF((Expenses!E$3:E$1002="GBP")*(Expenses!A$3:A$1002=DATE(2026,9,3)),ROW(Expenses!A$3:A$1002)-2),1)),0)+IFERROR(INDEX(Income!C$3:C$502,SMALL(IF((Income!D$3:D$502="GBP")*(Income!A$3:A$502=DATE(2026,9,3)),ROW(Income!A$3:A$502)-2),1)),0)=0,"",IFERROR(-INDEX(Expenses!D$3:D$1002,SMALL(IF((Expenses!E$3:E$1002="GBP")*(Expenses!A$3:A$1002=DATE(2026,9,3)),ROW(Expenses!A$3:A$1002)-2),1)),0)+IFERROR(INDEX(Income!C$3:C$502,SMALL(IF((Income!D$3:D$502="GBP")*(Income!A$3:A$502=DATE(2026,9,3)),ROW(Income!A$3:A$502)-2),1)),0))</f>
        <v/>
      </c>
      <c r="J179" s="38" t="str">
        <f aca="false">IF(IFERROR(INDEX(Expenses!B$3:B$1002,SMALL(IF((Expenses!E$3:E$1002="GBP")*(Expenses!A$3:A$1002=DATE(2026,9,3)),ROW(Expenses!A$3:A$1002)-2),1)),"")&lt;&gt;"",IFERROR(INDEX(Expenses!B$3:B$1002,SMALL(IF((Expenses!E$3:E$1002="GBP")*(Expenses!A$3:A$1002=DATE(2026,9,3)),ROW(Expenses!A$3:A$1002)-2),1)),""),IF(IFERROR(INDEX(Income!B$3:B$502,SMALL(IF((Income!D$3:D$502="GBP")*(Income!A$3:A$502=DATE(2026,9,3)),ROW(Income!A$3:A$502)-2),1)),"")&lt;&gt;"",IFERROR(INDEX(Income!B$3:B$502,SMALL(IF((Income!D$3:D$502="GBP")*(Income!A$3:A$502=DATE(2026,9,3)),ROW(Income!A$3:A$502)-2),1)),""),""))</f>
        <v/>
      </c>
      <c r="K179" s="62" t="str">
        <f aca="false">IF(IFERROR(-INDEX(Expenses!D$3:D$1002,SMALL(IF((Expenses!E$3:E$1002="GBP")*(Expenses!A$3:A$1002=DATE(2026,9,4)),ROW(Expenses!A$3:A$1002)-2),1)),0)+IFERROR(INDEX(Income!C$3:C$502,SMALL(IF((Income!D$3:D$502="GBP")*(Income!A$3:A$502=DATE(2026,9,4)),ROW(Income!A$3:A$502)-2),1)),0)=0,"",IFERROR(-INDEX(Expenses!D$3:D$1002,SMALL(IF((Expenses!E$3:E$1002="GBP")*(Expenses!A$3:A$1002=DATE(2026,9,4)),ROW(Expenses!A$3:A$1002)-2),1)),0)+IFERROR(INDEX(Income!C$3:C$502,SMALL(IF((Income!D$3:D$502="GBP")*(Income!A$3:A$502=DATE(2026,9,4)),ROW(Income!A$3:A$502)-2),1)),0))</f>
        <v/>
      </c>
      <c r="L179" s="38" t="str">
        <f aca="false">IF(IFERROR(INDEX(Expenses!B$3:B$1002,SMALL(IF((Expenses!E$3:E$1002="GBP")*(Expenses!A$3:A$1002=DATE(2026,9,4)),ROW(Expenses!A$3:A$1002)-2),1)),"")&lt;&gt;"",IFERROR(INDEX(Expenses!B$3:B$1002,SMALL(IF((Expenses!E$3:E$1002="GBP")*(Expenses!A$3:A$1002=DATE(2026,9,4)),ROW(Expenses!A$3:A$1002)-2),1)),""),IF(IFERROR(INDEX(Income!B$3:B$502,SMALL(IF((Income!D$3:D$502="GBP")*(Income!A$3:A$502=DATE(2026,9,4)),ROW(Income!A$3:A$502)-2),1)),"")&lt;&gt;"",IFERROR(INDEX(Income!B$3:B$502,SMALL(IF((Income!D$3:D$502="GBP")*(Income!A$3:A$502=DATE(2026,9,4)),ROW(Income!A$3:A$502)-2),1)),""),""))</f>
        <v/>
      </c>
      <c r="M179" s="62" t="str">
        <f aca="false">IF(IFERROR(-INDEX(Expenses!D$3:D$1002,SMALL(IF((Expenses!E$3:E$1002="GBP")*(Expenses!A$3:A$1002=DATE(2026,9,5)),ROW(Expenses!A$3:A$1002)-2),1)),0)+IFERROR(INDEX(Income!C$3:C$502,SMALL(IF((Income!D$3:D$502="GBP")*(Income!A$3:A$502=DATE(2026,9,5)),ROW(Income!A$3:A$502)-2),1)),0)=0,"",IFERROR(-INDEX(Expenses!D$3:D$1002,SMALL(IF((Expenses!E$3:E$1002="GBP")*(Expenses!A$3:A$1002=DATE(2026,9,5)),ROW(Expenses!A$3:A$1002)-2),1)),0)+IFERROR(INDEX(Income!C$3:C$502,SMALL(IF((Income!D$3:D$502="GBP")*(Income!A$3:A$502=DATE(2026,9,5)),ROW(Income!A$3:A$502)-2),1)),0))</f>
        <v/>
      </c>
      <c r="N179" s="38" t="str">
        <f aca="false">IF(IFERROR(INDEX(Expenses!B$3:B$1002,SMALL(IF((Expenses!E$3:E$1002="GBP")*(Expenses!A$3:A$1002=DATE(2026,9,5)),ROW(Expenses!A$3:A$1002)-2),1)),"")&lt;&gt;"",IFERROR(INDEX(Expenses!B$3:B$1002,SMALL(IF((Expenses!E$3:E$1002="GBP")*(Expenses!A$3:A$1002=DATE(2026,9,5)),ROW(Expenses!A$3:A$1002)-2),1)),""),IF(IFERROR(INDEX(Income!B$3:B$502,SMALL(IF((Income!D$3:D$502="GBP")*(Income!A$3:A$502=DATE(2026,9,5)),ROW(Income!A$3:A$502)-2),1)),"")&lt;&gt;"",IFERROR(INDEX(Income!B$3:B$502,SMALL(IF((Income!D$3:D$502="GBP")*(Income!A$3:A$502=DATE(2026,9,5)),ROW(Income!A$3:A$502)-2),1)),""),""))</f>
        <v/>
      </c>
      <c r="O179" s="62" t="str">
        <f aca="false">IF(IFERROR(-INDEX(Expenses!D$3:D$1002,SMALL(IF((Expenses!E$3:E$1002="GBP")*(Expenses!A$3:A$1002=DATE(2026,9,6)),ROW(Expenses!A$3:A$1002)-2),1)),0)+IFERROR(INDEX(Income!C$3:C$502,SMALL(IF((Income!D$3:D$502="GBP")*(Income!A$3:A$502=DATE(2026,9,6)),ROW(Income!A$3:A$502)-2),1)),0)=0,"",IFERROR(-INDEX(Expenses!D$3:D$1002,SMALL(IF((Expenses!E$3:E$1002="GBP")*(Expenses!A$3:A$1002=DATE(2026,9,6)),ROW(Expenses!A$3:A$1002)-2),1)),0)+IFERROR(INDEX(Income!C$3:C$502,SMALL(IF((Income!D$3:D$502="GBP")*(Income!A$3:A$502=DATE(2026,9,6)),ROW(Income!A$3:A$502)-2),1)),0))</f>
        <v/>
      </c>
      <c r="P179" s="38" t="str">
        <f aca="false">IF(IFERROR(INDEX(Expenses!B$3:B$1002,SMALL(IF((Expenses!E$3:E$1002="GBP")*(Expenses!A$3:A$1002=DATE(2026,9,6)),ROW(Expenses!A$3:A$1002)-2),1)),"")&lt;&gt;"",IFERROR(INDEX(Expenses!B$3:B$1002,SMALL(IF((Expenses!E$3:E$1002="GBP")*(Expenses!A$3:A$1002=DATE(2026,9,6)),ROW(Expenses!A$3:A$1002)-2),1)),""),IF(IFERROR(INDEX(Income!B$3:B$502,SMALL(IF((Income!D$3:D$502="GBP")*(Income!A$3:A$502=DATE(2026,9,6)),ROW(Income!A$3:A$502)-2),1)),"")&lt;&gt;"",IFERROR(INDEX(Income!B$3:B$502,SMALL(IF((Income!D$3:D$502="GBP")*(Income!A$3:A$502=DATE(2026,9,6)),ROW(Income!A$3:A$502)-2),1)),""),""))</f>
        <v/>
      </c>
      <c r="Q179" s="3" t="n">
        <v>36</v>
      </c>
      <c r="R179" s="45" t="n">
        <f aca="false">SUM(C179:C183)+SUM(E179:E183)+SUM(G179:G183)+SUM(I179:I183)+SUM(K179:K183)+SUM(M179:M183)+SUM(O179:O183)</f>
        <v>0</v>
      </c>
    </row>
    <row r="180" customFormat="false" ht="15" hidden="false" customHeight="false" outlineLevel="0" collapsed="false">
      <c r="A180" s="16"/>
      <c r="B180" s="16"/>
      <c r="C180" s="62" t="str">
        <f aca="false">IF(IFERROR(-INDEX(Expenses!D$3:D$1002,SMALL(IF((Expenses!E$3:E$1002="GBP")*(Expenses!A$3:A$1002=DATE(2026,8,31)),ROW(Expenses!A$3:A$1002)-2),2)),0)+IFERROR(INDEX(Income!C$3:C$502,SMALL(IF((Income!D$3:D$502="GBP")*(Income!A$3:A$502=DATE(2026,8,31)),ROW(Income!A$3:A$502)-2),2)),0)=0,"",IFERROR(-INDEX(Expenses!D$3:D$1002,SMALL(IF((Expenses!E$3:E$1002="GBP")*(Expenses!A$3:A$1002=DATE(2026,8,31)),ROW(Expenses!A$3:A$1002)-2),2)),0)+IFERROR(INDEX(Income!C$3:C$502,SMALL(IF((Income!D$3:D$502="GBP")*(Income!A$3:A$502=DATE(2026,8,31)),ROW(Income!A$3:A$502)-2),2)),0))</f>
        <v/>
      </c>
      <c r="D180" s="38" t="str">
        <f aca="false">IF(IFERROR(INDEX(Expenses!B$3:B$1002,SMALL(IF((Expenses!E$3:E$1002="GBP")*(Expenses!A$3:A$1002=DATE(2026,8,31)),ROW(Expenses!A$3:A$1002)-2),2)),"")&lt;&gt;"",IFERROR(INDEX(Expenses!B$3:B$1002,SMALL(IF((Expenses!E$3:E$1002="GBP")*(Expenses!A$3:A$1002=DATE(2026,8,31)),ROW(Expenses!A$3:A$1002)-2),2)),""),IF(IFERROR(INDEX(Income!B$3:B$502,SMALL(IF((Income!D$3:D$502="GBP")*(Income!A$3:A$502=DATE(2026,8,31)),ROW(Income!A$3:A$502)-2),2)),"")&lt;&gt;"",IFERROR(INDEX(Income!B$3:B$502,SMALL(IF((Income!D$3:D$502="GBP")*(Income!A$3:A$502=DATE(2026,8,31)),ROW(Income!A$3:A$502)-2),2)),""),""))</f>
        <v/>
      </c>
      <c r="E180" s="62" t="str">
        <f aca="false">IF(IFERROR(-INDEX(Expenses!D$3:D$1002,SMALL(IF((Expenses!E$3:E$1002="GBP")*(Expenses!A$3:A$1002=DATE(2026,9,1)),ROW(Expenses!A$3:A$1002)-2),2)),0)+IFERROR(INDEX(Income!C$3:C$502,SMALL(IF((Income!D$3:D$502="GBP")*(Income!A$3:A$502=DATE(2026,9,1)),ROW(Income!A$3:A$502)-2),2)),0)=0,"",IFERROR(-INDEX(Expenses!D$3:D$1002,SMALL(IF((Expenses!E$3:E$1002="GBP")*(Expenses!A$3:A$1002=DATE(2026,9,1)),ROW(Expenses!A$3:A$1002)-2),2)),0)+IFERROR(INDEX(Income!C$3:C$502,SMALL(IF((Income!D$3:D$502="GBP")*(Income!A$3:A$502=DATE(2026,9,1)),ROW(Income!A$3:A$502)-2),2)),0))</f>
        <v/>
      </c>
      <c r="F180" s="38" t="str">
        <f aca="false">IF(IFERROR(INDEX(Expenses!B$3:B$1002,SMALL(IF((Expenses!E$3:E$1002="GBP")*(Expenses!A$3:A$1002=DATE(2026,9,1)),ROW(Expenses!A$3:A$1002)-2),2)),"")&lt;&gt;"",IFERROR(INDEX(Expenses!B$3:B$1002,SMALL(IF((Expenses!E$3:E$1002="GBP")*(Expenses!A$3:A$1002=DATE(2026,9,1)),ROW(Expenses!A$3:A$1002)-2),2)),""),IF(IFERROR(INDEX(Income!B$3:B$502,SMALL(IF((Income!D$3:D$502="GBP")*(Income!A$3:A$502=DATE(2026,9,1)),ROW(Income!A$3:A$502)-2),2)),"")&lt;&gt;"",IFERROR(INDEX(Income!B$3:B$502,SMALL(IF((Income!D$3:D$502="GBP")*(Income!A$3:A$502=DATE(2026,9,1)),ROW(Income!A$3:A$502)-2),2)),""),""))</f>
        <v/>
      </c>
      <c r="G180" s="62" t="str">
        <f aca="false">IF(IFERROR(-INDEX(Expenses!D$3:D$1002,SMALL(IF((Expenses!E$3:E$1002="GBP")*(Expenses!A$3:A$1002=DATE(2026,9,2)),ROW(Expenses!A$3:A$1002)-2),2)),0)+IFERROR(INDEX(Income!C$3:C$502,SMALL(IF((Income!D$3:D$502="GBP")*(Income!A$3:A$502=DATE(2026,9,2)),ROW(Income!A$3:A$502)-2),2)),0)=0,"",IFERROR(-INDEX(Expenses!D$3:D$1002,SMALL(IF((Expenses!E$3:E$1002="GBP")*(Expenses!A$3:A$1002=DATE(2026,9,2)),ROW(Expenses!A$3:A$1002)-2),2)),0)+IFERROR(INDEX(Income!C$3:C$502,SMALL(IF((Income!D$3:D$502="GBP")*(Income!A$3:A$502=DATE(2026,9,2)),ROW(Income!A$3:A$502)-2),2)),0))</f>
        <v/>
      </c>
      <c r="H180" s="38" t="str">
        <f aca="false">IF(IFERROR(INDEX(Expenses!B$3:B$1002,SMALL(IF((Expenses!E$3:E$1002="GBP")*(Expenses!A$3:A$1002=DATE(2026,9,2)),ROW(Expenses!A$3:A$1002)-2),2)),"")&lt;&gt;"",IFERROR(INDEX(Expenses!B$3:B$1002,SMALL(IF((Expenses!E$3:E$1002="GBP")*(Expenses!A$3:A$1002=DATE(2026,9,2)),ROW(Expenses!A$3:A$1002)-2),2)),""),IF(IFERROR(INDEX(Income!B$3:B$502,SMALL(IF((Income!D$3:D$502="GBP")*(Income!A$3:A$502=DATE(2026,9,2)),ROW(Income!A$3:A$502)-2),2)),"")&lt;&gt;"",IFERROR(INDEX(Income!B$3:B$502,SMALL(IF((Income!D$3:D$502="GBP")*(Income!A$3:A$502=DATE(2026,9,2)),ROW(Income!A$3:A$502)-2),2)),""),""))</f>
        <v/>
      </c>
      <c r="I180" s="62" t="str">
        <f aca="false">IF(IFERROR(-INDEX(Expenses!D$3:D$1002,SMALL(IF((Expenses!E$3:E$1002="GBP")*(Expenses!A$3:A$1002=DATE(2026,9,3)),ROW(Expenses!A$3:A$1002)-2),2)),0)+IFERROR(INDEX(Income!C$3:C$502,SMALL(IF((Income!D$3:D$502="GBP")*(Income!A$3:A$502=DATE(2026,9,3)),ROW(Income!A$3:A$502)-2),2)),0)=0,"",IFERROR(-INDEX(Expenses!D$3:D$1002,SMALL(IF((Expenses!E$3:E$1002="GBP")*(Expenses!A$3:A$1002=DATE(2026,9,3)),ROW(Expenses!A$3:A$1002)-2),2)),0)+IFERROR(INDEX(Income!C$3:C$502,SMALL(IF((Income!D$3:D$502="GBP")*(Income!A$3:A$502=DATE(2026,9,3)),ROW(Income!A$3:A$502)-2),2)),0))</f>
        <v/>
      </c>
      <c r="J180" s="38" t="str">
        <f aca="false">IF(IFERROR(INDEX(Expenses!B$3:B$1002,SMALL(IF((Expenses!E$3:E$1002="GBP")*(Expenses!A$3:A$1002=DATE(2026,9,3)),ROW(Expenses!A$3:A$1002)-2),2)),"")&lt;&gt;"",IFERROR(INDEX(Expenses!B$3:B$1002,SMALL(IF((Expenses!E$3:E$1002="GBP")*(Expenses!A$3:A$1002=DATE(2026,9,3)),ROW(Expenses!A$3:A$1002)-2),2)),""),IF(IFERROR(INDEX(Income!B$3:B$502,SMALL(IF((Income!D$3:D$502="GBP")*(Income!A$3:A$502=DATE(2026,9,3)),ROW(Income!A$3:A$502)-2),2)),"")&lt;&gt;"",IFERROR(INDEX(Income!B$3:B$502,SMALL(IF((Income!D$3:D$502="GBP")*(Income!A$3:A$502=DATE(2026,9,3)),ROW(Income!A$3:A$502)-2),2)),""),""))</f>
        <v/>
      </c>
      <c r="K180" s="62" t="str">
        <f aca="false">IF(IFERROR(-INDEX(Expenses!D$3:D$1002,SMALL(IF((Expenses!E$3:E$1002="GBP")*(Expenses!A$3:A$1002=DATE(2026,9,4)),ROW(Expenses!A$3:A$1002)-2),2)),0)+IFERROR(INDEX(Income!C$3:C$502,SMALL(IF((Income!D$3:D$502="GBP")*(Income!A$3:A$502=DATE(2026,9,4)),ROW(Income!A$3:A$502)-2),2)),0)=0,"",IFERROR(-INDEX(Expenses!D$3:D$1002,SMALL(IF((Expenses!E$3:E$1002="GBP")*(Expenses!A$3:A$1002=DATE(2026,9,4)),ROW(Expenses!A$3:A$1002)-2),2)),0)+IFERROR(INDEX(Income!C$3:C$502,SMALL(IF((Income!D$3:D$502="GBP")*(Income!A$3:A$502=DATE(2026,9,4)),ROW(Income!A$3:A$502)-2),2)),0))</f>
        <v/>
      </c>
      <c r="L180" s="38" t="str">
        <f aca="false">IF(IFERROR(INDEX(Expenses!B$3:B$1002,SMALL(IF((Expenses!E$3:E$1002="GBP")*(Expenses!A$3:A$1002=DATE(2026,9,4)),ROW(Expenses!A$3:A$1002)-2),2)),"")&lt;&gt;"",IFERROR(INDEX(Expenses!B$3:B$1002,SMALL(IF((Expenses!E$3:E$1002="GBP")*(Expenses!A$3:A$1002=DATE(2026,9,4)),ROW(Expenses!A$3:A$1002)-2),2)),""),IF(IFERROR(INDEX(Income!B$3:B$502,SMALL(IF((Income!D$3:D$502="GBP")*(Income!A$3:A$502=DATE(2026,9,4)),ROW(Income!A$3:A$502)-2),2)),"")&lt;&gt;"",IFERROR(INDEX(Income!B$3:B$502,SMALL(IF((Income!D$3:D$502="GBP")*(Income!A$3:A$502=DATE(2026,9,4)),ROW(Income!A$3:A$502)-2),2)),""),""))</f>
        <v/>
      </c>
      <c r="M180" s="62" t="str">
        <f aca="false">IF(IFERROR(-INDEX(Expenses!D$3:D$1002,SMALL(IF((Expenses!E$3:E$1002="GBP")*(Expenses!A$3:A$1002=DATE(2026,9,5)),ROW(Expenses!A$3:A$1002)-2),2)),0)+IFERROR(INDEX(Income!C$3:C$502,SMALL(IF((Income!D$3:D$502="GBP")*(Income!A$3:A$502=DATE(2026,9,5)),ROW(Income!A$3:A$502)-2),2)),0)=0,"",IFERROR(-INDEX(Expenses!D$3:D$1002,SMALL(IF((Expenses!E$3:E$1002="GBP")*(Expenses!A$3:A$1002=DATE(2026,9,5)),ROW(Expenses!A$3:A$1002)-2),2)),0)+IFERROR(INDEX(Income!C$3:C$502,SMALL(IF((Income!D$3:D$502="GBP")*(Income!A$3:A$502=DATE(2026,9,5)),ROW(Income!A$3:A$502)-2),2)),0))</f>
        <v/>
      </c>
      <c r="N180" s="38" t="str">
        <f aca="false">IF(IFERROR(INDEX(Expenses!B$3:B$1002,SMALL(IF((Expenses!E$3:E$1002="GBP")*(Expenses!A$3:A$1002=DATE(2026,9,5)),ROW(Expenses!A$3:A$1002)-2),2)),"")&lt;&gt;"",IFERROR(INDEX(Expenses!B$3:B$1002,SMALL(IF((Expenses!E$3:E$1002="GBP")*(Expenses!A$3:A$1002=DATE(2026,9,5)),ROW(Expenses!A$3:A$1002)-2),2)),""),IF(IFERROR(INDEX(Income!B$3:B$502,SMALL(IF((Income!D$3:D$502="GBP")*(Income!A$3:A$502=DATE(2026,9,5)),ROW(Income!A$3:A$502)-2),2)),"")&lt;&gt;"",IFERROR(INDEX(Income!B$3:B$502,SMALL(IF((Income!D$3:D$502="GBP")*(Income!A$3:A$502=DATE(2026,9,5)),ROW(Income!A$3:A$502)-2),2)),""),""))</f>
        <v/>
      </c>
      <c r="O180" s="62" t="str">
        <f aca="false">IF(IFERROR(-INDEX(Expenses!D$3:D$1002,SMALL(IF((Expenses!E$3:E$1002="GBP")*(Expenses!A$3:A$1002=DATE(2026,9,6)),ROW(Expenses!A$3:A$1002)-2),2)),0)+IFERROR(INDEX(Income!C$3:C$502,SMALL(IF((Income!D$3:D$502="GBP")*(Income!A$3:A$502=DATE(2026,9,6)),ROW(Income!A$3:A$502)-2),2)),0)=0,"",IFERROR(-INDEX(Expenses!D$3:D$1002,SMALL(IF((Expenses!E$3:E$1002="GBP")*(Expenses!A$3:A$1002=DATE(2026,9,6)),ROW(Expenses!A$3:A$1002)-2),2)),0)+IFERROR(INDEX(Income!C$3:C$502,SMALL(IF((Income!D$3:D$502="GBP")*(Income!A$3:A$502=DATE(2026,9,6)),ROW(Income!A$3:A$502)-2),2)),0))</f>
        <v/>
      </c>
      <c r="P180" s="38" t="str">
        <f aca="false">IF(IFERROR(INDEX(Expenses!B$3:B$1002,SMALL(IF((Expenses!E$3:E$1002="GBP")*(Expenses!A$3:A$1002=DATE(2026,9,6)),ROW(Expenses!A$3:A$1002)-2),2)),"")&lt;&gt;"",IFERROR(INDEX(Expenses!B$3:B$1002,SMALL(IF((Expenses!E$3:E$1002="GBP")*(Expenses!A$3:A$1002=DATE(2026,9,6)),ROW(Expenses!A$3:A$1002)-2),2)),""),IF(IFERROR(INDEX(Income!B$3:B$502,SMALL(IF((Income!D$3:D$502="GBP")*(Income!A$3:A$502=DATE(2026,9,6)),ROW(Income!A$3:A$502)-2),2)),"")&lt;&gt;"",IFERROR(INDEX(Income!B$3:B$502,SMALL(IF((Income!D$3:D$502="GBP")*(Income!A$3:A$502=DATE(2026,9,6)),ROW(Income!A$3:A$502)-2),2)),""),""))</f>
        <v/>
      </c>
      <c r="Q180" s="16"/>
      <c r="R180" s="16"/>
    </row>
    <row r="181" customFormat="false" ht="15" hidden="false" customHeight="false" outlineLevel="0" collapsed="false">
      <c r="A181" s="16"/>
      <c r="B181" s="16"/>
      <c r="C181" s="62" t="str">
        <f aca="false">IF(IFERROR(-INDEX(Expenses!D$3:D$1002,SMALL(IF((Expenses!E$3:E$1002="GBP")*(Expenses!A$3:A$1002=DATE(2026,8,31)),ROW(Expenses!A$3:A$1002)-2),3)),0)+IFERROR(INDEX(Income!C$3:C$502,SMALL(IF((Income!D$3:D$502="GBP")*(Income!A$3:A$502=DATE(2026,8,31)),ROW(Income!A$3:A$502)-2),3)),0)=0,"",IFERROR(-INDEX(Expenses!D$3:D$1002,SMALL(IF((Expenses!E$3:E$1002="GBP")*(Expenses!A$3:A$1002=DATE(2026,8,31)),ROW(Expenses!A$3:A$1002)-2),3)),0)+IFERROR(INDEX(Income!C$3:C$502,SMALL(IF((Income!D$3:D$502="GBP")*(Income!A$3:A$502=DATE(2026,8,31)),ROW(Income!A$3:A$502)-2),3)),0))</f>
        <v/>
      </c>
      <c r="D181" s="38" t="str">
        <f aca="false">IF(IFERROR(INDEX(Expenses!B$3:B$1002,SMALL(IF((Expenses!E$3:E$1002="GBP")*(Expenses!A$3:A$1002=DATE(2026,8,31)),ROW(Expenses!A$3:A$1002)-2),3)),"")&lt;&gt;"",IFERROR(INDEX(Expenses!B$3:B$1002,SMALL(IF((Expenses!E$3:E$1002="GBP")*(Expenses!A$3:A$1002=DATE(2026,8,31)),ROW(Expenses!A$3:A$1002)-2),3)),""),IF(IFERROR(INDEX(Income!B$3:B$502,SMALL(IF((Income!D$3:D$502="GBP")*(Income!A$3:A$502=DATE(2026,8,31)),ROW(Income!A$3:A$502)-2),3)),"")&lt;&gt;"",IFERROR(INDEX(Income!B$3:B$502,SMALL(IF((Income!D$3:D$502="GBP")*(Income!A$3:A$502=DATE(2026,8,31)),ROW(Income!A$3:A$502)-2),3)),""),""))</f>
        <v/>
      </c>
      <c r="E181" s="62" t="str">
        <f aca="false">IF(IFERROR(-INDEX(Expenses!D$3:D$1002,SMALL(IF((Expenses!E$3:E$1002="GBP")*(Expenses!A$3:A$1002=DATE(2026,9,1)),ROW(Expenses!A$3:A$1002)-2),3)),0)+IFERROR(INDEX(Income!C$3:C$502,SMALL(IF((Income!D$3:D$502="GBP")*(Income!A$3:A$502=DATE(2026,9,1)),ROW(Income!A$3:A$502)-2),3)),0)=0,"",IFERROR(-INDEX(Expenses!D$3:D$1002,SMALL(IF((Expenses!E$3:E$1002="GBP")*(Expenses!A$3:A$1002=DATE(2026,9,1)),ROW(Expenses!A$3:A$1002)-2),3)),0)+IFERROR(INDEX(Income!C$3:C$502,SMALL(IF((Income!D$3:D$502="GBP")*(Income!A$3:A$502=DATE(2026,9,1)),ROW(Income!A$3:A$502)-2),3)),0))</f>
        <v/>
      </c>
      <c r="F181" s="38" t="str">
        <f aca="false">IF(IFERROR(INDEX(Expenses!B$3:B$1002,SMALL(IF((Expenses!E$3:E$1002="GBP")*(Expenses!A$3:A$1002=DATE(2026,9,1)),ROW(Expenses!A$3:A$1002)-2),3)),"")&lt;&gt;"",IFERROR(INDEX(Expenses!B$3:B$1002,SMALL(IF((Expenses!E$3:E$1002="GBP")*(Expenses!A$3:A$1002=DATE(2026,9,1)),ROW(Expenses!A$3:A$1002)-2),3)),""),IF(IFERROR(INDEX(Income!B$3:B$502,SMALL(IF((Income!D$3:D$502="GBP")*(Income!A$3:A$502=DATE(2026,9,1)),ROW(Income!A$3:A$502)-2),3)),"")&lt;&gt;"",IFERROR(INDEX(Income!B$3:B$502,SMALL(IF((Income!D$3:D$502="GBP")*(Income!A$3:A$502=DATE(2026,9,1)),ROW(Income!A$3:A$502)-2),3)),""),""))</f>
        <v/>
      </c>
      <c r="G181" s="62" t="str">
        <f aca="false">IF(IFERROR(-INDEX(Expenses!D$3:D$1002,SMALL(IF((Expenses!E$3:E$1002="GBP")*(Expenses!A$3:A$1002=DATE(2026,9,2)),ROW(Expenses!A$3:A$1002)-2),3)),0)+IFERROR(INDEX(Income!C$3:C$502,SMALL(IF((Income!D$3:D$502="GBP")*(Income!A$3:A$502=DATE(2026,9,2)),ROW(Income!A$3:A$502)-2),3)),0)=0,"",IFERROR(-INDEX(Expenses!D$3:D$1002,SMALL(IF((Expenses!E$3:E$1002="GBP")*(Expenses!A$3:A$1002=DATE(2026,9,2)),ROW(Expenses!A$3:A$1002)-2),3)),0)+IFERROR(INDEX(Income!C$3:C$502,SMALL(IF((Income!D$3:D$502="GBP")*(Income!A$3:A$502=DATE(2026,9,2)),ROW(Income!A$3:A$502)-2),3)),0))</f>
        <v/>
      </c>
      <c r="H181" s="38" t="str">
        <f aca="false">IF(IFERROR(INDEX(Expenses!B$3:B$1002,SMALL(IF((Expenses!E$3:E$1002="GBP")*(Expenses!A$3:A$1002=DATE(2026,9,2)),ROW(Expenses!A$3:A$1002)-2),3)),"")&lt;&gt;"",IFERROR(INDEX(Expenses!B$3:B$1002,SMALL(IF((Expenses!E$3:E$1002="GBP")*(Expenses!A$3:A$1002=DATE(2026,9,2)),ROW(Expenses!A$3:A$1002)-2),3)),""),IF(IFERROR(INDEX(Income!B$3:B$502,SMALL(IF((Income!D$3:D$502="GBP")*(Income!A$3:A$502=DATE(2026,9,2)),ROW(Income!A$3:A$502)-2),3)),"")&lt;&gt;"",IFERROR(INDEX(Income!B$3:B$502,SMALL(IF((Income!D$3:D$502="GBP")*(Income!A$3:A$502=DATE(2026,9,2)),ROW(Income!A$3:A$502)-2),3)),""),""))</f>
        <v/>
      </c>
      <c r="I181" s="62" t="str">
        <f aca="false">IF(IFERROR(-INDEX(Expenses!D$3:D$1002,SMALL(IF((Expenses!E$3:E$1002="GBP")*(Expenses!A$3:A$1002=DATE(2026,9,3)),ROW(Expenses!A$3:A$1002)-2),3)),0)+IFERROR(INDEX(Income!C$3:C$502,SMALL(IF((Income!D$3:D$502="GBP")*(Income!A$3:A$502=DATE(2026,9,3)),ROW(Income!A$3:A$502)-2),3)),0)=0,"",IFERROR(-INDEX(Expenses!D$3:D$1002,SMALL(IF((Expenses!E$3:E$1002="GBP")*(Expenses!A$3:A$1002=DATE(2026,9,3)),ROW(Expenses!A$3:A$1002)-2),3)),0)+IFERROR(INDEX(Income!C$3:C$502,SMALL(IF((Income!D$3:D$502="GBP")*(Income!A$3:A$502=DATE(2026,9,3)),ROW(Income!A$3:A$502)-2),3)),0))</f>
        <v/>
      </c>
      <c r="J181" s="38" t="str">
        <f aca="false">IF(IFERROR(INDEX(Expenses!B$3:B$1002,SMALL(IF((Expenses!E$3:E$1002="GBP")*(Expenses!A$3:A$1002=DATE(2026,9,3)),ROW(Expenses!A$3:A$1002)-2),3)),"")&lt;&gt;"",IFERROR(INDEX(Expenses!B$3:B$1002,SMALL(IF((Expenses!E$3:E$1002="GBP")*(Expenses!A$3:A$1002=DATE(2026,9,3)),ROW(Expenses!A$3:A$1002)-2),3)),""),IF(IFERROR(INDEX(Income!B$3:B$502,SMALL(IF((Income!D$3:D$502="GBP")*(Income!A$3:A$502=DATE(2026,9,3)),ROW(Income!A$3:A$502)-2),3)),"")&lt;&gt;"",IFERROR(INDEX(Income!B$3:B$502,SMALL(IF((Income!D$3:D$502="GBP")*(Income!A$3:A$502=DATE(2026,9,3)),ROW(Income!A$3:A$502)-2),3)),""),""))</f>
        <v/>
      </c>
      <c r="K181" s="62" t="str">
        <f aca="false">IF(IFERROR(-INDEX(Expenses!D$3:D$1002,SMALL(IF((Expenses!E$3:E$1002="GBP")*(Expenses!A$3:A$1002=DATE(2026,9,4)),ROW(Expenses!A$3:A$1002)-2),3)),0)+IFERROR(INDEX(Income!C$3:C$502,SMALL(IF((Income!D$3:D$502="GBP")*(Income!A$3:A$502=DATE(2026,9,4)),ROW(Income!A$3:A$502)-2),3)),0)=0,"",IFERROR(-INDEX(Expenses!D$3:D$1002,SMALL(IF((Expenses!E$3:E$1002="GBP")*(Expenses!A$3:A$1002=DATE(2026,9,4)),ROW(Expenses!A$3:A$1002)-2),3)),0)+IFERROR(INDEX(Income!C$3:C$502,SMALL(IF((Income!D$3:D$502="GBP")*(Income!A$3:A$502=DATE(2026,9,4)),ROW(Income!A$3:A$502)-2),3)),0))</f>
        <v/>
      </c>
      <c r="L181" s="38" t="str">
        <f aca="false">IF(IFERROR(INDEX(Expenses!B$3:B$1002,SMALL(IF((Expenses!E$3:E$1002="GBP")*(Expenses!A$3:A$1002=DATE(2026,9,4)),ROW(Expenses!A$3:A$1002)-2),3)),"")&lt;&gt;"",IFERROR(INDEX(Expenses!B$3:B$1002,SMALL(IF((Expenses!E$3:E$1002="GBP")*(Expenses!A$3:A$1002=DATE(2026,9,4)),ROW(Expenses!A$3:A$1002)-2),3)),""),IF(IFERROR(INDEX(Income!B$3:B$502,SMALL(IF((Income!D$3:D$502="GBP")*(Income!A$3:A$502=DATE(2026,9,4)),ROW(Income!A$3:A$502)-2),3)),"")&lt;&gt;"",IFERROR(INDEX(Income!B$3:B$502,SMALL(IF((Income!D$3:D$502="GBP")*(Income!A$3:A$502=DATE(2026,9,4)),ROW(Income!A$3:A$502)-2),3)),""),""))</f>
        <v/>
      </c>
      <c r="M181" s="62" t="str">
        <f aca="false">IF(IFERROR(-INDEX(Expenses!D$3:D$1002,SMALL(IF((Expenses!E$3:E$1002="GBP")*(Expenses!A$3:A$1002=DATE(2026,9,5)),ROW(Expenses!A$3:A$1002)-2),3)),0)+IFERROR(INDEX(Income!C$3:C$502,SMALL(IF((Income!D$3:D$502="GBP")*(Income!A$3:A$502=DATE(2026,9,5)),ROW(Income!A$3:A$502)-2),3)),0)=0,"",IFERROR(-INDEX(Expenses!D$3:D$1002,SMALL(IF((Expenses!E$3:E$1002="GBP")*(Expenses!A$3:A$1002=DATE(2026,9,5)),ROW(Expenses!A$3:A$1002)-2),3)),0)+IFERROR(INDEX(Income!C$3:C$502,SMALL(IF((Income!D$3:D$502="GBP")*(Income!A$3:A$502=DATE(2026,9,5)),ROW(Income!A$3:A$502)-2),3)),0))</f>
        <v/>
      </c>
      <c r="N181" s="38" t="str">
        <f aca="false">IF(IFERROR(INDEX(Expenses!B$3:B$1002,SMALL(IF((Expenses!E$3:E$1002="GBP")*(Expenses!A$3:A$1002=DATE(2026,9,5)),ROW(Expenses!A$3:A$1002)-2),3)),"")&lt;&gt;"",IFERROR(INDEX(Expenses!B$3:B$1002,SMALL(IF((Expenses!E$3:E$1002="GBP")*(Expenses!A$3:A$1002=DATE(2026,9,5)),ROW(Expenses!A$3:A$1002)-2),3)),""),IF(IFERROR(INDEX(Income!B$3:B$502,SMALL(IF((Income!D$3:D$502="GBP")*(Income!A$3:A$502=DATE(2026,9,5)),ROW(Income!A$3:A$502)-2),3)),"")&lt;&gt;"",IFERROR(INDEX(Income!B$3:B$502,SMALL(IF((Income!D$3:D$502="GBP")*(Income!A$3:A$502=DATE(2026,9,5)),ROW(Income!A$3:A$502)-2),3)),""),""))</f>
        <v/>
      </c>
      <c r="O181" s="62" t="str">
        <f aca="false">IF(IFERROR(-INDEX(Expenses!D$3:D$1002,SMALL(IF((Expenses!E$3:E$1002="GBP")*(Expenses!A$3:A$1002=DATE(2026,9,6)),ROW(Expenses!A$3:A$1002)-2),3)),0)+IFERROR(INDEX(Income!C$3:C$502,SMALL(IF((Income!D$3:D$502="GBP")*(Income!A$3:A$502=DATE(2026,9,6)),ROW(Income!A$3:A$502)-2),3)),0)=0,"",IFERROR(-INDEX(Expenses!D$3:D$1002,SMALL(IF((Expenses!E$3:E$1002="GBP")*(Expenses!A$3:A$1002=DATE(2026,9,6)),ROW(Expenses!A$3:A$1002)-2),3)),0)+IFERROR(INDEX(Income!C$3:C$502,SMALL(IF((Income!D$3:D$502="GBP")*(Income!A$3:A$502=DATE(2026,9,6)),ROW(Income!A$3:A$502)-2),3)),0))</f>
        <v/>
      </c>
      <c r="P181" s="38" t="str">
        <f aca="false">IF(IFERROR(INDEX(Expenses!B$3:B$1002,SMALL(IF((Expenses!E$3:E$1002="GBP")*(Expenses!A$3:A$1002=DATE(2026,9,6)),ROW(Expenses!A$3:A$1002)-2),3)),"")&lt;&gt;"",IFERROR(INDEX(Expenses!B$3:B$1002,SMALL(IF((Expenses!E$3:E$1002="GBP")*(Expenses!A$3:A$1002=DATE(2026,9,6)),ROW(Expenses!A$3:A$1002)-2),3)),""),IF(IFERROR(INDEX(Income!B$3:B$502,SMALL(IF((Income!D$3:D$502="GBP")*(Income!A$3:A$502=DATE(2026,9,6)),ROW(Income!A$3:A$502)-2),3)),"")&lt;&gt;"",IFERROR(INDEX(Income!B$3:B$502,SMALL(IF((Income!D$3:D$502="GBP")*(Income!A$3:A$502=DATE(2026,9,6)),ROW(Income!A$3:A$502)-2),3)),""),""))</f>
        <v/>
      </c>
      <c r="Q181" s="16"/>
      <c r="R181" s="16"/>
    </row>
    <row r="182" customFormat="false" ht="15" hidden="false" customHeight="false" outlineLevel="0" collapsed="false">
      <c r="A182" s="16"/>
      <c r="B182" s="16"/>
      <c r="C182" s="62" t="str">
        <f aca="false">IF(IFERROR(-INDEX(Expenses!D$3:D$1002,SMALL(IF((Expenses!E$3:E$1002="GBP")*(Expenses!A$3:A$1002=DATE(2026,8,31)),ROW(Expenses!A$3:A$1002)-2),4)),0)+IFERROR(INDEX(Income!C$3:C$502,SMALL(IF((Income!D$3:D$502="GBP")*(Income!A$3:A$502=DATE(2026,8,31)),ROW(Income!A$3:A$502)-2),4)),0)=0,"",IFERROR(-INDEX(Expenses!D$3:D$1002,SMALL(IF((Expenses!E$3:E$1002="GBP")*(Expenses!A$3:A$1002=DATE(2026,8,31)),ROW(Expenses!A$3:A$1002)-2),4)),0)+IFERROR(INDEX(Income!C$3:C$502,SMALL(IF((Income!D$3:D$502="GBP")*(Income!A$3:A$502=DATE(2026,8,31)),ROW(Income!A$3:A$502)-2),4)),0))</f>
        <v/>
      </c>
      <c r="D182" s="38" t="str">
        <f aca="false">IF(IFERROR(INDEX(Expenses!B$3:B$1002,SMALL(IF((Expenses!E$3:E$1002="GBP")*(Expenses!A$3:A$1002=DATE(2026,8,31)),ROW(Expenses!A$3:A$1002)-2),4)),"")&lt;&gt;"",IFERROR(INDEX(Expenses!B$3:B$1002,SMALL(IF((Expenses!E$3:E$1002="GBP")*(Expenses!A$3:A$1002=DATE(2026,8,31)),ROW(Expenses!A$3:A$1002)-2),4)),""),IF(IFERROR(INDEX(Income!B$3:B$502,SMALL(IF((Income!D$3:D$502="GBP")*(Income!A$3:A$502=DATE(2026,8,31)),ROW(Income!A$3:A$502)-2),4)),"")&lt;&gt;"",IFERROR(INDEX(Income!B$3:B$502,SMALL(IF((Income!D$3:D$502="GBP")*(Income!A$3:A$502=DATE(2026,8,31)),ROW(Income!A$3:A$502)-2),4)),""),""))</f>
        <v/>
      </c>
      <c r="E182" s="62" t="str">
        <f aca="false">IF(IFERROR(-INDEX(Expenses!D$3:D$1002,SMALL(IF((Expenses!E$3:E$1002="GBP")*(Expenses!A$3:A$1002=DATE(2026,9,1)),ROW(Expenses!A$3:A$1002)-2),4)),0)+IFERROR(INDEX(Income!C$3:C$502,SMALL(IF((Income!D$3:D$502="GBP")*(Income!A$3:A$502=DATE(2026,9,1)),ROW(Income!A$3:A$502)-2),4)),0)=0,"",IFERROR(-INDEX(Expenses!D$3:D$1002,SMALL(IF((Expenses!E$3:E$1002="GBP")*(Expenses!A$3:A$1002=DATE(2026,9,1)),ROW(Expenses!A$3:A$1002)-2),4)),0)+IFERROR(INDEX(Income!C$3:C$502,SMALL(IF((Income!D$3:D$502="GBP")*(Income!A$3:A$502=DATE(2026,9,1)),ROW(Income!A$3:A$502)-2),4)),0))</f>
        <v/>
      </c>
      <c r="F182" s="38" t="str">
        <f aca="false">IF(IFERROR(INDEX(Expenses!B$3:B$1002,SMALL(IF((Expenses!E$3:E$1002="GBP")*(Expenses!A$3:A$1002=DATE(2026,9,1)),ROW(Expenses!A$3:A$1002)-2),4)),"")&lt;&gt;"",IFERROR(INDEX(Expenses!B$3:B$1002,SMALL(IF((Expenses!E$3:E$1002="GBP")*(Expenses!A$3:A$1002=DATE(2026,9,1)),ROW(Expenses!A$3:A$1002)-2),4)),""),IF(IFERROR(INDEX(Income!B$3:B$502,SMALL(IF((Income!D$3:D$502="GBP")*(Income!A$3:A$502=DATE(2026,9,1)),ROW(Income!A$3:A$502)-2),4)),"")&lt;&gt;"",IFERROR(INDEX(Income!B$3:B$502,SMALL(IF((Income!D$3:D$502="GBP")*(Income!A$3:A$502=DATE(2026,9,1)),ROW(Income!A$3:A$502)-2),4)),""),""))</f>
        <v/>
      </c>
      <c r="G182" s="62" t="str">
        <f aca="false">IF(IFERROR(-INDEX(Expenses!D$3:D$1002,SMALL(IF((Expenses!E$3:E$1002="GBP")*(Expenses!A$3:A$1002=DATE(2026,9,2)),ROW(Expenses!A$3:A$1002)-2),4)),0)+IFERROR(INDEX(Income!C$3:C$502,SMALL(IF((Income!D$3:D$502="GBP")*(Income!A$3:A$502=DATE(2026,9,2)),ROW(Income!A$3:A$502)-2),4)),0)=0,"",IFERROR(-INDEX(Expenses!D$3:D$1002,SMALL(IF((Expenses!E$3:E$1002="GBP")*(Expenses!A$3:A$1002=DATE(2026,9,2)),ROW(Expenses!A$3:A$1002)-2),4)),0)+IFERROR(INDEX(Income!C$3:C$502,SMALL(IF((Income!D$3:D$502="GBP")*(Income!A$3:A$502=DATE(2026,9,2)),ROW(Income!A$3:A$502)-2),4)),0))</f>
        <v/>
      </c>
      <c r="H182" s="38" t="str">
        <f aca="false">IF(IFERROR(INDEX(Expenses!B$3:B$1002,SMALL(IF((Expenses!E$3:E$1002="GBP")*(Expenses!A$3:A$1002=DATE(2026,9,2)),ROW(Expenses!A$3:A$1002)-2),4)),"")&lt;&gt;"",IFERROR(INDEX(Expenses!B$3:B$1002,SMALL(IF((Expenses!E$3:E$1002="GBP")*(Expenses!A$3:A$1002=DATE(2026,9,2)),ROW(Expenses!A$3:A$1002)-2),4)),""),IF(IFERROR(INDEX(Income!B$3:B$502,SMALL(IF((Income!D$3:D$502="GBP")*(Income!A$3:A$502=DATE(2026,9,2)),ROW(Income!A$3:A$502)-2),4)),"")&lt;&gt;"",IFERROR(INDEX(Income!B$3:B$502,SMALL(IF((Income!D$3:D$502="GBP")*(Income!A$3:A$502=DATE(2026,9,2)),ROW(Income!A$3:A$502)-2),4)),""),""))</f>
        <v/>
      </c>
      <c r="I182" s="62" t="str">
        <f aca="false">IF(IFERROR(-INDEX(Expenses!D$3:D$1002,SMALL(IF((Expenses!E$3:E$1002="GBP")*(Expenses!A$3:A$1002=DATE(2026,9,3)),ROW(Expenses!A$3:A$1002)-2),4)),0)+IFERROR(INDEX(Income!C$3:C$502,SMALL(IF((Income!D$3:D$502="GBP")*(Income!A$3:A$502=DATE(2026,9,3)),ROW(Income!A$3:A$502)-2),4)),0)=0,"",IFERROR(-INDEX(Expenses!D$3:D$1002,SMALL(IF((Expenses!E$3:E$1002="GBP")*(Expenses!A$3:A$1002=DATE(2026,9,3)),ROW(Expenses!A$3:A$1002)-2),4)),0)+IFERROR(INDEX(Income!C$3:C$502,SMALL(IF((Income!D$3:D$502="GBP")*(Income!A$3:A$502=DATE(2026,9,3)),ROW(Income!A$3:A$502)-2),4)),0))</f>
        <v/>
      </c>
      <c r="J182" s="38" t="str">
        <f aca="false">IF(IFERROR(INDEX(Expenses!B$3:B$1002,SMALL(IF((Expenses!E$3:E$1002="GBP")*(Expenses!A$3:A$1002=DATE(2026,9,3)),ROW(Expenses!A$3:A$1002)-2),4)),"")&lt;&gt;"",IFERROR(INDEX(Expenses!B$3:B$1002,SMALL(IF((Expenses!E$3:E$1002="GBP")*(Expenses!A$3:A$1002=DATE(2026,9,3)),ROW(Expenses!A$3:A$1002)-2),4)),""),IF(IFERROR(INDEX(Income!B$3:B$502,SMALL(IF((Income!D$3:D$502="GBP")*(Income!A$3:A$502=DATE(2026,9,3)),ROW(Income!A$3:A$502)-2),4)),"")&lt;&gt;"",IFERROR(INDEX(Income!B$3:B$502,SMALL(IF((Income!D$3:D$502="GBP")*(Income!A$3:A$502=DATE(2026,9,3)),ROW(Income!A$3:A$502)-2),4)),""),""))</f>
        <v/>
      </c>
      <c r="K182" s="62" t="str">
        <f aca="false">IF(IFERROR(-INDEX(Expenses!D$3:D$1002,SMALL(IF((Expenses!E$3:E$1002="GBP")*(Expenses!A$3:A$1002=DATE(2026,9,4)),ROW(Expenses!A$3:A$1002)-2),4)),0)+IFERROR(INDEX(Income!C$3:C$502,SMALL(IF((Income!D$3:D$502="GBP")*(Income!A$3:A$502=DATE(2026,9,4)),ROW(Income!A$3:A$502)-2),4)),0)=0,"",IFERROR(-INDEX(Expenses!D$3:D$1002,SMALL(IF((Expenses!E$3:E$1002="GBP")*(Expenses!A$3:A$1002=DATE(2026,9,4)),ROW(Expenses!A$3:A$1002)-2),4)),0)+IFERROR(INDEX(Income!C$3:C$502,SMALL(IF((Income!D$3:D$502="GBP")*(Income!A$3:A$502=DATE(2026,9,4)),ROW(Income!A$3:A$502)-2),4)),0))</f>
        <v/>
      </c>
      <c r="L182" s="38" t="str">
        <f aca="false">IF(IFERROR(INDEX(Expenses!B$3:B$1002,SMALL(IF((Expenses!E$3:E$1002="GBP")*(Expenses!A$3:A$1002=DATE(2026,9,4)),ROW(Expenses!A$3:A$1002)-2),4)),"")&lt;&gt;"",IFERROR(INDEX(Expenses!B$3:B$1002,SMALL(IF((Expenses!E$3:E$1002="GBP")*(Expenses!A$3:A$1002=DATE(2026,9,4)),ROW(Expenses!A$3:A$1002)-2),4)),""),IF(IFERROR(INDEX(Income!B$3:B$502,SMALL(IF((Income!D$3:D$502="GBP")*(Income!A$3:A$502=DATE(2026,9,4)),ROW(Income!A$3:A$502)-2),4)),"")&lt;&gt;"",IFERROR(INDEX(Income!B$3:B$502,SMALL(IF((Income!D$3:D$502="GBP")*(Income!A$3:A$502=DATE(2026,9,4)),ROW(Income!A$3:A$502)-2),4)),""),""))</f>
        <v/>
      </c>
      <c r="M182" s="62" t="str">
        <f aca="false">IF(IFERROR(-INDEX(Expenses!D$3:D$1002,SMALL(IF((Expenses!E$3:E$1002="GBP")*(Expenses!A$3:A$1002=DATE(2026,9,5)),ROW(Expenses!A$3:A$1002)-2),4)),0)+IFERROR(INDEX(Income!C$3:C$502,SMALL(IF((Income!D$3:D$502="GBP")*(Income!A$3:A$502=DATE(2026,9,5)),ROW(Income!A$3:A$502)-2),4)),0)=0,"",IFERROR(-INDEX(Expenses!D$3:D$1002,SMALL(IF((Expenses!E$3:E$1002="GBP")*(Expenses!A$3:A$1002=DATE(2026,9,5)),ROW(Expenses!A$3:A$1002)-2),4)),0)+IFERROR(INDEX(Income!C$3:C$502,SMALL(IF((Income!D$3:D$502="GBP")*(Income!A$3:A$502=DATE(2026,9,5)),ROW(Income!A$3:A$502)-2),4)),0))</f>
        <v/>
      </c>
      <c r="N182" s="38" t="str">
        <f aca="false">IF(IFERROR(INDEX(Expenses!B$3:B$1002,SMALL(IF((Expenses!E$3:E$1002="GBP")*(Expenses!A$3:A$1002=DATE(2026,9,5)),ROW(Expenses!A$3:A$1002)-2),4)),"")&lt;&gt;"",IFERROR(INDEX(Expenses!B$3:B$1002,SMALL(IF((Expenses!E$3:E$1002="GBP")*(Expenses!A$3:A$1002=DATE(2026,9,5)),ROW(Expenses!A$3:A$1002)-2),4)),""),IF(IFERROR(INDEX(Income!B$3:B$502,SMALL(IF((Income!D$3:D$502="GBP")*(Income!A$3:A$502=DATE(2026,9,5)),ROW(Income!A$3:A$502)-2),4)),"")&lt;&gt;"",IFERROR(INDEX(Income!B$3:B$502,SMALL(IF((Income!D$3:D$502="GBP")*(Income!A$3:A$502=DATE(2026,9,5)),ROW(Income!A$3:A$502)-2),4)),""),""))</f>
        <v/>
      </c>
      <c r="O182" s="62" t="str">
        <f aca="false">IF(IFERROR(-INDEX(Expenses!D$3:D$1002,SMALL(IF((Expenses!E$3:E$1002="GBP")*(Expenses!A$3:A$1002=DATE(2026,9,6)),ROW(Expenses!A$3:A$1002)-2),4)),0)+IFERROR(INDEX(Income!C$3:C$502,SMALL(IF((Income!D$3:D$502="GBP")*(Income!A$3:A$502=DATE(2026,9,6)),ROW(Income!A$3:A$502)-2),4)),0)=0,"",IFERROR(-INDEX(Expenses!D$3:D$1002,SMALL(IF((Expenses!E$3:E$1002="GBP")*(Expenses!A$3:A$1002=DATE(2026,9,6)),ROW(Expenses!A$3:A$1002)-2),4)),0)+IFERROR(INDEX(Income!C$3:C$502,SMALL(IF((Income!D$3:D$502="GBP")*(Income!A$3:A$502=DATE(2026,9,6)),ROW(Income!A$3:A$502)-2),4)),0))</f>
        <v/>
      </c>
      <c r="P182" s="38" t="str">
        <f aca="false">IF(IFERROR(INDEX(Expenses!B$3:B$1002,SMALL(IF((Expenses!E$3:E$1002="GBP")*(Expenses!A$3:A$1002=DATE(2026,9,6)),ROW(Expenses!A$3:A$1002)-2),4)),"")&lt;&gt;"",IFERROR(INDEX(Expenses!B$3:B$1002,SMALL(IF((Expenses!E$3:E$1002="GBP")*(Expenses!A$3:A$1002=DATE(2026,9,6)),ROW(Expenses!A$3:A$1002)-2),4)),""),IF(IFERROR(INDEX(Income!B$3:B$502,SMALL(IF((Income!D$3:D$502="GBP")*(Income!A$3:A$502=DATE(2026,9,6)),ROW(Income!A$3:A$502)-2),4)),"")&lt;&gt;"",IFERROR(INDEX(Income!B$3:B$502,SMALL(IF((Income!D$3:D$502="GBP")*(Income!A$3:A$502=DATE(2026,9,6)),ROW(Income!A$3:A$502)-2),4)),""),""))</f>
        <v/>
      </c>
      <c r="Q182" s="16"/>
      <c r="R182" s="16"/>
    </row>
    <row r="183" customFormat="false" ht="15" hidden="false" customHeight="false" outlineLevel="0" collapsed="false">
      <c r="A183" s="16"/>
      <c r="B183" s="16"/>
      <c r="C183" s="62" t="str">
        <f aca="false">IF(IFERROR(-INDEX(Expenses!D$3:D$1002,SMALL(IF((Expenses!E$3:E$1002="GBP")*(Expenses!A$3:A$1002=DATE(2026,8,31)),ROW(Expenses!A$3:A$1002)-2),5)),0)+IFERROR(INDEX(Income!C$3:C$502,SMALL(IF((Income!D$3:D$502="GBP")*(Income!A$3:A$502=DATE(2026,8,31)),ROW(Income!A$3:A$502)-2),5)),0)=0,"",IFERROR(-INDEX(Expenses!D$3:D$1002,SMALL(IF((Expenses!E$3:E$1002="GBP")*(Expenses!A$3:A$1002=DATE(2026,8,31)),ROW(Expenses!A$3:A$1002)-2),5)),0)+IFERROR(INDEX(Income!C$3:C$502,SMALL(IF((Income!D$3:D$502="GBP")*(Income!A$3:A$502=DATE(2026,8,31)),ROW(Income!A$3:A$502)-2),5)),0))</f>
        <v/>
      </c>
      <c r="D183" s="38" t="str">
        <f aca="false">IF(IFERROR(INDEX(Expenses!B$3:B$1002,SMALL(IF((Expenses!E$3:E$1002="GBP")*(Expenses!A$3:A$1002=DATE(2026,8,31)),ROW(Expenses!A$3:A$1002)-2),5)),"")&lt;&gt;"",IFERROR(INDEX(Expenses!B$3:B$1002,SMALL(IF((Expenses!E$3:E$1002="GBP")*(Expenses!A$3:A$1002=DATE(2026,8,31)),ROW(Expenses!A$3:A$1002)-2),5)),""),IF(IFERROR(INDEX(Income!B$3:B$502,SMALL(IF((Income!D$3:D$502="GBP")*(Income!A$3:A$502=DATE(2026,8,31)),ROW(Income!A$3:A$502)-2),5)),"")&lt;&gt;"",IFERROR(INDEX(Income!B$3:B$502,SMALL(IF((Income!D$3:D$502="GBP")*(Income!A$3:A$502=DATE(2026,8,31)),ROW(Income!A$3:A$502)-2),5)),""),""))</f>
        <v/>
      </c>
      <c r="E183" s="62" t="str">
        <f aca="false">IF(IFERROR(-INDEX(Expenses!D$3:D$1002,SMALL(IF((Expenses!E$3:E$1002="GBP")*(Expenses!A$3:A$1002=DATE(2026,9,1)),ROW(Expenses!A$3:A$1002)-2),5)),0)+IFERROR(INDEX(Income!C$3:C$502,SMALL(IF((Income!D$3:D$502="GBP")*(Income!A$3:A$502=DATE(2026,9,1)),ROW(Income!A$3:A$502)-2),5)),0)=0,"",IFERROR(-INDEX(Expenses!D$3:D$1002,SMALL(IF((Expenses!E$3:E$1002="GBP")*(Expenses!A$3:A$1002=DATE(2026,9,1)),ROW(Expenses!A$3:A$1002)-2),5)),0)+IFERROR(INDEX(Income!C$3:C$502,SMALL(IF((Income!D$3:D$502="GBP")*(Income!A$3:A$502=DATE(2026,9,1)),ROW(Income!A$3:A$502)-2),5)),0))</f>
        <v/>
      </c>
      <c r="F183" s="38" t="str">
        <f aca="false">IF(IFERROR(INDEX(Expenses!B$3:B$1002,SMALL(IF((Expenses!E$3:E$1002="GBP")*(Expenses!A$3:A$1002=DATE(2026,9,1)),ROW(Expenses!A$3:A$1002)-2),5)),"")&lt;&gt;"",IFERROR(INDEX(Expenses!B$3:B$1002,SMALL(IF((Expenses!E$3:E$1002="GBP")*(Expenses!A$3:A$1002=DATE(2026,9,1)),ROW(Expenses!A$3:A$1002)-2),5)),""),IF(IFERROR(INDEX(Income!B$3:B$502,SMALL(IF((Income!D$3:D$502="GBP")*(Income!A$3:A$502=DATE(2026,9,1)),ROW(Income!A$3:A$502)-2),5)),"")&lt;&gt;"",IFERROR(INDEX(Income!B$3:B$502,SMALL(IF((Income!D$3:D$502="GBP")*(Income!A$3:A$502=DATE(2026,9,1)),ROW(Income!A$3:A$502)-2),5)),""),""))</f>
        <v/>
      </c>
      <c r="G183" s="62" t="str">
        <f aca="false">IF(IFERROR(-INDEX(Expenses!D$3:D$1002,SMALL(IF((Expenses!E$3:E$1002="GBP")*(Expenses!A$3:A$1002=DATE(2026,9,2)),ROW(Expenses!A$3:A$1002)-2),5)),0)+IFERROR(INDEX(Income!C$3:C$502,SMALL(IF((Income!D$3:D$502="GBP")*(Income!A$3:A$502=DATE(2026,9,2)),ROW(Income!A$3:A$502)-2),5)),0)=0,"",IFERROR(-INDEX(Expenses!D$3:D$1002,SMALL(IF((Expenses!E$3:E$1002="GBP")*(Expenses!A$3:A$1002=DATE(2026,9,2)),ROW(Expenses!A$3:A$1002)-2),5)),0)+IFERROR(INDEX(Income!C$3:C$502,SMALL(IF((Income!D$3:D$502="GBP")*(Income!A$3:A$502=DATE(2026,9,2)),ROW(Income!A$3:A$502)-2),5)),0))</f>
        <v/>
      </c>
      <c r="H183" s="38" t="str">
        <f aca="false">IF(IFERROR(INDEX(Expenses!B$3:B$1002,SMALL(IF((Expenses!E$3:E$1002="GBP")*(Expenses!A$3:A$1002=DATE(2026,9,2)),ROW(Expenses!A$3:A$1002)-2),5)),"")&lt;&gt;"",IFERROR(INDEX(Expenses!B$3:B$1002,SMALL(IF((Expenses!E$3:E$1002="GBP")*(Expenses!A$3:A$1002=DATE(2026,9,2)),ROW(Expenses!A$3:A$1002)-2),5)),""),IF(IFERROR(INDEX(Income!B$3:B$502,SMALL(IF((Income!D$3:D$502="GBP")*(Income!A$3:A$502=DATE(2026,9,2)),ROW(Income!A$3:A$502)-2),5)),"")&lt;&gt;"",IFERROR(INDEX(Income!B$3:B$502,SMALL(IF((Income!D$3:D$502="GBP")*(Income!A$3:A$502=DATE(2026,9,2)),ROW(Income!A$3:A$502)-2),5)),""),""))</f>
        <v/>
      </c>
      <c r="I183" s="62" t="str">
        <f aca="false">IF(IFERROR(-INDEX(Expenses!D$3:D$1002,SMALL(IF((Expenses!E$3:E$1002="GBP")*(Expenses!A$3:A$1002=DATE(2026,9,3)),ROW(Expenses!A$3:A$1002)-2),5)),0)+IFERROR(INDEX(Income!C$3:C$502,SMALL(IF((Income!D$3:D$502="GBP")*(Income!A$3:A$502=DATE(2026,9,3)),ROW(Income!A$3:A$502)-2),5)),0)=0,"",IFERROR(-INDEX(Expenses!D$3:D$1002,SMALL(IF((Expenses!E$3:E$1002="GBP")*(Expenses!A$3:A$1002=DATE(2026,9,3)),ROW(Expenses!A$3:A$1002)-2),5)),0)+IFERROR(INDEX(Income!C$3:C$502,SMALL(IF((Income!D$3:D$502="GBP")*(Income!A$3:A$502=DATE(2026,9,3)),ROW(Income!A$3:A$502)-2),5)),0))</f>
        <v/>
      </c>
      <c r="J183" s="38" t="str">
        <f aca="false">IF(IFERROR(INDEX(Expenses!B$3:B$1002,SMALL(IF((Expenses!E$3:E$1002="GBP")*(Expenses!A$3:A$1002=DATE(2026,9,3)),ROW(Expenses!A$3:A$1002)-2),5)),"")&lt;&gt;"",IFERROR(INDEX(Expenses!B$3:B$1002,SMALL(IF((Expenses!E$3:E$1002="GBP")*(Expenses!A$3:A$1002=DATE(2026,9,3)),ROW(Expenses!A$3:A$1002)-2),5)),""),IF(IFERROR(INDEX(Income!B$3:B$502,SMALL(IF((Income!D$3:D$502="GBP")*(Income!A$3:A$502=DATE(2026,9,3)),ROW(Income!A$3:A$502)-2),5)),"")&lt;&gt;"",IFERROR(INDEX(Income!B$3:B$502,SMALL(IF((Income!D$3:D$502="GBP")*(Income!A$3:A$502=DATE(2026,9,3)),ROW(Income!A$3:A$502)-2),5)),""),""))</f>
        <v/>
      </c>
      <c r="K183" s="62" t="str">
        <f aca="false">IF(IFERROR(-INDEX(Expenses!D$3:D$1002,SMALL(IF((Expenses!E$3:E$1002="GBP")*(Expenses!A$3:A$1002=DATE(2026,9,4)),ROW(Expenses!A$3:A$1002)-2),5)),0)+IFERROR(INDEX(Income!C$3:C$502,SMALL(IF((Income!D$3:D$502="GBP")*(Income!A$3:A$502=DATE(2026,9,4)),ROW(Income!A$3:A$502)-2),5)),0)=0,"",IFERROR(-INDEX(Expenses!D$3:D$1002,SMALL(IF((Expenses!E$3:E$1002="GBP")*(Expenses!A$3:A$1002=DATE(2026,9,4)),ROW(Expenses!A$3:A$1002)-2),5)),0)+IFERROR(INDEX(Income!C$3:C$502,SMALL(IF((Income!D$3:D$502="GBP")*(Income!A$3:A$502=DATE(2026,9,4)),ROW(Income!A$3:A$502)-2),5)),0))</f>
        <v/>
      </c>
      <c r="L183" s="38" t="str">
        <f aca="false">IF(IFERROR(INDEX(Expenses!B$3:B$1002,SMALL(IF((Expenses!E$3:E$1002="GBP")*(Expenses!A$3:A$1002=DATE(2026,9,4)),ROW(Expenses!A$3:A$1002)-2),5)),"")&lt;&gt;"",IFERROR(INDEX(Expenses!B$3:B$1002,SMALL(IF((Expenses!E$3:E$1002="GBP")*(Expenses!A$3:A$1002=DATE(2026,9,4)),ROW(Expenses!A$3:A$1002)-2),5)),""),IF(IFERROR(INDEX(Income!B$3:B$502,SMALL(IF((Income!D$3:D$502="GBP")*(Income!A$3:A$502=DATE(2026,9,4)),ROW(Income!A$3:A$502)-2),5)),"")&lt;&gt;"",IFERROR(INDEX(Income!B$3:B$502,SMALL(IF((Income!D$3:D$502="GBP")*(Income!A$3:A$502=DATE(2026,9,4)),ROW(Income!A$3:A$502)-2),5)),""),""))</f>
        <v/>
      </c>
      <c r="M183" s="62" t="str">
        <f aca="false">IF(IFERROR(-INDEX(Expenses!D$3:D$1002,SMALL(IF((Expenses!E$3:E$1002="GBP")*(Expenses!A$3:A$1002=DATE(2026,9,5)),ROW(Expenses!A$3:A$1002)-2),5)),0)+IFERROR(INDEX(Income!C$3:C$502,SMALL(IF((Income!D$3:D$502="GBP")*(Income!A$3:A$502=DATE(2026,9,5)),ROW(Income!A$3:A$502)-2),5)),0)=0,"",IFERROR(-INDEX(Expenses!D$3:D$1002,SMALL(IF((Expenses!E$3:E$1002="GBP")*(Expenses!A$3:A$1002=DATE(2026,9,5)),ROW(Expenses!A$3:A$1002)-2),5)),0)+IFERROR(INDEX(Income!C$3:C$502,SMALL(IF((Income!D$3:D$502="GBP")*(Income!A$3:A$502=DATE(2026,9,5)),ROW(Income!A$3:A$502)-2),5)),0))</f>
        <v/>
      </c>
      <c r="N183" s="38" t="str">
        <f aca="false">IF(IFERROR(INDEX(Expenses!B$3:B$1002,SMALL(IF((Expenses!E$3:E$1002="GBP")*(Expenses!A$3:A$1002=DATE(2026,9,5)),ROW(Expenses!A$3:A$1002)-2),5)),"")&lt;&gt;"",IFERROR(INDEX(Expenses!B$3:B$1002,SMALL(IF((Expenses!E$3:E$1002="GBP")*(Expenses!A$3:A$1002=DATE(2026,9,5)),ROW(Expenses!A$3:A$1002)-2),5)),""),IF(IFERROR(INDEX(Income!B$3:B$502,SMALL(IF((Income!D$3:D$502="GBP")*(Income!A$3:A$502=DATE(2026,9,5)),ROW(Income!A$3:A$502)-2),5)),"")&lt;&gt;"",IFERROR(INDEX(Income!B$3:B$502,SMALL(IF((Income!D$3:D$502="GBP")*(Income!A$3:A$502=DATE(2026,9,5)),ROW(Income!A$3:A$502)-2),5)),""),""))</f>
        <v/>
      </c>
      <c r="O183" s="62" t="str">
        <f aca="false">IF(IFERROR(-INDEX(Expenses!D$3:D$1002,SMALL(IF((Expenses!E$3:E$1002="GBP")*(Expenses!A$3:A$1002=DATE(2026,9,6)),ROW(Expenses!A$3:A$1002)-2),5)),0)+IFERROR(INDEX(Income!C$3:C$502,SMALL(IF((Income!D$3:D$502="GBP")*(Income!A$3:A$502=DATE(2026,9,6)),ROW(Income!A$3:A$502)-2),5)),0)=0,"",IFERROR(-INDEX(Expenses!D$3:D$1002,SMALL(IF((Expenses!E$3:E$1002="GBP")*(Expenses!A$3:A$1002=DATE(2026,9,6)),ROW(Expenses!A$3:A$1002)-2),5)),0)+IFERROR(INDEX(Income!C$3:C$502,SMALL(IF((Income!D$3:D$502="GBP")*(Income!A$3:A$502=DATE(2026,9,6)),ROW(Income!A$3:A$502)-2),5)),0))</f>
        <v/>
      </c>
      <c r="P183" s="38" t="str">
        <f aca="false">IF(IFERROR(INDEX(Expenses!B$3:B$1002,SMALL(IF((Expenses!E$3:E$1002="GBP")*(Expenses!A$3:A$1002=DATE(2026,9,6)),ROW(Expenses!A$3:A$1002)-2),5)),"")&lt;&gt;"",IFERROR(INDEX(Expenses!B$3:B$1002,SMALL(IF((Expenses!E$3:E$1002="GBP")*(Expenses!A$3:A$1002=DATE(2026,9,6)),ROW(Expenses!A$3:A$1002)-2),5)),""),IF(IFERROR(INDEX(Income!B$3:B$502,SMALL(IF((Income!D$3:D$502="GBP")*(Income!A$3:A$502=DATE(2026,9,6)),ROW(Income!A$3:A$502)-2),5)),"")&lt;&gt;"",IFERROR(INDEX(Income!B$3:B$502,SMALL(IF((Income!D$3:D$502="GBP")*(Income!A$3:A$502=DATE(2026,9,6)),ROW(Income!A$3:A$502)-2),5)),""),""))</f>
        <v/>
      </c>
      <c r="Q183" s="16"/>
      <c r="R183" s="16"/>
    </row>
    <row r="184" customFormat="false" ht="15" hidden="false" customHeight="false" outlineLevel="0" collapsed="false">
      <c r="A184" s="61" t="n">
        <v>46272</v>
      </c>
      <c r="B184" s="3" t="n">
        <v>37</v>
      </c>
      <c r="C184" s="62" t="str">
        <f aca="false">IF(IFERROR(-INDEX(Expenses!D$3:D$1002,SMALL(IF((Expenses!E$3:E$1002="GBP")*(Expenses!A$3:A$1002=DATE(2026,9,7)),ROW(Expenses!A$3:A$1002)-2),1)),0)+IFERROR(INDEX(Income!C$3:C$502,SMALL(IF((Income!D$3:D$502="GBP")*(Income!A$3:A$502=DATE(2026,9,7)),ROW(Income!A$3:A$502)-2),1)),0)=0,"",IFERROR(-INDEX(Expenses!D$3:D$1002,SMALL(IF((Expenses!E$3:E$1002="GBP")*(Expenses!A$3:A$1002=DATE(2026,9,7)),ROW(Expenses!A$3:A$1002)-2),1)),0)+IFERROR(INDEX(Income!C$3:C$502,SMALL(IF((Income!D$3:D$502="GBP")*(Income!A$3:A$502=DATE(2026,9,7)),ROW(Income!A$3:A$502)-2),1)),0))</f>
        <v/>
      </c>
      <c r="D184" s="38" t="str">
        <f aca="false">IF(IFERROR(INDEX(Expenses!B$3:B$1002,SMALL(IF((Expenses!E$3:E$1002="GBP")*(Expenses!A$3:A$1002=DATE(2026,9,7)),ROW(Expenses!A$3:A$1002)-2),1)),"")&lt;&gt;"",IFERROR(INDEX(Expenses!B$3:B$1002,SMALL(IF((Expenses!E$3:E$1002="GBP")*(Expenses!A$3:A$1002=DATE(2026,9,7)),ROW(Expenses!A$3:A$1002)-2),1)),""),IF(IFERROR(INDEX(Income!B$3:B$502,SMALL(IF((Income!D$3:D$502="GBP")*(Income!A$3:A$502=DATE(2026,9,7)),ROW(Income!A$3:A$502)-2),1)),"")&lt;&gt;"",IFERROR(INDEX(Income!B$3:B$502,SMALL(IF((Income!D$3:D$502="GBP")*(Income!A$3:A$502=DATE(2026,9,7)),ROW(Income!A$3:A$502)-2),1)),""),""))</f>
        <v/>
      </c>
      <c r="E184" s="62" t="str">
        <f aca="false">IF(IFERROR(-INDEX(Expenses!D$3:D$1002,SMALL(IF((Expenses!E$3:E$1002="GBP")*(Expenses!A$3:A$1002=DATE(2026,9,8)),ROW(Expenses!A$3:A$1002)-2),1)),0)+IFERROR(INDEX(Income!C$3:C$502,SMALL(IF((Income!D$3:D$502="GBP")*(Income!A$3:A$502=DATE(2026,9,8)),ROW(Income!A$3:A$502)-2),1)),0)=0,"",IFERROR(-INDEX(Expenses!D$3:D$1002,SMALL(IF((Expenses!E$3:E$1002="GBP")*(Expenses!A$3:A$1002=DATE(2026,9,8)),ROW(Expenses!A$3:A$1002)-2),1)),0)+IFERROR(INDEX(Income!C$3:C$502,SMALL(IF((Income!D$3:D$502="GBP")*(Income!A$3:A$502=DATE(2026,9,8)),ROW(Income!A$3:A$502)-2),1)),0))</f>
        <v/>
      </c>
      <c r="F184" s="38" t="str">
        <f aca="false">IF(IFERROR(INDEX(Expenses!B$3:B$1002,SMALL(IF((Expenses!E$3:E$1002="GBP")*(Expenses!A$3:A$1002=DATE(2026,9,8)),ROW(Expenses!A$3:A$1002)-2),1)),"")&lt;&gt;"",IFERROR(INDEX(Expenses!B$3:B$1002,SMALL(IF((Expenses!E$3:E$1002="GBP")*(Expenses!A$3:A$1002=DATE(2026,9,8)),ROW(Expenses!A$3:A$1002)-2),1)),""),IF(IFERROR(INDEX(Income!B$3:B$502,SMALL(IF((Income!D$3:D$502="GBP")*(Income!A$3:A$502=DATE(2026,9,8)),ROW(Income!A$3:A$502)-2),1)),"")&lt;&gt;"",IFERROR(INDEX(Income!B$3:B$502,SMALL(IF((Income!D$3:D$502="GBP")*(Income!A$3:A$502=DATE(2026,9,8)),ROW(Income!A$3:A$502)-2),1)),""),""))</f>
        <v/>
      </c>
      <c r="G184" s="62" t="str">
        <f aca="false">IF(IFERROR(-INDEX(Expenses!D$3:D$1002,SMALL(IF((Expenses!E$3:E$1002="GBP")*(Expenses!A$3:A$1002=DATE(2026,9,9)),ROW(Expenses!A$3:A$1002)-2),1)),0)+IFERROR(INDEX(Income!C$3:C$502,SMALL(IF((Income!D$3:D$502="GBP")*(Income!A$3:A$502=DATE(2026,9,9)),ROW(Income!A$3:A$502)-2),1)),0)=0,"",IFERROR(-INDEX(Expenses!D$3:D$1002,SMALL(IF((Expenses!E$3:E$1002="GBP")*(Expenses!A$3:A$1002=DATE(2026,9,9)),ROW(Expenses!A$3:A$1002)-2),1)),0)+IFERROR(INDEX(Income!C$3:C$502,SMALL(IF((Income!D$3:D$502="GBP")*(Income!A$3:A$502=DATE(2026,9,9)),ROW(Income!A$3:A$502)-2),1)),0))</f>
        <v/>
      </c>
      <c r="H184" s="38" t="str">
        <f aca="false">IF(IFERROR(INDEX(Expenses!B$3:B$1002,SMALL(IF((Expenses!E$3:E$1002="GBP")*(Expenses!A$3:A$1002=DATE(2026,9,9)),ROW(Expenses!A$3:A$1002)-2),1)),"")&lt;&gt;"",IFERROR(INDEX(Expenses!B$3:B$1002,SMALL(IF((Expenses!E$3:E$1002="GBP")*(Expenses!A$3:A$1002=DATE(2026,9,9)),ROW(Expenses!A$3:A$1002)-2),1)),""),IF(IFERROR(INDEX(Income!B$3:B$502,SMALL(IF((Income!D$3:D$502="GBP")*(Income!A$3:A$502=DATE(2026,9,9)),ROW(Income!A$3:A$502)-2),1)),"")&lt;&gt;"",IFERROR(INDEX(Income!B$3:B$502,SMALL(IF((Income!D$3:D$502="GBP")*(Income!A$3:A$502=DATE(2026,9,9)),ROW(Income!A$3:A$502)-2),1)),""),""))</f>
        <v/>
      </c>
      <c r="I184" s="62" t="str">
        <f aca="false">IF(IFERROR(-INDEX(Expenses!D$3:D$1002,SMALL(IF((Expenses!E$3:E$1002="GBP")*(Expenses!A$3:A$1002=DATE(2026,9,10)),ROW(Expenses!A$3:A$1002)-2),1)),0)+IFERROR(INDEX(Income!C$3:C$502,SMALL(IF((Income!D$3:D$502="GBP")*(Income!A$3:A$502=DATE(2026,9,10)),ROW(Income!A$3:A$502)-2),1)),0)=0,"",IFERROR(-INDEX(Expenses!D$3:D$1002,SMALL(IF((Expenses!E$3:E$1002="GBP")*(Expenses!A$3:A$1002=DATE(2026,9,10)),ROW(Expenses!A$3:A$1002)-2),1)),0)+IFERROR(INDEX(Income!C$3:C$502,SMALL(IF((Income!D$3:D$502="GBP")*(Income!A$3:A$502=DATE(2026,9,10)),ROW(Income!A$3:A$502)-2),1)),0))</f>
        <v/>
      </c>
      <c r="J184" s="38" t="str">
        <f aca="false">IF(IFERROR(INDEX(Expenses!B$3:B$1002,SMALL(IF((Expenses!E$3:E$1002="GBP")*(Expenses!A$3:A$1002=DATE(2026,9,10)),ROW(Expenses!A$3:A$1002)-2),1)),"")&lt;&gt;"",IFERROR(INDEX(Expenses!B$3:B$1002,SMALL(IF((Expenses!E$3:E$1002="GBP")*(Expenses!A$3:A$1002=DATE(2026,9,10)),ROW(Expenses!A$3:A$1002)-2),1)),""),IF(IFERROR(INDEX(Income!B$3:B$502,SMALL(IF((Income!D$3:D$502="GBP")*(Income!A$3:A$502=DATE(2026,9,10)),ROW(Income!A$3:A$502)-2),1)),"")&lt;&gt;"",IFERROR(INDEX(Income!B$3:B$502,SMALL(IF((Income!D$3:D$502="GBP")*(Income!A$3:A$502=DATE(2026,9,10)),ROW(Income!A$3:A$502)-2),1)),""),""))</f>
        <v/>
      </c>
      <c r="K184" s="62" t="str">
        <f aca="false">IF(IFERROR(-INDEX(Expenses!D$3:D$1002,SMALL(IF((Expenses!E$3:E$1002="GBP")*(Expenses!A$3:A$1002=DATE(2026,9,11)),ROW(Expenses!A$3:A$1002)-2),1)),0)+IFERROR(INDEX(Income!C$3:C$502,SMALL(IF((Income!D$3:D$502="GBP")*(Income!A$3:A$502=DATE(2026,9,11)),ROW(Income!A$3:A$502)-2),1)),0)=0,"",IFERROR(-INDEX(Expenses!D$3:D$1002,SMALL(IF((Expenses!E$3:E$1002="GBP")*(Expenses!A$3:A$1002=DATE(2026,9,11)),ROW(Expenses!A$3:A$1002)-2),1)),0)+IFERROR(INDEX(Income!C$3:C$502,SMALL(IF((Income!D$3:D$502="GBP")*(Income!A$3:A$502=DATE(2026,9,11)),ROW(Income!A$3:A$502)-2),1)),0))</f>
        <v/>
      </c>
      <c r="L184" s="38" t="str">
        <f aca="false">IF(IFERROR(INDEX(Expenses!B$3:B$1002,SMALL(IF((Expenses!E$3:E$1002="GBP")*(Expenses!A$3:A$1002=DATE(2026,9,11)),ROW(Expenses!A$3:A$1002)-2),1)),"")&lt;&gt;"",IFERROR(INDEX(Expenses!B$3:B$1002,SMALL(IF((Expenses!E$3:E$1002="GBP")*(Expenses!A$3:A$1002=DATE(2026,9,11)),ROW(Expenses!A$3:A$1002)-2),1)),""),IF(IFERROR(INDEX(Income!B$3:B$502,SMALL(IF((Income!D$3:D$502="GBP")*(Income!A$3:A$502=DATE(2026,9,11)),ROW(Income!A$3:A$502)-2),1)),"")&lt;&gt;"",IFERROR(INDEX(Income!B$3:B$502,SMALL(IF((Income!D$3:D$502="GBP")*(Income!A$3:A$502=DATE(2026,9,11)),ROW(Income!A$3:A$502)-2),1)),""),""))</f>
        <v/>
      </c>
      <c r="M184" s="62" t="str">
        <f aca="false">IF(IFERROR(-INDEX(Expenses!D$3:D$1002,SMALL(IF((Expenses!E$3:E$1002="GBP")*(Expenses!A$3:A$1002=DATE(2026,9,12)),ROW(Expenses!A$3:A$1002)-2),1)),0)+IFERROR(INDEX(Income!C$3:C$502,SMALL(IF((Income!D$3:D$502="GBP")*(Income!A$3:A$502=DATE(2026,9,12)),ROW(Income!A$3:A$502)-2),1)),0)=0,"",IFERROR(-INDEX(Expenses!D$3:D$1002,SMALL(IF((Expenses!E$3:E$1002="GBP")*(Expenses!A$3:A$1002=DATE(2026,9,12)),ROW(Expenses!A$3:A$1002)-2),1)),0)+IFERROR(INDEX(Income!C$3:C$502,SMALL(IF((Income!D$3:D$502="GBP")*(Income!A$3:A$502=DATE(2026,9,12)),ROW(Income!A$3:A$502)-2),1)),0))</f>
        <v/>
      </c>
      <c r="N184" s="38" t="str">
        <f aca="false">IF(IFERROR(INDEX(Expenses!B$3:B$1002,SMALL(IF((Expenses!E$3:E$1002="GBP")*(Expenses!A$3:A$1002=DATE(2026,9,12)),ROW(Expenses!A$3:A$1002)-2),1)),"")&lt;&gt;"",IFERROR(INDEX(Expenses!B$3:B$1002,SMALL(IF((Expenses!E$3:E$1002="GBP")*(Expenses!A$3:A$1002=DATE(2026,9,12)),ROW(Expenses!A$3:A$1002)-2),1)),""),IF(IFERROR(INDEX(Income!B$3:B$502,SMALL(IF((Income!D$3:D$502="GBP")*(Income!A$3:A$502=DATE(2026,9,12)),ROW(Income!A$3:A$502)-2),1)),"")&lt;&gt;"",IFERROR(INDEX(Income!B$3:B$502,SMALL(IF((Income!D$3:D$502="GBP")*(Income!A$3:A$502=DATE(2026,9,12)),ROW(Income!A$3:A$502)-2),1)),""),""))</f>
        <v/>
      </c>
      <c r="O184" s="62" t="str">
        <f aca="false">IF(IFERROR(-INDEX(Expenses!D$3:D$1002,SMALL(IF((Expenses!E$3:E$1002="GBP")*(Expenses!A$3:A$1002=DATE(2026,9,13)),ROW(Expenses!A$3:A$1002)-2),1)),0)+IFERROR(INDEX(Income!C$3:C$502,SMALL(IF((Income!D$3:D$502="GBP")*(Income!A$3:A$502=DATE(2026,9,13)),ROW(Income!A$3:A$502)-2),1)),0)=0,"",IFERROR(-INDEX(Expenses!D$3:D$1002,SMALL(IF((Expenses!E$3:E$1002="GBP")*(Expenses!A$3:A$1002=DATE(2026,9,13)),ROW(Expenses!A$3:A$1002)-2),1)),0)+IFERROR(INDEX(Income!C$3:C$502,SMALL(IF((Income!D$3:D$502="GBP")*(Income!A$3:A$502=DATE(2026,9,13)),ROW(Income!A$3:A$502)-2),1)),0))</f>
        <v/>
      </c>
      <c r="P184" s="38" t="str">
        <f aca="false">IF(IFERROR(INDEX(Expenses!B$3:B$1002,SMALL(IF((Expenses!E$3:E$1002="GBP")*(Expenses!A$3:A$1002=DATE(2026,9,13)),ROW(Expenses!A$3:A$1002)-2),1)),"")&lt;&gt;"",IFERROR(INDEX(Expenses!B$3:B$1002,SMALL(IF((Expenses!E$3:E$1002="GBP")*(Expenses!A$3:A$1002=DATE(2026,9,13)),ROW(Expenses!A$3:A$1002)-2),1)),""),IF(IFERROR(INDEX(Income!B$3:B$502,SMALL(IF((Income!D$3:D$502="GBP")*(Income!A$3:A$502=DATE(2026,9,13)),ROW(Income!A$3:A$502)-2),1)),"")&lt;&gt;"",IFERROR(INDEX(Income!B$3:B$502,SMALL(IF((Income!D$3:D$502="GBP")*(Income!A$3:A$502=DATE(2026,9,13)),ROW(Income!A$3:A$502)-2),1)),""),""))</f>
        <v/>
      </c>
      <c r="Q184" s="3" t="n">
        <v>37</v>
      </c>
      <c r="R184" s="45" t="n">
        <f aca="false">SUM(C184:C188)+SUM(E184:E188)+SUM(G184:G188)+SUM(I184:I188)+SUM(K184:K188)+SUM(M184:M188)+SUM(O184:O188)</f>
        <v>0</v>
      </c>
    </row>
    <row r="185" customFormat="false" ht="15" hidden="false" customHeight="false" outlineLevel="0" collapsed="false">
      <c r="A185" s="16"/>
      <c r="B185" s="16"/>
      <c r="C185" s="62" t="str">
        <f aca="false">IF(IFERROR(-INDEX(Expenses!D$3:D$1002,SMALL(IF((Expenses!E$3:E$1002="GBP")*(Expenses!A$3:A$1002=DATE(2026,9,7)),ROW(Expenses!A$3:A$1002)-2),2)),0)+IFERROR(INDEX(Income!C$3:C$502,SMALL(IF((Income!D$3:D$502="GBP")*(Income!A$3:A$502=DATE(2026,9,7)),ROW(Income!A$3:A$502)-2),2)),0)=0,"",IFERROR(-INDEX(Expenses!D$3:D$1002,SMALL(IF((Expenses!E$3:E$1002="GBP")*(Expenses!A$3:A$1002=DATE(2026,9,7)),ROW(Expenses!A$3:A$1002)-2),2)),0)+IFERROR(INDEX(Income!C$3:C$502,SMALL(IF((Income!D$3:D$502="GBP")*(Income!A$3:A$502=DATE(2026,9,7)),ROW(Income!A$3:A$502)-2),2)),0))</f>
        <v/>
      </c>
      <c r="D185" s="38" t="str">
        <f aca="false">IF(IFERROR(INDEX(Expenses!B$3:B$1002,SMALL(IF((Expenses!E$3:E$1002="GBP")*(Expenses!A$3:A$1002=DATE(2026,9,7)),ROW(Expenses!A$3:A$1002)-2),2)),"")&lt;&gt;"",IFERROR(INDEX(Expenses!B$3:B$1002,SMALL(IF((Expenses!E$3:E$1002="GBP")*(Expenses!A$3:A$1002=DATE(2026,9,7)),ROW(Expenses!A$3:A$1002)-2),2)),""),IF(IFERROR(INDEX(Income!B$3:B$502,SMALL(IF((Income!D$3:D$502="GBP")*(Income!A$3:A$502=DATE(2026,9,7)),ROW(Income!A$3:A$502)-2),2)),"")&lt;&gt;"",IFERROR(INDEX(Income!B$3:B$502,SMALL(IF((Income!D$3:D$502="GBP")*(Income!A$3:A$502=DATE(2026,9,7)),ROW(Income!A$3:A$502)-2),2)),""),""))</f>
        <v/>
      </c>
      <c r="E185" s="62" t="str">
        <f aca="false">IF(IFERROR(-INDEX(Expenses!D$3:D$1002,SMALL(IF((Expenses!E$3:E$1002="GBP")*(Expenses!A$3:A$1002=DATE(2026,9,8)),ROW(Expenses!A$3:A$1002)-2),2)),0)+IFERROR(INDEX(Income!C$3:C$502,SMALL(IF((Income!D$3:D$502="GBP")*(Income!A$3:A$502=DATE(2026,9,8)),ROW(Income!A$3:A$502)-2),2)),0)=0,"",IFERROR(-INDEX(Expenses!D$3:D$1002,SMALL(IF((Expenses!E$3:E$1002="GBP")*(Expenses!A$3:A$1002=DATE(2026,9,8)),ROW(Expenses!A$3:A$1002)-2),2)),0)+IFERROR(INDEX(Income!C$3:C$502,SMALL(IF((Income!D$3:D$502="GBP")*(Income!A$3:A$502=DATE(2026,9,8)),ROW(Income!A$3:A$502)-2),2)),0))</f>
        <v/>
      </c>
      <c r="F185" s="38" t="str">
        <f aca="false">IF(IFERROR(INDEX(Expenses!B$3:B$1002,SMALL(IF((Expenses!E$3:E$1002="GBP")*(Expenses!A$3:A$1002=DATE(2026,9,8)),ROW(Expenses!A$3:A$1002)-2),2)),"")&lt;&gt;"",IFERROR(INDEX(Expenses!B$3:B$1002,SMALL(IF((Expenses!E$3:E$1002="GBP")*(Expenses!A$3:A$1002=DATE(2026,9,8)),ROW(Expenses!A$3:A$1002)-2),2)),""),IF(IFERROR(INDEX(Income!B$3:B$502,SMALL(IF((Income!D$3:D$502="GBP")*(Income!A$3:A$502=DATE(2026,9,8)),ROW(Income!A$3:A$502)-2),2)),"")&lt;&gt;"",IFERROR(INDEX(Income!B$3:B$502,SMALL(IF((Income!D$3:D$502="GBP")*(Income!A$3:A$502=DATE(2026,9,8)),ROW(Income!A$3:A$502)-2),2)),""),""))</f>
        <v/>
      </c>
      <c r="G185" s="62" t="str">
        <f aca="false">IF(IFERROR(-INDEX(Expenses!D$3:D$1002,SMALL(IF((Expenses!E$3:E$1002="GBP")*(Expenses!A$3:A$1002=DATE(2026,9,9)),ROW(Expenses!A$3:A$1002)-2),2)),0)+IFERROR(INDEX(Income!C$3:C$502,SMALL(IF((Income!D$3:D$502="GBP")*(Income!A$3:A$502=DATE(2026,9,9)),ROW(Income!A$3:A$502)-2),2)),0)=0,"",IFERROR(-INDEX(Expenses!D$3:D$1002,SMALL(IF((Expenses!E$3:E$1002="GBP")*(Expenses!A$3:A$1002=DATE(2026,9,9)),ROW(Expenses!A$3:A$1002)-2),2)),0)+IFERROR(INDEX(Income!C$3:C$502,SMALL(IF((Income!D$3:D$502="GBP")*(Income!A$3:A$502=DATE(2026,9,9)),ROW(Income!A$3:A$502)-2),2)),0))</f>
        <v/>
      </c>
      <c r="H185" s="38" t="str">
        <f aca="false">IF(IFERROR(INDEX(Expenses!B$3:B$1002,SMALL(IF((Expenses!E$3:E$1002="GBP")*(Expenses!A$3:A$1002=DATE(2026,9,9)),ROW(Expenses!A$3:A$1002)-2),2)),"")&lt;&gt;"",IFERROR(INDEX(Expenses!B$3:B$1002,SMALL(IF((Expenses!E$3:E$1002="GBP")*(Expenses!A$3:A$1002=DATE(2026,9,9)),ROW(Expenses!A$3:A$1002)-2),2)),""),IF(IFERROR(INDEX(Income!B$3:B$502,SMALL(IF((Income!D$3:D$502="GBP")*(Income!A$3:A$502=DATE(2026,9,9)),ROW(Income!A$3:A$502)-2),2)),"")&lt;&gt;"",IFERROR(INDEX(Income!B$3:B$502,SMALL(IF((Income!D$3:D$502="GBP")*(Income!A$3:A$502=DATE(2026,9,9)),ROW(Income!A$3:A$502)-2),2)),""),""))</f>
        <v/>
      </c>
      <c r="I185" s="62" t="str">
        <f aca="false">IF(IFERROR(-INDEX(Expenses!D$3:D$1002,SMALL(IF((Expenses!E$3:E$1002="GBP")*(Expenses!A$3:A$1002=DATE(2026,9,10)),ROW(Expenses!A$3:A$1002)-2),2)),0)+IFERROR(INDEX(Income!C$3:C$502,SMALL(IF((Income!D$3:D$502="GBP")*(Income!A$3:A$502=DATE(2026,9,10)),ROW(Income!A$3:A$502)-2),2)),0)=0,"",IFERROR(-INDEX(Expenses!D$3:D$1002,SMALL(IF((Expenses!E$3:E$1002="GBP")*(Expenses!A$3:A$1002=DATE(2026,9,10)),ROW(Expenses!A$3:A$1002)-2),2)),0)+IFERROR(INDEX(Income!C$3:C$502,SMALL(IF((Income!D$3:D$502="GBP")*(Income!A$3:A$502=DATE(2026,9,10)),ROW(Income!A$3:A$502)-2),2)),0))</f>
        <v/>
      </c>
      <c r="J185" s="38" t="str">
        <f aca="false">IF(IFERROR(INDEX(Expenses!B$3:B$1002,SMALL(IF((Expenses!E$3:E$1002="GBP")*(Expenses!A$3:A$1002=DATE(2026,9,10)),ROW(Expenses!A$3:A$1002)-2),2)),"")&lt;&gt;"",IFERROR(INDEX(Expenses!B$3:B$1002,SMALL(IF((Expenses!E$3:E$1002="GBP")*(Expenses!A$3:A$1002=DATE(2026,9,10)),ROW(Expenses!A$3:A$1002)-2),2)),""),IF(IFERROR(INDEX(Income!B$3:B$502,SMALL(IF((Income!D$3:D$502="GBP")*(Income!A$3:A$502=DATE(2026,9,10)),ROW(Income!A$3:A$502)-2),2)),"")&lt;&gt;"",IFERROR(INDEX(Income!B$3:B$502,SMALL(IF((Income!D$3:D$502="GBP")*(Income!A$3:A$502=DATE(2026,9,10)),ROW(Income!A$3:A$502)-2),2)),""),""))</f>
        <v/>
      </c>
      <c r="K185" s="62" t="str">
        <f aca="false">IF(IFERROR(-INDEX(Expenses!D$3:D$1002,SMALL(IF((Expenses!E$3:E$1002="GBP")*(Expenses!A$3:A$1002=DATE(2026,9,11)),ROW(Expenses!A$3:A$1002)-2),2)),0)+IFERROR(INDEX(Income!C$3:C$502,SMALL(IF((Income!D$3:D$502="GBP")*(Income!A$3:A$502=DATE(2026,9,11)),ROW(Income!A$3:A$502)-2),2)),0)=0,"",IFERROR(-INDEX(Expenses!D$3:D$1002,SMALL(IF((Expenses!E$3:E$1002="GBP")*(Expenses!A$3:A$1002=DATE(2026,9,11)),ROW(Expenses!A$3:A$1002)-2),2)),0)+IFERROR(INDEX(Income!C$3:C$502,SMALL(IF((Income!D$3:D$502="GBP")*(Income!A$3:A$502=DATE(2026,9,11)),ROW(Income!A$3:A$502)-2),2)),0))</f>
        <v/>
      </c>
      <c r="L185" s="38" t="str">
        <f aca="false">IF(IFERROR(INDEX(Expenses!B$3:B$1002,SMALL(IF((Expenses!E$3:E$1002="GBP")*(Expenses!A$3:A$1002=DATE(2026,9,11)),ROW(Expenses!A$3:A$1002)-2),2)),"")&lt;&gt;"",IFERROR(INDEX(Expenses!B$3:B$1002,SMALL(IF((Expenses!E$3:E$1002="GBP")*(Expenses!A$3:A$1002=DATE(2026,9,11)),ROW(Expenses!A$3:A$1002)-2),2)),""),IF(IFERROR(INDEX(Income!B$3:B$502,SMALL(IF((Income!D$3:D$502="GBP")*(Income!A$3:A$502=DATE(2026,9,11)),ROW(Income!A$3:A$502)-2),2)),"")&lt;&gt;"",IFERROR(INDEX(Income!B$3:B$502,SMALL(IF((Income!D$3:D$502="GBP")*(Income!A$3:A$502=DATE(2026,9,11)),ROW(Income!A$3:A$502)-2),2)),""),""))</f>
        <v/>
      </c>
      <c r="M185" s="62" t="str">
        <f aca="false">IF(IFERROR(-INDEX(Expenses!D$3:D$1002,SMALL(IF((Expenses!E$3:E$1002="GBP")*(Expenses!A$3:A$1002=DATE(2026,9,12)),ROW(Expenses!A$3:A$1002)-2),2)),0)+IFERROR(INDEX(Income!C$3:C$502,SMALL(IF((Income!D$3:D$502="GBP")*(Income!A$3:A$502=DATE(2026,9,12)),ROW(Income!A$3:A$502)-2),2)),0)=0,"",IFERROR(-INDEX(Expenses!D$3:D$1002,SMALL(IF((Expenses!E$3:E$1002="GBP")*(Expenses!A$3:A$1002=DATE(2026,9,12)),ROW(Expenses!A$3:A$1002)-2),2)),0)+IFERROR(INDEX(Income!C$3:C$502,SMALL(IF((Income!D$3:D$502="GBP")*(Income!A$3:A$502=DATE(2026,9,12)),ROW(Income!A$3:A$502)-2),2)),0))</f>
        <v/>
      </c>
      <c r="N185" s="38" t="str">
        <f aca="false">IF(IFERROR(INDEX(Expenses!B$3:B$1002,SMALL(IF((Expenses!E$3:E$1002="GBP")*(Expenses!A$3:A$1002=DATE(2026,9,12)),ROW(Expenses!A$3:A$1002)-2),2)),"")&lt;&gt;"",IFERROR(INDEX(Expenses!B$3:B$1002,SMALL(IF((Expenses!E$3:E$1002="GBP")*(Expenses!A$3:A$1002=DATE(2026,9,12)),ROW(Expenses!A$3:A$1002)-2),2)),""),IF(IFERROR(INDEX(Income!B$3:B$502,SMALL(IF((Income!D$3:D$502="GBP")*(Income!A$3:A$502=DATE(2026,9,12)),ROW(Income!A$3:A$502)-2),2)),"")&lt;&gt;"",IFERROR(INDEX(Income!B$3:B$502,SMALL(IF((Income!D$3:D$502="GBP")*(Income!A$3:A$502=DATE(2026,9,12)),ROW(Income!A$3:A$502)-2),2)),""),""))</f>
        <v/>
      </c>
      <c r="O185" s="62" t="str">
        <f aca="false">IF(IFERROR(-INDEX(Expenses!D$3:D$1002,SMALL(IF((Expenses!E$3:E$1002="GBP")*(Expenses!A$3:A$1002=DATE(2026,9,13)),ROW(Expenses!A$3:A$1002)-2),2)),0)+IFERROR(INDEX(Income!C$3:C$502,SMALL(IF((Income!D$3:D$502="GBP")*(Income!A$3:A$502=DATE(2026,9,13)),ROW(Income!A$3:A$502)-2),2)),0)=0,"",IFERROR(-INDEX(Expenses!D$3:D$1002,SMALL(IF((Expenses!E$3:E$1002="GBP")*(Expenses!A$3:A$1002=DATE(2026,9,13)),ROW(Expenses!A$3:A$1002)-2),2)),0)+IFERROR(INDEX(Income!C$3:C$502,SMALL(IF((Income!D$3:D$502="GBP")*(Income!A$3:A$502=DATE(2026,9,13)),ROW(Income!A$3:A$502)-2),2)),0))</f>
        <v/>
      </c>
      <c r="P185" s="38" t="str">
        <f aca="false">IF(IFERROR(INDEX(Expenses!B$3:B$1002,SMALL(IF((Expenses!E$3:E$1002="GBP")*(Expenses!A$3:A$1002=DATE(2026,9,13)),ROW(Expenses!A$3:A$1002)-2),2)),"")&lt;&gt;"",IFERROR(INDEX(Expenses!B$3:B$1002,SMALL(IF((Expenses!E$3:E$1002="GBP")*(Expenses!A$3:A$1002=DATE(2026,9,13)),ROW(Expenses!A$3:A$1002)-2),2)),""),IF(IFERROR(INDEX(Income!B$3:B$502,SMALL(IF((Income!D$3:D$502="GBP")*(Income!A$3:A$502=DATE(2026,9,13)),ROW(Income!A$3:A$502)-2),2)),"")&lt;&gt;"",IFERROR(INDEX(Income!B$3:B$502,SMALL(IF((Income!D$3:D$502="GBP")*(Income!A$3:A$502=DATE(2026,9,13)),ROW(Income!A$3:A$502)-2),2)),""),""))</f>
        <v/>
      </c>
      <c r="Q185" s="16"/>
      <c r="R185" s="16"/>
    </row>
    <row r="186" customFormat="false" ht="15" hidden="false" customHeight="false" outlineLevel="0" collapsed="false">
      <c r="A186" s="16"/>
      <c r="B186" s="16"/>
      <c r="C186" s="62" t="str">
        <f aca="false">IF(IFERROR(-INDEX(Expenses!D$3:D$1002,SMALL(IF((Expenses!E$3:E$1002="GBP")*(Expenses!A$3:A$1002=DATE(2026,9,7)),ROW(Expenses!A$3:A$1002)-2),3)),0)+IFERROR(INDEX(Income!C$3:C$502,SMALL(IF((Income!D$3:D$502="GBP")*(Income!A$3:A$502=DATE(2026,9,7)),ROW(Income!A$3:A$502)-2),3)),0)=0,"",IFERROR(-INDEX(Expenses!D$3:D$1002,SMALL(IF((Expenses!E$3:E$1002="GBP")*(Expenses!A$3:A$1002=DATE(2026,9,7)),ROW(Expenses!A$3:A$1002)-2),3)),0)+IFERROR(INDEX(Income!C$3:C$502,SMALL(IF((Income!D$3:D$502="GBP")*(Income!A$3:A$502=DATE(2026,9,7)),ROW(Income!A$3:A$502)-2),3)),0))</f>
        <v/>
      </c>
      <c r="D186" s="38" t="str">
        <f aca="false">IF(IFERROR(INDEX(Expenses!B$3:B$1002,SMALL(IF((Expenses!E$3:E$1002="GBP")*(Expenses!A$3:A$1002=DATE(2026,9,7)),ROW(Expenses!A$3:A$1002)-2),3)),"")&lt;&gt;"",IFERROR(INDEX(Expenses!B$3:B$1002,SMALL(IF((Expenses!E$3:E$1002="GBP")*(Expenses!A$3:A$1002=DATE(2026,9,7)),ROW(Expenses!A$3:A$1002)-2),3)),""),IF(IFERROR(INDEX(Income!B$3:B$502,SMALL(IF((Income!D$3:D$502="GBP")*(Income!A$3:A$502=DATE(2026,9,7)),ROW(Income!A$3:A$502)-2),3)),"")&lt;&gt;"",IFERROR(INDEX(Income!B$3:B$502,SMALL(IF((Income!D$3:D$502="GBP")*(Income!A$3:A$502=DATE(2026,9,7)),ROW(Income!A$3:A$502)-2),3)),""),""))</f>
        <v/>
      </c>
      <c r="E186" s="62" t="str">
        <f aca="false">IF(IFERROR(-INDEX(Expenses!D$3:D$1002,SMALL(IF((Expenses!E$3:E$1002="GBP")*(Expenses!A$3:A$1002=DATE(2026,9,8)),ROW(Expenses!A$3:A$1002)-2),3)),0)+IFERROR(INDEX(Income!C$3:C$502,SMALL(IF((Income!D$3:D$502="GBP")*(Income!A$3:A$502=DATE(2026,9,8)),ROW(Income!A$3:A$502)-2),3)),0)=0,"",IFERROR(-INDEX(Expenses!D$3:D$1002,SMALL(IF((Expenses!E$3:E$1002="GBP")*(Expenses!A$3:A$1002=DATE(2026,9,8)),ROW(Expenses!A$3:A$1002)-2),3)),0)+IFERROR(INDEX(Income!C$3:C$502,SMALL(IF((Income!D$3:D$502="GBP")*(Income!A$3:A$502=DATE(2026,9,8)),ROW(Income!A$3:A$502)-2),3)),0))</f>
        <v/>
      </c>
      <c r="F186" s="38" t="str">
        <f aca="false">IF(IFERROR(INDEX(Expenses!B$3:B$1002,SMALL(IF((Expenses!E$3:E$1002="GBP")*(Expenses!A$3:A$1002=DATE(2026,9,8)),ROW(Expenses!A$3:A$1002)-2),3)),"")&lt;&gt;"",IFERROR(INDEX(Expenses!B$3:B$1002,SMALL(IF((Expenses!E$3:E$1002="GBP")*(Expenses!A$3:A$1002=DATE(2026,9,8)),ROW(Expenses!A$3:A$1002)-2),3)),""),IF(IFERROR(INDEX(Income!B$3:B$502,SMALL(IF((Income!D$3:D$502="GBP")*(Income!A$3:A$502=DATE(2026,9,8)),ROW(Income!A$3:A$502)-2),3)),"")&lt;&gt;"",IFERROR(INDEX(Income!B$3:B$502,SMALL(IF((Income!D$3:D$502="GBP")*(Income!A$3:A$502=DATE(2026,9,8)),ROW(Income!A$3:A$502)-2),3)),""),""))</f>
        <v/>
      </c>
      <c r="G186" s="62" t="str">
        <f aca="false">IF(IFERROR(-INDEX(Expenses!D$3:D$1002,SMALL(IF((Expenses!E$3:E$1002="GBP")*(Expenses!A$3:A$1002=DATE(2026,9,9)),ROW(Expenses!A$3:A$1002)-2),3)),0)+IFERROR(INDEX(Income!C$3:C$502,SMALL(IF((Income!D$3:D$502="GBP")*(Income!A$3:A$502=DATE(2026,9,9)),ROW(Income!A$3:A$502)-2),3)),0)=0,"",IFERROR(-INDEX(Expenses!D$3:D$1002,SMALL(IF((Expenses!E$3:E$1002="GBP")*(Expenses!A$3:A$1002=DATE(2026,9,9)),ROW(Expenses!A$3:A$1002)-2),3)),0)+IFERROR(INDEX(Income!C$3:C$502,SMALL(IF((Income!D$3:D$502="GBP")*(Income!A$3:A$502=DATE(2026,9,9)),ROW(Income!A$3:A$502)-2),3)),0))</f>
        <v/>
      </c>
      <c r="H186" s="38" t="str">
        <f aca="false">IF(IFERROR(INDEX(Expenses!B$3:B$1002,SMALL(IF((Expenses!E$3:E$1002="GBP")*(Expenses!A$3:A$1002=DATE(2026,9,9)),ROW(Expenses!A$3:A$1002)-2),3)),"")&lt;&gt;"",IFERROR(INDEX(Expenses!B$3:B$1002,SMALL(IF((Expenses!E$3:E$1002="GBP")*(Expenses!A$3:A$1002=DATE(2026,9,9)),ROW(Expenses!A$3:A$1002)-2),3)),""),IF(IFERROR(INDEX(Income!B$3:B$502,SMALL(IF((Income!D$3:D$502="GBP")*(Income!A$3:A$502=DATE(2026,9,9)),ROW(Income!A$3:A$502)-2),3)),"")&lt;&gt;"",IFERROR(INDEX(Income!B$3:B$502,SMALL(IF((Income!D$3:D$502="GBP")*(Income!A$3:A$502=DATE(2026,9,9)),ROW(Income!A$3:A$502)-2),3)),""),""))</f>
        <v/>
      </c>
      <c r="I186" s="62" t="str">
        <f aca="false">IF(IFERROR(-INDEX(Expenses!D$3:D$1002,SMALL(IF((Expenses!E$3:E$1002="GBP")*(Expenses!A$3:A$1002=DATE(2026,9,10)),ROW(Expenses!A$3:A$1002)-2),3)),0)+IFERROR(INDEX(Income!C$3:C$502,SMALL(IF((Income!D$3:D$502="GBP")*(Income!A$3:A$502=DATE(2026,9,10)),ROW(Income!A$3:A$502)-2),3)),0)=0,"",IFERROR(-INDEX(Expenses!D$3:D$1002,SMALL(IF((Expenses!E$3:E$1002="GBP")*(Expenses!A$3:A$1002=DATE(2026,9,10)),ROW(Expenses!A$3:A$1002)-2),3)),0)+IFERROR(INDEX(Income!C$3:C$502,SMALL(IF((Income!D$3:D$502="GBP")*(Income!A$3:A$502=DATE(2026,9,10)),ROW(Income!A$3:A$502)-2),3)),0))</f>
        <v/>
      </c>
      <c r="J186" s="38" t="str">
        <f aca="false">IF(IFERROR(INDEX(Expenses!B$3:B$1002,SMALL(IF((Expenses!E$3:E$1002="GBP")*(Expenses!A$3:A$1002=DATE(2026,9,10)),ROW(Expenses!A$3:A$1002)-2),3)),"")&lt;&gt;"",IFERROR(INDEX(Expenses!B$3:B$1002,SMALL(IF((Expenses!E$3:E$1002="GBP")*(Expenses!A$3:A$1002=DATE(2026,9,10)),ROW(Expenses!A$3:A$1002)-2),3)),""),IF(IFERROR(INDEX(Income!B$3:B$502,SMALL(IF((Income!D$3:D$502="GBP")*(Income!A$3:A$502=DATE(2026,9,10)),ROW(Income!A$3:A$502)-2),3)),"")&lt;&gt;"",IFERROR(INDEX(Income!B$3:B$502,SMALL(IF((Income!D$3:D$502="GBP")*(Income!A$3:A$502=DATE(2026,9,10)),ROW(Income!A$3:A$502)-2),3)),""),""))</f>
        <v/>
      </c>
      <c r="K186" s="62" t="str">
        <f aca="false">IF(IFERROR(-INDEX(Expenses!D$3:D$1002,SMALL(IF((Expenses!E$3:E$1002="GBP")*(Expenses!A$3:A$1002=DATE(2026,9,11)),ROW(Expenses!A$3:A$1002)-2),3)),0)+IFERROR(INDEX(Income!C$3:C$502,SMALL(IF((Income!D$3:D$502="GBP")*(Income!A$3:A$502=DATE(2026,9,11)),ROW(Income!A$3:A$502)-2),3)),0)=0,"",IFERROR(-INDEX(Expenses!D$3:D$1002,SMALL(IF((Expenses!E$3:E$1002="GBP")*(Expenses!A$3:A$1002=DATE(2026,9,11)),ROW(Expenses!A$3:A$1002)-2),3)),0)+IFERROR(INDEX(Income!C$3:C$502,SMALL(IF((Income!D$3:D$502="GBP")*(Income!A$3:A$502=DATE(2026,9,11)),ROW(Income!A$3:A$502)-2),3)),0))</f>
        <v/>
      </c>
      <c r="L186" s="38" t="str">
        <f aca="false">IF(IFERROR(INDEX(Expenses!B$3:B$1002,SMALL(IF((Expenses!E$3:E$1002="GBP")*(Expenses!A$3:A$1002=DATE(2026,9,11)),ROW(Expenses!A$3:A$1002)-2),3)),"")&lt;&gt;"",IFERROR(INDEX(Expenses!B$3:B$1002,SMALL(IF((Expenses!E$3:E$1002="GBP")*(Expenses!A$3:A$1002=DATE(2026,9,11)),ROW(Expenses!A$3:A$1002)-2),3)),""),IF(IFERROR(INDEX(Income!B$3:B$502,SMALL(IF((Income!D$3:D$502="GBP")*(Income!A$3:A$502=DATE(2026,9,11)),ROW(Income!A$3:A$502)-2),3)),"")&lt;&gt;"",IFERROR(INDEX(Income!B$3:B$502,SMALL(IF((Income!D$3:D$502="GBP")*(Income!A$3:A$502=DATE(2026,9,11)),ROW(Income!A$3:A$502)-2),3)),""),""))</f>
        <v/>
      </c>
      <c r="M186" s="62" t="str">
        <f aca="false">IF(IFERROR(-INDEX(Expenses!D$3:D$1002,SMALL(IF((Expenses!E$3:E$1002="GBP")*(Expenses!A$3:A$1002=DATE(2026,9,12)),ROW(Expenses!A$3:A$1002)-2),3)),0)+IFERROR(INDEX(Income!C$3:C$502,SMALL(IF((Income!D$3:D$502="GBP")*(Income!A$3:A$502=DATE(2026,9,12)),ROW(Income!A$3:A$502)-2),3)),0)=0,"",IFERROR(-INDEX(Expenses!D$3:D$1002,SMALL(IF((Expenses!E$3:E$1002="GBP")*(Expenses!A$3:A$1002=DATE(2026,9,12)),ROW(Expenses!A$3:A$1002)-2),3)),0)+IFERROR(INDEX(Income!C$3:C$502,SMALL(IF((Income!D$3:D$502="GBP")*(Income!A$3:A$502=DATE(2026,9,12)),ROW(Income!A$3:A$502)-2),3)),0))</f>
        <v/>
      </c>
      <c r="N186" s="38" t="str">
        <f aca="false">IF(IFERROR(INDEX(Expenses!B$3:B$1002,SMALL(IF((Expenses!E$3:E$1002="GBP")*(Expenses!A$3:A$1002=DATE(2026,9,12)),ROW(Expenses!A$3:A$1002)-2),3)),"")&lt;&gt;"",IFERROR(INDEX(Expenses!B$3:B$1002,SMALL(IF((Expenses!E$3:E$1002="GBP")*(Expenses!A$3:A$1002=DATE(2026,9,12)),ROW(Expenses!A$3:A$1002)-2),3)),""),IF(IFERROR(INDEX(Income!B$3:B$502,SMALL(IF((Income!D$3:D$502="GBP")*(Income!A$3:A$502=DATE(2026,9,12)),ROW(Income!A$3:A$502)-2),3)),"")&lt;&gt;"",IFERROR(INDEX(Income!B$3:B$502,SMALL(IF((Income!D$3:D$502="GBP")*(Income!A$3:A$502=DATE(2026,9,12)),ROW(Income!A$3:A$502)-2),3)),""),""))</f>
        <v/>
      </c>
      <c r="O186" s="62" t="str">
        <f aca="false">IF(IFERROR(-INDEX(Expenses!D$3:D$1002,SMALL(IF((Expenses!E$3:E$1002="GBP")*(Expenses!A$3:A$1002=DATE(2026,9,13)),ROW(Expenses!A$3:A$1002)-2),3)),0)+IFERROR(INDEX(Income!C$3:C$502,SMALL(IF((Income!D$3:D$502="GBP")*(Income!A$3:A$502=DATE(2026,9,13)),ROW(Income!A$3:A$502)-2),3)),0)=0,"",IFERROR(-INDEX(Expenses!D$3:D$1002,SMALL(IF((Expenses!E$3:E$1002="GBP")*(Expenses!A$3:A$1002=DATE(2026,9,13)),ROW(Expenses!A$3:A$1002)-2),3)),0)+IFERROR(INDEX(Income!C$3:C$502,SMALL(IF((Income!D$3:D$502="GBP")*(Income!A$3:A$502=DATE(2026,9,13)),ROW(Income!A$3:A$502)-2),3)),0))</f>
        <v/>
      </c>
      <c r="P186" s="38" t="str">
        <f aca="false">IF(IFERROR(INDEX(Expenses!B$3:B$1002,SMALL(IF((Expenses!E$3:E$1002="GBP")*(Expenses!A$3:A$1002=DATE(2026,9,13)),ROW(Expenses!A$3:A$1002)-2),3)),"")&lt;&gt;"",IFERROR(INDEX(Expenses!B$3:B$1002,SMALL(IF((Expenses!E$3:E$1002="GBP")*(Expenses!A$3:A$1002=DATE(2026,9,13)),ROW(Expenses!A$3:A$1002)-2),3)),""),IF(IFERROR(INDEX(Income!B$3:B$502,SMALL(IF((Income!D$3:D$502="GBP")*(Income!A$3:A$502=DATE(2026,9,13)),ROW(Income!A$3:A$502)-2),3)),"")&lt;&gt;"",IFERROR(INDEX(Income!B$3:B$502,SMALL(IF((Income!D$3:D$502="GBP")*(Income!A$3:A$502=DATE(2026,9,13)),ROW(Income!A$3:A$502)-2),3)),""),""))</f>
        <v/>
      </c>
      <c r="Q186" s="16"/>
      <c r="R186" s="16"/>
    </row>
    <row r="187" customFormat="false" ht="15" hidden="false" customHeight="false" outlineLevel="0" collapsed="false">
      <c r="A187" s="16"/>
      <c r="B187" s="16"/>
      <c r="C187" s="62" t="str">
        <f aca="false">IF(IFERROR(-INDEX(Expenses!D$3:D$1002,SMALL(IF((Expenses!E$3:E$1002="GBP")*(Expenses!A$3:A$1002=DATE(2026,9,7)),ROW(Expenses!A$3:A$1002)-2),4)),0)+IFERROR(INDEX(Income!C$3:C$502,SMALL(IF((Income!D$3:D$502="GBP")*(Income!A$3:A$502=DATE(2026,9,7)),ROW(Income!A$3:A$502)-2),4)),0)=0,"",IFERROR(-INDEX(Expenses!D$3:D$1002,SMALL(IF((Expenses!E$3:E$1002="GBP")*(Expenses!A$3:A$1002=DATE(2026,9,7)),ROW(Expenses!A$3:A$1002)-2),4)),0)+IFERROR(INDEX(Income!C$3:C$502,SMALL(IF((Income!D$3:D$502="GBP")*(Income!A$3:A$502=DATE(2026,9,7)),ROW(Income!A$3:A$502)-2),4)),0))</f>
        <v/>
      </c>
      <c r="D187" s="38" t="str">
        <f aca="false">IF(IFERROR(INDEX(Expenses!B$3:B$1002,SMALL(IF((Expenses!E$3:E$1002="GBP")*(Expenses!A$3:A$1002=DATE(2026,9,7)),ROW(Expenses!A$3:A$1002)-2),4)),"")&lt;&gt;"",IFERROR(INDEX(Expenses!B$3:B$1002,SMALL(IF((Expenses!E$3:E$1002="GBP")*(Expenses!A$3:A$1002=DATE(2026,9,7)),ROW(Expenses!A$3:A$1002)-2),4)),""),IF(IFERROR(INDEX(Income!B$3:B$502,SMALL(IF((Income!D$3:D$502="GBP")*(Income!A$3:A$502=DATE(2026,9,7)),ROW(Income!A$3:A$502)-2),4)),"")&lt;&gt;"",IFERROR(INDEX(Income!B$3:B$502,SMALL(IF((Income!D$3:D$502="GBP")*(Income!A$3:A$502=DATE(2026,9,7)),ROW(Income!A$3:A$502)-2),4)),""),""))</f>
        <v/>
      </c>
      <c r="E187" s="62" t="str">
        <f aca="false">IF(IFERROR(-INDEX(Expenses!D$3:D$1002,SMALL(IF((Expenses!E$3:E$1002="GBP")*(Expenses!A$3:A$1002=DATE(2026,9,8)),ROW(Expenses!A$3:A$1002)-2),4)),0)+IFERROR(INDEX(Income!C$3:C$502,SMALL(IF((Income!D$3:D$502="GBP")*(Income!A$3:A$502=DATE(2026,9,8)),ROW(Income!A$3:A$502)-2),4)),0)=0,"",IFERROR(-INDEX(Expenses!D$3:D$1002,SMALL(IF((Expenses!E$3:E$1002="GBP")*(Expenses!A$3:A$1002=DATE(2026,9,8)),ROW(Expenses!A$3:A$1002)-2),4)),0)+IFERROR(INDEX(Income!C$3:C$502,SMALL(IF((Income!D$3:D$502="GBP")*(Income!A$3:A$502=DATE(2026,9,8)),ROW(Income!A$3:A$502)-2),4)),0))</f>
        <v/>
      </c>
      <c r="F187" s="38" t="str">
        <f aca="false">IF(IFERROR(INDEX(Expenses!B$3:B$1002,SMALL(IF((Expenses!E$3:E$1002="GBP")*(Expenses!A$3:A$1002=DATE(2026,9,8)),ROW(Expenses!A$3:A$1002)-2),4)),"")&lt;&gt;"",IFERROR(INDEX(Expenses!B$3:B$1002,SMALL(IF((Expenses!E$3:E$1002="GBP")*(Expenses!A$3:A$1002=DATE(2026,9,8)),ROW(Expenses!A$3:A$1002)-2),4)),""),IF(IFERROR(INDEX(Income!B$3:B$502,SMALL(IF((Income!D$3:D$502="GBP")*(Income!A$3:A$502=DATE(2026,9,8)),ROW(Income!A$3:A$502)-2),4)),"")&lt;&gt;"",IFERROR(INDEX(Income!B$3:B$502,SMALL(IF((Income!D$3:D$502="GBP")*(Income!A$3:A$502=DATE(2026,9,8)),ROW(Income!A$3:A$502)-2),4)),""),""))</f>
        <v/>
      </c>
      <c r="G187" s="62" t="str">
        <f aca="false">IF(IFERROR(-INDEX(Expenses!D$3:D$1002,SMALL(IF((Expenses!E$3:E$1002="GBP")*(Expenses!A$3:A$1002=DATE(2026,9,9)),ROW(Expenses!A$3:A$1002)-2),4)),0)+IFERROR(INDEX(Income!C$3:C$502,SMALL(IF((Income!D$3:D$502="GBP")*(Income!A$3:A$502=DATE(2026,9,9)),ROW(Income!A$3:A$502)-2),4)),0)=0,"",IFERROR(-INDEX(Expenses!D$3:D$1002,SMALL(IF((Expenses!E$3:E$1002="GBP")*(Expenses!A$3:A$1002=DATE(2026,9,9)),ROW(Expenses!A$3:A$1002)-2),4)),0)+IFERROR(INDEX(Income!C$3:C$502,SMALL(IF((Income!D$3:D$502="GBP")*(Income!A$3:A$502=DATE(2026,9,9)),ROW(Income!A$3:A$502)-2),4)),0))</f>
        <v/>
      </c>
      <c r="H187" s="38" t="str">
        <f aca="false">IF(IFERROR(INDEX(Expenses!B$3:B$1002,SMALL(IF((Expenses!E$3:E$1002="GBP")*(Expenses!A$3:A$1002=DATE(2026,9,9)),ROW(Expenses!A$3:A$1002)-2),4)),"")&lt;&gt;"",IFERROR(INDEX(Expenses!B$3:B$1002,SMALL(IF((Expenses!E$3:E$1002="GBP")*(Expenses!A$3:A$1002=DATE(2026,9,9)),ROW(Expenses!A$3:A$1002)-2),4)),""),IF(IFERROR(INDEX(Income!B$3:B$502,SMALL(IF((Income!D$3:D$502="GBP")*(Income!A$3:A$502=DATE(2026,9,9)),ROW(Income!A$3:A$502)-2),4)),"")&lt;&gt;"",IFERROR(INDEX(Income!B$3:B$502,SMALL(IF((Income!D$3:D$502="GBP")*(Income!A$3:A$502=DATE(2026,9,9)),ROW(Income!A$3:A$502)-2),4)),""),""))</f>
        <v/>
      </c>
      <c r="I187" s="62" t="str">
        <f aca="false">IF(IFERROR(-INDEX(Expenses!D$3:D$1002,SMALL(IF((Expenses!E$3:E$1002="GBP")*(Expenses!A$3:A$1002=DATE(2026,9,10)),ROW(Expenses!A$3:A$1002)-2),4)),0)+IFERROR(INDEX(Income!C$3:C$502,SMALL(IF((Income!D$3:D$502="GBP")*(Income!A$3:A$502=DATE(2026,9,10)),ROW(Income!A$3:A$502)-2),4)),0)=0,"",IFERROR(-INDEX(Expenses!D$3:D$1002,SMALL(IF((Expenses!E$3:E$1002="GBP")*(Expenses!A$3:A$1002=DATE(2026,9,10)),ROW(Expenses!A$3:A$1002)-2),4)),0)+IFERROR(INDEX(Income!C$3:C$502,SMALL(IF((Income!D$3:D$502="GBP")*(Income!A$3:A$502=DATE(2026,9,10)),ROW(Income!A$3:A$502)-2),4)),0))</f>
        <v/>
      </c>
      <c r="J187" s="38" t="str">
        <f aca="false">IF(IFERROR(INDEX(Expenses!B$3:B$1002,SMALL(IF((Expenses!E$3:E$1002="GBP")*(Expenses!A$3:A$1002=DATE(2026,9,10)),ROW(Expenses!A$3:A$1002)-2),4)),"")&lt;&gt;"",IFERROR(INDEX(Expenses!B$3:B$1002,SMALL(IF((Expenses!E$3:E$1002="GBP")*(Expenses!A$3:A$1002=DATE(2026,9,10)),ROW(Expenses!A$3:A$1002)-2),4)),""),IF(IFERROR(INDEX(Income!B$3:B$502,SMALL(IF((Income!D$3:D$502="GBP")*(Income!A$3:A$502=DATE(2026,9,10)),ROW(Income!A$3:A$502)-2),4)),"")&lt;&gt;"",IFERROR(INDEX(Income!B$3:B$502,SMALL(IF((Income!D$3:D$502="GBP")*(Income!A$3:A$502=DATE(2026,9,10)),ROW(Income!A$3:A$502)-2),4)),""),""))</f>
        <v/>
      </c>
      <c r="K187" s="62" t="str">
        <f aca="false">IF(IFERROR(-INDEX(Expenses!D$3:D$1002,SMALL(IF((Expenses!E$3:E$1002="GBP")*(Expenses!A$3:A$1002=DATE(2026,9,11)),ROW(Expenses!A$3:A$1002)-2),4)),0)+IFERROR(INDEX(Income!C$3:C$502,SMALL(IF((Income!D$3:D$502="GBP")*(Income!A$3:A$502=DATE(2026,9,11)),ROW(Income!A$3:A$502)-2),4)),0)=0,"",IFERROR(-INDEX(Expenses!D$3:D$1002,SMALL(IF((Expenses!E$3:E$1002="GBP")*(Expenses!A$3:A$1002=DATE(2026,9,11)),ROW(Expenses!A$3:A$1002)-2),4)),0)+IFERROR(INDEX(Income!C$3:C$502,SMALL(IF((Income!D$3:D$502="GBP")*(Income!A$3:A$502=DATE(2026,9,11)),ROW(Income!A$3:A$502)-2),4)),0))</f>
        <v/>
      </c>
      <c r="L187" s="38" t="str">
        <f aca="false">IF(IFERROR(INDEX(Expenses!B$3:B$1002,SMALL(IF((Expenses!E$3:E$1002="GBP")*(Expenses!A$3:A$1002=DATE(2026,9,11)),ROW(Expenses!A$3:A$1002)-2),4)),"")&lt;&gt;"",IFERROR(INDEX(Expenses!B$3:B$1002,SMALL(IF((Expenses!E$3:E$1002="GBP")*(Expenses!A$3:A$1002=DATE(2026,9,11)),ROW(Expenses!A$3:A$1002)-2),4)),""),IF(IFERROR(INDEX(Income!B$3:B$502,SMALL(IF((Income!D$3:D$502="GBP")*(Income!A$3:A$502=DATE(2026,9,11)),ROW(Income!A$3:A$502)-2),4)),"")&lt;&gt;"",IFERROR(INDEX(Income!B$3:B$502,SMALL(IF((Income!D$3:D$502="GBP")*(Income!A$3:A$502=DATE(2026,9,11)),ROW(Income!A$3:A$502)-2),4)),""),""))</f>
        <v/>
      </c>
      <c r="M187" s="62" t="str">
        <f aca="false">IF(IFERROR(-INDEX(Expenses!D$3:D$1002,SMALL(IF((Expenses!E$3:E$1002="GBP")*(Expenses!A$3:A$1002=DATE(2026,9,12)),ROW(Expenses!A$3:A$1002)-2),4)),0)+IFERROR(INDEX(Income!C$3:C$502,SMALL(IF((Income!D$3:D$502="GBP")*(Income!A$3:A$502=DATE(2026,9,12)),ROW(Income!A$3:A$502)-2),4)),0)=0,"",IFERROR(-INDEX(Expenses!D$3:D$1002,SMALL(IF((Expenses!E$3:E$1002="GBP")*(Expenses!A$3:A$1002=DATE(2026,9,12)),ROW(Expenses!A$3:A$1002)-2),4)),0)+IFERROR(INDEX(Income!C$3:C$502,SMALL(IF((Income!D$3:D$502="GBP")*(Income!A$3:A$502=DATE(2026,9,12)),ROW(Income!A$3:A$502)-2),4)),0))</f>
        <v/>
      </c>
      <c r="N187" s="38" t="str">
        <f aca="false">IF(IFERROR(INDEX(Expenses!B$3:B$1002,SMALL(IF((Expenses!E$3:E$1002="GBP")*(Expenses!A$3:A$1002=DATE(2026,9,12)),ROW(Expenses!A$3:A$1002)-2),4)),"")&lt;&gt;"",IFERROR(INDEX(Expenses!B$3:B$1002,SMALL(IF((Expenses!E$3:E$1002="GBP")*(Expenses!A$3:A$1002=DATE(2026,9,12)),ROW(Expenses!A$3:A$1002)-2),4)),""),IF(IFERROR(INDEX(Income!B$3:B$502,SMALL(IF((Income!D$3:D$502="GBP")*(Income!A$3:A$502=DATE(2026,9,12)),ROW(Income!A$3:A$502)-2),4)),"")&lt;&gt;"",IFERROR(INDEX(Income!B$3:B$502,SMALL(IF((Income!D$3:D$502="GBP")*(Income!A$3:A$502=DATE(2026,9,12)),ROW(Income!A$3:A$502)-2),4)),""),""))</f>
        <v/>
      </c>
      <c r="O187" s="62" t="str">
        <f aca="false">IF(IFERROR(-INDEX(Expenses!D$3:D$1002,SMALL(IF((Expenses!E$3:E$1002="GBP")*(Expenses!A$3:A$1002=DATE(2026,9,13)),ROW(Expenses!A$3:A$1002)-2),4)),0)+IFERROR(INDEX(Income!C$3:C$502,SMALL(IF((Income!D$3:D$502="GBP")*(Income!A$3:A$502=DATE(2026,9,13)),ROW(Income!A$3:A$502)-2),4)),0)=0,"",IFERROR(-INDEX(Expenses!D$3:D$1002,SMALL(IF((Expenses!E$3:E$1002="GBP")*(Expenses!A$3:A$1002=DATE(2026,9,13)),ROW(Expenses!A$3:A$1002)-2),4)),0)+IFERROR(INDEX(Income!C$3:C$502,SMALL(IF((Income!D$3:D$502="GBP")*(Income!A$3:A$502=DATE(2026,9,13)),ROW(Income!A$3:A$502)-2),4)),0))</f>
        <v/>
      </c>
      <c r="P187" s="38" t="str">
        <f aca="false">IF(IFERROR(INDEX(Expenses!B$3:B$1002,SMALL(IF((Expenses!E$3:E$1002="GBP")*(Expenses!A$3:A$1002=DATE(2026,9,13)),ROW(Expenses!A$3:A$1002)-2),4)),"")&lt;&gt;"",IFERROR(INDEX(Expenses!B$3:B$1002,SMALL(IF((Expenses!E$3:E$1002="GBP")*(Expenses!A$3:A$1002=DATE(2026,9,13)),ROW(Expenses!A$3:A$1002)-2),4)),""),IF(IFERROR(INDEX(Income!B$3:B$502,SMALL(IF((Income!D$3:D$502="GBP")*(Income!A$3:A$502=DATE(2026,9,13)),ROW(Income!A$3:A$502)-2),4)),"")&lt;&gt;"",IFERROR(INDEX(Income!B$3:B$502,SMALL(IF((Income!D$3:D$502="GBP")*(Income!A$3:A$502=DATE(2026,9,13)),ROW(Income!A$3:A$502)-2),4)),""),""))</f>
        <v/>
      </c>
      <c r="Q187" s="16"/>
      <c r="R187" s="16"/>
    </row>
    <row r="188" customFormat="false" ht="15" hidden="false" customHeight="false" outlineLevel="0" collapsed="false">
      <c r="A188" s="16"/>
      <c r="B188" s="16"/>
      <c r="C188" s="62" t="str">
        <f aca="false">IF(IFERROR(-INDEX(Expenses!D$3:D$1002,SMALL(IF((Expenses!E$3:E$1002="GBP")*(Expenses!A$3:A$1002=DATE(2026,9,7)),ROW(Expenses!A$3:A$1002)-2),5)),0)+IFERROR(INDEX(Income!C$3:C$502,SMALL(IF((Income!D$3:D$502="GBP")*(Income!A$3:A$502=DATE(2026,9,7)),ROW(Income!A$3:A$502)-2),5)),0)=0,"",IFERROR(-INDEX(Expenses!D$3:D$1002,SMALL(IF((Expenses!E$3:E$1002="GBP")*(Expenses!A$3:A$1002=DATE(2026,9,7)),ROW(Expenses!A$3:A$1002)-2),5)),0)+IFERROR(INDEX(Income!C$3:C$502,SMALL(IF((Income!D$3:D$502="GBP")*(Income!A$3:A$502=DATE(2026,9,7)),ROW(Income!A$3:A$502)-2),5)),0))</f>
        <v/>
      </c>
      <c r="D188" s="38" t="str">
        <f aca="false">IF(IFERROR(INDEX(Expenses!B$3:B$1002,SMALL(IF((Expenses!E$3:E$1002="GBP")*(Expenses!A$3:A$1002=DATE(2026,9,7)),ROW(Expenses!A$3:A$1002)-2),5)),"")&lt;&gt;"",IFERROR(INDEX(Expenses!B$3:B$1002,SMALL(IF((Expenses!E$3:E$1002="GBP")*(Expenses!A$3:A$1002=DATE(2026,9,7)),ROW(Expenses!A$3:A$1002)-2),5)),""),IF(IFERROR(INDEX(Income!B$3:B$502,SMALL(IF((Income!D$3:D$502="GBP")*(Income!A$3:A$502=DATE(2026,9,7)),ROW(Income!A$3:A$502)-2),5)),"")&lt;&gt;"",IFERROR(INDEX(Income!B$3:B$502,SMALL(IF((Income!D$3:D$502="GBP")*(Income!A$3:A$502=DATE(2026,9,7)),ROW(Income!A$3:A$502)-2),5)),""),""))</f>
        <v/>
      </c>
      <c r="E188" s="62" t="str">
        <f aca="false">IF(IFERROR(-INDEX(Expenses!D$3:D$1002,SMALL(IF((Expenses!E$3:E$1002="GBP")*(Expenses!A$3:A$1002=DATE(2026,9,8)),ROW(Expenses!A$3:A$1002)-2),5)),0)+IFERROR(INDEX(Income!C$3:C$502,SMALL(IF((Income!D$3:D$502="GBP")*(Income!A$3:A$502=DATE(2026,9,8)),ROW(Income!A$3:A$502)-2),5)),0)=0,"",IFERROR(-INDEX(Expenses!D$3:D$1002,SMALL(IF((Expenses!E$3:E$1002="GBP")*(Expenses!A$3:A$1002=DATE(2026,9,8)),ROW(Expenses!A$3:A$1002)-2),5)),0)+IFERROR(INDEX(Income!C$3:C$502,SMALL(IF((Income!D$3:D$502="GBP")*(Income!A$3:A$502=DATE(2026,9,8)),ROW(Income!A$3:A$502)-2),5)),0))</f>
        <v/>
      </c>
      <c r="F188" s="38" t="str">
        <f aca="false">IF(IFERROR(INDEX(Expenses!B$3:B$1002,SMALL(IF((Expenses!E$3:E$1002="GBP")*(Expenses!A$3:A$1002=DATE(2026,9,8)),ROW(Expenses!A$3:A$1002)-2),5)),"")&lt;&gt;"",IFERROR(INDEX(Expenses!B$3:B$1002,SMALL(IF((Expenses!E$3:E$1002="GBP")*(Expenses!A$3:A$1002=DATE(2026,9,8)),ROW(Expenses!A$3:A$1002)-2),5)),""),IF(IFERROR(INDEX(Income!B$3:B$502,SMALL(IF((Income!D$3:D$502="GBP")*(Income!A$3:A$502=DATE(2026,9,8)),ROW(Income!A$3:A$502)-2),5)),"")&lt;&gt;"",IFERROR(INDEX(Income!B$3:B$502,SMALL(IF((Income!D$3:D$502="GBP")*(Income!A$3:A$502=DATE(2026,9,8)),ROW(Income!A$3:A$502)-2),5)),""),""))</f>
        <v/>
      </c>
      <c r="G188" s="62" t="str">
        <f aca="false">IF(IFERROR(-INDEX(Expenses!D$3:D$1002,SMALL(IF((Expenses!E$3:E$1002="GBP")*(Expenses!A$3:A$1002=DATE(2026,9,9)),ROW(Expenses!A$3:A$1002)-2),5)),0)+IFERROR(INDEX(Income!C$3:C$502,SMALL(IF((Income!D$3:D$502="GBP")*(Income!A$3:A$502=DATE(2026,9,9)),ROW(Income!A$3:A$502)-2),5)),0)=0,"",IFERROR(-INDEX(Expenses!D$3:D$1002,SMALL(IF((Expenses!E$3:E$1002="GBP")*(Expenses!A$3:A$1002=DATE(2026,9,9)),ROW(Expenses!A$3:A$1002)-2),5)),0)+IFERROR(INDEX(Income!C$3:C$502,SMALL(IF((Income!D$3:D$502="GBP")*(Income!A$3:A$502=DATE(2026,9,9)),ROW(Income!A$3:A$502)-2),5)),0))</f>
        <v/>
      </c>
      <c r="H188" s="38" t="str">
        <f aca="false">IF(IFERROR(INDEX(Expenses!B$3:B$1002,SMALL(IF((Expenses!E$3:E$1002="GBP")*(Expenses!A$3:A$1002=DATE(2026,9,9)),ROW(Expenses!A$3:A$1002)-2),5)),"")&lt;&gt;"",IFERROR(INDEX(Expenses!B$3:B$1002,SMALL(IF((Expenses!E$3:E$1002="GBP")*(Expenses!A$3:A$1002=DATE(2026,9,9)),ROW(Expenses!A$3:A$1002)-2),5)),""),IF(IFERROR(INDEX(Income!B$3:B$502,SMALL(IF((Income!D$3:D$502="GBP")*(Income!A$3:A$502=DATE(2026,9,9)),ROW(Income!A$3:A$502)-2),5)),"")&lt;&gt;"",IFERROR(INDEX(Income!B$3:B$502,SMALL(IF((Income!D$3:D$502="GBP")*(Income!A$3:A$502=DATE(2026,9,9)),ROW(Income!A$3:A$502)-2),5)),""),""))</f>
        <v/>
      </c>
      <c r="I188" s="62" t="str">
        <f aca="false">IF(IFERROR(-INDEX(Expenses!D$3:D$1002,SMALL(IF((Expenses!E$3:E$1002="GBP")*(Expenses!A$3:A$1002=DATE(2026,9,10)),ROW(Expenses!A$3:A$1002)-2),5)),0)+IFERROR(INDEX(Income!C$3:C$502,SMALL(IF((Income!D$3:D$502="GBP")*(Income!A$3:A$502=DATE(2026,9,10)),ROW(Income!A$3:A$502)-2),5)),0)=0,"",IFERROR(-INDEX(Expenses!D$3:D$1002,SMALL(IF((Expenses!E$3:E$1002="GBP")*(Expenses!A$3:A$1002=DATE(2026,9,10)),ROW(Expenses!A$3:A$1002)-2),5)),0)+IFERROR(INDEX(Income!C$3:C$502,SMALL(IF((Income!D$3:D$502="GBP")*(Income!A$3:A$502=DATE(2026,9,10)),ROW(Income!A$3:A$502)-2),5)),0))</f>
        <v/>
      </c>
      <c r="J188" s="38" t="str">
        <f aca="false">IF(IFERROR(INDEX(Expenses!B$3:B$1002,SMALL(IF((Expenses!E$3:E$1002="GBP")*(Expenses!A$3:A$1002=DATE(2026,9,10)),ROW(Expenses!A$3:A$1002)-2),5)),"")&lt;&gt;"",IFERROR(INDEX(Expenses!B$3:B$1002,SMALL(IF((Expenses!E$3:E$1002="GBP")*(Expenses!A$3:A$1002=DATE(2026,9,10)),ROW(Expenses!A$3:A$1002)-2),5)),""),IF(IFERROR(INDEX(Income!B$3:B$502,SMALL(IF((Income!D$3:D$502="GBP")*(Income!A$3:A$502=DATE(2026,9,10)),ROW(Income!A$3:A$502)-2),5)),"")&lt;&gt;"",IFERROR(INDEX(Income!B$3:B$502,SMALL(IF((Income!D$3:D$502="GBP")*(Income!A$3:A$502=DATE(2026,9,10)),ROW(Income!A$3:A$502)-2),5)),""),""))</f>
        <v/>
      </c>
      <c r="K188" s="62" t="str">
        <f aca="false">IF(IFERROR(-INDEX(Expenses!D$3:D$1002,SMALL(IF((Expenses!E$3:E$1002="GBP")*(Expenses!A$3:A$1002=DATE(2026,9,11)),ROW(Expenses!A$3:A$1002)-2),5)),0)+IFERROR(INDEX(Income!C$3:C$502,SMALL(IF((Income!D$3:D$502="GBP")*(Income!A$3:A$502=DATE(2026,9,11)),ROW(Income!A$3:A$502)-2),5)),0)=0,"",IFERROR(-INDEX(Expenses!D$3:D$1002,SMALL(IF((Expenses!E$3:E$1002="GBP")*(Expenses!A$3:A$1002=DATE(2026,9,11)),ROW(Expenses!A$3:A$1002)-2),5)),0)+IFERROR(INDEX(Income!C$3:C$502,SMALL(IF((Income!D$3:D$502="GBP")*(Income!A$3:A$502=DATE(2026,9,11)),ROW(Income!A$3:A$502)-2),5)),0))</f>
        <v/>
      </c>
      <c r="L188" s="38" t="str">
        <f aca="false">IF(IFERROR(INDEX(Expenses!B$3:B$1002,SMALL(IF((Expenses!E$3:E$1002="GBP")*(Expenses!A$3:A$1002=DATE(2026,9,11)),ROW(Expenses!A$3:A$1002)-2),5)),"")&lt;&gt;"",IFERROR(INDEX(Expenses!B$3:B$1002,SMALL(IF((Expenses!E$3:E$1002="GBP")*(Expenses!A$3:A$1002=DATE(2026,9,11)),ROW(Expenses!A$3:A$1002)-2),5)),""),IF(IFERROR(INDEX(Income!B$3:B$502,SMALL(IF((Income!D$3:D$502="GBP")*(Income!A$3:A$502=DATE(2026,9,11)),ROW(Income!A$3:A$502)-2),5)),"")&lt;&gt;"",IFERROR(INDEX(Income!B$3:B$502,SMALL(IF((Income!D$3:D$502="GBP")*(Income!A$3:A$502=DATE(2026,9,11)),ROW(Income!A$3:A$502)-2),5)),""),""))</f>
        <v/>
      </c>
      <c r="M188" s="62" t="str">
        <f aca="false">IF(IFERROR(-INDEX(Expenses!D$3:D$1002,SMALL(IF((Expenses!E$3:E$1002="GBP")*(Expenses!A$3:A$1002=DATE(2026,9,12)),ROW(Expenses!A$3:A$1002)-2),5)),0)+IFERROR(INDEX(Income!C$3:C$502,SMALL(IF((Income!D$3:D$502="GBP")*(Income!A$3:A$502=DATE(2026,9,12)),ROW(Income!A$3:A$502)-2),5)),0)=0,"",IFERROR(-INDEX(Expenses!D$3:D$1002,SMALL(IF((Expenses!E$3:E$1002="GBP")*(Expenses!A$3:A$1002=DATE(2026,9,12)),ROW(Expenses!A$3:A$1002)-2),5)),0)+IFERROR(INDEX(Income!C$3:C$502,SMALL(IF((Income!D$3:D$502="GBP")*(Income!A$3:A$502=DATE(2026,9,12)),ROW(Income!A$3:A$502)-2),5)),0))</f>
        <v/>
      </c>
      <c r="N188" s="38" t="str">
        <f aca="false">IF(IFERROR(INDEX(Expenses!B$3:B$1002,SMALL(IF((Expenses!E$3:E$1002="GBP")*(Expenses!A$3:A$1002=DATE(2026,9,12)),ROW(Expenses!A$3:A$1002)-2),5)),"")&lt;&gt;"",IFERROR(INDEX(Expenses!B$3:B$1002,SMALL(IF((Expenses!E$3:E$1002="GBP")*(Expenses!A$3:A$1002=DATE(2026,9,12)),ROW(Expenses!A$3:A$1002)-2),5)),""),IF(IFERROR(INDEX(Income!B$3:B$502,SMALL(IF((Income!D$3:D$502="GBP")*(Income!A$3:A$502=DATE(2026,9,12)),ROW(Income!A$3:A$502)-2),5)),"")&lt;&gt;"",IFERROR(INDEX(Income!B$3:B$502,SMALL(IF((Income!D$3:D$502="GBP")*(Income!A$3:A$502=DATE(2026,9,12)),ROW(Income!A$3:A$502)-2),5)),""),""))</f>
        <v/>
      </c>
      <c r="O188" s="62" t="str">
        <f aca="false">IF(IFERROR(-INDEX(Expenses!D$3:D$1002,SMALL(IF((Expenses!E$3:E$1002="GBP")*(Expenses!A$3:A$1002=DATE(2026,9,13)),ROW(Expenses!A$3:A$1002)-2),5)),0)+IFERROR(INDEX(Income!C$3:C$502,SMALL(IF((Income!D$3:D$502="GBP")*(Income!A$3:A$502=DATE(2026,9,13)),ROW(Income!A$3:A$502)-2),5)),0)=0,"",IFERROR(-INDEX(Expenses!D$3:D$1002,SMALL(IF((Expenses!E$3:E$1002="GBP")*(Expenses!A$3:A$1002=DATE(2026,9,13)),ROW(Expenses!A$3:A$1002)-2),5)),0)+IFERROR(INDEX(Income!C$3:C$502,SMALL(IF((Income!D$3:D$502="GBP")*(Income!A$3:A$502=DATE(2026,9,13)),ROW(Income!A$3:A$502)-2),5)),0))</f>
        <v/>
      </c>
      <c r="P188" s="38" t="str">
        <f aca="false">IF(IFERROR(INDEX(Expenses!B$3:B$1002,SMALL(IF((Expenses!E$3:E$1002="GBP")*(Expenses!A$3:A$1002=DATE(2026,9,13)),ROW(Expenses!A$3:A$1002)-2),5)),"")&lt;&gt;"",IFERROR(INDEX(Expenses!B$3:B$1002,SMALL(IF((Expenses!E$3:E$1002="GBP")*(Expenses!A$3:A$1002=DATE(2026,9,13)),ROW(Expenses!A$3:A$1002)-2),5)),""),IF(IFERROR(INDEX(Income!B$3:B$502,SMALL(IF((Income!D$3:D$502="GBP")*(Income!A$3:A$502=DATE(2026,9,13)),ROW(Income!A$3:A$502)-2),5)),"")&lt;&gt;"",IFERROR(INDEX(Income!B$3:B$502,SMALL(IF((Income!D$3:D$502="GBP")*(Income!A$3:A$502=DATE(2026,9,13)),ROW(Income!A$3:A$502)-2),5)),""),""))</f>
        <v/>
      </c>
      <c r="Q188" s="16"/>
      <c r="R188" s="16"/>
    </row>
    <row r="189" customFormat="false" ht="15" hidden="false" customHeight="false" outlineLevel="0" collapsed="false">
      <c r="A189" s="61" t="n">
        <v>46279</v>
      </c>
      <c r="B189" s="3" t="n">
        <v>38</v>
      </c>
      <c r="C189" s="62" t="str">
        <f aca="false">IF(IFERROR(-INDEX(Expenses!D$3:D$1002,SMALL(IF((Expenses!E$3:E$1002="GBP")*(Expenses!A$3:A$1002=DATE(2026,9,14)),ROW(Expenses!A$3:A$1002)-2),1)),0)+IFERROR(INDEX(Income!C$3:C$502,SMALL(IF((Income!D$3:D$502="GBP")*(Income!A$3:A$502=DATE(2026,9,14)),ROW(Income!A$3:A$502)-2),1)),0)=0,"",IFERROR(-INDEX(Expenses!D$3:D$1002,SMALL(IF((Expenses!E$3:E$1002="GBP")*(Expenses!A$3:A$1002=DATE(2026,9,14)),ROW(Expenses!A$3:A$1002)-2),1)),0)+IFERROR(INDEX(Income!C$3:C$502,SMALL(IF((Income!D$3:D$502="GBP")*(Income!A$3:A$502=DATE(2026,9,14)),ROW(Income!A$3:A$502)-2),1)),0))</f>
        <v/>
      </c>
      <c r="D189" s="38" t="str">
        <f aca="false">IF(IFERROR(INDEX(Expenses!B$3:B$1002,SMALL(IF((Expenses!E$3:E$1002="GBP")*(Expenses!A$3:A$1002=DATE(2026,9,14)),ROW(Expenses!A$3:A$1002)-2),1)),"")&lt;&gt;"",IFERROR(INDEX(Expenses!B$3:B$1002,SMALL(IF((Expenses!E$3:E$1002="GBP")*(Expenses!A$3:A$1002=DATE(2026,9,14)),ROW(Expenses!A$3:A$1002)-2),1)),""),IF(IFERROR(INDEX(Income!B$3:B$502,SMALL(IF((Income!D$3:D$502="GBP")*(Income!A$3:A$502=DATE(2026,9,14)),ROW(Income!A$3:A$502)-2),1)),"")&lt;&gt;"",IFERROR(INDEX(Income!B$3:B$502,SMALL(IF((Income!D$3:D$502="GBP")*(Income!A$3:A$502=DATE(2026,9,14)),ROW(Income!A$3:A$502)-2),1)),""),""))</f>
        <v/>
      </c>
      <c r="E189" s="62" t="str">
        <f aca="false">IF(IFERROR(-INDEX(Expenses!D$3:D$1002,SMALL(IF((Expenses!E$3:E$1002="GBP")*(Expenses!A$3:A$1002=DATE(2026,9,15)),ROW(Expenses!A$3:A$1002)-2),1)),0)+IFERROR(INDEX(Income!C$3:C$502,SMALL(IF((Income!D$3:D$502="GBP")*(Income!A$3:A$502=DATE(2026,9,15)),ROW(Income!A$3:A$502)-2),1)),0)=0,"",IFERROR(-INDEX(Expenses!D$3:D$1002,SMALL(IF((Expenses!E$3:E$1002="GBP")*(Expenses!A$3:A$1002=DATE(2026,9,15)),ROW(Expenses!A$3:A$1002)-2),1)),0)+IFERROR(INDEX(Income!C$3:C$502,SMALL(IF((Income!D$3:D$502="GBP")*(Income!A$3:A$502=DATE(2026,9,15)),ROW(Income!A$3:A$502)-2),1)),0))</f>
        <v/>
      </c>
      <c r="F189" s="38" t="str">
        <f aca="false">IF(IFERROR(INDEX(Expenses!B$3:B$1002,SMALL(IF((Expenses!E$3:E$1002="GBP")*(Expenses!A$3:A$1002=DATE(2026,9,15)),ROW(Expenses!A$3:A$1002)-2),1)),"")&lt;&gt;"",IFERROR(INDEX(Expenses!B$3:B$1002,SMALL(IF((Expenses!E$3:E$1002="GBP")*(Expenses!A$3:A$1002=DATE(2026,9,15)),ROW(Expenses!A$3:A$1002)-2),1)),""),IF(IFERROR(INDEX(Income!B$3:B$502,SMALL(IF((Income!D$3:D$502="GBP")*(Income!A$3:A$502=DATE(2026,9,15)),ROW(Income!A$3:A$502)-2),1)),"")&lt;&gt;"",IFERROR(INDEX(Income!B$3:B$502,SMALL(IF((Income!D$3:D$502="GBP")*(Income!A$3:A$502=DATE(2026,9,15)),ROW(Income!A$3:A$502)-2),1)),""),""))</f>
        <v/>
      </c>
      <c r="G189" s="62" t="str">
        <f aca="false">IF(IFERROR(-INDEX(Expenses!D$3:D$1002,SMALL(IF((Expenses!E$3:E$1002="GBP")*(Expenses!A$3:A$1002=DATE(2026,9,16)),ROW(Expenses!A$3:A$1002)-2),1)),0)+IFERROR(INDEX(Income!C$3:C$502,SMALL(IF((Income!D$3:D$502="GBP")*(Income!A$3:A$502=DATE(2026,9,16)),ROW(Income!A$3:A$502)-2),1)),0)=0,"",IFERROR(-INDEX(Expenses!D$3:D$1002,SMALL(IF((Expenses!E$3:E$1002="GBP")*(Expenses!A$3:A$1002=DATE(2026,9,16)),ROW(Expenses!A$3:A$1002)-2),1)),0)+IFERROR(INDEX(Income!C$3:C$502,SMALL(IF((Income!D$3:D$502="GBP")*(Income!A$3:A$502=DATE(2026,9,16)),ROW(Income!A$3:A$502)-2),1)),0))</f>
        <v/>
      </c>
      <c r="H189" s="38" t="str">
        <f aca="false">IF(IFERROR(INDEX(Expenses!B$3:B$1002,SMALL(IF((Expenses!E$3:E$1002="GBP")*(Expenses!A$3:A$1002=DATE(2026,9,16)),ROW(Expenses!A$3:A$1002)-2),1)),"")&lt;&gt;"",IFERROR(INDEX(Expenses!B$3:B$1002,SMALL(IF((Expenses!E$3:E$1002="GBP")*(Expenses!A$3:A$1002=DATE(2026,9,16)),ROW(Expenses!A$3:A$1002)-2),1)),""),IF(IFERROR(INDEX(Income!B$3:B$502,SMALL(IF((Income!D$3:D$502="GBP")*(Income!A$3:A$502=DATE(2026,9,16)),ROW(Income!A$3:A$502)-2),1)),"")&lt;&gt;"",IFERROR(INDEX(Income!B$3:B$502,SMALL(IF((Income!D$3:D$502="GBP")*(Income!A$3:A$502=DATE(2026,9,16)),ROW(Income!A$3:A$502)-2),1)),""),""))</f>
        <v/>
      </c>
      <c r="I189" s="62" t="str">
        <f aca="false">IF(IFERROR(-INDEX(Expenses!D$3:D$1002,SMALL(IF((Expenses!E$3:E$1002="GBP")*(Expenses!A$3:A$1002=DATE(2026,9,17)),ROW(Expenses!A$3:A$1002)-2),1)),0)+IFERROR(INDEX(Income!C$3:C$502,SMALL(IF((Income!D$3:D$502="GBP")*(Income!A$3:A$502=DATE(2026,9,17)),ROW(Income!A$3:A$502)-2),1)),0)=0,"",IFERROR(-INDEX(Expenses!D$3:D$1002,SMALL(IF((Expenses!E$3:E$1002="GBP")*(Expenses!A$3:A$1002=DATE(2026,9,17)),ROW(Expenses!A$3:A$1002)-2),1)),0)+IFERROR(INDEX(Income!C$3:C$502,SMALL(IF((Income!D$3:D$502="GBP")*(Income!A$3:A$502=DATE(2026,9,17)),ROW(Income!A$3:A$502)-2),1)),0))</f>
        <v/>
      </c>
      <c r="J189" s="38" t="str">
        <f aca="false">IF(IFERROR(INDEX(Expenses!B$3:B$1002,SMALL(IF((Expenses!E$3:E$1002="GBP")*(Expenses!A$3:A$1002=DATE(2026,9,17)),ROW(Expenses!A$3:A$1002)-2),1)),"")&lt;&gt;"",IFERROR(INDEX(Expenses!B$3:B$1002,SMALL(IF((Expenses!E$3:E$1002="GBP")*(Expenses!A$3:A$1002=DATE(2026,9,17)),ROW(Expenses!A$3:A$1002)-2),1)),""),IF(IFERROR(INDEX(Income!B$3:B$502,SMALL(IF((Income!D$3:D$502="GBP")*(Income!A$3:A$502=DATE(2026,9,17)),ROW(Income!A$3:A$502)-2),1)),"")&lt;&gt;"",IFERROR(INDEX(Income!B$3:B$502,SMALL(IF((Income!D$3:D$502="GBP")*(Income!A$3:A$502=DATE(2026,9,17)),ROW(Income!A$3:A$502)-2),1)),""),""))</f>
        <v/>
      </c>
      <c r="K189" s="62" t="str">
        <f aca="false">IF(IFERROR(-INDEX(Expenses!D$3:D$1002,SMALL(IF((Expenses!E$3:E$1002="GBP")*(Expenses!A$3:A$1002=DATE(2026,9,18)),ROW(Expenses!A$3:A$1002)-2),1)),0)+IFERROR(INDEX(Income!C$3:C$502,SMALL(IF((Income!D$3:D$502="GBP")*(Income!A$3:A$502=DATE(2026,9,18)),ROW(Income!A$3:A$502)-2),1)),0)=0,"",IFERROR(-INDEX(Expenses!D$3:D$1002,SMALL(IF((Expenses!E$3:E$1002="GBP")*(Expenses!A$3:A$1002=DATE(2026,9,18)),ROW(Expenses!A$3:A$1002)-2),1)),0)+IFERROR(INDEX(Income!C$3:C$502,SMALL(IF((Income!D$3:D$502="GBP")*(Income!A$3:A$502=DATE(2026,9,18)),ROW(Income!A$3:A$502)-2),1)),0))</f>
        <v/>
      </c>
      <c r="L189" s="38" t="str">
        <f aca="false">IF(IFERROR(INDEX(Expenses!B$3:B$1002,SMALL(IF((Expenses!E$3:E$1002="GBP")*(Expenses!A$3:A$1002=DATE(2026,9,18)),ROW(Expenses!A$3:A$1002)-2),1)),"")&lt;&gt;"",IFERROR(INDEX(Expenses!B$3:B$1002,SMALL(IF((Expenses!E$3:E$1002="GBP")*(Expenses!A$3:A$1002=DATE(2026,9,18)),ROW(Expenses!A$3:A$1002)-2),1)),""),IF(IFERROR(INDEX(Income!B$3:B$502,SMALL(IF((Income!D$3:D$502="GBP")*(Income!A$3:A$502=DATE(2026,9,18)),ROW(Income!A$3:A$502)-2),1)),"")&lt;&gt;"",IFERROR(INDEX(Income!B$3:B$502,SMALL(IF((Income!D$3:D$502="GBP")*(Income!A$3:A$502=DATE(2026,9,18)),ROW(Income!A$3:A$502)-2),1)),""),""))</f>
        <v/>
      </c>
      <c r="M189" s="62" t="str">
        <f aca="false">IF(IFERROR(-INDEX(Expenses!D$3:D$1002,SMALL(IF((Expenses!E$3:E$1002="GBP")*(Expenses!A$3:A$1002=DATE(2026,9,19)),ROW(Expenses!A$3:A$1002)-2),1)),0)+IFERROR(INDEX(Income!C$3:C$502,SMALL(IF((Income!D$3:D$502="GBP")*(Income!A$3:A$502=DATE(2026,9,19)),ROW(Income!A$3:A$502)-2),1)),0)=0,"",IFERROR(-INDEX(Expenses!D$3:D$1002,SMALL(IF((Expenses!E$3:E$1002="GBP")*(Expenses!A$3:A$1002=DATE(2026,9,19)),ROW(Expenses!A$3:A$1002)-2),1)),0)+IFERROR(INDEX(Income!C$3:C$502,SMALL(IF((Income!D$3:D$502="GBP")*(Income!A$3:A$502=DATE(2026,9,19)),ROW(Income!A$3:A$502)-2),1)),0))</f>
        <v/>
      </c>
      <c r="N189" s="38" t="str">
        <f aca="false">IF(IFERROR(INDEX(Expenses!B$3:B$1002,SMALL(IF((Expenses!E$3:E$1002="GBP")*(Expenses!A$3:A$1002=DATE(2026,9,19)),ROW(Expenses!A$3:A$1002)-2),1)),"")&lt;&gt;"",IFERROR(INDEX(Expenses!B$3:B$1002,SMALL(IF((Expenses!E$3:E$1002="GBP")*(Expenses!A$3:A$1002=DATE(2026,9,19)),ROW(Expenses!A$3:A$1002)-2),1)),""),IF(IFERROR(INDEX(Income!B$3:B$502,SMALL(IF((Income!D$3:D$502="GBP")*(Income!A$3:A$502=DATE(2026,9,19)),ROW(Income!A$3:A$502)-2),1)),"")&lt;&gt;"",IFERROR(INDEX(Income!B$3:B$502,SMALL(IF((Income!D$3:D$502="GBP")*(Income!A$3:A$502=DATE(2026,9,19)),ROW(Income!A$3:A$502)-2),1)),""),""))</f>
        <v/>
      </c>
      <c r="O189" s="62" t="str">
        <f aca="false">IF(IFERROR(-INDEX(Expenses!D$3:D$1002,SMALL(IF((Expenses!E$3:E$1002="GBP")*(Expenses!A$3:A$1002=DATE(2026,9,20)),ROW(Expenses!A$3:A$1002)-2),1)),0)+IFERROR(INDEX(Income!C$3:C$502,SMALL(IF((Income!D$3:D$502="GBP")*(Income!A$3:A$502=DATE(2026,9,20)),ROW(Income!A$3:A$502)-2),1)),0)=0,"",IFERROR(-INDEX(Expenses!D$3:D$1002,SMALL(IF((Expenses!E$3:E$1002="GBP")*(Expenses!A$3:A$1002=DATE(2026,9,20)),ROW(Expenses!A$3:A$1002)-2),1)),0)+IFERROR(INDEX(Income!C$3:C$502,SMALL(IF((Income!D$3:D$502="GBP")*(Income!A$3:A$502=DATE(2026,9,20)),ROW(Income!A$3:A$502)-2),1)),0))</f>
        <v/>
      </c>
      <c r="P189" s="38" t="str">
        <f aca="false">IF(IFERROR(INDEX(Expenses!B$3:B$1002,SMALL(IF((Expenses!E$3:E$1002="GBP")*(Expenses!A$3:A$1002=DATE(2026,9,20)),ROW(Expenses!A$3:A$1002)-2),1)),"")&lt;&gt;"",IFERROR(INDEX(Expenses!B$3:B$1002,SMALL(IF((Expenses!E$3:E$1002="GBP")*(Expenses!A$3:A$1002=DATE(2026,9,20)),ROW(Expenses!A$3:A$1002)-2),1)),""),IF(IFERROR(INDEX(Income!B$3:B$502,SMALL(IF((Income!D$3:D$502="GBP")*(Income!A$3:A$502=DATE(2026,9,20)),ROW(Income!A$3:A$502)-2),1)),"")&lt;&gt;"",IFERROR(INDEX(Income!B$3:B$502,SMALL(IF((Income!D$3:D$502="GBP")*(Income!A$3:A$502=DATE(2026,9,20)),ROW(Income!A$3:A$502)-2),1)),""),""))</f>
        <v/>
      </c>
      <c r="Q189" s="3" t="n">
        <v>38</v>
      </c>
      <c r="R189" s="45" t="n">
        <f aca="false">SUM(C189:C193)+SUM(E189:E193)+SUM(G189:G193)+SUM(I189:I193)+SUM(K189:K193)+SUM(M189:M193)+SUM(O189:O193)</f>
        <v>0</v>
      </c>
    </row>
    <row r="190" customFormat="false" ht="15" hidden="false" customHeight="false" outlineLevel="0" collapsed="false">
      <c r="A190" s="16"/>
      <c r="B190" s="16"/>
      <c r="C190" s="62" t="str">
        <f aca="false">IF(IFERROR(-INDEX(Expenses!D$3:D$1002,SMALL(IF((Expenses!E$3:E$1002="GBP")*(Expenses!A$3:A$1002=DATE(2026,9,14)),ROW(Expenses!A$3:A$1002)-2),2)),0)+IFERROR(INDEX(Income!C$3:C$502,SMALL(IF((Income!D$3:D$502="GBP")*(Income!A$3:A$502=DATE(2026,9,14)),ROW(Income!A$3:A$502)-2),2)),0)=0,"",IFERROR(-INDEX(Expenses!D$3:D$1002,SMALL(IF((Expenses!E$3:E$1002="GBP")*(Expenses!A$3:A$1002=DATE(2026,9,14)),ROW(Expenses!A$3:A$1002)-2),2)),0)+IFERROR(INDEX(Income!C$3:C$502,SMALL(IF((Income!D$3:D$502="GBP")*(Income!A$3:A$502=DATE(2026,9,14)),ROW(Income!A$3:A$502)-2),2)),0))</f>
        <v/>
      </c>
      <c r="D190" s="38" t="str">
        <f aca="false">IF(IFERROR(INDEX(Expenses!B$3:B$1002,SMALL(IF((Expenses!E$3:E$1002="GBP")*(Expenses!A$3:A$1002=DATE(2026,9,14)),ROW(Expenses!A$3:A$1002)-2),2)),"")&lt;&gt;"",IFERROR(INDEX(Expenses!B$3:B$1002,SMALL(IF((Expenses!E$3:E$1002="GBP")*(Expenses!A$3:A$1002=DATE(2026,9,14)),ROW(Expenses!A$3:A$1002)-2),2)),""),IF(IFERROR(INDEX(Income!B$3:B$502,SMALL(IF((Income!D$3:D$502="GBP")*(Income!A$3:A$502=DATE(2026,9,14)),ROW(Income!A$3:A$502)-2),2)),"")&lt;&gt;"",IFERROR(INDEX(Income!B$3:B$502,SMALL(IF((Income!D$3:D$502="GBP")*(Income!A$3:A$502=DATE(2026,9,14)),ROW(Income!A$3:A$502)-2),2)),""),""))</f>
        <v/>
      </c>
      <c r="E190" s="62" t="str">
        <f aca="false">IF(IFERROR(-INDEX(Expenses!D$3:D$1002,SMALL(IF((Expenses!E$3:E$1002="GBP")*(Expenses!A$3:A$1002=DATE(2026,9,15)),ROW(Expenses!A$3:A$1002)-2),2)),0)+IFERROR(INDEX(Income!C$3:C$502,SMALL(IF((Income!D$3:D$502="GBP")*(Income!A$3:A$502=DATE(2026,9,15)),ROW(Income!A$3:A$502)-2),2)),0)=0,"",IFERROR(-INDEX(Expenses!D$3:D$1002,SMALL(IF((Expenses!E$3:E$1002="GBP")*(Expenses!A$3:A$1002=DATE(2026,9,15)),ROW(Expenses!A$3:A$1002)-2),2)),0)+IFERROR(INDEX(Income!C$3:C$502,SMALL(IF((Income!D$3:D$502="GBP")*(Income!A$3:A$502=DATE(2026,9,15)),ROW(Income!A$3:A$502)-2),2)),0))</f>
        <v/>
      </c>
      <c r="F190" s="38" t="str">
        <f aca="false">IF(IFERROR(INDEX(Expenses!B$3:B$1002,SMALL(IF((Expenses!E$3:E$1002="GBP")*(Expenses!A$3:A$1002=DATE(2026,9,15)),ROW(Expenses!A$3:A$1002)-2),2)),"")&lt;&gt;"",IFERROR(INDEX(Expenses!B$3:B$1002,SMALL(IF((Expenses!E$3:E$1002="GBP")*(Expenses!A$3:A$1002=DATE(2026,9,15)),ROW(Expenses!A$3:A$1002)-2),2)),""),IF(IFERROR(INDEX(Income!B$3:B$502,SMALL(IF((Income!D$3:D$502="GBP")*(Income!A$3:A$502=DATE(2026,9,15)),ROW(Income!A$3:A$502)-2),2)),"")&lt;&gt;"",IFERROR(INDEX(Income!B$3:B$502,SMALL(IF((Income!D$3:D$502="GBP")*(Income!A$3:A$502=DATE(2026,9,15)),ROW(Income!A$3:A$502)-2),2)),""),""))</f>
        <v/>
      </c>
      <c r="G190" s="62" t="str">
        <f aca="false">IF(IFERROR(-INDEX(Expenses!D$3:D$1002,SMALL(IF((Expenses!E$3:E$1002="GBP")*(Expenses!A$3:A$1002=DATE(2026,9,16)),ROW(Expenses!A$3:A$1002)-2),2)),0)+IFERROR(INDEX(Income!C$3:C$502,SMALL(IF((Income!D$3:D$502="GBP")*(Income!A$3:A$502=DATE(2026,9,16)),ROW(Income!A$3:A$502)-2),2)),0)=0,"",IFERROR(-INDEX(Expenses!D$3:D$1002,SMALL(IF((Expenses!E$3:E$1002="GBP")*(Expenses!A$3:A$1002=DATE(2026,9,16)),ROW(Expenses!A$3:A$1002)-2),2)),0)+IFERROR(INDEX(Income!C$3:C$502,SMALL(IF((Income!D$3:D$502="GBP")*(Income!A$3:A$502=DATE(2026,9,16)),ROW(Income!A$3:A$502)-2),2)),0))</f>
        <v/>
      </c>
      <c r="H190" s="38" t="str">
        <f aca="false">IF(IFERROR(INDEX(Expenses!B$3:B$1002,SMALL(IF((Expenses!E$3:E$1002="GBP")*(Expenses!A$3:A$1002=DATE(2026,9,16)),ROW(Expenses!A$3:A$1002)-2),2)),"")&lt;&gt;"",IFERROR(INDEX(Expenses!B$3:B$1002,SMALL(IF((Expenses!E$3:E$1002="GBP")*(Expenses!A$3:A$1002=DATE(2026,9,16)),ROW(Expenses!A$3:A$1002)-2),2)),""),IF(IFERROR(INDEX(Income!B$3:B$502,SMALL(IF((Income!D$3:D$502="GBP")*(Income!A$3:A$502=DATE(2026,9,16)),ROW(Income!A$3:A$502)-2),2)),"")&lt;&gt;"",IFERROR(INDEX(Income!B$3:B$502,SMALL(IF((Income!D$3:D$502="GBP")*(Income!A$3:A$502=DATE(2026,9,16)),ROW(Income!A$3:A$502)-2),2)),""),""))</f>
        <v/>
      </c>
      <c r="I190" s="62" t="str">
        <f aca="false">IF(IFERROR(-INDEX(Expenses!D$3:D$1002,SMALL(IF((Expenses!E$3:E$1002="GBP")*(Expenses!A$3:A$1002=DATE(2026,9,17)),ROW(Expenses!A$3:A$1002)-2),2)),0)+IFERROR(INDEX(Income!C$3:C$502,SMALL(IF((Income!D$3:D$502="GBP")*(Income!A$3:A$502=DATE(2026,9,17)),ROW(Income!A$3:A$502)-2),2)),0)=0,"",IFERROR(-INDEX(Expenses!D$3:D$1002,SMALL(IF((Expenses!E$3:E$1002="GBP")*(Expenses!A$3:A$1002=DATE(2026,9,17)),ROW(Expenses!A$3:A$1002)-2),2)),0)+IFERROR(INDEX(Income!C$3:C$502,SMALL(IF((Income!D$3:D$502="GBP")*(Income!A$3:A$502=DATE(2026,9,17)),ROW(Income!A$3:A$502)-2),2)),0))</f>
        <v/>
      </c>
      <c r="J190" s="38" t="str">
        <f aca="false">IF(IFERROR(INDEX(Expenses!B$3:B$1002,SMALL(IF((Expenses!E$3:E$1002="GBP")*(Expenses!A$3:A$1002=DATE(2026,9,17)),ROW(Expenses!A$3:A$1002)-2),2)),"")&lt;&gt;"",IFERROR(INDEX(Expenses!B$3:B$1002,SMALL(IF((Expenses!E$3:E$1002="GBP")*(Expenses!A$3:A$1002=DATE(2026,9,17)),ROW(Expenses!A$3:A$1002)-2),2)),""),IF(IFERROR(INDEX(Income!B$3:B$502,SMALL(IF((Income!D$3:D$502="GBP")*(Income!A$3:A$502=DATE(2026,9,17)),ROW(Income!A$3:A$502)-2),2)),"")&lt;&gt;"",IFERROR(INDEX(Income!B$3:B$502,SMALL(IF((Income!D$3:D$502="GBP")*(Income!A$3:A$502=DATE(2026,9,17)),ROW(Income!A$3:A$502)-2),2)),""),""))</f>
        <v/>
      </c>
      <c r="K190" s="62" t="str">
        <f aca="false">IF(IFERROR(-INDEX(Expenses!D$3:D$1002,SMALL(IF((Expenses!E$3:E$1002="GBP")*(Expenses!A$3:A$1002=DATE(2026,9,18)),ROW(Expenses!A$3:A$1002)-2),2)),0)+IFERROR(INDEX(Income!C$3:C$502,SMALL(IF((Income!D$3:D$502="GBP")*(Income!A$3:A$502=DATE(2026,9,18)),ROW(Income!A$3:A$502)-2),2)),0)=0,"",IFERROR(-INDEX(Expenses!D$3:D$1002,SMALL(IF((Expenses!E$3:E$1002="GBP")*(Expenses!A$3:A$1002=DATE(2026,9,18)),ROW(Expenses!A$3:A$1002)-2),2)),0)+IFERROR(INDEX(Income!C$3:C$502,SMALL(IF((Income!D$3:D$502="GBP")*(Income!A$3:A$502=DATE(2026,9,18)),ROW(Income!A$3:A$502)-2),2)),0))</f>
        <v/>
      </c>
      <c r="L190" s="38" t="str">
        <f aca="false">IF(IFERROR(INDEX(Expenses!B$3:B$1002,SMALL(IF((Expenses!E$3:E$1002="GBP")*(Expenses!A$3:A$1002=DATE(2026,9,18)),ROW(Expenses!A$3:A$1002)-2),2)),"")&lt;&gt;"",IFERROR(INDEX(Expenses!B$3:B$1002,SMALL(IF((Expenses!E$3:E$1002="GBP")*(Expenses!A$3:A$1002=DATE(2026,9,18)),ROW(Expenses!A$3:A$1002)-2),2)),""),IF(IFERROR(INDEX(Income!B$3:B$502,SMALL(IF((Income!D$3:D$502="GBP")*(Income!A$3:A$502=DATE(2026,9,18)),ROW(Income!A$3:A$502)-2),2)),"")&lt;&gt;"",IFERROR(INDEX(Income!B$3:B$502,SMALL(IF((Income!D$3:D$502="GBP")*(Income!A$3:A$502=DATE(2026,9,18)),ROW(Income!A$3:A$502)-2),2)),""),""))</f>
        <v/>
      </c>
      <c r="M190" s="62" t="str">
        <f aca="false">IF(IFERROR(-INDEX(Expenses!D$3:D$1002,SMALL(IF((Expenses!E$3:E$1002="GBP")*(Expenses!A$3:A$1002=DATE(2026,9,19)),ROW(Expenses!A$3:A$1002)-2),2)),0)+IFERROR(INDEX(Income!C$3:C$502,SMALL(IF((Income!D$3:D$502="GBP")*(Income!A$3:A$502=DATE(2026,9,19)),ROW(Income!A$3:A$502)-2),2)),0)=0,"",IFERROR(-INDEX(Expenses!D$3:D$1002,SMALL(IF((Expenses!E$3:E$1002="GBP")*(Expenses!A$3:A$1002=DATE(2026,9,19)),ROW(Expenses!A$3:A$1002)-2),2)),0)+IFERROR(INDEX(Income!C$3:C$502,SMALL(IF((Income!D$3:D$502="GBP")*(Income!A$3:A$502=DATE(2026,9,19)),ROW(Income!A$3:A$502)-2),2)),0))</f>
        <v/>
      </c>
      <c r="N190" s="38" t="str">
        <f aca="false">IF(IFERROR(INDEX(Expenses!B$3:B$1002,SMALL(IF((Expenses!E$3:E$1002="GBP")*(Expenses!A$3:A$1002=DATE(2026,9,19)),ROW(Expenses!A$3:A$1002)-2),2)),"")&lt;&gt;"",IFERROR(INDEX(Expenses!B$3:B$1002,SMALL(IF((Expenses!E$3:E$1002="GBP")*(Expenses!A$3:A$1002=DATE(2026,9,19)),ROW(Expenses!A$3:A$1002)-2),2)),""),IF(IFERROR(INDEX(Income!B$3:B$502,SMALL(IF((Income!D$3:D$502="GBP")*(Income!A$3:A$502=DATE(2026,9,19)),ROW(Income!A$3:A$502)-2),2)),"")&lt;&gt;"",IFERROR(INDEX(Income!B$3:B$502,SMALL(IF((Income!D$3:D$502="GBP")*(Income!A$3:A$502=DATE(2026,9,19)),ROW(Income!A$3:A$502)-2),2)),""),""))</f>
        <v/>
      </c>
      <c r="O190" s="62" t="str">
        <f aca="false">IF(IFERROR(-INDEX(Expenses!D$3:D$1002,SMALL(IF((Expenses!E$3:E$1002="GBP")*(Expenses!A$3:A$1002=DATE(2026,9,20)),ROW(Expenses!A$3:A$1002)-2),2)),0)+IFERROR(INDEX(Income!C$3:C$502,SMALL(IF((Income!D$3:D$502="GBP")*(Income!A$3:A$502=DATE(2026,9,20)),ROW(Income!A$3:A$502)-2),2)),0)=0,"",IFERROR(-INDEX(Expenses!D$3:D$1002,SMALL(IF((Expenses!E$3:E$1002="GBP")*(Expenses!A$3:A$1002=DATE(2026,9,20)),ROW(Expenses!A$3:A$1002)-2),2)),0)+IFERROR(INDEX(Income!C$3:C$502,SMALL(IF((Income!D$3:D$502="GBP")*(Income!A$3:A$502=DATE(2026,9,20)),ROW(Income!A$3:A$502)-2),2)),0))</f>
        <v/>
      </c>
      <c r="P190" s="38" t="str">
        <f aca="false">IF(IFERROR(INDEX(Expenses!B$3:B$1002,SMALL(IF((Expenses!E$3:E$1002="GBP")*(Expenses!A$3:A$1002=DATE(2026,9,20)),ROW(Expenses!A$3:A$1002)-2),2)),"")&lt;&gt;"",IFERROR(INDEX(Expenses!B$3:B$1002,SMALL(IF((Expenses!E$3:E$1002="GBP")*(Expenses!A$3:A$1002=DATE(2026,9,20)),ROW(Expenses!A$3:A$1002)-2),2)),""),IF(IFERROR(INDEX(Income!B$3:B$502,SMALL(IF((Income!D$3:D$502="GBP")*(Income!A$3:A$502=DATE(2026,9,20)),ROW(Income!A$3:A$502)-2),2)),"")&lt;&gt;"",IFERROR(INDEX(Income!B$3:B$502,SMALL(IF((Income!D$3:D$502="GBP")*(Income!A$3:A$502=DATE(2026,9,20)),ROW(Income!A$3:A$502)-2),2)),""),""))</f>
        <v/>
      </c>
      <c r="Q190" s="16"/>
      <c r="R190" s="16"/>
    </row>
    <row r="191" customFormat="false" ht="15" hidden="false" customHeight="false" outlineLevel="0" collapsed="false">
      <c r="A191" s="16"/>
      <c r="B191" s="16"/>
      <c r="C191" s="62" t="str">
        <f aca="false">IF(IFERROR(-INDEX(Expenses!D$3:D$1002,SMALL(IF((Expenses!E$3:E$1002="GBP")*(Expenses!A$3:A$1002=DATE(2026,9,14)),ROW(Expenses!A$3:A$1002)-2),3)),0)+IFERROR(INDEX(Income!C$3:C$502,SMALL(IF((Income!D$3:D$502="GBP")*(Income!A$3:A$502=DATE(2026,9,14)),ROW(Income!A$3:A$502)-2),3)),0)=0,"",IFERROR(-INDEX(Expenses!D$3:D$1002,SMALL(IF((Expenses!E$3:E$1002="GBP")*(Expenses!A$3:A$1002=DATE(2026,9,14)),ROW(Expenses!A$3:A$1002)-2),3)),0)+IFERROR(INDEX(Income!C$3:C$502,SMALL(IF((Income!D$3:D$502="GBP")*(Income!A$3:A$502=DATE(2026,9,14)),ROW(Income!A$3:A$502)-2),3)),0))</f>
        <v/>
      </c>
      <c r="D191" s="38" t="str">
        <f aca="false">IF(IFERROR(INDEX(Expenses!B$3:B$1002,SMALL(IF((Expenses!E$3:E$1002="GBP")*(Expenses!A$3:A$1002=DATE(2026,9,14)),ROW(Expenses!A$3:A$1002)-2),3)),"")&lt;&gt;"",IFERROR(INDEX(Expenses!B$3:B$1002,SMALL(IF((Expenses!E$3:E$1002="GBP")*(Expenses!A$3:A$1002=DATE(2026,9,14)),ROW(Expenses!A$3:A$1002)-2),3)),""),IF(IFERROR(INDEX(Income!B$3:B$502,SMALL(IF((Income!D$3:D$502="GBP")*(Income!A$3:A$502=DATE(2026,9,14)),ROW(Income!A$3:A$502)-2),3)),"")&lt;&gt;"",IFERROR(INDEX(Income!B$3:B$502,SMALL(IF((Income!D$3:D$502="GBP")*(Income!A$3:A$502=DATE(2026,9,14)),ROW(Income!A$3:A$502)-2),3)),""),""))</f>
        <v/>
      </c>
      <c r="E191" s="62" t="str">
        <f aca="false">IF(IFERROR(-INDEX(Expenses!D$3:D$1002,SMALL(IF((Expenses!E$3:E$1002="GBP")*(Expenses!A$3:A$1002=DATE(2026,9,15)),ROW(Expenses!A$3:A$1002)-2),3)),0)+IFERROR(INDEX(Income!C$3:C$502,SMALL(IF((Income!D$3:D$502="GBP")*(Income!A$3:A$502=DATE(2026,9,15)),ROW(Income!A$3:A$502)-2),3)),0)=0,"",IFERROR(-INDEX(Expenses!D$3:D$1002,SMALL(IF((Expenses!E$3:E$1002="GBP")*(Expenses!A$3:A$1002=DATE(2026,9,15)),ROW(Expenses!A$3:A$1002)-2),3)),0)+IFERROR(INDEX(Income!C$3:C$502,SMALL(IF((Income!D$3:D$502="GBP")*(Income!A$3:A$502=DATE(2026,9,15)),ROW(Income!A$3:A$502)-2),3)),0))</f>
        <v/>
      </c>
      <c r="F191" s="38" t="str">
        <f aca="false">IF(IFERROR(INDEX(Expenses!B$3:B$1002,SMALL(IF((Expenses!E$3:E$1002="GBP")*(Expenses!A$3:A$1002=DATE(2026,9,15)),ROW(Expenses!A$3:A$1002)-2),3)),"")&lt;&gt;"",IFERROR(INDEX(Expenses!B$3:B$1002,SMALL(IF((Expenses!E$3:E$1002="GBP")*(Expenses!A$3:A$1002=DATE(2026,9,15)),ROW(Expenses!A$3:A$1002)-2),3)),""),IF(IFERROR(INDEX(Income!B$3:B$502,SMALL(IF((Income!D$3:D$502="GBP")*(Income!A$3:A$502=DATE(2026,9,15)),ROW(Income!A$3:A$502)-2),3)),"")&lt;&gt;"",IFERROR(INDEX(Income!B$3:B$502,SMALL(IF((Income!D$3:D$502="GBP")*(Income!A$3:A$502=DATE(2026,9,15)),ROW(Income!A$3:A$502)-2),3)),""),""))</f>
        <v/>
      </c>
      <c r="G191" s="62" t="str">
        <f aca="false">IF(IFERROR(-INDEX(Expenses!D$3:D$1002,SMALL(IF((Expenses!E$3:E$1002="GBP")*(Expenses!A$3:A$1002=DATE(2026,9,16)),ROW(Expenses!A$3:A$1002)-2),3)),0)+IFERROR(INDEX(Income!C$3:C$502,SMALL(IF((Income!D$3:D$502="GBP")*(Income!A$3:A$502=DATE(2026,9,16)),ROW(Income!A$3:A$502)-2),3)),0)=0,"",IFERROR(-INDEX(Expenses!D$3:D$1002,SMALL(IF((Expenses!E$3:E$1002="GBP")*(Expenses!A$3:A$1002=DATE(2026,9,16)),ROW(Expenses!A$3:A$1002)-2),3)),0)+IFERROR(INDEX(Income!C$3:C$502,SMALL(IF((Income!D$3:D$502="GBP")*(Income!A$3:A$502=DATE(2026,9,16)),ROW(Income!A$3:A$502)-2),3)),0))</f>
        <v/>
      </c>
      <c r="H191" s="38" t="str">
        <f aca="false">IF(IFERROR(INDEX(Expenses!B$3:B$1002,SMALL(IF((Expenses!E$3:E$1002="GBP")*(Expenses!A$3:A$1002=DATE(2026,9,16)),ROW(Expenses!A$3:A$1002)-2),3)),"")&lt;&gt;"",IFERROR(INDEX(Expenses!B$3:B$1002,SMALL(IF((Expenses!E$3:E$1002="GBP")*(Expenses!A$3:A$1002=DATE(2026,9,16)),ROW(Expenses!A$3:A$1002)-2),3)),""),IF(IFERROR(INDEX(Income!B$3:B$502,SMALL(IF((Income!D$3:D$502="GBP")*(Income!A$3:A$502=DATE(2026,9,16)),ROW(Income!A$3:A$502)-2),3)),"")&lt;&gt;"",IFERROR(INDEX(Income!B$3:B$502,SMALL(IF((Income!D$3:D$502="GBP")*(Income!A$3:A$502=DATE(2026,9,16)),ROW(Income!A$3:A$502)-2),3)),""),""))</f>
        <v/>
      </c>
      <c r="I191" s="62" t="str">
        <f aca="false">IF(IFERROR(-INDEX(Expenses!D$3:D$1002,SMALL(IF((Expenses!E$3:E$1002="GBP")*(Expenses!A$3:A$1002=DATE(2026,9,17)),ROW(Expenses!A$3:A$1002)-2),3)),0)+IFERROR(INDEX(Income!C$3:C$502,SMALL(IF((Income!D$3:D$502="GBP")*(Income!A$3:A$502=DATE(2026,9,17)),ROW(Income!A$3:A$502)-2),3)),0)=0,"",IFERROR(-INDEX(Expenses!D$3:D$1002,SMALL(IF((Expenses!E$3:E$1002="GBP")*(Expenses!A$3:A$1002=DATE(2026,9,17)),ROW(Expenses!A$3:A$1002)-2),3)),0)+IFERROR(INDEX(Income!C$3:C$502,SMALL(IF((Income!D$3:D$502="GBP")*(Income!A$3:A$502=DATE(2026,9,17)),ROW(Income!A$3:A$502)-2),3)),0))</f>
        <v/>
      </c>
      <c r="J191" s="38" t="str">
        <f aca="false">IF(IFERROR(INDEX(Expenses!B$3:B$1002,SMALL(IF((Expenses!E$3:E$1002="GBP")*(Expenses!A$3:A$1002=DATE(2026,9,17)),ROW(Expenses!A$3:A$1002)-2),3)),"")&lt;&gt;"",IFERROR(INDEX(Expenses!B$3:B$1002,SMALL(IF((Expenses!E$3:E$1002="GBP")*(Expenses!A$3:A$1002=DATE(2026,9,17)),ROW(Expenses!A$3:A$1002)-2),3)),""),IF(IFERROR(INDEX(Income!B$3:B$502,SMALL(IF((Income!D$3:D$502="GBP")*(Income!A$3:A$502=DATE(2026,9,17)),ROW(Income!A$3:A$502)-2),3)),"")&lt;&gt;"",IFERROR(INDEX(Income!B$3:B$502,SMALL(IF((Income!D$3:D$502="GBP")*(Income!A$3:A$502=DATE(2026,9,17)),ROW(Income!A$3:A$502)-2),3)),""),""))</f>
        <v/>
      </c>
      <c r="K191" s="62" t="str">
        <f aca="false">IF(IFERROR(-INDEX(Expenses!D$3:D$1002,SMALL(IF((Expenses!E$3:E$1002="GBP")*(Expenses!A$3:A$1002=DATE(2026,9,18)),ROW(Expenses!A$3:A$1002)-2),3)),0)+IFERROR(INDEX(Income!C$3:C$502,SMALL(IF((Income!D$3:D$502="GBP")*(Income!A$3:A$502=DATE(2026,9,18)),ROW(Income!A$3:A$502)-2),3)),0)=0,"",IFERROR(-INDEX(Expenses!D$3:D$1002,SMALL(IF((Expenses!E$3:E$1002="GBP")*(Expenses!A$3:A$1002=DATE(2026,9,18)),ROW(Expenses!A$3:A$1002)-2),3)),0)+IFERROR(INDEX(Income!C$3:C$502,SMALL(IF((Income!D$3:D$502="GBP")*(Income!A$3:A$502=DATE(2026,9,18)),ROW(Income!A$3:A$502)-2),3)),0))</f>
        <v/>
      </c>
      <c r="L191" s="38" t="str">
        <f aca="false">IF(IFERROR(INDEX(Expenses!B$3:B$1002,SMALL(IF((Expenses!E$3:E$1002="GBP")*(Expenses!A$3:A$1002=DATE(2026,9,18)),ROW(Expenses!A$3:A$1002)-2),3)),"")&lt;&gt;"",IFERROR(INDEX(Expenses!B$3:B$1002,SMALL(IF((Expenses!E$3:E$1002="GBP")*(Expenses!A$3:A$1002=DATE(2026,9,18)),ROW(Expenses!A$3:A$1002)-2),3)),""),IF(IFERROR(INDEX(Income!B$3:B$502,SMALL(IF((Income!D$3:D$502="GBP")*(Income!A$3:A$502=DATE(2026,9,18)),ROW(Income!A$3:A$502)-2),3)),"")&lt;&gt;"",IFERROR(INDEX(Income!B$3:B$502,SMALL(IF((Income!D$3:D$502="GBP")*(Income!A$3:A$502=DATE(2026,9,18)),ROW(Income!A$3:A$502)-2),3)),""),""))</f>
        <v/>
      </c>
      <c r="M191" s="62" t="str">
        <f aca="false">IF(IFERROR(-INDEX(Expenses!D$3:D$1002,SMALL(IF((Expenses!E$3:E$1002="GBP")*(Expenses!A$3:A$1002=DATE(2026,9,19)),ROW(Expenses!A$3:A$1002)-2),3)),0)+IFERROR(INDEX(Income!C$3:C$502,SMALL(IF((Income!D$3:D$502="GBP")*(Income!A$3:A$502=DATE(2026,9,19)),ROW(Income!A$3:A$502)-2),3)),0)=0,"",IFERROR(-INDEX(Expenses!D$3:D$1002,SMALL(IF((Expenses!E$3:E$1002="GBP")*(Expenses!A$3:A$1002=DATE(2026,9,19)),ROW(Expenses!A$3:A$1002)-2),3)),0)+IFERROR(INDEX(Income!C$3:C$502,SMALL(IF((Income!D$3:D$502="GBP")*(Income!A$3:A$502=DATE(2026,9,19)),ROW(Income!A$3:A$502)-2),3)),0))</f>
        <v/>
      </c>
      <c r="N191" s="38" t="str">
        <f aca="false">IF(IFERROR(INDEX(Expenses!B$3:B$1002,SMALL(IF((Expenses!E$3:E$1002="GBP")*(Expenses!A$3:A$1002=DATE(2026,9,19)),ROW(Expenses!A$3:A$1002)-2),3)),"")&lt;&gt;"",IFERROR(INDEX(Expenses!B$3:B$1002,SMALL(IF((Expenses!E$3:E$1002="GBP")*(Expenses!A$3:A$1002=DATE(2026,9,19)),ROW(Expenses!A$3:A$1002)-2),3)),""),IF(IFERROR(INDEX(Income!B$3:B$502,SMALL(IF((Income!D$3:D$502="GBP")*(Income!A$3:A$502=DATE(2026,9,19)),ROW(Income!A$3:A$502)-2),3)),"")&lt;&gt;"",IFERROR(INDEX(Income!B$3:B$502,SMALL(IF((Income!D$3:D$502="GBP")*(Income!A$3:A$502=DATE(2026,9,19)),ROW(Income!A$3:A$502)-2),3)),""),""))</f>
        <v/>
      </c>
      <c r="O191" s="62" t="str">
        <f aca="false">IF(IFERROR(-INDEX(Expenses!D$3:D$1002,SMALL(IF((Expenses!E$3:E$1002="GBP")*(Expenses!A$3:A$1002=DATE(2026,9,20)),ROW(Expenses!A$3:A$1002)-2),3)),0)+IFERROR(INDEX(Income!C$3:C$502,SMALL(IF((Income!D$3:D$502="GBP")*(Income!A$3:A$502=DATE(2026,9,20)),ROW(Income!A$3:A$502)-2),3)),0)=0,"",IFERROR(-INDEX(Expenses!D$3:D$1002,SMALL(IF((Expenses!E$3:E$1002="GBP")*(Expenses!A$3:A$1002=DATE(2026,9,20)),ROW(Expenses!A$3:A$1002)-2),3)),0)+IFERROR(INDEX(Income!C$3:C$502,SMALL(IF((Income!D$3:D$502="GBP")*(Income!A$3:A$502=DATE(2026,9,20)),ROW(Income!A$3:A$502)-2),3)),0))</f>
        <v/>
      </c>
      <c r="P191" s="38" t="str">
        <f aca="false">IF(IFERROR(INDEX(Expenses!B$3:B$1002,SMALL(IF((Expenses!E$3:E$1002="GBP")*(Expenses!A$3:A$1002=DATE(2026,9,20)),ROW(Expenses!A$3:A$1002)-2),3)),"")&lt;&gt;"",IFERROR(INDEX(Expenses!B$3:B$1002,SMALL(IF((Expenses!E$3:E$1002="GBP")*(Expenses!A$3:A$1002=DATE(2026,9,20)),ROW(Expenses!A$3:A$1002)-2),3)),""),IF(IFERROR(INDEX(Income!B$3:B$502,SMALL(IF((Income!D$3:D$502="GBP")*(Income!A$3:A$502=DATE(2026,9,20)),ROW(Income!A$3:A$502)-2),3)),"")&lt;&gt;"",IFERROR(INDEX(Income!B$3:B$502,SMALL(IF((Income!D$3:D$502="GBP")*(Income!A$3:A$502=DATE(2026,9,20)),ROW(Income!A$3:A$502)-2),3)),""),""))</f>
        <v/>
      </c>
      <c r="Q191" s="16"/>
      <c r="R191" s="16"/>
    </row>
    <row r="192" customFormat="false" ht="15" hidden="false" customHeight="false" outlineLevel="0" collapsed="false">
      <c r="A192" s="16"/>
      <c r="B192" s="16"/>
      <c r="C192" s="62" t="str">
        <f aca="false">IF(IFERROR(-INDEX(Expenses!D$3:D$1002,SMALL(IF((Expenses!E$3:E$1002="GBP")*(Expenses!A$3:A$1002=DATE(2026,9,14)),ROW(Expenses!A$3:A$1002)-2),4)),0)+IFERROR(INDEX(Income!C$3:C$502,SMALL(IF((Income!D$3:D$502="GBP")*(Income!A$3:A$502=DATE(2026,9,14)),ROW(Income!A$3:A$502)-2),4)),0)=0,"",IFERROR(-INDEX(Expenses!D$3:D$1002,SMALL(IF((Expenses!E$3:E$1002="GBP")*(Expenses!A$3:A$1002=DATE(2026,9,14)),ROW(Expenses!A$3:A$1002)-2),4)),0)+IFERROR(INDEX(Income!C$3:C$502,SMALL(IF((Income!D$3:D$502="GBP")*(Income!A$3:A$502=DATE(2026,9,14)),ROW(Income!A$3:A$502)-2),4)),0))</f>
        <v/>
      </c>
      <c r="D192" s="38" t="str">
        <f aca="false">IF(IFERROR(INDEX(Expenses!B$3:B$1002,SMALL(IF((Expenses!E$3:E$1002="GBP")*(Expenses!A$3:A$1002=DATE(2026,9,14)),ROW(Expenses!A$3:A$1002)-2),4)),"")&lt;&gt;"",IFERROR(INDEX(Expenses!B$3:B$1002,SMALL(IF((Expenses!E$3:E$1002="GBP")*(Expenses!A$3:A$1002=DATE(2026,9,14)),ROW(Expenses!A$3:A$1002)-2),4)),""),IF(IFERROR(INDEX(Income!B$3:B$502,SMALL(IF((Income!D$3:D$502="GBP")*(Income!A$3:A$502=DATE(2026,9,14)),ROW(Income!A$3:A$502)-2),4)),"")&lt;&gt;"",IFERROR(INDEX(Income!B$3:B$502,SMALL(IF((Income!D$3:D$502="GBP")*(Income!A$3:A$502=DATE(2026,9,14)),ROW(Income!A$3:A$502)-2),4)),""),""))</f>
        <v/>
      </c>
      <c r="E192" s="62" t="str">
        <f aca="false">IF(IFERROR(-INDEX(Expenses!D$3:D$1002,SMALL(IF((Expenses!E$3:E$1002="GBP")*(Expenses!A$3:A$1002=DATE(2026,9,15)),ROW(Expenses!A$3:A$1002)-2),4)),0)+IFERROR(INDEX(Income!C$3:C$502,SMALL(IF((Income!D$3:D$502="GBP")*(Income!A$3:A$502=DATE(2026,9,15)),ROW(Income!A$3:A$502)-2),4)),0)=0,"",IFERROR(-INDEX(Expenses!D$3:D$1002,SMALL(IF((Expenses!E$3:E$1002="GBP")*(Expenses!A$3:A$1002=DATE(2026,9,15)),ROW(Expenses!A$3:A$1002)-2),4)),0)+IFERROR(INDEX(Income!C$3:C$502,SMALL(IF((Income!D$3:D$502="GBP")*(Income!A$3:A$502=DATE(2026,9,15)),ROW(Income!A$3:A$502)-2),4)),0))</f>
        <v/>
      </c>
      <c r="F192" s="38" t="str">
        <f aca="false">IF(IFERROR(INDEX(Expenses!B$3:B$1002,SMALL(IF((Expenses!E$3:E$1002="GBP")*(Expenses!A$3:A$1002=DATE(2026,9,15)),ROW(Expenses!A$3:A$1002)-2),4)),"")&lt;&gt;"",IFERROR(INDEX(Expenses!B$3:B$1002,SMALL(IF((Expenses!E$3:E$1002="GBP")*(Expenses!A$3:A$1002=DATE(2026,9,15)),ROW(Expenses!A$3:A$1002)-2),4)),""),IF(IFERROR(INDEX(Income!B$3:B$502,SMALL(IF((Income!D$3:D$502="GBP")*(Income!A$3:A$502=DATE(2026,9,15)),ROW(Income!A$3:A$502)-2),4)),"")&lt;&gt;"",IFERROR(INDEX(Income!B$3:B$502,SMALL(IF((Income!D$3:D$502="GBP")*(Income!A$3:A$502=DATE(2026,9,15)),ROW(Income!A$3:A$502)-2),4)),""),""))</f>
        <v/>
      </c>
      <c r="G192" s="62" t="str">
        <f aca="false">IF(IFERROR(-INDEX(Expenses!D$3:D$1002,SMALL(IF((Expenses!E$3:E$1002="GBP")*(Expenses!A$3:A$1002=DATE(2026,9,16)),ROW(Expenses!A$3:A$1002)-2),4)),0)+IFERROR(INDEX(Income!C$3:C$502,SMALL(IF((Income!D$3:D$502="GBP")*(Income!A$3:A$502=DATE(2026,9,16)),ROW(Income!A$3:A$502)-2),4)),0)=0,"",IFERROR(-INDEX(Expenses!D$3:D$1002,SMALL(IF((Expenses!E$3:E$1002="GBP")*(Expenses!A$3:A$1002=DATE(2026,9,16)),ROW(Expenses!A$3:A$1002)-2),4)),0)+IFERROR(INDEX(Income!C$3:C$502,SMALL(IF((Income!D$3:D$502="GBP")*(Income!A$3:A$502=DATE(2026,9,16)),ROW(Income!A$3:A$502)-2),4)),0))</f>
        <v/>
      </c>
      <c r="H192" s="38" t="str">
        <f aca="false">IF(IFERROR(INDEX(Expenses!B$3:B$1002,SMALL(IF((Expenses!E$3:E$1002="GBP")*(Expenses!A$3:A$1002=DATE(2026,9,16)),ROW(Expenses!A$3:A$1002)-2),4)),"")&lt;&gt;"",IFERROR(INDEX(Expenses!B$3:B$1002,SMALL(IF((Expenses!E$3:E$1002="GBP")*(Expenses!A$3:A$1002=DATE(2026,9,16)),ROW(Expenses!A$3:A$1002)-2),4)),""),IF(IFERROR(INDEX(Income!B$3:B$502,SMALL(IF((Income!D$3:D$502="GBP")*(Income!A$3:A$502=DATE(2026,9,16)),ROW(Income!A$3:A$502)-2),4)),"")&lt;&gt;"",IFERROR(INDEX(Income!B$3:B$502,SMALL(IF((Income!D$3:D$502="GBP")*(Income!A$3:A$502=DATE(2026,9,16)),ROW(Income!A$3:A$502)-2),4)),""),""))</f>
        <v/>
      </c>
      <c r="I192" s="62" t="str">
        <f aca="false">IF(IFERROR(-INDEX(Expenses!D$3:D$1002,SMALL(IF((Expenses!E$3:E$1002="GBP")*(Expenses!A$3:A$1002=DATE(2026,9,17)),ROW(Expenses!A$3:A$1002)-2),4)),0)+IFERROR(INDEX(Income!C$3:C$502,SMALL(IF((Income!D$3:D$502="GBP")*(Income!A$3:A$502=DATE(2026,9,17)),ROW(Income!A$3:A$502)-2),4)),0)=0,"",IFERROR(-INDEX(Expenses!D$3:D$1002,SMALL(IF((Expenses!E$3:E$1002="GBP")*(Expenses!A$3:A$1002=DATE(2026,9,17)),ROW(Expenses!A$3:A$1002)-2),4)),0)+IFERROR(INDEX(Income!C$3:C$502,SMALL(IF((Income!D$3:D$502="GBP")*(Income!A$3:A$502=DATE(2026,9,17)),ROW(Income!A$3:A$502)-2),4)),0))</f>
        <v/>
      </c>
      <c r="J192" s="38" t="str">
        <f aca="false">IF(IFERROR(INDEX(Expenses!B$3:B$1002,SMALL(IF((Expenses!E$3:E$1002="GBP")*(Expenses!A$3:A$1002=DATE(2026,9,17)),ROW(Expenses!A$3:A$1002)-2),4)),"")&lt;&gt;"",IFERROR(INDEX(Expenses!B$3:B$1002,SMALL(IF((Expenses!E$3:E$1002="GBP")*(Expenses!A$3:A$1002=DATE(2026,9,17)),ROW(Expenses!A$3:A$1002)-2),4)),""),IF(IFERROR(INDEX(Income!B$3:B$502,SMALL(IF((Income!D$3:D$502="GBP")*(Income!A$3:A$502=DATE(2026,9,17)),ROW(Income!A$3:A$502)-2),4)),"")&lt;&gt;"",IFERROR(INDEX(Income!B$3:B$502,SMALL(IF((Income!D$3:D$502="GBP")*(Income!A$3:A$502=DATE(2026,9,17)),ROW(Income!A$3:A$502)-2),4)),""),""))</f>
        <v/>
      </c>
      <c r="K192" s="62" t="str">
        <f aca="false">IF(IFERROR(-INDEX(Expenses!D$3:D$1002,SMALL(IF((Expenses!E$3:E$1002="GBP")*(Expenses!A$3:A$1002=DATE(2026,9,18)),ROW(Expenses!A$3:A$1002)-2),4)),0)+IFERROR(INDEX(Income!C$3:C$502,SMALL(IF((Income!D$3:D$502="GBP")*(Income!A$3:A$502=DATE(2026,9,18)),ROW(Income!A$3:A$502)-2),4)),0)=0,"",IFERROR(-INDEX(Expenses!D$3:D$1002,SMALL(IF((Expenses!E$3:E$1002="GBP")*(Expenses!A$3:A$1002=DATE(2026,9,18)),ROW(Expenses!A$3:A$1002)-2),4)),0)+IFERROR(INDEX(Income!C$3:C$502,SMALL(IF((Income!D$3:D$502="GBP")*(Income!A$3:A$502=DATE(2026,9,18)),ROW(Income!A$3:A$502)-2),4)),0))</f>
        <v/>
      </c>
      <c r="L192" s="38" t="str">
        <f aca="false">IF(IFERROR(INDEX(Expenses!B$3:B$1002,SMALL(IF((Expenses!E$3:E$1002="GBP")*(Expenses!A$3:A$1002=DATE(2026,9,18)),ROW(Expenses!A$3:A$1002)-2),4)),"")&lt;&gt;"",IFERROR(INDEX(Expenses!B$3:B$1002,SMALL(IF((Expenses!E$3:E$1002="GBP")*(Expenses!A$3:A$1002=DATE(2026,9,18)),ROW(Expenses!A$3:A$1002)-2),4)),""),IF(IFERROR(INDEX(Income!B$3:B$502,SMALL(IF((Income!D$3:D$502="GBP")*(Income!A$3:A$502=DATE(2026,9,18)),ROW(Income!A$3:A$502)-2),4)),"")&lt;&gt;"",IFERROR(INDEX(Income!B$3:B$502,SMALL(IF((Income!D$3:D$502="GBP")*(Income!A$3:A$502=DATE(2026,9,18)),ROW(Income!A$3:A$502)-2),4)),""),""))</f>
        <v/>
      </c>
      <c r="M192" s="62" t="str">
        <f aca="false">IF(IFERROR(-INDEX(Expenses!D$3:D$1002,SMALL(IF((Expenses!E$3:E$1002="GBP")*(Expenses!A$3:A$1002=DATE(2026,9,19)),ROW(Expenses!A$3:A$1002)-2),4)),0)+IFERROR(INDEX(Income!C$3:C$502,SMALL(IF((Income!D$3:D$502="GBP")*(Income!A$3:A$502=DATE(2026,9,19)),ROW(Income!A$3:A$502)-2),4)),0)=0,"",IFERROR(-INDEX(Expenses!D$3:D$1002,SMALL(IF((Expenses!E$3:E$1002="GBP")*(Expenses!A$3:A$1002=DATE(2026,9,19)),ROW(Expenses!A$3:A$1002)-2),4)),0)+IFERROR(INDEX(Income!C$3:C$502,SMALL(IF((Income!D$3:D$502="GBP")*(Income!A$3:A$502=DATE(2026,9,19)),ROW(Income!A$3:A$502)-2),4)),0))</f>
        <v/>
      </c>
      <c r="N192" s="38" t="str">
        <f aca="false">IF(IFERROR(INDEX(Expenses!B$3:B$1002,SMALL(IF((Expenses!E$3:E$1002="GBP")*(Expenses!A$3:A$1002=DATE(2026,9,19)),ROW(Expenses!A$3:A$1002)-2),4)),"")&lt;&gt;"",IFERROR(INDEX(Expenses!B$3:B$1002,SMALL(IF((Expenses!E$3:E$1002="GBP")*(Expenses!A$3:A$1002=DATE(2026,9,19)),ROW(Expenses!A$3:A$1002)-2),4)),""),IF(IFERROR(INDEX(Income!B$3:B$502,SMALL(IF((Income!D$3:D$502="GBP")*(Income!A$3:A$502=DATE(2026,9,19)),ROW(Income!A$3:A$502)-2),4)),"")&lt;&gt;"",IFERROR(INDEX(Income!B$3:B$502,SMALL(IF((Income!D$3:D$502="GBP")*(Income!A$3:A$502=DATE(2026,9,19)),ROW(Income!A$3:A$502)-2),4)),""),""))</f>
        <v/>
      </c>
      <c r="O192" s="62" t="str">
        <f aca="false">IF(IFERROR(-INDEX(Expenses!D$3:D$1002,SMALL(IF((Expenses!E$3:E$1002="GBP")*(Expenses!A$3:A$1002=DATE(2026,9,20)),ROW(Expenses!A$3:A$1002)-2),4)),0)+IFERROR(INDEX(Income!C$3:C$502,SMALL(IF((Income!D$3:D$502="GBP")*(Income!A$3:A$502=DATE(2026,9,20)),ROW(Income!A$3:A$502)-2),4)),0)=0,"",IFERROR(-INDEX(Expenses!D$3:D$1002,SMALL(IF((Expenses!E$3:E$1002="GBP")*(Expenses!A$3:A$1002=DATE(2026,9,20)),ROW(Expenses!A$3:A$1002)-2),4)),0)+IFERROR(INDEX(Income!C$3:C$502,SMALL(IF((Income!D$3:D$502="GBP")*(Income!A$3:A$502=DATE(2026,9,20)),ROW(Income!A$3:A$502)-2),4)),0))</f>
        <v/>
      </c>
      <c r="P192" s="38" t="str">
        <f aca="false">IF(IFERROR(INDEX(Expenses!B$3:B$1002,SMALL(IF((Expenses!E$3:E$1002="GBP")*(Expenses!A$3:A$1002=DATE(2026,9,20)),ROW(Expenses!A$3:A$1002)-2),4)),"")&lt;&gt;"",IFERROR(INDEX(Expenses!B$3:B$1002,SMALL(IF((Expenses!E$3:E$1002="GBP")*(Expenses!A$3:A$1002=DATE(2026,9,20)),ROW(Expenses!A$3:A$1002)-2),4)),""),IF(IFERROR(INDEX(Income!B$3:B$502,SMALL(IF((Income!D$3:D$502="GBP")*(Income!A$3:A$502=DATE(2026,9,20)),ROW(Income!A$3:A$502)-2),4)),"")&lt;&gt;"",IFERROR(INDEX(Income!B$3:B$502,SMALL(IF((Income!D$3:D$502="GBP")*(Income!A$3:A$502=DATE(2026,9,20)),ROW(Income!A$3:A$502)-2),4)),""),""))</f>
        <v/>
      </c>
      <c r="Q192" s="16"/>
      <c r="R192" s="16"/>
    </row>
    <row r="193" customFormat="false" ht="15" hidden="false" customHeight="false" outlineLevel="0" collapsed="false">
      <c r="A193" s="16"/>
      <c r="B193" s="16"/>
      <c r="C193" s="62" t="str">
        <f aca="false">IF(IFERROR(-INDEX(Expenses!D$3:D$1002,SMALL(IF((Expenses!E$3:E$1002="GBP")*(Expenses!A$3:A$1002=DATE(2026,9,14)),ROW(Expenses!A$3:A$1002)-2),5)),0)+IFERROR(INDEX(Income!C$3:C$502,SMALL(IF((Income!D$3:D$502="GBP")*(Income!A$3:A$502=DATE(2026,9,14)),ROW(Income!A$3:A$502)-2),5)),0)=0,"",IFERROR(-INDEX(Expenses!D$3:D$1002,SMALL(IF((Expenses!E$3:E$1002="GBP")*(Expenses!A$3:A$1002=DATE(2026,9,14)),ROW(Expenses!A$3:A$1002)-2),5)),0)+IFERROR(INDEX(Income!C$3:C$502,SMALL(IF((Income!D$3:D$502="GBP")*(Income!A$3:A$502=DATE(2026,9,14)),ROW(Income!A$3:A$502)-2),5)),0))</f>
        <v/>
      </c>
      <c r="D193" s="38" t="str">
        <f aca="false">IF(IFERROR(INDEX(Expenses!B$3:B$1002,SMALL(IF((Expenses!E$3:E$1002="GBP")*(Expenses!A$3:A$1002=DATE(2026,9,14)),ROW(Expenses!A$3:A$1002)-2),5)),"")&lt;&gt;"",IFERROR(INDEX(Expenses!B$3:B$1002,SMALL(IF((Expenses!E$3:E$1002="GBP")*(Expenses!A$3:A$1002=DATE(2026,9,14)),ROW(Expenses!A$3:A$1002)-2),5)),""),IF(IFERROR(INDEX(Income!B$3:B$502,SMALL(IF((Income!D$3:D$502="GBP")*(Income!A$3:A$502=DATE(2026,9,14)),ROW(Income!A$3:A$502)-2),5)),"")&lt;&gt;"",IFERROR(INDEX(Income!B$3:B$502,SMALL(IF((Income!D$3:D$502="GBP")*(Income!A$3:A$502=DATE(2026,9,14)),ROW(Income!A$3:A$502)-2),5)),""),""))</f>
        <v/>
      </c>
      <c r="E193" s="62" t="str">
        <f aca="false">IF(IFERROR(-INDEX(Expenses!D$3:D$1002,SMALL(IF((Expenses!E$3:E$1002="GBP")*(Expenses!A$3:A$1002=DATE(2026,9,15)),ROW(Expenses!A$3:A$1002)-2),5)),0)+IFERROR(INDEX(Income!C$3:C$502,SMALL(IF((Income!D$3:D$502="GBP")*(Income!A$3:A$502=DATE(2026,9,15)),ROW(Income!A$3:A$502)-2),5)),0)=0,"",IFERROR(-INDEX(Expenses!D$3:D$1002,SMALL(IF((Expenses!E$3:E$1002="GBP")*(Expenses!A$3:A$1002=DATE(2026,9,15)),ROW(Expenses!A$3:A$1002)-2),5)),0)+IFERROR(INDEX(Income!C$3:C$502,SMALL(IF((Income!D$3:D$502="GBP")*(Income!A$3:A$502=DATE(2026,9,15)),ROW(Income!A$3:A$502)-2),5)),0))</f>
        <v/>
      </c>
      <c r="F193" s="38" t="str">
        <f aca="false">IF(IFERROR(INDEX(Expenses!B$3:B$1002,SMALL(IF((Expenses!E$3:E$1002="GBP")*(Expenses!A$3:A$1002=DATE(2026,9,15)),ROW(Expenses!A$3:A$1002)-2),5)),"")&lt;&gt;"",IFERROR(INDEX(Expenses!B$3:B$1002,SMALL(IF((Expenses!E$3:E$1002="GBP")*(Expenses!A$3:A$1002=DATE(2026,9,15)),ROW(Expenses!A$3:A$1002)-2),5)),""),IF(IFERROR(INDEX(Income!B$3:B$502,SMALL(IF((Income!D$3:D$502="GBP")*(Income!A$3:A$502=DATE(2026,9,15)),ROW(Income!A$3:A$502)-2),5)),"")&lt;&gt;"",IFERROR(INDEX(Income!B$3:B$502,SMALL(IF((Income!D$3:D$502="GBP")*(Income!A$3:A$502=DATE(2026,9,15)),ROW(Income!A$3:A$502)-2),5)),""),""))</f>
        <v/>
      </c>
      <c r="G193" s="62" t="str">
        <f aca="false">IF(IFERROR(-INDEX(Expenses!D$3:D$1002,SMALL(IF((Expenses!E$3:E$1002="GBP")*(Expenses!A$3:A$1002=DATE(2026,9,16)),ROW(Expenses!A$3:A$1002)-2),5)),0)+IFERROR(INDEX(Income!C$3:C$502,SMALL(IF((Income!D$3:D$502="GBP")*(Income!A$3:A$502=DATE(2026,9,16)),ROW(Income!A$3:A$502)-2),5)),0)=0,"",IFERROR(-INDEX(Expenses!D$3:D$1002,SMALL(IF((Expenses!E$3:E$1002="GBP")*(Expenses!A$3:A$1002=DATE(2026,9,16)),ROW(Expenses!A$3:A$1002)-2),5)),0)+IFERROR(INDEX(Income!C$3:C$502,SMALL(IF((Income!D$3:D$502="GBP")*(Income!A$3:A$502=DATE(2026,9,16)),ROW(Income!A$3:A$502)-2),5)),0))</f>
        <v/>
      </c>
      <c r="H193" s="38" t="str">
        <f aca="false">IF(IFERROR(INDEX(Expenses!B$3:B$1002,SMALL(IF((Expenses!E$3:E$1002="GBP")*(Expenses!A$3:A$1002=DATE(2026,9,16)),ROW(Expenses!A$3:A$1002)-2),5)),"")&lt;&gt;"",IFERROR(INDEX(Expenses!B$3:B$1002,SMALL(IF((Expenses!E$3:E$1002="GBP")*(Expenses!A$3:A$1002=DATE(2026,9,16)),ROW(Expenses!A$3:A$1002)-2),5)),""),IF(IFERROR(INDEX(Income!B$3:B$502,SMALL(IF((Income!D$3:D$502="GBP")*(Income!A$3:A$502=DATE(2026,9,16)),ROW(Income!A$3:A$502)-2),5)),"")&lt;&gt;"",IFERROR(INDEX(Income!B$3:B$502,SMALL(IF((Income!D$3:D$502="GBP")*(Income!A$3:A$502=DATE(2026,9,16)),ROW(Income!A$3:A$502)-2),5)),""),""))</f>
        <v/>
      </c>
      <c r="I193" s="62" t="str">
        <f aca="false">IF(IFERROR(-INDEX(Expenses!D$3:D$1002,SMALL(IF((Expenses!E$3:E$1002="GBP")*(Expenses!A$3:A$1002=DATE(2026,9,17)),ROW(Expenses!A$3:A$1002)-2),5)),0)+IFERROR(INDEX(Income!C$3:C$502,SMALL(IF((Income!D$3:D$502="GBP")*(Income!A$3:A$502=DATE(2026,9,17)),ROW(Income!A$3:A$502)-2),5)),0)=0,"",IFERROR(-INDEX(Expenses!D$3:D$1002,SMALL(IF((Expenses!E$3:E$1002="GBP")*(Expenses!A$3:A$1002=DATE(2026,9,17)),ROW(Expenses!A$3:A$1002)-2),5)),0)+IFERROR(INDEX(Income!C$3:C$502,SMALL(IF((Income!D$3:D$502="GBP")*(Income!A$3:A$502=DATE(2026,9,17)),ROW(Income!A$3:A$502)-2),5)),0))</f>
        <v/>
      </c>
      <c r="J193" s="38" t="str">
        <f aca="false">IF(IFERROR(INDEX(Expenses!B$3:B$1002,SMALL(IF((Expenses!E$3:E$1002="GBP")*(Expenses!A$3:A$1002=DATE(2026,9,17)),ROW(Expenses!A$3:A$1002)-2),5)),"")&lt;&gt;"",IFERROR(INDEX(Expenses!B$3:B$1002,SMALL(IF((Expenses!E$3:E$1002="GBP")*(Expenses!A$3:A$1002=DATE(2026,9,17)),ROW(Expenses!A$3:A$1002)-2),5)),""),IF(IFERROR(INDEX(Income!B$3:B$502,SMALL(IF((Income!D$3:D$502="GBP")*(Income!A$3:A$502=DATE(2026,9,17)),ROW(Income!A$3:A$502)-2),5)),"")&lt;&gt;"",IFERROR(INDEX(Income!B$3:B$502,SMALL(IF((Income!D$3:D$502="GBP")*(Income!A$3:A$502=DATE(2026,9,17)),ROW(Income!A$3:A$502)-2),5)),""),""))</f>
        <v/>
      </c>
      <c r="K193" s="62" t="str">
        <f aca="false">IF(IFERROR(-INDEX(Expenses!D$3:D$1002,SMALL(IF((Expenses!E$3:E$1002="GBP")*(Expenses!A$3:A$1002=DATE(2026,9,18)),ROW(Expenses!A$3:A$1002)-2),5)),0)+IFERROR(INDEX(Income!C$3:C$502,SMALL(IF((Income!D$3:D$502="GBP")*(Income!A$3:A$502=DATE(2026,9,18)),ROW(Income!A$3:A$502)-2),5)),0)=0,"",IFERROR(-INDEX(Expenses!D$3:D$1002,SMALL(IF((Expenses!E$3:E$1002="GBP")*(Expenses!A$3:A$1002=DATE(2026,9,18)),ROW(Expenses!A$3:A$1002)-2),5)),0)+IFERROR(INDEX(Income!C$3:C$502,SMALL(IF((Income!D$3:D$502="GBP")*(Income!A$3:A$502=DATE(2026,9,18)),ROW(Income!A$3:A$502)-2),5)),0))</f>
        <v/>
      </c>
      <c r="L193" s="38" t="str">
        <f aca="false">IF(IFERROR(INDEX(Expenses!B$3:B$1002,SMALL(IF((Expenses!E$3:E$1002="GBP")*(Expenses!A$3:A$1002=DATE(2026,9,18)),ROW(Expenses!A$3:A$1002)-2),5)),"")&lt;&gt;"",IFERROR(INDEX(Expenses!B$3:B$1002,SMALL(IF((Expenses!E$3:E$1002="GBP")*(Expenses!A$3:A$1002=DATE(2026,9,18)),ROW(Expenses!A$3:A$1002)-2),5)),""),IF(IFERROR(INDEX(Income!B$3:B$502,SMALL(IF((Income!D$3:D$502="GBP")*(Income!A$3:A$502=DATE(2026,9,18)),ROW(Income!A$3:A$502)-2),5)),"")&lt;&gt;"",IFERROR(INDEX(Income!B$3:B$502,SMALL(IF((Income!D$3:D$502="GBP")*(Income!A$3:A$502=DATE(2026,9,18)),ROW(Income!A$3:A$502)-2),5)),""),""))</f>
        <v/>
      </c>
      <c r="M193" s="62" t="str">
        <f aca="false">IF(IFERROR(-INDEX(Expenses!D$3:D$1002,SMALL(IF((Expenses!E$3:E$1002="GBP")*(Expenses!A$3:A$1002=DATE(2026,9,19)),ROW(Expenses!A$3:A$1002)-2),5)),0)+IFERROR(INDEX(Income!C$3:C$502,SMALL(IF((Income!D$3:D$502="GBP")*(Income!A$3:A$502=DATE(2026,9,19)),ROW(Income!A$3:A$502)-2),5)),0)=0,"",IFERROR(-INDEX(Expenses!D$3:D$1002,SMALL(IF((Expenses!E$3:E$1002="GBP")*(Expenses!A$3:A$1002=DATE(2026,9,19)),ROW(Expenses!A$3:A$1002)-2),5)),0)+IFERROR(INDEX(Income!C$3:C$502,SMALL(IF((Income!D$3:D$502="GBP")*(Income!A$3:A$502=DATE(2026,9,19)),ROW(Income!A$3:A$502)-2),5)),0))</f>
        <v/>
      </c>
      <c r="N193" s="38" t="str">
        <f aca="false">IF(IFERROR(INDEX(Expenses!B$3:B$1002,SMALL(IF((Expenses!E$3:E$1002="GBP")*(Expenses!A$3:A$1002=DATE(2026,9,19)),ROW(Expenses!A$3:A$1002)-2),5)),"")&lt;&gt;"",IFERROR(INDEX(Expenses!B$3:B$1002,SMALL(IF((Expenses!E$3:E$1002="GBP")*(Expenses!A$3:A$1002=DATE(2026,9,19)),ROW(Expenses!A$3:A$1002)-2),5)),""),IF(IFERROR(INDEX(Income!B$3:B$502,SMALL(IF((Income!D$3:D$502="GBP")*(Income!A$3:A$502=DATE(2026,9,19)),ROW(Income!A$3:A$502)-2),5)),"")&lt;&gt;"",IFERROR(INDEX(Income!B$3:B$502,SMALL(IF((Income!D$3:D$502="GBP")*(Income!A$3:A$502=DATE(2026,9,19)),ROW(Income!A$3:A$502)-2),5)),""),""))</f>
        <v/>
      </c>
      <c r="O193" s="62" t="str">
        <f aca="false">IF(IFERROR(-INDEX(Expenses!D$3:D$1002,SMALL(IF((Expenses!E$3:E$1002="GBP")*(Expenses!A$3:A$1002=DATE(2026,9,20)),ROW(Expenses!A$3:A$1002)-2),5)),0)+IFERROR(INDEX(Income!C$3:C$502,SMALL(IF((Income!D$3:D$502="GBP")*(Income!A$3:A$502=DATE(2026,9,20)),ROW(Income!A$3:A$502)-2),5)),0)=0,"",IFERROR(-INDEX(Expenses!D$3:D$1002,SMALL(IF((Expenses!E$3:E$1002="GBP")*(Expenses!A$3:A$1002=DATE(2026,9,20)),ROW(Expenses!A$3:A$1002)-2),5)),0)+IFERROR(INDEX(Income!C$3:C$502,SMALL(IF((Income!D$3:D$502="GBP")*(Income!A$3:A$502=DATE(2026,9,20)),ROW(Income!A$3:A$502)-2),5)),0))</f>
        <v/>
      </c>
      <c r="P193" s="38" t="str">
        <f aca="false">IF(IFERROR(INDEX(Expenses!B$3:B$1002,SMALL(IF((Expenses!E$3:E$1002="GBP")*(Expenses!A$3:A$1002=DATE(2026,9,20)),ROW(Expenses!A$3:A$1002)-2),5)),"")&lt;&gt;"",IFERROR(INDEX(Expenses!B$3:B$1002,SMALL(IF((Expenses!E$3:E$1002="GBP")*(Expenses!A$3:A$1002=DATE(2026,9,20)),ROW(Expenses!A$3:A$1002)-2),5)),""),IF(IFERROR(INDEX(Income!B$3:B$502,SMALL(IF((Income!D$3:D$502="GBP")*(Income!A$3:A$502=DATE(2026,9,20)),ROW(Income!A$3:A$502)-2),5)),"")&lt;&gt;"",IFERROR(INDEX(Income!B$3:B$502,SMALL(IF((Income!D$3:D$502="GBP")*(Income!A$3:A$502=DATE(2026,9,20)),ROW(Income!A$3:A$502)-2),5)),""),""))</f>
        <v/>
      </c>
      <c r="Q193" s="16"/>
      <c r="R193" s="16"/>
    </row>
    <row r="194" customFormat="false" ht="15" hidden="false" customHeight="false" outlineLevel="0" collapsed="false">
      <c r="A194" s="61" t="n">
        <v>46286</v>
      </c>
      <c r="B194" s="3" t="n">
        <v>39</v>
      </c>
      <c r="C194" s="62" t="str">
        <f aca="false">IF(IFERROR(-INDEX(Expenses!D$3:D$1002,SMALL(IF((Expenses!E$3:E$1002="GBP")*(Expenses!A$3:A$1002=DATE(2026,9,21)),ROW(Expenses!A$3:A$1002)-2),1)),0)+IFERROR(INDEX(Income!C$3:C$502,SMALL(IF((Income!D$3:D$502="GBP")*(Income!A$3:A$502=DATE(2026,9,21)),ROW(Income!A$3:A$502)-2),1)),0)=0,"",IFERROR(-INDEX(Expenses!D$3:D$1002,SMALL(IF((Expenses!E$3:E$1002="GBP")*(Expenses!A$3:A$1002=DATE(2026,9,21)),ROW(Expenses!A$3:A$1002)-2),1)),0)+IFERROR(INDEX(Income!C$3:C$502,SMALL(IF((Income!D$3:D$502="GBP")*(Income!A$3:A$502=DATE(2026,9,21)),ROW(Income!A$3:A$502)-2),1)),0))</f>
        <v/>
      </c>
      <c r="D194" s="38" t="str">
        <f aca="false">IF(IFERROR(INDEX(Expenses!B$3:B$1002,SMALL(IF((Expenses!E$3:E$1002="GBP")*(Expenses!A$3:A$1002=DATE(2026,9,21)),ROW(Expenses!A$3:A$1002)-2),1)),"")&lt;&gt;"",IFERROR(INDEX(Expenses!B$3:B$1002,SMALL(IF((Expenses!E$3:E$1002="GBP")*(Expenses!A$3:A$1002=DATE(2026,9,21)),ROW(Expenses!A$3:A$1002)-2),1)),""),IF(IFERROR(INDEX(Income!B$3:B$502,SMALL(IF((Income!D$3:D$502="GBP")*(Income!A$3:A$502=DATE(2026,9,21)),ROW(Income!A$3:A$502)-2),1)),"")&lt;&gt;"",IFERROR(INDEX(Income!B$3:B$502,SMALL(IF((Income!D$3:D$502="GBP")*(Income!A$3:A$502=DATE(2026,9,21)),ROW(Income!A$3:A$502)-2),1)),""),""))</f>
        <v/>
      </c>
      <c r="E194" s="62" t="str">
        <f aca="false">IF(IFERROR(-INDEX(Expenses!D$3:D$1002,SMALL(IF((Expenses!E$3:E$1002="GBP")*(Expenses!A$3:A$1002=DATE(2026,9,22)),ROW(Expenses!A$3:A$1002)-2),1)),0)+IFERROR(INDEX(Income!C$3:C$502,SMALL(IF((Income!D$3:D$502="GBP")*(Income!A$3:A$502=DATE(2026,9,22)),ROW(Income!A$3:A$502)-2),1)),0)=0,"",IFERROR(-INDEX(Expenses!D$3:D$1002,SMALL(IF((Expenses!E$3:E$1002="GBP")*(Expenses!A$3:A$1002=DATE(2026,9,22)),ROW(Expenses!A$3:A$1002)-2),1)),0)+IFERROR(INDEX(Income!C$3:C$502,SMALL(IF((Income!D$3:D$502="GBP")*(Income!A$3:A$502=DATE(2026,9,22)),ROW(Income!A$3:A$502)-2),1)),0))</f>
        <v/>
      </c>
      <c r="F194" s="38" t="str">
        <f aca="false">IF(IFERROR(INDEX(Expenses!B$3:B$1002,SMALL(IF((Expenses!E$3:E$1002="GBP")*(Expenses!A$3:A$1002=DATE(2026,9,22)),ROW(Expenses!A$3:A$1002)-2),1)),"")&lt;&gt;"",IFERROR(INDEX(Expenses!B$3:B$1002,SMALL(IF((Expenses!E$3:E$1002="GBP")*(Expenses!A$3:A$1002=DATE(2026,9,22)),ROW(Expenses!A$3:A$1002)-2),1)),""),IF(IFERROR(INDEX(Income!B$3:B$502,SMALL(IF((Income!D$3:D$502="GBP")*(Income!A$3:A$502=DATE(2026,9,22)),ROW(Income!A$3:A$502)-2),1)),"")&lt;&gt;"",IFERROR(INDEX(Income!B$3:B$502,SMALL(IF((Income!D$3:D$502="GBP")*(Income!A$3:A$502=DATE(2026,9,22)),ROW(Income!A$3:A$502)-2),1)),""),""))</f>
        <v/>
      </c>
      <c r="G194" s="62" t="str">
        <f aca="false">IF(IFERROR(-INDEX(Expenses!D$3:D$1002,SMALL(IF((Expenses!E$3:E$1002="GBP")*(Expenses!A$3:A$1002=DATE(2026,9,23)),ROW(Expenses!A$3:A$1002)-2),1)),0)+IFERROR(INDEX(Income!C$3:C$502,SMALL(IF((Income!D$3:D$502="GBP")*(Income!A$3:A$502=DATE(2026,9,23)),ROW(Income!A$3:A$502)-2),1)),0)=0,"",IFERROR(-INDEX(Expenses!D$3:D$1002,SMALL(IF((Expenses!E$3:E$1002="GBP")*(Expenses!A$3:A$1002=DATE(2026,9,23)),ROW(Expenses!A$3:A$1002)-2),1)),0)+IFERROR(INDEX(Income!C$3:C$502,SMALL(IF((Income!D$3:D$502="GBP")*(Income!A$3:A$502=DATE(2026,9,23)),ROW(Income!A$3:A$502)-2),1)),0))</f>
        <v/>
      </c>
      <c r="H194" s="38" t="str">
        <f aca="false">IF(IFERROR(INDEX(Expenses!B$3:B$1002,SMALL(IF((Expenses!E$3:E$1002="GBP")*(Expenses!A$3:A$1002=DATE(2026,9,23)),ROW(Expenses!A$3:A$1002)-2),1)),"")&lt;&gt;"",IFERROR(INDEX(Expenses!B$3:B$1002,SMALL(IF((Expenses!E$3:E$1002="GBP")*(Expenses!A$3:A$1002=DATE(2026,9,23)),ROW(Expenses!A$3:A$1002)-2),1)),""),IF(IFERROR(INDEX(Income!B$3:B$502,SMALL(IF((Income!D$3:D$502="GBP")*(Income!A$3:A$502=DATE(2026,9,23)),ROW(Income!A$3:A$502)-2),1)),"")&lt;&gt;"",IFERROR(INDEX(Income!B$3:B$502,SMALL(IF((Income!D$3:D$502="GBP")*(Income!A$3:A$502=DATE(2026,9,23)),ROW(Income!A$3:A$502)-2),1)),""),""))</f>
        <v/>
      </c>
      <c r="I194" s="62" t="str">
        <f aca="false">IF(IFERROR(-INDEX(Expenses!D$3:D$1002,SMALL(IF((Expenses!E$3:E$1002="GBP")*(Expenses!A$3:A$1002=DATE(2026,9,24)),ROW(Expenses!A$3:A$1002)-2),1)),0)+IFERROR(INDEX(Income!C$3:C$502,SMALL(IF((Income!D$3:D$502="GBP")*(Income!A$3:A$502=DATE(2026,9,24)),ROW(Income!A$3:A$502)-2),1)),0)=0,"",IFERROR(-INDEX(Expenses!D$3:D$1002,SMALL(IF((Expenses!E$3:E$1002="GBP")*(Expenses!A$3:A$1002=DATE(2026,9,24)),ROW(Expenses!A$3:A$1002)-2),1)),0)+IFERROR(INDEX(Income!C$3:C$502,SMALL(IF((Income!D$3:D$502="GBP")*(Income!A$3:A$502=DATE(2026,9,24)),ROW(Income!A$3:A$502)-2),1)),0))</f>
        <v/>
      </c>
      <c r="J194" s="38" t="str">
        <f aca="false">IF(IFERROR(INDEX(Expenses!B$3:B$1002,SMALL(IF((Expenses!E$3:E$1002="GBP")*(Expenses!A$3:A$1002=DATE(2026,9,24)),ROW(Expenses!A$3:A$1002)-2),1)),"")&lt;&gt;"",IFERROR(INDEX(Expenses!B$3:B$1002,SMALL(IF((Expenses!E$3:E$1002="GBP")*(Expenses!A$3:A$1002=DATE(2026,9,24)),ROW(Expenses!A$3:A$1002)-2),1)),""),IF(IFERROR(INDEX(Income!B$3:B$502,SMALL(IF((Income!D$3:D$502="GBP")*(Income!A$3:A$502=DATE(2026,9,24)),ROW(Income!A$3:A$502)-2),1)),"")&lt;&gt;"",IFERROR(INDEX(Income!B$3:B$502,SMALL(IF((Income!D$3:D$502="GBP")*(Income!A$3:A$502=DATE(2026,9,24)),ROW(Income!A$3:A$502)-2),1)),""),""))</f>
        <v/>
      </c>
      <c r="K194" s="62" t="str">
        <f aca="false">IF(IFERROR(-INDEX(Expenses!D$3:D$1002,SMALL(IF((Expenses!E$3:E$1002="GBP")*(Expenses!A$3:A$1002=DATE(2026,9,25)),ROW(Expenses!A$3:A$1002)-2),1)),0)+IFERROR(INDEX(Income!C$3:C$502,SMALL(IF((Income!D$3:D$502="GBP")*(Income!A$3:A$502=DATE(2026,9,25)),ROW(Income!A$3:A$502)-2),1)),0)=0,"",IFERROR(-INDEX(Expenses!D$3:D$1002,SMALL(IF((Expenses!E$3:E$1002="GBP")*(Expenses!A$3:A$1002=DATE(2026,9,25)),ROW(Expenses!A$3:A$1002)-2),1)),0)+IFERROR(INDEX(Income!C$3:C$502,SMALL(IF((Income!D$3:D$502="GBP")*(Income!A$3:A$502=DATE(2026,9,25)),ROW(Income!A$3:A$502)-2),1)),0))</f>
        <v/>
      </c>
      <c r="L194" s="38" t="str">
        <f aca="false">IF(IFERROR(INDEX(Expenses!B$3:B$1002,SMALL(IF((Expenses!E$3:E$1002="GBP")*(Expenses!A$3:A$1002=DATE(2026,9,25)),ROW(Expenses!A$3:A$1002)-2),1)),"")&lt;&gt;"",IFERROR(INDEX(Expenses!B$3:B$1002,SMALL(IF((Expenses!E$3:E$1002="GBP")*(Expenses!A$3:A$1002=DATE(2026,9,25)),ROW(Expenses!A$3:A$1002)-2),1)),""),IF(IFERROR(INDEX(Income!B$3:B$502,SMALL(IF((Income!D$3:D$502="GBP")*(Income!A$3:A$502=DATE(2026,9,25)),ROW(Income!A$3:A$502)-2),1)),"")&lt;&gt;"",IFERROR(INDEX(Income!B$3:B$502,SMALL(IF((Income!D$3:D$502="GBP")*(Income!A$3:A$502=DATE(2026,9,25)),ROW(Income!A$3:A$502)-2),1)),""),""))</f>
        <v/>
      </c>
      <c r="M194" s="62" t="str">
        <f aca="false">IF(IFERROR(-INDEX(Expenses!D$3:D$1002,SMALL(IF((Expenses!E$3:E$1002="GBP")*(Expenses!A$3:A$1002=DATE(2026,9,26)),ROW(Expenses!A$3:A$1002)-2),1)),0)+IFERROR(INDEX(Income!C$3:C$502,SMALL(IF((Income!D$3:D$502="GBP")*(Income!A$3:A$502=DATE(2026,9,26)),ROW(Income!A$3:A$502)-2),1)),0)=0,"",IFERROR(-INDEX(Expenses!D$3:D$1002,SMALL(IF((Expenses!E$3:E$1002="GBP")*(Expenses!A$3:A$1002=DATE(2026,9,26)),ROW(Expenses!A$3:A$1002)-2),1)),0)+IFERROR(INDEX(Income!C$3:C$502,SMALL(IF((Income!D$3:D$502="GBP")*(Income!A$3:A$502=DATE(2026,9,26)),ROW(Income!A$3:A$502)-2),1)),0))</f>
        <v/>
      </c>
      <c r="N194" s="38" t="str">
        <f aca="false">IF(IFERROR(INDEX(Expenses!B$3:B$1002,SMALL(IF((Expenses!E$3:E$1002="GBP")*(Expenses!A$3:A$1002=DATE(2026,9,26)),ROW(Expenses!A$3:A$1002)-2),1)),"")&lt;&gt;"",IFERROR(INDEX(Expenses!B$3:B$1002,SMALL(IF((Expenses!E$3:E$1002="GBP")*(Expenses!A$3:A$1002=DATE(2026,9,26)),ROW(Expenses!A$3:A$1002)-2),1)),""),IF(IFERROR(INDEX(Income!B$3:B$502,SMALL(IF((Income!D$3:D$502="GBP")*(Income!A$3:A$502=DATE(2026,9,26)),ROW(Income!A$3:A$502)-2),1)),"")&lt;&gt;"",IFERROR(INDEX(Income!B$3:B$502,SMALL(IF((Income!D$3:D$502="GBP")*(Income!A$3:A$502=DATE(2026,9,26)),ROW(Income!A$3:A$502)-2),1)),""),""))</f>
        <v/>
      </c>
      <c r="O194" s="62" t="str">
        <f aca="false">IF(IFERROR(-INDEX(Expenses!D$3:D$1002,SMALL(IF((Expenses!E$3:E$1002="GBP")*(Expenses!A$3:A$1002=DATE(2026,9,27)),ROW(Expenses!A$3:A$1002)-2),1)),0)+IFERROR(INDEX(Income!C$3:C$502,SMALL(IF((Income!D$3:D$502="GBP")*(Income!A$3:A$502=DATE(2026,9,27)),ROW(Income!A$3:A$502)-2),1)),0)=0,"",IFERROR(-INDEX(Expenses!D$3:D$1002,SMALL(IF((Expenses!E$3:E$1002="GBP")*(Expenses!A$3:A$1002=DATE(2026,9,27)),ROW(Expenses!A$3:A$1002)-2),1)),0)+IFERROR(INDEX(Income!C$3:C$502,SMALL(IF((Income!D$3:D$502="GBP")*(Income!A$3:A$502=DATE(2026,9,27)),ROW(Income!A$3:A$502)-2),1)),0))</f>
        <v/>
      </c>
      <c r="P194" s="38" t="str">
        <f aca="false">IF(IFERROR(INDEX(Expenses!B$3:B$1002,SMALL(IF((Expenses!E$3:E$1002="GBP")*(Expenses!A$3:A$1002=DATE(2026,9,27)),ROW(Expenses!A$3:A$1002)-2),1)),"")&lt;&gt;"",IFERROR(INDEX(Expenses!B$3:B$1002,SMALL(IF((Expenses!E$3:E$1002="GBP")*(Expenses!A$3:A$1002=DATE(2026,9,27)),ROW(Expenses!A$3:A$1002)-2),1)),""),IF(IFERROR(INDEX(Income!B$3:B$502,SMALL(IF((Income!D$3:D$502="GBP")*(Income!A$3:A$502=DATE(2026,9,27)),ROW(Income!A$3:A$502)-2),1)),"")&lt;&gt;"",IFERROR(INDEX(Income!B$3:B$502,SMALL(IF((Income!D$3:D$502="GBP")*(Income!A$3:A$502=DATE(2026,9,27)),ROW(Income!A$3:A$502)-2),1)),""),""))</f>
        <v/>
      </c>
      <c r="Q194" s="3" t="n">
        <v>39</v>
      </c>
      <c r="R194" s="45" t="n">
        <f aca="false">SUM(C194:C198)+SUM(E194:E198)+SUM(G194:G198)+SUM(I194:I198)+SUM(K194:K198)+SUM(M194:M198)+SUM(O194:O198)</f>
        <v>0</v>
      </c>
    </row>
    <row r="195" customFormat="false" ht="15" hidden="false" customHeight="false" outlineLevel="0" collapsed="false">
      <c r="A195" s="16"/>
      <c r="B195" s="16"/>
      <c r="C195" s="62" t="str">
        <f aca="false">IF(IFERROR(-INDEX(Expenses!D$3:D$1002,SMALL(IF((Expenses!E$3:E$1002="GBP")*(Expenses!A$3:A$1002=DATE(2026,9,21)),ROW(Expenses!A$3:A$1002)-2),2)),0)+IFERROR(INDEX(Income!C$3:C$502,SMALL(IF((Income!D$3:D$502="GBP")*(Income!A$3:A$502=DATE(2026,9,21)),ROW(Income!A$3:A$502)-2),2)),0)=0,"",IFERROR(-INDEX(Expenses!D$3:D$1002,SMALL(IF((Expenses!E$3:E$1002="GBP")*(Expenses!A$3:A$1002=DATE(2026,9,21)),ROW(Expenses!A$3:A$1002)-2),2)),0)+IFERROR(INDEX(Income!C$3:C$502,SMALL(IF((Income!D$3:D$502="GBP")*(Income!A$3:A$502=DATE(2026,9,21)),ROW(Income!A$3:A$502)-2),2)),0))</f>
        <v/>
      </c>
      <c r="D195" s="38" t="str">
        <f aca="false">IF(IFERROR(INDEX(Expenses!B$3:B$1002,SMALL(IF((Expenses!E$3:E$1002="GBP")*(Expenses!A$3:A$1002=DATE(2026,9,21)),ROW(Expenses!A$3:A$1002)-2),2)),"")&lt;&gt;"",IFERROR(INDEX(Expenses!B$3:B$1002,SMALL(IF((Expenses!E$3:E$1002="GBP")*(Expenses!A$3:A$1002=DATE(2026,9,21)),ROW(Expenses!A$3:A$1002)-2),2)),""),IF(IFERROR(INDEX(Income!B$3:B$502,SMALL(IF((Income!D$3:D$502="GBP")*(Income!A$3:A$502=DATE(2026,9,21)),ROW(Income!A$3:A$502)-2),2)),"")&lt;&gt;"",IFERROR(INDEX(Income!B$3:B$502,SMALL(IF((Income!D$3:D$502="GBP")*(Income!A$3:A$502=DATE(2026,9,21)),ROW(Income!A$3:A$502)-2),2)),""),""))</f>
        <v/>
      </c>
      <c r="E195" s="62" t="str">
        <f aca="false">IF(IFERROR(-INDEX(Expenses!D$3:D$1002,SMALL(IF((Expenses!E$3:E$1002="GBP")*(Expenses!A$3:A$1002=DATE(2026,9,22)),ROW(Expenses!A$3:A$1002)-2),2)),0)+IFERROR(INDEX(Income!C$3:C$502,SMALL(IF((Income!D$3:D$502="GBP")*(Income!A$3:A$502=DATE(2026,9,22)),ROW(Income!A$3:A$502)-2),2)),0)=0,"",IFERROR(-INDEX(Expenses!D$3:D$1002,SMALL(IF((Expenses!E$3:E$1002="GBP")*(Expenses!A$3:A$1002=DATE(2026,9,22)),ROW(Expenses!A$3:A$1002)-2),2)),0)+IFERROR(INDEX(Income!C$3:C$502,SMALL(IF((Income!D$3:D$502="GBP")*(Income!A$3:A$502=DATE(2026,9,22)),ROW(Income!A$3:A$502)-2),2)),0))</f>
        <v/>
      </c>
      <c r="F195" s="38" t="str">
        <f aca="false">IF(IFERROR(INDEX(Expenses!B$3:B$1002,SMALL(IF((Expenses!E$3:E$1002="GBP")*(Expenses!A$3:A$1002=DATE(2026,9,22)),ROW(Expenses!A$3:A$1002)-2),2)),"")&lt;&gt;"",IFERROR(INDEX(Expenses!B$3:B$1002,SMALL(IF((Expenses!E$3:E$1002="GBP")*(Expenses!A$3:A$1002=DATE(2026,9,22)),ROW(Expenses!A$3:A$1002)-2),2)),""),IF(IFERROR(INDEX(Income!B$3:B$502,SMALL(IF((Income!D$3:D$502="GBP")*(Income!A$3:A$502=DATE(2026,9,22)),ROW(Income!A$3:A$502)-2),2)),"")&lt;&gt;"",IFERROR(INDEX(Income!B$3:B$502,SMALL(IF((Income!D$3:D$502="GBP")*(Income!A$3:A$502=DATE(2026,9,22)),ROW(Income!A$3:A$502)-2),2)),""),""))</f>
        <v/>
      </c>
      <c r="G195" s="62" t="str">
        <f aca="false">IF(IFERROR(-INDEX(Expenses!D$3:D$1002,SMALL(IF((Expenses!E$3:E$1002="GBP")*(Expenses!A$3:A$1002=DATE(2026,9,23)),ROW(Expenses!A$3:A$1002)-2),2)),0)+IFERROR(INDEX(Income!C$3:C$502,SMALL(IF((Income!D$3:D$502="GBP")*(Income!A$3:A$502=DATE(2026,9,23)),ROW(Income!A$3:A$502)-2),2)),0)=0,"",IFERROR(-INDEX(Expenses!D$3:D$1002,SMALL(IF((Expenses!E$3:E$1002="GBP")*(Expenses!A$3:A$1002=DATE(2026,9,23)),ROW(Expenses!A$3:A$1002)-2),2)),0)+IFERROR(INDEX(Income!C$3:C$502,SMALL(IF((Income!D$3:D$502="GBP")*(Income!A$3:A$502=DATE(2026,9,23)),ROW(Income!A$3:A$502)-2),2)),0))</f>
        <v/>
      </c>
      <c r="H195" s="38" t="str">
        <f aca="false">IF(IFERROR(INDEX(Expenses!B$3:B$1002,SMALL(IF((Expenses!E$3:E$1002="GBP")*(Expenses!A$3:A$1002=DATE(2026,9,23)),ROW(Expenses!A$3:A$1002)-2),2)),"")&lt;&gt;"",IFERROR(INDEX(Expenses!B$3:B$1002,SMALL(IF((Expenses!E$3:E$1002="GBP")*(Expenses!A$3:A$1002=DATE(2026,9,23)),ROW(Expenses!A$3:A$1002)-2),2)),""),IF(IFERROR(INDEX(Income!B$3:B$502,SMALL(IF((Income!D$3:D$502="GBP")*(Income!A$3:A$502=DATE(2026,9,23)),ROW(Income!A$3:A$502)-2),2)),"")&lt;&gt;"",IFERROR(INDEX(Income!B$3:B$502,SMALL(IF((Income!D$3:D$502="GBP")*(Income!A$3:A$502=DATE(2026,9,23)),ROW(Income!A$3:A$502)-2),2)),""),""))</f>
        <v/>
      </c>
      <c r="I195" s="62" t="str">
        <f aca="false">IF(IFERROR(-INDEX(Expenses!D$3:D$1002,SMALL(IF((Expenses!E$3:E$1002="GBP")*(Expenses!A$3:A$1002=DATE(2026,9,24)),ROW(Expenses!A$3:A$1002)-2),2)),0)+IFERROR(INDEX(Income!C$3:C$502,SMALL(IF((Income!D$3:D$502="GBP")*(Income!A$3:A$502=DATE(2026,9,24)),ROW(Income!A$3:A$502)-2),2)),0)=0,"",IFERROR(-INDEX(Expenses!D$3:D$1002,SMALL(IF((Expenses!E$3:E$1002="GBP")*(Expenses!A$3:A$1002=DATE(2026,9,24)),ROW(Expenses!A$3:A$1002)-2),2)),0)+IFERROR(INDEX(Income!C$3:C$502,SMALL(IF((Income!D$3:D$502="GBP")*(Income!A$3:A$502=DATE(2026,9,24)),ROW(Income!A$3:A$502)-2),2)),0))</f>
        <v/>
      </c>
      <c r="J195" s="38" t="str">
        <f aca="false">IF(IFERROR(INDEX(Expenses!B$3:B$1002,SMALL(IF((Expenses!E$3:E$1002="GBP")*(Expenses!A$3:A$1002=DATE(2026,9,24)),ROW(Expenses!A$3:A$1002)-2),2)),"")&lt;&gt;"",IFERROR(INDEX(Expenses!B$3:B$1002,SMALL(IF((Expenses!E$3:E$1002="GBP")*(Expenses!A$3:A$1002=DATE(2026,9,24)),ROW(Expenses!A$3:A$1002)-2),2)),""),IF(IFERROR(INDEX(Income!B$3:B$502,SMALL(IF((Income!D$3:D$502="GBP")*(Income!A$3:A$502=DATE(2026,9,24)),ROW(Income!A$3:A$502)-2),2)),"")&lt;&gt;"",IFERROR(INDEX(Income!B$3:B$502,SMALL(IF((Income!D$3:D$502="GBP")*(Income!A$3:A$502=DATE(2026,9,24)),ROW(Income!A$3:A$502)-2),2)),""),""))</f>
        <v/>
      </c>
      <c r="K195" s="62" t="str">
        <f aca="false">IF(IFERROR(-INDEX(Expenses!D$3:D$1002,SMALL(IF((Expenses!E$3:E$1002="GBP")*(Expenses!A$3:A$1002=DATE(2026,9,25)),ROW(Expenses!A$3:A$1002)-2),2)),0)+IFERROR(INDEX(Income!C$3:C$502,SMALL(IF((Income!D$3:D$502="GBP")*(Income!A$3:A$502=DATE(2026,9,25)),ROW(Income!A$3:A$502)-2),2)),0)=0,"",IFERROR(-INDEX(Expenses!D$3:D$1002,SMALL(IF((Expenses!E$3:E$1002="GBP")*(Expenses!A$3:A$1002=DATE(2026,9,25)),ROW(Expenses!A$3:A$1002)-2),2)),0)+IFERROR(INDEX(Income!C$3:C$502,SMALL(IF((Income!D$3:D$502="GBP")*(Income!A$3:A$502=DATE(2026,9,25)),ROW(Income!A$3:A$502)-2),2)),0))</f>
        <v/>
      </c>
      <c r="L195" s="38" t="str">
        <f aca="false">IF(IFERROR(INDEX(Expenses!B$3:B$1002,SMALL(IF((Expenses!E$3:E$1002="GBP")*(Expenses!A$3:A$1002=DATE(2026,9,25)),ROW(Expenses!A$3:A$1002)-2),2)),"")&lt;&gt;"",IFERROR(INDEX(Expenses!B$3:B$1002,SMALL(IF((Expenses!E$3:E$1002="GBP")*(Expenses!A$3:A$1002=DATE(2026,9,25)),ROW(Expenses!A$3:A$1002)-2),2)),""),IF(IFERROR(INDEX(Income!B$3:B$502,SMALL(IF((Income!D$3:D$502="GBP")*(Income!A$3:A$502=DATE(2026,9,25)),ROW(Income!A$3:A$502)-2),2)),"")&lt;&gt;"",IFERROR(INDEX(Income!B$3:B$502,SMALL(IF((Income!D$3:D$502="GBP")*(Income!A$3:A$502=DATE(2026,9,25)),ROW(Income!A$3:A$502)-2),2)),""),""))</f>
        <v/>
      </c>
      <c r="M195" s="62" t="str">
        <f aca="false">IF(IFERROR(-INDEX(Expenses!D$3:D$1002,SMALL(IF((Expenses!E$3:E$1002="GBP")*(Expenses!A$3:A$1002=DATE(2026,9,26)),ROW(Expenses!A$3:A$1002)-2),2)),0)+IFERROR(INDEX(Income!C$3:C$502,SMALL(IF((Income!D$3:D$502="GBP")*(Income!A$3:A$502=DATE(2026,9,26)),ROW(Income!A$3:A$502)-2),2)),0)=0,"",IFERROR(-INDEX(Expenses!D$3:D$1002,SMALL(IF((Expenses!E$3:E$1002="GBP")*(Expenses!A$3:A$1002=DATE(2026,9,26)),ROW(Expenses!A$3:A$1002)-2),2)),0)+IFERROR(INDEX(Income!C$3:C$502,SMALL(IF((Income!D$3:D$502="GBP")*(Income!A$3:A$502=DATE(2026,9,26)),ROW(Income!A$3:A$502)-2),2)),0))</f>
        <v/>
      </c>
      <c r="N195" s="38" t="str">
        <f aca="false">IF(IFERROR(INDEX(Expenses!B$3:B$1002,SMALL(IF((Expenses!E$3:E$1002="GBP")*(Expenses!A$3:A$1002=DATE(2026,9,26)),ROW(Expenses!A$3:A$1002)-2),2)),"")&lt;&gt;"",IFERROR(INDEX(Expenses!B$3:B$1002,SMALL(IF((Expenses!E$3:E$1002="GBP")*(Expenses!A$3:A$1002=DATE(2026,9,26)),ROW(Expenses!A$3:A$1002)-2),2)),""),IF(IFERROR(INDEX(Income!B$3:B$502,SMALL(IF((Income!D$3:D$502="GBP")*(Income!A$3:A$502=DATE(2026,9,26)),ROW(Income!A$3:A$502)-2),2)),"")&lt;&gt;"",IFERROR(INDEX(Income!B$3:B$502,SMALL(IF((Income!D$3:D$502="GBP")*(Income!A$3:A$502=DATE(2026,9,26)),ROW(Income!A$3:A$502)-2),2)),""),""))</f>
        <v/>
      </c>
      <c r="O195" s="62" t="str">
        <f aca="false">IF(IFERROR(-INDEX(Expenses!D$3:D$1002,SMALL(IF((Expenses!E$3:E$1002="GBP")*(Expenses!A$3:A$1002=DATE(2026,9,27)),ROW(Expenses!A$3:A$1002)-2),2)),0)+IFERROR(INDEX(Income!C$3:C$502,SMALL(IF((Income!D$3:D$502="GBP")*(Income!A$3:A$502=DATE(2026,9,27)),ROW(Income!A$3:A$502)-2),2)),0)=0,"",IFERROR(-INDEX(Expenses!D$3:D$1002,SMALL(IF((Expenses!E$3:E$1002="GBP")*(Expenses!A$3:A$1002=DATE(2026,9,27)),ROW(Expenses!A$3:A$1002)-2),2)),0)+IFERROR(INDEX(Income!C$3:C$502,SMALL(IF((Income!D$3:D$502="GBP")*(Income!A$3:A$502=DATE(2026,9,27)),ROW(Income!A$3:A$502)-2),2)),0))</f>
        <v/>
      </c>
      <c r="P195" s="38" t="str">
        <f aca="false">IF(IFERROR(INDEX(Expenses!B$3:B$1002,SMALL(IF((Expenses!E$3:E$1002="GBP")*(Expenses!A$3:A$1002=DATE(2026,9,27)),ROW(Expenses!A$3:A$1002)-2),2)),"")&lt;&gt;"",IFERROR(INDEX(Expenses!B$3:B$1002,SMALL(IF((Expenses!E$3:E$1002="GBP")*(Expenses!A$3:A$1002=DATE(2026,9,27)),ROW(Expenses!A$3:A$1002)-2),2)),""),IF(IFERROR(INDEX(Income!B$3:B$502,SMALL(IF((Income!D$3:D$502="GBP")*(Income!A$3:A$502=DATE(2026,9,27)),ROW(Income!A$3:A$502)-2),2)),"")&lt;&gt;"",IFERROR(INDEX(Income!B$3:B$502,SMALL(IF((Income!D$3:D$502="GBP")*(Income!A$3:A$502=DATE(2026,9,27)),ROW(Income!A$3:A$502)-2),2)),""),""))</f>
        <v/>
      </c>
      <c r="Q195" s="16"/>
      <c r="R195" s="16"/>
    </row>
    <row r="196" customFormat="false" ht="15" hidden="false" customHeight="false" outlineLevel="0" collapsed="false">
      <c r="A196" s="16"/>
      <c r="B196" s="16"/>
      <c r="C196" s="62" t="str">
        <f aca="false">IF(IFERROR(-INDEX(Expenses!D$3:D$1002,SMALL(IF((Expenses!E$3:E$1002="GBP")*(Expenses!A$3:A$1002=DATE(2026,9,21)),ROW(Expenses!A$3:A$1002)-2),3)),0)+IFERROR(INDEX(Income!C$3:C$502,SMALL(IF((Income!D$3:D$502="GBP")*(Income!A$3:A$502=DATE(2026,9,21)),ROW(Income!A$3:A$502)-2),3)),0)=0,"",IFERROR(-INDEX(Expenses!D$3:D$1002,SMALL(IF((Expenses!E$3:E$1002="GBP")*(Expenses!A$3:A$1002=DATE(2026,9,21)),ROW(Expenses!A$3:A$1002)-2),3)),0)+IFERROR(INDEX(Income!C$3:C$502,SMALL(IF((Income!D$3:D$502="GBP")*(Income!A$3:A$502=DATE(2026,9,21)),ROW(Income!A$3:A$502)-2),3)),0))</f>
        <v/>
      </c>
      <c r="D196" s="38" t="str">
        <f aca="false">IF(IFERROR(INDEX(Expenses!B$3:B$1002,SMALL(IF((Expenses!E$3:E$1002="GBP")*(Expenses!A$3:A$1002=DATE(2026,9,21)),ROW(Expenses!A$3:A$1002)-2),3)),"")&lt;&gt;"",IFERROR(INDEX(Expenses!B$3:B$1002,SMALL(IF((Expenses!E$3:E$1002="GBP")*(Expenses!A$3:A$1002=DATE(2026,9,21)),ROW(Expenses!A$3:A$1002)-2),3)),""),IF(IFERROR(INDEX(Income!B$3:B$502,SMALL(IF((Income!D$3:D$502="GBP")*(Income!A$3:A$502=DATE(2026,9,21)),ROW(Income!A$3:A$502)-2),3)),"")&lt;&gt;"",IFERROR(INDEX(Income!B$3:B$502,SMALL(IF((Income!D$3:D$502="GBP")*(Income!A$3:A$502=DATE(2026,9,21)),ROW(Income!A$3:A$502)-2),3)),""),""))</f>
        <v/>
      </c>
      <c r="E196" s="62" t="str">
        <f aca="false">IF(IFERROR(-INDEX(Expenses!D$3:D$1002,SMALL(IF((Expenses!E$3:E$1002="GBP")*(Expenses!A$3:A$1002=DATE(2026,9,22)),ROW(Expenses!A$3:A$1002)-2),3)),0)+IFERROR(INDEX(Income!C$3:C$502,SMALL(IF((Income!D$3:D$502="GBP")*(Income!A$3:A$502=DATE(2026,9,22)),ROW(Income!A$3:A$502)-2),3)),0)=0,"",IFERROR(-INDEX(Expenses!D$3:D$1002,SMALL(IF((Expenses!E$3:E$1002="GBP")*(Expenses!A$3:A$1002=DATE(2026,9,22)),ROW(Expenses!A$3:A$1002)-2),3)),0)+IFERROR(INDEX(Income!C$3:C$502,SMALL(IF((Income!D$3:D$502="GBP")*(Income!A$3:A$502=DATE(2026,9,22)),ROW(Income!A$3:A$502)-2),3)),0))</f>
        <v/>
      </c>
      <c r="F196" s="38" t="str">
        <f aca="false">IF(IFERROR(INDEX(Expenses!B$3:B$1002,SMALL(IF((Expenses!E$3:E$1002="GBP")*(Expenses!A$3:A$1002=DATE(2026,9,22)),ROW(Expenses!A$3:A$1002)-2),3)),"")&lt;&gt;"",IFERROR(INDEX(Expenses!B$3:B$1002,SMALL(IF((Expenses!E$3:E$1002="GBP")*(Expenses!A$3:A$1002=DATE(2026,9,22)),ROW(Expenses!A$3:A$1002)-2),3)),""),IF(IFERROR(INDEX(Income!B$3:B$502,SMALL(IF((Income!D$3:D$502="GBP")*(Income!A$3:A$502=DATE(2026,9,22)),ROW(Income!A$3:A$502)-2),3)),"")&lt;&gt;"",IFERROR(INDEX(Income!B$3:B$502,SMALL(IF((Income!D$3:D$502="GBP")*(Income!A$3:A$502=DATE(2026,9,22)),ROW(Income!A$3:A$502)-2),3)),""),""))</f>
        <v/>
      </c>
      <c r="G196" s="62" t="str">
        <f aca="false">IF(IFERROR(-INDEX(Expenses!D$3:D$1002,SMALL(IF((Expenses!E$3:E$1002="GBP")*(Expenses!A$3:A$1002=DATE(2026,9,23)),ROW(Expenses!A$3:A$1002)-2),3)),0)+IFERROR(INDEX(Income!C$3:C$502,SMALL(IF((Income!D$3:D$502="GBP")*(Income!A$3:A$502=DATE(2026,9,23)),ROW(Income!A$3:A$502)-2),3)),0)=0,"",IFERROR(-INDEX(Expenses!D$3:D$1002,SMALL(IF((Expenses!E$3:E$1002="GBP")*(Expenses!A$3:A$1002=DATE(2026,9,23)),ROW(Expenses!A$3:A$1002)-2),3)),0)+IFERROR(INDEX(Income!C$3:C$502,SMALL(IF((Income!D$3:D$502="GBP")*(Income!A$3:A$502=DATE(2026,9,23)),ROW(Income!A$3:A$502)-2),3)),0))</f>
        <v/>
      </c>
      <c r="H196" s="38" t="str">
        <f aca="false">IF(IFERROR(INDEX(Expenses!B$3:B$1002,SMALL(IF((Expenses!E$3:E$1002="GBP")*(Expenses!A$3:A$1002=DATE(2026,9,23)),ROW(Expenses!A$3:A$1002)-2),3)),"")&lt;&gt;"",IFERROR(INDEX(Expenses!B$3:B$1002,SMALL(IF((Expenses!E$3:E$1002="GBP")*(Expenses!A$3:A$1002=DATE(2026,9,23)),ROW(Expenses!A$3:A$1002)-2),3)),""),IF(IFERROR(INDEX(Income!B$3:B$502,SMALL(IF((Income!D$3:D$502="GBP")*(Income!A$3:A$502=DATE(2026,9,23)),ROW(Income!A$3:A$502)-2),3)),"")&lt;&gt;"",IFERROR(INDEX(Income!B$3:B$502,SMALL(IF((Income!D$3:D$502="GBP")*(Income!A$3:A$502=DATE(2026,9,23)),ROW(Income!A$3:A$502)-2),3)),""),""))</f>
        <v/>
      </c>
      <c r="I196" s="62" t="str">
        <f aca="false">IF(IFERROR(-INDEX(Expenses!D$3:D$1002,SMALL(IF((Expenses!E$3:E$1002="GBP")*(Expenses!A$3:A$1002=DATE(2026,9,24)),ROW(Expenses!A$3:A$1002)-2),3)),0)+IFERROR(INDEX(Income!C$3:C$502,SMALL(IF((Income!D$3:D$502="GBP")*(Income!A$3:A$502=DATE(2026,9,24)),ROW(Income!A$3:A$502)-2),3)),0)=0,"",IFERROR(-INDEX(Expenses!D$3:D$1002,SMALL(IF((Expenses!E$3:E$1002="GBP")*(Expenses!A$3:A$1002=DATE(2026,9,24)),ROW(Expenses!A$3:A$1002)-2),3)),0)+IFERROR(INDEX(Income!C$3:C$502,SMALL(IF((Income!D$3:D$502="GBP")*(Income!A$3:A$502=DATE(2026,9,24)),ROW(Income!A$3:A$502)-2),3)),0))</f>
        <v/>
      </c>
      <c r="J196" s="38" t="str">
        <f aca="false">IF(IFERROR(INDEX(Expenses!B$3:B$1002,SMALL(IF((Expenses!E$3:E$1002="GBP")*(Expenses!A$3:A$1002=DATE(2026,9,24)),ROW(Expenses!A$3:A$1002)-2),3)),"")&lt;&gt;"",IFERROR(INDEX(Expenses!B$3:B$1002,SMALL(IF((Expenses!E$3:E$1002="GBP")*(Expenses!A$3:A$1002=DATE(2026,9,24)),ROW(Expenses!A$3:A$1002)-2),3)),""),IF(IFERROR(INDEX(Income!B$3:B$502,SMALL(IF((Income!D$3:D$502="GBP")*(Income!A$3:A$502=DATE(2026,9,24)),ROW(Income!A$3:A$502)-2),3)),"")&lt;&gt;"",IFERROR(INDEX(Income!B$3:B$502,SMALL(IF((Income!D$3:D$502="GBP")*(Income!A$3:A$502=DATE(2026,9,24)),ROW(Income!A$3:A$502)-2),3)),""),""))</f>
        <v/>
      </c>
      <c r="K196" s="62" t="str">
        <f aca="false">IF(IFERROR(-INDEX(Expenses!D$3:D$1002,SMALL(IF((Expenses!E$3:E$1002="GBP")*(Expenses!A$3:A$1002=DATE(2026,9,25)),ROW(Expenses!A$3:A$1002)-2),3)),0)+IFERROR(INDEX(Income!C$3:C$502,SMALL(IF((Income!D$3:D$502="GBP")*(Income!A$3:A$502=DATE(2026,9,25)),ROW(Income!A$3:A$502)-2),3)),0)=0,"",IFERROR(-INDEX(Expenses!D$3:D$1002,SMALL(IF((Expenses!E$3:E$1002="GBP")*(Expenses!A$3:A$1002=DATE(2026,9,25)),ROW(Expenses!A$3:A$1002)-2),3)),0)+IFERROR(INDEX(Income!C$3:C$502,SMALL(IF((Income!D$3:D$502="GBP")*(Income!A$3:A$502=DATE(2026,9,25)),ROW(Income!A$3:A$502)-2),3)),0))</f>
        <v/>
      </c>
      <c r="L196" s="38" t="str">
        <f aca="false">IF(IFERROR(INDEX(Expenses!B$3:B$1002,SMALL(IF((Expenses!E$3:E$1002="GBP")*(Expenses!A$3:A$1002=DATE(2026,9,25)),ROW(Expenses!A$3:A$1002)-2),3)),"")&lt;&gt;"",IFERROR(INDEX(Expenses!B$3:B$1002,SMALL(IF((Expenses!E$3:E$1002="GBP")*(Expenses!A$3:A$1002=DATE(2026,9,25)),ROW(Expenses!A$3:A$1002)-2),3)),""),IF(IFERROR(INDEX(Income!B$3:B$502,SMALL(IF((Income!D$3:D$502="GBP")*(Income!A$3:A$502=DATE(2026,9,25)),ROW(Income!A$3:A$502)-2),3)),"")&lt;&gt;"",IFERROR(INDEX(Income!B$3:B$502,SMALL(IF((Income!D$3:D$502="GBP")*(Income!A$3:A$502=DATE(2026,9,25)),ROW(Income!A$3:A$502)-2),3)),""),""))</f>
        <v/>
      </c>
      <c r="M196" s="62" t="str">
        <f aca="false">IF(IFERROR(-INDEX(Expenses!D$3:D$1002,SMALL(IF((Expenses!E$3:E$1002="GBP")*(Expenses!A$3:A$1002=DATE(2026,9,26)),ROW(Expenses!A$3:A$1002)-2),3)),0)+IFERROR(INDEX(Income!C$3:C$502,SMALL(IF((Income!D$3:D$502="GBP")*(Income!A$3:A$502=DATE(2026,9,26)),ROW(Income!A$3:A$502)-2),3)),0)=0,"",IFERROR(-INDEX(Expenses!D$3:D$1002,SMALL(IF((Expenses!E$3:E$1002="GBP")*(Expenses!A$3:A$1002=DATE(2026,9,26)),ROW(Expenses!A$3:A$1002)-2),3)),0)+IFERROR(INDEX(Income!C$3:C$502,SMALL(IF((Income!D$3:D$502="GBP")*(Income!A$3:A$502=DATE(2026,9,26)),ROW(Income!A$3:A$502)-2),3)),0))</f>
        <v/>
      </c>
      <c r="N196" s="38" t="str">
        <f aca="false">IF(IFERROR(INDEX(Expenses!B$3:B$1002,SMALL(IF((Expenses!E$3:E$1002="GBP")*(Expenses!A$3:A$1002=DATE(2026,9,26)),ROW(Expenses!A$3:A$1002)-2),3)),"")&lt;&gt;"",IFERROR(INDEX(Expenses!B$3:B$1002,SMALL(IF((Expenses!E$3:E$1002="GBP")*(Expenses!A$3:A$1002=DATE(2026,9,26)),ROW(Expenses!A$3:A$1002)-2),3)),""),IF(IFERROR(INDEX(Income!B$3:B$502,SMALL(IF((Income!D$3:D$502="GBP")*(Income!A$3:A$502=DATE(2026,9,26)),ROW(Income!A$3:A$502)-2),3)),"")&lt;&gt;"",IFERROR(INDEX(Income!B$3:B$502,SMALL(IF((Income!D$3:D$502="GBP")*(Income!A$3:A$502=DATE(2026,9,26)),ROW(Income!A$3:A$502)-2),3)),""),""))</f>
        <v/>
      </c>
      <c r="O196" s="62" t="str">
        <f aca="false">IF(IFERROR(-INDEX(Expenses!D$3:D$1002,SMALL(IF((Expenses!E$3:E$1002="GBP")*(Expenses!A$3:A$1002=DATE(2026,9,27)),ROW(Expenses!A$3:A$1002)-2),3)),0)+IFERROR(INDEX(Income!C$3:C$502,SMALL(IF((Income!D$3:D$502="GBP")*(Income!A$3:A$502=DATE(2026,9,27)),ROW(Income!A$3:A$502)-2),3)),0)=0,"",IFERROR(-INDEX(Expenses!D$3:D$1002,SMALL(IF((Expenses!E$3:E$1002="GBP")*(Expenses!A$3:A$1002=DATE(2026,9,27)),ROW(Expenses!A$3:A$1002)-2),3)),0)+IFERROR(INDEX(Income!C$3:C$502,SMALL(IF((Income!D$3:D$502="GBP")*(Income!A$3:A$502=DATE(2026,9,27)),ROW(Income!A$3:A$502)-2),3)),0))</f>
        <v/>
      </c>
      <c r="P196" s="38" t="str">
        <f aca="false">IF(IFERROR(INDEX(Expenses!B$3:B$1002,SMALL(IF((Expenses!E$3:E$1002="GBP")*(Expenses!A$3:A$1002=DATE(2026,9,27)),ROW(Expenses!A$3:A$1002)-2),3)),"")&lt;&gt;"",IFERROR(INDEX(Expenses!B$3:B$1002,SMALL(IF((Expenses!E$3:E$1002="GBP")*(Expenses!A$3:A$1002=DATE(2026,9,27)),ROW(Expenses!A$3:A$1002)-2),3)),""),IF(IFERROR(INDEX(Income!B$3:B$502,SMALL(IF((Income!D$3:D$502="GBP")*(Income!A$3:A$502=DATE(2026,9,27)),ROW(Income!A$3:A$502)-2),3)),"")&lt;&gt;"",IFERROR(INDEX(Income!B$3:B$502,SMALL(IF((Income!D$3:D$502="GBP")*(Income!A$3:A$502=DATE(2026,9,27)),ROW(Income!A$3:A$502)-2),3)),""),""))</f>
        <v/>
      </c>
      <c r="Q196" s="16"/>
      <c r="R196" s="16"/>
    </row>
    <row r="197" customFormat="false" ht="15" hidden="false" customHeight="false" outlineLevel="0" collapsed="false">
      <c r="A197" s="16"/>
      <c r="B197" s="16"/>
      <c r="C197" s="62" t="str">
        <f aca="false">IF(IFERROR(-INDEX(Expenses!D$3:D$1002,SMALL(IF((Expenses!E$3:E$1002="GBP")*(Expenses!A$3:A$1002=DATE(2026,9,21)),ROW(Expenses!A$3:A$1002)-2),4)),0)+IFERROR(INDEX(Income!C$3:C$502,SMALL(IF((Income!D$3:D$502="GBP")*(Income!A$3:A$502=DATE(2026,9,21)),ROW(Income!A$3:A$502)-2),4)),0)=0,"",IFERROR(-INDEX(Expenses!D$3:D$1002,SMALL(IF((Expenses!E$3:E$1002="GBP")*(Expenses!A$3:A$1002=DATE(2026,9,21)),ROW(Expenses!A$3:A$1002)-2),4)),0)+IFERROR(INDEX(Income!C$3:C$502,SMALL(IF((Income!D$3:D$502="GBP")*(Income!A$3:A$502=DATE(2026,9,21)),ROW(Income!A$3:A$502)-2),4)),0))</f>
        <v/>
      </c>
      <c r="D197" s="38" t="str">
        <f aca="false">IF(IFERROR(INDEX(Expenses!B$3:B$1002,SMALL(IF((Expenses!E$3:E$1002="GBP")*(Expenses!A$3:A$1002=DATE(2026,9,21)),ROW(Expenses!A$3:A$1002)-2),4)),"")&lt;&gt;"",IFERROR(INDEX(Expenses!B$3:B$1002,SMALL(IF((Expenses!E$3:E$1002="GBP")*(Expenses!A$3:A$1002=DATE(2026,9,21)),ROW(Expenses!A$3:A$1002)-2),4)),""),IF(IFERROR(INDEX(Income!B$3:B$502,SMALL(IF((Income!D$3:D$502="GBP")*(Income!A$3:A$502=DATE(2026,9,21)),ROW(Income!A$3:A$502)-2),4)),"")&lt;&gt;"",IFERROR(INDEX(Income!B$3:B$502,SMALL(IF((Income!D$3:D$502="GBP")*(Income!A$3:A$502=DATE(2026,9,21)),ROW(Income!A$3:A$502)-2),4)),""),""))</f>
        <v/>
      </c>
      <c r="E197" s="62" t="str">
        <f aca="false">IF(IFERROR(-INDEX(Expenses!D$3:D$1002,SMALL(IF((Expenses!E$3:E$1002="GBP")*(Expenses!A$3:A$1002=DATE(2026,9,22)),ROW(Expenses!A$3:A$1002)-2),4)),0)+IFERROR(INDEX(Income!C$3:C$502,SMALL(IF((Income!D$3:D$502="GBP")*(Income!A$3:A$502=DATE(2026,9,22)),ROW(Income!A$3:A$502)-2),4)),0)=0,"",IFERROR(-INDEX(Expenses!D$3:D$1002,SMALL(IF((Expenses!E$3:E$1002="GBP")*(Expenses!A$3:A$1002=DATE(2026,9,22)),ROW(Expenses!A$3:A$1002)-2),4)),0)+IFERROR(INDEX(Income!C$3:C$502,SMALL(IF((Income!D$3:D$502="GBP")*(Income!A$3:A$502=DATE(2026,9,22)),ROW(Income!A$3:A$502)-2),4)),0))</f>
        <v/>
      </c>
      <c r="F197" s="38" t="str">
        <f aca="false">IF(IFERROR(INDEX(Expenses!B$3:B$1002,SMALL(IF((Expenses!E$3:E$1002="GBP")*(Expenses!A$3:A$1002=DATE(2026,9,22)),ROW(Expenses!A$3:A$1002)-2),4)),"")&lt;&gt;"",IFERROR(INDEX(Expenses!B$3:B$1002,SMALL(IF((Expenses!E$3:E$1002="GBP")*(Expenses!A$3:A$1002=DATE(2026,9,22)),ROW(Expenses!A$3:A$1002)-2),4)),""),IF(IFERROR(INDEX(Income!B$3:B$502,SMALL(IF((Income!D$3:D$502="GBP")*(Income!A$3:A$502=DATE(2026,9,22)),ROW(Income!A$3:A$502)-2),4)),"")&lt;&gt;"",IFERROR(INDEX(Income!B$3:B$502,SMALL(IF((Income!D$3:D$502="GBP")*(Income!A$3:A$502=DATE(2026,9,22)),ROW(Income!A$3:A$502)-2),4)),""),""))</f>
        <v/>
      </c>
      <c r="G197" s="62" t="str">
        <f aca="false">IF(IFERROR(-INDEX(Expenses!D$3:D$1002,SMALL(IF((Expenses!E$3:E$1002="GBP")*(Expenses!A$3:A$1002=DATE(2026,9,23)),ROW(Expenses!A$3:A$1002)-2),4)),0)+IFERROR(INDEX(Income!C$3:C$502,SMALL(IF((Income!D$3:D$502="GBP")*(Income!A$3:A$502=DATE(2026,9,23)),ROW(Income!A$3:A$502)-2),4)),0)=0,"",IFERROR(-INDEX(Expenses!D$3:D$1002,SMALL(IF((Expenses!E$3:E$1002="GBP")*(Expenses!A$3:A$1002=DATE(2026,9,23)),ROW(Expenses!A$3:A$1002)-2),4)),0)+IFERROR(INDEX(Income!C$3:C$502,SMALL(IF((Income!D$3:D$502="GBP")*(Income!A$3:A$502=DATE(2026,9,23)),ROW(Income!A$3:A$502)-2),4)),0))</f>
        <v/>
      </c>
      <c r="H197" s="38" t="str">
        <f aca="false">IF(IFERROR(INDEX(Expenses!B$3:B$1002,SMALL(IF((Expenses!E$3:E$1002="GBP")*(Expenses!A$3:A$1002=DATE(2026,9,23)),ROW(Expenses!A$3:A$1002)-2),4)),"")&lt;&gt;"",IFERROR(INDEX(Expenses!B$3:B$1002,SMALL(IF((Expenses!E$3:E$1002="GBP")*(Expenses!A$3:A$1002=DATE(2026,9,23)),ROW(Expenses!A$3:A$1002)-2),4)),""),IF(IFERROR(INDEX(Income!B$3:B$502,SMALL(IF((Income!D$3:D$502="GBP")*(Income!A$3:A$502=DATE(2026,9,23)),ROW(Income!A$3:A$502)-2),4)),"")&lt;&gt;"",IFERROR(INDEX(Income!B$3:B$502,SMALL(IF((Income!D$3:D$502="GBP")*(Income!A$3:A$502=DATE(2026,9,23)),ROW(Income!A$3:A$502)-2),4)),""),""))</f>
        <v/>
      </c>
      <c r="I197" s="62" t="str">
        <f aca="false">IF(IFERROR(-INDEX(Expenses!D$3:D$1002,SMALL(IF((Expenses!E$3:E$1002="GBP")*(Expenses!A$3:A$1002=DATE(2026,9,24)),ROW(Expenses!A$3:A$1002)-2),4)),0)+IFERROR(INDEX(Income!C$3:C$502,SMALL(IF((Income!D$3:D$502="GBP")*(Income!A$3:A$502=DATE(2026,9,24)),ROW(Income!A$3:A$502)-2),4)),0)=0,"",IFERROR(-INDEX(Expenses!D$3:D$1002,SMALL(IF((Expenses!E$3:E$1002="GBP")*(Expenses!A$3:A$1002=DATE(2026,9,24)),ROW(Expenses!A$3:A$1002)-2),4)),0)+IFERROR(INDEX(Income!C$3:C$502,SMALL(IF((Income!D$3:D$502="GBP")*(Income!A$3:A$502=DATE(2026,9,24)),ROW(Income!A$3:A$502)-2),4)),0))</f>
        <v/>
      </c>
      <c r="J197" s="38" t="str">
        <f aca="false">IF(IFERROR(INDEX(Expenses!B$3:B$1002,SMALL(IF((Expenses!E$3:E$1002="GBP")*(Expenses!A$3:A$1002=DATE(2026,9,24)),ROW(Expenses!A$3:A$1002)-2),4)),"")&lt;&gt;"",IFERROR(INDEX(Expenses!B$3:B$1002,SMALL(IF((Expenses!E$3:E$1002="GBP")*(Expenses!A$3:A$1002=DATE(2026,9,24)),ROW(Expenses!A$3:A$1002)-2),4)),""),IF(IFERROR(INDEX(Income!B$3:B$502,SMALL(IF((Income!D$3:D$502="GBP")*(Income!A$3:A$502=DATE(2026,9,24)),ROW(Income!A$3:A$502)-2),4)),"")&lt;&gt;"",IFERROR(INDEX(Income!B$3:B$502,SMALL(IF((Income!D$3:D$502="GBP")*(Income!A$3:A$502=DATE(2026,9,24)),ROW(Income!A$3:A$502)-2),4)),""),""))</f>
        <v/>
      </c>
      <c r="K197" s="62" t="str">
        <f aca="false">IF(IFERROR(-INDEX(Expenses!D$3:D$1002,SMALL(IF((Expenses!E$3:E$1002="GBP")*(Expenses!A$3:A$1002=DATE(2026,9,25)),ROW(Expenses!A$3:A$1002)-2),4)),0)+IFERROR(INDEX(Income!C$3:C$502,SMALL(IF((Income!D$3:D$502="GBP")*(Income!A$3:A$502=DATE(2026,9,25)),ROW(Income!A$3:A$502)-2),4)),0)=0,"",IFERROR(-INDEX(Expenses!D$3:D$1002,SMALL(IF((Expenses!E$3:E$1002="GBP")*(Expenses!A$3:A$1002=DATE(2026,9,25)),ROW(Expenses!A$3:A$1002)-2),4)),0)+IFERROR(INDEX(Income!C$3:C$502,SMALL(IF((Income!D$3:D$502="GBP")*(Income!A$3:A$502=DATE(2026,9,25)),ROW(Income!A$3:A$502)-2),4)),0))</f>
        <v/>
      </c>
      <c r="L197" s="38" t="str">
        <f aca="false">IF(IFERROR(INDEX(Expenses!B$3:B$1002,SMALL(IF((Expenses!E$3:E$1002="GBP")*(Expenses!A$3:A$1002=DATE(2026,9,25)),ROW(Expenses!A$3:A$1002)-2),4)),"")&lt;&gt;"",IFERROR(INDEX(Expenses!B$3:B$1002,SMALL(IF((Expenses!E$3:E$1002="GBP")*(Expenses!A$3:A$1002=DATE(2026,9,25)),ROW(Expenses!A$3:A$1002)-2),4)),""),IF(IFERROR(INDEX(Income!B$3:B$502,SMALL(IF((Income!D$3:D$502="GBP")*(Income!A$3:A$502=DATE(2026,9,25)),ROW(Income!A$3:A$502)-2),4)),"")&lt;&gt;"",IFERROR(INDEX(Income!B$3:B$502,SMALL(IF((Income!D$3:D$502="GBP")*(Income!A$3:A$502=DATE(2026,9,25)),ROW(Income!A$3:A$502)-2),4)),""),""))</f>
        <v/>
      </c>
      <c r="M197" s="62" t="str">
        <f aca="false">IF(IFERROR(-INDEX(Expenses!D$3:D$1002,SMALL(IF((Expenses!E$3:E$1002="GBP")*(Expenses!A$3:A$1002=DATE(2026,9,26)),ROW(Expenses!A$3:A$1002)-2),4)),0)+IFERROR(INDEX(Income!C$3:C$502,SMALL(IF((Income!D$3:D$502="GBP")*(Income!A$3:A$502=DATE(2026,9,26)),ROW(Income!A$3:A$502)-2),4)),0)=0,"",IFERROR(-INDEX(Expenses!D$3:D$1002,SMALL(IF((Expenses!E$3:E$1002="GBP")*(Expenses!A$3:A$1002=DATE(2026,9,26)),ROW(Expenses!A$3:A$1002)-2),4)),0)+IFERROR(INDEX(Income!C$3:C$502,SMALL(IF((Income!D$3:D$502="GBP")*(Income!A$3:A$502=DATE(2026,9,26)),ROW(Income!A$3:A$502)-2),4)),0))</f>
        <v/>
      </c>
      <c r="N197" s="38" t="str">
        <f aca="false">IF(IFERROR(INDEX(Expenses!B$3:B$1002,SMALL(IF((Expenses!E$3:E$1002="GBP")*(Expenses!A$3:A$1002=DATE(2026,9,26)),ROW(Expenses!A$3:A$1002)-2),4)),"")&lt;&gt;"",IFERROR(INDEX(Expenses!B$3:B$1002,SMALL(IF((Expenses!E$3:E$1002="GBP")*(Expenses!A$3:A$1002=DATE(2026,9,26)),ROW(Expenses!A$3:A$1002)-2),4)),""),IF(IFERROR(INDEX(Income!B$3:B$502,SMALL(IF((Income!D$3:D$502="GBP")*(Income!A$3:A$502=DATE(2026,9,26)),ROW(Income!A$3:A$502)-2),4)),"")&lt;&gt;"",IFERROR(INDEX(Income!B$3:B$502,SMALL(IF((Income!D$3:D$502="GBP")*(Income!A$3:A$502=DATE(2026,9,26)),ROW(Income!A$3:A$502)-2),4)),""),""))</f>
        <v/>
      </c>
      <c r="O197" s="62" t="str">
        <f aca="false">IF(IFERROR(-INDEX(Expenses!D$3:D$1002,SMALL(IF((Expenses!E$3:E$1002="GBP")*(Expenses!A$3:A$1002=DATE(2026,9,27)),ROW(Expenses!A$3:A$1002)-2),4)),0)+IFERROR(INDEX(Income!C$3:C$502,SMALL(IF((Income!D$3:D$502="GBP")*(Income!A$3:A$502=DATE(2026,9,27)),ROW(Income!A$3:A$502)-2),4)),0)=0,"",IFERROR(-INDEX(Expenses!D$3:D$1002,SMALL(IF((Expenses!E$3:E$1002="GBP")*(Expenses!A$3:A$1002=DATE(2026,9,27)),ROW(Expenses!A$3:A$1002)-2),4)),0)+IFERROR(INDEX(Income!C$3:C$502,SMALL(IF((Income!D$3:D$502="GBP")*(Income!A$3:A$502=DATE(2026,9,27)),ROW(Income!A$3:A$502)-2),4)),0))</f>
        <v/>
      </c>
      <c r="P197" s="38" t="str">
        <f aca="false">IF(IFERROR(INDEX(Expenses!B$3:B$1002,SMALL(IF((Expenses!E$3:E$1002="GBP")*(Expenses!A$3:A$1002=DATE(2026,9,27)),ROW(Expenses!A$3:A$1002)-2),4)),"")&lt;&gt;"",IFERROR(INDEX(Expenses!B$3:B$1002,SMALL(IF((Expenses!E$3:E$1002="GBP")*(Expenses!A$3:A$1002=DATE(2026,9,27)),ROW(Expenses!A$3:A$1002)-2),4)),""),IF(IFERROR(INDEX(Income!B$3:B$502,SMALL(IF((Income!D$3:D$502="GBP")*(Income!A$3:A$502=DATE(2026,9,27)),ROW(Income!A$3:A$502)-2),4)),"")&lt;&gt;"",IFERROR(INDEX(Income!B$3:B$502,SMALL(IF((Income!D$3:D$502="GBP")*(Income!A$3:A$502=DATE(2026,9,27)),ROW(Income!A$3:A$502)-2),4)),""),""))</f>
        <v/>
      </c>
      <c r="Q197" s="16"/>
      <c r="R197" s="16"/>
    </row>
    <row r="198" customFormat="false" ht="15" hidden="false" customHeight="false" outlineLevel="0" collapsed="false">
      <c r="A198" s="16"/>
      <c r="B198" s="16"/>
      <c r="C198" s="62" t="str">
        <f aca="false">IF(IFERROR(-INDEX(Expenses!D$3:D$1002,SMALL(IF((Expenses!E$3:E$1002="GBP")*(Expenses!A$3:A$1002=DATE(2026,9,21)),ROW(Expenses!A$3:A$1002)-2),5)),0)+IFERROR(INDEX(Income!C$3:C$502,SMALL(IF((Income!D$3:D$502="GBP")*(Income!A$3:A$502=DATE(2026,9,21)),ROW(Income!A$3:A$502)-2),5)),0)=0,"",IFERROR(-INDEX(Expenses!D$3:D$1002,SMALL(IF((Expenses!E$3:E$1002="GBP")*(Expenses!A$3:A$1002=DATE(2026,9,21)),ROW(Expenses!A$3:A$1002)-2),5)),0)+IFERROR(INDEX(Income!C$3:C$502,SMALL(IF((Income!D$3:D$502="GBP")*(Income!A$3:A$502=DATE(2026,9,21)),ROW(Income!A$3:A$502)-2),5)),0))</f>
        <v/>
      </c>
      <c r="D198" s="38" t="str">
        <f aca="false">IF(IFERROR(INDEX(Expenses!B$3:B$1002,SMALL(IF((Expenses!E$3:E$1002="GBP")*(Expenses!A$3:A$1002=DATE(2026,9,21)),ROW(Expenses!A$3:A$1002)-2),5)),"")&lt;&gt;"",IFERROR(INDEX(Expenses!B$3:B$1002,SMALL(IF((Expenses!E$3:E$1002="GBP")*(Expenses!A$3:A$1002=DATE(2026,9,21)),ROW(Expenses!A$3:A$1002)-2),5)),""),IF(IFERROR(INDEX(Income!B$3:B$502,SMALL(IF((Income!D$3:D$502="GBP")*(Income!A$3:A$502=DATE(2026,9,21)),ROW(Income!A$3:A$502)-2),5)),"")&lt;&gt;"",IFERROR(INDEX(Income!B$3:B$502,SMALL(IF((Income!D$3:D$502="GBP")*(Income!A$3:A$502=DATE(2026,9,21)),ROW(Income!A$3:A$502)-2),5)),""),""))</f>
        <v/>
      </c>
      <c r="E198" s="62" t="str">
        <f aca="false">IF(IFERROR(-INDEX(Expenses!D$3:D$1002,SMALL(IF((Expenses!E$3:E$1002="GBP")*(Expenses!A$3:A$1002=DATE(2026,9,22)),ROW(Expenses!A$3:A$1002)-2),5)),0)+IFERROR(INDEX(Income!C$3:C$502,SMALL(IF((Income!D$3:D$502="GBP")*(Income!A$3:A$502=DATE(2026,9,22)),ROW(Income!A$3:A$502)-2),5)),0)=0,"",IFERROR(-INDEX(Expenses!D$3:D$1002,SMALL(IF((Expenses!E$3:E$1002="GBP")*(Expenses!A$3:A$1002=DATE(2026,9,22)),ROW(Expenses!A$3:A$1002)-2),5)),0)+IFERROR(INDEX(Income!C$3:C$502,SMALL(IF((Income!D$3:D$502="GBP")*(Income!A$3:A$502=DATE(2026,9,22)),ROW(Income!A$3:A$502)-2),5)),0))</f>
        <v/>
      </c>
      <c r="F198" s="38" t="str">
        <f aca="false">IF(IFERROR(INDEX(Expenses!B$3:B$1002,SMALL(IF((Expenses!E$3:E$1002="GBP")*(Expenses!A$3:A$1002=DATE(2026,9,22)),ROW(Expenses!A$3:A$1002)-2),5)),"")&lt;&gt;"",IFERROR(INDEX(Expenses!B$3:B$1002,SMALL(IF((Expenses!E$3:E$1002="GBP")*(Expenses!A$3:A$1002=DATE(2026,9,22)),ROW(Expenses!A$3:A$1002)-2),5)),""),IF(IFERROR(INDEX(Income!B$3:B$502,SMALL(IF((Income!D$3:D$502="GBP")*(Income!A$3:A$502=DATE(2026,9,22)),ROW(Income!A$3:A$502)-2),5)),"")&lt;&gt;"",IFERROR(INDEX(Income!B$3:B$502,SMALL(IF((Income!D$3:D$502="GBP")*(Income!A$3:A$502=DATE(2026,9,22)),ROW(Income!A$3:A$502)-2),5)),""),""))</f>
        <v/>
      </c>
      <c r="G198" s="62" t="str">
        <f aca="false">IF(IFERROR(-INDEX(Expenses!D$3:D$1002,SMALL(IF((Expenses!E$3:E$1002="GBP")*(Expenses!A$3:A$1002=DATE(2026,9,23)),ROW(Expenses!A$3:A$1002)-2),5)),0)+IFERROR(INDEX(Income!C$3:C$502,SMALL(IF((Income!D$3:D$502="GBP")*(Income!A$3:A$502=DATE(2026,9,23)),ROW(Income!A$3:A$502)-2),5)),0)=0,"",IFERROR(-INDEX(Expenses!D$3:D$1002,SMALL(IF((Expenses!E$3:E$1002="GBP")*(Expenses!A$3:A$1002=DATE(2026,9,23)),ROW(Expenses!A$3:A$1002)-2),5)),0)+IFERROR(INDEX(Income!C$3:C$502,SMALL(IF((Income!D$3:D$502="GBP")*(Income!A$3:A$502=DATE(2026,9,23)),ROW(Income!A$3:A$502)-2),5)),0))</f>
        <v/>
      </c>
      <c r="H198" s="38" t="str">
        <f aca="false">IF(IFERROR(INDEX(Expenses!B$3:B$1002,SMALL(IF((Expenses!E$3:E$1002="GBP")*(Expenses!A$3:A$1002=DATE(2026,9,23)),ROW(Expenses!A$3:A$1002)-2),5)),"")&lt;&gt;"",IFERROR(INDEX(Expenses!B$3:B$1002,SMALL(IF((Expenses!E$3:E$1002="GBP")*(Expenses!A$3:A$1002=DATE(2026,9,23)),ROW(Expenses!A$3:A$1002)-2),5)),""),IF(IFERROR(INDEX(Income!B$3:B$502,SMALL(IF((Income!D$3:D$502="GBP")*(Income!A$3:A$502=DATE(2026,9,23)),ROW(Income!A$3:A$502)-2),5)),"")&lt;&gt;"",IFERROR(INDEX(Income!B$3:B$502,SMALL(IF((Income!D$3:D$502="GBP")*(Income!A$3:A$502=DATE(2026,9,23)),ROW(Income!A$3:A$502)-2),5)),""),""))</f>
        <v/>
      </c>
      <c r="I198" s="62" t="str">
        <f aca="false">IF(IFERROR(-INDEX(Expenses!D$3:D$1002,SMALL(IF((Expenses!E$3:E$1002="GBP")*(Expenses!A$3:A$1002=DATE(2026,9,24)),ROW(Expenses!A$3:A$1002)-2),5)),0)+IFERROR(INDEX(Income!C$3:C$502,SMALL(IF((Income!D$3:D$502="GBP")*(Income!A$3:A$502=DATE(2026,9,24)),ROW(Income!A$3:A$502)-2),5)),0)=0,"",IFERROR(-INDEX(Expenses!D$3:D$1002,SMALL(IF((Expenses!E$3:E$1002="GBP")*(Expenses!A$3:A$1002=DATE(2026,9,24)),ROW(Expenses!A$3:A$1002)-2),5)),0)+IFERROR(INDEX(Income!C$3:C$502,SMALL(IF((Income!D$3:D$502="GBP")*(Income!A$3:A$502=DATE(2026,9,24)),ROW(Income!A$3:A$502)-2),5)),0))</f>
        <v/>
      </c>
      <c r="J198" s="38" t="str">
        <f aca="false">IF(IFERROR(INDEX(Expenses!B$3:B$1002,SMALL(IF((Expenses!E$3:E$1002="GBP")*(Expenses!A$3:A$1002=DATE(2026,9,24)),ROW(Expenses!A$3:A$1002)-2),5)),"")&lt;&gt;"",IFERROR(INDEX(Expenses!B$3:B$1002,SMALL(IF((Expenses!E$3:E$1002="GBP")*(Expenses!A$3:A$1002=DATE(2026,9,24)),ROW(Expenses!A$3:A$1002)-2),5)),""),IF(IFERROR(INDEX(Income!B$3:B$502,SMALL(IF((Income!D$3:D$502="GBP")*(Income!A$3:A$502=DATE(2026,9,24)),ROW(Income!A$3:A$502)-2),5)),"")&lt;&gt;"",IFERROR(INDEX(Income!B$3:B$502,SMALL(IF((Income!D$3:D$502="GBP")*(Income!A$3:A$502=DATE(2026,9,24)),ROW(Income!A$3:A$502)-2),5)),""),""))</f>
        <v/>
      </c>
      <c r="K198" s="62" t="str">
        <f aca="false">IF(IFERROR(-INDEX(Expenses!D$3:D$1002,SMALL(IF((Expenses!E$3:E$1002="GBP")*(Expenses!A$3:A$1002=DATE(2026,9,25)),ROW(Expenses!A$3:A$1002)-2),5)),0)+IFERROR(INDEX(Income!C$3:C$502,SMALL(IF((Income!D$3:D$502="GBP")*(Income!A$3:A$502=DATE(2026,9,25)),ROW(Income!A$3:A$502)-2),5)),0)=0,"",IFERROR(-INDEX(Expenses!D$3:D$1002,SMALL(IF((Expenses!E$3:E$1002="GBP")*(Expenses!A$3:A$1002=DATE(2026,9,25)),ROW(Expenses!A$3:A$1002)-2),5)),0)+IFERROR(INDEX(Income!C$3:C$502,SMALL(IF((Income!D$3:D$502="GBP")*(Income!A$3:A$502=DATE(2026,9,25)),ROW(Income!A$3:A$502)-2),5)),0))</f>
        <v/>
      </c>
      <c r="L198" s="38" t="str">
        <f aca="false">IF(IFERROR(INDEX(Expenses!B$3:B$1002,SMALL(IF((Expenses!E$3:E$1002="GBP")*(Expenses!A$3:A$1002=DATE(2026,9,25)),ROW(Expenses!A$3:A$1002)-2),5)),"")&lt;&gt;"",IFERROR(INDEX(Expenses!B$3:B$1002,SMALL(IF((Expenses!E$3:E$1002="GBP")*(Expenses!A$3:A$1002=DATE(2026,9,25)),ROW(Expenses!A$3:A$1002)-2),5)),""),IF(IFERROR(INDEX(Income!B$3:B$502,SMALL(IF((Income!D$3:D$502="GBP")*(Income!A$3:A$502=DATE(2026,9,25)),ROW(Income!A$3:A$502)-2),5)),"")&lt;&gt;"",IFERROR(INDEX(Income!B$3:B$502,SMALL(IF((Income!D$3:D$502="GBP")*(Income!A$3:A$502=DATE(2026,9,25)),ROW(Income!A$3:A$502)-2),5)),""),""))</f>
        <v/>
      </c>
      <c r="M198" s="62" t="str">
        <f aca="false">IF(IFERROR(-INDEX(Expenses!D$3:D$1002,SMALL(IF((Expenses!E$3:E$1002="GBP")*(Expenses!A$3:A$1002=DATE(2026,9,26)),ROW(Expenses!A$3:A$1002)-2),5)),0)+IFERROR(INDEX(Income!C$3:C$502,SMALL(IF((Income!D$3:D$502="GBP")*(Income!A$3:A$502=DATE(2026,9,26)),ROW(Income!A$3:A$502)-2),5)),0)=0,"",IFERROR(-INDEX(Expenses!D$3:D$1002,SMALL(IF((Expenses!E$3:E$1002="GBP")*(Expenses!A$3:A$1002=DATE(2026,9,26)),ROW(Expenses!A$3:A$1002)-2),5)),0)+IFERROR(INDEX(Income!C$3:C$502,SMALL(IF((Income!D$3:D$502="GBP")*(Income!A$3:A$502=DATE(2026,9,26)),ROW(Income!A$3:A$502)-2),5)),0))</f>
        <v/>
      </c>
      <c r="N198" s="38" t="str">
        <f aca="false">IF(IFERROR(INDEX(Expenses!B$3:B$1002,SMALL(IF((Expenses!E$3:E$1002="GBP")*(Expenses!A$3:A$1002=DATE(2026,9,26)),ROW(Expenses!A$3:A$1002)-2),5)),"")&lt;&gt;"",IFERROR(INDEX(Expenses!B$3:B$1002,SMALL(IF((Expenses!E$3:E$1002="GBP")*(Expenses!A$3:A$1002=DATE(2026,9,26)),ROW(Expenses!A$3:A$1002)-2),5)),""),IF(IFERROR(INDEX(Income!B$3:B$502,SMALL(IF((Income!D$3:D$502="GBP")*(Income!A$3:A$502=DATE(2026,9,26)),ROW(Income!A$3:A$502)-2),5)),"")&lt;&gt;"",IFERROR(INDEX(Income!B$3:B$502,SMALL(IF((Income!D$3:D$502="GBP")*(Income!A$3:A$502=DATE(2026,9,26)),ROW(Income!A$3:A$502)-2),5)),""),""))</f>
        <v/>
      </c>
      <c r="O198" s="62" t="str">
        <f aca="false">IF(IFERROR(-INDEX(Expenses!D$3:D$1002,SMALL(IF((Expenses!E$3:E$1002="GBP")*(Expenses!A$3:A$1002=DATE(2026,9,27)),ROW(Expenses!A$3:A$1002)-2),5)),0)+IFERROR(INDEX(Income!C$3:C$502,SMALL(IF((Income!D$3:D$502="GBP")*(Income!A$3:A$502=DATE(2026,9,27)),ROW(Income!A$3:A$502)-2),5)),0)=0,"",IFERROR(-INDEX(Expenses!D$3:D$1002,SMALL(IF((Expenses!E$3:E$1002="GBP")*(Expenses!A$3:A$1002=DATE(2026,9,27)),ROW(Expenses!A$3:A$1002)-2),5)),0)+IFERROR(INDEX(Income!C$3:C$502,SMALL(IF((Income!D$3:D$502="GBP")*(Income!A$3:A$502=DATE(2026,9,27)),ROW(Income!A$3:A$502)-2),5)),0))</f>
        <v/>
      </c>
      <c r="P198" s="38" t="str">
        <f aca="false">IF(IFERROR(INDEX(Expenses!B$3:B$1002,SMALL(IF((Expenses!E$3:E$1002="GBP")*(Expenses!A$3:A$1002=DATE(2026,9,27)),ROW(Expenses!A$3:A$1002)-2),5)),"")&lt;&gt;"",IFERROR(INDEX(Expenses!B$3:B$1002,SMALL(IF((Expenses!E$3:E$1002="GBP")*(Expenses!A$3:A$1002=DATE(2026,9,27)),ROW(Expenses!A$3:A$1002)-2),5)),""),IF(IFERROR(INDEX(Income!B$3:B$502,SMALL(IF((Income!D$3:D$502="GBP")*(Income!A$3:A$502=DATE(2026,9,27)),ROW(Income!A$3:A$502)-2),5)),"")&lt;&gt;"",IFERROR(INDEX(Income!B$3:B$502,SMALL(IF((Income!D$3:D$502="GBP")*(Income!A$3:A$502=DATE(2026,9,27)),ROW(Income!A$3:A$502)-2),5)),""),""))</f>
        <v/>
      </c>
      <c r="Q198" s="16"/>
      <c r="R198" s="16"/>
    </row>
    <row r="199" customFormat="false" ht="15" hidden="false" customHeight="false" outlineLevel="0" collapsed="false">
      <c r="A199" s="61" t="n">
        <v>46293</v>
      </c>
      <c r="B199" s="3" t="n">
        <v>40</v>
      </c>
      <c r="C199" s="62" t="str">
        <f aca="false">IF(IFERROR(-INDEX(Expenses!D$3:D$1002,SMALL(IF((Expenses!E$3:E$1002="GBP")*(Expenses!A$3:A$1002=DATE(2026,9,28)),ROW(Expenses!A$3:A$1002)-2),1)),0)+IFERROR(INDEX(Income!C$3:C$502,SMALL(IF((Income!D$3:D$502="GBP")*(Income!A$3:A$502=DATE(2026,9,28)),ROW(Income!A$3:A$502)-2),1)),0)=0,"",IFERROR(-INDEX(Expenses!D$3:D$1002,SMALL(IF((Expenses!E$3:E$1002="GBP")*(Expenses!A$3:A$1002=DATE(2026,9,28)),ROW(Expenses!A$3:A$1002)-2),1)),0)+IFERROR(INDEX(Income!C$3:C$502,SMALL(IF((Income!D$3:D$502="GBP")*(Income!A$3:A$502=DATE(2026,9,28)),ROW(Income!A$3:A$502)-2),1)),0))</f>
        <v/>
      </c>
      <c r="D199" s="38" t="str">
        <f aca="false">IF(IFERROR(INDEX(Expenses!B$3:B$1002,SMALL(IF((Expenses!E$3:E$1002="GBP")*(Expenses!A$3:A$1002=DATE(2026,9,28)),ROW(Expenses!A$3:A$1002)-2),1)),"")&lt;&gt;"",IFERROR(INDEX(Expenses!B$3:B$1002,SMALL(IF((Expenses!E$3:E$1002="GBP")*(Expenses!A$3:A$1002=DATE(2026,9,28)),ROW(Expenses!A$3:A$1002)-2),1)),""),IF(IFERROR(INDEX(Income!B$3:B$502,SMALL(IF((Income!D$3:D$502="GBP")*(Income!A$3:A$502=DATE(2026,9,28)),ROW(Income!A$3:A$502)-2),1)),"")&lt;&gt;"",IFERROR(INDEX(Income!B$3:B$502,SMALL(IF((Income!D$3:D$502="GBP")*(Income!A$3:A$502=DATE(2026,9,28)),ROW(Income!A$3:A$502)-2),1)),""),""))</f>
        <v/>
      </c>
      <c r="E199" s="62" t="str">
        <f aca="false">IF(IFERROR(-INDEX(Expenses!D$3:D$1002,SMALL(IF((Expenses!E$3:E$1002="GBP")*(Expenses!A$3:A$1002=DATE(2026,9,29)),ROW(Expenses!A$3:A$1002)-2),1)),0)+IFERROR(INDEX(Income!C$3:C$502,SMALL(IF((Income!D$3:D$502="GBP")*(Income!A$3:A$502=DATE(2026,9,29)),ROW(Income!A$3:A$502)-2),1)),0)=0,"",IFERROR(-INDEX(Expenses!D$3:D$1002,SMALL(IF((Expenses!E$3:E$1002="GBP")*(Expenses!A$3:A$1002=DATE(2026,9,29)),ROW(Expenses!A$3:A$1002)-2),1)),0)+IFERROR(INDEX(Income!C$3:C$502,SMALL(IF((Income!D$3:D$502="GBP")*(Income!A$3:A$502=DATE(2026,9,29)),ROW(Income!A$3:A$502)-2),1)),0))</f>
        <v/>
      </c>
      <c r="F199" s="38" t="str">
        <f aca="false">IF(IFERROR(INDEX(Expenses!B$3:B$1002,SMALL(IF((Expenses!E$3:E$1002="GBP")*(Expenses!A$3:A$1002=DATE(2026,9,29)),ROW(Expenses!A$3:A$1002)-2),1)),"")&lt;&gt;"",IFERROR(INDEX(Expenses!B$3:B$1002,SMALL(IF((Expenses!E$3:E$1002="GBP")*(Expenses!A$3:A$1002=DATE(2026,9,29)),ROW(Expenses!A$3:A$1002)-2),1)),""),IF(IFERROR(INDEX(Income!B$3:B$502,SMALL(IF((Income!D$3:D$502="GBP")*(Income!A$3:A$502=DATE(2026,9,29)),ROW(Income!A$3:A$502)-2),1)),"")&lt;&gt;"",IFERROR(INDEX(Income!B$3:B$502,SMALL(IF((Income!D$3:D$502="GBP")*(Income!A$3:A$502=DATE(2026,9,29)),ROW(Income!A$3:A$502)-2),1)),""),""))</f>
        <v/>
      </c>
      <c r="G199" s="62" t="str">
        <f aca="false">IF(IFERROR(-INDEX(Expenses!D$3:D$1002,SMALL(IF((Expenses!E$3:E$1002="GBP")*(Expenses!A$3:A$1002=DATE(2026,9,30)),ROW(Expenses!A$3:A$1002)-2),1)),0)+IFERROR(INDEX(Income!C$3:C$502,SMALL(IF((Income!D$3:D$502="GBP")*(Income!A$3:A$502=DATE(2026,9,30)),ROW(Income!A$3:A$502)-2),1)),0)=0,"",IFERROR(-INDEX(Expenses!D$3:D$1002,SMALL(IF((Expenses!E$3:E$1002="GBP")*(Expenses!A$3:A$1002=DATE(2026,9,30)),ROW(Expenses!A$3:A$1002)-2),1)),0)+IFERROR(INDEX(Income!C$3:C$502,SMALL(IF((Income!D$3:D$502="GBP")*(Income!A$3:A$502=DATE(2026,9,30)),ROW(Income!A$3:A$502)-2),1)),0))</f>
        <v/>
      </c>
      <c r="H199" s="38" t="str">
        <f aca="false">IF(IFERROR(INDEX(Expenses!B$3:B$1002,SMALL(IF((Expenses!E$3:E$1002="GBP")*(Expenses!A$3:A$1002=DATE(2026,9,30)),ROW(Expenses!A$3:A$1002)-2),1)),"")&lt;&gt;"",IFERROR(INDEX(Expenses!B$3:B$1002,SMALL(IF((Expenses!E$3:E$1002="GBP")*(Expenses!A$3:A$1002=DATE(2026,9,30)),ROW(Expenses!A$3:A$1002)-2),1)),""),IF(IFERROR(INDEX(Income!B$3:B$502,SMALL(IF((Income!D$3:D$502="GBP")*(Income!A$3:A$502=DATE(2026,9,30)),ROW(Income!A$3:A$502)-2),1)),"")&lt;&gt;"",IFERROR(INDEX(Income!B$3:B$502,SMALL(IF((Income!D$3:D$502="GBP")*(Income!A$3:A$502=DATE(2026,9,30)),ROW(Income!A$3:A$502)-2),1)),""),""))</f>
        <v/>
      </c>
      <c r="I199" s="62" t="str">
        <f aca="false">IF(IFERROR(-INDEX(Expenses!D$3:D$1002,SMALL(IF((Expenses!E$3:E$1002="GBP")*(Expenses!A$3:A$1002=DATE(2026,10,1)),ROW(Expenses!A$3:A$1002)-2),1)),0)+IFERROR(INDEX(Income!C$3:C$502,SMALL(IF((Income!D$3:D$502="GBP")*(Income!A$3:A$502=DATE(2026,10,1)),ROW(Income!A$3:A$502)-2),1)),0)=0,"",IFERROR(-INDEX(Expenses!D$3:D$1002,SMALL(IF((Expenses!E$3:E$1002="GBP")*(Expenses!A$3:A$1002=DATE(2026,10,1)),ROW(Expenses!A$3:A$1002)-2),1)),0)+IFERROR(INDEX(Income!C$3:C$502,SMALL(IF((Income!D$3:D$502="GBP")*(Income!A$3:A$502=DATE(2026,10,1)),ROW(Income!A$3:A$502)-2),1)),0))</f>
        <v/>
      </c>
      <c r="J199" s="38" t="str">
        <f aca="false">IF(IFERROR(INDEX(Expenses!B$3:B$1002,SMALL(IF((Expenses!E$3:E$1002="GBP")*(Expenses!A$3:A$1002=DATE(2026,10,1)),ROW(Expenses!A$3:A$1002)-2),1)),"")&lt;&gt;"",IFERROR(INDEX(Expenses!B$3:B$1002,SMALL(IF((Expenses!E$3:E$1002="GBP")*(Expenses!A$3:A$1002=DATE(2026,10,1)),ROW(Expenses!A$3:A$1002)-2),1)),""),IF(IFERROR(INDEX(Income!B$3:B$502,SMALL(IF((Income!D$3:D$502="GBP")*(Income!A$3:A$502=DATE(2026,10,1)),ROW(Income!A$3:A$502)-2),1)),"")&lt;&gt;"",IFERROR(INDEX(Income!B$3:B$502,SMALL(IF((Income!D$3:D$502="GBP")*(Income!A$3:A$502=DATE(2026,10,1)),ROW(Income!A$3:A$502)-2),1)),""),""))</f>
        <v/>
      </c>
      <c r="K199" s="62" t="str">
        <f aca="false">IF(IFERROR(-INDEX(Expenses!D$3:D$1002,SMALL(IF((Expenses!E$3:E$1002="GBP")*(Expenses!A$3:A$1002=DATE(2026,10,2)),ROW(Expenses!A$3:A$1002)-2),1)),0)+IFERROR(INDEX(Income!C$3:C$502,SMALL(IF((Income!D$3:D$502="GBP")*(Income!A$3:A$502=DATE(2026,10,2)),ROW(Income!A$3:A$502)-2),1)),0)=0,"",IFERROR(-INDEX(Expenses!D$3:D$1002,SMALL(IF((Expenses!E$3:E$1002="GBP")*(Expenses!A$3:A$1002=DATE(2026,10,2)),ROW(Expenses!A$3:A$1002)-2),1)),0)+IFERROR(INDEX(Income!C$3:C$502,SMALL(IF((Income!D$3:D$502="GBP")*(Income!A$3:A$502=DATE(2026,10,2)),ROW(Income!A$3:A$502)-2),1)),0))</f>
        <v/>
      </c>
      <c r="L199" s="38" t="str">
        <f aca="false">IF(IFERROR(INDEX(Expenses!B$3:B$1002,SMALL(IF((Expenses!E$3:E$1002="GBP")*(Expenses!A$3:A$1002=DATE(2026,10,2)),ROW(Expenses!A$3:A$1002)-2),1)),"")&lt;&gt;"",IFERROR(INDEX(Expenses!B$3:B$1002,SMALL(IF((Expenses!E$3:E$1002="GBP")*(Expenses!A$3:A$1002=DATE(2026,10,2)),ROW(Expenses!A$3:A$1002)-2),1)),""),IF(IFERROR(INDEX(Income!B$3:B$502,SMALL(IF((Income!D$3:D$502="GBP")*(Income!A$3:A$502=DATE(2026,10,2)),ROW(Income!A$3:A$502)-2),1)),"")&lt;&gt;"",IFERROR(INDEX(Income!B$3:B$502,SMALL(IF((Income!D$3:D$502="GBP")*(Income!A$3:A$502=DATE(2026,10,2)),ROW(Income!A$3:A$502)-2),1)),""),""))</f>
        <v/>
      </c>
      <c r="M199" s="62" t="str">
        <f aca="false">IF(IFERROR(-INDEX(Expenses!D$3:D$1002,SMALL(IF((Expenses!E$3:E$1002="GBP")*(Expenses!A$3:A$1002=DATE(2026,10,3)),ROW(Expenses!A$3:A$1002)-2),1)),0)+IFERROR(INDEX(Income!C$3:C$502,SMALL(IF((Income!D$3:D$502="GBP")*(Income!A$3:A$502=DATE(2026,10,3)),ROW(Income!A$3:A$502)-2),1)),0)=0,"",IFERROR(-INDEX(Expenses!D$3:D$1002,SMALL(IF((Expenses!E$3:E$1002="GBP")*(Expenses!A$3:A$1002=DATE(2026,10,3)),ROW(Expenses!A$3:A$1002)-2),1)),0)+IFERROR(INDEX(Income!C$3:C$502,SMALL(IF((Income!D$3:D$502="GBP")*(Income!A$3:A$502=DATE(2026,10,3)),ROW(Income!A$3:A$502)-2),1)),0))</f>
        <v/>
      </c>
      <c r="N199" s="38" t="str">
        <f aca="false">IF(IFERROR(INDEX(Expenses!B$3:B$1002,SMALL(IF((Expenses!E$3:E$1002="GBP")*(Expenses!A$3:A$1002=DATE(2026,10,3)),ROW(Expenses!A$3:A$1002)-2),1)),"")&lt;&gt;"",IFERROR(INDEX(Expenses!B$3:B$1002,SMALL(IF((Expenses!E$3:E$1002="GBP")*(Expenses!A$3:A$1002=DATE(2026,10,3)),ROW(Expenses!A$3:A$1002)-2),1)),""),IF(IFERROR(INDEX(Income!B$3:B$502,SMALL(IF((Income!D$3:D$502="GBP")*(Income!A$3:A$502=DATE(2026,10,3)),ROW(Income!A$3:A$502)-2),1)),"")&lt;&gt;"",IFERROR(INDEX(Income!B$3:B$502,SMALL(IF((Income!D$3:D$502="GBP")*(Income!A$3:A$502=DATE(2026,10,3)),ROW(Income!A$3:A$502)-2),1)),""),""))</f>
        <v/>
      </c>
      <c r="O199" s="62" t="str">
        <f aca="false">IF(IFERROR(-INDEX(Expenses!D$3:D$1002,SMALL(IF((Expenses!E$3:E$1002="GBP")*(Expenses!A$3:A$1002=DATE(2026,10,4)),ROW(Expenses!A$3:A$1002)-2),1)),0)+IFERROR(INDEX(Income!C$3:C$502,SMALL(IF((Income!D$3:D$502="GBP")*(Income!A$3:A$502=DATE(2026,10,4)),ROW(Income!A$3:A$502)-2),1)),0)=0,"",IFERROR(-INDEX(Expenses!D$3:D$1002,SMALL(IF((Expenses!E$3:E$1002="GBP")*(Expenses!A$3:A$1002=DATE(2026,10,4)),ROW(Expenses!A$3:A$1002)-2),1)),0)+IFERROR(INDEX(Income!C$3:C$502,SMALL(IF((Income!D$3:D$502="GBP")*(Income!A$3:A$502=DATE(2026,10,4)),ROW(Income!A$3:A$502)-2),1)),0))</f>
        <v/>
      </c>
      <c r="P199" s="38" t="str">
        <f aca="false">IF(IFERROR(INDEX(Expenses!B$3:B$1002,SMALL(IF((Expenses!E$3:E$1002="GBP")*(Expenses!A$3:A$1002=DATE(2026,10,4)),ROW(Expenses!A$3:A$1002)-2),1)),"")&lt;&gt;"",IFERROR(INDEX(Expenses!B$3:B$1002,SMALL(IF((Expenses!E$3:E$1002="GBP")*(Expenses!A$3:A$1002=DATE(2026,10,4)),ROW(Expenses!A$3:A$1002)-2),1)),""),IF(IFERROR(INDEX(Income!B$3:B$502,SMALL(IF((Income!D$3:D$502="GBP")*(Income!A$3:A$502=DATE(2026,10,4)),ROW(Income!A$3:A$502)-2),1)),"")&lt;&gt;"",IFERROR(INDEX(Income!B$3:B$502,SMALL(IF((Income!D$3:D$502="GBP")*(Income!A$3:A$502=DATE(2026,10,4)),ROW(Income!A$3:A$502)-2),1)),""),""))</f>
        <v/>
      </c>
      <c r="Q199" s="3" t="n">
        <v>40</v>
      </c>
      <c r="R199" s="45" t="n">
        <f aca="false">SUM(C199:C203)+SUM(E199:E203)+SUM(G199:G203)+SUM(I199:I203)+SUM(K199:K203)+SUM(M199:M203)+SUM(O199:O203)</f>
        <v>0</v>
      </c>
    </row>
    <row r="200" customFormat="false" ht="15" hidden="false" customHeight="false" outlineLevel="0" collapsed="false">
      <c r="A200" s="16"/>
      <c r="B200" s="16"/>
      <c r="C200" s="62" t="str">
        <f aca="false">IF(IFERROR(-INDEX(Expenses!D$3:D$1002,SMALL(IF((Expenses!E$3:E$1002="GBP")*(Expenses!A$3:A$1002=DATE(2026,9,28)),ROW(Expenses!A$3:A$1002)-2),2)),0)+IFERROR(INDEX(Income!C$3:C$502,SMALL(IF((Income!D$3:D$502="GBP")*(Income!A$3:A$502=DATE(2026,9,28)),ROW(Income!A$3:A$502)-2),2)),0)=0,"",IFERROR(-INDEX(Expenses!D$3:D$1002,SMALL(IF((Expenses!E$3:E$1002="GBP")*(Expenses!A$3:A$1002=DATE(2026,9,28)),ROW(Expenses!A$3:A$1002)-2),2)),0)+IFERROR(INDEX(Income!C$3:C$502,SMALL(IF((Income!D$3:D$502="GBP")*(Income!A$3:A$502=DATE(2026,9,28)),ROW(Income!A$3:A$502)-2),2)),0))</f>
        <v/>
      </c>
      <c r="D200" s="38" t="str">
        <f aca="false">IF(IFERROR(INDEX(Expenses!B$3:B$1002,SMALL(IF((Expenses!E$3:E$1002="GBP")*(Expenses!A$3:A$1002=DATE(2026,9,28)),ROW(Expenses!A$3:A$1002)-2),2)),"")&lt;&gt;"",IFERROR(INDEX(Expenses!B$3:B$1002,SMALL(IF((Expenses!E$3:E$1002="GBP")*(Expenses!A$3:A$1002=DATE(2026,9,28)),ROW(Expenses!A$3:A$1002)-2),2)),""),IF(IFERROR(INDEX(Income!B$3:B$502,SMALL(IF((Income!D$3:D$502="GBP")*(Income!A$3:A$502=DATE(2026,9,28)),ROW(Income!A$3:A$502)-2),2)),"")&lt;&gt;"",IFERROR(INDEX(Income!B$3:B$502,SMALL(IF((Income!D$3:D$502="GBP")*(Income!A$3:A$502=DATE(2026,9,28)),ROW(Income!A$3:A$502)-2),2)),""),""))</f>
        <v/>
      </c>
      <c r="E200" s="62" t="str">
        <f aca="false">IF(IFERROR(-INDEX(Expenses!D$3:D$1002,SMALL(IF((Expenses!E$3:E$1002="GBP")*(Expenses!A$3:A$1002=DATE(2026,9,29)),ROW(Expenses!A$3:A$1002)-2),2)),0)+IFERROR(INDEX(Income!C$3:C$502,SMALL(IF((Income!D$3:D$502="GBP")*(Income!A$3:A$502=DATE(2026,9,29)),ROW(Income!A$3:A$502)-2),2)),0)=0,"",IFERROR(-INDEX(Expenses!D$3:D$1002,SMALL(IF((Expenses!E$3:E$1002="GBP")*(Expenses!A$3:A$1002=DATE(2026,9,29)),ROW(Expenses!A$3:A$1002)-2),2)),0)+IFERROR(INDEX(Income!C$3:C$502,SMALL(IF((Income!D$3:D$502="GBP")*(Income!A$3:A$502=DATE(2026,9,29)),ROW(Income!A$3:A$502)-2),2)),0))</f>
        <v/>
      </c>
      <c r="F200" s="38" t="str">
        <f aca="false">IF(IFERROR(INDEX(Expenses!B$3:B$1002,SMALL(IF((Expenses!E$3:E$1002="GBP")*(Expenses!A$3:A$1002=DATE(2026,9,29)),ROW(Expenses!A$3:A$1002)-2),2)),"")&lt;&gt;"",IFERROR(INDEX(Expenses!B$3:B$1002,SMALL(IF((Expenses!E$3:E$1002="GBP")*(Expenses!A$3:A$1002=DATE(2026,9,29)),ROW(Expenses!A$3:A$1002)-2),2)),""),IF(IFERROR(INDEX(Income!B$3:B$502,SMALL(IF((Income!D$3:D$502="GBP")*(Income!A$3:A$502=DATE(2026,9,29)),ROW(Income!A$3:A$502)-2),2)),"")&lt;&gt;"",IFERROR(INDEX(Income!B$3:B$502,SMALL(IF((Income!D$3:D$502="GBP")*(Income!A$3:A$502=DATE(2026,9,29)),ROW(Income!A$3:A$502)-2),2)),""),""))</f>
        <v/>
      </c>
      <c r="G200" s="62" t="str">
        <f aca="false">IF(IFERROR(-INDEX(Expenses!D$3:D$1002,SMALL(IF((Expenses!E$3:E$1002="GBP")*(Expenses!A$3:A$1002=DATE(2026,9,30)),ROW(Expenses!A$3:A$1002)-2),2)),0)+IFERROR(INDEX(Income!C$3:C$502,SMALL(IF((Income!D$3:D$502="GBP")*(Income!A$3:A$502=DATE(2026,9,30)),ROW(Income!A$3:A$502)-2),2)),0)=0,"",IFERROR(-INDEX(Expenses!D$3:D$1002,SMALL(IF((Expenses!E$3:E$1002="GBP")*(Expenses!A$3:A$1002=DATE(2026,9,30)),ROW(Expenses!A$3:A$1002)-2),2)),0)+IFERROR(INDEX(Income!C$3:C$502,SMALL(IF((Income!D$3:D$502="GBP")*(Income!A$3:A$502=DATE(2026,9,30)),ROW(Income!A$3:A$502)-2),2)),0))</f>
        <v/>
      </c>
      <c r="H200" s="38" t="str">
        <f aca="false">IF(IFERROR(INDEX(Expenses!B$3:B$1002,SMALL(IF((Expenses!E$3:E$1002="GBP")*(Expenses!A$3:A$1002=DATE(2026,9,30)),ROW(Expenses!A$3:A$1002)-2),2)),"")&lt;&gt;"",IFERROR(INDEX(Expenses!B$3:B$1002,SMALL(IF((Expenses!E$3:E$1002="GBP")*(Expenses!A$3:A$1002=DATE(2026,9,30)),ROW(Expenses!A$3:A$1002)-2),2)),""),IF(IFERROR(INDEX(Income!B$3:B$502,SMALL(IF((Income!D$3:D$502="GBP")*(Income!A$3:A$502=DATE(2026,9,30)),ROW(Income!A$3:A$502)-2),2)),"")&lt;&gt;"",IFERROR(INDEX(Income!B$3:B$502,SMALL(IF((Income!D$3:D$502="GBP")*(Income!A$3:A$502=DATE(2026,9,30)),ROW(Income!A$3:A$502)-2),2)),""),""))</f>
        <v/>
      </c>
      <c r="I200" s="62" t="str">
        <f aca="false">IF(IFERROR(-INDEX(Expenses!D$3:D$1002,SMALL(IF((Expenses!E$3:E$1002="GBP")*(Expenses!A$3:A$1002=DATE(2026,10,1)),ROW(Expenses!A$3:A$1002)-2),2)),0)+IFERROR(INDEX(Income!C$3:C$502,SMALL(IF((Income!D$3:D$502="GBP")*(Income!A$3:A$502=DATE(2026,10,1)),ROW(Income!A$3:A$502)-2),2)),0)=0,"",IFERROR(-INDEX(Expenses!D$3:D$1002,SMALL(IF((Expenses!E$3:E$1002="GBP")*(Expenses!A$3:A$1002=DATE(2026,10,1)),ROW(Expenses!A$3:A$1002)-2),2)),0)+IFERROR(INDEX(Income!C$3:C$502,SMALL(IF((Income!D$3:D$502="GBP")*(Income!A$3:A$502=DATE(2026,10,1)),ROW(Income!A$3:A$502)-2),2)),0))</f>
        <v/>
      </c>
      <c r="J200" s="38" t="str">
        <f aca="false">IF(IFERROR(INDEX(Expenses!B$3:B$1002,SMALL(IF((Expenses!E$3:E$1002="GBP")*(Expenses!A$3:A$1002=DATE(2026,10,1)),ROW(Expenses!A$3:A$1002)-2),2)),"")&lt;&gt;"",IFERROR(INDEX(Expenses!B$3:B$1002,SMALL(IF((Expenses!E$3:E$1002="GBP")*(Expenses!A$3:A$1002=DATE(2026,10,1)),ROW(Expenses!A$3:A$1002)-2),2)),""),IF(IFERROR(INDEX(Income!B$3:B$502,SMALL(IF((Income!D$3:D$502="GBP")*(Income!A$3:A$502=DATE(2026,10,1)),ROW(Income!A$3:A$502)-2),2)),"")&lt;&gt;"",IFERROR(INDEX(Income!B$3:B$502,SMALL(IF((Income!D$3:D$502="GBP")*(Income!A$3:A$502=DATE(2026,10,1)),ROW(Income!A$3:A$502)-2),2)),""),""))</f>
        <v/>
      </c>
      <c r="K200" s="62" t="str">
        <f aca="false">IF(IFERROR(-INDEX(Expenses!D$3:D$1002,SMALL(IF((Expenses!E$3:E$1002="GBP")*(Expenses!A$3:A$1002=DATE(2026,10,2)),ROW(Expenses!A$3:A$1002)-2),2)),0)+IFERROR(INDEX(Income!C$3:C$502,SMALL(IF((Income!D$3:D$502="GBP")*(Income!A$3:A$502=DATE(2026,10,2)),ROW(Income!A$3:A$502)-2),2)),0)=0,"",IFERROR(-INDEX(Expenses!D$3:D$1002,SMALL(IF((Expenses!E$3:E$1002="GBP")*(Expenses!A$3:A$1002=DATE(2026,10,2)),ROW(Expenses!A$3:A$1002)-2),2)),0)+IFERROR(INDEX(Income!C$3:C$502,SMALL(IF((Income!D$3:D$502="GBP")*(Income!A$3:A$502=DATE(2026,10,2)),ROW(Income!A$3:A$502)-2),2)),0))</f>
        <v/>
      </c>
      <c r="L200" s="38" t="str">
        <f aca="false">IF(IFERROR(INDEX(Expenses!B$3:B$1002,SMALL(IF((Expenses!E$3:E$1002="GBP")*(Expenses!A$3:A$1002=DATE(2026,10,2)),ROW(Expenses!A$3:A$1002)-2),2)),"")&lt;&gt;"",IFERROR(INDEX(Expenses!B$3:B$1002,SMALL(IF((Expenses!E$3:E$1002="GBP")*(Expenses!A$3:A$1002=DATE(2026,10,2)),ROW(Expenses!A$3:A$1002)-2),2)),""),IF(IFERROR(INDEX(Income!B$3:B$502,SMALL(IF((Income!D$3:D$502="GBP")*(Income!A$3:A$502=DATE(2026,10,2)),ROW(Income!A$3:A$502)-2),2)),"")&lt;&gt;"",IFERROR(INDEX(Income!B$3:B$502,SMALL(IF((Income!D$3:D$502="GBP")*(Income!A$3:A$502=DATE(2026,10,2)),ROW(Income!A$3:A$502)-2),2)),""),""))</f>
        <v/>
      </c>
      <c r="M200" s="62" t="str">
        <f aca="false">IF(IFERROR(-INDEX(Expenses!D$3:D$1002,SMALL(IF((Expenses!E$3:E$1002="GBP")*(Expenses!A$3:A$1002=DATE(2026,10,3)),ROW(Expenses!A$3:A$1002)-2),2)),0)+IFERROR(INDEX(Income!C$3:C$502,SMALL(IF((Income!D$3:D$502="GBP")*(Income!A$3:A$502=DATE(2026,10,3)),ROW(Income!A$3:A$502)-2),2)),0)=0,"",IFERROR(-INDEX(Expenses!D$3:D$1002,SMALL(IF((Expenses!E$3:E$1002="GBP")*(Expenses!A$3:A$1002=DATE(2026,10,3)),ROW(Expenses!A$3:A$1002)-2),2)),0)+IFERROR(INDEX(Income!C$3:C$502,SMALL(IF((Income!D$3:D$502="GBP")*(Income!A$3:A$502=DATE(2026,10,3)),ROW(Income!A$3:A$502)-2),2)),0))</f>
        <v/>
      </c>
      <c r="N200" s="38" t="str">
        <f aca="false">IF(IFERROR(INDEX(Expenses!B$3:B$1002,SMALL(IF((Expenses!E$3:E$1002="GBP")*(Expenses!A$3:A$1002=DATE(2026,10,3)),ROW(Expenses!A$3:A$1002)-2),2)),"")&lt;&gt;"",IFERROR(INDEX(Expenses!B$3:B$1002,SMALL(IF((Expenses!E$3:E$1002="GBP")*(Expenses!A$3:A$1002=DATE(2026,10,3)),ROW(Expenses!A$3:A$1002)-2),2)),""),IF(IFERROR(INDEX(Income!B$3:B$502,SMALL(IF((Income!D$3:D$502="GBP")*(Income!A$3:A$502=DATE(2026,10,3)),ROW(Income!A$3:A$502)-2),2)),"")&lt;&gt;"",IFERROR(INDEX(Income!B$3:B$502,SMALL(IF((Income!D$3:D$502="GBP")*(Income!A$3:A$502=DATE(2026,10,3)),ROW(Income!A$3:A$502)-2),2)),""),""))</f>
        <v/>
      </c>
      <c r="O200" s="62" t="str">
        <f aca="false">IF(IFERROR(-INDEX(Expenses!D$3:D$1002,SMALL(IF((Expenses!E$3:E$1002="GBP")*(Expenses!A$3:A$1002=DATE(2026,10,4)),ROW(Expenses!A$3:A$1002)-2),2)),0)+IFERROR(INDEX(Income!C$3:C$502,SMALL(IF((Income!D$3:D$502="GBP")*(Income!A$3:A$502=DATE(2026,10,4)),ROW(Income!A$3:A$502)-2),2)),0)=0,"",IFERROR(-INDEX(Expenses!D$3:D$1002,SMALL(IF((Expenses!E$3:E$1002="GBP")*(Expenses!A$3:A$1002=DATE(2026,10,4)),ROW(Expenses!A$3:A$1002)-2),2)),0)+IFERROR(INDEX(Income!C$3:C$502,SMALL(IF((Income!D$3:D$502="GBP")*(Income!A$3:A$502=DATE(2026,10,4)),ROW(Income!A$3:A$502)-2),2)),0))</f>
        <v/>
      </c>
      <c r="P200" s="38" t="str">
        <f aca="false">IF(IFERROR(INDEX(Expenses!B$3:B$1002,SMALL(IF((Expenses!E$3:E$1002="GBP")*(Expenses!A$3:A$1002=DATE(2026,10,4)),ROW(Expenses!A$3:A$1002)-2),2)),"")&lt;&gt;"",IFERROR(INDEX(Expenses!B$3:B$1002,SMALL(IF((Expenses!E$3:E$1002="GBP")*(Expenses!A$3:A$1002=DATE(2026,10,4)),ROW(Expenses!A$3:A$1002)-2),2)),""),IF(IFERROR(INDEX(Income!B$3:B$502,SMALL(IF((Income!D$3:D$502="GBP")*(Income!A$3:A$502=DATE(2026,10,4)),ROW(Income!A$3:A$502)-2),2)),"")&lt;&gt;"",IFERROR(INDEX(Income!B$3:B$502,SMALL(IF((Income!D$3:D$502="GBP")*(Income!A$3:A$502=DATE(2026,10,4)),ROW(Income!A$3:A$502)-2),2)),""),""))</f>
        <v/>
      </c>
      <c r="Q200" s="16"/>
      <c r="R200" s="16"/>
    </row>
    <row r="201" customFormat="false" ht="15" hidden="false" customHeight="false" outlineLevel="0" collapsed="false">
      <c r="A201" s="16"/>
      <c r="B201" s="16"/>
      <c r="C201" s="62" t="str">
        <f aca="false">IF(IFERROR(-INDEX(Expenses!D$3:D$1002,SMALL(IF((Expenses!E$3:E$1002="GBP")*(Expenses!A$3:A$1002=DATE(2026,9,28)),ROW(Expenses!A$3:A$1002)-2),3)),0)+IFERROR(INDEX(Income!C$3:C$502,SMALL(IF((Income!D$3:D$502="GBP")*(Income!A$3:A$502=DATE(2026,9,28)),ROW(Income!A$3:A$502)-2),3)),0)=0,"",IFERROR(-INDEX(Expenses!D$3:D$1002,SMALL(IF((Expenses!E$3:E$1002="GBP")*(Expenses!A$3:A$1002=DATE(2026,9,28)),ROW(Expenses!A$3:A$1002)-2),3)),0)+IFERROR(INDEX(Income!C$3:C$502,SMALL(IF((Income!D$3:D$502="GBP")*(Income!A$3:A$502=DATE(2026,9,28)),ROW(Income!A$3:A$502)-2),3)),0))</f>
        <v/>
      </c>
      <c r="D201" s="38" t="str">
        <f aca="false">IF(IFERROR(INDEX(Expenses!B$3:B$1002,SMALL(IF((Expenses!E$3:E$1002="GBP")*(Expenses!A$3:A$1002=DATE(2026,9,28)),ROW(Expenses!A$3:A$1002)-2),3)),"")&lt;&gt;"",IFERROR(INDEX(Expenses!B$3:B$1002,SMALL(IF((Expenses!E$3:E$1002="GBP")*(Expenses!A$3:A$1002=DATE(2026,9,28)),ROW(Expenses!A$3:A$1002)-2),3)),""),IF(IFERROR(INDEX(Income!B$3:B$502,SMALL(IF((Income!D$3:D$502="GBP")*(Income!A$3:A$502=DATE(2026,9,28)),ROW(Income!A$3:A$502)-2),3)),"")&lt;&gt;"",IFERROR(INDEX(Income!B$3:B$502,SMALL(IF((Income!D$3:D$502="GBP")*(Income!A$3:A$502=DATE(2026,9,28)),ROW(Income!A$3:A$502)-2),3)),""),""))</f>
        <v/>
      </c>
      <c r="E201" s="62" t="str">
        <f aca="false">IF(IFERROR(-INDEX(Expenses!D$3:D$1002,SMALL(IF((Expenses!E$3:E$1002="GBP")*(Expenses!A$3:A$1002=DATE(2026,9,29)),ROW(Expenses!A$3:A$1002)-2),3)),0)+IFERROR(INDEX(Income!C$3:C$502,SMALL(IF((Income!D$3:D$502="GBP")*(Income!A$3:A$502=DATE(2026,9,29)),ROW(Income!A$3:A$502)-2),3)),0)=0,"",IFERROR(-INDEX(Expenses!D$3:D$1002,SMALL(IF((Expenses!E$3:E$1002="GBP")*(Expenses!A$3:A$1002=DATE(2026,9,29)),ROW(Expenses!A$3:A$1002)-2),3)),0)+IFERROR(INDEX(Income!C$3:C$502,SMALL(IF((Income!D$3:D$502="GBP")*(Income!A$3:A$502=DATE(2026,9,29)),ROW(Income!A$3:A$502)-2),3)),0))</f>
        <v/>
      </c>
      <c r="F201" s="38" t="str">
        <f aca="false">IF(IFERROR(INDEX(Expenses!B$3:B$1002,SMALL(IF((Expenses!E$3:E$1002="GBP")*(Expenses!A$3:A$1002=DATE(2026,9,29)),ROW(Expenses!A$3:A$1002)-2),3)),"")&lt;&gt;"",IFERROR(INDEX(Expenses!B$3:B$1002,SMALL(IF((Expenses!E$3:E$1002="GBP")*(Expenses!A$3:A$1002=DATE(2026,9,29)),ROW(Expenses!A$3:A$1002)-2),3)),""),IF(IFERROR(INDEX(Income!B$3:B$502,SMALL(IF((Income!D$3:D$502="GBP")*(Income!A$3:A$502=DATE(2026,9,29)),ROW(Income!A$3:A$502)-2),3)),"")&lt;&gt;"",IFERROR(INDEX(Income!B$3:B$502,SMALL(IF((Income!D$3:D$502="GBP")*(Income!A$3:A$502=DATE(2026,9,29)),ROW(Income!A$3:A$502)-2),3)),""),""))</f>
        <v/>
      </c>
      <c r="G201" s="62" t="str">
        <f aca="false">IF(IFERROR(-INDEX(Expenses!D$3:D$1002,SMALL(IF((Expenses!E$3:E$1002="GBP")*(Expenses!A$3:A$1002=DATE(2026,9,30)),ROW(Expenses!A$3:A$1002)-2),3)),0)+IFERROR(INDEX(Income!C$3:C$502,SMALL(IF((Income!D$3:D$502="GBP")*(Income!A$3:A$502=DATE(2026,9,30)),ROW(Income!A$3:A$502)-2),3)),0)=0,"",IFERROR(-INDEX(Expenses!D$3:D$1002,SMALL(IF((Expenses!E$3:E$1002="GBP")*(Expenses!A$3:A$1002=DATE(2026,9,30)),ROW(Expenses!A$3:A$1002)-2),3)),0)+IFERROR(INDEX(Income!C$3:C$502,SMALL(IF((Income!D$3:D$502="GBP")*(Income!A$3:A$502=DATE(2026,9,30)),ROW(Income!A$3:A$502)-2),3)),0))</f>
        <v/>
      </c>
      <c r="H201" s="38" t="str">
        <f aca="false">IF(IFERROR(INDEX(Expenses!B$3:B$1002,SMALL(IF((Expenses!E$3:E$1002="GBP")*(Expenses!A$3:A$1002=DATE(2026,9,30)),ROW(Expenses!A$3:A$1002)-2),3)),"")&lt;&gt;"",IFERROR(INDEX(Expenses!B$3:B$1002,SMALL(IF((Expenses!E$3:E$1002="GBP")*(Expenses!A$3:A$1002=DATE(2026,9,30)),ROW(Expenses!A$3:A$1002)-2),3)),""),IF(IFERROR(INDEX(Income!B$3:B$502,SMALL(IF((Income!D$3:D$502="GBP")*(Income!A$3:A$502=DATE(2026,9,30)),ROW(Income!A$3:A$502)-2),3)),"")&lt;&gt;"",IFERROR(INDEX(Income!B$3:B$502,SMALL(IF((Income!D$3:D$502="GBP")*(Income!A$3:A$502=DATE(2026,9,30)),ROW(Income!A$3:A$502)-2),3)),""),""))</f>
        <v/>
      </c>
      <c r="I201" s="62" t="str">
        <f aca="false">IF(IFERROR(-INDEX(Expenses!D$3:D$1002,SMALL(IF((Expenses!E$3:E$1002="GBP")*(Expenses!A$3:A$1002=DATE(2026,10,1)),ROW(Expenses!A$3:A$1002)-2),3)),0)+IFERROR(INDEX(Income!C$3:C$502,SMALL(IF((Income!D$3:D$502="GBP")*(Income!A$3:A$502=DATE(2026,10,1)),ROW(Income!A$3:A$502)-2),3)),0)=0,"",IFERROR(-INDEX(Expenses!D$3:D$1002,SMALL(IF((Expenses!E$3:E$1002="GBP")*(Expenses!A$3:A$1002=DATE(2026,10,1)),ROW(Expenses!A$3:A$1002)-2),3)),0)+IFERROR(INDEX(Income!C$3:C$502,SMALL(IF((Income!D$3:D$502="GBP")*(Income!A$3:A$502=DATE(2026,10,1)),ROW(Income!A$3:A$502)-2),3)),0))</f>
        <v/>
      </c>
      <c r="J201" s="38" t="str">
        <f aca="false">IF(IFERROR(INDEX(Expenses!B$3:B$1002,SMALL(IF((Expenses!E$3:E$1002="GBP")*(Expenses!A$3:A$1002=DATE(2026,10,1)),ROW(Expenses!A$3:A$1002)-2),3)),"")&lt;&gt;"",IFERROR(INDEX(Expenses!B$3:B$1002,SMALL(IF((Expenses!E$3:E$1002="GBP")*(Expenses!A$3:A$1002=DATE(2026,10,1)),ROW(Expenses!A$3:A$1002)-2),3)),""),IF(IFERROR(INDEX(Income!B$3:B$502,SMALL(IF((Income!D$3:D$502="GBP")*(Income!A$3:A$502=DATE(2026,10,1)),ROW(Income!A$3:A$502)-2),3)),"")&lt;&gt;"",IFERROR(INDEX(Income!B$3:B$502,SMALL(IF((Income!D$3:D$502="GBP")*(Income!A$3:A$502=DATE(2026,10,1)),ROW(Income!A$3:A$502)-2),3)),""),""))</f>
        <v/>
      </c>
      <c r="K201" s="62" t="str">
        <f aca="false">IF(IFERROR(-INDEX(Expenses!D$3:D$1002,SMALL(IF((Expenses!E$3:E$1002="GBP")*(Expenses!A$3:A$1002=DATE(2026,10,2)),ROW(Expenses!A$3:A$1002)-2),3)),0)+IFERROR(INDEX(Income!C$3:C$502,SMALL(IF((Income!D$3:D$502="GBP")*(Income!A$3:A$502=DATE(2026,10,2)),ROW(Income!A$3:A$502)-2),3)),0)=0,"",IFERROR(-INDEX(Expenses!D$3:D$1002,SMALL(IF((Expenses!E$3:E$1002="GBP")*(Expenses!A$3:A$1002=DATE(2026,10,2)),ROW(Expenses!A$3:A$1002)-2),3)),0)+IFERROR(INDEX(Income!C$3:C$502,SMALL(IF((Income!D$3:D$502="GBP")*(Income!A$3:A$502=DATE(2026,10,2)),ROW(Income!A$3:A$502)-2),3)),0))</f>
        <v/>
      </c>
      <c r="L201" s="38" t="str">
        <f aca="false">IF(IFERROR(INDEX(Expenses!B$3:B$1002,SMALL(IF((Expenses!E$3:E$1002="GBP")*(Expenses!A$3:A$1002=DATE(2026,10,2)),ROW(Expenses!A$3:A$1002)-2),3)),"")&lt;&gt;"",IFERROR(INDEX(Expenses!B$3:B$1002,SMALL(IF((Expenses!E$3:E$1002="GBP")*(Expenses!A$3:A$1002=DATE(2026,10,2)),ROW(Expenses!A$3:A$1002)-2),3)),""),IF(IFERROR(INDEX(Income!B$3:B$502,SMALL(IF((Income!D$3:D$502="GBP")*(Income!A$3:A$502=DATE(2026,10,2)),ROW(Income!A$3:A$502)-2),3)),"")&lt;&gt;"",IFERROR(INDEX(Income!B$3:B$502,SMALL(IF((Income!D$3:D$502="GBP")*(Income!A$3:A$502=DATE(2026,10,2)),ROW(Income!A$3:A$502)-2),3)),""),""))</f>
        <v/>
      </c>
      <c r="M201" s="62" t="str">
        <f aca="false">IF(IFERROR(-INDEX(Expenses!D$3:D$1002,SMALL(IF((Expenses!E$3:E$1002="GBP")*(Expenses!A$3:A$1002=DATE(2026,10,3)),ROW(Expenses!A$3:A$1002)-2),3)),0)+IFERROR(INDEX(Income!C$3:C$502,SMALL(IF((Income!D$3:D$502="GBP")*(Income!A$3:A$502=DATE(2026,10,3)),ROW(Income!A$3:A$502)-2),3)),0)=0,"",IFERROR(-INDEX(Expenses!D$3:D$1002,SMALL(IF((Expenses!E$3:E$1002="GBP")*(Expenses!A$3:A$1002=DATE(2026,10,3)),ROW(Expenses!A$3:A$1002)-2),3)),0)+IFERROR(INDEX(Income!C$3:C$502,SMALL(IF((Income!D$3:D$502="GBP")*(Income!A$3:A$502=DATE(2026,10,3)),ROW(Income!A$3:A$502)-2),3)),0))</f>
        <v/>
      </c>
      <c r="N201" s="38" t="str">
        <f aca="false">IF(IFERROR(INDEX(Expenses!B$3:B$1002,SMALL(IF((Expenses!E$3:E$1002="GBP")*(Expenses!A$3:A$1002=DATE(2026,10,3)),ROW(Expenses!A$3:A$1002)-2),3)),"")&lt;&gt;"",IFERROR(INDEX(Expenses!B$3:B$1002,SMALL(IF((Expenses!E$3:E$1002="GBP")*(Expenses!A$3:A$1002=DATE(2026,10,3)),ROW(Expenses!A$3:A$1002)-2),3)),""),IF(IFERROR(INDEX(Income!B$3:B$502,SMALL(IF((Income!D$3:D$502="GBP")*(Income!A$3:A$502=DATE(2026,10,3)),ROW(Income!A$3:A$502)-2),3)),"")&lt;&gt;"",IFERROR(INDEX(Income!B$3:B$502,SMALL(IF((Income!D$3:D$502="GBP")*(Income!A$3:A$502=DATE(2026,10,3)),ROW(Income!A$3:A$502)-2),3)),""),""))</f>
        <v/>
      </c>
      <c r="O201" s="62" t="str">
        <f aca="false">IF(IFERROR(-INDEX(Expenses!D$3:D$1002,SMALL(IF((Expenses!E$3:E$1002="GBP")*(Expenses!A$3:A$1002=DATE(2026,10,4)),ROW(Expenses!A$3:A$1002)-2),3)),0)+IFERROR(INDEX(Income!C$3:C$502,SMALL(IF((Income!D$3:D$502="GBP")*(Income!A$3:A$502=DATE(2026,10,4)),ROW(Income!A$3:A$502)-2),3)),0)=0,"",IFERROR(-INDEX(Expenses!D$3:D$1002,SMALL(IF((Expenses!E$3:E$1002="GBP")*(Expenses!A$3:A$1002=DATE(2026,10,4)),ROW(Expenses!A$3:A$1002)-2),3)),0)+IFERROR(INDEX(Income!C$3:C$502,SMALL(IF((Income!D$3:D$502="GBP")*(Income!A$3:A$502=DATE(2026,10,4)),ROW(Income!A$3:A$502)-2),3)),0))</f>
        <v/>
      </c>
      <c r="P201" s="38" t="str">
        <f aca="false">IF(IFERROR(INDEX(Expenses!B$3:B$1002,SMALL(IF((Expenses!E$3:E$1002="GBP")*(Expenses!A$3:A$1002=DATE(2026,10,4)),ROW(Expenses!A$3:A$1002)-2),3)),"")&lt;&gt;"",IFERROR(INDEX(Expenses!B$3:B$1002,SMALL(IF((Expenses!E$3:E$1002="GBP")*(Expenses!A$3:A$1002=DATE(2026,10,4)),ROW(Expenses!A$3:A$1002)-2),3)),""),IF(IFERROR(INDEX(Income!B$3:B$502,SMALL(IF((Income!D$3:D$502="GBP")*(Income!A$3:A$502=DATE(2026,10,4)),ROW(Income!A$3:A$502)-2),3)),"")&lt;&gt;"",IFERROR(INDEX(Income!B$3:B$502,SMALL(IF((Income!D$3:D$502="GBP")*(Income!A$3:A$502=DATE(2026,10,4)),ROW(Income!A$3:A$502)-2),3)),""),""))</f>
        <v/>
      </c>
      <c r="Q201" s="16"/>
      <c r="R201" s="16"/>
    </row>
    <row r="202" customFormat="false" ht="15" hidden="false" customHeight="false" outlineLevel="0" collapsed="false">
      <c r="A202" s="16"/>
      <c r="B202" s="16"/>
      <c r="C202" s="62" t="str">
        <f aca="false">IF(IFERROR(-INDEX(Expenses!D$3:D$1002,SMALL(IF((Expenses!E$3:E$1002="GBP")*(Expenses!A$3:A$1002=DATE(2026,9,28)),ROW(Expenses!A$3:A$1002)-2),4)),0)+IFERROR(INDEX(Income!C$3:C$502,SMALL(IF((Income!D$3:D$502="GBP")*(Income!A$3:A$502=DATE(2026,9,28)),ROW(Income!A$3:A$502)-2),4)),0)=0,"",IFERROR(-INDEX(Expenses!D$3:D$1002,SMALL(IF((Expenses!E$3:E$1002="GBP")*(Expenses!A$3:A$1002=DATE(2026,9,28)),ROW(Expenses!A$3:A$1002)-2),4)),0)+IFERROR(INDEX(Income!C$3:C$502,SMALL(IF((Income!D$3:D$502="GBP")*(Income!A$3:A$502=DATE(2026,9,28)),ROW(Income!A$3:A$502)-2),4)),0))</f>
        <v/>
      </c>
      <c r="D202" s="38" t="str">
        <f aca="false">IF(IFERROR(INDEX(Expenses!B$3:B$1002,SMALL(IF((Expenses!E$3:E$1002="GBP")*(Expenses!A$3:A$1002=DATE(2026,9,28)),ROW(Expenses!A$3:A$1002)-2),4)),"")&lt;&gt;"",IFERROR(INDEX(Expenses!B$3:B$1002,SMALL(IF((Expenses!E$3:E$1002="GBP")*(Expenses!A$3:A$1002=DATE(2026,9,28)),ROW(Expenses!A$3:A$1002)-2),4)),""),IF(IFERROR(INDEX(Income!B$3:B$502,SMALL(IF((Income!D$3:D$502="GBP")*(Income!A$3:A$502=DATE(2026,9,28)),ROW(Income!A$3:A$502)-2),4)),"")&lt;&gt;"",IFERROR(INDEX(Income!B$3:B$502,SMALL(IF((Income!D$3:D$502="GBP")*(Income!A$3:A$502=DATE(2026,9,28)),ROW(Income!A$3:A$502)-2),4)),""),""))</f>
        <v/>
      </c>
      <c r="E202" s="62" t="str">
        <f aca="false">IF(IFERROR(-INDEX(Expenses!D$3:D$1002,SMALL(IF((Expenses!E$3:E$1002="GBP")*(Expenses!A$3:A$1002=DATE(2026,9,29)),ROW(Expenses!A$3:A$1002)-2),4)),0)+IFERROR(INDEX(Income!C$3:C$502,SMALL(IF((Income!D$3:D$502="GBP")*(Income!A$3:A$502=DATE(2026,9,29)),ROW(Income!A$3:A$502)-2),4)),0)=0,"",IFERROR(-INDEX(Expenses!D$3:D$1002,SMALL(IF((Expenses!E$3:E$1002="GBP")*(Expenses!A$3:A$1002=DATE(2026,9,29)),ROW(Expenses!A$3:A$1002)-2),4)),0)+IFERROR(INDEX(Income!C$3:C$502,SMALL(IF((Income!D$3:D$502="GBP")*(Income!A$3:A$502=DATE(2026,9,29)),ROW(Income!A$3:A$502)-2),4)),0))</f>
        <v/>
      </c>
      <c r="F202" s="38" t="str">
        <f aca="false">IF(IFERROR(INDEX(Expenses!B$3:B$1002,SMALL(IF((Expenses!E$3:E$1002="GBP")*(Expenses!A$3:A$1002=DATE(2026,9,29)),ROW(Expenses!A$3:A$1002)-2),4)),"")&lt;&gt;"",IFERROR(INDEX(Expenses!B$3:B$1002,SMALL(IF((Expenses!E$3:E$1002="GBP")*(Expenses!A$3:A$1002=DATE(2026,9,29)),ROW(Expenses!A$3:A$1002)-2),4)),""),IF(IFERROR(INDEX(Income!B$3:B$502,SMALL(IF((Income!D$3:D$502="GBP")*(Income!A$3:A$502=DATE(2026,9,29)),ROW(Income!A$3:A$502)-2),4)),"")&lt;&gt;"",IFERROR(INDEX(Income!B$3:B$502,SMALL(IF((Income!D$3:D$502="GBP")*(Income!A$3:A$502=DATE(2026,9,29)),ROW(Income!A$3:A$502)-2),4)),""),""))</f>
        <v/>
      </c>
      <c r="G202" s="62" t="str">
        <f aca="false">IF(IFERROR(-INDEX(Expenses!D$3:D$1002,SMALL(IF((Expenses!E$3:E$1002="GBP")*(Expenses!A$3:A$1002=DATE(2026,9,30)),ROW(Expenses!A$3:A$1002)-2),4)),0)+IFERROR(INDEX(Income!C$3:C$502,SMALL(IF((Income!D$3:D$502="GBP")*(Income!A$3:A$502=DATE(2026,9,30)),ROW(Income!A$3:A$502)-2),4)),0)=0,"",IFERROR(-INDEX(Expenses!D$3:D$1002,SMALL(IF((Expenses!E$3:E$1002="GBP")*(Expenses!A$3:A$1002=DATE(2026,9,30)),ROW(Expenses!A$3:A$1002)-2),4)),0)+IFERROR(INDEX(Income!C$3:C$502,SMALL(IF((Income!D$3:D$502="GBP")*(Income!A$3:A$502=DATE(2026,9,30)),ROW(Income!A$3:A$502)-2),4)),0))</f>
        <v/>
      </c>
      <c r="H202" s="38" t="str">
        <f aca="false">IF(IFERROR(INDEX(Expenses!B$3:B$1002,SMALL(IF((Expenses!E$3:E$1002="GBP")*(Expenses!A$3:A$1002=DATE(2026,9,30)),ROW(Expenses!A$3:A$1002)-2),4)),"")&lt;&gt;"",IFERROR(INDEX(Expenses!B$3:B$1002,SMALL(IF((Expenses!E$3:E$1002="GBP")*(Expenses!A$3:A$1002=DATE(2026,9,30)),ROW(Expenses!A$3:A$1002)-2),4)),""),IF(IFERROR(INDEX(Income!B$3:B$502,SMALL(IF((Income!D$3:D$502="GBP")*(Income!A$3:A$502=DATE(2026,9,30)),ROW(Income!A$3:A$502)-2),4)),"")&lt;&gt;"",IFERROR(INDEX(Income!B$3:B$502,SMALL(IF((Income!D$3:D$502="GBP")*(Income!A$3:A$502=DATE(2026,9,30)),ROW(Income!A$3:A$502)-2),4)),""),""))</f>
        <v/>
      </c>
      <c r="I202" s="62" t="str">
        <f aca="false">IF(IFERROR(-INDEX(Expenses!D$3:D$1002,SMALL(IF((Expenses!E$3:E$1002="GBP")*(Expenses!A$3:A$1002=DATE(2026,10,1)),ROW(Expenses!A$3:A$1002)-2),4)),0)+IFERROR(INDEX(Income!C$3:C$502,SMALL(IF((Income!D$3:D$502="GBP")*(Income!A$3:A$502=DATE(2026,10,1)),ROW(Income!A$3:A$502)-2),4)),0)=0,"",IFERROR(-INDEX(Expenses!D$3:D$1002,SMALL(IF((Expenses!E$3:E$1002="GBP")*(Expenses!A$3:A$1002=DATE(2026,10,1)),ROW(Expenses!A$3:A$1002)-2),4)),0)+IFERROR(INDEX(Income!C$3:C$502,SMALL(IF((Income!D$3:D$502="GBP")*(Income!A$3:A$502=DATE(2026,10,1)),ROW(Income!A$3:A$502)-2),4)),0))</f>
        <v/>
      </c>
      <c r="J202" s="38" t="str">
        <f aca="false">IF(IFERROR(INDEX(Expenses!B$3:B$1002,SMALL(IF((Expenses!E$3:E$1002="GBP")*(Expenses!A$3:A$1002=DATE(2026,10,1)),ROW(Expenses!A$3:A$1002)-2),4)),"")&lt;&gt;"",IFERROR(INDEX(Expenses!B$3:B$1002,SMALL(IF((Expenses!E$3:E$1002="GBP")*(Expenses!A$3:A$1002=DATE(2026,10,1)),ROW(Expenses!A$3:A$1002)-2),4)),""),IF(IFERROR(INDEX(Income!B$3:B$502,SMALL(IF((Income!D$3:D$502="GBP")*(Income!A$3:A$502=DATE(2026,10,1)),ROW(Income!A$3:A$502)-2),4)),"")&lt;&gt;"",IFERROR(INDEX(Income!B$3:B$502,SMALL(IF((Income!D$3:D$502="GBP")*(Income!A$3:A$502=DATE(2026,10,1)),ROW(Income!A$3:A$502)-2),4)),""),""))</f>
        <v/>
      </c>
      <c r="K202" s="62" t="str">
        <f aca="false">IF(IFERROR(-INDEX(Expenses!D$3:D$1002,SMALL(IF((Expenses!E$3:E$1002="GBP")*(Expenses!A$3:A$1002=DATE(2026,10,2)),ROW(Expenses!A$3:A$1002)-2),4)),0)+IFERROR(INDEX(Income!C$3:C$502,SMALL(IF((Income!D$3:D$502="GBP")*(Income!A$3:A$502=DATE(2026,10,2)),ROW(Income!A$3:A$502)-2),4)),0)=0,"",IFERROR(-INDEX(Expenses!D$3:D$1002,SMALL(IF((Expenses!E$3:E$1002="GBP")*(Expenses!A$3:A$1002=DATE(2026,10,2)),ROW(Expenses!A$3:A$1002)-2),4)),0)+IFERROR(INDEX(Income!C$3:C$502,SMALL(IF((Income!D$3:D$502="GBP")*(Income!A$3:A$502=DATE(2026,10,2)),ROW(Income!A$3:A$502)-2),4)),0))</f>
        <v/>
      </c>
      <c r="L202" s="38" t="str">
        <f aca="false">IF(IFERROR(INDEX(Expenses!B$3:B$1002,SMALL(IF((Expenses!E$3:E$1002="GBP")*(Expenses!A$3:A$1002=DATE(2026,10,2)),ROW(Expenses!A$3:A$1002)-2),4)),"")&lt;&gt;"",IFERROR(INDEX(Expenses!B$3:B$1002,SMALL(IF((Expenses!E$3:E$1002="GBP")*(Expenses!A$3:A$1002=DATE(2026,10,2)),ROW(Expenses!A$3:A$1002)-2),4)),""),IF(IFERROR(INDEX(Income!B$3:B$502,SMALL(IF((Income!D$3:D$502="GBP")*(Income!A$3:A$502=DATE(2026,10,2)),ROW(Income!A$3:A$502)-2),4)),"")&lt;&gt;"",IFERROR(INDEX(Income!B$3:B$502,SMALL(IF((Income!D$3:D$502="GBP")*(Income!A$3:A$502=DATE(2026,10,2)),ROW(Income!A$3:A$502)-2),4)),""),""))</f>
        <v/>
      </c>
      <c r="M202" s="62" t="str">
        <f aca="false">IF(IFERROR(-INDEX(Expenses!D$3:D$1002,SMALL(IF((Expenses!E$3:E$1002="GBP")*(Expenses!A$3:A$1002=DATE(2026,10,3)),ROW(Expenses!A$3:A$1002)-2),4)),0)+IFERROR(INDEX(Income!C$3:C$502,SMALL(IF((Income!D$3:D$502="GBP")*(Income!A$3:A$502=DATE(2026,10,3)),ROW(Income!A$3:A$502)-2),4)),0)=0,"",IFERROR(-INDEX(Expenses!D$3:D$1002,SMALL(IF((Expenses!E$3:E$1002="GBP")*(Expenses!A$3:A$1002=DATE(2026,10,3)),ROW(Expenses!A$3:A$1002)-2),4)),0)+IFERROR(INDEX(Income!C$3:C$502,SMALL(IF((Income!D$3:D$502="GBP")*(Income!A$3:A$502=DATE(2026,10,3)),ROW(Income!A$3:A$502)-2),4)),0))</f>
        <v/>
      </c>
      <c r="N202" s="38" t="str">
        <f aca="false">IF(IFERROR(INDEX(Expenses!B$3:B$1002,SMALL(IF((Expenses!E$3:E$1002="GBP")*(Expenses!A$3:A$1002=DATE(2026,10,3)),ROW(Expenses!A$3:A$1002)-2),4)),"")&lt;&gt;"",IFERROR(INDEX(Expenses!B$3:B$1002,SMALL(IF((Expenses!E$3:E$1002="GBP")*(Expenses!A$3:A$1002=DATE(2026,10,3)),ROW(Expenses!A$3:A$1002)-2),4)),""),IF(IFERROR(INDEX(Income!B$3:B$502,SMALL(IF((Income!D$3:D$502="GBP")*(Income!A$3:A$502=DATE(2026,10,3)),ROW(Income!A$3:A$502)-2),4)),"")&lt;&gt;"",IFERROR(INDEX(Income!B$3:B$502,SMALL(IF((Income!D$3:D$502="GBP")*(Income!A$3:A$502=DATE(2026,10,3)),ROW(Income!A$3:A$502)-2),4)),""),""))</f>
        <v/>
      </c>
      <c r="O202" s="62" t="str">
        <f aca="false">IF(IFERROR(-INDEX(Expenses!D$3:D$1002,SMALL(IF((Expenses!E$3:E$1002="GBP")*(Expenses!A$3:A$1002=DATE(2026,10,4)),ROW(Expenses!A$3:A$1002)-2),4)),0)+IFERROR(INDEX(Income!C$3:C$502,SMALL(IF((Income!D$3:D$502="GBP")*(Income!A$3:A$502=DATE(2026,10,4)),ROW(Income!A$3:A$502)-2),4)),0)=0,"",IFERROR(-INDEX(Expenses!D$3:D$1002,SMALL(IF((Expenses!E$3:E$1002="GBP")*(Expenses!A$3:A$1002=DATE(2026,10,4)),ROW(Expenses!A$3:A$1002)-2),4)),0)+IFERROR(INDEX(Income!C$3:C$502,SMALL(IF((Income!D$3:D$502="GBP")*(Income!A$3:A$502=DATE(2026,10,4)),ROW(Income!A$3:A$502)-2),4)),0))</f>
        <v/>
      </c>
      <c r="P202" s="38" t="str">
        <f aca="false">IF(IFERROR(INDEX(Expenses!B$3:B$1002,SMALL(IF((Expenses!E$3:E$1002="GBP")*(Expenses!A$3:A$1002=DATE(2026,10,4)),ROW(Expenses!A$3:A$1002)-2),4)),"")&lt;&gt;"",IFERROR(INDEX(Expenses!B$3:B$1002,SMALL(IF((Expenses!E$3:E$1002="GBP")*(Expenses!A$3:A$1002=DATE(2026,10,4)),ROW(Expenses!A$3:A$1002)-2),4)),""),IF(IFERROR(INDEX(Income!B$3:B$502,SMALL(IF((Income!D$3:D$502="GBP")*(Income!A$3:A$502=DATE(2026,10,4)),ROW(Income!A$3:A$502)-2),4)),"")&lt;&gt;"",IFERROR(INDEX(Income!B$3:B$502,SMALL(IF((Income!D$3:D$502="GBP")*(Income!A$3:A$502=DATE(2026,10,4)),ROW(Income!A$3:A$502)-2),4)),""),""))</f>
        <v/>
      </c>
      <c r="Q202" s="16"/>
      <c r="R202" s="16"/>
    </row>
    <row r="203" customFormat="false" ht="15" hidden="false" customHeight="false" outlineLevel="0" collapsed="false">
      <c r="A203" s="16"/>
      <c r="B203" s="16"/>
      <c r="C203" s="62" t="str">
        <f aca="false">IF(IFERROR(-INDEX(Expenses!D$3:D$1002,SMALL(IF((Expenses!E$3:E$1002="GBP")*(Expenses!A$3:A$1002=DATE(2026,9,28)),ROW(Expenses!A$3:A$1002)-2),5)),0)+IFERROR(INDEX(Income!C$3:C$502,SMALL(IF((Income!D$3:D$502="GBP")*(Income!A$3:A$502=DATE(2026,9,28)),ROW(Income!A$3:A$502)-2),5)),0)=0,"",IFERROR(-INDEX(Expenses!D$3:D$1002,SMALL(IF((Expenses!E$3:E$1002="GBP")*(Expenses!A$3:A$1002=DATE(2026,9,28)),ROW(Expenses!A$3:A$1002)-2),5)),0)+IFERROR(INDEX(Income!C$3:C$502,SMALL(IF((Income!D$3:D$502="GBP")*(Income!A$3:A$502=DATE(2026,9,28)),ROW(Income!A$3:A$502)-2),5)),0))</f>
        <v/>
      </c>
      <c r="D203" s="38" t="str">
        <f aca="false">IF(IFERROR(INDEX(Expenses!B$3:B$1002,SMALL(IF((Expenses!E$3:E$1002="GBP")*(Expenses!A$3:A$1002=DATE(2026,9,28)),ROW(Expenses!A$3:A$1002)-2),5)),"")&lt;&gt;"",IFERROR(INDEX(Expenses!B$3:B$1002,SMALL(IF((Expenses!E$3:E$1002="GBP")*(Expenses!A$3:A$1002=DATE(2026,9,28)),ROW(Expenses!A$3:A$1002)-2),5)),""),IF(IFERROR(INDEX(Income!B$3:B$502,SMALL(IF((Income!D$3:D$502="GBP")*(Income!A$3:A$502=DATE(2026,9,28)),ROW(Income!A$3:A$502)-2),5)),"")&lt;&gt;"",IFERROR(INDEX(Income!B$3:B$502,SMALL(IF((Income!D$3:D$502="GBP")*(Income!A$3:A$502=DATE(2026,9,28)),ROW(Income!A$3:A$502)-2),5)),""),""))</f>
        <v/>
      </c>
      <c r="E203" s="62" t="str">
        <f aca="false">IF(IFERROR(-INDEX(Expenses!D$3:D$1002,SMALL(IF((Expenses!E$3:E$1002="GBP")*(Expenses!A$3:A$1002=DATE(2026,9,29)),ROW(Expenses!A$3:A$1002)-2),5)),0)+IFERROR(INDEX(Income!C$3:C$502,SMALL(IF((Income!D$3:D$502="GBP")*(Income!A$3:A$502=DATE(2026,9,29)),ROW(Income!A$3:A$502)-2),5)),0)=0,"",IFERROR(-INDEX(Expenses!D$3:D$1002,SMALL(IF((Expenses!E$3:E$1002="GBP")*(Expenses!A$3:A$1002=DATE(2026,9,29)),ROW(Expenses!A$3:A$1002)-2),5)),0)+IFERROR(INDEX(Income!C$3:C$502,SMALL(IF((Income!D$3:D$502="GBP")*(Income!A$3:A$502=DATE(2026,9,29)),ROW(Income!A$3:A$502)-2),5)),0))</f>
        <v/>
      </c>
      <c r="F203" s="38" t="str">
        <f aca="false">IF(IFERROR(INDEX(Expenses!B$3:B$1002,SMALL(IF((Expenses!E$3:E$1002="GBP")*(Expenses!A$3:A$1002=DATE(2026,9,29)),ROW(Expenses!A$3:A$1002)-2),5)),"")&lt;&gt;"",IFERROR(INDEX(Expenses!B$3:B$1002,SMALL(IF((Expenses!E$3:E$1002="GBP")*(Expenses!A$3:A$1002=DATE(2026,9,29)),ROW(Expenses!A$3:A$1002)-2),5)),""),IF(IFERROR(INDEX(Income!B$3:B$502,SMALL(IF((Income!D$3:D$502="GBP")*(Income!A$3:A$502=DATE(2026,9,29)),ROW(Income!A$3:A$502)-2),5)),"")&lt;&gt;"",IFERROR(INDEX(Income!B$3:B$502,SMALL(IF((Income!D$3:D$502="GBP")*(Income!A$3:A$502=DATE(2026,9,29)),ROW(Income!A$3:A$502)-2),5)),""),""))</f>
        <v/>
      </c>
      <c r="G203" s="62" t="str">
        <f aca="false">IF(IFERROR(-INDEX(Expenses!D$3:D$1002,SMALL(IF((Expenses!E$3:E$1002="GBP")*(Expenses!A$3:A$1002=DATE(2026,9,30)),ROW(Expenses!A$3:A$1002)-2),5)),0)+IFERROR(INDEX(Income!C$3:C$502,SMALL(IF((Income!D$3:D$502="GBP")*(Income!A$3:A$502=DATE(2026,9,30)),ROW(Income!A$3:A$502)-2),5)),0)=0,"",IFERROR(-INDEX(Expenses!D$3:D$1002,SMALL(IF((Expenses!E$3:E$1002="GBP")*(Expenses!A$3:A$1002=DATE(2026,9,30)),ROW(Expenses!A$3:A$1002)-2),5)),0)+IFERROR(INDEX(Income!C$3:C$502,SMALL(IF((Income!D$3:D$502="GBP")*(Income!A$3:A$502=DATE(2026,9,30)),ROW(Income!A$3:A$502)-2),5)),0))</f>
        <v/>
      </c>
      <c r="H203" s="38" t="str">
        <f aca="false">IF(IFERROR(INDEX(Expenses!B$3:B$1002,SMALL(IF((Expenses!E$3:E$1002="GBP")*(Expenses!A$3:A$1002=DATE(2026,9,30)),ROW(Expenses!A$3:A$1002)-2),5)),"")&lt;&gt;"",IFERROR(INDEX(Expenses!B$3:B$1002,SMALL(IF((Expenses!E$3:E$1002="GBP")*(Expenses!A$3:A$1002=DATE(2026,9,30)),ROW(Expenses!A$3:A$1002)-2),5)),""),IF(IFERROR(INDEX(Income!B$3:B$502,SMALL(IF((Income!D$3:D$502="GBP")*(Income!A$3:A$502=DATE(2026,9,30)),ROW(Income!A$3:A$502)-2),5)),"")&lt;&gt;"",IFERROR(INDEX(Income!B$3:B$502,SMALL(IF((Income!D$3:D$502="GBP")*(Income!A$3:A$502=DATE(2026,9,30)),ROW(Income!A$3:A$502)-2),5)),""),""))</f>
        <v/>
      </c>
      <c r="I203" s="62" t="str">
        <f aca="false">IF(IFERROR(-INDEX(Expenses!D$3:D$1002,SMALL(IF((Expenses!E$3:E$1002="GBP")*(Expenses!A$3:A$1002=DATE(2026,10,1)),ROW(Expenses!A$3:A$1002)-2),5)),0)+IFERROR(INDEX(Income!C$3:C$502,SMALL(IF((Income!D$3:D$502="GBP")*(Income!A$3:A$502=DATE(2026,10,1)),ROW(Income!A$3:A$502)-2),5)),0)=0,"",IFERROR(-INDEX(Expenses!D$3:D$1002,SMALL(IF((Expenses!E$3:E$1002="GBP")*(Expenses!A$3:A$1002=DATE(2026,10,1)),ROW(Expenses!A$3:A$1002)-2),5)),0)+IFERROR(INDEX(Income!C$3:C$502,SMALL(IF((Income!D$3:D$502="GBP")*(Income!A$3:A$502=DATE(2026,10,1)),ROW(Income!A$3:A$502)-2),5)),0))</f>
        <v/>
      </c>
      <c r="J203" s="38" t="str">
        <f aca="false">IF(IFERROR(INDEX(Expenses!B$3:B$1002,SMALL(IF((Expenses!E$3:E$1002="GBP")*(Expenses!A$3:A$1002=DATE(2026,10,1)),ROW(Expenses!A$3:A$1002)-2),5)),"")&lt;&gt;"",IFERROR(INDEX(Expenses!B$3:B$1002,SMALL(IF((Expenses!E$3:E$1002="GBP")*(Expenses!A$3:A$1002=DATE(2026,10,1)),ROW(Expenses!A$3:A$1002)-2),5)),""),IF(IFERROR(INDEX(Income!B$3:B$502,SMALL(IF((Income!D$3:D$502="GBP")*(Income!A$3:A$502=DATE(2026,10,1)),ROW(Income!A$3:A$502)-2),5)),"")&lt;&gt;"",IFERROR(INDEX(Income!B$3:B$502,SMALL(IF((Income!D$3:D$502="GBP")*(Income!A$3:A$502=DATE(2026,10,1)),ROW(Income!A$3:A$502)-2),5)),""),""))</f>
        <v/>
      </c>
      <c r="K203" s="62" t="str">
        <f aca="false">IF(IFERROR(-INDEX(Expenses!D$3:D$1002,SMALL(IF((Expenses!E$3:E$1002="GBP")*(Expenses!A$3:A$1002=DATE(2026,10,2)),ROW(Expenses!A$3:A$1002)-2),5)),0)+IFERROR(INDEX(Income!C$3:C$502,SMALL(IF((Income!D$3:D$502="GBP")*(Income!A$3:A$502=DATE(2026,10,2)),ROW(Income!A$3:A$502)-2),5)),0)=0,"",IFERROR(-INDEX(Expenses!D$3:D$1002,SMALL(IF((Expenses!E$3:E$1002="GBP")*(Expenses!A$3:A$1002=DATE(2026,10,2)),ROW(Expenses!A$3:A$1002)-2),5)),0)+IFERROR(INDEX(Income!C$3:C$502,SMALL(IF((Income!D$3:D$502="GBP")*(Income!A$3:A$502=DATE(2026,10,2)),ROW(Income!A$3:A$502)-2),5)),0))</f>
        <v/>
      </c>
      <c r="L203" s="38" t="str">
        <f aca="false">IF(IFERROR(INDEX(Expenses!B$3:B$1002,SMALL(IF((Expenses!E$3:E$1002="GBP")*(Expenses!A$3:A$1002=DATE(2026,10,2)),ROW(Expenses!A$3:A$1002)-2),5)),"")&lt;&gt;"",IFERROR(INDEX(Expenses!B$3:B$1002,SMALL(IF((Expenses!E$3:E$1002="GBP")*(Expenses!A$3:A$1002=DATE(2026,10,2)),ROW(Expenses!A$3:A$1002)-2),5)),""),IF(IFERROR(INDEX(Income!B$3:B$502,SMALL(IF((Income!D$3:D$502="GBP")*(Income!A$3:A$502=DATE(2026,10,2)),ROW(Income!A$3:A$502)-2),5)),"")&lt;&gt;"",IFERROR(INDEX(Income!B$3:B$502,SMALL(IF((Income!D$3:D$502="GBP")*(Income!A$3:A$502=DATE(2026,10,2)),ROW(Income!A$3:A$502)-2),5)),""),""))</f>
        <v/>
      </c>
      <c r="M203" s="62" t="str">
        <f aca="false">IF(IFERROR(-INDEX(Expenses!D$3:D$1002,SMALL(IF((Expenses!E$3:E$1002="GBP")*(Expenses!A$3:A$1002=DATE(2026,10,3)),ROW(Expenses!A$3:A$1002)-2),5)),0)+IFERROR(INDEX(Income!C$3:C$502,SMALL(IF((Income!D$3:D$502="GBP")*(Income!A$3:A$502=DATE(2026,10,3)),ROW(Income!A$3:A$502)-2),5)),0)=0,"",IFERROR(-INDEX(Expenses!D$3:D$1002,SMALL(IF((Expenses!E$3:E$1002="GBP")*(Expenses!A$3:A$1002=DATE(2026,10,3)),ROW(Expenses!A$3:A$1002)-2),5)),0)+IFERROR(INDEX(Income!C$3:C$502,SMALL(IF((Income!D$3:D$502="GBP")*(Income!A$3:A$502=DATE(2026,10,3)),ROW(Income!A$3:A$502)-2),5)),0))</f>
        <v/>
      </c>
      <c r="N203" s="38" t="str">
        <f aca="false">IF(IFERROR(INDEX(Expenses!B$3:B$1002,SMALL(IF((Expenses!E$3:E$1002="GBP")*(Expenses!A$3:A$1002=DATE(2026,10,3)),ROW(Expenses!A$3:A$1002)-2),5)),"")&lt;&gt;"",IFERROR(INDEX(Expenses!B$3:B$1002,SMALL(IF((Expenses!E$3:E$1002="GBP")*(Expenses!A$3:A$1002=DATE(2026,10,3)),ROW(Expenses!A$3:A$1002)-2),5)),""),IF(IFERROR(INDEX(Income!B$3:B$502,SMALL(IF((Income!D$3:D$502="GBP")*(Income!A$3:A$502=DATE(2026,10,3)),ROW(Income!A$3:A$502)-2),5)),"")&lt;&gt;"",IFERROR(INDEX(Income!B$3:B$502,SMALL(IF((Income!D$3:D$502="GBP")*(Income!A$3:A$502=DATE(2026,10,3)),ROW(Income!A$3:A$502)-2),5)),""),""))</f>
        <v/>
      </c>
      <c r="O203" s="62" t="str">
        <f aca="false">IF(IFERROR(-INDEX(Expenses!D$3:D$1002,SMALL(IF((Expenses!E$3:E$1002="GBP")*(Expenses!A$3:A$1002=DATE(2026,10,4)),ROW(Expenses!A$3:A$1002)-2),5)),0)+IFERROR(INDEX(Income!C$3:C$502,SMALL(IF((Income!D$3:D$502="GBP")*(Income!A$3:A$502=DATE(2026,10,4)),ROW(Income!A$3:A$502)-2),5)),0)=0,"",IFERROR(-INDEX(Expenses!D$3:D$1002,SMALL(IF((Expenses!E$3:E$1002="GBP")*(Expenses!A$3:A$1002=DATE(2026,10,4)),ROW(Expenses!A$3:A$1002)-2),5)),0)+IFERROR(INDEX(Income!C$3:C$502,SMALL(IF((Income!D$3:D$502="GBP")*(Income!A$3:A$502=DATE(2026,10,4)),ROW(Income!A$3:A$502)-2),5)),0))</f>
        <v/>
      </c>
      <c r="P203" s="38" t="str">
        <f aca="false">IF(IFERROR(INDEX(Expenses!B$3:B$1002,SMALL(IF((Expenses!E$3:E$1002="GBP")*(Expenses!A$3:A$1002=DATE(2026,10,4)),ROW(Expenses!A$3:A$1002)-2),5)),"")&lt;&gt;"",IFERROR(INDEX(Expenses!B$3:B$1002,SMALL(IF((Expenses!E$3:E$1002="GBP")*(Expenses!A$3:A$1002=DATE(2026,10,4)),ROW(Expenses!A$3:A$1002)-2),5)),""),IF(IFERROR(INDEX(Income!B$3:B$502,SMALL(IF((Income!D$3:D$502="GBP")*(Income!A$3:A$502=DATE(2026,10,4)),ROW(Income!A$3:A$502)-2),5)),"")&lt;&gt;"",IFERROR(INDEX(Income!B$3:B$502,SMALL(IF((Income!D$3:D$502="GBP")*(Income!A$3:A$502=DATE(2026,10,4)),ROW(Income!A$3:A$502)-2),5)),""),""))</f>
        <v/>
      </c>
      <c r="Q203" s="16"/>
      <c r="R203" s="16"/>
    </row>
    <row r="204" customFormat="false" ht="15" hidden="false" customHeight="false" outlineLevel="0" collapsed="false">
      <c r="A204" s="61" t="n">
        <v>46300</v>
      </c>
      <c r="B204" s="3" t="n">
        <v>41</v>
      </c>
      <c r="C204" s="62" t="str">
        <f aca="false">IF(IFERROR(-INDEX(Expenses!D$3:D$1002,SMALL(IF((Expenses!E$3:E$1002="GBP")*(Expenses!A$3:A$1002=DATE(2026,10,5)),ROW(Expenses!A$3:A$1002)-2),1)),0)+IFERROR(INDEX(Income!C$3:C$502,SMALL(IF((Income!D$3:D$502="GBP")*(Income!A$3:A$502=DATE(2026,10,5)),ROW(Income!A$3:A$502)-2),1)),0)=0,"",IFERROR(-INDEX(Expenses!D$3:D$1002,SMALL(IF((Expenses!E$3:E$1002="GBP")*(Expenses!A$3:A$1002=DATE(2026,10,5)),ROW(Expenses!A$3:A$1002)-2),1)),0)+IFERROR(INDEX(Income!C$3:C$502,SMALL(IF((Income!D$3:D$502="GBP")*(Income!A$3:A$502=DATE(2026,10,5)),ROW(Income!A$3:A$502)-2),1)),0))</f>
        <v/>
      </c>
      <c r="D204" s="38" t="str">
        <f aca="false">IF(IFERROR(INDEX(Expenses!B$3:B$1002,SMALL(IF((Expenses!E$3:E$1002="GBP")*(Expenses!A$3:A$1002=DATE(2026,10,5)),ROW(Expenses!A$3:A$1002)-2),1)),"")&lt;&gt;"",IFERROR(INDEX(Expenses!B$3:B$1002,SMALL(IF((Expenses!E$3:E$1002="GBP")*(Expenses!A$3:A$1002=DATE(2026,10,5)),ROW(Expenses!A$3:A$1002)-2),1)),""),IF(IFERROR(INDEX(Income!B$3:B$502,SMALL(IF((Income!D$3:D$502="GBP")*(Income!A$3:A$502=DATE(2026,10,5)),ROW(Income!A$3:A$502)-2),1)),"")&lt;&gt;"",IFERROR(INDEX(Income!B$3:B$502,SMALL(IF((Income!D$3:D$502="GBP")*(Income!A$3:A$502=DATE(2026,10,5)),ROW(Income!A$3:A$502)-2),1)),""),""))</f>
        <v/>
      </c>
      <c r="E204" s="62" t="str">
        <f aca="false">IF(IFERROR(-INDEX(Expenses!D$3:D$1002,SMALL(IF((Expenses!E$3:E$1002="GBP")*(Expenses!A$3:A$1002=DATE(2026,10,6)),ROW(Expenses!A$3:A$1002)-2),1)),0)+IFERROR(INDEX(Income!C$3:C$502,SMALL(IF((Income!D$3:D$502="GBP")*(Income!A$3:A$502=DATE(2026,10,6)),ROW(Income!A$3:A$502)-2),1)),0)=0,"",IFERROR(-INDEX(Expenses!D$3:D$1002,SMALL(IF((Expenses!E$3:E$1002="GBP")*(Expenses!A$3:A$1002=DATE(2026,10,6)),ROW(Expenses!A$3:A$1002)-2),1)),0)+IFERROR(INDEX(Income!C$3:C$502,SMALL(IF((Income!D$3:D$502="GBP")*(Income!A$3:A$502=DATE(2026,10,6)),ROW(Income!A$3:A$502)-2),1)),0))</f>
        <v/>
      </c>
      <c r="F204" s="38" t="str">
        <f aca="false">IF(IFERROR(INDEX(Expenses!B$3:B$1002,SMALL(IF((Expenses!E$3:E$1002="GBP")*(Expenses!A$3:A$1002=DATE(2026,10,6)),ROW(Expenses!A$3:A$1002)-2),1)),"")&lt;&gt;"",IFERROR(INDEX(Expenses!B$3:B$1002,SMALL(IF((Expenses!E$3:E$1002="GBP")*(Expenses!A$3:A$1002=DATE(2026,10,6)),ROW(Expenses!A$3:A$1002)-2),1)),""),IF(IFERROR(INDEX(Income!B$3:B$502,SMALL(IF((Income!D$3:D$502="GBP")*(Income!A$3:A$502=DATE(2026,10,6)),ROW(Income!A$3:A$502)-2),1)),"")&lt;&gt;"",IFERROR(INDEX(Income!B$3:B$502,SMALL(IF((Income!D$3:D$502="GBP")*(Income!A$3:A$502=DATE(2026,10,6)),ROW(Income!A$3:A$502)-2),1)),""),""))</f>
        <v/>
      </c>
      <c r="G204" s="62" t="str">
        <f aca="false">IF(IFERROR(-INDEX(Expenses!D$3:D$1002,SMALL(IF((Expenses!E$3:E$1002="GBP")*(Expenses!A$3:A$1002=DATE(2026,10,7)),ROW(Expenses!A$3:A$1002)-2),1)),0)+IFERROR(INDEX(Income!C$3:C$502,SMALL(IF((Income!D$3:D$502="GBP")*(Income!A$3:A$502=DATE(2026,10,7)),ROW(Income!A$3:A$502)-2),1)),0)=0,"",IFERROR(-INDEX(Expenses!D$3:D$1002,SMALL(IF((Expenses!E$3:E$1002="GBP")*(Expenses!A$3:A$1002=DATE(2026,10,7)),ROW(Expenses!A$3:A$1002)-2),1)),0)+IFERROR(INDEX(Income!C$3:C$502,SMALL(IF((Income!D$3:D$502="GBP")*(Income!A$3:A$502=DATE(2026,10,7)),ROW(Income!A$3:A$502)-2),1)),0))</f>
        <v/>
      </c>
      <c r="H204" s="38" t="str">
        <f aca="false">IF(IFERROR(INDEX(Expenses!B$3:B$1002,SMALL(IF((Expenses!E$3:E$1002="GBP")*(Expenses!A$3:A$1002=DATE(2026,10,7)),ROW(Expenses!A$3:A$1002)-2),1)),"")&lt;&gt;"",IFERROR(INDEX(Expenses!B$3:B$1002,SMALL(IF((Expenses!E$3:E$1002="GBP")*(Expenses!A$3:A$1002=DATE(2026,10,7)),ROW(Expenses!A$3:A$1002)-2),1)),""),IF(IFERROR(INDEX(Income!B$3:B$502,SMALL(IF((Income!D$3:D$502="GBP")*(Income!A$3:A$502=DATE(2026,10,7)),ROW(Income!A$3:A$502)-2),1)),"")&lt;&gt;"",IFERROR(INDEX(Income!B$3:B$502,SMALL(IF((Income!D$3:D$502="GBP")*(Income!A$3:A$502=DATE(2026,10,7)),ROW(Income!A$3:A$502)-2),1)),""),""))</f>
        <v/>
      </c>
      <c r="I204" s="62" t="str">
        <f aca="false">IF(IFERROR(-INDEX(Expenses!D$3:D$1002,SMALL(IF((Expenses!E$3:E$1002="GBP")*(Expenses!A$3:A$1002=DATE(2026,10,8)),ROW(Expenses!A$3:A$1002)-2),1)),0)+IFERROR(INDEX(Income!C$3:C$502,SMALL(IF((Income!D$3:D$502="GBP")*(Income!A$3:A$502=DATE(2026,10,8)),ROW(Income!A$3:A$502)-2),1)),0)=0,"",IFERROR(-INDEX(Expenses!D$3:D$1002,SMALL(IF((Expenses!E$3:E$1002="GBP")*(Expenses!A$3:A$1002=DATE(2026,10,8)),ROW(Expenses!A$3:A$1002)-2),1)),0)+IFERROR(INDEX(Income!C$3:C$502,SMALL(IF((Income!D$3:D$502="GBP")*(Income!A$3:A$502=DATE(2026,10,8)),ROW(Income!A$3:A$502)-2),1)),0))</f>
        <v/>
      </c>
      <c r="J204" s="38" t="str">
        <f aca="false">IF(IFERROR(INDEX(Expenses!B$3:B$1002,SMALL(IF((Expenses!E$3:E$1002="GBP")*(Expenses!A$3:A$1002=DATE(2026,10,8)),ROW(Expenses!A$3:A$1002)-2),1)),"")&lt;&gt;"",IFERROR(INDEX(Expenses!B$3:B$1002,SMALL(IF((Expenses!E$3:E$1002="GBP")*(Expenses!A$3:A$1002=DATE(2026,10,8)),ROW(Expenses!A$3:A$1002)-2),1)),""),IF(IFERROR(INDEX(Income!B$3:B$502,SMALL(IF((Income!D$3:D$502="GBP")*(Income!A$3:A$502=DATE(2026,10,8)),ROW(Income!A$3:A$502)-2),1)),"")&lt;&gt;"",IFERROR(INDEX(Income!B$3:B$502,SMALL(IF((Income!D$3:D$502="GBP")*(Income!A$3:A$502=DATE(2026,10,8)),ROW(Income!A$3:A$502)-2),1)),""),""))</f>
        <v/>
      </c>
      <c r="K204" s="62" t="str">
        <f aca="false">IF(IFERROR(-INDEX(Expenses!D$3:D$1002,SMALL(IF((Expenses!E$3:E$1002="GBP")*(Expenses!A$3:A$1002=DATE(2026,10,9)),ROW(Expenses!A$3:A$1002)-2),1)),0)+IFERROR(INDEX(Income!C$3:C$502,SMALL(IF((Income!D$3:D$502="GBP")*(Income!A$3:A$502=DATE(2026,10,9)),ROW(Income!A$3:A$502)-2),1)),0)=0,"",IFERROR(-INDEX(Expenses!D$3:D$1002,SMALL(IF((Expenses!E$3:E$1002="GBP")*(Expenses!A$3:A$1002=DATE(2026,10,9)),ROW(Expenses!A$3:A$1002)-2),1)),0)+IFERROR(INDEX(Income!C$3:C$502,SMALL(IF((Income!D$3:D$502="GBP")*(Income!A$3:A$502=DATE(2026,10,9)),ROW(Income!A$3:A$502)-2),1)),0))</f>
        <v/>
      </c>
      <c r="L204" s="38" t="str">
        <f aca="false">IF(IFERROR(INDEX(Expenses!B$3:B$1002,SMALL(IF((Expenses!E$3:E$1002="GBP")*(Expenses!A$3:A$1002=DATE(2026,10,9)),ROW(Expenses!A$3:A$1002)-2),1)),"")&lt;&gt;"",IFERROR(INDEX(Expenses!B$3:B$1002,SMALL(IF((Expenses!E$3:E$1002="GBP")*(Expenses!A$3:A$1002=DATE(2026,10,9)),ROW(Expenses!A$3:A$1002)-2),1)),""),IF(IFERROR(INDEX(Income!B$3:B$502,SMALL(IF((Income!D$3:D$502="GBP")*(Income!A$3:A$502=DATE(2026,10,9)),ROW(Income!A$3:A$502)-2),1)),"")&lt;&gt;"",IFERROR(INDEX(Income!B$3:B$502,SMALL(IF((Income!D$3:D$502="GBP")*(Income!A$3:A$502=DATE(2026,10,9)),ROW(Income!A$3:A$502)-2),1)),""),""))</f>
        <v/>
      </c>
      <c r="M204" s="62" t="str">
        <f aca="false">IF(IFERROR(-INDEX(Expenses!D$3:D$1002,SMALL(IF((Expenses!E$3:E$1002="GBP")*(Expenses!A$3:A$1002=DATE(2026,10,10)),ROW(Expenses!A$3:A$1002)-2),1)),0)+IFERROR(INDEX(Income!C$3:C$502,SMALL(IF((Income!D$3:D$502="GBP")*(Income!A$3:A$502=DATE(2026,10,10)),ROW(Income!A$3:A$502)-2),1)),0)=0,"",IFERROR(-INDEX(Expenses!D$3:D$1002,SMALL(IF((Expenses!E$3:E$1002="GBP")*(Expenses!A$3:A$1002=DATE(2026,10,10)),ROW(Expenses!A$3:A$1002)-2),1)),0)+IFERROR(INDEX(Income!C$3:C$502,SMALL(IF((Income!D$3:D$502="GBP")*(Income!A$3:A$502=DATE(2026,10,10)),ROW(Income!A$3:A$502)-2),1)),0))</f>
        <v/>
      </c>
      <c r="N204" s="38" t="str">
        <f aca="false">IF(IFERROR(INDEX(Expenses!B$3:B$1002,SMALL(IF((Expenses!E$3:E$1002="GBP")*(Expenses!A$3:A$1002=DATE(2026,10,10)),ROW(Expenses!A$3:A$1002)-2),1)),"")&lt;&gt;"",IFERROR(INDEX(Expenses!B$3:B$1002,SMALL(IF((Expenses!E$3:E$1002="GBP")*(Expenses!A$3:A$1002=DATE(2026,10,10)),ROW(Expenses!A$3:A$1002)-2),1)),""),IF(IFERROR(INDEX(Income!B$3:B$502,SMALL(IF((Income!D$3:D$502="GBP")*(Income!A$3:A$502=DATE(2026,10,10)),ROW(Income!A$3:A$502)-2),1)),"")&lt;&gt;"",IFERROR(INDEX(Income!B$3:B$502,SMALL(IF((Income!D$3:D$502="GBP")*(Income!A$3:A$502=DATE(2026,10,10)),ROW(Income!A$3:A$502)-2),1)),""),""))</f>
        <v/>
      </c>
      <c r="O204" s="62" t="str">
        <f aca="false">IF(IFERROR(-INDEX(Expenses!D$3:D$1002,SMALL(IF((Expenses!E$3:E$1002="GBP")*(Expenses!A$3:A$1002=DATE(2026,10,11)),ROW(Expenses!A$3:A$1002)-2),1)),0)+IFERROR(INDEX(Income!C$3:C$502,SMALL(IF((Income!D$3:D$502="GBP")*(Income!A$3:A$502=DATE(2026,10,11)),ROW(Income!A$3:A$502)-2),1)),0)=0,"",IFERROR(-INDEX(Expenses!D$3:D$1002,SMALL(IF((Expenses!E$3:E$1002="GBP")*(Expenses!A$3:A$1002=DATE(2026,10,11)),ROW(Expenses!A$3:A$1002)-2),1)),0)+IFERROR(INDEX(Income!C$3:C$502,SMALL(IF((Income!D$3:D$502="GBP")*(Income!A$3:A$502=DATE(2026,10,11)),ROW(Income!A$3:A$502)-2),1)),0))</f>
        <v/>
      </c>
      <c r="P204" s="38" t="str">
        <f aca="false">IF(IFERROR(INDEX(Expenses!B$3:B$1002,SMALL(IF((Expenses!E$3:E$1002="GBP")*(Expenses!A$3:A$1002=DATE(2026,10,11)),ROW(Expenses!A$3:A$1002)-2),1)),"")&lt;&gt;"",IFERROR(INDEX(Expenses!B$3:B$1002,SMALL(IF((Expenses!E$3:E$1002="GBP")*(Expenses!A$3:A$1002=DATE(2026,10,11)),ROW(Expenses!A$3:A$1002)-2),1)),""),IF(IFERROR(INDEX(Income!B$3:B$502,SMALL(IF((Income!D$3:D$502="GBP")*(Income!A$3:A$502=DATE(2026,10,11)),ROW(Income!A$3:A$502)-2),1)),"")&lt;&gt;"",IFERROR(INDEX(Income!B$3:B$502,SMALL(IF((Income!D$3:D$502="GBP")*(Income!A$3:A$502=DATE(2026,10,11)),ROW(Income!A$3:A$502)-2),1)),""),""))</f>
        <v/>
      </c>
      <c r="Q204" s="3" t="n">
        <v>41</v>
      </c>
      <c r="R204" s="45" t="n">
        <f aca="false">SUM(C204:C208)+SUM(E204:E208)+SUM(G204:G208)+SUM(I204:I208)+SUM(K204:K208)+SUM(M204:M208)+SUM(O204:O208)</f>
        <v>0</v>
      </c>
    </row>
    <row r="205" customFormat="false" ht="15" hidden="false" customHeight="false" outlineLevel="0" collapsed="false">
      <c r="A205" s="16"/>
      <c r="B205" s="16"/>
      <c r="C205" s="62" t="str">
        <f aca="false">IF(IFERROR(-INDEX(Expenses!D$3:D$1002,SMALL(IF((Expenses!E$3:E$1002="GBP")*(Expenses!A$3:A$1002=DATE(2026,10,5)),ROW(Expenses!A$3:A$1002)-2),2)),0)+IFERROR(INDEX(Income!C$3:C$502,SMALL(IF((Income!D$3:D$502="GBP")*(Income!A$3:A$502=DATE(2026,10,5)),ROW(Income!A$3:A$502)-2),2)),0)=0,"",IFERROR(-INDEX(Expenses!D$3:D$1002,SMALL(IF((Expenses!E$3:E$1002="GBP")*(Expenses!A$3:A$1002=DATE(2026,10,5)),ROW(Expenses!A$3:A$1002)-2),2)),0)+IFERROR(INDEX(Income!C$3:C$502,SMALL(IF((Income!D$3:D$502="GBP")*(Income!A$3:A$502=DATE(2026,10,5)),ROW(Income!A$3:A$502)-2),2)),0))</f>
        <v/>
      </c>
      <c r="D205" s="38" t="str">
        <f aca="false">IF(IFERROR(INDEX(Expenses!B$3:B$1002,SMALL(IF((Expenses!E$3:E$1002="GBP")*(Expenses!A$3:A$1002=DATE(2026,10,5)),ROW(Expenses!A$3:A$1002)-2),2)),"")&lt;&gt;"",IFERROR(INDEX(Expenses!B$3:B$1002,SMALL(IF((Expenses!E$3:E$1002="GBP")*(Expenses!A$3:A$1002=DATE(2026,10,5)),ROW(Expenses!A$3:A$1002)-2),2)),""),IF(IFERROR(INDEX(Income!B$3:B$502,SMALL(IF((Income!D$3:D$502="GBP")*(Income!A$3:A$502=DATE(2026,10,5)),ROW(Income!A$3:A$502)-2),2)),"")&lt;&gt;"",IFERROR(INDEX(Income!B$3:B$502,SMALL(IF((Income!D$3:D$502="GBP")*(Income!A$3:A$502=DATE(2026,10,5)),ROW(Income!A$3:A$502)-2),2)),""),""))</f>
        <v/>
      </c>
      <c r="E205" s="62" t="str">
        <f aca="false">IF(IFERROR(-INDEX(Expenses!D$3:D$1002,SMALL(IF((Expenses!E$3:E$1002="GBP")*(Expenses!A$3:A$1002=DATE(2026,10,6)),ROW(Expenses!A$3:A$1002)-2),2)),0)+IFERROR(INDEX(Income!C$3:C$502,SMALL(IF((Income!D$3:D$502="GBP")*(Income!A$3:A$502=DATE(2026,10,6)),ROW(Income!A$3:A$502)-2),2)),0)=0,"",IFERROR(-INDEX(Expenses!D$3:D$1002,SMALL(IF((Expenses!E$3:E$1002="GBP")*(Expenses!A$3:A$1002=DATE(2026,10,6)),ROW(Expenses!A$3:A$1002)-2),2)),0)+IFERROR(INDEX(Income!C$3:C$502,SMALL(IF((Income!D$3:D$502="GBP")*(Income!A$3:A$502=DATE(2026,10,6)),ROW(Income!A$3:A$502)-2),2)),0))</f>
        <v/>
      </c>
      <c r="F205" s="38" t="str">
        <f aca="false">IF(IFERROR(INDEX(Expenses!B$3:B$1002,SMALL(IF((Expenses!E$3:E$1002="GBP")*(Expenses!A$3:A$1002=DATE(2026,10,6)),ROW(Expenses!A$3:A$1002)-2),2)),"")&lt;&gt;"",IFERROR(INDEX(Expenses!B$3:B$1002,SMALL(IF((Expenses!E$3:E$1002="GBP")*(Expenses!A$3:A$1002=DATE(2026,10,6)),ROW(Expenses!A$3:A$1002)-2),2)),""),IF(IFERROR(INDEX(Income!B$3:B$502,SMALL(IF((Income!D$3:D$502="GBP")*(Income!A$3:A$502=DATE(2026,10,6)),ROW(Income!A$3:A$502)-2),2)),"")&lt;&gt;"",IFERROR(INDEX(Income!B$3:B$502,SMALL(IF((Income!D$3:D$502="GBP")*(Income!A$3:A$502=DATE(2026,10,6)),ROW(Income!A$3:A$502)-2),2)),""),""))</f>
        <v/>
      </c>
      <c r="G205" s="62" t="str">
        <f aca="false">IF(IFERROR(-INDEX(Expenses!D$3:D$1002,SMALL(IF((Expenses!E$3:E$1002="GBP")*(Expenses!A$3:A$1002=DATE(2026,10,7)),ROW(Expenses!A$3:A$1002)-2),2)),0)+IFERROR(INDEX(Income!C$3:C$502,SMALL(IF((Income!D$3:D$502="GBP")*(Income!A$3:A$502=DATE(2026,10,7)),ROW(Income!A$3:A$502)-2),2)),0)=0,"",IFERROR(-INDEX(Expenses!D$3:D$1002,SMALL(IF((Expenses!E$3:E$1002="GBP")*(Expenses!A$3:A$1002=DATE(2026,10,7)),ROW(Expenses!A$3:A$1002)-2),2)),0)+IFERROR(INDEX(Income!C$3:C$502,SMALL(IF((Income!D$3:D$502="GBP")*(Income!A$3:A$502=DATE(2026,10,7)),ROW(Income!A$3:A$502)-2),2)),0))</f>
        <v/>
      </c>
      <c r="H205" s="38" t="str">
        <f aca="false">IF(IFERROR(INDEX(Expenses!B$3:B$1002,SMALL(IF((Expenses!E$3:E$1002="GBP")*(Expenses!A$3:A$1002=DATE(2026,10,7)),ROW(Expenses!A$3:A$1002)-2),2)),"")&lt;&gt;"",IFERROR(INDEX(Expenses!B$3:B$1002,SMALL(IF((Expenses!E$3:E$1002="GBP")*(Expenses!A$3:A$1002=DATE(2026,10,7)),ROW(Expenses!A$3:A$1002)-2),2)),""),IF(IFERROR(INDEX(Income!B$3:B$502,SMALL(IF((Income!D$3:D$502="GBP")*(Income!A$3:A$502=DATE(2026,10,7)),ROW(Income!A$3:A$502)-2),2)),"")&lt;&gt;"",IFERROR(INDEX(Income!B$3:B$502,SMALL(IF((Income!D$3:D$502="GBP")*(Income!A$3:A$502=DATE(2026,10,7)),ROW(Income!A$3:A$502)-2),2)),""),""))</f>
        <v/>
      </c>
      <c r="I205" s="62" t="str">
        <f aca="false">IF(IFERROR(-INDEX(Expenses!D$3:D$1002,SMALL(IF((Expenses!E$3:E$1002="GBP")*(Expenses!A$3:A$1002=DATE(2026,10,8)),ROW(Expenses!A$3:A$1002)-2),2)),0)+IFERROR(INDEX(Income!C$3:C$502,SMALL(IF((Income!D$3:D$502="GBP")*(Income!A$3:A$502=DATE(2026,10,8)),ROW(Income!A$3:A$502)-2),2)),0)=0,"",IFERROR(-INDEX(Expenses!D$3:D$1002,SMALL(IF((Expenses!E$3:E$1002="GBP")*(Expenses!A$3:A$1002=DATE(2026,10,8)),ROW(Expenses!A$3:A$1002)-2),2)),0)+IFERROR(INDEX(Income!C$3:C$502,SMALL(IF((Income!D$3:D$502="GBP")*(Income!A$3:A$502=DATE(2026,10,8)),ROW(Income!A$3:A$502)-2),2)),0))</f>
        <v/>
      </c>
      <c r="J205" s="38" t="str">
        <f aca="false">IF(IFERROR(INDEX(Expenses!B$3:B$1002,SMALL(IF((Expenses!E$3:E$1002="GBP")*(Expenses!A$3:A$1002=DATE(2026,10,8)),ROW(Expenses!A$3:A$1002)-2),2)),"")&lt;&gt;"",IFERROR(INDEX(Expenses!B$3:B$1002,SMALL(IF((Expenses!E$3:E$1002="GBP")*(Expenses!A$3:A$1002=DATE(2026,10,8)),ROW(Expenses!A$3:A$1002)-2),2)),""),IF(IFERROR(INDEX(Income!B$3:B$502,SMALL(IF((Income!D$3:D$502="GBP")*(Income!A$3:A$502=DATE(2026,10,8)),ROW(Income!A$3:A$502)-2),2)),"")&lt;&gt;"",IFERROR(INDEX(Income!B$3:B$502,SMALL(IF((Income!D$3:D$502="GBP")*(Income!A$3:A$502=DATE(2026,10,8)),ROW(Income!A$3:A$502)-2),2)),""),""))</f>
        <v/>
      </c>
      <c r="K205" s="62" t="str">
        <f aca="false">IF(IFERROR(-INDEX(Expenses!D$3:D$1002,SMALL(IF((Expenses!E$3:E$1002="GBP")*(Expenses!A$3:A$1002=DATE(2026,10,9)),ROW(Expenses!A$3:A$1002)-2),2)),0)+IFERROR(INDEX(Income!C$3:C$502,SMALL(IF((Income!D$3:D$502="GBP")*(Income!A$3:A$502=DATE(2026,10,9)),ROW(Income!A$3:A$502)-2),2)),0)=0,"",IFERROR(-INDEX(Expenses!D$3:D$1002,SMALL(IF((Expenses!E$3:E$1002="GBP")*(Expenses!A$3:A$1002=DATE(2026,10,9)),ROW(Expenses!A$3:A$1002)-2),2)),0)+IFERROR(INDEX(Income!C$3:C$502,SMALL(IF((Income!D$3:D$502="GBP")*(Income!A$3:A$502=DATE(2026,10,9)),ROW(Income!A$3:A$502)-2),2)),0))</f>
        <v/>
      </c>
      <c r="L205" s="38" t="str">
        <f aca="false">IF(IFERROR(INDEX(Expenses!B$3:B$1002,SMALL(IF((Expenses!E$3:E$1002="GBP")*(Expenses!A$3:A$1002=DATE(2026,10,9)),ROW(Expenses!A$3:A$1002)-2),2)),"")&lt;&gt;"",IFERROR(INDEX(Expenses!B$3:B$1002,SMALL(IF((Expenses!E$3:E$1002="GBP")*(Expenses!A$3:A$1002=DATE(2026,10,9)),ROW(Expenses!A$3:A$1002)-2),2)),""),IF(IFERROR(INDEX(Income!B$3:B$502,SMALL(IF((Income!D$3:D$502="GBP")*(Income!A$3:A$502=DATE(2026,10,9)),ROW(Income!A$3:A$502)-2),2)),"")&lt;&gt;"",IFERROR(INDEX(Income!B$3:B$502,SMALL(IF((Income!D$3:D$502="GBP")*(Income!A$3:A$502=DATE(2026,10,9)),ROW(Income!A$3:A$502)-2),2)),""),""))</f>
        <v/>
      </c>
      <c r="M205" s="62" t="str">
        <f aca="false">IF(IFERROR(-INDEX(Expenses!D$3:D$1002,SMALL(IF((Expenses!E$3:E$1002="GBP")*(Expenses!A$3:A$1002=DATE(2026,10,10)),ROW(Expenses!A$3:A$1002)-2),2)),0)+IFERROR(INDEX(Income!C$3:C$502,SMALL(IF((Income!D$3:D$502="GBP")*(Income!A$3:A$502=DATE(2026,10,10)),ROW(Income!A$3:A$502)-2),2)),0)=0,"",IFERROR(-INDEX(Expenses!D$3:D$1002,SMALL(IF((Expenses!E$3:E$1002="GBP")*(Expenses!A$3:A$1002=DATE(2026,10,10)),ROW(Expenses!A$3:A$1002)-2),2)),0)+IFERROR(INDEX(Income!C$3:C$502,SMALL(IF((Income!D$3:D$502="GBP")*(Income!A$3:A$502=DATE(2026,10,10)),ROW(Income!A$3:A$502)-2),2)),0))</f>
        <v/>
      </c>
      <c r="N205" s="38" t="str">
        <f aca="false">IF(IFERROR(INDEX(Expenses!B$3:B$1002,SMALL(IF((Expenses!E$3:E$1002="GBP")*(Expenses!A$3:A$1002=DATE(2026,10,10)),ROW(Expenses!A$3:A$1002)-2),2)),"")&lt;&gt;"",IFERROR(INDEX(Expenses!B$3:B$1002,SMALL(IF((Expenses!E$3:E$1002="GBP")*(Expenses!A$3:A$1002=DATE(2026,10,10)),ROW(Expenses!A$3:A$1002)-2),2)),""),IF(IFERROR(INDEX(Income!B$3:B$502,SMALL(IF((Income!D$3:D$502="GBP")*(Income!A$3:A$502=DATE(2026,10,10)),ROW(Income!A$3:A$502)-2),2)),"")&lt;&gt;"",IFERROR(INDEX(Income!B$3:B$502,SMALL(IF((Income!D$3:D$502="GBP")*(Income!A$3:A$502=DATE(2026,10,10)),ROW(Income!A$3:A$502)-2),2)),""),""))</f>
        <v/>
      </c>
      <c r="O205" s="62" t="str">
        <f aca="false">IF(IFERROR(-INDEX(Expenses!D$3:D$1002,SMALL(IF((Expenses!E$3:E$1002="GBP")*(Expenses!A$3:A$1002=DATE(2026,10,11)),ROW(Expenses!A$3:A$1002)-2),2)),0)+IFERROR(INDEX(Income!C$3:C$502,SMALL(IF((Income!D$3:D$502="GBP")*(Income!A$3:A$502=DATE(2026,10,11)),ROW(Income!A$3:A$502)-2),2)),0)=0,"",IFERROR(-INDEX(Expenses!D$3:D$1002,SMALL(IF((Expenses!E$3:E$1002="GBP")*(Expenses!A$3:A$1002=DATE(2026,10,11)),ROW(Expenses!A$3:A$1002)-2),2)),0)+IFERROR(INDEX(Income!C$3:C$502,SMALL(IF((Income!D$3:D$502="GBP")*(Income!A$3:A$502=DATE(2026,10,11)),ROW(Income!A$3:A$502)-2),2)),0))</f>
        <v/>
      </c>
      <c r="P205" s="38" t="str">
        <f aca="false">IF(IFERROR(INDEX(Expenses!B$3:B$1002,SMALL(IF((Expenses!E$3:E$1002="GBP")*(Expenses!A$3:A$1002=DATE(2026,10,11)),ROW(Expenses!A$3:A$1002)-2),2)),"")&lt;&gt;"",IFERROR(INDEX(Expenses!B$3:B$1002,SMALL(IF((Expenses!E$3:E$1002="GBP")*(Expenses!A$3:A$1002=DATE(2026,10,11)),ROW(Expenses!A$3:A$1002)-2),2)),""),IF(IFERROR(INDEX(Income!B$3:B$502,SMALL(IF((Income!D$3:D$502="GBP")*(Income!A$3:A$502=DATE(2026,10,11)),ROW(Income!A$3:A$502)-2),2)),"")&lt;&gt;"",IFERROR(INDEX(Income!B$3:B$502,SMALL(IF((Income!D$3:D$502="GBP")*(Income!A$3:A$502=DATE(2026,10,11)),ROW(Income!A$3:A$502)-2),2)),""),""))</f>
        <v/>
      </c>
      <c r="Q205" s="16"/>
      <c r="R205" s="16"/>
    </row>
    <row r="206" customFormat="false" ht="15" hidden="false" customHeight="false" outlineLevel="0" collapsed="false">
      <c r="A206" s="16"/>
      <c r="B206" s="16"/>
      <c r="C206" s="62" t="str">
        <f aca="false">IF(IFERROR(-INDEX(Expenses!D$3:D$1002,SMALL(IF((Expenses!E$3:E$1002="GBP")*(Expenses!A$3:A$1002=DATE(2026,10,5)),ROW(Expenses!A$3:A$1002)-2),3)),0)+IFERROR(INDEX(Income!C$3:C$502,SMALL(IF((Income!D$3:D$502="GBP")*(Income!A$3:A$502=DATE(2026,10,5)),ROW(Income!A$3:A$502)-2),3)),0)=0,"",IFERROR(-INDEX(Expenses!D$3:D$1002,SMALL(IF((Expenses!E$3:E$1002="GBP")*(Expenses!A$3:A$1002=DATE(2026,10,5)),ROW(Expenses!A$3:A$1002)-2),3)),0)+IFERROR(INDEX(Income!C$3:C$502,SMALL(IF((Income!D$3:D$502="GBP")*(Income!A$3:A$502=DATE(2026,10,5)),ROW(Income!A$3:A$502)-2),3)),0))</f>
        <v/>
      </c>
      <c r="D206" s="38" t="str">
        <f aca="false">IF(IFERROR(INDEX(Expenses!B$3:B$1002,SMALL(IF((Expenses!E$3:E$1002="GBP")*(Expenses!A$3:A$1002=DATE(2026,10,5)),ROW(Expenses!A$3:A$1002)-2),3)),"")&lt;&gt;"",IFERROR(INDEX(Expenses!B$3:B$1002,SMALL(IF((Expenses!E$3:E$1002="GBP")*(Expenses!A$3:A$1002=DATE(2026,10,5)),ROW(Expenses!A$3:A$1002)-2),3)),""),IF(IFERROR(INDEX(Income!B$3:B$502,SMALL(IF((Income!D$3:D$502="GBP")*(Income!A$3:A$502=DATE(2026,10,5)),ROW(Income!A$3:A$502)-2),3)),"")&lt;&gt;"",IFERROR(INDEX(Income!B$3:B$502,SMALL(IF((Income!D$3:D$502="GBP")*(Income!A$3:A$502=DATE(2026,10,5)),ROW(Income!A$3:A$502)-2),3)),""),""))</f>
        <v/>
      </c>
      <c r="E206" s="62" t="str">
        <f aca="false">IF(IFERROR(-INDEX(Expenses!D$3:D$1002,SMALL(IF((Expenses!E$3:E$1002="GBP")*(Expenses!A$3:A$1002=DATE(2026,10,6)),ROW(Expenses!A$3:A$1002)-2),3)),0)+IFERROR(INDEX(Income!C$3:C$502,SMALL(IF((Income!D$3:D$502="GBP")*(Income!A$3:A$502=DATE(2026,10,6)),ROW(Income!A$3:A$502)-2),3)),0)=0,"",IFERROR(-INDEX(Expenses!D$3:D$1002,SMALL(IF((Expenses!E$3:E$1002="GBP")*(Expenses!A$3:A$1002=DATE(2026,10,6)),ROW(Expenses!A$3:A$1002)-2),3)),0)+IFERROR(INDEX(Income!C$3:C$502,SMALL(IF((Income!D$3:D$502="GBP")*(Income!A$3:A$502=DATE(2026,10,6)),ROW(Income!A$3:A$502)-2),3)),0))</f>
        <v/>
      </c>
      <c r="F206" s="38" t="str">
        <f aca="false">IF(IFERROR(INDEX(Expenses!B$3:B$1002,SMALL(IF((Expenses!E$3:E$1002="GBP")*(Expenses!A$3:A$1002=DATE(2026,10,6)),ROW(Expenses!A$3:A$1002)-2),3)),"")&lt;&gt;"",IFERROR(INDEX(Expenses!B$3:B$1002,SMALL(IF((Expenses!E$3:E$1002="GBP")*(Expenses!A$3:A$1002=DATE(2026,10,6)),ROW(Expenses!A$3:A$1002)-2),3)),""),IF(IFERROR(INDEX(Income!B$3:B$502,SMALL(IF((Income!D$3:D$502="GBP")*(Income!A$3:A$502=DATE(2026,10,6)),ROW(Income!A$3:A$502)-2),3)),"")&lt;&gt;"",IFERROR(INDEX(Income!B$3:B$502,SMALL(IF((Income!D$3:D$502="GBP")*(Income!A$3:A$502=DATE(2026,10,6)),ROW(Income!A$3:A$502)-2),3)),""),""))</f>
        <v/>
      </c>
      <c r="G206" s="62" t="str">
        <f aca="false">IF(IFERROR(-INDEX(Expenses!D$3:D$1002,SMALL(IF((Expenses!E$3:E$1002="GBP")*(Expenses!A$3:A$1002=DATE(2026,10,7)),ROW(Expenses!A$3:A$1002)-2),3)),0)+IFERROR(INDEX(Income!C$3:C$502,SMALL(IF((Income!D$3:D$502="GBP")*(Income!A$3:A$502=DATE(2026,10,7)),ROW(Income!A$3:A$502)-2),3)),0)=0,"",IFERROR(-INDEX(Expenses!D$3:D$1002,SMALL(IF((Expenses!E$3:E$1002="GBP")*(Expenses!A$3:A$1002=DATE(2026,10,7)),ROW(Expenses!A$3:A$1002)-2),3)),0)+IFERROR(INDEX(Income!C$3:C$502,SMALL(IF((Income!D$3:D$502="GBP")*(Income!A$3:A$502=DATE(2026,10,7)),ROW(Income!A$3:A$502)-2),3)),0))</f>
        <v/>
      </c>
      <c r="H206" s="38" t="str">
        <f aca="false">IF(IFERROR(INDEX(Expenses!B$3:B$1002,SMALL(IF((Expenses!E$3:E$1002="GBP")*(Expenses!A$3:A$1002=DATE(2026,10,7)),ROW(Expenses!A$3:A$1002)-2),3)),"")&lt;&gt;"",IFERROR(INDEX(Expenses!B$3:B$1002,SMALL(IF((Expenses!E$3:E$1002="GBP")*(Expenses!A$3:A$1002=DATE(2026,10,7)),ROW(Expenses!A$3:A$1002)-2),3)),""),IF(IFERROR(INDEX(Income!B$3:B$502,SMALL(IF((Income!D$3:D$502="GBP")*(Income!A$3:A$502=DATE(2026,10,7)),ROW(Income!A$3:A$502)-2),3)),"")&lt;&gt;"",IFERROR(INDEX(Income!B$3:B$502,SMALL(IF((Income!D$3:D$502="GBP")*(Income!A$3:A$502=DATE(2026,10,7)),ROW(Income!A$3:A$502)-2),3)),""),""))</f>
        <v/>
      </c>
      <c r="I206" s="62" t="str">
        <f aca="false">IF(IFERROR(-INDEX(Expenses!D$3:D$1002,SMALL(IF((Expenses!E$3:E$1002="GBP")*(Expenses!A$3:A$1002=DATE(2026,10,8)),ROW(Expenses!A$3:A$1002)-2),3)),0)+IFERROR(INDEX(Income!C$3:C$502,SMALL(IF((Income!D$3:D$502="GBP")*(Income!A$3:A$502=DATE(2026,10,8)),ROW(Income!A$3:A$502)-2),3)),0)=0,"",IFERROR(-INDEX(Expenses!D$3:D$1002,SMALL(IF((Expenses!E$3:E$1002="GBP")*(Expenses!A$3:A$1002=DATE(2026,10,8)),ROW(Expenses!A$3:A$1002)-2),3)),0)+IFERROR(INDEX(Income!C$3:C$502,SMALL(IF((Income!D$3:D$502="GBP")*(Income!A$3:A$502=DATE(2026,10,8)),ROW(Income!A$3:A$502)-2),3)),0))</f>
        <v/>
      </c>
      <c r="J206" s="38" t="str">
        <f aca="false">IF(IFERROR(INDEX(Expenses!B$3:B$1002,SMALL(IF((Expenses!E$3:E$1002="GBP")*(Expenses!A$3:A$1002=DATE(2026,10,8)),ROW(Expenses!A$3:A$1002)-2),3)),"")&lt;&gt;"",IFERROR(INDEX(Expenses!B$3:B$1002,SMALL(IF((Expenses!E$3:E$1002="GBP")*(Expenses!A$3:A$1002=DATE(2026,10,8)),ROW(Expenses!A$3:A$1002)-2),3)),""),IF(IFERROR(INDEX(Income!B$3:B$502,SMALL(IF((Income!D$3:D$502="GBP")*(Income!A$3:A$502=DATE(2026,10,8)),ROW(Income!A$3:A$502)-2),3)),"")&lt;&gt;"",IFERROR(INDEX(Income!B$3:B$502,SMALL(IF((Income!D$3:D$502="GBP")*(Income!A$3:A$502=DATE(2026,10,8)),ROW(Income!A$3:A$502)-2),3)),""),""))</f>
        <v/>
      </c>
      <c r="K206" s="62" t="str">
        <f aca="false">IF(IFERROR(-INDEX(Expenses!D$3:D$1002,SMALL(IF((Expenses!E$3:E$1002="GBP")*(Expenses!A$3:A$1002=DATE(2026,10,9)),ROW(Expenses!A$3:A$1002)-2),3)),0)+IFERROR(INDEX(Income!C$3:C$502,SMALL(IF((Income!D$3:D$502="GBP")*(Income!A$3:A$502=DATE(2026,10,9)),ROW(Income!A$3:A$502)-2),3)),0)=0,"",IFERROR(-INDEX(Expenses!D$3:D$1002,SMALL(IF((Expenses!E$3:E$1002="GBP")*(Expenses!A$3:A$1002=DATE(2026,10,9)),ROW(Expenses!A$3:A$1002)-2),3)),0)+IFERROR(INDEX(Income!C$3:C$502,SMALL(IF((Income!D$3:D$502="GBP")*(Income!A$3:A$502=DATE(2026,10,9)),ROW(Income!A$3:A$502)-2),3)),0))</f>
        <v/>
      </c>
      <c r="L206" s="38" t="str">
        <f aca="false">IF(IFERROR(INDEX(Expenses!B$3:B$1002,SMALL(IF((Expenses!E$3:E$1002="GBP")*(Expenses!A$3:A$1002=DATE(2026,10,9)),ROW(Expenses!A$3:A$1002)-2),3)),"")&lt;&gt;"",IFERROR(INDEX(Expenses!B$3:B$1002,SMALL(IF((Expenses!E$3:E$1002="GBP")*(Expenses!A$3:A$1002=DATE(2026,10,9)),ROW(Expenses!A$3:A$1002)-2),3)),""),IF(IFERROR(INDEX(Income!B$3:B$502,SMALL(IF((Income!D$3:D$502="GBP")*(Income!A$3:A$502=DATE(2026,10,9)),ROW(Income!A$3:A$502)-2),3)),"")&lt;&gt;"",IFERROR(INDEX(Income!B$3:B$502,SMALL(IF((Income!D$3:D$502="GBP")*(Income!A$3:A$502=DATE(2026,10,9)),ROW(Income!A$3:A$502)-2),3)),""),""))</f>
        <v/>
      </c>
      <c r="M206" s="62" t="str">
        <f aca="false">IF(IFERROR(-INDEX(Expenses!D$3:D$1002,SMALL(IF((Expenses!E$3:E$1002="GBP")*(Expenses!A$3:A$1002=DATE(2026,10,10)),ROW(Expenses!A$3:A$1002)-2),3)),0)+IFERROR(INDEX(Income!C$3:C$502,SMALL(IF((Income!D$3:D$502="GBP")*(Income!A$3:A$502=DATE(2026,10,10)),ROW(Income!A$3:A$502)-2),3)),0)=0,"",IFERROR(-INDEX(Expenses!D$3:D$1002,SMALL(IF((Expenses!E$3:E$1002="GBP")*(Expenses!A$3:A$1002=DATE(2026,10,10)),ROW(Expenses!A$3:A$1002)-2),3)),0)+IFERROR(INDEX(Income!C$3:C$502,SMALL(IF((Income!D$3:D$502="GBP")*(Income!A$3:A$502=DATE(2026,10,10)),ROW(Income!A$3:A$502)-2),3)),0))</f>
        <v/>
      </c>
      <c r="N206" s="38" t="str">
        <f aca="false">IF(IFERROR(INDEX(Expenses!B$3:B$1002,SMALL(IF((Expenses!E$3:E$1002="GBP")*(Expenses!A$3:A$1002=DATE(2026,10,10)),ROW(Expenses!A$3:A$1002)-2),3)),"")&lt;&gt;"",IFERROR(INDEX(Expenses!B$3:B$1002,SMALL(IF((Expenses!E$3:E$1002="GBP")*(Expenses!A$3:A$1002=DATE(2026,10,10)),ROW(Expenses!A$3:A$1002)-2),3)),""),IF(IFERROR(INDEX(Income!B$3:B$502,SMALL(IF((Income!D$3:D$502="GBP")*(Income!A$3:A$502=DATE(2026,10,10)),ROW(Income!A$3:A$502)-2),3)),"")&lt;&gt;"",IFERROR(INDEX(Income!B$3:B$502,SMALL(IF((Income!D$3:D$502="GBP")*(Income!A$3:A$502=DATE(2026,10,10)),ROW(Income!A$3:A$502)-2),3)),""),""))</f>
        <v/>
      </c>
      <c r="O206" s="62" t="str">
        <f aca="false">IF(IFERROR(-INDEX(Expenses!D$3:D$1002,SMALL(IF((Expenses!E$3:E$1002="GBP")*(Expenses!A$3:A$1002=DATE(2026,10,11)),ROW(Expenses!A$3:A$1002)-2),3)),0)+IFERROR(INDEX(Income!C$3:C$502,SMALL(IF((Income!D$3:D$502="GBP")*(Income!A$3:A$502=DATE(2026,10,11)),ROW(Income!A$3:A$502)-2),3)),0)=0,"",IFERROR(-INDEX(Expenses!D$3:D$1002,SMALL(IF((Expenses!E$3:E$1002="GBP")*(Expenses!A$3:A$1002=DATE(2026,10,11)),ROW(Expenses!A$3:A$1002)-2),3)),0)+IFERROR(INDEX(Income!C$3:C$502,SMALL(IF((Income!D$3:D$502="GBP")*(Income!A$3:A$502=DATE(2026,10,11)),ROW(Income!A$3:A$502)-2),3)),0))</f>
        <v/>
      </c>
      <c r="P206" s="38" t="str">
        <f aca="false">IF(IFERROR(INDEX(Expenses!B$3:B$1002,SMALL(IF((Expenses!E$3:E$1002="GBP")*(Expenses!A$3:A$1002=DATE(2026,10,11)),ROW(Expenses!A$3:A$1002)-2),3)),"")&lt;&gt;"",IFERROR(INDEX(Expenses!B$3:B$1002,SMALL(IF((Expenses!E$3:E$1002="GBP")*(Expenses!A$3:A$1002=DATE(2026,10,11)),ROW(Expenses!A$3:A$1002)-2),3)),""),IF(IFERROR(INDEX(Income!B$3:B$502,SMALL(IF((Income!D$3:D$502="GBP")*(Income!A$3:A$502=DATE(2026,10,11)),ROW(Income!A$3:A$502)-2),3)),"")&lt;&gt;"",IFERROR(INDEX(Income!B$3:B$502,SMALL(IF((Income!D$3:D$502="GBP")*(Income!A$3:A$502=DATE(2026,10,11)),ROW(Income!A$3:A$502)-2),3)),""),""))</f>
        <v/>
      </c>
      <c r="Q206" s="16"/>
      <c r="R206" s="16"/>
    </row>
    <row r="207" customFormat="false" ht="15" hidden="false" customHeight="false" outlineLevel="0" collapsed="false">
      <c r="A207" s="16"/>
      <c r="B207" s="16"/>
      <c r="C207" s="62" t="str">
        <f aca="false">IF(IFERROR(-INDEX(Expenses!D$3:D$1002,SMALL(IF((Expenses!E$3:E$1002="GBP")*(Expenses!A$3:A$1002=DATE(2026,10,5)),ROW(Expenses!A$3:A$1002)-2),4)),0)+IFERROR(INDEX(Income!C$3:C$502,SMALL(IF((Income!D$3:D$502="GBP")*(Income!A$3:A$502=DATE(2026,10,5)),ROW(Income!A$3:A$502)-2),4)),0)=0,"",IFERROR(-INDEX(Expenses!D$3:D$1002,SMALL(IF((Expenses!E$3:E$1002="GBP")*(Expenses!A$3:A$1002=DATE(2026,10,5)),ROW(Expenses!A$3:A$1002)-2),4)),0)+IFERROR(INDEX(Income!C$3:C$502,SMALL(IF((Income!D$3:D$502="GBP")*(Income!A$3:A$502=DATE(2026,10,5)),ROW(Income!A$3:A$502)-2),4)),0))</f>
        <v/>
      </c>
      <c r="D207" s="38" t="str">
        <f aca="false">IF(IFERROR(INDEX(Expenses!B$3:B$1002,SMALL(IF((Expenses!E$3:E$1002="GBP")*(Expenses!A$3:A$1002=DATE(2026,10,5)),ROW(Expenses!A$3:A$1002)-2),4)),"")&lt;&gt;"",IFERROR(INDEX(Expenses!B$3:B$1002,SMALL(IF((Expenses!E$3:E$1002="GBP")*(Expenses!A$3:A$1002=DATE(2026,10,5)),ROW(Expenses!A$3:A$1002)-2),4)),""),IF(IFERROR(INDEX(Income!B$3:B$502,SMALL(IF((Income!D$3:D$502="GBP")*(Income!A$3:A$502=DATE(2026,10,5)),ROW(Income!A$3:A$502)-2),4)),"")&lt;&gt;"",IFERROR(INDEX(Income!B$3:B$502,SMALL(IF((Income!D$3:D$502="GBP")*(Income!A$3:A$502=DATE(2026,10,5)),ROW(Income!A$3:A$502)-2),4)),""),""))</f>
        <v/>
      </c>
      <c r="E207" s="62" t="str">
        <f aca="false">IF(IFERROR(-INDEX(Expenses!D$3:D$1002,SMALL(IF((Expenses!E$3:E$1002="GBP")*(Expenses!A$3:A$1002=DATE(2026,10,6)),ROW(Expenses!A$3:A$1002)-2),4)),0)+IFERROR(INDEX(Income!C$3:C$502,SMALL(IF((Income!D$3:D$502="GBP")*(Income!A$3:A$502=DATE(2026,10,6)),ROW(Income!A$3:A$502)-2),4)),0)=0,"",IFERROR(-INDEX(Expenses!D$3:D$1002,SMALL(IF((Expenses!E$3:E$1002="GBP")*(Expenses!A$3:A$1002=DATE(2026,10,6)),ROW(Expenses!A$3:A$1002)-2),4)),0)+IFERROR(INDEX(Income!C$3:C$502,SMALL(IF((Income!D$3:D$502="GBP")*(Income!A$3:A$502=DATE(2026,10,6)),ROW(Income!A$3:A$502)-2),4)),0))</f>
        <v/>
      </c>
      <c r="F207" s="38" t="str">
        <f aca="false">IF(IFERROR(INDEX(Expenses!B$3:B$1002,SMALL(IF((Expenses!E$3:E$1002="GBP")*(Expenses!A$3:A$1002=DATE(2026,10,6)),ROW(Expenses!A$3:A$1002)-2),4)),"")&lt;&gt;"",IFERROR(INDEX(Expenses!B$3:B$1002,SMALL(IF((Expenses!E$3:E$1002="GBP")*(Expenses!A$3:A$1002=DATE(2026,10,6)),ROW(Expenses!A$3:A$1002)-2),4)),""),IF(IFERROR(INDEX(Income!B$3:B$502,SMALL(IF((Income!D$3:D$502="GBP")*(Income!A$3:A$502=DATE(2026,10,6)),ROW(Income!A$3:A$502)-2),4)),"")&lt;&gt;"",IFERROR(INDEX(Income!B$3:B$502,SMALL(IF((Income!D$3:D$502="GBP")*(Income!A$3:A$502=DATE(2026,10,6)),ROW(Income!A$3:A$502)-2),4)),""),""))</f>
        <v/>
      </c>
      <c r="G207" s="62" t="str">
        <f aca="false">IF(IFERROR(-INDEX(Expenses!D$3:D$1002,SMALL(IF((Expenses!E$3:E$1002="GBP")*(Expenses!A$3:A$1002=DATE(2026,10,7)),ROW(Expenses!A$3:A$1002)-2),4)),0)+IFERROR(INDEX(Income!C$3:C$502,SMALL(IF((Income!D$3:D$502="GBP")*(Income!A$3:A$502=DATE(2026,10,7)),ROW(Income!A$3:A$502)-2),4)),0)=0,"",IFERROR(-INDEX(Expenses!D$3:D$1002,SMALL(IF((Expenses!E$3:E$1002="GBP")*(Expenses!A$3:A$1002=DATE(2026,10,7)),ROW(Expenses!A$3:A$1002)-2),4)),0)+IFERROR(INDEX(Income!C$3:C$502,SMALL(IF((Income!D$3:D$502="GBP")*(Income!A$3:A$502=DATE(2026,10,7)),ROW(Income!A$3:A$502)-2),4)),0))</f>
        <v/>
      </c>
      <c r="H207" s="38" t="str">
        <f aca="false">IF(IFERROR(INDEX(Expenses!B$3:B$1002,SMALL(IF((Expenses!E$3:E$1002="GBP")*(Expenses!A$3:A$1002=DATE(2026,10,7)),ROW(Expenses!A$3:A$1002)-2),4)),"")&lt;&gt;"",IFERROR(INDEX(Expenses!B$3:B$1002,SMALL(IF((Expenses!E$3:E$1002="GBP")*(Expenses!A$3:A$1002=DATE(2026,10,7)),ROW(Expenses!A$3:A$1002)-2),4)),""),IF(IFERROR(INDEX(Income!B$3:B$502,SMALL(IF((Income!D$3:D$502="GBP")*(Income!A$3:A$502=DATE(2026,10,7)),ROW(Income!A$3:A$502)-2),4)),"")&lt;&gt;"",IFERROR(INDEX(Income!B$3:B$502,SMALL(IF((Income!D$3:D$502="GBP")*(Income!A$3:A$502=DATE(2026,10,7)),ROW(Income!A$3:A$502)-2),4)),""),""))</f>
        <v/>
      </c>
      <c r="I207" s="62" t="str">
        <f aca="false">IF(IFERROR(-INDEX(Expenses!D$3:D$1002,SMALL(IF((Expenses!E$3:E$1002="GBP")*(Expenses!A$3:A$1002=DATE(2026,10,8)),ROW(Expenses!A$3:A$1002)-2),4)),0)+IFERROR(INDEX(Income!C$3:C$502,SMALL(IF((Income!D$3:D$502="GBP")*(Income!A$3:A$502=DATE(2026,10,8)),ROW(Income!A$3:A$502)-2),4)),0)=0,"",IFERROR(-INDEX(Expenses!D$3:D$1002,SMALL(IF((Expenses!E$3:E$1002="GBP")*(Expenses!A$3:A$1002=DATE(2026,10,8)),ROW(Expenses!A$3:A$1002)-2),4)),0)+IFERROR(INDEX(Income!C$3:C$502,SMALL(IF((Income!D$3:D$502="GBP")*(Income!A$3:A$502=DATE(2026,10,8)),ROW(Income!A$3:A$502)-2),4)),0))</f>
        <v/>
      </c>
      <c r="J207" s="38" t="str">
        <f aca="false">IF(IFERROR(INDEX(Expenses!B$3:B$1002,SMALL(IF((Expenses!E$3:E$1002="GBP")*(Expenses!A$3:A$1002=DATE(2026,10,8)),ROW(Expenses!A$3:A$1002)-2),4)),"")&lt;&gt;"",IFERROR(INDEX(Expenses!B$3:B$1002,SMALL(IF((Expenses!E$3:E$1002="GBP")*(Expenses!A$3:A$1002=DATE(2026,10,8)),ROW(Expenses!A$3:A$1002)-2),4)),""),IF(IFERROR(INDEX(Income!B$3:B$502,SMALL(IF((Income!D$3:D$502="GBP")*(Income!A$3:A$502=DATE(2026,10,8)),ROW(Income!A$3:A$502)-2),4)),"")&lt;&gt;"",IFERROR(INDEX(Income!B$3:B$502,SMALL(IF((Income!D$3:D$502="GBP")*(Income!A$3:A$502=DATE(2026,10,8)),ROW(Income!A$3:A$502)-2),4)),""),""))</f>
        <v/>
      </c>
      <c r="K207" s="62" t="str">
        <f aca="false">IF(IFERROR(-INDEX(Expenses!D$3:D$1002,SMALL(IF((Expenses!E$3:E$1002="GBP")*(Expenses!A$3:A$1002=DATE(2026,10,9)),ROW(Expenses!A$3:A$1002)-2),4)),0)+IFERROR(INDEX(Income!C$3:C$502,SMALL(IF((Income!D$3:D$502="GBP")*(Income!A$3:A$502=DATE(2026,10,9)),ROW(Income!A$3:A$502)-2),4)),0)=0,"",IFERROR(-INDEX(Expenses!D$3:D$1002,SMALL(IF((Expenses!E$3:E$1002="GBP")*(Expenses!A$3:A$1002=DATE(2026,10,9)),ROW(Expenses!A$3:A$1002)-2),4)),0)+IFERROR(INDEX(Income!C$3:C$502,SMALL(IF((Income!D$3:D$502="GBP")*(Income!A$3:A$502=DATE(2026,10,9)),ROW(Income!A$3:A$502)-2),4)),0))</f>
        <v/>
      </c>
      <c r="L207" s="38" t="str">
        <f aca="false">IF(IFERROR(INDEX(Expenses!B$3:B$1002,SMALL(IF((Expenses!E$3:E$1002="GBP")*(Expenses!A$3:A$1002=DATE(2026,10,9)),ROW(Expenses!A$3:A$1002)-2),4)),"")&lt;&gt;"",IFERROR(INDEX(Expenses!B$3:B$1002,SMALL(IF((Expenses!E$3:E$1002="GBP")*(Expenses!A$3:A$1002=DATE(2026,10,9)),ROW(Expenses!A$3:A$1002)-2),4)),""),IF(IFERROR(INDEX(Income!B$3:B$502,SMALL(IF((Income!D$3:D$502="GBP")*(Income!A$3:A$502=DATE(2026,10,9)),ROW(Income!A$3:A$502)-2),4)),"")&lt;&gt;"",IFERROR(INDEX(Income!B$3:B$502,SMALL(IF((Income!D$3:D$502="GBP")*(Income!A$3:A$502=DATE(2026,10,9)),ROW(Income!A$3:A$502)-2),4)),""),""))</f>
        <v/>
      </c>
      <c r="M207" s="62" t="str">
        <f aca="false">IF(IFERROR(-INDEX(Expenses!D$3:D$1002,SMALL(IF((Expenses!E$3:E$1002="GBP")*(Expenses!A$3:A$1002=DATE(2026,10,10)),ROW(Expenses!A$3:A$1002)-2),4)),0)+IFERROR(INDEX(Income!C$3:C$502,SMALL(IF((Income!D$3:D$502="GBP")*(Income!A$3:A$502=DATE(2026,10,10)),ROW(Income!A$3:A$502)-2),4)),0)=0,"",IFERROR(-INDEX(Expenses!D$3:D$1002,SMALL(IF((Expenses!E$3:E$1002="GBP")*(Expenses!A$3:A$1002=DATE(2026,10,10)),ROW(Expenses!A$3:A$1002)-2),4)),0)+IFERROR(INDEX(Income!C$3:C$502,SMALL(IF((Income!D$3:D$502="GBP")*(Income!A$3:A$502=DATE(2026,10,10)),ROW(Income!A$3:A$502)-2),4)),0))</f>
        <v/>
      </c>
      <c r="N207" s="38" t="str">
        <f aca="false">IF(IFERROR(INDEX(Expenses!B$3:B$1002,SMALL(IF((Expenses!E$3:E$1002="GBP")*(Expenses!A$3:A$1002=DATE(2026,10,10)),ROW(Expenses!A$3:A$1002)-2),4)),"")&lt;&gt;"",IFERROR(INDEX(Expenses!B$3:B$1002,SMALL(IF((Expenses!E$3:E$1002="GBP")*(Expenses!A$3:A$1002=DATE(2026,10,10)),ROW(Expenses!A$3:A$1002)-2),4)),""),IF(IFERROR(INDEX(Income!B$3:B$502,SMALL(IF((Income!D$3:D$502="GBP")*(Income!A$3:A$502=DATE(2026,10,10)),ROW(Income!A$3:A$502)-2),4)),"")&lt;&gt;"",IFERROR(INDEX(Income!B$3:B$502,SMALL(IF((Income!D$3:D$502="GBP")*(Income!A$3:A$502=DATE(2026,10,10)),ROW(Income!A$3:A$502)-2),4)),""),""))</f>
        <v/>
      </c>
      <c r="O207" s="62" t="str">
        <f aca="false">IF(IFERROR(-INDEX(Expenses!D$3:D$1002,SMALL(IF((Expenses!E$3:E$1002="GBP")*(Expenses!A$3:A$1002=DATE(2026,10,11)),ROW(Expenses!A$3:A$1002)-2),4)),0)+IFERROR(INDEX(Income!C$3:C$502,SMALL(IF((Income!D$3:D$502="GBP")*(Income!A$3:A$502=DATE(2026,10,11)),ROW(Income!A$3:A$502)-2),4)),0)=0,"",IFERROR(-INDEX(Expenses!D$3:D$1002,SMALL(IF((Expenses!E$3:E$1002="GBP")*(Expenses!A$3:A$1002=DATE(2026,10,11)),ROW(Expenses!A$3:A$1002)-2),4)),0)+IFERROR(INDEX(Income!C$3:C$502,SMALL(IF((Income!D$3:D$502="GBP")*(Income!A$3:A$502=DATE(2026,10,11)),ROW(Income!A$3:A$502)-2),4)),0))</f>
        <v/>
      </c>
      <c r="P207" s="38" t="str">
        <f aca="false">IF(IFERROR(INDEX(Expenses!B$3:B$1002,SMALL(IF((Expenses!E$3:E$1002="GBP")*(Expenses!A$3:A$1002=DATE(2026,10,11)),ROW(Expenses!A$3:A$1002)-2),4)),"")&lt;&gt;"",IFERROR(INDEX(Expenses!B$3:B$1002,SMALL(IF((Expenses!E$3:E$1002="GBP")*(Expenses!A$3:A$1002=DATE(2026,10,11)),ROW(Expenses!A$3:A$1002)-2),4)),""),IF(IFERROR(INDEX(Income!B$3:B$502,SMALL(IF((Income!D$3:D$502="GBP")*(Income!A$3:A$502=DATE(2026,10,11)),ROW(Income!A$3:A$502)-2),4)),"")&lt;&gt;"",IFERROR(INDEX(Income!B$3:B$502,SMALL(IF((Income!D$3:D$502="GBP")*(Income!A$3:A$502=DATE(2026,10,11)),ROW(Income!A$3:A$502)-2),4)),""),""))</f>
        <v/>
      </c>
      <c r="Q207" s="16"/>
      <c r="R207" s="16"/>
    </row>
    <row r="208" customFormat="false" ht="15" hidden="false" customHeight="false" outlineLevel="0" collapsed="false">
      <c r="A208" s="16"/>
      <c r="B208" s="16"/>
      <c r="C208" s="62" t="str">
        <f aca="false">IF(IFERROR(-INDEX(Expenses!D$3:D$1002,SMALL(IF((Expenses!E$3:E$1002="GBP")*(Expenses!A$3:A$1002=DATE(2026,10,5)),ROW(Expenses!A$3:A$1002)-2),5)),0)+IFERROR(INDEX(Income!C$3:C$502,SMALL(IF((Income!D$3:D$502="GBP")*(Income!A$3:A$502=DATE(2026,10,5)),ROW(Income!A$3:A$502)-2),5)),0)=0,"",IFERROR(-INDEX(Expenses!D$3:D$1002,SMALL(IF((Expenses!E$3:E$1002="GBP")*(Expenses!A$3:A$1002=DATE(2026,10,5)),ROW(Expenses!A$3:A$1002)-2),5)),0)+IFERROR(INDEX(Income!C$3:C$502,SMALL(IF((Income!D$3:D$502="GBP")*(Income!A$3:A$502=DATE(2026,10,5)),ROW(Income!A$3:A$502)-2),5)),0))</f>
        <v/>
      </c>
      <c r="D208" s="38" t="str">
        <f aca="false">IF(IFERROR(INDEX(Expenses!B$3:B$1002,SMALL(IF((Expenses!E$3:E$1002="GBP")*(Expenses!A$3:A$1002=DATE(2026,10,5)),ROW(Expenses!A$3:A$1002)-2),5)),"")&lt;&gt;"",IFERROR(INDEX(Expenses!B$3:B$1002,SMALL(IF((Expenses!E$3:E$1002="GBP")*(Expenses!A$3:A$1002=DATE(2026,10,5)),ROW(Expenses!A$3:A$1002)-2),5)),""),IF(IFERROR(INDEX(Income!B$3:B$502,SMALL(IF((Income!D$3:D$502="GBP")*(Income!A$3:A$502=DATE(2026,10,5)),ROW(Income!A$3:A$502)-2),5)),"")&lt;&gt;"",IFERROR(INDEX(Income!B$3:B$502,SMALL(IF((Income!D$3:D$502="GBP")*(Income!A$3:A$502=DATE(2026,10,5)),ROW(Income!A$3:A$502)-2),5)),""),""))</f>
        <v/>
      </c>
      <c r="E208" s="62" t="str">
        <f aca="false">IF(IFERROR(-INDEX(Expenses!D$3:D$1002,SMALL(IF((Expenses!E$3:E$1002="GBP")*(Expenses!A$3:A$1002=DATE(2026,10,6)),ROW(Expenses!A$3:A$1002)-2),5)),0)+IFERROR(INDEX(Income!C$3:C$502,SMALL(IF((Income!D$3:D$502="GBP")*(Income!A$3:A$502=DATE(2026,10,6)),ROW(Income!A$3:A$502)-2),5)),0)=0,"",IFERROR(-INDEX(Expenses!D$3:D$1002,SMALL(IF((Expenses!E$3:E$1002="GBP")*(Expenses!A$3:A$1002=DATE(2026,10,6)),ROW(Expenses!A$3:A$1002)-2),5)),0)+IFERROR(INDEX(Income!C$3:C$502,SMALL(IF((Income!D$3:D$502="GBP")*(Income!A$3:A$502=DATE(2026,10,6)),ROW(Income!A$3:A$502)-2),5)),0))</f>
        <v/>
      </c>
      <c r="F208" s="38" t="str">
        <f aca="false">IF(IFERROR(INDEX(Expenses!B$3:B$1002,SMALL(IF((Expenses!E$3:E$1002="GBP")*(Expenses!A$3:A$1002=DATE(2026,10,6)),ROW(Expenses!A$3:A$1002)-2),5)),"")&lt;&gt;"",IFERROR(INDEX(Expenses!B$3:B$1002,SMALL(IF((Expenses!E$3:E$1002="GBP")*(Expenses!A$3:A$1002=DATE(2026,10,6)),ROW(Expenses!A$3:A$1002)-2),5)),""),IF(IFERROR(INDEX(Income!B$3:B$502,SMALL(IF((Income!D$3:D$502="GBP")*(Income!A$3:A$502=DATE(2026,10,6)),ROW(Income!A$3:A$502)-2),5)),"")&lt;&gt;"",IFERROR(INDEX(Income!B$3:B$502,SMALL(IF((Income!D$3:D$502="GBP")*(Income!A$3:A$502=DATE(2026,10,6)),ROW(Income!A$3:A$502)-2),5)),""),""))</f>
        <v/>
      </c>
      <c r="G208" s="62" t="str">
        <f aca="false">IF(IFERROR(-INDEX(Expenses!D$3:D$1002,SMALL(IF((Expenses!E$3:E$1002="GBP")*(Expenses!A$3:A$1002=DATE(2026,10,7)),ROW(Expenses!A$3:A$1002)-2),5)),0)+IFERROR(INDEX(Income!C$3:C$502,SMALL(IF((Income!D$3:D$502="GBP")*(Income!A$3:A$502=DATE(2026,10,7)),ROW(Income!A$3:A$502)-2),5)),0)=0,"",IFERROR(-INDEX(Expenses!D$3:D$1002,SMALL(IF((Expenses!E$3:E$1002="GBP")*(Expenses!A$3:A$1002=DATE(2026,10,7)),ROW(Expenses!A$3:A$1002)-2),5)),0)+IFERROR(INDEX(Income!C$3:C$502,SMALL(IF((Income!D$3:D$502="GBP")*(Income!A$3:A$502=DATE(2026,10,7)),ROW(Income!A$3:A$502)-2),5)),0))</f>
        <v/>
      </c>
      <c r="H208" s="38" t="str">
        <f aca="false">IF(IFERROR(INDEX(Expenses!B$3:B$1002,SMALL(IF((Expenses!E$3:E$1002="GBP")*(Expenses!A$3:A$1002=DATE(2026,10,7)),ROW(Expenses!A$3:A$1002)-2),5)),"")&lt;&gt;"",IFERROR(INDEX(Expenses!B$3:B$1002,SMALL(IF((Expenses!E$3:E$1002="GBP")*(Expenses!A$3:A$1002=DATE(2026,10,7)),ROW(Expenses!A$3:A$1002)-2),5)),""),IF(IFERROR(INDEX(Income!B$3:B$502,SMALL(IF((Income!D$3:D$502="GBP")*(Income!A$3:A$502=DATE(2026,10,7)),ROW(Income!A$3:A$502)-2),5)),"")&lt;&gt;"",IFERROR(INDEX(Income!B$3:B$502,SMALL(IF((Income!D$3:D$502="GBP")*(Income!A$3:A$502=DATE(2026,10,7)),ROW(Income!A$3:A$502)-2),5)),""),""))</f>
        <v/>
      </c>
      <c r="I208" s="62" t="str">
        <f aca="false">IF(IFERROR(-INDEX(Expenses!D$3:D$1002,SMALL(IF((Expenses!E$3:E$1002="GBP")*(Expenses!A$3:A$1002=DATE(2026,10,8)),ROW(Expenses!A$3:A$1002)-2),5)),0)+IFERROR(INDEX(Income!C$3:C$502,SMALL(IF((Income!D$3:D$502="GBP")*(Income!A$3:A$502=DATE(2026,10,8)),ROW(Income!A$3:A$502)-2),5)),0)=0,"",IFERROR(-INDEX(Expenses!D$3:D$1002,SMALL(IF((Expenses!E$3:E$1002="GBP")*(Expenses!A$3:A$1002=DATE(2026,10,8)),ROW(Expenses!A$3:A$1002)-2),5)),0)+IFERROR(INDEX(Income!C$3:C$502,SMALL(IF((Income!D$3:D$502="GBP")*(Income!A$3:A$502=DATE(2026,10,8)),ROW(Income!A$3:A$502)-2),5)),0))</f>
        <v/>
      </c>
      <c r="J208" s="38" t="str">
        <f aca="false">IF(IFERROR(INDEX(Expenses!B$3:B$1002,SMALL(IF((Expenses!E$3:E$1002="GBP")*(Expenses!A$3:A$1002=DATE(2026,10,8)),ROW(Expenses!A$3:A$1002)-2),5)),"")&lt;&gt;"",IFERROR(INDEX(Expenses!B$3:B$1002,SMALL(IF((Expenses!E$3:E$1002="GBP")*(Expenses!A$3:A$1002=DATE(2026,10,8)),ROW(Expenses!A$3:A$1002)-2),5)),""),IF(IFERROR(INDEX(Income!B$3:B$502,SMALL(IF((Income!D$3:D$502="GBP")*(Income!A$3:A$502=DATE(2026,10,8)),ROW(Income!A$3:A$502)-2),5)),"")&lt;&gt;"",IFERROR(INDEX(Income!B$3:B$502,SMALL(IF((Income!D$3:D$502="GBP")*(Income!A$3:A$502=DATE(2026,10,8)),ROW(Income!A$3:A$502)-2),5)),""),""))</f>
        <v/>
      </c>
      <c r="K208" s="62" t="str">
        <f aca="false">IF(IFERROR(-INDEX(Expenses!D$3:D$1002,SMALL(IF((Expenses!E$3:E$1002="GBP")*(Expenses!A$3:A$1002=DATE(2026,10,9)),ROW(Expenses!A$3:A$1002)-2),5)),0)+IFERROR(INDEX(Income!C$3:C$502,SMALL(IF((Income!D$3:D$502="GBP")*(Income!A$3:A$502=DATE(2026,10,9)),ROW(Income!A$3:A$502)-2),5)),0)=0,"",IFERROR(-INDEX(Expenses!D$3:D$1002,SMALL(IF((Expenses!E$3:E$1002="GBP")*(Expenses!A$3:A$1002=DATE(2026,10,9)),ROW(Expenses!A$3:A$1002)-2),5)),0)+IFERROR(INDEX(Income!C$3:C$502,SMALL(IF((Income!D$3:D$502="GBP")*(Income!A$3:A$502=DATE(2026,10,9)),ROW(Income!A$3:A$502)-2),5)),0))</f>
        <v/>
      </c>
      <c r="L208" s="38" t="str">
        <f aca="false">IF(IFERROR(INDEX(Expenses!B$3:B$1002,SMALL(IF((Expenses!E$3:E$1002="GBP")*(Expenses!A$3:A$1002=DATE(2026,10,9)),ROW(Expenses!A$3:A$1002)-2),5)),"")&lt;&gt;"",IFERROR(INDEX(Expenses!B$3:B$1002,SMALL(IF((Expenses!E$3:E$1002="GBP")*(Expenses!A$3:A$1002=DATE(2026,10,9)),ROW(Expenses!A$3:A$1002)-2),5)),""),IF(IFERROR(INDEX(Income!B$3:B$502,SMALL(IF((Income!D$3:D$502="GBP")*(Income!A$3:A$502=DATE(2026,10,9)),ROW(Income!A$3:A$502)-2),5)),"")&lt;&gt;"",IFERROR(INDEX(Income!B$3:B$502,SMALL(IF((Income!D$3:D$502="GBP")*(Income!A$3:A$502=DATE(2026,10,9)),ROW(Income!A$3:A$502)-2),5)),""),""))</f>
        <v/>
      </c>
      <c r="M208" s="62" t="str">
        <f aca="false">IF(IFERROR(-INDEX(Expenses!D$3:D$1002,SMALL(IF((Expenses!E$3:E$1002="GBP")*(Expenses!A$3:A$1002=DATE(2026,10,10)),ROW(Expenses!A$3:A$1002)-2),5)),0)+IFERROR(INDEX(Income!C$3:C$502,SMALL(IF((Income!D$3:D$502="GBP")*(Income!A$3:A$502=DATE(2026,10,10)),ROW(Income!A$3:A$502)-2),5)),0)=0,"",IFERROR(-INDEX(Expenses!D$3:D$1002,SMALL(IF((Expenses!E$3:E$1002="GBP")*(Expenses!A$3:A$1002=DATE(2026,10,10)),ROW(Expenses!A$3:A$1002)-2),5)),0)+IFERROR(INDEX(Income!C$3:C$502,SMALL(IF((Income!D$3:D$502="GBP")*(Income!A$3:A$502=DATE(2026,10,10)),ROW(Income!A$3:A$502)-2),5)),0))</f>
        <v/>
      </c>
      <c r="N208" s="38" t="str">
        <f aca="false">IF(IFERROR(INDEX(Expenses!B$3:B$1002,SMALL(IF((Expenses!E$3:E$1002="GBP")*(Expenses!A$3:A$1002=DATE(2026,10,10)),ROW(Expenses!A$3:A$1002)-2),5)),"")&lt;&gt;"",IFERROR(INDEX(Expenses!B$3:B$1002,SMALL(IF((Expenses!E$3:E$1002="GBP")*(Expenses!A$3:A$1002=DATE(2026,10,10)),ROW(Expenses!A$3:A$1002)-2),5)),""),IF(IFERROR(INDEX(Income!B$3:B$502,SMALL(IF((Income!D$3:D$502="GBP")*(Income!A$3:A$502=DATE(2026,10,10)),ROW(Income!A$3:A$502)-2),5)),"")&lt;&gt;"",IFERROR(INDEX(Income!B$3:B$502,SMALL(IF((Income!D$3:D$502="GBP")*(Income!A$3:A$502=DATE(2026,10,10)),ROW(Income!A$3:A$502)-2),5)),""),""))</f>
        <v/>
      </c>
      <c r="O208" s="62" t="str">
        <f aca="false">IF(IFERROR(-INDEX(Expenses!D$3:D$1002,SMALL(IF((Expenses!E$3:E$1002="GBP")*(Expenses!A$3:A$1002=DATE(2026,10,11)),ROW(Expenses!A$3:A$1002)-2),5)),0)+IFERROR(INDEX(Income!C$3:C$502,SMALL(IF((Income!D$3:D$502="GBP")*(Income!A$3:A$502=DATE(2026,10,11)),ROW(Income!A$3:A$502)-2),5)),0)=0,"",IFERROR(-INDEX(Expenses!D$3:D$1002,SMALL(IF((Expenses!E$3:E$1002="GBP")*(Expenses!A$3:A$1002=DATE(2026,10,11)),ROW(Expenses!A$3:A$1002)-2),5)),0)+IFERROR(INDEX(Income!C$3:C$502,SMALL(IF((Income!D$3:D$502="GBP")*(Income!A$3:A$502=DATE(2026,10,11)),ROW(Income!A$3:A$502)-2),5)),0))</f>
        <v/>
      </c>
      <c r="P208" s="38" t="str">
        <f aca="false">IF(IFERROR(INDEX(Expenses!B$3:B$1002,SMALL(IF((Expenses!E$3:E$1002="GBP")*(Expenses!A$3:A$1002=DATE(2026,10,11)),ROW(Expenses!A$3:A$1002)-2),5)),"")&lt;&gt;"",IFERROR(INDEX(Expenses!B$3:B$1002,SMALL(IF((Expenses!E$3:E$1002="GBP")*(Expenses!A$3:A$1002=DATE(2026,10,11)),ROW(Expenses!A$3:A$1002)-2),5)),""),IF(IFERROR(INDEX(Income!B$3:B$502,SMALL(IF((Income!D$3:D$502="GBP")*(Income!A$3:A$502=DATE(2026,10,11)),ROW(Income!A$3:A$502)-2),5)),"")&lt;&gt;"",IFERROR(INDEX(Income!B$3:B$502,SMALL(IF((Income!D$3:D$502="GBP")*(Income!A$3:A$502=DATE(2026,10,11)),ROW(Income!A$3:A$502)-2),5)),""),""))</f>
        <v/>
      </c>
      <c r="Q208" s="16"/>
      <c r="R208" s="16"/>
    </row>
    <row r="209" customFormat="false" ht="15" hidden="false" customHeight="false" outlineLevel="0" collapsed="false">
      <c r="A209" s="61" t="n">
        <v>46307</v>
      </c>
      <c r="B209" s="3" t="n">
        <v>42</v>
      </c>
      <c r="C209" s="62" t="str">
        <f aca="false">IF(IFERROR(-INDEX(Expenses!D$3:D$1002,SMALL(IF((Expenses!E$3:E$1002="GBP")*(Expenses!A$3:A$1002=DATE(2026,10,12)),ROW(Expenses!A$3:A$1002)-2),1)),0)+IFERROR(INDEX(Income!C$3:C$502,SMALL(IF((Income!D$3:D$502="GBP")*(Income!A$3:A$502=DATE(2026,10,12)),ROW(Income!A$3:A$502)-2),1)),0)=0,"",IFERROR(-INDEX(Expenses!D$3:D$1002,SMALL(IF((Expenses!E$3:E$1002="GBP")*(Expenses!A$3:A$1002=DATE(2026,10,12)),ROW(Expenses!A$3:A$1002)-2),1)),0)+IFERROR(INDEX(Income!C$3:C$502,SMALL(IF((Income!D$3:D$502="GBP")*(Income!A$3:A$502=DATE(2026,10,12)),ROW(Income!A$3:A$502)-2),1)),0))</f>
        <v/>
      </c>
      <c r="D209" s="38" t="str">
        <f aca="false">IF(IFERROR(INDEX(Expenses!B$3:B$1002,SMALL(IF((Expenses!E$3:E$1002="GBP")*(Expenses!A$3:A$1002=DATE(2026,10,12)),ROW(Expenses!A$3:A$1002)-2),1)),"")&lt;&gt;"",IFERROR(INDEX(Expenses!B$3:B$1002,SMALL(IF((Expenses!E$3:E$1002="GBP")*(Expenses!A$3:A$1002=DATE(2026,10,12)),ROW(Expenses!A$3:A$1002)-2),1)),""),IF(IFERROR(INDEX(Income!B$3:B$502,SMALL(IF((Income!D$3:D$502="GBP")*(Income!A$3:A$502=DATE(2026,10,12)),ROW(Income!A$3:A$502)-2),1)),"")&lt;&gt;"",IFERROR(INDEX(Income!B$3:B$502,SMALL(IF((Income!D$3:D$502="GBP")*(Income!A$3:A$502=DATE(2026,10,12)),ROW(Income!A$3:A$502)-2),1)),""),""))</f>
        <v/>
      </c>
      <c r="E209" s="62" t="str">
        <f aca="false">IF(IFERROR(-INDEX(Expenses!D$3:D$1002,SMALL(IF((Expenses!E$3:E$1002="GBP")*(Expenses!A$3:A$1002=DATE(2026,10,13)),ROW(Expenses!A$3:A$1002)-2),1)),0)+IFERROR(INDEX(Income!C$3:C$502,SMALL(IF((Income!D$3:D$502="GBP")*(Income!A$3:A$502=DATE(2026,10,13)),ROW(Income!A$3:A$502)-2),1)),0)=0,"",IFERROR(-INDEX(Expenses!D$3:D$1002,SMALL(IF((Expenses!E$3:E$1002="GBP")*(Expenses!A$3:A$1002=DATE(2026,10,13)),ROW(Expenses!A$3:A$1002)-2),1)),0)+IFERROR(INDEX(Income!C$3:C$502,SMALL(IF((Income!D$3:D$502="GBP")*(Income!A$3:A$502=DATE(2026,10,13)),ROW(Income!A$3:A$502)-2),1)),0))</f>
        <v/>
      </c>
      <c r="F209" s="38" t="str">
        <f aca="false">IF(IFERROR(INDEX(Expenses!B$3:B$1002,SMALL(IF((Expenses!E$3:E$1002="GBP")*(Expenses!A$3:A$1002=DATE(2026,10,13)),ROW(Expenses!A$3:A$1002)-2),1)),"")&lt;&gt;"",IFERROR(INDEX(Expenses!B$3:B$1002,SMALL(IF((Expenses!E$3:E$1002="GBP")*(Expenses!A$3:A$1002=DATE(2026,10,13)),ROW(Expenses!A$3:A$1002)-2),1)),""),IF(IFERROR(INDEX(Income!B$3:B$502,SMALL(IF((Income!D$3:D$502="GBP")*(Income!A$3:A$502=DATE(2026,10,13)),ROW(Income!A$3:A$502)-2),1)),"")&lt;&gt;"",IFERROR(INDEX(Income!B$3:B$502,SMALL(IF((Income!D$3:D$502="GBP")*(Income!A$3:A$502=DATE(2026,10,13)),ROW(Income!A$3:A$502)-2),1)),""),""))</f>
        <v/>
      </c>
      <c r="G209" s="62" t="str">
        <f aca="false">IF(IFERROR(-INDEX(Expenses!D$3:D$1002,SMALL(IF((Expenses!E$3:E$1002="GBP")*(Expenses!A$3:A$1002=DATE(2026,10,14)),ROW(Expenses!A$3:A$1002)-2),1)),0)+IFERROR(INDEX(Income!C$3:C$502,SMALL(IF((Income!D$3:D$502="GBP")*(Income!A$3:A$502=DATE(2026,10,14)),ROW(Income!A$3:A$502)-2),1)),0)=0,"",IFERROR(-INDEX(Expenses!D$3:D$1002,SMALL(IF((Expenses!E$3:E$1002="GBP")*(Expenses!A$3:A$1002=DATE(2026,10,14)),ROW(Expenses!A$3:A$1002)-2),1)),0)+IFERROR(INDEX(Income!C$3:C$502,SMALL(IF((Income!D$3:D$502="GBP")*(Income!A$3:A$502=DATE(2026,10,14)),ROW(Income!A$3:A$502)-2),1)),0))</f>
        <v/>
      </c>
      <c r="H209" s="38" t="str">
        <f aca="false">IF(IFERROR(INDEX(Expenses!B$3:B$1002,SMALL(IF((Expenses!E$3:E$1002="GBP")*(Expenses!A$3:A$1002=DATE(2026,10,14)),ROW(Expenses!A$3:A$1002)-2),1)),"")&lt;&gt;"",IFERROR(INDEX(Expenses!B$3:B$1002,SMALL(IF((Expenses!E$3:E$1002="GBP")*(Expenses!A$3:A$1002=DATE(2026,10,14)),ROW(Expenses!A$3:A$1002)-2),1)),""),IF(IFERROR(INDEX(Income!B$3:B$502,SMALL(IF((Income!D$3:D$502="GBP")*(Income!A$3:A$502=DATE(2026,10,14)),ROW(Income!A$3:A$502)-2),1)),"")&lt;&gt;"",IFERROR(INDEX(Income!B$3:B$502,SMALL(IF((Income!D$3:D$502="GBP")*(Income!A$3:A$502=DATE(2026,10,14)),ROW(Income!A$3:A$502)-2),1)),""),""))</f>
        <v/>
      </c>
      <c r="I209" s="62" t="str">
        <f aca="false">IF(IFERROR(-INDEX(Expenses!D$3:D$1002,SMALL(IF((Expenses!E$3:E$1002="GBP")*(Expenses!A$3:A$1002=DATE(2026,10,15)),ROW(Expenses!A$3:A$1002)-2),1)),0)+IFERROR(INDEX(Income!C$3:C$502,SMALL(IF((Income!D$3:D$502="GBP")*(Income!A$3:A$502=DATE(2026,10,15)),ROW(Income!A$3:A$502)-2),1)),0)=0,"",IFERROR(-INDEX(Expenses!D$3:D$1002,SMALL(IF((Expenses!E$3:E$1002="GBP")*(Expenses!A$3:A$1002=DATE(2026,10,15)),ROW(Expenses!A$3:A$1002)-2),1)),0)+IFERROR(INDEX(Income!C$3:C$502,SMALL(IF((Income!D$3:D$502="GBP")*(Income!A$3:A$502=DATE(2026,10,15)),ROW(Income!A$3:A$502)-2),1)),0))</f>
        <v/>
      </c>
      <c r="J209" s="38" t="str">
        <f aca="false">IF(IFERROR(INDEX(Expenses!B$3:B$1002,SMALL(IF((Expenses!E$3:E$1002="GBP")*(Expenses!A$3:A$1002=DATE(2026,10,15)),ROW(Expenses!A$3:A$1002)-2),1)),"")&lt;&gt;"",IFERROR(INDEX(Expenses!B$3:B$1002,SMALL(IF((Expenses!E$3:E$1002="GBP")*(Expenses!A$3:A$1002=DATE(2026,10,15)),ROW(Expenses!A$3:A$1002)-2),1)),""),IF(IFERROR(INDEX(Income!B$3:B$502,SMALL(IF((Income!D$3:D$502="GBP")*(Income!A$3:A$502=DATE(2026,10,15)),ROW(Income!A$3:A$502)-2),1)),"")&lt;&gt;"",IFERROR(INDEX(Income!B$3:B$502,SMALL(IF((Income!D$3:D$502="GBP")*(Income!A$3:A$502=DATE(2026,10,15)),ROW(Income!A$3:A$502)-2),1)),""),""))</f>
        <v/>
      </c>
      <c r="K209" s="62" t="str">
        <f aca="false">IF(IFERROR(-INDEX(Expenses!D$3:D$1002,SMALL(IF((Expenses!E$3:E$1002="GBP")*(Expenses!A$3:A$1002=DATE(2026,10,16)),ROW(Expenses!A$3:A$1002)-2),1)),0)+IFERROR(INDEX(Income!C$3:C$502,SMALL(IF((Income!D$3:D$502="GBP")*(Income!A$3:A$502=DATE(2026,10,16)),ROW(Income!A$3:A$502)-2),1)),0)=0,"",IFERROR(-INDEX(Expenses!D$3:D$1002,SMALL(IF((Expenses!E$3:E$1002="GBP")*(Expenses!A$3:A$1002=DATE(2026,10,16)),ROW(Expenses!A$3:A$1002)-2),1)),0)+IFERROR(INDEX(Income!C$3:C$502,SMALL(IF((Income!D$3:D$502="GBP")*(Income!A$3:A$502=DATE(2026,10,16)),ROW(Income!A$3:A$502)-2),1)),0))</f>
        <v/>
      </c>
      <c r="L209" s="38" t="str">
        <f aca="false">IF(IFERROR(INDEX(Expenses!B$3:B$1002,SMALL(IF((Expenses!E$3:E$1002="GBP")*(Expenses!A$3:A$1002=DATE(2026,10,16)),ROW(Expenses!A$3:A$1002)-2),1)),"")&lt;&gt;"",IFERROR(INDEX(Expenses!B$3:B$1002,SMALL(IF((Expenses!E$3:E$1002="GBP")*(Expenses!A$3:A$1002=DATE(2026,10,16)),ROW(Expenses!A$3:A$1002)-2),1)),""),IF(IFERROR(INDEX(Income!B$3:B$502,SMALL(IF((Income!D$3:D$502="GBP")*(Income!A$3:A$502=DATE(2026,10,16)),ROW(Income!A$3:A$502)-2),1)),"")&lt;&gt;"",IFERROR(INDEX(Income!B$3:B$502,SMALL(IF((Income!D$3:D$502="GBP")*(Income!A$3:A$502=DATE(2026,10,16)),ROW(Income!A$3:A$502)-2),1)),""),""))</f>
        <v/>
      </c>
      <c r="M209" s="62" t="str">
        <f aca="false">IF(IFERROR(-INDEX(Expenses!D$3:D$1002,SMALL(IF((Expenses!E$3:E$1002="GBP")*(Expenses!A$3:A$1002=DATE(2026,10,17)),ROW(Expenses!A$3:A$1002)-2),1)),0)+IFERROR(INDEX(Income!C$3:C$502,SMALL(IF((Income!D$3:D$502="GBP")*(Income!A$3:A$502=DATE(2026,10,17)),ROW(Income!A$3:A$502)-2),1)),0)=0,"",IFERROR(-INDEX(Expenses!D$3:D$1002,SMALL(IF((Expenses!E$3:E$1002="GBP")*(Expenses!A$3:A$1002=DATE(2026,10,17)),ROW(Expenses!A$3:A$1002)-2),1)),0)+IFERROR(INDEX(Income!C$3:C$502,SMALL(IF((Income!D$3:D$502="GBP")*(Income!A$3:A$502=DATE(2026,10,17)),ROW(Income!A$3:A$502)-2),1)),0))</f>
        <v/>
      </c>
      <c r="N209" s="38" t="str">
        <f aca="false">IF(IFERROR(INDEX(Expenses!B$3:B$1002,SMALL(IF((Expenses!E$3:E$1002="GBP")*(Expenses!A$3:A$1002=DATE(2026,10,17)),ROW(Expenses!A$3:A$1002)-2),1)),"")&lt;&gt;"",IFERROR(INDEX(Expenses!B$3:B$1002,SMALL(IF((Expenses!E$3:E$1002="GBP")*(Expenses!A$3:A$1002=DATE(2026,10,17)),ROW(Expenses!A$3:A$1002)-2),1)),""),IF(IFERROR(INDEX(Income!B$3:B$502,SMALL(IF((Income!D$3:D$502="GBP")*(Income!A$3:A$502=DATE(2026,10,17)),ROW(Income!A$3:A$502)-2),1)),"")&lt;&gt;"",IFERROR(INDEX(Income!B$3:B$502,SMALL(IF((Income!D$3:D$502="GBP")*(Income!A$3:A$502=DATE(2026,10,17)),ROW(Income!A$3:A$502)-2),1)),""),""))</f>
        <v/>
      </c>
      <c r="O209" s="62" t="str">
        <f aca="false">IF(IFERROR(-INDEX(Expenses!D$3:D$1002,SMALL(IF((Expenses!E$3:E$1002="GBP")*(Expenses!A$3:A$1002=DATE(2026,10,18)),ROW(Expenses!A$3:A$1002)-2),1)),0)+IFERROR(INDEX(Income!C$3:C$502,SMALL(IF((Income!D$3:D$502="GBP")*(Income!A$3:A$502=DATE(2026,10,18)),ROW(Income!A$3:A$502)-2),1)),0)=0,"",IFERROR(-INDEX(Expenses!D$3:D$1002,SMALL(IF((Expenses!E$3:E$1002="GBP")*(Expenses!A$3:A$1002=DATE(2026,10,18)),ROW(Expenses!A$3:A$1002)-2),1)),0)+IFERROR(INDEX(Income!C$3:C$502,SMALL(IF((Income!D$3:D$502="GBP")*(Income!A$3:A$502=DATE(2026,10,18)),ROW(Income!A$3:A$502)-2),1)),0))</f>
        <v/>
      </c>
      <c r="P209" s="38" t="str">
        <f aca="false">IF(IFERROR(INDEX(Expenses!B$3:B$1002,SMALL(IF((Expenses!E$3:E$1002="GBP")*(Expenses!A$3:A$1002=DATE(2026,10,18)),ROW(Expenses!A$3:A$1002)-2),1)),"")&lt;&gt;"",IFERROR(INDEX(Expenses!B$3:B$1002,SMALL(IF((Expenses!E$3:E$1002="GBP")*(Expenses!A$3:A$1002=DATE(2026,10,18)),ROW(Expenses!A$3:A$1002)-2),1)),""),IF(IFERROR(INDEX(Income!B$3:B$502,SMALL(IF((Income!D$3:D$502="GBP")*(Income!A$3:A$502=DATE(2026,10,18)),ROW(Income!A$3:A$502)-2),1)),"")&lt;&gt;"",IFERROR(INDEX(Income!B$3:B$502,SMALL(IF((Income!D$3:D$502="GBP")*(Income!A$3:A$502=DATE(2026,10,18)),ROW(Income!A$3:A$502)-2),1)),""),""))</f>
        <v/>
      </c>
      <c r="Q209" s="3" t="n">
        <v>42</v>
      </c>
      <c r="R209" s="45" t="n">
        <f aca="false">SUM(C209:C213)+SUM(E209:E213)+SUM(G209:G213)+SUM(I209:I213)+SUM(K209:K213)+SUM(M209:M213)+SUM(O209:O213)</f>
        <v>0</v>
      </c>
    </row>
    <row r="210" customFormat="false" ht="15" hidden="false" customHeight="false" outlineLevel="0" collapsed="false">
      <c r="A210" s="16"/>
      <c r="B210" s="16"/>
      <c r="C210" s="62" t="str">
        <f aca="false">IF(IFERROR(-INDEX(Expenses!D$3:D$1002,SMALL(IF((Expenses!E$3:E$1002="GBP")*(Expenses!A$3:A$1002=DATE(2026,10,12)),ROW(Expenses!A$3:A$1002)-2),2)),0)+IFERROR(INDEX(Income!C$3:C$502,SMALL(IF((Income!D$3:D$502="GBP")*(Income!A$3:A$502=DATE(2026,10,12)),ROW(Income!A$3:A$502)-2),2)),0)=0,"",IFERROR(-INDEX(Expenses!D$3:D$1002,SMALL(IF((Expenses!E$3:E$1002="GBP")*(Expenses!A$3:A$1002=DATE(2026,10,12)),ROW(Expenses!A$3:A$1002)-2),2)),0)+IFERROR(INDEX(Income!C$3:C$502,SMALL(IF((Income!D$3:D$502="GBP")*(Income!A$3:A$502=DATE(2026,10,12)),ROW(Income!A$3:A$502)-2),2)),0))</f>
        <v/>
      </c>
      <c r="D210" s="38" t="str">
        <f aca="false">IF(IFERROR(INDEX(Expenses!B$3:B$1002,SMALL(IF((Expenses!E$3:E$1002="GBP")*(Expenses!A$3:A$1002=DATE(2026,10,12)),ROW(Expenses!A$3:A$1002)-2),2)),"")&lt;&gt;"",IFERROR(INDEX(Expenses!B$3:B$1002,SMALL(IF((Expenses!E$3:E$1002="GBP")*(Expenses!A$3:A$1002=DATE(2026,10,12)),ROW(Expenses!A$3:A$1002)-2),2)),""),IF(IFERROR(INDEX(Income!B$3:B$502,SMALL(IF((Income!D$3:D$502="GBP")*(Income!A$3:A$502=DATE(2026,10,12)),ROW(Income!A$3:A$502)-2),2)),"")&lt;&gt;"",IFERROR(INDEX(Income!B$3:B$502,SMALL(IF((Income!D$3:D$502="GBP")*(Income!A$3:A$502=DATE(2026,10,12)),ROW(Income!A$3:A$502)-2),2)),""),""))</f>
        <v/>
      </c>
      <c r="E210" s="62" t="str">
        <f aca="false">IF(IFERROR(-INDEX(Expenses!D$3:D$1002,SMALL(IF((Expenses!E$3:E$1002="GBP")*(Expenses!A$3:A$1002=DATE(2026,10,13)),ROW(Expenses!A$3:A$1002)-2),2)),0)+IFERROR(INDEX(Income!C$3:C$502,SMALL(IF((Income!D$3:D$502="GBP")*(Income!A$3:A$502=DATE(2026,10,13)),ROW(Income!A$3:A$502)-2),2)),0)=0,"",IFERROR(-INDEX(Expenses!D$3:D$1002,SMALL(IF((Expenses!E$3:E$1002="GBP")*(Expenses!A$3:A$1002=DATE(2026,10,13)),ROW(Expenses!A$3:A$1002)-2),2)),0)+IFERROR(INDEX(Income!C$3:C$502,SMALL(IF((Income!D$3:D$502="GBP")*(Income!A$3:A$502=DATE(2026,10,13)),ROW(Income!A$3:A$502)-2),2)),0))</f>
        <v/>
      </c>
      <c r="F210" s="38" t="str">
        <f aca="false">IF(IFERROR(INDEX(Expenses!B$3:B$1002,SMALL(IF((Expenses!E$3:E$1002="GBP")*(Expenses!A$3:A$1002=DATE(2026,10,13)),ROW(Expenses!A$3:A$1002)-2),2)),"")&lt;&gt;"",IFERROR(INDEX(Expenses!B$3:B$1002,SMALL(IF((Expenses!E$3:E$1002="GBP")*(Expenses!A$3:A$1002=DATE(2026,10,13)),ROW(Expenses!A$3:A$1002)-2),2)),""),IF(IFERROR(INDEX(Income!B$3:B$502,SMALL(IF((Income!D$3:D$502="GBP")*(Income!A$3:A$502=DATE(2026,10,13)),ROW(Income!A$3:A$502)-2),2)),"")&lt;&gt;"",IFERROR(INDEX(Income!B$3:B$502,SMALL(IF((Income!D$3:D$502="GBP")*(Income!A$3:A$502=DATE(2026,10,13)),ROW(Income!A$3:A$502)-2),2)),""),""))</f>
        <v/>
      </c>
      <c r="G210" s="62" t="str">
        <f aca="false">IF(IFERROR(-INDEX(Expenses!D$3:D$1002,SMALL(IF((Expenses!E$3:E$1002="GBP")*(Expenses!A$3:A$1002=DATE(2026,10,14)),ROW(Expenses!A$3:A$1002)-2),2)),0)+IFERROR(INDEX(Income!C$3:C$502,SMALL(IF((Income!D$3:D$502="GBP")*(Income!A$3:A$502=DATE(2026,10,14)),ROW(Income!A$3:A$502)-2),2)),0)=0,"",IFERROR(-INDEX(Expenses!D$3:D$1002,SMALL(IF((Expenses!E$3:E$1002="GBP")*(Expenses!A$3:A$1002=DATE(2026,10,14)),ROW(Expenses!A$3:A$1002)-2),2)),0)+IFERROR(INDEX(Income!C$3:C$502,SMALL(IF((Income!D$3:D$502="GBP")*(Income!A$3:A$502=DATE(2026,10,14)),ROW(Income!A$3:A$502)-2),2)),0))</f>
        <v/>
      </c>
      <c r="H210" s="38" t="str">
        <f aca="false">IF(IFERROR(INDEX(Expenses!B$3:B$1002,SMALL(IF((Expenses!E$3:E$1002="GBP")*(Expenses!A$3:A$1002=DATE(2026,10,14)),ROW(Expenses!A$3:A$1002)-2),2)),"")&lt;&gt;"",IFERROR(INDEX(Expenses!B$3:B$1002,SMALL(IF((Expenses!E$3:E$1002="GBP")*(Expenses!A$3:A$1002=DATE(2026,10,14)),ROW(Expenses!A$3:A$1002)-2),2)),""),IF(IFERROR(INDEX(Income!B$3:B$502,SMALL(IF((Income!D$3:D$502="GBP")*(Income!A$3:A$502=DATE(2026,10,14)),ROW(Income!A$3:A$502)-2),2)),"")&lt;&gt;"",IFERROR(INDEX(Income!B$3:B$502,SMALL(IF((Income!D$3:D$502="GBP")*(Income!A$3:A$502=DATE(2026,10,14)),ROW(Income!A$3:A$502)-2),2)),""),""))</f>
        <v/>
      </c>
      <c r="I210" s="62" t="str">
        <f aca="false">IF(IFERROR(-INDEX(Expenses!D$3:D$1002,SMALL(IF((Expenses!E$3:E$1002="GBP")*(Expenses!A$3:A$1002=DATE(2026,10,15)),ROW(Expenses!A$3:A$1002)-2),2)),0)+IFERROR(INDEX(Income!C$3:C$502,SMALL(IF((Income!D$3:D$502="GBP")*(Income!A$3:A$502=DATE(2026,10,15)),ROW(Income!A$3:A$502)-2),2)),0)=0,"",IFERROR(-INDEX(Expenses!D$3:D$1002,SMALL(IF((Expenses!E$3:E$1002="GBP")*(Expenses!A$3:A$1002=DATE(2026,10,15)),ROW(Expenses!A$3:A$1002)-2),2)),0)+IFERROR(INDEX(Income!C$3:C$502,SMALL(IF((Income!D$3:D$502="GBP")*(Income!A$3:A$502=DATE(2026,10,15)),ROW(Income!A$3:A$502)-2),2)),0))</f>
        <v/>
      </c>
      <c r="J210" s="38" t="str">
        <f aca="false">IF(IFERROR(INDEX(Expenses!B$3:B$1002,SMALL(IF((Expenses!E$3:E$1002="GBP")*(Expenses!A$3:A$1002=DATE(2026,10,15)),ROW(Expenses!A$3:A$1002)-2),2)),"")&lt;&gt;"",IFERROR(INDEX(Expenses!B$3:B$1002,SMALL(IF((Expenses!E$3:E$1002="GBP")*(Expenses!A$3:A$1002=DATE(2026,10,15)),ROW(Expenses!A$3:A$1002)-2),2)),""),IF(IFERROR(INDEX(Income!B$3:B$502,SMALL(IF((Income!D$3:D$502="GBP")*(Income!A$3:A$502=DATE(2026,10,15)),ROW(Income!A$3:A$502)-2),2)),"")&lt;&gt;"",IFERROR(INDEX(Income!B$3:B$502,SMALL(IF((Income!D$3:D$502="GBP")*(Income!A$3:A$502=DATE(2026,10,15)),ROW(Income!A$3:A$502)-2),2)),""),""))</f>
        <v/>
      </c>
      <c r="K210" s="62" t="str">
        <f aca="false">IF(IFERROR(-INDEX(Expenses!D$3:D$1002,SMALL(IF((Expenses!E$3:E$1002="GBP")*(Expenses!A$3:A$1002=DATE(2026,10,16)),ROW(Expenses!A$3:A$1002)-2),2)),0)+IFERROR(INDEX(Income!C$3:C$502,SMALL(IF((Income!D$3:D$502="GBP")*(Income!A$3:A$502=DATE(2026,10,16)),ROW(Income!A$3:A$502)-2),2)),0)=0,"",IFERROR(-INDEX(Expenses!D$3:D$1002,SMALL(IF((Expenses!E$3:E$1002="GBP")*(Expenses!A$3:A$1002=DATE(2026,10,16)),ROW(Expenses!A$3:A$1002)-2),2)),0)+IFERROR(INDEX(Income!C$3:C$502,SMALL(IF((Income!D$3:D$502="GBP")*(Income!A$3:A$502=DATE(2026,10,16)),ROW(Income!A$3:A$502)-2),2)),0))</f>
        <v/>
      </c>
      <c r="L210" s="38" t="str">
        <f aca="false">IF(IFERROR(INDEX(Expenses!B$3:B$1002,SMALL(IF((Expenses!E$3:E$1002="GBP")*(Expenses!A$3:A$1002=DATE(2026,10,16)),ROW(Expenses!A$3:A$1002)-2),2)),"")&lt;&gt;"",IFERROR(INDEX(Expenses!B$3:B$1002,SMALL(IF((Expenses!E$3:E$1002="GBP")*(Expenses!A$3:A$1002=DATE(2026,10,16)),ROW(Expenses!A$3:A$1002)-2),2)),""),IF(IFERROR(INDEX(Income!B$3:B$502,SMALL(IF((Income!D$3:D$502="GBP")*(Income!A$3:A$502=DATE(2026,10,16)),ROW(Income!A$3:A$502)-2),2)),"")&lt;&gt;"",IFERROR(INDEX(Income!B$3:B$502,SMALL(IF((Income!D$3:D$502="GBP")*(Income!A$3:A$502=DATE(2026,10,16)),ROW(Income!A$3:A$502)-2),2)),""),""))</f>
        <v/>
      </c>
      <c r="M210" s="62" t="str">
        <f aca="false">IF(IFERROR(-INDEX(Expenses!D$3:D$1002,SMALL(IF((Expenses!E$3:E$1002="GBP")*(Expenses!A$3:A$1002=DATE(2026,10,17)),ROW(Expenses!A$3:A$1002)-2),2)),0)+IFERROR(INDEX(Income!C$3:C$502,SMALL(IF((Income!D$3:D$502="GBP")*(Income!A$3:A$502=DATE(2026,10,17)),ROW(Income!A$3:A$502)-2),2)),0)=0,"",IFERROR(-INDEX(Expenses!D$3:D$1002,SMALL(IF((Expenses!E$3:E$1002="GBP")*(Expenses!A$3:A$1002=DATE(2026,10,17)),ROW(Expenses!A$3:A$1002)-2),2)),0)+IFERROR(INDEX(Income!C$3:C$502,SMALL(IF((Income!D$3:D$502="GBP")*(Income!A$3:A$502=DATE(2026,10,17)),ROW(Income!A$3:A$502)-2),2)),0))</f>
        <v/>
      </c>
      <c r="N210" s="38" t="str">
        <f aca="false">IF(IFERROR(INDEX(Expenses!B$3:B$1002,SMALL(IF((Expenses!E$3:E$1002="GBP")*(Expenses!A$3:A$1002=DATE(2026,10,17)),ROW(Expenses!A$3:A$1002)-2),2)),"")&lt;&gt;"",IFERROR(INDEX(Expenses!B$3:B$1002,SMALL(IF((Expenses!E$3:E$1002="GBP")*(Expenses!A$3:A$1002=DATE(2026,10,17)),ROW(Expenses!A$3:A$1002)-2),2)),""),IF(IFERROR(INDEX(Income!B$3:B$502,SMALL(IF((Income!D$3:D$502="GBP")*(Income!A$3:A$502=DATE(2026,10,17)),ROW(Income!A$3:A$502)-2),2)),"")&lt;&gt;"",IFERROR(INDEX(Income!B$3:B$502,SMALL(IF((Income!D$3:D$502="GBP")*(Income!A$3:A$502=DATE(2026,10,17)),ROW(Income!A$3:A$502)-2),2)),""),""))</f>
        <v/>
      </c>
      <c r="O210" s="62" t="str">
        <f aca="false">IF(IFERROR(-INDEX(Expenses!D$3:D$1002,SMALL(IF((Expenses!E$3:E$1002="GBP")*(Expenses!A$3:A$1002=DATE(2026,10,18)),ROW(Expenses!A$3:A$1002)-2),2)),0)+IFERROR(INDEX(Income!C$3:C$502,SMALL(IF((Income!D$3:D$502="GBP")*(Income!A$3:A$502=DATE(2026,10,18)),ROW(Income!A$3:A$502)-2),2)),0)=0,"",IFERROR(-INDEX(Expenses!D$3:D$1002,SMALL(IF((Expenses!E$3:E$1002="GBP")*(Expenses!A$3:A$1002=DATE(2026,10,18)),ROW(Expenses!A$3:A$1002)-2),2)),0)+IFERROR(INDEX(Income!C$3:C$502,SMALL(IF((Income!D$3:D$502="GBP")*(Income!A$3:A$502=DATE(2026,10,18)),ROW(Income!A$3:A$502)-2),2)),0))</f>
        <v/>
      </c>
      <c r="P210" s="38" t="str">
        <f aca="false">IF(IFERROR(INDEX(Expenses!B$3:B$1002,SMALL(IF((Expenses!E$3:E$1002="GBP")*(Expenses!A$3:A$1002=DATE(2026,10,18)),ROW(Expenses!A$3:A$1002)-2),2)),"")&lt;&gt;"",IFERROR(INDEX(Expenses!B$3:B$1002,SMALL(IF((Expenses!E$3:E$1002="GBP")*(Expenses!A$3:A$1002=DATE(2026,10,18)),ROW(Expenses!A$3:A$1002)-2),2)),""),IF(IFERROR(INDEX(Income!B$3:B$502,SMALL(IF((Income!D$3:D$502="GBP")*(Income!A$3:A$502=DATE(2026,10,18)),ROW(Income!A$3:A$502)-2),2)),"")&lt;&gt;"",IFERROR(INDEX(Income!B$3:B$502,SMALL(IF((Income!D$3:D$502="GBP")*(Income!A$3:A$502=DATE(2026,10,18)),ROW(Income!A$3:A$502)-2),2)),""),""))</f>
        <v/>
      </c>
      <c r="Q210" s="16"/>
      <c r="R210" s="16"/>
    </row>
    <row r="211" customFormat="false" ht="15" hidden="false" customHeight="false" outlineLevel="0" collapsed="false">
      <c r="A211" s="16"/>
      <c r="B211" s="16"/>
      <c r="C211" s="62" t="str">
        <f aca="false">IF(IFERROR(-INDEX(Expenses!D$3:D$1002,SMALL(IF((Expenses!E$3:E$1002="GBP")*(Expenses!A$3:A$1002=DATE(2026,10,12)),ROW(Expenses!A$3:A$1002)-2),3)),0)+IFERROR(INDEX(Income!C$3:C$502,SMALL(IF((Income!D$3:D$502="GBP")*(Income!A$3:A$502=DATE(2026,10,12)),ROW(Income!A$3:A$502)-2),3)),0)=0,"",IFERROR(-INDEX(Expenses!D$3:D$1002,SMALL(IF((Expenses!E$3:E$1002="GBP")*(Expenses!A$3:A$1002=DATE(2026,10,12)),ROW(Expenses!A$3:A$1002)-2),3)),0)+IFERROR(INDEX(Income!C$3:C$502,SMALL(IF((Income!D$3:D$502="GBP")*(Income!A$3:A$502=DATE(2026,10,12)),ROW(Income!A$3:A$502)-2),3)),0))</f>
        <v/>
      </c>
      <c r="D211" s="38" t="str">
        <f aca="false">IF(IFERROR(INDEX(Expenses!B$3:B$1002,SMALL(IF((Expenses!E$3:E$1002="GBP")*(Expenses!A$3:A$1002=DATE(2026,10,12)),ROW(Expenses!A$3:A$1002)-2),3)),"")&lt;&gt;"",IFERROR(INDEX(Expenses!B$3:B$1002,SMALL(IF((Expenses!E$3:E$1002="GBP")*(Expenses!A$3:A$1002=DATE(2026,10,12)),ROW(Expenses!A$3:A$1002)-2),3)),""),IF(IFERROR(INDEX(Income!B$3:B$502,SMALL(IF((Income!D$3:D$502="GBP")*(Income!A$3:A$502=DATE(2026,10,12)),ROW(Income!A$3:A$502)-2),3)),"")&lt;&gt;"",IFERROR(INDEX(Income!B$3:B$502,SMALL(IF((Income!D$3:D$502="GBP")*(Income!A$3:A$502=DATE(2026,10,12)),ROW(Income!A$3:A$502)-2),3)),""),""))</f>
        <v/>
      </c>
      <c r="E211" s="62" t="str">
        <f aca="false">IF(IFERROR(-INDEX(Expenses!D$3:D$1002,SMALL(IF((Expenses!E$3:E$1002="GBP")*(Expenses!A$3:A$1002=DATE(2026,10,13)),ROW(Expenses!A$3:A$1002)-2),3)),0)+IFERROR(INDEX(Income!C$3:C$502,SMALL(IF((Income!D$3:D$502="GBP")*(Income!A$3:A$502=DATE(2026,10,13)),ROW(Income!A$3:A$502)-2),3)),0)=0,"",IFERROR(-INDEX(Expenses!D$3:D$1002,SMALL(IF((Expenses!E$3:E$1002="GBP")*(Expenses!A$3:A$1002=DATE(2026,10,13)),ROW(Expenses!A$3:A$1002)-2),3)),0)+IFERROR(INDEX(Income!C$3:C$502,SMALL(IF((Income!D$3:D$502="GBP")*(Income!A$3:A$502=DATE(2026,10,13)),ROW(Income!A$3:A$502)-2),3)),0))</f>
        <v/>
      </c>
      <c r="F211" s="38" t="str">
        <f aca="false">IF(IFERROR(INDEX(Expenses!B$3:B$1002,SMALL(IF((Expenses!E$3:E$1002="GBP")*(Expenses!A$3:A$1002=DATE(2026,10,13)),ROW(Expenses!A$3:A$1002)-2),3)),"")&lt;&gt;"",IFERROR(INDEX(Expenses!B$3:B$1002,SMALL(IF((Expenses!E$3:E$1002="GBP")*(Expenses!A$3:A$1002=DATE(2026,10,13)),ROW(Expenses!A$3:A$1002)-2),3)),""),IF(IFERROR(INDEX(Income!B$3:B$502,SMALL(IF((Income!D$3:D$502="GBP")*(Income!A$3:A$502=DATE(2026,10,13)),ROW(Income!A$3:A$502)-2),3)),"")&lt;&gt;"",IFERROR(INDEX(Income!B$3:B$502,SMALL(IF((Income!D$3:D$502="GBP")*(Income!A$3:A$502=DATE(2026,10,13)),ROW(Income!A$3:A$502)-2),3)),""),""))</f>
        <v/>
      </c>
      <c r="G211" s="62" t="str">
        <f aca="false">IF(IFERROR(-INDEX(Expenses!D$3:D$1002,SMALL(IF((Expenses!E$3:E$1002="GBP")*(Expenses!A$3:A$1002=DATE(2026,10,14)),ROW(Expenses!A$3:A$1002)-2),3)),0)+IFERROR(INDEX(Income!C$3:C$502,SMALL(IF((Income!D$3:D$502="GBP")*(Income!A$3:A$502=DATE(2026,10,14)),ROW(Income!A$3:A$502)-2),3)),0)=0,"",IFERROR(-INDEX(Expenses!D$3:D$1002,SMALL(IF((Expenses!E$3:E$1002="GBP")*(Expenses!A$3:A$1002=DATE(2026,10,14)),ROW(Expenses!A$3:A$1002)-2),3)),0)+IFERROR(INDEX(Income!C$3:C$502,SMALL(IF((Income!D$3:D$502="GBP")*(Income!A$3:A$502=DATE(2026,10,14)),ROW(Income!A$3:A$502)-2),3)),0))</f>
        <v/>
      </c>
      <c r="H211" s="38" t="str">
        <f aca="false">IF(IFERROR(INDEX(Expenses!B$3:B$1002,SMALL(IF((Expenses!E$3:E$1002="GBP")*(Expenses!A$3:A$1002=DATE(2026,10,14)),ROW(Expenses!A$3:A$1002)-2),3)),"")&lt;&gt;"",IFERROR(INDEX(Expenses!B$3:B$1002,SMALL(IF((Expenses!E$3:E$1002="GBP")*(Expenses!A$3:A$1002=DATE(2026,10,14)),ROW(Expenses!A$3:A$1002)-2),3)),""),IF(IFERROR(INDEX(Income!B$3:B$502,SMALL(IF((Income!D$3:D$502="GBP")*(Income!A$3:A$502=DATE(2026,10,14)),ROW(Income!A$3:A$502)-2),3)),"")&lt;&gt;"",IFERROR(INDEX(Income!B$3:B$502,SMALL(IF((Income!D$3:D$502="GBP")*(Income!A$3:A$502=DATE(2026,10,14)),ROW(Income!A$3:A$502)-2),3)),""),""))</f>
        <v/>
      </c>
      <c r="I211" s="62" t="str">
        <f aca="false">IF(IFERROR(-INDEX(Expenses!D$3:D$1002,SMALL(IF((Expenses!E$3:E$1002="GBP")*(Expenses!A$3:A$1002=DATE(2026,10,15)),ROW(Expenses!A$3:A$1002)-2),3)),0)+IFERROR(INDEX(Income!C$3:C$502,SMALL(IF((Income!D$3:D$502="GBP")*(Income!A$3:A$502=DATE(2026,10,15)),ROW(Income!A$3:A$502)-2),3)),0)=0,"",IFERROR(-INDEX(Expenses!D$3:D$1002,SMALL(IF((Expenses!E$3:E$1002="GBP")*(Expenses!A$3:A$1002=DATE(2026,10,15)),ROW(Expenses!A$3:A$1002)-2),3)),0)+IFERROR(INDEX(Income!C$3:C$502,SMALL(IF((Income!D$3:D$502="GBP")*(Income!A$3:A$502=DATE(2026,10,15)),ROW(Income!A$3:A$502)-2),3)),0))</f>
        <v/>
      </c>
      <c r="J211" s="38" t="str">
        <f aca="false">IF(IFERROR(INDEX(Expenses!B$3:B$1002,SMALL(IF((Expenses!E$3:E$1002="GBP")*(Expenses!A$3:A$1002=DATE(2026,10,15)),ROW(Expenses!A$3:A$1002)-2),3)),"")&lt;&gt;"",IFERROR(INDEX(Expenses!B$3:B$1002,SMALL(IF((Expenses!E$3:E$1002="GBP")*(Expenses!A$3:A$1002=DATE(2026,10,15)),ROW(Expenses!A$3:A$1002)-2),3)),""),IF(IFERROR(INDEX(Income!B$3:B$502,SMALL(IF((Income!D$3:D$502="GBP")*(Income!A$3:A$502=DATE(2026,10,15)),ROW(Income!A$3:A$502)-2),3)),"")&lt;&gt;"",IFERROR(INDEX(Income!B$3:B$502,SMALL(IF((Income!D$3:D$502="GBP")*(Income!A$3:A$502=DATE(2026,10,15)),ROW(Income!A$3:A$502)-2),3)),""),""))</f>
        <v/>
      </c>
      <c r="K211" s="62" t="str">
        <f aca="false">IF(IFERROR(-INDEX(Expenses!D$3:D$1002,SMALL(IF((Expenses!E$3:E$1002="GBP")*(Expenses!A$3:A$1002=DATE(2026,10,16)),ROW(Expenses!A$3:A$1002)-2),3)),0)+IFERROR(INDEX(Income!C$3:C$502,SMALL(IF((Income!D$3:D$502="GBP")*(Income!A$3:A$502=DATE(2026,10,16)),ROW(Income!A$3:A$502)-2),3)),0)=0,"",IFERROR(-INDEX(Expenses!D$3:D$1002,SMALL(IF((Expenses!E$3:E$1002="GBP")*(Expenses!A$3:A$1002=DATE(2026,10,16)),ROW(Expenses!A$3:A$1002)-2),3)),0)+IFERROR(INDEX(Income!C$3:C$502,SMALL(IF((Income!D$3:D$502="GBP")*(Income!A$3:A$502=DATE(2026,10,16)),ROW(Income!A$3:A$502)-2),3)),0))</f>
        <v/>
      </c>
      <c r="L211" s="38" t="str">
        <f aca="false">IF(IFERROR(INDEX(Expenses!B$3:B$1002,SMALL(IF((Expenses!E$3:E$1002="GBP")*(Expenses!A$3:A$1002=DATE(2026,10,16)),ROW(Expenses!A$3:A$1002)-2),3)),"")&lt;&gt;"",IFERROR(INDEX(Expenses!B$3:B$1002,SMALL(IF((Expenses!E$3:E$1002="GBP")*(Expenses!A$3:A$1002=DATE(2026,10,16)),ROW(Expenses!A$3:A$1002)-2),3)),""),IF(IFERROR(INDEX(Income!B$3:B$502,SMALL(IF((Income!D$3:D$502="GBP")*(Income!A$3:A$502=DATE(2026,10,16)),ROW(Income!A$3:A$502)-2),3)),"")&lt;&gt;"",IFERROR(INDEX(Income!B$3:B$502,SMALL(IF((Income!D$3:D$502="GBP")*(Income!A$3:A$502=DATE(2026,10,16)),ROW(Income!A$3:A$502)-2),3)),""),""))</f>
        <v/>
      </c>
      <c r="M211" s="62" t="str">
        <f aca="false">IF(IFERROR(-INDEX(Expenses!D$3:D$1002,SMALL(IF((Expenses!E$3:E$1002="GBP")*(Expenses!A$3:A$1002=DATE(2026,10,17)),ROW(Expenses!A$3:A$1002)-2),3)),0)+IFERROR(INDEX(Income!C$3:C$502,SMALL(IF((Income!D$3:D$502="GBP")*(Income!A$3:A$502=DATE(2026,10,17)),ROW(Income!A$3:A$502)-2),3)),0)=0,"",IFERROR(-INDEX(Expenses!D$3:D$1002,SMALL(IF((Expenses!E$3:E$1002="GBP")*(Expenses!A$3:A$1002=DATE(2026,10,17)),ROW(Expenses!A$3:A$1002)-2),3)),0)+IFERROR(INDEX(Income!C$3:C$502,SMALL(IF((Income!D$3:D$502="GBP")*(Income!A$3:A$502=DATE(2026,10,17)),ROW(Income!A$3:A$502)-2),3)),0))</f>
        <v/>
      </c>
      <c r="N211" s="38" t="str">
        <f aca="false">IF(IFERROR(INDEX(Expenses!B$3:B$1002,SMALL(IF((Expenses!E$3:E$1002="GBP")*(Expenses!A$3:A$1002=DATE(2026,10,17)),ROW(Expenses!A$3:A$1002)-2),3)),"")&lt;&gt;"",IFERROR(INDEX(Expenses!B$3:B$1002,SMALL(IF((Expenses!E$3:E$1002="GBP")*(Expenses!A$3:A$1002=DATE(2026,10,17)),ROW(Expenses!A$3:A$1002)-2),3)),""),IF(IFERROR(INDEX(Income!B$3:B$502,SMALL(IF((Income!D$3:D$502="GBP")*(Income!A$3:A$502=DATE(2026,10,17)),ROW(Income!A$3:A$502)-2),3)),"")&lt;&gt;"",IFERROR(INDEX(Income!B$3:B$502,SMALL(IF((Income!D$3:D$502="GBP")*(Income!A$3:A$502=DATE(2026,10,17)),ROW(Income!A$3:A$502)-2),3)),""),""))</f>
        <v/>
      </c>
      <c r="O211" s="62" t="str">
        <f aca="false">IF(IFERROR(-INDEX(Expenses!D$3:D$1002,SMALL(IF((Expenses!E$3:E$1002="GBP")*(Expenses!A$3:A$1002=DATE(2026,10,18)),ROW(Expenses!A$3:A$1002)-2),3)),0)+IFERROR(INDEX(Income!C$3:C$502,SMALL(IF((Income!D$3:D$502="GBP")*(Income!A$3:A$502=DATE(2026,10,18)),ROW(Income!A$3:A$502)-2),3)),0)=0,"",IFERROR(-INDEX(Expenses!D$3:D$1002,SMALL(IF((Expenses!E$3:E$1002="GBP")*(Expenses!A$3:A$1002=DATE(2026,10,18)),ROW(Expenses!A$3:A$1002)-2),3)),0)+IFERROR(INDEX(Income!C$3:C$502,SMALL(IF((Income!D$3:D$502="GBP")*(Income!A$3:A$502=DATE(2026,10,18)),ROW(Income!A$3:A$502)-2),3)),0))</f>
        <v/>
      </c>
      <c r="P211" s="38" t="str">
        <f aca="false">IF(IFERROR(INDEX(Expenses!B$3:B$1002,SMALL(IF((Expenses!E$3:E$1002="GBP")*(Expenses!A$3:A$1002=DATE(2026,10,18)),ROW(Expenses!A$3:A$1002)-2),3)),"")&lt;&gt;"",IFERROR(INDEX(Expenses!B$3:B$1002,SMALL(IF((Expenses!E$3:E$1002="GBP")*(Expenses!A$3:A$1002=DATE(2026,10,18)),ROW(Expenses!A$3:A$1002)-2),3)),""),IF(IFERROR(INDEX(Income!B$3:B$502,SMALL(IF((Income!D$3:D$502="GBP")*(Income!A$3:A$502=DATE(2026,10,18)),ROW(Income!A$3:A$502)-2),3)),"")&lt;&gt;"",IFERROR(INDEX(Income!B$3:B$502,SMALL(IF((Income!D$3:D$502="GBP")*(Income!A$3:A$502=DATE(2026,10,18)),ROW(Income!A$3:A$502)-2),3)),""),""))</f>
        <v/>
      </c>
      <c r="Q211" s="16"/>
      <c r="R211" s="16"/>
    </row>
    <row r="212" customFormat="false" ht="15" hidden="false" customHeight="false" outlineLevel="0" collapsed="false">
      <c r="A212" s="16"/>
      <c r="B212" s="16"/>
      <c r="C212" s="62" t="str">
        <f aca="false">IF(IFERROR(-INDEX(Expenses!D$3:D$1002,SMALL(IF((Expenses!E$3:E$1002="GBP")*(Expenses!A$3:A$1002=DATE(2026,10,12)),ROW(Expenses!A$3:A$1002)-2),4)),0)+IFERROR(INDEX(Income!C$3:C$502,SMALL(IF((Income!D$3:D$502="GBP")*(Income!A$3:A$502=DATE(2026,10,12)),ROW(Income!A$3:A$502)-2),4)),0)=0,"",IFERROR(-INDEX(Expenses!D$3:D$1002,SMALL(IF((Expenses!E$3:E$1002="GBP")*(Expenses!A$3:A$1002=DATE(2026,10,12)),ROW(Expenses!A$3:A$1002)-2),4)),0)+IFERROR(INDEX(Income!C$3:C$502,SMALL(IF((Income!D$3:D$502="GBP")*(Income!A$3:A$502=DATE(2026,10,12)),ROW(Income!A$3:A$502)-2),4)),0))</f>
        <v/>
      </c>
      <c r="D212" s="38" t="str">
        <f aca="false">IF(IFERROR(INDEX(Expenses!B$3:B$1002,SMALL(IF((Expenses!E$3:E$1002="GBP")*(Expenses!A$3:A$1002=DATE(2026,10,12)),ROW(Expenses!A$3:A$1002)-2),4)),"")&lt;&gt;"",IFERROR(INDEX(Expenses!B$3:B$1002,SMALL(IF((Expenses!E$3:E$1002="GBP")*(Expenses!A$3:A$1002=DATE(2026,10,12)),ROW(Expenses!A$3:A$1002)-2),4)),""),IF(IFERROR(INDEX(Income!B$3:B$502,SMALL(IF((Income!D$3:D$502="GBP")*(Income!A$3:A$502=DATE(2026,10,12)),ROW(Income!A$3:A$502)-2),4)),"")&lt;&gt;"",IFERROR(INDEX(Income!B$3:B$502,SMALL(IF((Income!D$3:D$502="GBP")*(Income!A$3:A$502=DATE(2026,10,12)),ROW(Income!A$3:A$502)-2),4)),""),""))</f>
        <v/>
      </c>
      <c r="E212" s="62" t="str">
        <f aca="false">IF(IFERROR(-INDEX(Expenses!D$3:D$1002,SMALL(IF((Expenses!E$3:E$1002="GBP")*(Expenses!A$3:A$1002=DATE(2026,10,13)),ROW(Expenses!A$3:A$1002)-2),4)),0)+IFERROR(INDEX(Income!C$3:C$502,SMALL(IF((Income!D$3:D$502="GBP")*(Income!A$3:A$502=DATE(2026,10,13)),ROW(Income!A$3:A$502)-2),4)),0)=0,"",IFERROR(-INDEX(Expenses!D$3:D$1002,SMALL(IF((Expenses!E$3:E$1002="GBP")*(Expenses!A$3:A$1002=DATE(2026,10,13)),ROW(Expenses!A$3:A$1002)-2),4)),0)+IFERROR(INDEX(Income!C$3:C$502,SMALL(IF((Income!D$3:D$502="GBP")*(Income!A$3:A$502=DATE(2026,10,13)),ROW(Income!A$3:A$502)-2),4)),0))</f>
        <v/>
      </c>
      <c r="F212" s="38" t="str">
        <f aca="false">IF(IFERROR(INDEX(Expenses!B$3:B$1002,SMALL(IF((Expenses!E$3:E$1002="GBP")*(Expenses!A$3:A$1002=DATE(2026,10,13)),ROW(Expenses!A$3:A$1002)-2),4)),"")&lt;&gt;"",IFERROR(INDEX(Expenses!B$3:B$1002,SMALL(IF((Expenses!E$3:E$1002="GBP")*(Expenses!A$3:A$1002=DATE(2026,10,13)),ROW(Expenses!A$3:A$1002)-2),4)),""),IF(IFERROR(INDEX(Income!B$3:B$502,SMALL(IF((Income!D$3:D$502="GBP")*(Income!A$3:A$502=DATE(2026,10,13)),ROW(Income!A$3:A$502)-2),4)),"")&lt;&gt;"",IFERROR(INDEX(Income!B$3:B$502,SMALL(IF((Income!D$3:D$502="GBP")*(Income!A$3:A$502=DATE(2026,10,13)),ROW(Income!A$3:A$502)-2),4)),""),""))</f>
        <v/>
      </c>
      <c r="G212" s="62" t="str">
        <f aca="false">IF(IFERROR(-INDEX(Expenses!D$3:D$1002,SMALL(IF((Expenses!E$3:E$1002="GBP")*(Expenses!A$3:A$1002=DATE(2026,10,14)),ROW(Expenses!A$3:A$1002)-2),4)),0)+IFERROR(INDEX(Income!C$3:C$502,SMALL(IF((Income!D$3:D$502="GBP")*(Income!A$3:A$502=DATE(2026,10,14)),ROW(Income!A$3:A$502)-2),4)),0)=0,"",IFERROR(-INDEX(Expenses!D$3:D$1002,SMALL(IF((Expenses!E$3:E$1002="GBP")*(Expenses!A$3:A$1002=DATE(2026,10,14)),ROW(Expenses!A$3:A$1002)-2),4)),0)+IFERROR(INDEX(Income!C$3:C$502,SMALL(IF((Income!D$3:D$502="GBP")*(Income!A$3:A$502=DATE(2026,10,14)),ROW(Income!A$3:A$502)-2),4)),0))</f>
        <v/>
      </c>
      <c r="H212" s="38" t="str">
        <f aca="false">IF(IFERROR(INDEX(Expenses!B$3:B$1002,SMALL(IF((Expenses!E$3:E$1002="GBP")*(Expenses!A$3:A$1002=DATE(2026,10,14)),ROW(Expenses!A$3:A$1002)-2),4)),"")&lt;&gt;"",IFERROR(INDEX(Expenses!B$3:B$1002,SMALL(IF((Expenses!E$3:E$1002="GBP")*(Expenses!A$3:A$1002=DATE(2026,10,14)),ROW(Expenses!A$3:A$1002)-2),4)),""),IF(IFERROR(INDEX(Income!B$3:B$502,SMALL(IF((Income!D$3:D$502="GBP")*(Income!A$3:A$502=DATE(2026,10,14)),ROW(Income!A$3:A$502)-2),4)),"")&lt;&gt;"",IFERROR(INDEX(Income!B$3:B$502,SMALL(IF((Income!D$3:D$502="GBP")*(Income!A$3:A$502=DATE(2026,10,14)),ROW(Income!A$3:A$502)-2),4)),""),""))</f>
        <v/>
      </c>
      <c r="I212" s="62" t="str">
        <f aca="false">IF(IFERROR(-INDEX(Expenses!D$3:D$1002,SMALL(IF((Expenses!E$3:E$1002="GBP")*(Expenses!A$3:A$1002=DATE(2026,10,15)),ROW(Expenses!A$3:A$1002)-2),4)),0)+IFERROR(INDEX(Income!C$3:C$502,SMALL(IF((Income!D$3:D$502="GBP")*(Income!A$3:A$502=DATE(2026,10,15)),ROW(Income!A$3:A$502)-2),4)),0)=0,"",IFERROR(-INDEX(Expenses!D$3:D$1002,SMALL(IF((Expenses!E$3:E$1002="GBP")*(Expenses!A$3:A$1002=DATE(2026,10,15)),ROW(Expenses!A$3:A$1002)-2),4)),0)+IFERROR(INDEX(Income!C$3:C$502,SMALL(IF((Income!D$3:D$502="GBP")*(Income!A$3:A$502=DATE(2026,10,15)),ROW(Income!A$3:A$502)-2),4)),0))</f>
        <v/>
      </c>
      <c r="J212" s="38" t="str">
        <f aca="false">IF(IFERROR(INDEX(Expenses!B$3:B$1002,SMALL(IF((Expenses!E$3:E$1002="GBP")*(Expenses!A$3:A$1002=DATE(2026,10,15)),ROW(Expenses!A$3:A$1002)-2),4)),"")&lt;&gt;"",IFERROR(INDEX(Expenses!B$3:B$1002,SMALL(IF((Expenses!E$3:E$1002="GBP")*(Expenses!A$3:A$1002=DATE(2026,10,15)),ROW(Expenses!A$3:A$1002)-2),4)),""),IF(IFERROR(INDEX(Income!B$3:B$502,SMALL(IF((Income!D$3:D$502="GBP")*(Income!A$3:A$502=DATE(2026,10,15)),ROW(Income!A$3:A$502)-2),4)),"")&lt;&gt;"",IFERROR(INDEX(Income!B$3:B$502,SMALL(IF((Income!D$3:D$502="GBP")*(Income!A$3:A$502=DATE(2026,10,15)),ROW(Income!A$3:A$502)-2),4)),""),""))</f>
        <v/>
      </c>
      <c r="K212" s="62" t="str">
        <f aca="false">IF(IFERROR(-INDEX(Expenses!D$3:D$1002,SMALL(IF((Expenses!E$3:E$1002="GBP")*(Expenses!A$3:A$1002=DATE(2026,10,16)),ROW(Expenses!A$3:A$1002)-2),4)),0)+IFERROR(INDEX(Income!C$3:C$502,SMALL(IF((Income!D$3:D$502="GBP")*(Income!A$3:A$502=DATE(2026,10,16)),ROW(Income!A$3:A$502)-2),4)),0)=0,"",IFERROR(-INDEX(Expenses!D$3:D$1002,SMALL(IF((Expenses!E$3:E$1002="GBP")*(Expenses!A$3:A$1002=DATE(2026,10,16)),ROW(Expenses!A$3:A$1002)-2),4)),0)+IFERROR(INDEX(Income!C$3:C$502,SMALL(IF((Income!D$3:D$502="GBP")*(Income!A$3:A$502=DATE(2026,10,16)),ROW(Income!A$3:A$502)-2),4)),0))</f>
        <v/>
      </c>
      <c r="L212" s="38" t="str">
        <f aca="false">IF(IFERROR(INDEX(Expenses!B$3:B$1002,SMALL(IF((Expenses!E$3:E$1002="GBP")*(Expenses!A$3:A$1002=DATE(2026,10,16)),ROW(Expenses!A$3:A$1002)-2),4)),"")&lt;&gt;"",IFERROR(INDEX(Expenses!B$3:B$1002,SMALL(IF((Expenses!E$3:E$1002="GBP")*(Expenses!A$3:A$1002=DATE(2026,10,16)),ROW(Expenses!A$3:A$1002)-2),4)),""),IF(IFERROR(INDEX(Income!B$3:B$502,SMALL(IF((Income!D$3:D$502="GBP")*(Income!A$3:A$502=DATE(2026,10,16)),ROW(Income!A$3:A$502)-2),4)),"")&lt;&gt;"",IFERROR(INDEX(Income!B$3:B$502,SMALL(IF((Income!D$3:D$502="GBP")*(Income!A$3:A$502=DATE(2026,10,16)),ROW(Income!A$3:A$502)-2),4)),""),""))</f>
        <v/>
      </c>
      <c r="M212" s="62" t="str">
        <f aca="false">IF(IFERROR(-INDEX(Expenses!D$3:D$1002,SMALL(IF((Expenses!E$3:E$1002="GBP")*(Expenses!A$3:A$1002=DATE(2026,10,17)),ROW(Expenses!A$3:A$1002)-2),4)),0)+IFERROR(INDEX(Income!C$3:C$502,SMALL(IF((Income!D$3:D$502="GBP")*(Income!A$3:A$502=DATE(2026,10,17)),ROW(Income!A$3:A$502)-2),4)),0)=0,"",IFERROR(-INDEX(Expenses!D$3:D$1002,SMALL(IF((Expenses!E$3:E$1002="GBP")*(Expenses!A$3:A$1002=DATE(2026,10,17)),ROW(Expenses!A$3:A$1002)-2),4)),0)+IFERROR(INDEX(Income!C$3:C$502,SMALL(IF((Income!D$3:D$502="GBP")*(Income!A$3:A$502=DATE(2026,10,17)),ROW(Income!A$3:A$502)-2),4)),0))</f>
        <v/>
      </c>
      <c r="N212" s="38" t="str">
        <f aca="false">IF(IFERROR(INDEX(Expenses!B$3:B$1002,SMALL(IF((Expenses!E$3:E$1002="GBP")*(Expenses!A$3:A$1002=DATE(2026,10,17)),ROW(Expenses!A$3:A$1002)-2),4)),"")&lt;&gt;"",IFERROR(INDEX(Expenses!B$3:B$1002,SMALL(IF((Expenses!E$3:E$1002="GBP")*(Expenses!A$3:A$1002=DATE(2026,10,17)),ROW(Expenses!A$3:A$1002)-2),4)),""),IF(IFERROR(INDEX(Income!B$3:B$502,SMALL(IF((Income!D$3:D$502="GBP")*(Income!A$3:A$502=DATE(2026,10,17)),ROW(Income!A$3:A$502)-2),4)),"")&lt;&gt;"",IFERROR(INDEX(Income!B$3:B$502,SMALL(IF((Income!D$3:D$502="GBP")*(Income!A$3:A$502=DATE(2026,10,17)),ROW(Income!A$3:A$502)-2),4)),""),""))</f>
        <v/>
      </c>
      <c r="O212" s="62" t="str">
        <f aca="false">IF(IFERROR(-INDEX(Expenses!D$3:D$1002,SMALL(IF((Expenses!E$3:E$1002="GBP")*(Expenses!A$3:A$1002=DATE(2026,10,18)),ROW(Expenses!A$3:A$1002)-2),4)),0)+IFERROR(INDEX(Income!C$3:C$502,SMALL(IF((Income!D$3:D$502="GBP")*(Income!A$3:A$502=DATE(2026,10,18)),ROW(Income!A$3:A$502)-2),4)),0)=0,"",IFERROR(-INDEX(Expenses!D$3:D$1002,SMALL(IF((Expenses!E$3:E$1002="GBP")*(Expenses!A$3:A$1002=DATE(2026,10,18)),ROW(Expenses!A$3:A$1002)-2),4)),0)+IFERROR(INDEX(Income!C$3:C$502,SMALL(IF((Income!D$3:D$502="GBP")*(Income!A$3:A$502=DATE(2026,10,18)),ROW(Income!A$3:A$502)-2),4)),0))</f>
        <v/>
      </c>
      <c r="P212" s="38" t="str">
        <f aca="false">IF(IFERROR(INDEX(Expenses!B$3:B$1002,SMALL(IF((Expenses!E$3:E$1002="GBP")*(Expenses!A$3:A$1002=DATE(2026,10,18)),ROW(Expenses!A$3:A$1002)-2),4)),"")&lt;&gt;"",IFERROR(INDEX(Expenses!B$3:B$1002,SMALL(IF((Expenses!E$3:E$1002="GBP")*(Expenses!A$3:A$1002=DATE(2026,10,18)),ROW(Expenses!A$3:A$1002)-2),4)),""),IF(IFERROR(INDEX(Income!B$3:B$502,SMALL(IF((Income!D$3:D$502="GBP")*(Income!A$3:A$502=DATE(2026,10,18)),ROW(Income!A$3:A$502)-2),4)),"")&lt;&gt;"",IFERROR(INDEX(Income!B$3:B$502,SMALL(IF((Income!D$3:D$502="GBP")*(Income!A$3:A$502=DATE(2026,10,18)),ROW(Income!A$3:A$502)-2),4)),""),""))</f>
        <v/>
      </c>
      <c r="Q212" s="16"/>
      <c r="R212" s="16"/>
    </row>
    <row r="213" customFormat="false" ht="15" hidden="false" customHeight="false" outlineLevel="0" collapsed="false">
      <c r="A213" s="16"/>
      <c r="B213" s="16"/>
      <c r="C213" s="62" t="str">
        <f aca="false">IF(IFERROR(-INDEX(Expenses!D$3:D$1002,SMALL(IF((Expenses!E$3:E$1002="GBP")*(Expenses!A$3:A$1002=DATE(2026,10,12)),ROW(Expenses!A$3:A$1002)-2),5)),0)+IFERROR(INDEX(Income!C$3:C$502,SMALL(IF((Income!D$3:D$502="GBP")*(Income!A$3:A$502=DATE(2026,10,12)),ROW(Income!A$3:A$502)-2),5)),0)=0,"",IFERROR(-INDEX(Expenses!D$3:D$1002,SMALL(IF((Expenses!E$3:E$1002="GBP")*(Expenses!A$3:A$1002=DATE(2026,10,12)),ROW(Expenses!A$3:A$1002)-2),5)),0)+IFERROR(INDEX(Income!C$3:C$502,SMALL(IF((Income!D$3:D$502="GBP")*(Income!A$3:A$502=DATE(2026,10,12)),ROW(Income!A$3:A$502)-2),5)),0))</f>
        <v/>
      </c>
      <c r="D213" s="38" t="str">
        <f aca="false">IF(IFERROR(INDEX(Expenses!B$3:B$1002,SMALL(IF((Expenses!E$3:E$1002="GBP")*(Expenses!A$3:A$1002=DATE(2026,10,12)),ROW(Expenses!A$3:A$1002)-2),5)),"")&lt;&gt;"",IFERROR(INDEX(Expenses!B$3:B$1002,SMALL(IF((Expenses!E$3:E$1002="GBP")*(Expenses!A$3:A$1002=DATE(2026,10,12)),ROW(Expenses!A$3:A$1002)-2),5)),""),IF(IFERROR(INDEX(Income!B$3:B$502,SMALL(IF((Income!D$3:D$502="GBP")*(Income!A$3:A$502=DATE(2026,10,12)),ROW(Income!A$3:A$502)-2),5)),"")&lt;&gt;"",IFERROR(INDEX(Income!B$3:B$502,SMALL(IF((Income!D$3:D$502="GBP")*(Income!A$3:A$502=DATE(2026,10,12)),ROW(Income!A$3:A$502)-2),5)),""),""))</f>
        <v/>
      </c>
      <c r="E213" s="62" t="str">
        <f aca="false">IF(IFERROR(-INDEX(Expenses!D$3:D$1002,SMALL(IF((Expenses!E$3:E$1002="GBP")*(Expenses!A$3:A$1002=DATE(2026,10,13)),ROW(Expenses!A$3:A$1002)-2),5)),0)+IFERROR(INDEX(Income!C$3:C$502,SMALL(IF((Income!D$3:D$502="GBP")*(Income!A$3:A$502=DATE(2026,10,13)),ROW(Income!A$3:A$502)-2),5)),0)=0,"",IFERROR(-INDEX(Expenses!D$3:D$1002,SMALL(IF((Expenses!E$3:E$1002="GBP")*(Expenses!A$3:A$1002=DATE(2026,10,13)),ROW(Expenses!A$3:A$1002)-2),5)),0)+IFERROR(INDEX(Income!C$3:C$502,SMALL(IF((Income!D$3:D$502="GBP")*(Income!A$3:A$502=DATE(2026,10,13)),ROW(Income!A$3:A$502)-2),5)),0))</f>
        <v/>
      </c>
      <c r="F213" s="38" t="str">
        <f aca="false">IF(IFERROR(INDEX(Expenses!B$3:B$1002,SMALL(IF((Expenses!E$3:E$1002="GBP")*(Expenses!A$3:A$1002=DATE(2026,10,13)),ROW(Expenses!A$3:A$1002)-2),5)),"")&lt;&gt;"",IFERROR(INDEX(Expenses!B$3:B$1002,SMALL(IF((Expenses!E$3:E$1002="GBP")*(Expenses!A$3:A$1002=DATE(2026,10,13)),ROW(Expenses!A$3:A$1002)-2),5)),""),IF(IFERROR(INDEX(Income!B$3:B$502,SMALL(IF((Income!D$3:D$502="GBP")*(Income!A$3:A$502=DATE(2026,10,13)),ROW(Income!A$3:A$502)-2),5)),"")&lt;&gt;"",IFERROR(INDEX(Income!B$3:B$502,SMALL(IF((Income!D$3:D$502="GBP")*(Income!A$3:A$502=DATE(2026,10,13)),ROW(Income!A$3:A$502)-2),5)),""),""))</f>
        <v/>
      </c>
      <c r="G213" s="62" t="str">
        <f aca="false">IF(IFERROR(-INDEX(Expenses!D$3:D$1002,SMALL(IF((Expenses!E$3:E$1002="GBP")*(Expenses!A$3:A$1002=DATE(2026,10,14)),ROW(Expenses!A$3:A$1002)-2),5)),0)+IFERROR(INDEX(Income!C$3:C$502,SMALL(IF((Income!D$3:D$502="GBP")*(Income!A$3:A$502=DATE(2026,10,14)),ROW(Income!A$3:A$502)-2),5)),0)=0,"",IFERROR(-INDEX(Expenses!D$3:D$1002,SMALL(IF((Expenses!E$3:E$1002="GBP")*(Expenses!A$3:A$1002=DATE(2026,10,14)),ROW(Expenses!A$3:A$1002)-2),5)),0)+IFERROR(INDEX(Income!C$3:C$502,SMALL(IF((Income!D$3:D$502="GBP")*(Income!A$3:A$502=DATE(2026,10,14)),ROW(Income!A$3:A$502)-2),5)),0))</f>
        <v/>
      </c>
      <c r="H213" s="38" t="str">
        <f aca="false">IF(IFERROR(INDEX(Expenses!B$3:B$1002,SMALL(IF((Expenses!E$3:E$1002="GBP")*(Expenses!A$3:A$1002=DATE(2026,10,14)),ROW(Expenses!A$3:A$1002)-2),5)),"")&lt;&gt;"",IFERROR(INDEX(Expenses!B$3:B$1002,SMALL(IF((Expenses!E$3:E$1002="GBP")*(Expenses!A$3:A$1002=DATE(2026,10,14)),ROW(Expenses!A$3:A$1002)-2),5)),""),IF(IFERROR(INDEX(Income!B$3:B$502,SMALL(IF((Income!D$3:D$502="GBP")*(Income!A$3:A$502=DATE(2026,10,14)),ROW(Income!A$3:A$502)-2),5)),"")&lt;&gt;"",IFERROR(INDEX(Income!B$3:B$502,SMALL(IF((Income!D$3:D$502="GBP")*(Income!A$3:A$502=DATE(2026,10,14)),ROW(Income!A$3:A$502)-2),5)),""),""))</f>
        <v/>
      </c>
      <c r="I213" s="62" t="str">
        <f aca="false">IF(IFERROR(-INDEX(Expenses!D$3:D$1002,SMALL(IF((Expenses!E$3:E$1002="GBP")*(Expenses!A$3:A$1002=DATE(2026,10,15)),ROW(Expenses!A$3:A$1002)-2),5)),0)+IFERROR(INDEX(Income!C$3:C$502,SMALL(IF((Income!D$3:D$502="GBP")*(Income!A$3:A$502=DATE(2026,10,15)),ROW(Income!A$3:A$502)-2),5)),0)=0,"",IFERROR(-INDEX(Expenses!D$3:D$1002,SMALL(IF((Expenses!E$3:E$1002="GBP")*(Expenses!A$3:A$1002=DATE(2026,10,15)),ROW(Expenses!A$3:A$1002)-2),5)),0)+IFERROR(INDEX(Income!C$3:C$502,SMALL(IF((Income!D$3:D$502="GBP")*(Income!A$3:A$502=DATE(2026,10,15)),ROW(Income!A$3:A$502)-2),5)),0))</f>
        <v/>
      </c>
      <c r="J213" s="38" t="str">
        <f aca="false">IF(IFERROR(INDEX(Expenses!B$3:B$1002,SMALL(IF((Expenses!E$3:E$1002="GBP")*(Expenses!A$3:A$1002=DATE(2026,10,15)),ROW(Expenses!A$3:A$1002)-2),5)),"")&lt;&gt;"",IFERROR(INDEX(Expenses!B$3:B$1002,SMALL(IF((Expenses!E$3:E$1002="GBP")*(Expenses!A$3:A$1002=DATE(2026,10,15)),ROW(Expenses!A$3:A$1002)-2),5)),""),IF(IFERROR(INDEX(Income!B$3:B$502,SMALL(IF((Income!D$3:D$502="GBP")*(Income!A$3:A$502=DATE(2026,10,15)),ROW(Income!A$3:A$502)-2),5)),"")&lt;&gt;"",IFERROR(INDEX(Income!B$3:B$502,SMALL(IF((Income!D$3:D$502="GBP")*(Income!A$3:A$502=DATE(2026,10,15)),ROW(Income!A$3:A$502)-2),5)),""),""))</f>
        <v/>
      </c>
      <c r="K213" s="62" t="str">
        <f aca="false">IF(IFERROR(-INDEX(Expenses!D$3:D$1002,SMALL(IF((Expenses!E$3:E$1002="GBP")*(Expenses!A$3:A$1002=DATE(2026,10,16)),ROW(Expenses!A$3:A$1002)-2),5)),0)+IFERROR(INDEX(Income!C$3:C$502,SMALL(IF((Income!D$3:D$502="GBP")*(Income!A$3:A$502=DATE(2026,10,16)),ROW(Income!A$3:A$502)-2),5)),0)=0,"",IFERROR(-INDEX(Expenses!D$3:D$1002,SMALL(IF((Expenses!E$3:E$1002="GBP")*(Expenses!A$3:A$1002=DATE(2026,10,16)),ROW(Expenses!A$3:A$1002)-2),5)),0)+IFERROR(INDEX(Income!C$3:C$502,SMALL(IF((Income!D$3:D$502="GBP")*(Income!A$3:A$502=DATE(2026,10,16)),ROW(Income!A$3:A$502)-2),5)),0))</f>
        <v/>
      </c>
      <c r="L213" s="38" t="str">
        <f aca="false">IF(IFERROR(INDEX(Expenses!B$3:B$1002,SMALL(IF((Expenses!E$3:E$1002="GBP")*(Expenses!A$3:A$1002=DATE(2026,10,16)),ROW(Expenses!A$3:A$1002)-2),5)),"")&lt;&gt;"",IFERROR(INDEX(Expenses!B$3:B$1002,SMALL(IF((Expenses!E$3:E$1002="GBP")*(Expenses!A$3:A$1002=DATE(2026,10,16)),ROW(Expenses!A$3:A$1002)-2),5)),""),IF(IFERROR(INDEX(Income!B$3:B$502,SMALL(IF((Income!D$3:D$502="GBP")*(Income!A$3:A$502=DATE(2026,10,16)),ROW(Income!A$3:A$502)-2),5)),"")&lt;&gt;"",IFERROR(INDEX(Income!B$3:B$502,SMALL(IF((Income!D$3:D$502="GBP")*(Income!A$3:A$502=DATE(2026,10,16)),ROW(Income!A$3:A$502)-2),5)),""),""))</f>
        <v/>
      </c>
      <c r="M213" s="62" t="str">
        <f aca="false">IF(IFERROR(-INDEX(Expenses!D$3:D$1002,SMALL(IF((Expenses!E$3:E$1002="GBP")*(Expenses!A$3:A$1002=DATE(2026,10,17)),ROW(Expenses!A$3:A$1002)-2),5)),0)+IFERROR(INDEX(Income!C$3:C$502,SMALL(IF((Income!D$3:D$502="GBP")*(Income!A$3:A$502=DATE(2026,10,17)),ROW(Income!A$3:A$502)-2),5)),0)=0,"",IFERROR(-INDEX(Expenses!D$3:D$1002,SMALL(IF((Expenses!E$3:E$1002="GBP")*(Expenses!A$3:A$1002=DATE(2026,10,17)),ROW(Expenses!A$3:A$1002)-2),5)),0)+IFERROR(INDEX(Income!C$3:C$502,SMALL(IF((Income!D$3:D$502="GBP")*(Income!A$3:A$502=DATE(2026,10,17)),ROW(Income!A$3:A$502)-2),5)),0))</f>
        <v/>
      </c>
      <c r="N213" s="38" t="str">
        <f aca="false">IF(IFERROR(INDEX(Expenses!B$3:B$1002,SMALL(IF((Expenses!E$3:E$1002="GBP")*(Expenses!A$3:A$1002=DATE(2026,10,17)),ROW(Expenses!A$3:A$1002)-2),5)),"")&lt;&gt;"",IFERROR(INDEX(Expenses!B$3:B$1002,SMALL(IF((Expenses!E$3:E$1002="GBP")*(Expenses!A$3:A$1002=DATE(2026,10,17)),ROW(Expenses!A$3:A$1002)-2),5)),""),IF(IFERROR(INDEX(Income!B$3:B$502,SMALL(IF((Income!D$3:D$502="GBP")*(Income!A$3:A$502=DATE(2026,10,17)),ROW(Income!A$3:A$502)-2),5)),"")&lt;&gt;"",IFERROR(INDEX(Income!B$3:B$502,SMALL(IF((Income!D$3:D$502="GBP")*(Income!A$3:A$502=DATE(2026,10,17)),ROW(Income!A$3:A$502)-2),5)),""),""))</f>
        <v/>
      </c>
      <c r="O213" s="62" t="str">
        <f aca="false">IF(IFERROR(-INDEX(Expenses!D$3:D$1002,SMALL(IF((Expenses!E$3:E$1002="GBP")*(Expenses!A$3:A$1002=DATE(2026,10,18)),ROW(Expenses!A$3:A$1002)-2),5)),0)+IFERROR(INDEX(Income!C$3:C$502,SMALL(IF((Income!D$3:D$502="GBP")*(Income!A$3:A$502=DATE(2026,10,18)),ROW(Income!A$3:A$502)-2),5)),0)=0,"",IFERROR(-INDEX(Expenses!D$3:D$1002,SMALL(IF((Expenses!E$3:E$1002="GBP")*(Expenses!A$3:A$1002=DATE(2026,10,18)),ROW(Expenses!A$3:A$1002)-2),5)),0)+IFERROR(INDEX(Income!C$3:C$502,SMALL(IF((Income!D$3:D$502="GBP")*(Income!A$3:A$502=DATE(2026,10,18)),ROW(Income!A$3:A$502)-2),5)),0))</f>
        <v/>
      </c>
      <c r="P213" s="38" t="str">
        <f aca="false">IF(IFERROR(INDEX(Expenses!B$3:B$1002,SMALL(IF((Expenses!E$3:E$1002="GBP")*(Expenses!A$3:A$1002=DATE(2026,10,18)),ROW(Expenses!A$3:A$1002)-2),5)),"")&lt;&gt;"",IFERROR(INDEX(Expenses!B$3:B$1002,SMALL(IF((Expenses!E$3:E$1002="GBP")*(Expenses!A$3:A$1002=DATE(2026,10,18)),ROW(Expenses!A$3:A$1002)-2),5)),""),IF(IFERROR(INDEX(Income!B$3:B$502,SMALL(IF((Income!D$3:D$502="GBP")*(Income!A$3:A$502=DATE(2026,10,18)),ROW(Income!A$3:A$502)-2),5)),"")&lt;&gt;"",IFERROR(INDEX(Income!B$3:B$502,SMALL(IF((Income!D$3:D$502="GBP")*(Income!A$3:A$502=DATE(2026,10,18)),ROW(Income!A$3:A$502)-2),5)),""),""))</f>
        <v/>
      </c>
      <c r="Q213" s="16"/>
      <c r="R213" s="16"/>
    </row>
    <row r="214" customFormat="false" ht="15" hidden="false" customHeight="false" outlineLevel="0" collapsed="false">
      <c r="A214" s="61" t="n">
        <v>46314</v>
      </c>
      <c r="B214" s="3" t="n">
        <v>43</v>
      </c>
      <c r="C214" s="62" t="str">
        <f aca="false">IF(IFERROR(-INDEX(Expenses!D$3:D$1002,SMALL(IF((Expenses!E$3:E$1002="GBP")*(Expenses!A$3:A$1002=DATE(2026,10,19)),ROW(Expenses!A$3:A$1002)-2),1)),0)+IFERROR(INDEX(Income!C$3:C$502,SMALL(IF((Income!D$3:D$502="GBP")*(Income!A$3:A$502=DATE(2026,10,19)),ROW(Income!A$3:A$502)-2),1)),0)=0,"",IFERROR(-INDEX(Expenses!D$3:D$1002,SMALL(IF((Expenses!E$3:E$1002="GBP")*(Expenses!A$3:A$1002=DATE(2026,10,19)),ROW(Expenses!A$3:A$1002)-2),1)),0)+IFERROR(INDEX(Income!C$3:C$502,SMALL(IF((Income!D$3:D$502="GBP")*(Income!A$3:A$502=DATE(2026,10,19)),ROW(Income!A$3:A$502)-2),1)),0))</f>
        <v/>
      </c>
      <c r="D214" s="38" t="str">
        <f aca="false">IF(IFERROR(INDEX(Expenses!B$3:B$1002,SMALL(IF((Expenses!E$3:E$1002="GBP")*(Expenses!A$3:A$1002=DATE(2026,10,19)),ROW(Expenses!A$3:A$1002)-2),1)),"")&lt;&gt;"",IFERROR(INDEX(Expenses!B$3:B$1002,SMALL(IF((Expenses!E$3:E$1002="GBP")*(Expenses!A$3:A$1002=DATE(2026,10,19)),ROW(Expenses!A$3:A$1002)-2),1)),""),IF(IFERROR(INDEX(Income!B$3:B$502,SMALL(IF((Income!D$3:D$502="GBP")*(Income!A$3:A$502=DATE(2026,10,19)),ROW(Income!A$3:A$502)-2),1)),"")&lt;&gt;"",IFERROR(INDEX(Income!B$3:B$502,SMALL(IF((Income!D$3:D$502="GBP")*(Income!A$3:A$502=DATE(2026,10,19)),ROW(Income!A$3:A$502)-2),1)),""),""))</f>
        <v/>
      </c>
      <c r="E214" s="62" t="str">
        <f aca="false">IF(IFERROR(-INDEX(Expenses!D$3:D$1002,SMALL(IF((Expenses!E$3:E$1002="GBP")*(Expenses!A$3:A$1002=DATE(2026,10,20)),ROW(Expenses!A$3:A$1002)-2),1)),0)+IFERROR(INDEX(Income!C$3:C$502,SMALL(IF((Income!D$3:D$502="GBP")*(Income!A$3:A$502=DATE(2026,10,20)),ROW(Income!A$3:A$502)-2),1)),0)=0,"",IFERROR(-INDEX(Expenses!D$3:D$1002,SMALL(IF((Expenses!E$3:E$1002="GBP")*(Expenses!A$3:A$1002=DATE(2026,10,20)),ROW(Expenses!A$3:A$1002)-2),1)),0)+IFERROR(INDEX(Income!C$3:C$502,SMALL(IF((Income!D$3:D$502="GBP")*(Income!A$3:A$502=DATE(2026,10,20)),ROW(Income!A$3:A$502)-2),1)),0))</f>
        <v/>
      </c>
      <c r="F214" s="38" t="str">
        <f aca="false">IF(IFERROR(INDEX(Expenses!B$3:B$1002,SMALL(IF((Expenses!E$3:E$1002="GBP")*(Expenses!A$3:A$1002=DATE(2026,10,20)),ROW(Expenses!A$3:A$1002)-2),1)),"")&lt;&gt;"",IFERROR(INDEX(Expenses!B$3:B$1002,SMALL(IF((Expenses!E$3:E$1002="GBP")*(Expenses!A$3:A$1002=DATE(2026,10,20)),ROW(Expenses!A$3:A$1002)-2),1)),""),IF(IFERROR(INDEX(Income!B$3:B$502,SMALL(IF((Income!D$3:D$502="GBP")*(Income!A$3:A$502=DATE(2026,10,20)),ROW(Income!A$3:A$502)-2),1)),"")&lt;&gt;"",IFERROR(INDEX(Income!B$3:B$502,SMALL(IF((Income!D$3:D$502="GBP")*(Income!A$3:A$502=DATE(2026,10,20)),ROW(Income!A$3:A$502)-2),1)),""),""))</f>
        <v/>
      </c>
      <c r="G214" s="62" t="str">
        <f aca="false">IF(IFERROR(-INDEX(Expenses!D$3:D$1002,SMALL(IF((Expenses!E$3:E$1002="GBP")*(Expenses!A$3:A$1002=DATE(2026,10,21)),ROW(Expenses!A$3:A$1002)-2),1)),0)+IFERROR(INDEX(Income!C$3:C$502,SMALL(IF((Income!D$3:D$502="GBP")*(Income!A$3:A$502=DATE(2026,10,21)),ROW(Income!A$3:A$502)-2),1)),0)=0,"",IFERROR(-INDEX(Expenses!D$3:D$1002,SMALL(IF((Expenses!E$3:E$1002="GBP")*(Expenses!A$3:A$1002=DATE(2026,10,21)),ROW(Expenses!A$3:A$1002)-2),1)),0)+IFERROR(INDEX(Income!C$3:C$502,SMALL(IF((Income!D$3:D$502="GBP")*(Income!A$3:A$502=DATE(2026,10,21)),ROW(Income!A$3:A$502)-2),1)),0))</f>
        <v/>
      </c>
      <c r="H214" s="38" t="str">
        <f aca="false">IF(IFERROR(INDEX(Expenses!B$3:B$1002,SMALL(IF((Expenses!E$3:E$1002="GBP")*(Expenses!A$3:A$1002=DATE(2026,10,21)),ROW(Expenses!A$3:A$1002)-2),1)),"")&lt;&gt;"",IFERROR(INDEX(Expenses!B$3:B$1002,SMALL(IF((Expenses!E$3:E$1002="GBP")*(Expenses!A$3:A$1002=DATE(2026,10,21)),ROW(Expenses!A$3:A$1002)-2),1)),""),IF(IFERROR(INDEX(Income!B$3:B$502,SMALL(IF((Income!D$3:D$502="GBP")*(Income!A$3:A$502=DATE(2026,10,21)),ROW(Income!A$3:A$502)-2),1)),"")&lt;&gt;"",IFERROR(INDEX(Income!B$3:B$502,SMALL(IF((Income!D$3:D$502="GBP")*(Income!A$3:A$502=DATE(2026,10,21)),ROW(Income!A$3:A$502)-2),1)),""),""))</f>
        <v/>
      </c>
      <c r="I214" s="62" t="str">
        <f aca="false">IF(IFERROR(-INDEX(Expenses!D$3:D$1002,SMALL(IF((Expenses!E$3:E$1002="GBP")*(Expenses!A$3:A$1002=DATE(2026,10,22)),ROW(Expenses!A$3:A$1002)-2),1)),0)+IFERROR(INDEX(Income!C$3:C$502,SMALL(IF((Income!D$3:D$502="GBP")*(Income!A$3:A$502=DATE(2026,10,22)),ROW(Income!A$3:A$502)-2),1)),0)=0,"",IFERROR(-INDEX(Expenses!D$3:D$1002,SMALL(IF((Expenses!E$3:E$1002="GBP")*(Expenses!A$3:A$1002=DATE(2026,10,22)),ROW(Expenses!A$3:A$1002)-2),1)),0)+IFERROR(INDEX(Income!C$3:C$502,SMALL(IF((Income!D$3:D$502="GBP")*(Income!A$3:A$502=DATE(2026,10,22)),ROW(Income!A$3:A$502)-2),1)),0))</f>
        <v/>
      </c>
      <c r="J214" s="38" t="str">
        <f aca="false">IF(IFERROR(INDEX(Expenses!B$3:B$1002,SMALL(IF((Expenses!E$3:E$1002="GBP")*(Expenses!A$3:A$1002=DATE(2026,10,22)),ROW(Expenses!A$3:A$1002)-2),1)),"")&lt;&gt;"",IFERROR(INDEX(Expenses!B$3:B$1002,SMALL(IF((Expenses!E$3:E$1002="GBP")*(Expenses!A$3:A$1002=DATE(2026,10,22)),ROW(Expenses!A$3:A$1002)-2),1)),""),IF(IFERROR(INDEX(Income!B$3:B$502,SMALL(IF((Income!D$3:D$502="GBP")*(Income!A$3:A$502=DATE(2026,10,22)),ROW(Income!A$3:A$502)-2),1)),"")&lt;&gt;"",IFERROR(INDEX(Income!B$3:B$502,SMALL(IF((Income!D$3:D$502="GBP")*(Income!A$3:A$502=DATE(2026,10,22)),ROW(Income!A$3:A$502)-2),1)),""),""))</f>
        <v/>
      </c>
      <c r="K214" s="62" t="str">
        <f aca="false">IF(IFERROR(-INDEX(Expenses!D$3:D$1002,SMALL(IF((Expenses!E$3:E$1002="GBP")*(Expenses!A$3:A$1002=DATE(2026,10,23)),ROW(Expenses!A$3:A$1002)-2),1)),0)+IFERROR(INDEX(Income!C$3:C$502,SMALL(IF((Income!D$3:D$502="GBP")*(Income!A$3:A$502=DATE(2026,10,23)),ROW(Income!A$3:A$502)-2),1)),0)=0,"",IFERROR(-INDEX(Expenses!D$3:D$1002,SMALL(IF((Expenses!E$3:E$1002="GBP")*(Expenses!A$3:A$1002=DATE(2026,10,23)),ROW(Expenses!A$3:A$1002)-2),1)),0)+IFERROR(INDEX(Income!C$3:C$502,SMALL(IF((Income!D$3:D$502="GBP")*(Income!A$3:A$502=DATE(2026,10,23)),ROW(Income!A$3:A$502)-2),1)),0))</f>
        <v/>
      </c>
      <c r="L214" s="38" t="str">
        <f aca="false">IF(IFERROR(INDEX(Expenses!B$3:B$1002,SMALL(IF((Expenses!E$3:E$1002="GBP")*(Expenses!A$3:A$1002=DATE(2026,10,23)),ROW(Expenses!A$3:A$1002)-2),1)),"")&lt;&gt;"",IFERROR(INDEX(Expenses!B$3:B$1002,SMALL(IF((Expenses!E$3:E$1002="GBP")*(Expenses!A$3:A$1002=DATE(2026,10,23)),ROW(Expenses!A$3:A$1002)-2),1)),""),IF(IFERROR(INDEX(Income!B$3:B$502,SMALL(IF((Income!D$3:D$502="GBP")*(Income!A$3:A$502=DATE(2026,10,23)),ROW(Income!A$3:A$502)-2),1)),"")&lt;&gt;"",IFERROR(INDEX(Income!B$3:B$502,SMALL(IF((Income!D$3:D$502="GBP")*(Income!A$3:A$502=DATE(2026,10,23)),ROW(Income!A$3:A$502)-2),1)),""),""))</f>
        <v/>
      </c>
      <c r="M214" s="62" t="str">
        <f aca="false">IF(IFERROR(-INDEX(Expenses!D$3:D$1002,SMALL(IF((Expenses!E$3:E$1002="GBP")*(Expenses!A$3:A$1002=DATE(2026,10,24)),ROW(Expenses!A$3:A$1002)-2),1)),0)+IFERROR(INDEX(Income!C$3:C$502,SMALL(IF((Income!D$3:D$502="GBP")*(Income!A$3:A$502=DATE(2026,10,24)),ROW(Income!A$3:A$502)-2),1)),0)=0,"",IFERROR(-INDEX(Expenses!D$3:D$1002,SMALL(IF((Expenses!E$3:E$1002="GBP")*(Expenses!A$3:A$1002=DATE(2026,10,24)),ROW(Expenses!A$3:A$1002)-2),1)),0)+IFERROR(INDEX(Income!C$3:C$502,SMALL(IF((Income!D$3:D$502="GBP")*(Income!A$3:A$502=DATE(2026,10,24)),ROW(Income!A$3:A$502)-2),1)),0))</f>
        <v/>
      </c>
      <c r="N214" s="38" t="str">
        <f aca="false">IF(IFERROR(INDEX(Expenses!B$3:B$1002,SMALL(IF((Expenses!E$3:E$1002="GBP")*(Expenses!A$3:A$1002=DATE(2026,10,24)),ROW(Expenses!A$3:A$1002)-2),1)),"")&lt;&gt;"",IFERROR(INDEX(Expenses!B$3:B$1002,SMALL(IF((Expenses!E$3:E$1002="GBP")*(Expenses!A$3:A$1002=DATE(2026,10,24)),ROW(Expenses!A$3:A$1002)-2),1)),""),IF(IFERROR(INDEX(Income!B$3:B$502,SMALL(IF((Income!D$3:D$502="GBP")*(Income!A$3:A$502=DATE(2026,10,24)),ROW(Income!A$3:A$502)-2),1)),"")&lt;&gt;"",IFERROR(INDEX(Income!B$3:B$502,SMALL(IF((Income!D$3:D$502="GBP")*(Income!A$3:A$502=DATE(2026,10,24)),ROW(Income!A$3:A$502)-2),1)),""),""))</f>
        <v/>
      </c>
      <c r="O214" s="62" t="str">
        <f aca="false">IF(IFERROR(-INDEX(Expenses!D$3:D$1002,SMALL(IF((Expenses!E$3:E$1002="GBP")*(Expenses!A$3:A$1002=DATE(2026,10,25)),ROW(Expenses!A$3:A$1002)-2),1)),0)+IFERROR(INDEX(Income!C$3:C$502,SMALL(IF((Income!D$3:D$502="GBP")*(Income!A$3:A$502=DATE(2026,10,25)),ROW(Income!A$3:A$502)-2),1)),0)=0,"",IFERROR(-INDEX(Expenses!D$3:D$1002,SMALL(IF((Expenses!E$3:E$1002="GBP")*(Expenses!A$3:A$1002=DATE(2026,10,25)),ROW(Expenses!A$3:A$1002)-2),1)),0)+IFERROR(INDEX(Income!C$3:C$502,SMALL(IF((Income!D$3:D$502="GBP")*(Income!A$3:A$502=DATE(2026,10,25)),ROW(Income!A$3:A$502)-2),1)),0))</f>
        <v/>
      </c>
      <c r="P214" s="38" t="str">
        <f aca="false">IF(IFERROR(INDEX(Expenses!B$3:B$1002,SMALL(IF((Expenses!E$3:E$1002="GBP")*(Expenses!A$3:A$1002=DATE(2026,10,25)),ROW(Expenses!A$3:A$1002)-2),1)),"")&lt;&gt;"",IFERROR(INDEX(Expenses!B$3:B$1002,SMALL(IF((Expenses!E$3:E$1002="GBP")*(Expenses!A$3:A$1002=DATE(2026,10,25)),ROW(Expenses!A$3:A$1002)-2),1)),""),IF(IFERROR(INDEX(Income!B$3:B$502,SMALL(IF((Income!D$3:D$502="GBP")*(Income!A$3:A$502=DATE(2026,10,25)),ROW(Income!A$3:A$502)-2),1)),"")&lt;&gt;"",IFERROR(INDEX(Income!B$3:B$502,SMALL(IF((Income!D$3:D$502="GBP")*(Income!A$3:A$502=DATE(2026,10,25)),ROW(Income!A$3:A$502)-2),1)),""),""))</f>
        <v/>
      </c>
      <c r="Q214" s="3" t="n">
        <v>43</v>
      </c>
      <c r="R214" s="45" t="n">
        <f aca="false">SUM(C214:C218)+SUM(E214:E218)+SUM(G214:G218)+SUM(I214:I218)+SUM(K214:K218)+SUM(M214:M218)+SUM(O214:O218)</f>
        <v>0</v>
      </c>
    </row>
    <row r="215" customFormat="false" ht="15" hidden="false" customHeight="false" outlineLevel="0" collapsed="false">
      <c r="A215" s="16"/>
      <c r="B215" s="16"/>
      <c r="C215" s="62" t="str">
        <f aca="false">IF(IFERROR(-INDEX(Expenses!D$3:D$1002,SMALL(IF((Expenses!E$3:E$1002="GBP")*(Expenses!A$3:A$1002=DATE(2026,10,19)),ROW(Expenses!A$3:A$1002)-2),2)),0)+IFERROR(INDEX(Income!C$3:C$502,SMALL(IF((Income!D$3:D$502="GBP")*(Income!A$3:A$502=DATE(2026,10,19)),ROW(Income!A$3:A$502)-2),2)),0)=0,"",IFERROR(-INDEX(Expenses!D$3:D$1002,SMALL(IF((Expenses!E$3:E$1002="GBP")*(Expenses!A$3:A$1002=DATE(2026,10,19)),ROW(Expenses!A$3:A$1002)-2),2)),0)+IFERROR(INDEX(Income!C$3:C$502,SMALL(IF((Income!D$3:D$502="GBP")*(Income!A$3:A$502=DATE(2026,10,19)),ROW(Income!A$3:A$502)-2),2)),0))</f>
        <v/>
      </c>
      <c r="D215" s="38" t="str">
        <f aca="false">IF(IFERROR(INDEX(Expenses!B$3:B$1002,SMALL(IF((Expenses!E$3:E$1002="GBP")*(Expenses!A$3:A$1002=DATE(2026,10,19)),ROW(Expenses!A$3:A$1002)-2),2)),"")&lt;&gt;"",IFERROR(INDEX(Expenses!B$3:B$1002,SMALL(IF((Expenses!E$3:E$1002="GBP")*(Expenses!A$3:A$1002=DATE(2026,10,19)),ROW(Expenses!A$3:A$1002)-2),2)),""),IF(IFERROR(INDEX(Income!B$3:B$502,SMALL(IF((Income!D$3:D$502="GBP")*(Income!A$3:A$502=DATE(2026,10,19)),ROW(Income!A$3:A$502)-2),2)),"")&lt;&gt;"",IFERROR(INDEX(Income!B$3:B$502,SMALL(IF((Income!D$3:D$502="GBP")*(Income!A$3:A$502=DATE(2026,10,19)),ROW(Income!A$3:A$502)-2),2)),""),""))</f>
        <v/>
      </c>
      <c r="E215" s="62" t="str">
        <f aca="false">IF(IFERROR(-INDEX(Expenses!D$3:D$1002,SMALL(IF((Expenses!E$3:E$1002="GBP")*(Expenses!A$3:A$1002=DATE(2026,10,20)),ROW(Expenses!A$3:A$1002)-2),2)),0)+IFERROR(INDEX(Income!C$3:C$502,SMALL(IF((Income!D$3:D$502="GBP")*(Income!A$3:A$502=DATE(2026,10,20)),ROW(Income!A$3:A$502)-2),2)),0)=0,"",IFERROR(-INDEX(Expenses!D$3:D$1002,SMALL(IF((Expenses!E$3:E$1002="GBP")*(Expenses!A$3:A$1002=DATE(2026,10,20)),ROW(Expenses!A$3:A$1002)-2),2)),0)+IFERROR(INDEX(Income!C$3:C$502,SMALL(IF((Income!D$3:D$502="GBP")*(Income!A$3:A$502=DATE(2026,10,20)),ROW(Income!A$3:A$502)-2),2)),0))</f>
        <v/>
      </c>
      <c r="F215" s="38" t="str">
        <f aca="false">IF(IFERROR(INDEX(Expenses!B$3:B$1002,SMALL(IF((Expenses!E$3:E$1002="GBP")*(Expenses!A$3:A$1002=DATE(2026,10,20)),ROW(Expenses!A$3:A$1002)-2),2)),"")&lt;&gt;"",IFERROR(INDEX(Expenses!B$3:B$1002,SMALL(IF((Expenses!E$3:E$1002="GBP")*(Expenses!A$3:A$1002=DATE(2026,10,20)),ROW(Expenses!A$3:A$1002)-2),2)),""),IF(IFERROR(INDEX(Income!B$3:B$502,SMALL(IF((Income!D$3:D$502="GBP")*(Income!A$3:A$502=DATE(2026,10,20)),ROW(Income!A$3:A$502)-2),2)),"")&lt;&gt;"",IFERROR(INDEX(Income!B$3:B$502,SMALL(IF((Income!D$3:D$502="GBP")*(Income!A$3:A$502=DATE(2026,10,20)),ROW(Income!A$3:A$502)-2),2)),""),""))</f>
        <v/>
      </c>
      <c r="G215" s="62" t="str">
        <f aca="false">IF(IFERROR(-INDEX(Expenses!D$3:D$1002,SMALL(IF((Expenses!E$3:E$1002="GBP")*(Expenses!A$3:A$1002=DATE(2026,10,21)),ROW(Expenses!A$3:A$1002)-2),2)),0)+IFERROR(INDEX(Income!C$3:C$502,SMALL(IF((Income!D$3:D$502="GBP")*(Income!A$3:A$502=DATE(2026,10,21)),ROW(Income!A$3:A$502)-2),2)),0)=0,"",IFERROR(-INDEX(Expenses!D$3:D$1002,SMALL(IF((Expenses!E$3:E$1002="GBP")*(Expenses!A$3:A$1002=DATE(2026,10,21)),ROW(Expenses!A$3:A$1002)-2),2)),0)+IFERROR(INDEX(Income!C$3:C$502,SMALL(IF((Income!D$3:D$502="GBP")*(Income!A$3:A$502=DATE(2026,10,21)),ROW(Income!A$3:A$502)-2),2)),0))</f>
        <v/>
      </c>
      <c r="H215" s="38" t="str">
        <f aca="false">IF(IFERROR(INDEX(Expenses!B$3:B$1002,SMALL(IF((Expenses!E$3:E$1002="GBP")*(Expenses!A$3:A$1002=DATE(2026,10,21)),ROW(Expenses!A$3:A$1002)-2),2)),"")&lt;&gt;"",IFERROR(INDEX(Expenses!B$3:B$1002,SMALL(IF((Expenses!E$3:E$1002="GBP")*(Expenses!A$3:A$1002=DATE(2026,10,21)),ROW(Expenses!A$3:A$1002)-2),2)),""),IF(IFERROR(INDEX(Income!B$3:B$502,SMALL(IF((Income!D$3:D$502="GBP")*(Income!A$3:A$502=DATE(2026,10,21)),ROW(Income!A$3:A$502)-2),2)),"")&lt;&gt;"",IFERROR(INDEX(Income!B$3:B$502,SMALL(IF((Income!D$3:D$502="GBP")*(Income!A$3:A$502=DATE(2026,10,21)),ROW(Income!A$3:A$502)-2),2)),""),""))</f>
        <v/>
      </c>
      <c r="I215" s="62" t="str">
        <f aca="false">IF(IFERROR(-INDEX(Expenses!D$3:D$1002,SMALL(IF((Expenses!E$3:E$1002="GBP")*(Expenses!A$3:A$1002=DATE(2026,10,22)),ROW(Expenses!A$3:A$1002)-2),2)),0)+IFERROR(INDEX(Income!C$3:C$502,SMALL(IF((Income!D$3:D$502="GBP")*(Income!A$3:A$502=DATE(2026,10,22)),ROW(Income!A$3:A$502)-2),2)),0)=0,"",IFERROR(-INDEX(Expenses!D$3:D$1002,SMALL(IF((Expenses!E$3:E$1002="GBP")*(Expenses!A$3:A$1002=DATE(2026,10,22)),ROW(Expenses!A$3:A$1002)-2),2)),0)+IFERROR(INDEX(Income!C$3:C$502,SMALL(IF((Income!D$3:D$502="GBP")*(Income!A$3:A$502=DATE(2026,10,22)),ROW(Income!A$3:A$502)-2),2)),0))</f>
        <v/>
      </c>
      <c r="J215" s="38" t="str">
        <f aca="false">IF(IFERROR(INDEX(Expenses!B$3:B$1002,SMALL(IF((Expenses!E$3:E$1002="GBP")*(Expenses!A$3:A$1002=DATE(2026,10,22)),ROW(Expenses!A$3:A$1002)-2),2)),"")&lt;&gt;"",IFERROR(INDEX(Expenses!B$3:B$1002,SMALL(IF((Expenses!E$3:E$1002="GBP")*(Expenses!A$3:A$1002=DATE(2026,10,22)),ROW(Expenses!A$3:A$1002)-2),2)),""),IF(IFERROR(INDEX(Income!B$3:B$502,SMALL(IF((Income!D$3:D$502="GBP")*(Income!A$3:A$502=DATE(2026,10,22)),ROW(Income!A$3:A$502)-2),2)),"")&lt;&gt;"",IFERROR(INDEX(Income!B$3:B$502,SMALL(IF((Income!D$3:D$502="GBP")*(Income!A$3:A$502=DATE(2026,10,22)),ROW(Income!A$3:A$502)-2),2)),""),""))</f>
        <v/>
      </c>
      <c r="K215" s="62" t="str">
        <f aca="false">IF(IFERROR(-INDEX(Expenses!D$3:D$1002,SMALL(IF((Expenses!E$3:E$1002="GBP")*(Expenses!A$3:A$1002=DATE(2026,10,23)),ROW(Expenses!A$3:A$1002)-2),2)),0)+IFERROR(INDEX(Income!C$3:C$502,SMALL(IF((Income!D$3:D$502="GBP")*(Income!A$3:A$502=DATE(2026,10,23)),ROW(Income!A$3:A$502)-2),2)),0)=0,"",IFERROR(-INDEX(Expenses!D$3:D$1002,SMALL(IF((Expenses!E$3:E$1002="GBP")*(Expenses!A$3:A$1002=DATE(2026,10,23)),ROW(Expenses!A$3:A$1002)-2),2)),0)+IFERROR(INDEX(Income!C$3:C$502,SMALL(IF((Income!D$3:D$502="GBP")*(Income!A$3:A$502=DATE(2026,10,23)),ROW(Income!A$3:A$502)-2),2)),0))</f>
        <v/>
      </c>
      <c r="L215" s="38" t="str">
        <f aca="false">IF(IFERROR(INDEX(Expenses!B$3:B$1002,SMALL(IF((Expenses!E$3:E$1002="GBP")*(Expenses!A$3:A$1002=DATE(2026,10,23)),ROW(Expenses!A$3:A$1002)-2),2)),"")&lt;&gt;"",IFERROR(INDEX(Expenses!B$3:B$1002,SMALL(IF((Expenses!E$3:E$1002="GBP")*(Expenses!A$3:A$1002=DATE(2026,10,23)),ROW(Expenses!A$3:A$1002)-2),2)),""),IF(IFERROR(INDEX(Income!B$3:B$502,SMALL(IF((Income!D$3:D$502="GBP")*(Income!A$3:A$502=DATE(2026,10,23)),ROW(Income!A$3:A$502)-2),2)),"")&lt;&gt;"",IFERROR(INDEX(Income!B$3:B$502,SMALL(IF((Income!D$3:D$502="GBP")*(Income!A$3:A$502=DATE(2026,10,23)),ROW(Income!A$3:A$502)-2),2)),""),""))</f>
        <v/>
      </c>
      <c r="M215" s="62" t="str">
        <f aca="false">IF(IFERROR(-INDEX(Expenses!D$3:D$1002,SMALL(IF((Expenses!E$3:E$1002="GBP")*(Expenses!A$3:A$1002=DATE(2026,10,24)),ROW(Expenses!A$3:A$1002)-2),2)),0)+IFERROR(INDEX(Income!C$3:C$502,SMALL(IF((Income!D$3:D$502="GBP")*(Income!A$3:A$502=DATE(2026,10,24)),ROW(Income!A$3:A$502)-2),2)),0)=0,"",IFERROR(-INDEX(Expenses!D$3:D$1002,SMALL(IF((Expenses!E$3:E$1002="GBP")*(Expenses!A$3:A$1002=DATE(2026,10,24)),ROW(Expenses!A$3:A$1002)-2),2)),0)+IFERROR(INDEX(Income!C$3:C$502,SMALL(IF((Income!D$3:D$502="GBP")*(Income!A$3:A$502=DATE(2026,10,24)),ROW(Income!A$3:A$502)-2),2)),0))</f>
        <v/>
      </c>
      <c r="N215" s="38" t="str">
        <f aca="false">IF(IFERROR(INDEX(Expenses!B$3:B$1002,SMALL(IF((Expenses!E$3:E$1002="GBP")*(Expenses!A$3:A$1002=DATE(2026,10,24)),ROW(Expenses!A$3:A$1002)-2),2)),"")&lt;&gt;"",IFERROR(INDEX(Expenses!B$3:B$1002,SMALL(IF((Expenses!E$3:E$1002="GBP")*(Expenses!A$3:A$1002=DATE(2026,10,24)),ROW(Expenses!A$3:A$1002)-2),2)),""),IF(IFERROR(INDEX(Income!B$3:B$502,SMALL(IF((Income!D$3:D$502="GBP")*(Income!A$3:A$502=DATE(2026,10,24)),ROW(Income!A$3:A$502)-2),2)),"")&lt;&gt;"",IFERROR(INDEX(Income!B$3:B$502,SMALL(IF((Income!D$3:D$502="GBP")*(Income!A$3:A$502=DATE(2026,10,24)),ROW(Income!A$3:A$502)-2),2)),""),""))</f>
        <v/>
      </c>
      <c r="O215" s="62" t="str">
        <f aca="false">IF(IFERROR(-INDEX(Expenses!D$3:D$1002,SMALL(IF((Expenses!E$3:E$1002="GBP")*(Expenses!A$3:A$1002=DATE(2026,10,25)),ROW(Expenses!A$3:A$1002)-2),2)),0)+IFERROR(INDEX(Income!C$3:C$502,SMALL(IF((Income!D$3:D$502="GBP")*(Income!A$3:A$502=DATE(2026,10,25)),ROW(Income!A$3:A$502)-2),2)),0)=0,"",IFERROR(-INDEX(Expenses!D$3:D$1002,SMALL(IF((Expenses!E$3:E$1002="GBP")*(Expenses!A$3:A$1002=DATE(2026,10,25)),ROW(Expenses!A$3:A$1002)-2),2)),0)+IFERROR(INDEX(Income!C$3:C$502,SMALL(IF((Income!D$3:D$502="GBP")*(Income!A$3:A$502=DATE(2026,10,25)),ROW(Income!A$3:A$502)-2),2)),0))</f>
        <v/>
      </c>
      <c r="P215" s="38" t="str">
        <f aca="false">IF(IFERROR(INDEX(Expenses!B$3:B$1002,SMALL(IF((Expenses!E$3:E$1002="GBP")*(Expenses!A$3:A$1002=DATE(2026,10,25)),ROW(Expenses!A$3:A$1002)-2),2)),"")&lt;&gt;"",IFERROR(INDEX(Expenses!B$3:B$1002,SMALL(IF((Expenses!E$3:E$1002="GBP")*(Expenses!A$3:A$1002=DATE(2026,10,25)),ROW(Expenses!A$3:A$1002)-2),2)),""),IF(IFERROR(INDEX(Income!B$3:B$502,SMALL(IF((Income!D$3:D$502="GBP")*(Income!A$3:A$502=DATE(2026,10,25)),ROW(Income!A$3:A$502)-2),2)),"")&lt;&gt;"",IFERROR(INDEX(Income!B$3:B$502,SMALL(IF((Income!D$3:D$502="GBP")*(Income!A$3:A$502=DATE(2026,10,25)),ROW(Income!A$3:A$502)-2),2)),""),""))</f>
        <v/>
      </c>
      <c r="Q215" s="16"/>
      <c r="R215" s="16"/>
    </row>
    <row r="216" customFormat="false" ht="15" hidden="false" customHeight="false" outlineLevel="0" collapsed="false">
      <c r="A216" s="16"/>
      <c r="B216" s="16"/>
      <c r="C216" s="62" t="str">
        <f aca="false">IF(IFERROR(-INDEX(Expenses!D$3:D$1002,SMALL(IF((Expenses!E$3:E$1002="GBP")*(Expenses!A$3:A$1002=DATE(2026,10,19)),ROW(Expenses!A$3:A$1002)-2),3)),0)+IFERROR(INDEX(Income!C$3:C$502,SMALL(IF((Income!D$3:D$502="GBP")*(Income!A$3:A$502=DATE(2026,10,19)),ROW(Income!A$3:A$502)-2),3)),0)=0,"",IFERROR(-INDEX(Expenses!D$3:D$1002,SMALL(IF((Expenses!E$3:E$1002="GBP")*(Expenses!A$3:A$1002=DATE(2026,10,19)),ROW(Expenses!A$3:A$1002)-2),3)),0)+IFERROR(INDEX(Income!C$3:C$502,SMALL(IF((Income!D$3:D$502="GBP")*(Income!A$3:A$502=DATE(2026,10,19)),ROW(Income!A$3:A$502)-2),3)),0))</f>
        <v/>
      </c>
      <c r="D216" s="38" t="str">
        <f aca="false">IF(IFERROR(INDEX(Expenses!B$3:B$1002,SMALL(IF((Expenses!E$3:E$1002="GBP")*(Expenses!A$3:A$1002=DATE(2026,10,19)),ROW(Expenses!A$3:A$1002)-2),3)),"")&lt;&gt;"",IFERROR(INDEX(Expenses!B$3:B$1002,SMALL(IF((Expenses!E$3:E$1002="GBP")*(Expenses!A$3:A$1002=DATE(2026,10,19)),ROW(Expenses!A$3:A$1002)-2),3)),""),IF(IFERROR(INDEX(Income!B$3:B$502,SMALL(IF((Income!D$3:D$502="GBP")*(Income!A$3:A$502=DATE(2026,10,19)),ROW(Income!A$3:A$502)-2),3)),"")&lt;&gt;"",IFERROR(INDEX(Income!B$3:B$502,SMALL(IF((Income!D$3:D$502="GBP")*(Income!A$3:A$502=DATE(2026,10,19)),ROW(Income!A$3:A$502)-2),3)),""),""))</f>
        <v/>
      </c>
      <c r="E216" s="62" t="str">
        <f aca="false">IF(IFERROR(-INDEX(Expenses!D$3:D$1002,SMALL(IF((Expenses!E$3:E$1002="GBP")*(Expenses!A$3:A$1002=DATE(2026,10,20)),ROW(Expenses!A$3:A$1002)-2),3)),0)+IFERROR(INDEX(Income!C$3:C$502,SMALL(IF((Income!D$3:D$502="GBP")*(Income!A$3:A$502=DATE(2026,10,20)),ROW(Income!A$3:A$502)-2),3)),0)=0,"",IFERROR(-INDEX(Expenses!D$3:D$1002,SMALL(IF((Expenses!E$3:E$1002="GBP")*(Expenses!A$3:A$1002=DATE(2026,10,20)),ROW(Expenses!A$3:A$1002)-2),3)),0)+IFERROR(INDEX(Income!C$3:C$502,SMALL(IF((Income!D$3:D$502="GBP")*(Income!A$3:A$502=DATE(2026,10,20)),ROW(Income!A$3:A$502)-2),3)),0))</f>
        <v/>
      </c>
      <c r="F216" s="38" t="str">
        <f aca="false">IF(IFERROR(INDEX(Expenses!B$3:B$1002,SMALL(IF((Expenses!E$3:E$1002="GBP")*(Expenses!A$3:A$1002=DATE(2026,10,20)),ROW(Expenses!A$3:A$1002)-2),3)),"")&lt;&gt;"",IFERROR(INDEX(Expenses!B$3:B$1002,SMALL(IF((Expenses!E$3:E$1002="GBP")*(Expenses!A$3:A$1002=DATE(2026,10,20)),ROW(Expenses!A$3:A$1002)-2),3)),""),IF(IFERROR(INDEX(Income!B$3:B$502,SMALL(IF((Income!D$3:D$502="GBP")*(Income!A$3:A$502=DATE(2026,10,20)),ROW(Income!A$3:A$502)-2),3)),"")&lt;&gt;"",IFERROR(INDEX(Income!B$3:B$502,SMALL(IF((Income!D$3:D$502="GBP")*(Income!A$3:A$502=DATE(2026,10,20)),ROW(Income!A$3:A$502)-2),3)),""),""))</f>
        <v/>
      </c>
      <c r="G216" s="62" t="str">
        <f aca="false">IF(IFERROR(-INDEX(Expenses!D$3:D$1002,SMALL(IF((Expenses!E$3:E$1002="GBP")*(Expenses!A$3:A$1002=DATE(2026,10,21)),ROW(Expenses!A$3:A$1002)-2),3)),0)+IFERROR(INDEX(Income!C$3:C$502,SMALL(IF((Income!D$3:D$502="GBP")*(Income!A$3:A$502=DATE(2026,10,21)),ROW(Income!A$3:A$502)-2),3)),0)=0,"",IFERROR(-INDEX(Expenses!D$3:D$1002,SMALL(IF((Expenses!E$3:E$1002="GBP")*(Expenses!A$3:A$1002=DATE(2026,10,21)),ROW(Expenses!A$3:A$1002)-2),3)),0)+IFERROR(INDEX(Income!C$3:C$502,SMALL(IF((Income!D$3:D$502="GBP")*(Income!A$3:A$502=DATE(2026,10,21)),ROW(Income!A$3:A$502)-2),3)),0))</f>
        <v/>
      </c>
      <c r="H216" s="38" t="str">
        <f aca="false">IF(IFERROR(INDEX(Expenses!B$3:B$1002,SMALL(IF((Expenses!E$3:E$1002="GBP")*(Expenses!A$3:A$1002=DATE(2026,10,21)),ROW(Expenses!A$3:A$1002)-2),3)),"")&lt;&gt;"",IFERROR(INDEX(Expenses!B$3:B$1002,SMALL(IF((Expenses!E$3:E$1002="GBP")*(Expenses!A$3:A$1002=DATE(2026,10,21)),ROW(Expenses!A$3:A$1002)-2),3)),""),IF(IFERROR(INDEX(Income!B$3:B$502,SMALL(IF((Income!D$3:D$502="GBP")*(Income!A$3:A$502=DATE(2026,10,21)),ROW(Income!A$3:A$502)-2),3)),"")&lt;&gt;"",IFERROR(INDEX(Income!B$3:B$502,SMALL(IF((Income!D$3:D$502="GBP")*(Income!A$3:A$502=DATE(2026,10,21)),ROW(Income!A$3:A$502)-2),3)),""),""))</f>
        <v/>
      </c>
      <c r="I216" s="62" t="str">
        <f aca="false">IF(IFERROR(-INDEX(Expenses!D$3:D$1002,SMALL(IF((Expenses!E$3:E$1002="GBP")*(Expenses!A$3:A$1002=DATE(2026,10,22)),ROW(Expenses!A$3:A$1002)-2),3)),0)+IFERROR(INDEX(Income!C$3:C$502,SMALL(IF((Income!D$3:D$502="GBP")*(Income!A$3:A$502=DATE(2026,10,22)),ROW(Income!A$3:A$502)-2),3)),0)=0,"",IFERROR(-INDEX(Expenses!D$3:D$1002,SMALL(IF((Expenses!E$3:E$1002="GBP")*(Expenses!A$3:A$1002=DATE(2026,10,22)),ROW(Expenses!A$3:A$1002)-2),3)),0)+IFERROR(INDEX(Income!C$3:C$502,SMALL(IF((Income!D$3:D$502="GBP")*(Income!A$3:A$502=DATE(2026,10,22)),ROW(Income!A$3:A$502)-2),3)),0))</f>
        <v/>
      </c>
      <c r="J216" s="38" t="str">
        <f aca="false">IF(IFERROR(INDEX(Expenses!B$3:B$1002,SMALL(IF((Expenses!E$3:E$1002="GBP")*(Expenses!A$3:A$1002=DATE(2026,10,22)),ROW(Expenses!A$3:A$1002)-2),3)),"")&lt;&gt;"",IFERROR(INDEX(Expenses!B$3:B$1002,SMALL(IF((Expenses!E$3:E$1002="GBP")*(Expenses!A$3:A$1002=DATE(2026,10,22)),ROW(Expenses!A$3:A$1002)-2),3)),""),IF(IFERROR(INDEX(Income!B$3:B$502,SMALL(IF((Income!D$3:D$502="GBP")*(Income!A$3:A$502=DATE(2026,10,22)),ROW(Income!A$3:A$502)-2),3)),"")&lt;&gt;"",IFERROR(INDEX(Income!B$3:B$502,SMALL(IF((Income!D$3:D$502="GBP")*(Income!A$3:A$502=DATE(2026,10,22)),ROW(Income!A$3:A$502)-2),3)),""),""))</f>
        <v/>
      </c>
      <c r="K216" s="62" t="str">
        <f aca="false">IF(IFERROR(-INDEX(Expenses!D$3:D$1002,SMALL(IF((Expenses!E$3:E$1002="GBP")*(Expenses!A$3:A$1002=DATE(2026,10,23)),ROW(Expenses!A$3:A$1002)-2),3)),0)+IFERROR(INDEX(Income!C$3:C$502,SMALL(IF((Income!D$3:D$502="GBP")*(Income!A$3:A$502=DATE(2026,10,23)),ROW(Income!A$3:A$502)-2),3)),0)=0,"",IFERROR(-INDEX(Expenses!D$3:D$1002,SMALL(IF((Expenses!E$3:E$1002="GBP")*(Expenses!A$3:A$1002=DATE(2026,10,23)),ROW(Expenses!A$3:A$1002)-2),3)),0)+IFERROR(INDEX(Income!C$3:C$502,SMALL(IF((Income!D$3:D$502="GBP")*(Income!A$3:A$502=DATE(2026,10,23)),ROW(Income!A$3:A$502)-2),3)),0))</f>
        <v/>
      </c>
      <c r="L216" s="38" t="str">
        <f aca="false">IF(IFERROR(INDEX(Expenses!B$3:B$1002,SMALL(IF((Expenses!E$3:E$1002="GBP")*(Expenses!A$3:A$1002=DATE(2026,10,23)),ROW(Expenses!A$3:A$1002)-2),3)),"")&lt;&gt;"",IFERROR(INDEX(Expenses!B$3:B$1002,SMALL(IF((Expenses!E$3:E$1002="GBP")*(Expenses!A$3:A$1002=DATE(2026,10,23)),ROW(Expenses!A$3:A$1002)-2),3)),""),IF(IFERROR(INDEX(Income!B$3:B$502,SMALL(IF((Income!D$3:D$502="GBP")*(Income!A$3:A$502=DATE(2026,10,23)),ROW(Income!A$3:A$502)-2),3)),"")&lt;&gt;"",IFERROR(INDEX(Income!B$3:B$502,SMALL(IF((Income!D$3:D$502="GBP")*(Income!A$3:A$502=DATE(2026,10,23)),ROW(Income!A$3:A$502)-2),3)),""),""))</f>
        <v/>
      </c>
      <c r="M216" s="62" t="str">
        <f aca="false">IF(IFERROR(-INDEX(Expenses!D$3:D$1002,SMALL(IF((Expenses!E$3:E$1002="GBP")*(Expenses!A$3:A$1002=DATE(2026,10,24)),ROW(Expenses!A$3:A$1002)-2),3)),0)+IFERROR(INDEX(Income!C$3:C$502,SMALL(IF((Income!D$3:D$502="GBP")*(Income!A$3:A$502=DATE(2026,10,24)),ROW(Income!A$3:A$502)-2),3)),0)=0,"",IFERROR(-INDEX(Expenses!D$3:D$1002,SMALL(IF((Expenses!E$3:E$1002="GBP")*(Expenses!A$3:A$1002=DATE(2026,10,24)),ROW(Expenses!A$3:A$1002)-2),3)),0)+IFERROR(INDEX(Income!C$3:C$502,SMALL(IF((Income!D$3:D$502="GBP")*(Income!A$3:A$502=DATE(2026,10,24)),ROW(Income!A$3:A$502)-2),3)),0))</f>
        <v/>
      </c>
      <c r="N216" s="38" t="str">
        <f aca="false">IF(IFERROR(INDEX(Expenses!B$3:B$1002,SMALL(IF((Expenses!E$3:E$1002="GBP")*(Expenses!A$3:A$1002=DATE(2026,10,24)),ROW(Expenses!A$3:A$1002)-2),3)),"")&lt;&gt;"",IFERROR(INDEX(Expenses!B$3:B$1002,SMALL(IF((Expenses!E$3:E$1002="GBP")*(Expenses!A$3:A$1002=DATE(2026,10,24)),ROW(Expenses!A$3:A$1002)-2),3)),""),IF(IFERROR(INDEX(Income!B$3:B$502,SMALL(IF((Income!D$3:D$502="GBP")*(Income!A$3:A$502=DATE(2026,10,24)),ROW(Income!A$3:A$502)-2),3)),"")&lt;&gt;"",IFERROR(INDEX(Income!B$3:B$502,SMALL(IF((Income!D$3:D$502="GBP")*(Income!A$3:A$502=DATE(2026,10,24)),ROW(Income!A$3:A$502)-2),3)),""),""))</f>
        <v/>
      </c>
      <c r="O216" s="62" t="str">
        <f aca="false">IF(IFERROR(-INDEX(Expenses!D$3:D$1002,SMALL(IF((Expenses!E$3:E$1002="GBP")*(Expenses!A$3:A$1002=DATE(2026,10,25)),ROW(Expenses!A$3:A$1002)-2),3)),0)+IFERROR(INDEX(Income!C$3:C$502,SMALL(IF((Income!D$3:D$502="GBP")*(Income!A$3:A$502=DATE(2026,10,25)),ROW(Income!A$3:A$502)-2),3)),0)=0,"",IFERROR(-INDEX(Expenses!D$3:D$1002,SMALL(IF((Expenses!E$3:E$1002="GBP")*(Expenses!A$3:A$1002=DATE(2026,10,25)),ROW(Expenses!A$3:A$1002)-2),3)),0)+IFERROR(INDEX(Income!C$3:C$502,SMALL(IF((Income!D$3:D$502="GBP")*(Income!A$3:A$502=DATE(2026,10,25)),ROW(Income!A$3:A$502)-2),3)),0))</f>
        <v/>
      </c>
      <c r="P216" s="38" t="str">
        <f aca="false">IF(IFERROR(INDEX(Expenses!B$3:B$1002,SMALL(IF((Expenses!E$3:E$1002="GBP")*(Expenses!A$3:A$1002=DATE(2026,10,25)),ROW(Expenses!A$3:A$1002)-2),3)),"")&lt;&gt;"",IFERROR(INDEX(Expenses!B$3:B$1002,SMALL(IF((Expenses!E$3:E$1002="GBP")*(Expenses!A$3:A$1002=DATE(2026,10,25)),ROW(Expenses!A$3:A$1002)-2),3)),""),IF(IFERROR(INDEX(Income!B$3:B$502,SMALL(IF((Income!D$3:D$502="GBP")*(Income!A$3:A$502=DATE(2026,10,25)),ROW(Income!A$3:A$502)-2),3)),"")&lt;&gt;"",IFERROR(INDEX(Income!B$3:B$502,SMALL(IF((Income!D$3:D$502="GBP")*(Income!A$3:A$502=DATE(2026,10,25)),ROW(Income!A$3:A$502)-2),3)),""),""))</f>
        <v/>
      </c>
      <c r="Q216" s="16"/>
      <c r="R216" s="16"/>
    </row>
    <row r="217" customFormat="false" ht="15" hidden="false" customHeight="false" outlineLevel="0" collapsed="false">
      <c r="A217" s="16"/>
      <c r="B217" s="16"/>
      <c r="C217" s="62" t="str">
        <f aca="false">IF(IFERROR(-INDEX(Expenses!D$3:D$1002,SMALL(IF((Expenses!E$3:E$1002="GBP")*(Expenses!A$3:A$1002=DATE(2026,10,19)),ROW(Expenses!A$3:A$1002)-2),4)),0)+IFERROR(INDEX(Income!C$3:C$502,SMALL(IF((Income!D$3:D$502="GBP")*(Income!A$3:A$502=DATE(2026,10,19)),ROW(Income!A$3:A$502)-2),4)),0)=0,"",IFERROR(-INDEX(Expenses!D$3:D$1002,SMALL(IF((Expenses!E$3:E$1002="GBP")*(Expenses!A$3:A$1002=DATE(2026,10,19)),ROW(Expenses!A$3:A$1002)-2),4)),0)+IFERROR(INDEX(Income!C$3:C$502,SMALL(IF((Income!D$3:D$502="GBP")*(Income!A$3:A$502=DATE(2026,10,19)),ROW(Income!A$3:A$502)-2),4)),0))</f>
        <v/>
      </c>
      <c r="D217" s="38" t="str">
        <f aca="false">IF(IFERROR(INDEX(Expenses!B$3:B$1002,SMALL(IF((Expenses!E$3:E$1002="GBP")*(Expenses!A$3:A$1002=DATE(2026,10,19)),ROW(Expenses!A$3:A$1002)-2),4)),"")&lt;&gt;"",IFERROR(INDEX(Expenses!B$3:B$1002,SMALL(IF((Expenses!E$3:E$1002="GBP")*(Expenses!A$3:A$1002=DATE(2026,10,19)),ROW(Expenses!A$3:A$1002)-2),4)),""),IF(IFERROR(INDEX(Income!B$3:B$502,SMALL(IF((Income!D$3:D$502="GBP")*(Income!A$3:A$502=DATE(2026,10,19)),ROW(Income!A$3:A$502)-2),4)),"")&lt;&gt;"",IFERROR(INDEX(Income!B$3:B$502,SMALL(IF((Income!D$3:D$502="GBP")*(Income!A$3:A$502=DATE(2026,10,19)),ROW(Income!A$3:A$502)-2),4)),""),""))</f>
        <v/>
      </c>
      <c r="E217" s="62" t="str">
        <f aca="false">IF(IFERROR(-INDEX(Expenses!D$3:D$1002,SMALL(IF((Expenses!E$3:E$1002="GBP")*(Expenses!A$3:A$1002=DATE(2026,10,20)),ROW(Expenses!A$3:A$1002)-2),4)),0)+IFERROR(INDEX(Income!C$3:C$502,SMALL(IF((Income!D$3:D$502="GBP")*(Income!A$3:A$502=DATE(2026,10,20)),ROW(Income!A$3:A$502)-2),4)),0)=0,"",IFERROR(-INDEX(Expenses!D$3:D$1002,SMALL(IF((Expenses!E$3:E$1002="GBP")*(Expenses!A$3:A$1002=DATE(2026,10,20)),ROW(Expenses!A$3:A$1002)-2),4)),0)+IFERROR(INDEX(Income!C$3:C$502,SMALL(IF((Income!D$3:D$502="GBP")*(Income!A$3:A$502=DATE(2026,10,20)),ROW(Income!A$3:A$502)-2),4)),0))</f>
        <v/>
      </c>
      <c r="F217" s="38" t="str">
        <f aca="false">IF(IFERROR(INDEX(Expenses!B$3:B$1002,SMALL(IF((Expenses!E$3:E$1002="GBP")*(Expenses!A$3:A$1002=DATE(2026,10,20)),ROW(Expenses!A$3:A$1002)-2),4)),"")&lt;&gt;"",IFERROR(INDEX(Expenses!B$3:B$1002,SMALL(IF((Expenses!E$3:E$1002="GBP")*(Expenses!A$3:A$1002=DATE(2026,10,20)),ROW(Expenses!A$3:A$1002)-2),4)),""),IF(IFERROR(INDEX(Income!B$3:B$502,SMALL(IF((Income!D$3:D$502="GBP")*(Income!A$3:A$502=DATE(2026,10,20)),ROW(Income!A$3:A$502)-2),4)),"")&lt;&gt;"",IFERROR(INDEX(Income!B$3:B$502,SMALL(IF((Income!D$3:D$502="GBP")*(Income!A$3:A$502=DATE(2026,10,20)),ROW(Income!A$3:A$502)-2),4)),""),""))</f>
        <v/>
      </c>
      <c r="G217" s="62" t="str">
        <f aca="false">IF(IFERROR(-INDEX(Expenses!D$3:D$1002,SMALL(IF((Expenses!E$3:E$1002="GBP")*(Expenses!A$3:A$1002=DATE(2026,10,21)),ROW(Expenses!A$3:A$1002)-2),4)),0)+IFERROR(INDEX(Income!C$3:C$502,SMALL(IF((Income!D$3:D$502="GBP")*(Income!A$3:A$502=DATE(2026,10,21)),ROW(Income!A$3:A$502)-2),4)),0)=0,"",IFERROR(-INDEX(Expenses!D$3:D$1002,SMALL(IF((Expenses!E$3:E$1002="GBP")*(Expenses!A$3:A$1002=DATE(2026,10,21)),ROW(Expenses!A$3:A$1002)-2),4)),0)+IFERROR(INDEX(Income!C$3:C$502,SMALL(IF((Income!D$3:D$502="GBP")*(Income!A$3:A$502=DATE(2026,10,21)),ROW(Income!A$3:A$502)-2),4)),0))</f>
        <v/>
      </c>
      <c r="H217" s="38" t="str">
        <f aca="false">IF(IFERROR(INDEX(Expenses!B$3:B$1002,SMALL(IF((Expenses!E$3:E$1002="GBP")*(Expenses!A$3:A$1002=DATE(2026,10,21)),ROW(Expenses!A$3:A$1002)-2),4)),"")&lt;&gt;"",IFERROR(INDEX(Expenses!B$3:B$1002,SMALL(IF((Expenses!E$3:E$1002="GBP")*(Expenses!A$3:A$1002=DATE(2026,10,21)),ROW(Expenses!A$3:A$1002)-2),4)),""),IF(IFERROR(INDEX(Income!B$3:B$502,SMALL(IF((Income!D$3:D$502="GBP")*(Income!A$3:A$502=DATE(2026,10,21)),ROW(Income!A$3:A$502)-2),4)),"")&lt;&gt;"",IFERROR(INDEX(Income!B$3:B$502,SMALL(IF((Income!D$3:D$502="GBP")*(Income!A$3:A$502=DATE(2026,10,21)),ROW(Income!A$3:A$502)-2),4)),""),""))</f>
        <v/>
      </c>
      <c r="I217" s="62" t="str">
        <f aca="false">IF(IFERROR(-INDEX(Expenses!D$3:D$1002,SMALL(IF((Expenses!E$3:E$1002="GBP")*(Expenses!A$3:A$1002=DATE(2026,10,22)),ROW(Expenses!A$3:A$1002)-2),4)),0)+IFERROR(INDEX(Income!C$3:C$502,SMALL(IF((Income!D$3:D$502="GBP")*(Income!A$3:A$502=DATE(2026,10,22)),ROW(Income!A$3:A$502)-2),4)),0)=0,"",IFERROR(-INDEX(Expenses!D$3:D$1002,SMALL(IF((Expenses!E$3:E$1002="GBP")*(Expenses!A$3:A$1002=DATE(2026,10,22)),ROW(Expenses!A$3:A$1002)-2),4)),0)+IFERROR(INDEX(Income!C$3:C$502,SMALL(IF((Income!D$3:D$502="GBP")*(Income!A$3:A$502=DATE(2026,10,22)),ROW(Income!A$3:A$502)-2),4)),0))</f>
        <v/>
      </c>
      <c r="J217" s="38" t="str">
        <f aca="false">IF(IFERROR(INDEX(Expenses!B$3:B$1002,SMALL(IF((Expenses!E$3:E$1002="GBP")*(Expenses!A$3:A$1002=DATE(2026,10,22)),ROW(Expenses!A$3:A$1002)-2),4)),"")&lt;&gt;"",IFERROR(INDEX(Expenses!B$3:B$1002,SMALL(IF((Expenses!E$3:E$1002="GBP")*(Expenses!A$3:A$1002=DATE(2026,10,22)),ROW(Expenses!A$3:A$1002)-2),4)),""),IF(IFERROR(INDEX(Income!B$3:B$502,SMALL(IF((Income!D$3:D$502="GBP")*(Income!A$3:A$502=DATE(2026,10,22)),ROW(Income!A$3:A$502)-2),4)),"")&lt;&gt;"",IFERROR(INDEX(Income!B$3:B$502,SMALL(IF((Income!D$3:D$502="GBP")*(Income!A$3:A$502=DATE(2026,10,22)),ROW(Income!A$3:A$502)-2),4)),""),""))</f>
        <v/>
      </c>
      <c r="K217" s="62" t="str">
        <f aca="false">IF(IFERROR(-INDEX(Expenses!D$3:D$1002,SMALL(IF((Expenses!E$3:E$1002="GBP")*(Expenses!A$3:A$1002=DATE(2026,10,23)),ROW(Expenses!A$3:A$1002)-2),4)),0)+IFERROR(INDEX(Income!C$3:C$502,SMALL(IF((Income!D$3:D$502="GBP")*(Income!A$3:A$502=DATE(2026,10,23)),ROW(Income!A$3:A$502)-2),4)),0)=0,"",IFERROR(-INDEX(Expenses!D$3:D$1002,SMALL(IF((Expenses!E$3:E$1002="GBP")*(Expenses!A$3:A$1002=DATE(2026,10,23)),ROW(Expenses!A$3:A$1002)-2),4)),0)+IFERROR(INDEX(Income!C$3:C$502,SMALL(IF((Income!D$3:D$502="GBP")*(Income!A$3:A$502=DATE(2026,10,23)),ROW(Income!A$3:A$502)-2),4)),0))</f>
        <v/>
      </c>
      <c r="L217" s="38" t="str">
        <f aca="false">IF(IFERROR(INDEX(Expenses!B$3:B$1002,SMALL(IF((Expenses!E$3:E$1002="GBP")*(Expenses!A$3:A$1002=DATE(2026,10,23)),ROW(Expenses!A$3:A$1002)-2),4)),"")&lt;&gt;"",IFERROR(INDEX(Expenses!B$3:B$1002,SMALL(IF((Expenses!E$3:E$1002="GBP")*(Expenses!A$3:A$1002=DATE(2026,10,23)),ROW(Expenses!A$3:A$1002)-2),4)),""),IF(IFERROR(INDEX(Income!B$3:B$502,SMALL(IF((Income!D$3:D$502="GBP")*(Income!A$3:A$502=DATE(2026,10,23)),ROW(Income!A$3:A$502)-2),4)),"")&lt;&gt;"",IFERROR(INDEX(Income!B$3:B$502,SMALL(IF((Income!D$3:D$502="GBP")*(Income!A$3:A$502=DATE(2026,10,23)),ROW(Income!A$3:A$502)-2),4)),""),""))</f>
        <v/>
      </c>
      <c r="M217" s="62" t="str">
        <f aca="false">IF(IFERROR(-INDEX(Expenses!D$3:D$1002,SMALL(IF((Expenses!E$3:E$1002="GBP")*(Expenses!A$3:A$1002=DATE(2026,10,24)),ROW(Expenses!A$3:A$1002)-2),4)),0)+IFERROR(INDEX(Income!C$3:C$502,SMALL(IF((Income!D$3:D$502="GBP")*(Income!A$3:A$502=DATE(2026,10,24)),ROW(Income!A$3:A$502)-2),4)),0)=0,"",IFERROR(-INDEX(Expenses!D$3:D$1002,SMALL(IF((Expenses!E$3:E$1002="GBP")*(Expenses!A$3:A$1002=DATE(2026,10,24)),ROW(Expenses!A$3:A$1002)-2),4)),0)+IFERROR(INDEX(Income!C$3:C$502,SMALL(IF((Income!D$3:D$502="GBP")*(Income!A$3:A$502=DATE(2026,10,24)),ROW(Income!A$3:A$502)-2),4)),0))</f>
        <v/>
      </c>
      <c r="N217" s="38" t="str">
        <f aca="false">IF(IFERROR(INDEX(Expenses!B$3:B$1002,SMALL(IF((Expenses!E$3:E$1002="GBP")*(Expenses!A$3:A$1002=DATE(2026,10,24)),ROW(Expenses!A$3:A$1002)-2),4)),"")&lt;&gt;"",IFERROR(INDEX(Expenses!B$3:B$1002,SMALL(IF((Expenses!E$3:E$1002="GBP")*(Expenses!A$3:A$1002=DATE(2026,10,24)),ROW(Expenses!A$3:A$1002)-2),4)),""),IF(IFERROR(INDEX(Income!B$3:B$502,SMALL(IF((Income!D$3:D$502="GBP")*(Income!A$3:A$502=DATE(2026,10,24)),ROW(Income!A$3:A$502)-2),4)),"")&lt;&gt;"",IFERROR(INDEX(Income!B$3:B$502,SMALL(IF((Income!D$3:D$502="GBP")*(Income!A$3:A$502=DATE(2026,10,24)),ROW(Income!A$3:A$502)-2),4)),""),""))</f>
        <v/>
      </c>
      <c r="O217" s="62" t="str">
        <f aca="false">IF(IFERROR(-INDEX(Expenses!D$3:D$1002,SMALL(IF((Expenses!E$3:E$1002="GBP")*(Expenses!A$3:A$1002=DATE(2026,10,25)),ROW(Expenses!A$3:A$1002)-2),4)),0)+IFERROR(INDEX(Income!C$3:C$502,SMALL(IF((Income!D$3:D$502="GBP")*(Income!A$3:A$502=DATE(2026,10,25)),ROW(Income!A$3:A$502)-2),4)),0)=0,"",IFERROR(-INDEX(Expenses!D$3:D$1002,SMALL(IF((Expenses!E$3:E$1002="GBP")*(Expenses!A$3:A$1002=DATE(2026,10,25)),ROW(Expenses!A$3:A$1002)-2),4)),0)+IFERROR(INDEX(Income!C$3:C$502,SMALL(IF((Income!D$3:D$502="GBP")*(Income!A$3:A$502=DATE(2026,10,25)),ROW(Income!A$3:A$502)-2),4)),0))</f>
        <v/>
      </c>
      <c r="P217" s="38" t="str">
        <f aca="false">IF(IFERROR(INDEX(Expenses!B$3:B$1002,SMALL(IF((Expenses!E$3:E$1002="GBP")*(Expenses!A$3:A$1002=DATE(2026,10,25)),ROW(Expenses!A$3:A$1002)-2),4)),"")&lt;&gt;"",IFERROR(INDEX(Expenses!B$3:B$1002,SMALL(IF((Expenses!E$3:E$1002="GBP")*(Expenses!A$3:A$1002=DATE(2026,10,25)),ROW(Expenses!A$3:A$1002)-2),4)),""),IF(IFERROR(INDEX(Income!B$3:B$502,SMALL(IF((Income!D$3:D$502="GBP")*(Income!A$3:A$502=DATE(2026,10,25)),ROW(Income!A$3:A$502)-2),4)),"")&lt;&gt;"",IFERROR(INDEX(Income!B$3:B$502,SMALL(IF((Income!D$3:D$502="GBP")*(Income!A$3:A$502=DATE(2026,10,25)),ROW(Income!A$3:A$502)-2),4)),""),""))</f>
        <v/>
      </c>
      <c r="Q217" s="16"/>
      <c r="R217" s="16"/>
    </row>
    <row r="218" customFormat="false" ht="15" hidden="false" customHeight="false" outlineLevel="0" collapsed="false">
      <c r="A218" s="16"/>
      <c r="B218" s="16"/>
      <c r="C218" s="62" t="str">
        <f aca="false">IF(IFERROR(-INDEX(Expenses!D$3:D$1002,SMALL(IF((Expenses!E$3:E$1002="GBP")*(Expenses!A$3:A$1002=DATE(2026,10,19)),ROW(Expenses!A$3:A$1002)-2),5)),0)+IFERROR(INDEX(Income!C$3:C$502,SMALL(IF((Income!D$3:D$502="GBP")*(Income!A$3:A$502=DATE(2026,10,19)),ROW(Income!A$3:A$502)-2),5)),0)=0,"",IFERROR(-INDEX(Expenses!D$3:D$1002,SMALL(IF((Expenses!E$3:E$1002="GBP")*(Expenses!A$3:A$1002=DATE(2026,10,19)),ROW(Expenses!A$3:A$1002)-2),5)),0)+IFERROR(INDEX(Income!C$3:C$502,SMALL(IF((Income!D$3:D$502="GBP")*(Income!A$3:A$502=DATE(2026,10,19)),ROW(Income!A$3:A$502)-2),5)),0))</f>
        <v/>
      </c>
      <c r="D218" s="38" t="str">
        <f aca="false">IF(IFERROR(INDEX(Expenses!B$3:B$1002,SMALL(IF((Expenses!E$3:E$1002="GBP")*(Expenses!A$3:A$1002=DATE(2026,10,19)),ROW(Expenses!A$3:A$1002)-2),5)),"")&lt;&gt;"",IFERROR(INDEX(Expenses!B$3:B$1002,SMALL(IF((Expenses!E$3:E$1002="GBP")*(Expenses!A$3:A$1002=DATE(2026,10,19)),ROW(Expenses!A$3:A$1002)-2),5)),""),IF(IFERROR(INDEX(Income!B$3:B$502,SMALL(IF((Income!D$3:D$502="GBP")*(Income!A$3:A$502=DATE(2026,10,19)),ROW(Income!A$3:A$502)-2),5)),"")&lt;&gt;"",IFERROR(INDEX(Income!B$3:B$502,SMALL(IF((Income!D$3:D$502="GBP")*(Income!A$3:A$502=DATE(2026,10,19)),ROW(Income!A$3:A$502)-2),5)),""),""))</f>
        <v/>
      </c>
      <c r="E218" s="62" t="str">
        <f aca="false">IF(IFERROR(-INDEX(Expenses!D$3:D$1002,SMALL(IF((Expenses!E$3:E$1002="GBP")*(Expenses!A$3:A$1002=DATE(2026,10,20)),ROW(Expenses!A$3:A$1002)-2),5)),0)+IFERROR(INDEX(Income!C$3:C$502,SMALL(IF((Income!D$3:D$502="GBP")*(Income!A$3:A$502=DATE(2026,10,20)),ROW(Income!A$3:A$502)-2),5)),0)=0,"",IFERROR(-INDEX(Expenses!D$3:D$1002,SMALL(IF((Expenses!E$3:E$1002="GBP")*(Expenses!A$3:A$1002=DATE(2026,10,20)),ROW(Expenses!A$3:A$1002)-2),5)),0)+IFERROR(INDEX(Income!C$3:C$502,SMALL(IF((Income!D$3:D$502="GBP")*(Income!A$3:A$502=DATE(2026,10,20)),ROW(Income!A$3:A$502)-2),5)),0))</f>
        <v/>
      </c>
      <c r="F218" s="38" t="str">
        <f aca="false">IF(IFERROR(INDEX(Expenses!B$3:B$1002,SMALL(IF((Expenses!E$3:E$1002="GBP")*(Expenses!A$3:A$1002=DATE(2026,10,20)),ROW(Expenses!A$3:A$1002)-2),5)),"")&lt;&gt;"",IFERROR(INDEX(Expenses!B$3:B$1002,SMALL(IF((Expenses!E$3:E$1002="GBP")*(Expenses!A$3:A$1002=DATE(2026,10,20)),ROW(Expenses!A$3:A$1002)-2),5)),""),IF(IFERROR(INDEX(Income!B$3:B$502,SMALL(IF((Income!D$3:D$502="GBP")*(Income!A$3:A$502=DATE(2026,10,20)),ROW(Income!A$3:A$502)-2),5)),"")&lt;&gt;"",IFERROR(INDEX(Income!B$3:B$502,SMALL(IF((Income!D$3:D$502="GBP")*(Income!A$3:A$502=DATE(2026,10,20)),ROW(Income!A$3:A$502)-2),5)),""),""))</f>
        <v/>
      </c>
      <c r="G218" s="62" t="str">
        <f aca="false">IF(IFERROR(-INDEX(Expenses!D$3:D$1002,SMALL(IF((Expenses!E$3:E$1002="GBP")*(Expenses!A$3:A$1002=DATE(2026,10,21)),ROW(Expenses!A$3:A$1002)-2),5)),0)+IFERROR(INDEX(Income!C$3:C$502,SMALL(IF((Income!D$3:D$502="GBP")*(Income!A$3:A$502=DATE(2026,10,21)),ROW(Income!A$3:A$502)-2),5)),0)=0,"",IFERROR(-INDEX(Expenses!D$3:D$1002,SMALL(IF((Expenses!E$3:E$1002="GBP")*(Expenses!A$3:A$1002=DATE(2026,10,21)),ROW(Expenses!A$3:A$1002)-2),5)),0)+IFERROR(INDEX(Income!C$3:C$502,SMALL(IF((Income!D$3:D$502="GBP")*(Income!A$3:A$502=DATE(2026,10,21)),ROW(Income!A$3:A$502)-2),5)),0))</f>
        <v/>
      </c>
      <c r="H218" s="38" t="str">
        <f aca="false">IF(IFERROR(INDEX(Expenses!B$3:B$1002,SMALL(IF((Expenses!E$3:E$1002="GBP")*(Expenses!A$3:A$1002=DATE(2026,10,21)),ROW(Expenses!A$3:A$1002)-2),5)),"")&lt;&gt;"",IFERROR(INDEX(Expenses!B$3:B$1002,SMALL(IF((Expenses!E$3:E$1002="GBP")*(Expenses!A$3:A$1002=DATE(2026,10,21)),ROW(Expenses!A$3:A$1002)-2),5)),""),IF(IFERROR(INDEX(Income!B$3:B$502,SMALL(IF((Income!D$3:D$502="GBP")*(Income!A$3:A$502=DATE(2026,10,21)),ROW(Income!A$3:A$502)-2),5)),"")&lt;&gt;"",IFERROR(INDEX(Income!B$3:B$502,SMALL(IF((Income!D$3:D$502="GBP")*(Income!A$3:A$502=DATE(2026,10,21)),ROW(Income!A$3:A$502)-2),5)),""),""))</f>
        <v/>
      </c>
      <c r="I218" s="62" t="str">
        <f aca="false">IF(IFERROR(-INDEX(Expenses!D$3:D$1002,SMALL(IF((Expenses!E$3:E$1002="GBP")*(Expenses!A$3:A$1002=DATE(2026,10,22)),ROW(Expenses!A$3:A$1002)-2),5)),0)+IFERROR(INDEX(Income!C$3:C$502,SMALL(IF((Income!D$3:D$502="GBP")*(Income!A$3:A$502=DATE(2026,10,22)),ROW(Income!A$3:A$502)-2),5)),0)=0,"",IFERROR(-INDEX(Expenses!D$3:D$1002,SMALL(IF((Expenses!E$3:E$1002="GBP")*(Expenses!A$3:A$1002=DATE(2026,10,22)),ROW(Expenses!A$3:A$1002)-2),5)),0)+IFERROR(INDEX(Income!C$3:C$502,SMALL(IF((Income!D$3:D$502="GBP")*(Income!A$3:A$502=DATE(2026,10,22)),ROW(Income!A$3:A$502)-2),5)),0))</f>
        <v/>
      </c>
      <c r="J218" s="38" t="str">
        <f aca="false">IF(IFERROR(INDEX(Expenses!B$3:B$1002,SMALL(IF((Expenses!E$3:E$1002="GBP")*(Expenses!A$3:A$1002=DATE(2026,10,22)),ROW(Expenses!A$3:A$1002)-2),5)),"")&lt;&gt;"",IFERROR(INDEX(Expenses!B$3:B$1002,SMALL(IF((Expenses!E$3:E$1002="GBP")*(Expenses!A$3:A$1002=DATE(2026,10,22)),ROW(Expenses!A$3:A$1002)-2),5)),""),IF(IFERROR(INDEX(Income!B$3:B$502,SMALL(IF((Income!D$3:D$502="GBP")*(Income!A$3:A$502=DATE(2026,10,22)),ROW(Income!A$3:A$502)-2),5)),"")&lt;&gt;"",IFERROR(INDEX(Income!B$3:B$502,SMALL(IF((Income!D$3:D$502="GBP")*(Income!A$3:A$502=DATE(2026,10,22)),ROW(Income!A$3:A$502)-2),5)),""),""))</f>
        <v/>
      </c>
      <c r="K218" s="62" t="str">
        <f aca="false">IF(IFERROR(-INDEX(Expenses!D$3:D$1002,SMALL(IF((Expenses!E$3:E$1002="GBP")*(Expenses!A$3:A$1002=DATE(2026,10,23)),ROW(Expenses!A$3:A$1002)-2),5)),0)+IFERROR(INDEX(Income!C$3:C$502,SMALL(IF((Income!D$3:D$502="GBP")*(Income!A$3:A$502=DATE(2026,10,23)),ROW(Income!A$3:A$502)-2),5)),0)=0,"",IFERROR(-INDEX(Expenses!D$3:D$1002,SMALL(IF((Expenses!E$3:E$1002="GBP")*(Expenses!A$3:A$1002=DATE(2026,10,23)),ROW(Expenses!A$3:A$1002)-2),5)),0)+IFERROR(INDEX(Income!C$3:C$502,SMALL(IF((Income!D$3:D$502="GBP")*(Income!A$3:A$502=DATE(2026,10,23)),ROW(Income!A$3:A$502)-2),5)),0))</f>
        <v/>
      </c>
      <c r="L218" s="38" t="str">
        <f aca="false">IF(IFERROR(INDEX(Expenses!B$3:B$1002,SMALL(IF((Expenses!E$3:E$1002="GBP")*(Expenses!A$3:A$1002=DATE(2026,10,23)),ROW(Expenses!A$3:A$1002)-2),5)),"")&lt;&gt;"",IFERROR(INDEX(Expenses!B$3:B$1002,SMALL(IF((Expenses!E$3:E$1002="GBP")*(Expenses!A$3:A$1002=DATE(2026,10,23)),ROW(Expenses!A$3:A$1002)-2),5)),""),IF(IFERROR(INDEX(Income!B$3:B$502,SMALL(IF((Income!D$3:D$502="GBP")*(Income!A$3:A$502=DATE(2026,10,23)),ROW(Income!A$3:A$502)-2),5)),"")&lt;&gt;"",IFERROR(INDEX(Income!B$3:B$502,SMALL(IF((Income!D$3:D$502="GBP")*(Income!A$3:A$502=DATE(2026,10,23)),ROW(Income!A$3:A$502)-2),5)),""),""))</f>
        <v/>
      </c>
      <c r="M218" s="62" t="str">
        <f aca="false">IF(IFERROR(-INDEX(Expenses!D$3:D$1002,SMALL(IF((Expenses!E$3:E$1002="GBP")*(Expenses!A$3:A$1002=DATE(2026,10,24)),ROW(Expenses!A$3:A$1002)-2),5)),0)+IFERROR(INDEX(Income!C$3:C$502,SMALL(IF((Income!D$3:D$502="GBP")*(Income!A$3:A$502=DATE(2026,10,24)),ROW(Income!A$3:A$502)-2),5)),0)=0,"",IFERROR(-INDEX(Expenses!D$3:D$1002,SMALL(IF((Expenses!E$3:E$1002="GBP")*(Expenses!A$3:A$1002=DATE(2026,10,24)),ROW(Expenses!A$3:A$1002)-2),5)),0)+IFERROR(INDEX(Income!C$3:C$502,SMALL(IF((Income!D$3:D$502="GBP")*(Income!A$3:A$502=DATE(2026,10,24)),ROW(Income!A$3:A$502)-2),5)),0))</f>
        <v/>
      </c>
      <c r="N218" s="38" t="str">
        <f aca="false">IF(IFERROR(INDEX(Expenses!B$3:B$1002,SMALL(IF((Expenses!E$3:E$1002="GBP")*(Expenses!A$3:A$1002=DATE(2026,10,24)),ROW(Expenses!A$3:A$1002)-2),5)),"")&lt;&gt;"",IFERROR(INDEX(Expenses!B$3:B$1002,SMALL(IF((Expenses!E$3:E$1002="GBP")*(Expenses!A$3:A$1002=DATE(2026,10,24)),ROW(Expenses!A$3:A$1002)-2),5)),""),IF(IFERROR(INDEX(Income!B$3:B$502,SMALL(IF((Income!D$3:D$502="GBP")*(Income!A$3:A$502=DATE(2026,10,24)),ROW(Income!A$3:A$502)-2),5)),"")&lt;&gt;"",IFERROR(INDEX(Income!B$3:B$502,SMALL(IF((Income!D$3:D$502="GBP")*(Income!A$3:A$502=DATE(2026,10,24)),ROW(Income!A$3:A$502)-2),5)),""),""))</f>
        <v/>
      </c>
      <c r="O218" s="62" t="str">
        <f aca="false">IF(IFERROR(-INDEX(Expenses!D$3:D$1002,SMALL(IF((Expenses!E$3:E$1002="GBP")*(Expenses!A$3:A$1002=DATE(2026,10,25)),ROW(Expenses!A$3:A$1002)-2),5)),0)+IFERROR(INDEX(Income!C$3:C$502,SMALL(IF((Income!D$3:D$502="GBP")*(Income!A$3:A$502=DATE(2026,10,25)),ROW(Income!A$3:A$502)-2),5)),0)=0,"",IFERROR(-INDEX(Expenses!D$3:D$1002,SMALL(IF((Expenses!E$3:E$1002="GBP")*(Expenses!A$3:A$1002=DATE(2026,10,25)),ROW(Expenses!A$3:A$1002)-2),5)),0)+IFERROR(INDEX(Income!C$3:C$502,SMALL(IF((Income!D$3:D$502="GBP")*(Income!A$3:A$502=DATE(2026,10,25)),ROW(Income!A$3:A$502)-2),5)),0))</f>
        <v/>
      </c>
      <c r="P218" s="38" t="str">
        <f aca="false">IF(IFERROR(INDEX(Expenses!B$3:B$1002,SMALL(IF((Expenses!E$3:E$1002="GBP")*(Expenses!A$3:A$1002=DATE(2026,10,25)),ROW(Expenses!A$3:A$1002)-2),5)),"")&lt;&gt;"",IFERROR(INDEX(Expenses!B$3:B$1002,SMALL(IF((Expenses!E$3:E$1002="GBP")*(Expenses!A$3:A$1002=DATE(2026,10,25)),ROW(Expenses!A$3:A$1002)-2),5)),""),IF(IFERROR(INDEX(Income!B$3:B$502,SMALL(IF((Income!D$3:D$502="GBP")*(Income!A$3:A$502=DATE(2026,10,25)),ROW(Income!A$3:A$502)-2),5)),"")&lt;&gt;"",IFERROR(INDEX(Income!B$3:B$502,SMALL(IF((Income!D$3:D$502="GBP")*(Income!A$3:A$502=DATE(2026,10,25)),ROW(Income!A$3:A$502)-2),5)),""),""))</f>
        <v/>
      </c>
      <c r="Q218" s="16"/>
      <c r="R218" s="16"/>
    </row>
    <row r="219" customFormat="false" ht="15" hidden="false" customHeight="false" outlineLevel="0" collapsed="false">
      <c r="A219" s="61" t="n">
        <v>46321</v>
      </c>
      <c r="B219" s="3" t="n">
        <v>44</v>
      </c>
      <c r="C219" s="62" t="str">
        <f aca="false">IF(IFERROR(-INDEX(Expenses!D$3:D$1002,SMALL(IF((Expenses!E$3:E$1002="GBP")*(Expenses!A$3:A$1002=DATE(2026,10,26)),ROW(Expenses!A$3:A$1002)-2),1)),0)+IFERROR(INDEX(Income!C$3:C$502,SMALL(IF((Income!D$3:D$502="GBP")*(Income!A$3:A$502=DATE(2026,10,26)),ROW(Income!A$3:A$502)-2),1)),0)=0,"",IFERROR(-INDEX(Expenses!D$3:D$1002,SMALL(IF((Expenses!E$3:E$1002="GBP")*(Expenses!A$3:A$1002=DATE(2026,10,26)),ROW(Expenses!A$3:A$1002)-2),1)),0)+IFERROR(INDEX(Income!C$3:C$502,SMALL(IF((Income!D$3:D$502="GBP")*(Income!A$3:A$502=DATE(2026,10,26)),ROW(Income!A$3:A$502)-2),1)),0))</f>
        <v/>
      </c>
      <c r="D219" s="38" t="str">
        <f aca="false">IF(IFERROR(INDEX(Expenses!B$3:B$1002,SMALL(IF((Expenses!E$3:E$1002="GBP")*(Expenses!A$3:A$1002=DATE(2026,10,26)),ROW(Expenses!A$3:A$1002)-2),1)),"")&lt;&gt;"",IFERROR(INDEX(Expenses!B$3:B$1002,SMALL(IF((Expenses!E$3:E$1002="GBP")*(Expenses!A$3:A$1002=DATE(2026,10,26)),ROW(Expenses!A$3:A$1002)-2),1)),""),IF(IFERROR(INDEX(Income!B$3:B$502,SMALL(IF((Income!D$3:D$502="GBP")*(Income!A$3:A$502=DATE(2026,10,26)),ROW(Income!A$3:A$502)-2),1)),"")&lt;&gt;"",IFERROR(INDEX(Income!B$3:B$502,SMALL(IF((Income!D$3:D$502="GBP")*(Income!A$3:A$502=DATE(2026,10,26)),ROW(Income!A$3:A$502)-2),1)),""),""))</f>
        <v/>
      </c>
      <c r="E219" s="62" t="str">
        <f aca="false">IF(IFERROR(-INDEX(Expenses!D$3:D$1002,SMALL(IF((Expenses!E$3:E$1002="GBP")*(Expenses!A$3:A$1002=DATE(2026,10,27)),ROW(Expenses!A$3:A$1002)-2),1)),0)+IFERROR(INDEX(Income!C$3:C$502,SMALL(IF((Income!D$3:D$502="GBP")*(Income!A$3:A$502=DATE(2026,10,27)),ROW(Income!A$3:A$502)-2),1)),0)=0,"",IFERROR(-INDEX(Expenses!D$3:D$1002,SMALL(IF((Expenses!E$3:E$1002="GBP")*(Expenses!A$3:A$1002=DATE(2026,10,27)),ROW(Expenses!A$3:A$1002)-2),1)),0)+IFERROR(INDEX(Income!C$3:C$502,SMALL(IF((Income!D$3:D$502="GBP")*(Income!A$3:A$502=DATE(2026,10,27)),ROW(Income!A$3:A$502)-2),1)),0))</f>
        <v/>
      </c>
      <c r="F219" s="38" t="str">
        <f aca="false">IF(IFERROR(INDEX(Expenses!B$3:B$1002,SMALL(IF((Expenses!E$3:E$1002="GBP")*(Expenses!A$3:A$1002=DATE(2026,10,27)),ROW(Expenses!A$3:A$1002)-2),1)),"")&lt;&gt;"",IFERROR(INDEX(Expenses!B$3:B$1002,SMALL(IF((Expenses!E$3:E$1002="GBP")*(Expenses!A$3:A$1002=DATE(2026,10,27)),ROW(Expenses!A$3:A$1002)-2),1)),""),IF(IFERROR(INDEX(Income!B$3:B$502,SMALL(IF((Income!D$3:D$502="GBP")*(Income!A$3:A$502=DATE(2026,10,27)),ROW(Income!A$3:A$502)-2),1)),"")&lt;&gt;"",IFERROR(INDEX(Income!B$3:B$502,SMALL(IF((Income!D$3:D$502="GBP")*(Income!A$3:A$502=DATE(2026,10,27)),ROW(Income!A$3:A$502)-2),1)),""),""))</f>
        <v/>
      </c>
      <c r="G219" s="62" t="str">
        <f aca="false">IF(IFERROR(-INDEX(Expenses!D$3:D$1002,SMALL(IF((Expenses!E$3:E$1002="GBP")*(Expenses!A$3:A$1002=DATE(2026,10,28)),ROW(Expenses!A$3:A$1002)-2),1)),0)+IFERROR(INDEX(Income!C$3:C$502,SMALL(IF((Income!D$3:D$502="GBP")*(Income!A$3:A$502=DATE(2026,10,28)),ROW(Income!A$3:A$502)-2),1)),0)=0,"",IFERROR(-INDEX(Expenses!D$3:D$1002,SMALL(IF((Expenses!E$3:E$1002="GBP")*(Expenses!A$3:A$1002=DATE(2026,10,28)),ROW(Expenses!A$3:A$1002)-2),1)),0)+IFERROR(INDEX(Income!C$3:C$502,SMALL(IF((Income!D$3:D$502="GBP")*(Income!A$3:A$502=DATE(2026,10,28)),ROW(Income!A$3:A$502)-2),1)),0))</f>
        <v/>
      </c>
      <c r="H219" s="38" t="str">
        <f aca="false">IF(IFERROR(INDEX(Expenses!B$3:B$1002,SMALL(IF((Expenses!E$3:E$1002="GBP")*(Expenses!A$3:A$1002=DATE(2026,10,28)),ROW(Expenses!A$3:A$1002)-2),1)),"")&lt;&gt;"",IFERROR(INDEX(Expenses!B$3:B$1002,SMALL(IF((Expenses!E$3:E$1002="GBP")*(Expenses!A$3:A$1002=DATE(2026,10,28)),ROW(Expenses!A$3:A$1002)-2),1)),""),IF(IFERROR(INDEX(Income!B$3:B$502,SMALL(IF((Income!D$3:D$502="GBP")*(Income!A$3:A$502=DATE(2026,10,28)),ROW(Income!A$3:A$502)-2),1)),"")&lt;&gt;"",IFERROR(INDEX(Income!B$3:B$502,SMALL(IF((Income!D$3:D$502="GBP")*(Income!A$3:A$502=DATE(2026,10,28)),ROW(Income!A$3:A$502)-2),1)),""),""))</f>
        <v/>
      </c>
      <c r="I219" s="62" t="str">
        <f aca="false">IF(IFERROR(-INDEX(Expenses!D$3:D$1002,SMALL(IF((Expenses!E$3:E$1002="GBP")*(Expenses!A$3:A$1002=DATE(2026,10,29)),ROW(Expenses!A$3:A$1002)-2),1)),0)+IFERROR(INDEX(Income!C$3:C$502,SMALL(IF((Income!D$3:D$502="GBP")*(Income!A$3:A$502=DATE(2026,10,29)),ROW(Income!A$3:A$502)-2),1)),0)=0,"",IFERROR(-INDEX(Expenses!D$3:D$1002,SMALL(IF((Expenses!E$3:E$1002="GBP")*(Expenses!A$3:A$1002=DATE(2026,10,29)),ROW(Expenses!A$3:A$1002)-2),1)),0)+IFERROR(INDEX(Income!C$3:C$502,SMALL(IF((Income!D$3:D$502="GBP")*(Income!A$3:A$502=DATE(2026,10,29)),ROW(Income!A$3:A$502)-2),1)),0))</f>
        <v/>
      </c>
      <c r="J219" s="38" t="str">
        <f aca="false">IF(IFERROR(INDEX(Expenses!B$3:B$1002,SMALL(IF((Expenses!E$3:E$1002="GBP")*(Expenses!A$3:A$1002=DATE(2026,10,29)),ROW(Expenses!A$3:A$1002)-2),1)),"")&lt;&gt;"",IFERROR(INDEX(Expenses!B$3:B$1002,SMALL(IF((Expenses!E$3:E$1002="GBP")*(Expenses!A$3:A$1002=DATE(2026,10,29)),ROW(Expenses!A$3:A$1002)-2),1)),""),IF(IFERROR(INDEX(Income!B$3:B$502,SMALL(IF((Income!D$3:D$502="GBP")*(Income!A$3:A$502=DATE(2026,10,29)),ROW(Income!A$3:A$502)-2),1)),"")&lt;&gt;"",IFERROR(INDEX(Income!B$3:B$502,SMALL(IF((Income!D$3:D$502="GBP")*(Income!A$3:A$502=DATE(2026,10,29)),ROW(Income!A$3:A$502)-2),1)),""),""))</f>
        <v/>
      </c>
      <c r="K219" s="62" t="str">
        <f aca="false">IF(IFERROR(-INDEX(Expenses!D$3:D$1002,SMALL(IF((Expenses!E$3:E$1002="GBP")*(Expenses!A$3:A$1002=DATE(2026,10,30)),ROW(Expenses!A$3:A$1002)-2),1)),0)+IFERROR(INDEX(Income!C$3:C$502,SMALL(IF((Income!D$3:D$502="GBP")*(Income!A$3:A$502=DATE(2026,10,30)),ROW(Income!A$3:A$502)-2),1)),0)=0,"",IFERROR(-INDEX(Expenses!D$3:D$1002,SMALL(IF((Expenses!E$3:E$1002="GBP")*(Expenses!A$3:A$1002=DATE(2026,10,30)),ROW(Expenses!A$3:A$1002)-2),1)),0)+IFERROR(INDEX(Income!C$3:C$502,SMALL(IF((Income!D$3:D$502="GBP")*(Income!A$3:A$502=DATE(2026,10,30)),ROW(Income!A$3:A$502)-2),1)),0))</f>
        <v/>
      </c>
      <c r="L219" s="38" t="str">
        <f aca="false">IF(IFERROR(INDEX(Expenses!B$3:B$1002,SMALL(IF((Expenses!E$3:E$1002="GBP")*(Expenses!A$3:A$1002=DATE(2026,10,30)),ROW(Expenses!A$3:A$1002)-2),1)),"")&lt;&gt;"",IFERROR(INDEX(Expenses!B$3:B$1002,SMALL(IF((Expenses!E$3:E$1002="GBP")*(Expenses!A$3:A$1002=DATE(2026,10,30)),ROW(Expenses!A$3:A$1002)-2),1)),""),IF(IFERROR(INDEX(Income!B$3:B$502,SMALL(IF((Income!D$3:D$502="GBP")*(Income!A$3:A$502=DATE(2026,10,30)),ROW(Income!A$3:A$502)-2),1)),"")&lt;&gt;"",IFERROR(INDEX(Income!B$3:B$502,SMALL(IF((Income!D$3:D$502="GBP")*(Income!A$3:A$502=DATE(2026,10,30)),ROW(Income!A$3:A$502)-2),1)),""),""))</f>
        <v/>
      </c>
      <c r="M219" s="62" t="str">
        <f aca="false">IF(IFERROR(-INDEX(Expenses!D$3:D$1002,SMALL(IF((Expenses!E$3:E$1002="GBP")*(Expenses!A$3:A$1002=DATE(2026,10,31)),ROW(Expenses!A$3:A$1002)-2),1)),0)+IFERROR(INDEX(Income!C$3:C$502,SMALL(IF((Income!D$3:D$502="GBP")*(Income!A$3:A$502=DATE(2026,10,31)),ROW(Income!A$3:A$502)-2),1)),0)=0,"",IFERROR(-INDEX(Expenses!D$3:D$1002,SMALL(IF((Expenses!E$3:E$1002="GBP")*(Expenses!A$3:A$1002=DATE(2026,10,31)),ROW(Expenses!A$3:A$1002)-2),1)),0)+IFERROR(INDEX(Income!C$3:C$502,SMALL(IF((Income!D$3:D$502="GBP")*(Income!A$3:A$502=DATE(2026,10,31)),ROW(Income!A$3:A$502)-2),1)),0))</f>
        <v/>
      </c>
      <c r="N219" s="38" t="str">
        <f aca="false">IF(IFERROR(INDEX(Expenses!B$3:B$1002,SMALL(IF((Expenses!E$3:E$1002="GBP")*(Expenses!A$3:A$1002=DATE(2026,10,31)),ROW(Expenses!A$3:A$1002)-2),1)),"")&lt;&gt;"",IFERROR(INDEX(Expenses!B$3:B$1002,SMALL(IF((Expenses!E$3:E$1002="GBP")*(Expenses!A$3:A$1002=DATE(2026,10,31)),ROW(Expenses!A$3:A$1002)-2),1)),""),IF(IFERROR(INDEX(Income!B$3:B$502,SMALL(IF((Income!D$3:D$502="GBP")*(Income!A$3:A$502=DATE(2026,10,31)),ROW(Income!A$3:A$502)-2),1)),"")&lt;&gt;"",IFERROR(INDEX(Income!B$3:B$502,SMALL(IF((Income!D$3:D$502="GBP")*(Income!A$3:A$502=DATE(2026,10,31)),ROW(Income!A$3:A$502)-2),1)),""),""))</f>
        <v/>
      </c>
      <c r="O219" s="62" t="str">
        <f aca="false">IF(IFERROR(-INDEX(Expenses!D$3:D$1002,SMALL(IF((Expenses!E$3:E$1002="GBP")*(Expenses!A$3:A$1002=DATE(2026,11,1)),ROW(Expenses!A$3:A$1002)-2),1)),0)+IFERROR(INDEX(Income!C$3:C$502,SMALL(IF((Income!D$3:D$502="GBP")*(Income!A$3:A$502=DATE(2026,11,1)),ROW(Income!A$3:A$502)-2),1)),0)=0,"",IFERROR(-INDEX(Expenses!D$3:D$1002,SMALL(IF((Expenses!E$3:E$1002="GBP")*(Expenses!A$3:A$1002=DATE(2026,11,1)),ROW(Expenses!A$3:A$1002)-2),1)),0)+IFERROR(INDEX(Income!C$3:C$502,SMALL(IF((Income!D$3:D$502="GBP")*(Income!A$3:A$502=DATE(2026,11,1)),ROW(Income!A$3:A$502)-2),1)),0))</f>
        <v/>
      </c>
      <c r="P219" s="38" t="str">
        <f aca="false">IF(IFERROR(INDEX(Expenses!B$3:B$1002,SMALL(IF((Expenses!E$3:E$1002="GBP")*(Expenses!A$3:A$1002=DATE(2026,11,1)),ROW(Expenses!A$3:A$1002)-2),1)),"")&lt;&gt;"",IFERROR(INDEX(Expenses!B$3:B$1002,SMALL(IF((Expenses!E$3:E$1002="GBP")*(Expenses!A$3:A$1002=DATE(2026,11,1)),ROW(Expenses!A$3:A$1002)-2),1)),""),IF(IFERROR(INDEX(Income!B$3:B$502,SMALL(IF((Income!D$3:D$502="GBP")*(Income!A$3:A$502=DATE(2026,11,1)),ROW(Income!A$3:A$502)-2),1)),"")&lt;&gt;"",IFERROR(INDEX(Income!B$3:B$502,SMALL(IF((Income!D$3:D$502="GBP")*(Income!A$3:A$502=DATE(2026,11,1)),ROW(Income!A$3:A$502)-2),1)),""),""))</f>
        <v/>
      </c>
      <c r="Q219" s="3" t="n">
        <v>44</v>
      </c>
      <c r="R219" s="45" t="n">
        <f aca="false">SUM(C219:C223)+SUM(E219:E223)+SUM(G219:G223)+SUM(I219:I223)+SUM(K219:K223)+SUM(M219:M223)+SUM(O219:O223)</f>
        <v>0</v>
      </c>
    </row>
    <row r="220" customFormat="false" ht="15" hidden="false" customHeight="false" outlineLevel="0" collapsed="false">
      <c r="A220" s="16"/>
      <c r="B220" s="16"/>
      <c r="C220" s="62" t="str">
        <f aca="false">IF(IFERROR(-INDEX(Expenses!D$3:D$1002,SMALL(IF((Expenses!E$3:E$1002="GBP")*(Expenses!A$3:A$1002=DATE(2026,10,26)),ROW(Expenses!A$3:A$1002)-2),2)),0)+IFERROR(INDEX(Income!C$3:C$502,SMALL(IF((Income!D$3:D$502="GBP")*(Income!A$3:A$502=DATE(2026,10,26)),ROW(Income!A$3:A$502)-2),2)),0)=0,"",IFERROR(-INDEX(Expenses!D$3:D$1002,SMALL(IF((Expenses!E$3:E$1002="GBP")*(Expenses!A$3:A$1002=DATE(2026,10,26)),ROW(Expenses!A$3:A$1002)-2),2)),0)+IFERROR(INDEX(Income!C$3:C$502,SMALL(IF((Income!D$3:D$502="GBP")*(Income!A$3:A$502=DATE(2026,10,26)),ROW(Income!A$3:A$502)-2),2)),0))</f>
        <v/>
      </c>
      <c r="D220" s="38" t="str">
        <f aca="false">IF(IFERROR(INDEX(Expenses!B$3:B$1002,SMALL(IF((Expenses!E$3:E$1002="GBP")*(Expenses!A$3:A$1002=DATE(2026,10,26)),ROW(Expenses!A$3:A$1002)-2),2)),"")&lt;&gt;"",IFERROR(INDEX(Expenses!B$3:B$1002,SMALL(IF((Expenses!E$3:E$1002="GBP")*(Expenses!A$3:A$1002=DATE(2026,10,26)),ROW(Expenses!A$3:A$1002)-2),2)),""),IF(IFERROR(INDEX(Income!B$3:B$502,SMALL(IF((Income!D$3:D$502="GBP")*(Income!A$3:A$502=DATE(2026,10,26)),ROW(Income!A$3:A$502)-2),2)),"")&lt;&gt;"",IFERROR(INDEX(Income!B$3:B$502,SMALL(IF((Income!D$3:D$502="GBP")*(Income!A$3:A$502=DATE(2026,10,26)),ROW(Income!A$3:A$502)-2),2)),""),""))</f>
        <v/>
      </c>
      <c r="E220" s="62" t="str">
        <f aca="false">IF(IFERROR(-INDEX(Expenses!D$3:D$1002,SMALL(IF((Expenses!E$3:E$1002="GBP")*(Expenses!A$3:A$1002=DATE(2026,10,27)),ROW(Expenses!A$3:A$1002)-2),2)),0)+IFERROR(INDEX(Income!C$3:C$502,SMALL(IF((Income!D$3:D$502="GBP")*(Income!A$3:A$502=DATE(2026,10,27)),ROW(Income!A$3:A$502)-2),2)),0)=0,"",IFERROR(-INDEX(Expenses!D$3:D$1002,SMALL(IF((Expenses!E$3:E$1002="GBP")*(Expenses!A$3:A$1002=DATE(2026,10,27)),ROW(Expenses!A$3:A$1002)-2),2)),0)+IFERROR(INDEX(Income!C$3:C$502,SMALL(IF((Income!D$3:D$502="GBP")*(Income!A$3:A$502=DATE(2026,10,27)),ROW(Income!A$3:A$502)-2),2)),0))</f>
        <v/>
      </c>
      <c r="F220" s="38" t="str">
        <f aca="false">IF(IFERROR(INDEX(Expenses!B$3:B$1002,SMALL(IF((Expenses!E$3:E$1002="GBP")*(Expenses!A$3:A$1002=DATE(2026,10,27)),ROW(Expenses!A$3:A$1002)-2),2)),"")&lt;&gt;"",IFERROR(INDEX(Expenses!B$3:B$1002,SMALL(IF((Expenses!E$3:E$1002="GBP")*(Expenses!A$3:A$1002=DATE(2026,10,27)),ROW(Expenses!A$3:A$1002)-2),2)),""),IF(IFERROR(INDEX(Income!B$3:B$502,SMALL(IF((Income!D$3:D$502="GBP")*(Income!A$3:A$502=DATE(2026,10,27)),ROW(Income!A$3:A$502)-2),2)),"")&lt;&gt;"",IFERROR(INDEX(Income!B$3:B$502,SMALL(IF((Income!D$3:D$502="GBP")*(Income!A$3:A$502=DATE(2026,10,27)),ROW(Income!A$3:A$502)-2),2)),""),""))</f>
        <v/>
      </c>
      <c r="G220" s="62" t="str">
        <f aca="false">IF(IFERROR(-INDEX(Expenses!D$3:D$1002,SMALL(IF((Expenses!E$3:E$1002="GBP")*(Expenses!A$3:A$1002=DATE(2026,10,28)),ROW(Expenses!A$3:A$1002)-2),2)),0)+IFERROR(INDEX(Income!C$3:C$502,SMALL(IF((Income!D$3:D$502="GBP")*(Income!A$3:A$502=DATE(2026,10,28)),ROW(Income!A$3:A$502)-2),2)),0)=0,"",IFERROR(-INDEX(Expenses!D$3:D$1002,SMALL(IF((Expenses!E$3:E$1002="GBP")*(Expenses!A$3:A$1002=DATE(2026,10,28)),ROW(Expenses!A$3:A$1002)-2),2)),0)+IFERROR(INDEX(Income!C$3:C$502,SMALL(IF((Income!D$3:D$502="GBP")*(Income!A$3:A$502=DATE(2026,10,28)),ROW(Income!A$3:A$502)-2),2)),0))</f>
        <v/>
      </c>
      <c r="H220" s="38" t="str">
        <f aca="false">IF(IFERROR(INDEX(Expenses!B$3:B$1002,SMALL(IF((Expenses!E$3:E$1002="GBP")*(Expenses!A$3:A$1002=DATE(2026,10,28)),ROW(Expenses!A$3:A$1002)-2),2)),"")&lt;&gt;"",IFERROR(INDEX(Expenses!B$3:B$1002,SMALL(IF((Expenses!E$3:E$1002="GBP")*(Expenses!A$3:A$1002=DATE(2026,10,28)),ROW(Expenses!A$3:A$1002)-2),2)),""),IF(IFERROR(INDEX(Income!B$3:B$502,SMALL(IF((Income!D$3:D$502="GBP")*(Income!A$3:A$502=DATE(2026,10,28)),ROW(Income!A$3:A$502)-2),2)),"")&lt;&gt;"",IFERROR(INDEX(Income!B$3:B$502,SMALL(IF((Income!D$3:D$502="GBP")*(Income!A$3:A$502=DATE(2026,10,28)),ROW(Income!A$3:A$502)-2),2)),""),""))</f>
        <v/>
      </c>
      <c r="I220" s="62" t="str">
        <f aca="false">IF(IFERROR(-INDEX(Expenses!D$3:D$1002,SMALL(IF((Expenses!E$3:E$1002="GBP")*(Expenses!A$3:A$1002=DATE(2026,10,29)),ROW(Expenses!A$3:A$1002)-2),2)),0)+IFERROR(INDEX(Income!C$3:C$502,SMALL(IF((Income!D$3:D$502="GBP")*(Income!A$3:A$502=DATE(2026,10,29)),ROW(Income!A$3:A$502)-2),2)),0)=0,"",IFERROR(-INDEX(Expenses!D$3:D$1002,SMALL(IF((Expenses!E$3:E$1002="GBP")*(Expenses!A$3:A$1002=DATE(2026,10,29)),ROW(Expenses!A$3:A$1002)-2),2)),0)+IFERROR(INDEX(Income!C$3:C$502,SMALL(IF((Income!D$3:D$502="GBP")*(Income!A$3:A$502=DATE(2026,10,29)),ROW(Income!A$3:A$502)-2),2)),0))</f>
        <v/>
      </c>
      <c r="J220" s="38" t="str">
        <f aca="false">IF(IFERROR(INDEX(Expenses!B$3:B$1002,SMALL(IF((Expenses!E$3:E$1002="GBP")*(Expenses!A$3:A$1002=DATE(2026,10,29)),ROW(Expenses!A$3:A$1002)-2),2)),"")&lt;&gt;"",IFERROR(INDEX(Expenses!B$3:B$1002,SMALL(IF((Expenses!E$3:E$1002="GBP")*(Expenses!A$3:A$1002=DATE(2026,10,29)),ROW(Expenses!A$3:A$1002)-2),2)),""),IF(IFERROR(INDEX(Income!B$3:B$502,SMALL(IF((Income!D$3:D$502="GBP")*(Income!A$3:A$502=DATE(2026,10,29)),ROW(Income!A$3:A$502)-2),2)),"")&lt;&gt;"",IFERROR(INDEX(Income!B$3:B$502,SMALL(IF((Income!D$3:D$502="GBP")*(Income!A$3:A$502=DATE(2026,10,29)),ROW(Income!A$3:A$502)-2),2)),""),""))</f>
        <v/>
      </c>
      <c r="K220" s="62" t="str">
        <f aca="false">IF(IFERROR(-INDEX(Expenses!D$3:D$1002,SMALL(IF((Expenses!E$3:E$1002="GBP")*(Expenses!A$3:A$1002=DATE(2026,10,30)),ROW(Expenses!A$3:A$1002)-2),2)),0)+IFERROR(INDEX(Income!C$3:C$502,SMALL(IF((Income!D$3:D$502="GBP")*(Income!A$3:A$502=DATE(2026,10,30)),ROW(Income!A$3:A$502)-2),2)),0)=0,"",IFERROR(-INDEX(Expenses!D$3:D$1002,SMALL(IF((Expenses!E$3:E$1002="GBP")*(Expenses!A$3:A$1002=DATE(2026,10,30)),ROW(Expenses!A$3:A$1002)-2),2)),0)+IFERROR(INDEX(Income!C$3:C$502,SMALL(IF((Income!D$3:D$502="GBP")*(Income!A$3:A$502=DATE(2026,10,30)),ROW(Income!A$3:A$502)-2),2)),0))</f>
        <v/>
      </c>
      <c r="L220" s="38" t="str">
        <f aca="false">IF(IFERROR(INDEX(Expenses!B$3:B$1002,SMALL(IF((Expenses!E$3:E$1002="GBP")*(Expenses!A$3:A$1002=DATE(2026,10,30)),ROW(Expenses!A$3:A$1002)-2),2)),"")&lt;&gt;"",IFERROR(INDEX(Expenses!B$3:B$1002,SMALL(IF((Expenses!E$3:E$1002="GBP")*(Expenses!A$3:A$1002=DATE(2026,10,30)),ROW(Expenses!A$3:A$1002)-2),2)),""),IF(IFERROR(INDEX(Income!B$3:B$502,SMALL(IF((Income!D$3:D$502="GBP")*(Income!A$3:A$502=DATE(2026,10,30)),ROW(Income!A$3:A$502)-2),2)),"")&lt;&gt;"",IFERROR(INDEX(Income!B$3:B$502,SMALL(IF((Income!D$3:D$502="GBP")*(Income!A$3:A$502=DATE(2026,10,30)),ROW(Income!A$3:A$502)-2),2)),""),""))</f>
        <v/>
      </c>
      <c r="M220" s="62" t="str">
        <f aca="false">IF(IFERROR(-INDEX(Expenses!D$3:D$1002,SMALL(IF((Expenses!E$3:E$1002="GBP")*(Expenses!A$3:A$1002=DATE(2026,10,31)),ROW(Expenses!A$3:A$1002)-2),2)),0)+IFERROR(INDEX(Income!C$3:C$502,SMALL(IF((Income!D$3:D$502="GBP")*(Income!A$3:A$502=DATE(2026,10,31)),ROW(Income!A$3:A$502)-2),2)),0)=0,"",IFERROR(-INDEX(Expenses!D$3:D$1002,SMALL(IF((Expenses!E$3:E$1002="GBP")*(Expenses!A$3:A$1002=DATE(2026,10,31)),ROW(Expenses!A$3:A$1002)-2),2)),0)+IFERROR(INDEX(Income!C$3:C$502,SMALL(IF((Income!D$3:D$502="GBP")*(Income!A$3:A$502=DATE(2026,10,31)),ROW(Income!A$3:A$502)-2),2)),0))</f>
        <v/>
      </c>
      <c r="N220" s="38" t="str">
        <f aca="false">IF(IFERROR(INDEX(Expenses!B$3:B$1002,SMALL(IF((Expenses!E$3:E$1002="GBP")*(Expenses!A$3:A$1002=DATE(2026,10,31)),ROW(Expenses!A$3:A$1002)-2),2)),"")&lt;&gt;"",IFERROR(INDEX(Expenses!B$3:B$1002,SMALL(IF((Expenses!E$3:E$1002="GBP")*(Expenses!A$3:A$1002=DATE(2026,10,31)),ROW(Expenses!A$3:A$1002)-2),2)),""),IF(IFERROR(INDEX(Income!B$3:B$502,SMALL(IF((Income!D$3:D$502="GBP")*(Income!A$3:A$502=DATE(2026,10,31)),ROW(Income!A$3:A$502)-2),2)),"")&lt;&gt;"",IFERROR(INDEX(Income!B$3:B$502,SMALL(IF((Income!D$3:D$502="GBP")*(Income!A$3:A$502=DATE(2026,10,31)),ROW(Income!A$3:A$502)-2),2)),""),""))</f>
        <v/>
      </c>
      <c r="O220" s="62" t="str">
        <f aca="false">IF(IFERROR(-INDEX(Expenses!D$3:D$1002,SMALL(IF((Expenses!E$3:E$1002="GBP")*(Expenses!A$3:A$1002=DATE(2026,11,1)),ROW(Expenses!A$3:A$1002)-2),2)),0)+IFERROR(INDEX(Income!C$3:C$502,SMALL(IF((Income!D$3:D$502="GBP")*(Income!A$3:A$502=DATE(2026,11,1)),ROW(Income!A$3:A$502)-2),2)),0)=0,"",IFERROR(-INDEX(Expenses!D$3:D$1002,SMALL(IF((Expenses!E$3:E$1002="GBP")*(Expenses!A$3:A$1002=DATE(2026,11,1)),ROW(Expenses!A$3:A$1002)-2),2)),0)+IFERROR(INDEX(Income!C$3:C$502,SMALL(IF((Income!D$3:D$502="GBP")*(Income!A$3:A$502=DATE(2026,11,1)),ROW(Income!A$3:A$502)-2),2)),0))</f>
        <v/>
      </c>
      <c r="P220" s="38" t="str">
        <f aca="false">IF(IFERROR(INDEX(Expenses!B$3:B$1002,SMALL(IF((Expenses!E$3:E$1002="GBP")*(Expenses!A$3:A$1002=DATE(2026,11,1)),ROW(Expenses!A$3:A$1002)-2),2)),"")&lt;&gt;"",IFERROR(INDEX(Expenses!B$3:B$1002,SMALL(IF((Expenses!E$3:E$1002="GBP")*(Expenses!A$3:A$1002=DATE(2026,11,1)),ROW(Expenses!A$3:A$1002)-2),2)),""),IF(IFERROR(INDEX(Income!B$3:B$502,SMALL(IF((Income!D$3:D$502="GBP")*(Income!A$3:A$502=DATE(2026,11,1)),ROW(Income!A$3:A$502)-2),2)),"")&lt;&gt;"",IFERROR(INDEX(Income!B$3:B$502,SMALL(IF((Income!D$3:D$502="GBP")*(Income!A$3:A$502=DATE(2026,11,1)),ROW(Income!A$3:A$502)-2),2)),""),""))</f>
        <v/>
      </c>
      <c r="Q220" s="16"/>
      <c r="R220" s="16"/>
    </row>
    <row r="221" customFormat="false" ht="15" hidden="false" customHeight="false" outlineLevel="0" collapsed="false">
      <c r="A221" s="16"/>
      <c r="B221" s="16"/>
      <c r="C221" s="62" t="str">
        <f aca="false">IF(IFERROR(-INDEX(Expenses!D$3:D$1002,SMALL(IF((Expenses!E$3:E$1002="GBP")*(Expenses!A$3:A$1002=DATE(2026,10,26)),ROW(Expenses!A$3:A$1002)-2),3)),0)+IFERROR(INDEX(Income!C$3:C$502,SMALL(IF((Income!D$3:D$502="GBP")*(Income!A$3:A$502=DATE(2026,10,26)),ROW(Income!A$3:A$502)-2),3)),0)=0,"",IFERROR(-INDEX(Expenses!D$3:D$1002,SMALL(IF((Expenses!E$3:E$1002="GBP")*(Expenses!A$3:A$1002=DATE(2026,10,26)),ROW(Expenses!A$3:A$1002)-2),3)),0)+IFERROR(INDEX(Income!C$3:C$502,SMALL(IF((Income!D$3:D$502="GBP")*(Income!A$3:A$502=DATE(2026,10,26)),ROW(Income!A$3:A$502)-2),3)),0))</f>
        <v/>
      </c>
      <c r="D221" s="38" t="str">
        <f aca="false">IF(IFERROR(INDEX(Expenses!B$3:B$1002,SMALL(IF((Expenses!E$3:E$1002="GBP")*(Expenses!A$3:A$1002=DATE(2026,10,26)),ROW(Expenses!A$3:A$1002)-2),3)),"")&lt;&gt;"",IFERROR(INDEX(Expenses!B$3:B$1002,SMALL(IF((Expenses!E$3:E$1002="GBP")*(Expenses!A$3:A$1002=DATE(2026,10,26)),ROW(Expenses!A$3:A$1002)-2),3)),""),IF(IFERROR(INDEX(Income!B$3:B$502,SMALL(IF((Income!D$3:D$502="GBP")*(Income!A$3:A$502=DATE(2026,10,26)),ROW(Income!A$3:A$502)-2),3)),"")&lt;&gt;"",IFERROR(INDEX(Income!B$3:B$502,SMALL(IF((Income!D$3:D$502="GBP")*(Income!A$3:A$502=DATE(2026,10,26)),ROW(Income!A$3:A$502)-2),3)),""),""))</f>
        <v/>
      </c>
      <c r="E221" s="62" t="str">
        <f aca="false">IF(IFERROR(-INDEX(Expenses!D$3:D$1002,SMALL(IF((Expenses!E$3:E$1002="GBP")*(Expenses!A$3:A$1002=DATE(2026,10,27)),ROW(Expenses!A$3:A$1002)-2),3)),0)+IFERROR(INDEX(Income!C$3:C$502,SMALL(IF((Income!D$3:D$502="GBP")*(Income!A$3:A$502=DATE(2026,10,27)),ROW(Income!A$3:A$502)-2),3)),0)=0,"",IFERROR(-INDEX(Expenses!D$3:D$1002,SMALL(IF((Expenses!E$3:E$1002="GBP")*(Expenses!A$3:A$1002=DATE(2026,10,27)),ROW(Expenses!A$3:A$1002)-2),3)),0)+IFERROR(INDEX(Income!C$3:C$502,SMALL(IF((Income!D$3:D$502="GBP")*(Income!A$3:A$502=DATE(2026,10,27)),ROW(Income!A$3:A$502)-2),3)),0))</f>
        <v/>
      </c>
      <c r="F221" s="38" t="str">
        <f aca="false">IF(IFERROR(INDEX(Expenses!B$3:B$1002,SMALL(IF((Expenses!E$3:E$1002="GBP")*(Expenses!A$3:A$1002=DATE(2026,10,27)),ROW(Expenses!A$3:A$1002)-2),3)),"")&lt;&gt;"",IFERROR(INDEX(Expenses!B$3:B$1002,SMALL(IF((Expenses!E$3:E$1002="GBP")*(Expenses!A$3:A$1002=DATE(2026,10,27)),ROW(Expenses!A$3:A$1002)-2),3)),""),IF(IFERROR(INDEX(Income!B$3:B$502,SMALL(IF((Income!D$3:D$502="GBP")*(Income!A$3:A$502=DATE(2026,10,27)),ROW(Income!A$3:A$502)-2),3)),"")&lt;&gt;"",IFERROR(INDEX(Income!B$3:B$502,SMALL(IF((Income!D$3:D$502="GBP")*(Income!A$3:A$502=DATE(2026,10,27)),ROW(Income!A$3:A$502)-2),3)),""),""))</f>
        <v/>
      </c>
      <c r="G221" s="62" t="str">
        <f aca="false">IF(IFERROR(-INDEX(Expenses!D$3:D$1002,SMALL(IF((Expenses!E$3:E$1002="GBP")*(Expenses!A$3:A$1002=DATE(2026,10,28)),ROW(Expenses!A$3:A$1002)-2),3)),0)+IFERROR(INDEX(Income!C$3:C$502,SMALL(IF((Income!D$3:D$502="GBP")*(Income!A$3:A$502=DATE(2026,10,28)),ROW(Income!A$3:A$502)-2),3)),0)=0,"",IFERROR(-INDEX(Expenses!D$3:D$1002,SMALL(IF((Expenses!E$3:E$1002="GBP")*(Expenses!A$3:A$1002=DATE(2026,10,28)),ROW(Expenses!A$3:A$1002)-2),3)),0)+IFERROR(INDEX(Income!C$3:C$502,SMALL(IF((Income!D$3:D$502="GBP")*(Income!A$3:A$502=DATE(2026,10,28)),ROW(Income!A$3:A$502)-2),3)),0))</f>
        <v/>
      </c>
      <c r="H221" s="38" t="str">
        <f aca="false">IF(IFERROR(INDEX(Expenses!B$3:B$1002,SMALL(IF((Expenses!E$3:E$1002="GBP")*(Expenses!A$3:A$1002=DATE(2026,10,28)),ROW(Expenses!A$3:A$1002)-2),3)),"")&lt;&gt;"",IFERROR(INDEX(Expenses!B$3:B$1002,SMALL(IF((Expenses!E$3:E$1002="GBP")*(Expenses!A$3:A$1002=DATE(2026,10,28)),ROW(Expenses!A$3:A$1002)-2),3)),""),IF(IFERROR(INDEX(Income!B$3:B$502,SMALL(IF((Income!D$3:D$502="GBP")*(Income!A$3:A$502=DATE(2026,10,28)),ROW(Income!A$3:A$502)-2),3)),"")&lt;&gt;"",IFERROR(INDEX(Income!B$3:B$502,SMALL(IF((Income!D$3:D$502="GBP")*(Income!A$3:A$502=DATE(2026,10,28)),ROW(Income!A$3:A$502)-2),3)),""),""))</f>
        <v/>
      </c>
      <c r="I221" s="62" t="str">
        <f aca="false">IF(IFERROR(-INDEX(Expenses!D$3:D$1002,SMALL(IF((Expenses!E$3:E$1002="GBP")*(Expenses!A$3:A$1002=DATE(2026,10,29)),ROW(Expenses!A$3:A$1002)-2),3)),0)+IFERROR(INDEX(Income!C$3:C$502,SMALL(IF((Income!D$3:D$502="GBP")*(Income!A$3:A$502=DATE(2026,10,29)),ROW(Income!A$3:A$502)-2),3)),0)=0,"",IFERROR(-INDEX(Expenses!D$3:D$1002,SMALL(IF((Expenses!E$3:E$1002="GBP")*(Expenses!A$3:A$1002=DATE(2026,10,29)),ROW(Expenses!A$3:A$1002)-2),3)),0)+IFERROR(INDEX(Income!C$3:C$502,SMALL(IF((Income!D$3:D$502="GBP")*(Income!A$3:A$502=DATE(2026,10,29)),ROW(Income!A$3:A$502)-2),3)),0))</f>
        <v/>
      </c>
      <c r="J221" s="38" t="str">
        <f aca="false">IF(IFERROR(INDEX(Expenses!B$3:B$1002,SMALL(IF((Expenses!E$3:E$1002="GBP")*(Expenses!A$3:A$1002=DATE(2026,10,29)),ROW(Expenses!A$3:A$1002)-2),3)),"")&lt;&gt;"",IFERROR(INDEX(Expenses!B$3:B$1002,SMALL(IF((Expenses!E$3:E$1002="GBP")*(Expenses!A$3:A$1002=DATE(2026,10,29)),ROW(Expenses!A$3:A$1002)-2),3)),""),IF(IFERROR(INDEX(Income!B$3:B$502,SMALL(IF((Income!D$3:D$502="GBP")*(Income!A$3:A$502=DATE(2026,10,29)),ROW(Income!A$3:A$502)-2),3)),"")&lt;&gt;"",IFERROR(INDEX(Income!B$3:B$502,SMALL(IF((Income!D$3:D$502="GBP")*(Income!A$3:A$502=DATE(2026,10,29)),ROW(Income!A$3:A$502)-2),3)),""),""))</f>
        <v/>
      </c>
      <c r="K221" s="62" t="str">
        <f aca="false">IF(IFERROR(-INDEX(Expenses!D$3:D$1002,SMALL(IF((Expenses!E$3:E$1002="GBP")*(Expenses!A$3:A$1002=DATE(2026,10,30)),ROW(Expenses!A$3:A$1002)-2),3)),0)+IFERROR(INDEX(Income!C$3:C$502,SMALL(IF((Income!D$3:D$502="GBP")*(Income!A$3:A$502=DATE(2026,10,30)),ROW(Income!A$3:A$502)-2),3)),0)=0,"",IFERROR(-INDEX(Expenses!D$3:D$1002,SMALL(IF((Expenses!E$3:E$1002="GBP")*(Expenses!A$3:A$1002=DATE(2026,10,30)),ROW(Expenses!A$3:A$1002)-2),3)),0)+IFERROR(INDEX(Income!C$3:C$502,SMALL(IF((Income!D$3:D$502="GBP")*(Income!A$3:A$502=DATE(2026,10,30)),ROW(Income!A$3:A$502)-2),3)),0))</f>
        <v/>
      </c>
      <c r="L221" s="38" t="str">
        <f aca="false">IF(IFERROR(INDEX(Expenses!B$3:B$1002,SMALL(IF((Expenses!E$3:E$1002="GBP")*(Expenses!A$3:A$1002=DATE(2026,10,30)),ROW(Expenses!A$3:A$1002)-2),3)),"")&lt;&gt;"",IFERROR(INDEX(Expenses!B$3:B$1002,SMALL(IF((Expenses!E$3:E$1002="GBP")*(Expenses!A$3:A$1002=DATE(2026,10,30)),ROW(Expenses!A$3:A$1002)-2),3)),""),IF(IFERROR(INDEX(Income!B$3:B$502,SMALL(IF((Income!D$3:D$502="GBP")*(Income!A$3:A$502=DATE(2026,10,30)),ROW(Income!A$3:A$502)-2),3)),"")&lt;&gt;"",IFERROR(INDEX(Income!B$3:B$502,SMALL(IF((Income!D$3:D$502="GBP")*(Income!A$3:A$502=DATE(2026,10,30)),ROW(Income!A$3:A$502)-2),3)),""),""))</f>
        <v/>
      </c>
      <c r="M221" s="62" t="str">
        <f aca="false">IF(IFERROR(-INDEX(Expenses!D$3:D$1002,SMALL(IF((Expenses!E$3:E$1002="GBP")*(Expenses!A$3:A$1002=DATE(2026,10,31)),ROW(Expenses!A$3:A$1002)-2),3)),0)+IFERROR(INDEX(Income!C$3:C$502,SMALL(IF((Income!D$3:D$502="GBP")*(Income!A$3:A$502=DATE(2026,10,31)),ROW(Income!A$3:A$502)-2),3)),0)=0,"",IFERROR(-INDEX(Expenses!D$3:D$1002,SMALL(IF((Expenses!E$3:E$1002="GBP")*(Expenses!A$3:A$1002=DATE(2026,10,31)),ROW(Expenses!A$3:A$1002)-2),3)),0)+IFERROR(INDEX(Income!C$3:C$502,SMALL(IF((Income!D$3:D$502="GBP")*(Income!A$3:A$502=DATE(2026,10,31)),ROW(Income!A$3:A$502)-2),3)),0))</f>
        <v/>
      </c>
      <c r="N221" s="38" t="str">
        <f aca="false">IF(IFERROR(INDEX(Expenses!B$3:B$1002,SMALL(IF((Expenses!E$3:E$1002="GBP")*(Expenses!A$3:A$1002=DATE(2026,10,31)),ROW(Expenses!A$3:A$1002)-2),3)),"")&lt;&gt;"",IFERROR(INDEX(Expenses!B$3:B$1002,SMALL(IF((Expenses!E$3:E$1002="GBP")*(Expenses!A$3:A$1002=DATE(2026,10,31)),ROW(Expenses!A$3:A$1002)-2),3)),""),IF(IFERROR(INDEX(Income!B$3:B$502,SMALL(IF((Income!D$3:D$502="GBP")*(Income!A$3:A$502=DATE(2026,10,31)),ROW(Income!A$3:A$502)-2),3)),"")&lt;&gt;"",IFERROR(INDEX(Income!B$3:B$502,SMALL(IF((Income!D$3:D$502="GBP")*(Income!A$3:A$502=DATE(2026,10,31)),ROW(Income!A$3:A$502)-2),3)),""),""))</f>
        <v/>
      </c>
      <c r="O221" s="62" t="str">
        <f aca="false">IF(IFERROR(-INDEX(Expenses!D$3:D$1002,SMALL(IF((Expenses!E$3:E$1002="GBP")*(Expenses!A$3:A$1002=DATE(2026,11,1)),ROW(Expenses!A$3:A$1002)-2),3)),0)+IFERROR(INDEX(Income!C$3:C$502,SMALL(IF((Income!D$3:D$502="GBP")*(Income!A$3:A$502=DATE(2026,11,1)),ROW(Income!A$3:A$502)-2),3)),0)=0,"",IFERROR(-INDEX(Expenses!D$3:D$1002,SMALL(IF((Expenses!E$3:E$1002="GBP")*(Expenses!A$3:A$1002=DATE(2026,11,1)),ROW(Expenses!A$3:A$1002)-2),3)),0)+IFERROR(INDEX(Income!C$3:C$502,SMALL(IF((Income!D$3:D$502="GBP")*(Income!A$3:A$502=DATE(2026,11,1)),ROW(Income!A$3:A$502)-2),3)),0))</f>
        <v/>
      </c>
      <c r="P221" s="38" t="str">
        <f aca="false">IF(IFERROR(INDEX(Expenses!B$3:B$1002,SMALL(IF((Expenses!E$3:E$1002="GBP")*(Expenses!A$3:A$1002=DATE(2026,11,1)),ROW(Expenses!A$3:A$1002)-2),3)),"")&lt;&gt;"",IFERROR(INDEX(Expenses!B$3:B$1002,SMALL(IF((Expenses!E$3:E$1002="GBP")*(Expenses!A$3:A$1002=DATE(2026,11,1)),ROW(Expenses!A$3:A$1002)-2),3)),""),IF(IFERROR(INDEX(Income!B$3:B$502,SMALL(IF((Income!D$3:D$502="GBP")*(Income!A$3:A$502=DATE(2026,11,1)),ROW(Income!A$3:A$502)-2),3)),"")&lt;&gt;"",IFERROR(INDEX(Income!B$3:B$502,SMALL(IF((Income!D$3:D$502="GBP")*(Income!A$3:A$502=DATE(2026,11,1)),ROW(Income!A$3:A$502)-2),3)),""),""))</f>
        <v/>
      </c>
      <c r="Q221" s="16"/>
      <c r="R221" s="16"/>
    </row>
    <row r="222" customFormat="false" ht="15" hidden="false" customHeight="false" outlineLevel="0" collapsed="false">
      <c r="A222" s="16"/>
      <c r="B222" s="16"/>
      <c r="C222" s="62" t="str">
        <f aca="false">IF(IFERROR(-INDEX(Expenses!D$3:D$1002,SMALL(IF((Expenses!E$3:E$1002="GBP")*(Expenses!A$3:A$1002=DATE(2026,10,26)),ROW(Expenses!A$3:A$1002)-2),4)),0)+IFERROR(INDEX(Income!C$3:C$502,SMALL(IF((Income!D$3:D$502="GBP")*(Income!A$3:A$502=DATE(2026,10,26)),ROW(Income!A$3:A$502)-2),4)),0)=0,"",IFERROR(-INDEX(Expenses!D$3:D$1002,SMALL(IF((Expenses!E$3:E$1002="GBP")*(Expenses!A$3:A$1002=DATE(2026,10,26)),ROW(Expenses!A$3:A$1002)-2),4)),0)+IFERROR(INDEX(Income!C$3:C$502,SMALL(IF((Income!D$3:D$502="GBP")*(Income!A$3:A$502=DATE(2026,10,26)),ROW(Income!A$3:A$502)-2),4)),0))</f>
        <v/>
      </c>
      <c r="D222" s="38" t="str">
        <f aca="false">IF(IFERROR(INDEX(Expenses!B$3:B$1002,SMALL(IF((Expenses!E$3:E$1002="GBP")*(Expenses!A$3:A$1002=DATE(2026,10,26)),ROW(Expenses!A$3:A$1002)-2),4)),"")&lt;&gt;"",IFERROR(INDEX(Expenses!B$3:B$1002,SMALL(IF((Expenses!E$3:E$1002="GBP")*(Expenses!A$3:A$1002=DATE(2026,10,26)),ROW(Expenses!A$3:A$1002)-2),4)),""),IF(IFERROR(INDEX(Income!B$3:B$502,SMALL(IF((Income!D$3:D$502="GBP")*(Income!A$3:A$502=DATE(2026,10,26)),ROW(Income!A$3:A$502)-2),4)),"")&lt;&gt;"",IFERROR(INDEX(Income!B$3:B$502,SMALL(IF((Income!D$3:D$502="GBP")*(Income!A$3:A$502=DATE(2026,10,26)),ROW(Income!A$3:A$502)-2),4)),""),""))</f>
        <v/>
      </c>
      <c r="E222" s="62" t="str">
        <f aca="false">IF(IFERROR(-INDEX(Expenses!D$3:D$1002,SMALL(IF((Expenses!E$3:E$1002="GBP")*(Expenses!A$3:A$1002=DATE(2026,10,27)),ROW(Expenses!A$3:A$1002)-2),4)),0)+IFERROR(INDEX(Income!C$3:C$502,SMALL(IF((Income!D$3:D$502="GBP")*(Income!A$3:A$502=DATE(2026,10,27)),ROW(Income!A$3:A$502)-2),4)),0)=0,"",IFERROR(-INDEX(Expenses!D$3:D$1002,SMALL(IF((Expenses!E$3:E$1002="GBP")*(Expenses!A$3:A$1002=DATE(2026,10,27)),ROW(Expenses!A$3:A$1002)-2),4)),0)+IFERROR(INDEX(Income!C$3:C$502,SMALL(IF((Income!D$3:D$502="GBP")*(Income!A$3:A$502=DATE(2026,10,27)),ROW(Income!A$3:A$502)-2),4)),0))</f>
        <v/>
      </c>
      <c r="F222" s="38" t="str">
        <f aca="false">IF(IFERROR(INDEX(Expenses!B$3:B$1002,SMALL(IF((Expenses!E$3:E$1002="GBP")*(Expenses!A$3:A$1002=DATE(2026,10,27)),ROW(Expenses!A$3:A$1002)-2),4)),"")&lt;&gt;"",IFERROR(INDEX(Expenses!B$3:B$1002,SMALL(IF((Expenses!E$3:E$1002="GBP")*(Expenses!A$3:A$1002=DATE(2026,10,27)),ROW(Expenses!A$3:A$1002)-2),4)),""),IF(IFERROR(INDEX(Income!B$3:B$502,SMALL(IF((Income!D$3:D$502="GBP")*(Income!A$3:A$502=DATE(2026,10,27)),ROW(Income!A$3:A$502)-2),4)),"")&lt;&gt;"",IFERROR(INDEX(Income!B$3:B$502,SMALL(IF((Income!D$3:D$502="GBP")*(Income!A$3:A$502=DATE(2026,10,27)),ROW(Income!A$3:A$502)-2),4)),""),""))</f>
        <v/>
      </c>
      <c r="G222" s="62" t="str">
        <f aca="false">IF(IFERROR(-INDEX(Expenses!D$3:D$1002,SMALL(IF((Expenses!E$3:E$1002="GBP")*(Expenses!A$3:A$1002=DATE(2026,10,28)),ROW(Expenses!A$3:A$1002)-2),4)),0)+IFERROR(INDEX(Income!C$3:C$502,SMALL(IF((Income!D$3:D$502="GBP")*(Income!A$3:A$502=DATE(2026,10,28)),ROW(Income!A$3:A$502)-2),4)),0)=0,"",IFERROR(-INDEX(Expenses!D$3:D$1002,SMALL(IF((Expenses!E$3:E$1002="GBP")*(Expenses!A$3:A$1002=DATE(2026,10,28)),ROW(Expenses!A$3:A$1002)-2),4)),0)+IFERROR(INDEX(Income!C$3:C$502,SMALL(IF((Income!D$3:D$502="GBP")*(Income!A$3:A$502=DATE(2026,10,28)),ROW(Income!A$3:A$502)-2),4)),0))</f>
        <v/>
      </c>
      <c r="H222" s="38" t="str">
        <f aca="false">IF(IFERROR(INDEX(Expenses!B$3:B$1002,SMALL(IF((Expenses!E$3:E$1002="GBP")*(Expenses!A$3:A$1002=DATE(2026,10,28)),ROW(Expenses!A$3:A$1002)-2),4)),"")&lt;&gt;"",IFERROR(INDEX(Expenses!B$3:B$1002,SMALL(IF((Expenses!E$3:E$1002="GBP")*(Expenses!A$3:A$1002=DATE(2026,10,28)),ROW(Expenses!A$3:A$1002)-2),4)),""),IF(IFERROR(INDEX(Income!B$3:B$502,SMALL(IF((Income!D$3:D$502="GBP")*(Income!A$3:A$502=DATE(2026,10,28)),ROW(Income!A$3:A$502)-2),4)),"")&lt;&gt;"",IFERROR(INDEX(Income!B$3:B$502,SMALL(IF((Income!D$3:D$502="GBP")*(Income!A$3:A$502=DATE(2026,10,28)),ROW(Income!A$3:A$502)-2),4)),""),""))</f>
        <v/>
      </c>
      <c r="I222" s="62" t="str">
        <f aca="false">IF(IFERROR(-INDEX(Expenses!D$3:D$1002,SMALL(IF((Expenses!E$3:E$1002="GBP")*(Expenses!A$3:A$1002=DATE(2026,10,29)),ROW(Expenses!A$3:A$1002)-2),4)),0)+IFERROR(INDEX(Income!C$3:C$502,SMALL(IF((Income!D$3:D$502="GBP")*(Income!A$3:A$502=DATE(2026,10,29)),ROW(Income!A$3:A$502)-2),4)),0)=0,"",IFERROR(-INDEX(Expenses!D$3:D$1002,SMALL(IF((Expenses!E$3:E$1002="GBP")*(Expenses!A$3:A$1002=DATE(2026,10,29)),ROW(Expenses!A$3:A$1002)-2),4)),0)+IFERROR(INDEX(Income!C$3:C$502,SMALL(IF((Income!D$3:D$502="GBP")*(Income!A$3:A$502=DATE(2026,10,29)),ROW(Income!A$3:A$502)-2),4)),0))</f>
        <v/>
      </c>
      <c r="J222" s="38" t="str">
        <f aca="false">IF(IFERROR(INDEX(Expenses!B$3:B$1002,SMALL(IF((Expenses!E$3:E$1002="GBP")*(Expenses!A$3:A$1002=DATE(2026,10,29)),ROW(Expenses!A$3:A$1002)-2),4)),"")&lt;&gt;"",IFERROR(INDEX(Expenses!B$3:B$1002,SMALL(IF((Expenses!E$3:E$1002="GBP")*(Expenses!A$3:A$1002=DATE(2026,10,29)),ROW(Expenses!A$3:A$1002)-2),4)),""),IF(IFERROR(INDEX(Income!B$3:B$502,SMALL(IF((Income!D$3:D$502="GBP")*(Income!A$3:A$502=DATE(2026,10,29)),ROW(Income!A$3:A$502)-2),4)),"")&lt;&gt;"",IFERROR(INDEX(Income!B$3:B$502,SMALL(IF((Income!D$3:D$502="GBP")*(Income!A$3:A$502=DATE(2026,10,29)),ROW(Income!A$3:A$502)-2),4)),""),""))</f>
        <v/>
      </c>
      <c r="K222" s="62" t="str">
        <f aca="false">IF(IFERROR(-INDEX(Expenses!D$3:D$1002,SMALL(IF((Expenses!E$3:E$1002="GBP")*(Expenses!A$3:A$1002=DATE(2026,10,30)),ROW(Expenses!A$3:A$1002)-2),4)),0)+IFERROR(INDEX(Income!C$3:C$502,SMALL(IF((Income!D$3:D$502="GBP")*(Income!A$3:A$502=DATE(2026,10,30)),ROW(Income!A$3:A$502)-2),4)),0)=0,"",IFERROR(-INDEX(Expenses!D$3:D$1002,SMALL(IF((Expenses!E$3:E$1002="GBP")*(Expenses!A$3:A$1002=DATE(2026,10,30)),ROW(Expenses!A$3:A$1002)-2),4)),0)+IFERROR(INDEX(Income!C$3:C$502,SMALL(IF((Income!D$3:D$502="GBP")*(Income!A$3:A$502=DATE(2026,10,30)),ROW(Income!A$3:A$502)-2),4)),0))</f>
        <v/>
      </c>
      <c r="L222" s="38" t="str">
        <f aca="false">IF(IFERROR(INDEX(Expenses!B$3:B$1002,SMALL(IF((Expenses!E$3:E$1002="GBP")*(Expenses!A$3:A$1002=DATE(2026,10,30)),ROW(Expenses!A$3:A$1002)-2),4)),"")&lt;&gt;"",IFERROR(INDEX(Expenses!B$3:B$1002,SMALL(IF((Expenses!E$3:E$1002="GBP")*(Expenses!A$3:A$1002=DATE(2026,10,30)),ROW(Expenses!A$3:A$1002)-2),4)),""),IF(IFERROR(INDEX(Income!B$3:B$502,SMALL(IF((Income!D$3:D$502="GBP")*(Income!A$3:A$502=DATE(2026,10,30)),ROW(Income!A$3:A$502)-2),4)),"")&lt;&gt;"",IFERROR(INDEX(Income!B$3:B$502,SMALL(IF((Income!D$3:D$502="GBP")*(Income!A$3:A$502=DATE(2026,10,30)),ROW(Income!A$3:A$502)-2),4)),""),""))</f>
        <v/>
      </c>
      <c r="M222" s="62" t="str">
        <f aca="false">IF(IFERROR(-INDEX(Expenses!D$3:D$1002,SMALL(IF((Expenses!E$3:E$1002="GBP")*(Expenses!A$3:A$1002=DATE(2026,10,31)),ROW(Expenses!A$3:A$1002)-2),4)),0)+IFERROR(INDEX(Income!C$3:C$502,SMALL(IF((Income!D$3:D$502="GBP")*(Income!A$3:A$502=DATE(2026,10,31)),ROW(Income!A$3:A$502)-2),4)),0)=0,"",IFERROR(-INDEX(Expenses!D$3:D$1002,SMALL(IF((Expenses!E$3:E$1002="GBP")*(Expenses!A$3:A$1002=DATE(2026,10,31)),ROW(Expenses!A$3:A$1002)-2),4)),0)+IFERROR(INDEX(Income!C$3:C$502,SMALL(IF((Income!D$3:D$502="GBP")*(Income!A$3:A$502=DATE(2026,10,31)),ROW(Income!A$3:A$502)-2),4)),0))</f>
        <v/>
      </c>
      <c r="N222" s="38" t="str">
        <f aca="false">IF(IFERROR(INDEX(Expenses!B$3:B$1002,SMALL(IF((Expenses!E$3:E$1002="GBP")*(Expenses!A$3:A$1002=DATE(2026,10,31)),ROW(Expenses!A$3:A$1002)-2),4)),"")&lt;&gt;"",IFERROR(INDEX(Expenses!B$3:B$1002,SMALL(IF((Expenses!E$3:E$1002="GBP")*(Expenses!A$3:A$1002=DATE(2026,10,31)),ROW(Expenses!A$3:A$1002)-2),4)),""),IF(IFERROR(INDEX(Income!B$3:B$502,SMALL(IF((Income!D$3:D$502="GBP")*(Income!A$3:A$502=DATE(2026,10,31)),ROW(Income!A$3:A$502)-2),4)),"")&lt;&gt;"",IFERROR(INDEX(Income!B$3:B$502,SMALL(IF((Income!D$3:D$502="GBP")*(Income!A$3:A$502=DATE(2026,10,31)),ROW(Income!A$3:A$502)-2),4)),""),""))</f>
        <v/>
      </c>
      <c r="O222" s="62" t="str">
        <f aca="false">IF(IFERROR(-INDEX(Expenses!D$3:D$1002,SMALL(IF((Expenses!E$3:E$1002="GBP")*(Expenses!A$3:A$1002=DATE(2026,11,1)),ROW(Expenses!A$3:A$1002)-2),4)),0)+IFERROR(INDEX(Income!C$3:C$502,SMALL(IF((Income!D$3:D$502="GBP")*(Income!A$3:A$502=DATE(2026,11,1)),ROW(Income!A$3:A$502)-2),4)),0)=0,"",IFERROR(-INDEX(Expenses!D$3:D$1002,SMALL(IF((Expenses!E$3:E$1002="GBP")*(Expenses!A$3:A$1002=DATE(2026,11,1)),ROW(Expenses!A$3:A$1002)-2),4)),0)+IFERROR(INDEX(Income!C$3:C$502,SMALL(IF((Income!D$3:D$502="GBP")*(Income!A$3:A$502=DATE(2026,11,1)),ROW(Income!A$3:A$502)-2),4)),0))</f>
        <v/>
      </c>
      <c r="P222" s="38" t="str">
        <f aca="false">IF(IFERROR(INDEX(Expenses!B$3:B$1002,SMALL(IF((Expenses!E$3:E$1002="GBP")*(Expenses!A$3:A$1002=DATE(2026,11,1)),ROW(Expenses!A$3:A$1002)-2),4)),"")&lt;&gt;"",IFERROR(INDEX(Expenses!B$3:B$1002,SMALL(IF((Expenses!E$3:E$1002="GBP")*(Expenses!A$3:A$1002=DATE(2026,11,1)),ROW(Expenses!A$3:A$1002)-2),4)),""),IF(IFERROR(INDEX(Income!B$3:B$502,SMALL(IF((Income!D$3:D$502="GBP")*(Income!A$3:A$502=DATE(2026,11,1)),ROW(Income!A$3:A$502)-2),4)),"")&lt;&gt;"",IFERROR(INDEX(Income!B$3:B$502,SMALL(IF((Income!D$3:D$502="GBP")*(Income!A$3:A$502=DATE(2026,11,1)),ROW(Income!A$3:A$502)-2),4)),""),""))</f>
        <v/>
      </c>
      <c r="Q222" s="16"/>
      <c r="R222" s="16"/>
    </row>
    <row r="223" customFormat="false" ht="15" hidden="false" customHeight="false" outlineLevel="0" collapsed="false">
      <c r="A223" s="16"/>
      <c r="B223" s="16"/>
      <c r="C223" s="62" t="str">
        <f aca="false">IF(IFERROR(-INDEX(Expenses!D$3:D$1002,SMALL(IF((Expenses!E$3:E$1002="GBP")*(Expenses!A$3:A$1002=DATE(2026,10,26)),ROW(Expenses!A$3:A$1002)-2),5)),0)+IFERROR(INDEX(Income!C$3:C$502,SMALL(IF((Income!D$3:D$502="GBP")*(Income!A$3:A$502=DATE(2026,10,26)),ROW(Income!A$3:A$502)-2),5)),0)=0,"",IFERROR(-INDEX(Expenses!D$3:D$1002,SMALL(IF((Expenses!E$3:E$1002="GBP")*(Expenses!A$3:A$1002=DATE(2026,10,26)),ROW(Expenses!A$3:A$1002)-2),5)),0)+IFERROR(INDEX(Income!C$3:C$502,SMALL(IF((Income!D$3:D$502="GBP")*(Income!A$3:A$502=DATE(2026,10,26)),ROW(Income!A$3:A$502)-2),5)),0))</f>
        <v/>
      </c>
      <c r="D223" s="38" t="str">
        <f aca="false">IF(IFERROR(INDEX(Expenses!B$3:B$1002,SMALL(IF((Expenses!E$3:E$1002="GBP")*(Expenses!A$3:A$1002=DATE(2026,10,26)),ROW(Expenses!A$3:A$1002)-2),5)),"")&lt;&gt;"",IFERROR(INDEX(Expenses!B$3:B$1002,SMALL(IF((Expenses!E$3:E$1002="GBP")*(Expenses!A$3:A$1002=DATE(2026,10,26)),ROW(Expenses!A$3:A$1002)-2),5)),""),IF(IFERROR(INDEX(Income!B$3:B$502,SMALL(IF((Income!D$3:D$502="GBP")*(Income!A$3:A$502=DATE(2026,10,26)),ROW(Income!A$3:A$502)-2),5)),"")&lt;&gt;"",IFERROR(INDEX(Income!B$3:B$502,SMALL(IF((Income!D$3:D$502="GBP")*(Income!A$3:A$502=DATE(2026,10,26)),ROW(Income!A$3:A$502)-2),5)),""),""))</f>
        <v/>
      </c>
      <c r="E223" s="62" t="str">
        <f aca="false">IF(IFERROR(-INDEX(Expenses!D$3:D$1002,SMALL(IF((Expenses!E$3:E$1002="GBP")*(Expenses!A$3:A$1002=DATE(2026,10,27)),ROW(Expenses!A$3:A$1002)-2),5)),0)+IFERROR(INDEX(Income!C$3:C$502,SMALL(IF((Income!D$3:D$502="GBP")*(Income!A$3:A$502=DATE(2026,10,27)),ROW(Income!A$3:A$502)-2),5)),0)=0,"",IFERROR(-INDEX(Expenses!D$3:D$1002,SMALL(IF((Expenses!E$3:E$1002="GBP")*(Expenses!A$3:A$1002=DATE(2026,10,27)),ROW(Expenses!A$3:A$1002)-2),5)),0)+IFERROR(INDEX(Income!C$3:C$502,SMALL(IF((Income!D$3:D$502="GBP")*(Income!A$3:A$502=DATE(2026,10,27)),ROW(Income!A$3:A$502)-2),5)),0))</f>
        <v/>
      </c>
      <c r="F223" s="38" t="str">
        <f aca="false">IF(IFERROR(INDEX(Expenses!B$3:B$1002,SMALL(IF((Expenses!E$3:E$1002="GBP")*(Expenses!A$3:A$1002=DATE(2026,10,27)),ROW(Expenses!A$3:A$1002)-2),5)),"")&lt;&gt;"",IFERROR(INDEX(Expenses!B$3:B$1002,SMALL(IF((Expenses!E$3:E$1002="GBP")*(Expenses!A$3:A$1002=DATE(2026,10,27)),ROW(Expenses!A$3:A$1002)-2),5)),""),IF(IFERROR(INDEX(Income!B$3:B$502,SMALL(IF((Income!D$3:D$502="GBP")*(Income!A$3:A$502=DATE(2026,10,27)),ROW(Income!A$3:A$502)-2),5)),"")&lt;&gt;"",IFERROR(INDEX(Income!B$3:B$502,SMALL(IF((Income!D$3:D$502="GBP")*(Income!A$3:A$502=DATE(2026,10,27)),ROW(Income!A$3:A$502)-2),5)),""),""))</f>
        <v/>
      </c>
      <c r="G223" s="62" t="str">
        <f aca="false">IF(IFERROR(-INDEX(Expenses!D$3:D$1002,SMALL(IF((Expenses!E$3:E$1002="GBP")*(Expenses!A$3:A$1002=DATE(2026,10,28)),ROW(Expenses!A$3:A$1002)-2),5)),0)+IFERROR(INDEX(Income!C$3:C$502,SMALL(IF((Income!D$3:D$502="GBP")*(Income!A$3:A$502=DATE(2026,10,28)),ROW(Income!A$3:A$502)-2),5)),0)=0,"",IFERROR(-INDEX(Expenses!D$3:D$1002,SMALL(IF((Expenses!E$3:E$1002="GBP")*(Expenses!A$3:A$1002=DATE(2026,10,28)),ROW(Expenses!A$3:A$1002)-2),5)),0)+IFERROR(INDEX(Income!C$3:C$502,SMALL(IF((Income!D$3:D$502="GBP")*(Income!A$3:A$502=DATE(2026,10,28)),ROW(Income!A$3:A$502)-2),5)),0))</f>
        <v/>
      </c>
      <c r="H223" s="38" t="str">
        <f aca="false">IF(IFERROR(INDEX(Expenses!B$3:B$1002,SMALL(IF((Expenses!E$3:E$1002="GBP")*(Expenses!A$3:A$1002=DATE(2026,10,28)),ROW(Expenses!A$3:A$1002)-2),5)),"")&lt;&gt;"",IFERROR(INDEX(Expenses!B$3:B$1002,SMALL(IF((Expenses!E$3:E$1002="GBP")*(Expenses!A$3:A$1002=DATE(2026,10,28)),ROW(Expenses!A$3:A$1002)-2),5)),""),IF(IFERROR(INDEX(Income!B$3:B$502,SMALL(IF((Income!D$3:D$502="GBP")*(Income!A$3:A$502=DATE(2026,10,28)),ROW(Income!A$3:A$502)-2),5)),"")&lt;&gt;"",IFERROR(INDEX(Income!B$3:B$502,SMALL(IF((Income!D$3:D$502="GBP")*(Income!A$3:A$502=DATE(2026,10,28)),ROW(Income!A$3:A$502)-2),5)),""),""))</f>
        <v/>
      </c>
      <c r="I223" s="62" t="str">
        <f aca="false">IF(IFERROR(-INDEX(Expenses!D$3:D$1002,SMALL(IF((Expenses!E$3:E$1002="GBP")*(Expenses!A$3:A$1002=DATE(2026,10,29)),ROW(Expenses!A$3:A$1002)-2),5)),0)+IFERROR(INDEX(Income!C$3:C$502,SMALL(IF((Income!D$3:D$502="GBP")*(Income!A$3:A$502=DATE(2026,10,29)),ROW(Income!A$3:A$502)-2),5)),0)=0,"",IFERROR(-INDEX(Expenses!D$3:D$1002,SMALL(IF((Expenses!E$3:E$1002="GBP")*(Expenses!A$3:A$1002=DATE(2026,10,29)),ROW(Expenses!A$3:A$1002)-2),5)),0)+IFERROR(INDEX(Income!C$3:C$502,SMALL(IF((Income!D$3:D$502="GBP")*(Income!A$3:A$502=DATE(2026,10,29)),ROW(Income!A$3:A$502)-2),5)),0))</f>
        <v/>
      </c>
      <c r="J223" s="38" t="str">
        <f aca="false">IF(IFERROR(INDEX(Expenses!B$3:B$1002,SMALL(IF((Expenses!E$3:E$1002="GBP")*(Expenses!A$3:A$1002=DATE(2026,10,29)),ROW(Expenses!A$3:A$1002)-2),5)),"")&lt;&gt;"",IFERROR(INDEX(Expenses!B$3:B$1002,SMALL(IF((Expenses!E$3:E$1002="GBP")*(Expenses!A$3:A$1002=DATE(2026,10,29)),ROW(Expenses!A$3:A$1002)-2),5)),""),IF(IFERROR(INDEX(Income!B$3:B$502,SMALL(IF((Income!D$3:D$502="GBP")*(Income!A$3:A$502=DATE(2026,10,29)),ROW(Income!A$3:A$502)-2),5)),"")&lt;&gt;"",IFERROR(INDEX(Income!B$3:B$502,SMALL(IF((Income!D$3:D$502="GBP")*(Income!A$3:A$502=DATE(2026,10,29)),ROW(Income!A$3:A$502)-2),5)),""),""))</f>
        <v/>
      </c>
      <c r="K223" s="62" t="str">
        <f aca="false">IF(IFERROR(-INDEX(Expenses!D$3:D$1002,SMALL(IF((Expenses!E$3:E$1002="GBP")*(Expenses!A$3:A$1002=DATE(2026,10,30)),ROW(Expenses!A$3:A$1002)-2),5)),0)+IFERROR(INDEX(Income!C$3:C$502,SMALL(IF((Income!D$3:D$502="GBP")*(Income!A$3:A$502=DATE(2026,10,30)),ROW(Income!A$3:A$502)-2),5)),0)=0,"",IFERROR(-INDEX(Expenses!D$3:D$1002,SMALL(IF((Expenses!E$3:E$1002="GBP")*(Expenses!A$3:A$1002=DATE(2026,10,30)),ROW(Expenses!A$3:A$1002)-2),5)),0)+IFERROR(INDEX(Income!C$3:C$502,SMALL(IF((Income!D$3:D$502="GBP")*(Income!A$3:A$502=DATE(2026,10,30)),ROW(Income!A$3:A$502)-2),5)),0))</f>
        <v/>
      </c>
      <c r="L223" s="38" t="str">
        <f aca="false">IF(IFERROR(INDEX(Expenses!B$3:B$1002,SMALL(IF((Expenses!E$3:E$1002="GBP")*(Expenses!A$3:A$1002=DATE(2026,10,30)),ROW(Expenses!A$3:A$1002)-2),5)),"")&lt;&gt;"",IFERROR(INDEX(Expenses!B$3:B$1002,SMALL(IF((Expenses!E$3:E$1002="GBP")*(Expenses!A$3:A$1002=DATE(2026,10,30)),ROW(Expenses!A$3:A$1002)-2),5)),""),IF(IFERROR(INDEX(Income!B$3:B$502,SMALL(IF((Income!D$3:D$502="GBP")*(Income!A$3:A$502=DATE(2026,10,30)),ROW(Income!A$3:A$502)-2),5)),"")&lt;&gt;"",IFERROR(INDEX(Income!B$3:B$502,SMALL(IF((Income!D$3:D$502="GBP")*(Income!A$3:A$502=DATE(2026,10,30)),ROW(Income!A$3:A$502)-2),5)),""),""))</f>
        <v/>
      </c>
      <c r="M223" s="62" t="str">
        <f aca="false">IF(IFERROR(-INDEX(Expenses!D$3:D$1002,SMALL(IF((Expenses!E$3:E$1002="GBP")*(Expenses!A$3:A$1002=DATE(2026,10,31)),ROW(Expenses!A$3:A$1002)-2),5)),0)+IFERROR(INDEX(Income!C$3:C$502,SMALL(IF((Income!D$3:D$502="GBP")*(Income!A$3:A$502=DATE(2026,10,31)),ROW(Income!A$3:A$502)-2),5)),0)=0,"",IFERROR(-INDEX(Expenses!D$3:D$1002,SMALL(IF((Expenses!E$3:E$1002="GBP")*(Expenses!A$3:A$1002=DATE(2026,10,31)),ROW(Expenses!A$3:A$1002)-2),5)),0)+IFERROR(INDEX(Income!C$3:C$502,SMALL(IF((Income!D$3:D$502="GBP")*(Income!A$3:A$502=DATE(2026,10,31)),ROW(Income!A$3:A$502)-2),5)),0))</f>
        <v/>
      </c>
      <c r="N223" s="38" t="str">
        <f aca="false">IF(IFERROR(INDEX(Expenses!B$3:B$1002,SMALL(IF((Expenses!E$3:E$1002="GBP")*(Expenses!A$3:A$1002=DATE(2026,10,31)),ROW(Expenses!A$3:A$1002)-2),5)),"")&lt;&gt;"",IFERROR(INDEX(Expenses!B$3:B$1002,SMALL(IF((Expenses!E$3:E$1002="GBP")*(Expenses!A$3:A$1002=DATE(2026,10,31)),ROW(Expenses!A$3:A$1002)-2),5)),""),IF(IFERROR(INDEX(Income!B$3:B$502,SMALL(IF((Income!D$3:D$502="GBP")*(Income!A$3:A$502=DATE(2026,10,31)),ROW(Income!A$3:A$502)-2),5)),"")&lt;&gt;"",IFERROR(INDEX(Income!B$3:B$502,SMALL(IF((Income!D$3:D$502="GBP")*(Income!A$3:A$502=DATE(2026,10,31)),ROW(Income!A$3:A$502)-2),5)),""),""))</f>
        <v/>
      </c>
      <c r="O223" s="62" t="str">
        <f aca="false">IF(IFERROR(-INDEX(Expenses!D$3:D$1002,SMALL(IF((Expenses!E$3:E$1002="GBP")*(Expenses!A$3:A$1002=DATE(2026,11,1)),ROW(Expenses!A$3:A$1002)-2),5)),0)+IFERROR(INDEX(Income!C$3:C$502,SMALL(IF((Income!D$3:D$502="GBP")*(Income!A$3:A$502=DATE(2026,11,1)),ROW(Income!A$3:A$502)-2),5)),0)=0,"",IFERROR(-INDEX(Expenses!D$3:D$1002,SMALL(IF((Expenses!E$3:E$1002="GBP")*(Expenses!A$3:A$1002=DATE(2026,11,1)),ROW(Expenses!A$3:A$1002)-2),5)),0)+IFERROR(INDEX(Income!C$3:C$502,SMALL(IF((Income!D$3:D$502="GBP")*(Income!A$3:A$502=DATE(2026,11,1)),ROW(Income!A$3:A$502)-2),5)),0))</f>
        <v/>
      </c>
      <c r="P223" s="38" t="str">
        <f aca="false">IF(IFERROR(INDEX(Expenses!B$3:B$1002,SMALL(IF((Expenses!E$3:E$1002="GBP")*(Expenses!A$3:A$1002=DATE(2026,11,1)),ROW(Expenses!A$3:A$1002)-2),5)),"")&lt;&gt;"",IFERROR(INDEX(Expenses!B$3:B$1002,SMALL(IF((Expenses!E$3:E$1002="GBP")*(Expenses!A$3:A$1002=DATE(2026,11,1)),ROW(Expenses!A$3:A$1002)-2),5)),""),IF(IFERROR(INDEX(Income!B$3:B$502,SMALL(IF((Income!D$3:D$502="GBP")*(Income!A$3:A$502=DATE(2026,11,1)),ROW(Income!A$3:A$502)-2),5)),"")&lt;&gt;"",IFERROR(INDEX(Income!B$3:B$502,SMALL(IF((Income!D$3:D$502="GBP")*(Income!A$3:A$502=DATE(2026,11,1)),ROW(Income!A$3:A$502)-2),5)),""),""))</f>
        <v/>
      </c>
      <c r="Q223" s="16"/>
      <c r="R223" s="16"/>
    </row>
    <row r="224" customFormat="false" ht="15" hidden="false" customHeight="false" outlineLevel="0" collapsed="false">
      <c r="A224" s="61" t="n">
        <v>46328</v>
      </c>
      <c r="B224" s="3" t="n">
        <v>45</v>
      </c>
      <c r="C224" s="62" t="str">
        <f aca="false">IF(IFERROR(-INDEX(Expenses!D$3:D$1002,SMALL(IF((Expenses!E$3:E$1002="GBP")*(Expenses!A$3:A$1002=DATE(2026,11,2)),ROW(Expenses!A$3:A$1002)-2),1)),0)+IFERROR(INDEX(Income!C$3:C$502,SMALL(IF((Income!D$3:D$502="GBP")*(Income!A$3:A$502=DATE(2026,11,2)),ROW(Income!A$3:A$502)-2),1)),0)=0,"",IFERROR(-INDEX(Expenses!D$3:D$1002,SMALL(IF((Expenses!E$3:E$1002="GBP")*(Expenses!A$3:A$1002=DATE(2026,11,2)),ROW(Expenses!A$3:A$1002)-2),1)),0)+IFERROR(INDEX(Income!C$3:C$502,SMALL(IF((Income!D$3:D$502="GBP")*(Income!A$3:A$502=DATE(2026,11,2)),ROW(Income!A$3:A$502)-2),1)),0))</f>
        <v/>
      </c>
      <c r="D224" s="38" t="str">
        <f aca="false">IF(IFERROR(INDEX(Expenses!B$3:B$1002,SMALL(IF((Expenses!E$3:E$1002="GBP")*(Expenses!A$3:A$1002=DATE(2026,11,2)),ROW(Expenses!A$3:A$1002)-2),1)),"")&lt;&gt;"",IFERROR(INDEX(Expenses!B$3:B$1002,SMALL(IF((Expenses!E$3:E$1002="GBP")*(Expenses!A$3:A$1002=DATE(2026,11,2)),ROW(Expenses!A$3:A$1002)-2),1)),""),IF(IFERROR(INDEX(Income!B$3:B$502,SMALL(IF((Income!D$3:D$502="GBP")*(Income!A$3:A$502=DATE(2026,11,2)),ROW(Income!A$3:A$502)-2),1)),"")&lt;&gt;"",IFERROR(INDEX(Income!B$3:B$502,SMALL(IF((Income!D$3:D$502="GBP")*(Income!A$3:A$502=DATE(2026,11,2)),ROW(Income!A$3:A$502)-2),1)),""),""))</f>
        <v/>
      </c>
      <c r="E224" s="62" t="str">
        <f aca="false">IF(IFERROR(-INDEX(Expenses!D$3:D$1002,SMALL(IF((Expenses!E$3:E$1002="GBP")*(Expenses!A$3:A$1002=DATE(2026,11,3)),ROW(Expenses!A$3:A$1002)-2),1)),0)+IFERROR(INDEX(Income!C$3:C$502,SMALL(IF((Income!D$3:D$502="GBP")*(Income!A$3:A$502=DATE(2026,11,3)),ROW(Income!A$3:A$502)-2),1)),0)=0,"",IFERROR(-INDEX(Expenses!D$3:D$1002,SMALL(IF((Expenses!E$3:E$1002="GBP")*(Expenses!A$3:A$1002=DATE(2026,11,3)),ROW(Expenses!A$3:A$1002)-2),1)),0)+IFERROR(INDEX(Income!C$3:C$502,SMALL(IF((Income!D$3:D$502="GBP")*(Income!A$3:A$502=DATE(2026,11,3)),ROW(Income!A$3:A$502)-2),1)),0))</f>
        <v/>
      </c>
      <c r="F224" s="38" t="str">
        <f aca="false">IF(IFERROR(INDEX(Expenses!B$3:B$1002,SMALL(IF((Expenses!E$3:E$1002="GBP")*(Expenses!A$3:A$1002=DATE(2026,11,3)),ROW(Expenses!A$3:A$1002)-2),1)),"")&lt;&gt;"",IFERROR(INDEX(Expenses!B$3:B$1002,SMALL(IF((Expenses!E$3:E$1002="GBP")*(Expenses!A$3:A$1002=DATE(2026,11,3)),ROW(Expenses!A$3:A$1002)-2),1)),""),IF(IFERROR(INDEX(Income!B$3:B$502,SMALL(IF((Income!D$3:D$502="GBP")*(Income!A$3:A$502=DATE(2026,11,3)),ROW(Income!A$3:A$502)-2),1)),"")&lt;&gt;"",IFERROR(INDEX(Income!B$3:B$502,SMALL(IF((Income!D$3:D$502="GBP")*(Income!A$3:A$502=DATE(2026,11,3)),ROW(Income!A$3:A$502)-2),1)),""),""))</f>
        <v/>
      </c>
      <c r="G224" s="62" t="str">
        <f aca="false">IF(IFERROR(-INDEX(Expenses!D$3:D$1002,SMALL(IF((Expenses!E$3:E$1002="GBP")*(Expenses!A$3:A$1002=DATE(2026,11,4)),ROW(Expenses!A$3:A$1002)-2),1)),0)+IFERROR(INDEX(Income!C$3:C$502,SMALL(IF((Income!D$3:D$502="GBP")*(Income!A$3:A$502=DATE(2026,11,4)),ROW(Income!A$3:A$502)-2),1)),0)=0,"",IFERROR(-INDEX(Expenses!D$3:D$1002,SMALL(IF((Expenses!E$3:E$1002="GBP")*(Expenses!A$3:A$1002=DATE(2026,11,4)),ROW(Expenses!A$3:A$1002)-2),1)),0)+IFERROR(INDEX(Income!C$3:C$502,SMALL(IF((Income!D$3:D$502="GBP")*(Income!A$3:A$502=DATE(2026,11,4)),ROW(Income!A$3:A$502)-2),1)),0))</f>
        <v/>
      </c>
      <c r="H224" s="38" t="str">
        <f aca="false">IF(IFERROR(INDEX(Expenses!B$3:B$1002,SMALL(IF((Expenses!E$3:E$1002="GBP")*(Expenses!A$3:A$1002=DATE(2026,11,4)),ROW(Expenses!A$3:A$1002)-2),1)),"")&lt;&gt;"",IFERROR(INDEX(Expenses!B$3:B$1002,SMALL(IF((Expenses!E$3:E$1002="GBP")*(Expenses!A$3:A$1002=DATE(2026,11,4)),ROW(Expenses!A$3:A$1002)-2),1)),""),IF(IFERROR(INDEX(Income!B$3:B$502,SMALL(IF((Income!D$3:D$502="GBP")*(Income!A$3:A$502=DATE(2026,11,4)),ROW(Income!A$3:A$502)-2),1)),"")&lt;&gt;"",IFERROR(INDEX(Income!B$3:B$502,SMALL(IF((Income!D$3:D$502="GBP")*(Income!A$3:A$502=DATE(2026,11,4)),ROW(Income!A$3:A$502)-2),1)),""),""))</f>
        <v/>
      </c>
      <c r="I224" s="62" t="str">
        <f aca="false">IF(IFERROR(-INDEX(Expenses!D$3:D$1002,SMALL(IF((Expenses!E$3:E$1002="GBP")*(Expenses!A$3:A$1002=DATE(2026,11,5)),ROW(Expenses!A$3:A$1002)-2),1)),0)+IFERROR(INDEX(Income!C$3:C$502,SMALL(IF((Income!D$3:D$502="GBP")*(Income!A$3:A$502=DATE(2026,11,5)),ROW(Income!A$3:A$502)-2),1)),0)=0,"",IFERROR(-INDEX(Expenses!D$3:D$1002,SMALL(IF((Expenses!E$3:E$1002="GBP")*(Expenses!A$3:A$1002=DATE(2026,11,5)),ROW(Expenses!A$3:A$1002)-2),1)),0)+IFERROR(INDEX(Income!C$3:C$502,SMALL(IF((Income!D$3:D$502="GBP")*(Income!A$3:A$502=DATE(2026,11,5)),ROW(Income!A$3:A$502)-2),1)),0))</f>
        <v/>
      </c>
      <c r="J224" s="38" t="str">
        <f aca="false">IF(IFERROR(INDEX(Expenses!B$3:B$1002,SMALL(IF((Expenses!E$3:E$1002="GBP")*(Expenses!A$3:A$1002=DATE(2026,11,5)),ROW(Expenses!A$3:A$1002)-2),1)),"")&lt;&gt;"",IFERROR(INDEX(Expenses!B$3:B$1002,SMALL(IF((Expenses!E$3:E$1002="GBP")*(Expenses!A$3:A$1002=DATE(2026,11,5)),ROW(Expenses!A$3:A$1002)-2),1)),""),IF(IFERROR(INDEX(Income!B$3:B$502,SMALL(IF((Income!D$3:D$502="GBP")*(Income!A$3:A$502=DATE(2026,11,5)),ROW(Income!A$3:A$502)-2),1)),"")&lt;&gt;"",IFERROR(INDEX(Income!B$3:B$502,SMALL(IF((Income!D$3:D$502="GBP")*(Income!A$3:A$502=DATE(2026,11,5)),ROW(Income!A$3:A$502)-2),1)),""),""))</f>
        <v/>
      </c>
      <c r="K224" s="62" t="str">
        <f aca="false">IF(IFERROR(-INDEX(Expenses!D$3:D$1002,SMALL(IF((Expenses!E$3:E$1002="GBP")*(Expenses!A$3:A$1002=DATE(2026,11,6)),ROW(Expenses!A$3:A$1002)-2),1)),0)+IFERROR(INDEX(Income!C$3:C$502,SMALL(IF((Income!D$3:D$502="GBP")*(Income!A$3:A$502=DATE(2026,11,6)),ROW(Income!A$3:A$502)-2),1)),0)=0,"",IFERROR(-INDEX(Expenses!D$3:D$1002,SMALL(IF((Expenses!E$3:E$1002="GBP")*(Expenses!A$3:A$1002=DATE(2026,11,6)),ROW(Expenses!A$3:A$1002)-2),1)),0)+IFERROR(INDEX(Income!C$3:C$502,SMALL(IF((Income!D$3:D$502="GBP")*(Income!A$3:A$502=DATE(2026,11,6)),ROW(Income!A$3:A$502)-2),1)),0))</f>
        <v/>
      </c>
      <c r="L224" s="38" t="str">
        <f aca="false">IF(IFERROR(INDEX(Expenses!B$3:B$1002,SMALL(IF((Expenses!E$3:E$1002="GBP")*(Expenses!A$3:A$1002=DATE(2026,11,6)),ROW(Expenses!A$3:A$1002)-2),1)),"")&lt;&gt;"",IFERROR(INDEX(Expenses!B$3:B$1002,SMALL(IF((Expenses!E$3:E$1002="GBP")*(Expenses!A$3:A$1002=DATE(2026,11,6)),ROW(Expenses!A$3:A$1002)-2),1)),""),IF(IFERROR(INDEX(Income!B$3:B$502,SMALL(IF((Income!D$3:D$502="GBP")*(Income!A$3:A$502=DATE(2026,11,6)),ROW(Income!A$3:A$502)-2),1)),"")&lt;&gt;"",IFERROR(INDEX(Income!B$3:B$502,SMALL(IF((Income!D$3:D$502="GBP")*(Income!A$3:A$502=DATE(2026,11,6)),ROW(Income!A$3:A$502)-2),1)),""),""))</f>
        <v/>
      </c>
      <c r="M224" s="62" t="str">
        <f aca="false">IF(IFERROR(-INDEX(Expenses!D$3:D$1002,SMALL(IF((Expenses!E$3:E$1002="GBP")*(Expenses!A$3:A$1002=DATE(2026,11,7)),ROW(Expenses!A$3:A$1002)-2),1)),0)+IFERROR(INDEX(Income!C$3:C$502,SMALL(IF((Income!D$3:D$502="GBP")*(Income!A$3:A$502=DATE(2026,11,7)),ROW(Income!A$3:A$502)-2),1)),0)=0,"",IFERROR(-INDEX(Expenses!D$3:D$1002,SMALL(IF((Expenses!E$3:E$1002="GBP")*(Expenses!A$3:A$1002=DATE(2026,11,7)),ROW(Expenses!A$3:A$1002)-2),1)),0)+IFERROR(INDEX(Income!C$3:C$502,SMALL(IF((Income!D$3:D$502="GBP")*(Income!A$3:A$502=DATE(2026,11,7)),ROW(Income!A$3:A$502)-2),1)),0))</f>
        <v/>
      </c>
      <c r="N224" s="38" t="str">
        <f aca="false">IF(IFERROR(INDEX(Expenses!B$3:B$1002,SMALL(IF((Expenses!E$3:E$1002="GBP")*(Expenses!A$3:A$1002=DATE(2026,11,7)),ROW(Expenses!A$3:A$1002)-2),1)),"")&lt;&gt;"",IFERROR(INDEX(Expenses!B$3:B$1002,SMALL(IF((Expenses!E$3:E$1002="GBP")*(Expenses!A$3:A$1002=DATE(2026,11,7)),ROW(Expenses!A$3:A$1002)-2),1)),""),IF(IFERROR(INDEX(Income!B$3:B$502,SMALL(IF((Income!D$3:D$502="GBP")*(Income!A$3:A$502=DATE(2026,11,7)),ROW(Income!A$3:A$502)-2),1)),"")&lt;&gt;"",IFERROR(INDEX(Income!B$3:B$502,SMALL(IF((Income!D$3:D$502="GBP")*(Income!A$3:A$502=DATE(2026,11,7)),ROW(Income!A$3:A$502)-2),1)),""),""))</f>
        <v/>
      </c>
      <c r="O224" s="62" t="str">
        <f aca="false">IF(IFERROR(-INDEX(Expenses!D$3:D$1002,SMALL(IF((Expenses!E$3:E$1002="GBP")*(Expenses!A$3:A$1002=DATE(2026,11,8)),ROW(Expenses!A$3:A$1002)-2),1)),0)+IFERROR(INDEX(Income!C$3:C$502,SMALL(IF((Income!D$3:D$502="GBP")*(Income!A$3:A$502=DATE(2026,11,8)),ROW(Income!A$3:A$502)-2),1)),0)=0,"",IFERROR(-INDEX(Expenses!D$3:D$1002,SMALL(IF((Expenses!E$3:E$1002="GBP")*(Expenses!A$3:A$1002=DATE(2026,11,8)),ROW(Expenses!A$3:A$1002)-2),1)),0)+IFERROR(INDEX(Income!C$3:C$502,SMALL(IF((Income!D$3:D$502="GBP")*(Income!A$3:A$502=DATE(2026,11,8)),ROW(Income!A$3:A$502)-2),1)),0))</f>
        <v/>
      </c>
      <c r="P224" s="38" t="str">
        <f aca="false">IF(IFERROR(INDEX(Expenses!B$3:B$1002,SMALL(IF((Expenses!E$3:E$1002="GBP")*(Expenses!A$3:A$1002=DATE(2026,11,8)),ROW(Expenses!A$3:A$1002)-2),1)),"")&lt;&gt;"",IFERROR(INDEX(Expenses!B$3:B$1002,SMALL(IF((Expenses!E$3:E$1002="GBP")*(Expenses!A$3:A$1002=DATE(2026,11,8)),ROW(Expenses!A$3:A$1002)-2),1)),""),IF(IFERROR(INDEX(Income!B$3:B$502,SMALL(IF((Income!D$3:D$502="GBP")*(Income!A$3:A$502=DATE(2026,11,8)),ROW(Income!A$3:A$502)-2),1)),"")&lt;&gt;"",IFERROR(INDEX(Income!B$3:B$502,SMALL(IF((Income!D$3:D$502="GBP")*(Income!A$3:A$502=DATE(2026,11,8)),ROW(Income!A$3:A$502)-2),1)),""),""))</f>
        <v/>
      </c>
      <c r="Q224" s="3" t="n">
        <v>45</v>
      </c>
      <c r="R224" s="45" t="n">
        <f aca="false">SUM(C224:C228)+SUM(E224:E228)+SUM(G224:G228)+SUM(I224:I228)+SUM(K224:K228)+SUM(M224:M228)+SUM(O224:O228)</f>
        <v>0</v>
      </c>
    </row>
    <row r="225" customFormat="false" ht="15" hidden="false" customHeight="false" outlineLevel="0" collapsed="false">
      <c r="A225" s="16"/>
      <c r="B225" s="16"/>
      <c r="C225" s="62" t="str">
        <f aca="false">IF(IFERROR(-INDEX(Expenses!D$3:D$1002,SMALL(IF((Expenses!E$3:E$1002="GBP")*(Expenses!A$3:A$1002=DATE(2026,11,2)),ROW(Expenses!A$3:A$1002)-2),2)),0)+IFERROR(INDEX(Income!C$3:C$502,SMALL(IF((Income!D$3:D$502="GBP")*(Income!A$3:A$502=DATE(2026,11,2)),ROW(Income!A$3:A$502)-2),2)),0)=0,"",IFERROR(-INDEX(Expenses!D$3:D$1002,SMALL(IF((Expenses!E$3:E$1002="GBP")*(Expenses!A$3:A$1002=DATE(2026,11,2)),ROW(Expenses!A$3:A$1002)-2),2)),0)+IFERROR(INDEX(Income!C$3:C$502,SMALL(IF((Income!D$3:D$502="GBP")*(Income!A$3:A$502=DATE(2026,11,2)),ROW(Income!A$3:A$502)-2),2)),0))</f>
        <v/>
      </c>
      <c r="D225" s="38" t="str">
        <f aca="false">IF(IFERROR(INDEX(Expenses!B$3:B$1002,SMALL(IF((Expenses!E$3:E$1002="GBP")*(Expenses!A$3:A$1002=DATE(2026,11,2)),ROW(Expenses!A$3:A$1002)-2),2)),"")&lt;&gt;"",IFERROR(INDEX(Expenses!B$3:B$1002,SMALL(IF((Expenses!E$3:E$1002="GBP")*(Expenses!A$3:A$1002=DATE(2026,11,2)),ROW(Expenses!A$3:A$1002)-2),2)),""),IF(IFERROR(INDEX(Income!B$3:B$502,SMALL(IF((Income!D$3:D$502="GBP")*(Income!A$3:A$502=DATE(2026,11,2)),ROW(Income!A$3:A$502)-2),2)),"")&lt;&gt;"",IFERROR(INDEX(Income!B$3:B$502,SMALL(IF((Income!D$3:D$502="GBP")*(Income!A$3:A$502=DATE(2026,11,2)),ROW(Income!A$3:A$502)-2),2)),""),""))</f>
        <v/>
      </c>
      <c r="E225" s="62" t="str">
        <f aca="false">IF(IFERROR(-INDEX(Expenses!D$3:D$1002,SMALL(IF((Expenses!E$3:E$1002="GBP")*(Expenses!A$3:A$1002=DATE(2026,11,3)),ROW(Expenses!A$3:A$1002)-2),2)),0)+IFERROR(INDEX(Income!C$3:C$502,SMALL(IF((Income!D$3:D$502="GBP")*(Income!A$3:A$502=DATE(2026,11,3)),ROW(Income!A$3:A$502)-2),2)),0)=0,"",IFERROR(-INDEX(Expenses!D$3:D$1002,SMALL(IF((Expenses!E$3:E$1002="GBP")*(Expenses!A$3:A$1002=DATE(2026,11,3)),ROW(Expenses!A$3:A$1002)-2),2)),0)+IFERROR(INDEX(Income!C$3:C$502,SMALL(IF((Income!D$3:D$502="GBP")*(Income!A$3:A$502=DATE(2026,11,3)),ROW(Income!A$3:A$502)-2),2)),0))</f>
        <v/>
      </c>
      <c r="F225" s="38" t="str">
        <f aca="false">IF(IFERROR(INDEX(Expenses!B$3:B$1002,SMALL(IF((Expenses!E$3:E$1002="GBP")*(Expenses!A$3:A$1002=DATE(2026,11,3)),ROW(Expenses!A$3:A$1002)-2),2)),"")&lt;&gt;"",IFERROR(INDEX(Expenses!B$3:B$1002,SMALL(IF((Expenses!E$3:E$1002="GBP")*(Expenses!A$3:A$1002=DATE(2026,11,3)),ROW(Expenses!A$3:A$1002)-2),2)),""),IF(IFERROR(INDEX(Income!B$3:B$502,SMALL(IF((Income!D$3:D$502="GBP")*(Income!A$3:A$502=DATE(2026,11,3)),ROW(Income!A$3:A$502)-2),2)),"")&lt;&gt;"",IFERROR(INDEX(Income!B$3:B$502,SMALL(IF((Income!D$3:D$502="GBP")*(Income!A$3:A$502=DATE(2026,11,3)),ROW(Income!A$3:A$502)-2),2)),""),""))</f>
        <v/>
      </c>
      <c r="G225" s="62" t="str">
        <f aca="false">IF(IFERROR(-INDEX(Expenses!D$3:D$1002,SMALL(IF((Expenses!E$3:E$1002="GBP")*(Expenses!A$3:A$1002=DATE(2026,11,4)),ROW(Expenses!A$3:A$1002)-2),2)),0)+IFERROR(INDEX(Income!C$3:C$502,SMALL(IF((Income!D$3:D$502="GBP")*(Income!A$3:A$502=DATE(2026,11,4)),ROW(Income!A$3:A$502)-2),2)),0)=0,"",IFERROR(-INDEX(Expenses!D$3:D$1002,SMALL(IF((Expenses!E$3:E$1002="GBP")*(Expenses!A$3:A$1002=DATE(2026,11,4)),ROW(Expenses!A$3:A$1002)-2),2)),0)+IFERROR(INDEX(Income!C$3:C$502,SMALL(IF((Income!D$3:D$502="GBP")*(Income!A$3:A$502=DATE(2026,11,4)),ROW(Income!A$3:A$502)-2),2)),0))</f>
        <v/>
      </c>
      <c r="H225" s="38" t="str">
        <f aca="false">IF(IFERROR(INDEX(Expenses!B$3:B$1002,SMALL(IF((Expenses!E$3:E$1002="GBP")*(Expenses!A$3:A$1002=DATE(2026,11,4)),ROW(Expenses!A$3:A$1002)-2),2)),"")&lt;&gt;"",IFERROR(INDEX(Expenses!B$3:B$1002,SMALL(IF((Expenses!E$3:E$1002="GBP")*(Expenses!A$3:A$1002=DATE(2026,11,4)),ROW(Expenses!A$3:A$1002)-2),2)),""),IF(IFERROR(INDEX(Income!B$3:B$502,SMALL(IF((Income!D$3:D$502="GBP")*(Income!A$3:A$502=DATE(2026,11,4)),ROW(Income!A$3:A$502)-2),2)),"")&lt;&gt;"",IFERROR(INDEX(Income!B$3:B$502,SMALL(IF((Income!D$3:D$502="GBP")*(Income!A$3:A$502=DATE(2026,11,4)),ROW(Income!A$3:A$502)-2),2)),""),""))</f>
        <v/>
      </c>
      <c r="I225" s="62" t="str">
        <f aca="false">IF(IFERROR(-INDEX(Expenses!D$3:D$1002,SMALL(IF((Expenses!E$3:E$1002="GBP")*(Expenses!A$3:A$1002=DATE(2026,11,5)),ROW(Expenses!A$3:A$1002)-2),2)),0)+IFERROR(INDEX(Income!C$3:C$502,SMALL(IF((Income!D$3:D$502="GBP")*(Income!A$3:A$502=DATE(2026,11,5)),ROW(Income!A$3:A$502)-2),2)),0)=0,"",IFERROR(-INDEX(Expenses!D$3:D$1002,SMALL(IF((Expenses!E$3:E$1002="GBP")*(Expenses!A$3:A$1002=DATE(2026,11,5)),ROW(Expenses!A$3:A$1002)-2),2)),0)+IFERROR(INDEX(Income!C$3:C$502,SMALL(IF((Income!D$3:D$502="GBP")*(Income!A$3:A$502=DATE(2026,11,5)),ROW(Income!A$3:A$502)-2),2)),0))</f>
        <v/>
      </c>
      <c r="J225" s="38" t="str">
        <f aca="false">IF(IFERROR(INDEX(Expenses!B$3:B$1002,SMALL(IF((Expenses!E$3:E$1002="GBP")*(Expenses!A$3:A$1002=DATE(2026,11,5)),ROW(Expenses!A$3:A$1002)-2),2)),"")&lt;&gt;"",IFERROR(INDEX(Expenses!B$3:B$1002,SMALL(IF((Expenses!E$3:E$1002="GBP")*(Expenses!A$3:A$1002=DATE(2026,11,5)),ROW(Expenses!A$3:A$1002)-2),2)),""),IF(IFERROR(INDEX(Income!B$3:B$502,SMALL(IF((Income!D$3:D$502="GBP")*(Income!A$3:A$502=DATE(2026,11,5)),ROW(Income!A$3:A$502)-2),2)),"")&lt;&gt;"",IFERROR(INDEX(Income!B$3:B$502,SMALL(IF((Income!D$3:D$502="GBP")*(Income!A$3:A$502=DATE(2026,11,5)),ROW(Income!A$3:A$502)-2),2)),""),""))</f>
        <v/>
      </c>
      <c r="K225" s="62" t="str">
        <f aca="false">IF(IFERROR(-INDEX(Expenses!D$3:D$1002,SMALL(IF((Expenses!E$3:E$1002="GBP")*(Expenses!A$3:A$1002=DATE(2026,11,6)),ROW(Expenses!A$3:A$1002)-2),2)),0)+IFERROR(INDEX(Income!C$3:C$502,SMALL(IF((Income!D$3:D$502="GBP")*(Income!A$3:A$502=DATE(2026,11,6)),ROW(Income!A$3:A$502)-2),2)),0)=0,"",IFERROR(-INDEX(Expenses!D$3:D$1002,SMALL(IF((Expenses!E$3:E$1002="GBP")*(Expenses!A$3:A$1002=DATE(2026,11,6)),ROW(Expenses!A$3:A$1002)-2),2)),0)+IFERROR(INDEX(Income!C$3:C$502,SMALL(IF((Income!D$3:D$502="GBP")*(Income!A$3:A$502=DATE(2026,11,6)),ROW(Income!A$3:A$502)-2),2)),0))</f>
        <v/>
      </c>
      <c r="L225" s="38" t="str">
        <f aca="false">IF(IFERROR(INDEX(Expenses!B$3:B$1002,SMALL(IF((Expenses!E$3:E$1002="GBP")*(Expenses!A$3:A$1002=DATE(2026,11,6)),ROW(Expenses!A$3:A$1002)-2),2)),"")&lt;&gt;"",IFERROR(INDEX(Expenses!B$3:B$1002,SMALL(IF((Expenses!E$3:E$1002="GBP")*(Expenses!A$3:A$1002=DATE(2026,11,6)),ROW(Expenses!A$3:A$1002)-2),2)),""),IF(IFERROR(INDEX(Income!B$3:B$502,SMALL(IF((Income!D$3:D$502="GBP")*(Income!A$3:A$502=DATE(2026,11,6)),ROW(Income!A$3:A$502)-2),2)),"")&lt;&gt;"",IFERROR(INDEX(Income!B$3:B$502,SMALL(IF((Income!D$3:D$502="GBP")*(Income!A$3:A$502=DATE(2026,11,6)),ROW(Income!A$3:A$502)-2),2)),""),""))</f>
        <v/>
      </c>
      <c r="M225" s="62" t="str">
        <f aca="false">IF(IFERROR(-INDEX(Expenses!D$3:D$1002,SMALL(IF((Expenses!E$3:E$1002="GBP")*(Expenses!A$3:A$1002=DATE(2026,11,7)),ROW(Expenses!A$3:A$1002)-2),2)),0)+IFERROR(INDEX(Income!C$3:C$502,SMALL(IF((Income!D$3:D$502="GBP")*(Income!A$3:A$502=DATE(2026,11,7)),ROW(Income!A$3:A$502)-2),2)),0)=0,"",IFERROR(-INDEX(Expenses!D$3:D$1002,SMALL(IF((Expenses!E$3:E$1002="GBP")*(Expenses!A$3:A$1002=DATE(2026,11,7)),ROW(Expenses!A$3:A$1002)-2),2)),0)+IFERROR(INDEX(Income!C$3:C$502,SMALL(IF((Income!D$3:D$502="GBP")*(Income!A$3:A$502=DATE(2026,11,7)),ROW(Income!A$3:A$502)-2),2)),0))</f>
        <v/>
      </c>
      <c r="N225" s="38" t="str">
        <f aca="false">IF(IFERROR(INDEX(Expenses!B$3:B$1002,SMALL(IF((Expenses!E$3:E$1002="GBP")*(Expenses!A$3:A$1002=DATE(2026,11,7)),ROW(Expenses!A$3:A$1002)-2),2)),"")&lt;&gt;"",IFERROR(INDEX(Expenses!B$3:B$1002,SMALL(IF((Expenses!E$3:E$1002="GBP")*(Expenses!A$3:A$1002=DATE(2026,11,7)),ROW(Expenses!A$3:A$1002)-2),2)),""),IF(IFERROR(INDEX(Income!B$3:B$502,SMALL(IF((Income!D$3:D$502="GBP")*(Income!A$3:A$502=DATE(2026,11,7)),ROW(Income!A$3:A$502)-2),2)),"")&lt;&gt;"",IFERROR(INDEX(Income!B$3:B$502,SMALL(IF((Income!D$3:D$502="GBP")*(Income!A$3:A$502=DATE(2026,11,7)),ROW(Income!A$3:A$502)-2),2)),""),""))</f>
        <v/>
      </c>
      <c r="O225" s="62" t="str">
        <f aca="false">IF(IFERROR(-INDEX(Expenses!D$3:D$1002,SMALL(IF((Expenses!E$3:E$1002="GBP")*(Expenses!A$3:A$1002=DATE(2026,11,8)),ROW(Expenses!A$3:A$1002)-2),2)),0)+IFERROR(INDEX(Income!C$3:C$502,SMALL(IF((Income!D$3:D$502="GBP")*(Income!A$3:A$502=DATE(2026,11,8)),ROW(Income!A$3:A$502)-2),2)),0)=0,"",IFERROR(-INDEX(Expenses!D$3:D$1002,SMALL(IF((Expenses!E$3:E$1002="GBP")*(Expenses!A$3:A$1002=DATE(2026,11,8)),ROW(Expenses!A$3:A$1002)-2),2)),0)+IFERROR(INDEX(Income!C$3:C$502,SMALL(IF((Income!D$3:D$502="GBP")*(Income!A$3:A$502=DATE(2026,11,8)),ROW(Income!A$3:A$502)-2),2)),0))</f>
        <v/>
      </c>
      <c r="P225" s="38" t="str">
        <f aca="false">IF(IFERROR(INDEX(Expenses!B$3:B$1002,SMALL(IF((Expenses!E$3:E$1002="GBP")*(Expenses!A$3:A$1002=DATE(2026,11,8)),ROW(Expenses!A$3:A$1002)-2),2)),"")&lt;&gt;"",IFERROR(INDEX(Expenses!B$3:B$1002,SMALL(IF((Expenses!E$3:E$1002="GBP")*(Expenses!A$3:A$1002=DATE(2026,11,8)),ROW(Expenses!A$3:A$1002)-2),2)),""),IF(IFERROR(INDEX(Income!B$3:B$502,SMALL(IF((Income!D$3:D$502="GBP")*(Income!A$3:A$502=DATE(2026,11,8)),ROW(Income!A$3:A$502)-2),2)),"")&lt;&gt;"",IFERROR(INDEX(Income!B$3:B$502,SMALL(IF((Income!D$3:D$502="GBP")*(Income!A$3:A$502=DATE(2026,11,8)),ROW(Income!A$3:A$502)-2),2)),""),""))</f>
        <v/>
      </c>
      <c r="Q225" s="16"/>
      <c r="R225" s="16"/>
    </row>
    <row r="226" customFormat="false" ht="15" hidden="false" customHeight="false" outlineLevel="0" collapsed="false">
      <c r="A226" s="16"/>
      <c r="B226" s="16"/>
      <c r="C226" s="62" t="str">
        <f aca="false">IF(IFERROR(-INDEX(Expenses!D$3:D$1002,SMALL(IF((Expenses!E$3:E$1002="GBP")*(Expenses!A$3:A$1002=DATE(2026,11,2)),ROW(Expenses!A$3:A$1002)-2),3)),0)+IFERROR(INDEX(Income!C$3:C$502,SMALL(IF((Income!D$3:D$502="GBP")*(Income!A$3:A$502=DATE(2026,11,2)),ROW(Income!A$3:A$502)-2),3)),0)=0,"",IFERROR(-INDEX(Expenses!D$3:D$1002,SMALL(IF((Expenses!E$3:E$1002="GBP")*(Expenses!A$3:A$1002=DATE(2026,11,2)),ROW(Expenses!A$3:A$1002)-2),3)),0)+IFERROR(INDEX(Income!C$3:C$502,SMALL(IF((Income!D$3:D$502="GBP")*(Income!A$3:A$502=DATE(2026,11,2)),ROW(Income!A$3:A$502)-2),3)),0))</f>
        <v/>
      </c>
      <c r="D226" s="38" t="str">
        <f aca="false">IF(IFERROR(INDEX(Expenses!B$3:B$1002,SMALL(IF((Expenses!E$3:E$1002="GBP")*(Expenses!A$3:A$1002=DATE(2026,11,2)),ROW(Expenses!A$3:A$1002)-2),3)),"")&lt;&gt;"",IFERROR(INDEX(Expenses!B$3:B$1002,SMALL(IF((Expenses!E$3:E$1002="GBP")*(Expenses!A$3:A$1002=DATE(2026,11,2)),ROW(Expenses!A$3:A$1002)-2),3)),""),IF(IFERROR(INDEX(Income!B$3:B$502,SMALL(IF((Income!D$3:D$502="GBP")*(Income!A$3:A$502=DATE(2026,11,2)),ROW(Income!A$3:A$502)-2),3)),"")&lt;&gt;"",IFERROR(INDEX(Income!B$3:B$502,SMALL(IF((Income!D$3:D$502="GBP")*(Income!A$3:A$502=DATE(2026,11,2)),ROW(Income!A$3:A$502)-2),3)),""),""))</f>
        <v/>
      </c>
      <c r="E226" s="62" t="str">
        <f aca="false">IF(IFERROR(-INDEX(Expenses!D$3:D$1002,SMALL(IF((Expenses!E$3:E$1002="GBP")*(Expenses!A$3:A$1002=DATE(2026,11,3)),ROW(Expenses!A$3:A$1002)-2),3)),0)+IFERROR(INDEX(Income!C$3:C$502,SMALL(IF((Income!D$3:D$502="GBP")*(Income!A$3:A$502=DATE(2026,11,3)),ROW(Income!A$3:A$502)-2),3)),0)=0,"",IFERROR(-INDEX(Expenses!D$3:D$1002,SMALL(IF((Expenses!E$3:E$1002="GBP")*(Expenses!A$3:A$1002=DATE(2026,11,3)),ROW(Expenses!A$3:A$1002)-2),3)),0)+IFERROR(INDEX(Income!C$3:C$502,SMALL(IF((Income!D$3:D$502="GBP")*(Income!A$3:A$502=DATE(2026,11,3)),ROW(Income!A$3:A$502)-2),3)),0))</f>
        <v/>
      </c>
      <c r="F226" s="38" t="str">
        <f aca="false">IF(IFERROR(INDEX(Expenses!B$3:B$1002,SMALL(IF((Expenses!E$3:E$1002="GBP")*(Expenses!A$3:A$1002=DATE(2026,11,3)),ROW(Expenses!A$3:A$1002)-2),3)),"")&lt;&gt;"",IFERROR(INDEX(Expenses!B$3:B$1002,SMALL(IF((Expenses!E$3:E$1002="GBP")*(Expenses!A$3:A$1002=DATE(2026,11,3)),ROW(Expenses!A$3:A$1002)-2),3)),""),IF(IFERROR(INDEX(Income!B$3:B$502,SMALL(IF((Income!D$3:D$502="GBP")*(Income!A$3:A$502=DATE(2026,11,3)),ROW(Income!A$3:A$502)-2),3)),"")&lt;&gt;"",IFERROR(INDEX(Income!B$3:B$502,SMALL(IF((Income!D$3:D$502="GBP")*(Income!A$3:A$502=DATE(2026,11,3)),ROW(Income!A$3:A$502)-2),3)),""),""))</f>
        <v/>
      </c>
      <c r="G226" s="62" t="str">
        <f aca="false">IF(IFERROR(-INDEX(Expenses!D$3:D$1002,SMALL(IF((Expenses!E$3:E$1002="GBP")*(Expenses!A$3:A$1002=DATE(2026,11,4)),ROW(Expenses!A$3:A$1002)-2),3)),0)+IFERROR(INDEX(Income!C$3:C$502,SMALL(IF((Income!D$3:D$502="GBP")*(Income!A$3:A$502=DATE(2026,11,4)),ROW(Income!A$3:A$502)-2),3)),0)=0,"",IFERROR(-INDEX(Expenses!D$3:D$1002,SMALL(IF((Expenses!E$3:E$1002="GBP")*(Expenses!A$3:A$1002=DATE(2026,11,4)),ROW(Expenses!A$3:A$1002)-2),3)),0)+IFERROR(INDEX(Income!C$3:C$502,SMALL(IF((Income!D$3:D$502="GBP")*(Income!A$3:A$502=DATE(2026,11,4)),ROW(Income!A$3:A$502)-2),3)),0))</f>
        <v/>
      </c>
      <c r="H226" s="38" t="str">
        <f aca="false">IF(IFERROR(INDEX(Expenses!B$3:B$1002,SMALL(IF((Expenses!E$3:E$1002="GBP")*(Expenses!A$3:A$1002=DATE(2026,11,4)),ROW(Expenses!A$3:A$1002)-2),3)),"")&lt;&gt;"",IFERROR(INDEX(Expenses!B$3:B$1002,SMALL(IF((Expenses!E$3:E$1002="GBP")*(Expenses!A$3:A$1002=DATE(2026,11,4)),ROW(Expenses!A$3:A$1002)-2),3)),""),IF(IFERROR(INDEX(Income!B$3:B$502,SMALL(IF((Income!D$3:D$502="GBP")*(Income!A$3:A$502=DATE(2026,11,4)),ROW(Income!A$3:A$502)-2),3)),"")&lt;&gt;"",IFERROR(INDEX(Income!B$3:B$502,SMALL(IF((Income!D$3:D$502="GBP")*(Income!A$3:A$502=DATE(2026,11,4)),ROW(Income!A$3:A$502)-2),3)),""),""))</f>
        <v/>
      </c>
      <c r="I226" s="62" t="str">
        <f aca="false">IF(IFERROR(-INDEX(Expenses!D$3:D$1002,SMALL(IF((Expenses!E$3:E$1002="GBP")*(Expenses!A$3:A$1002=DATE(2026,11,5)),ROW(Expenses!A$3:A$1002)-2),3)),0)+IFERROR(INDEX(Income!C$3:C$502,SMALL(IF((Income!D$3:D$502="GBP")*(Income!A$3:A$502=DATE(2026,11,5)),ROW(Income!A$3:A$502)-2),3)),0)=0,"",IFERROR(-INDEX(Expenses!D$3:D$1002,SMALL(IF((Expenses!E$3:E$1002="GBP")*(Expenses!A$3:A$1002=DATE(2026,11,5)),ROW(Expenses!A$3:A$1002)-2),3)),0)+IFERROR(INDEX(Income!C$3:C$502,SMALL(IF((Income!D$3:D$502="GBP")*(Income!A$3:A$502=DATE(2026,11,5)),ROW(Income!A$3:A$502)-2),3)),0))</f>
        <v/>
      </c>
      <c r="J226" s="38" t="str">
        <f aca="false">IF(IFERROR(INDEX(Expenses!B$3:B$1002,SMALL(IF((Expenses!E$3:E$1002="GBP")*(Expenses!A$3:A$1002=DATE(2026,11,5)),ROW(Expenses!A$3:A$1002)-2),3)),"")&lt;&gt;"",IFERROR(INDEX(Expenses!B$3:B$1002,SMALL(IF((Expenses!E$3:E$1002="GBP")*(Expenses!A$3:A$1002=DATE(2026,11,5)),ROW(Expenses!A$3:A$1002)-2),3)),""),IF(IFERROR(INDEX(Income!B$3:B$502,SMALL(IF((Income!D$3:D$502="GBP")*(Income!A$3:A$502=DATE(2026,11,5)),ROW(Income!A$3:A$502)-2),3)),"")&lt;&gt;"",IFERROR(INDEX(Income!B$3:B$502,SMALL(IF((Income!D$3:D$502="GBP")*(Income!A$3:A$502=DATE(2026,11,5)),ROW(Income!A$3:A$502)-2),3)),""),""))</f>
        <v/>
      </c>
      <c r="K226" s="62" t="str">
        <f aca="false">IF(IFERROR(-INDEX(Expenses!D$3:D$1002,SMALL(IF((Expenses!E$3:E$1002="GBP")*(Expenses!A$3:A$1002=DATE(2026,11,6)),ROW(Expenses!A$3:A$1002)-2),3)),0)+IFERROR(INDEX(Income!C$3:C$502,SMALL(IF((Income!D$3:D$502="GBP")*(Income!A$3:A$502=DATE(2026,11,6)),ROW(Income!A$3:A$502)-2),3)),0)=0,"",IFERROR(-INDEX(Expenses!D$3:D$1002,SMALL(IF((Expenses!E$3:E$1002="GBP")*(Expenses!A$3:A$1002=DATE(2026,11,6)),ROW(Expenses!A$3:A$1002)-2),3)),0)+IFERROR(INDEX(Income!C$3:C$502,SMALL(IF((Income!D$3:D$502="GBP")*(Income!A$3:A$502=DATE(2026,11,6)),ROW(Income!A$3:A$502)-2),3)),0))</f>
        <v/>
      </c>
      <c r="L226" s="38" t="str">
        <f aca="false">IF(IFERROR(INDEX(Expenses!B$3:B$1002,SMALL(IF((Expenses!E$3:E$1002="GBP")*(Expenses!A$3:A$1002=DATE(2026,11,6)),ROW(Expenses!A$3:A$1002)-2),3)),"")&lt;&gt;"",IFERROR(INDEX(Expenses!B$3:B$1002,SMALL(IF((Expenses!E$3:E$1002="GBP")*(Expenses!A$3:A$1002=DATE(2026,11,6)),ROW(Expenses!A$3:A$1002)-2),3)),""),IF(IFERROR(INDEX(Income!B$3:B$502,SMALL(IF((Income!D$3:D$502="GBP")*(Income!A$3:A$502=DATE(2026,11,6)),ROW(Income!A$3:A$502)-2),3)),"")&lt;&gt;"",IFERROR(INDEX(Income!B$3:B$502,SMALL(IF((Income!D$3:D$502="GBP")*(Income!A$3:A$502=DATE(2026,11,6)),ROW(Income!A$3:A$502)-2),3)),""),""))</f>
        <v/>
      </c>
      <c r="M226" s="62" t="str">
        <f aca="false">IF(IFERROR(-INDEX(Expenses!D$3:D$1002,SMALL(IF((Expenses!E$3:E$1002="GBP")*(Expenses!A$3:A$1002=DATE(2026,11,7)),ROW(Expenses!A$3:A$1002)-2),3)),0)+IFERROR(INDEX(Income!C$3:C$502,SMALL(IF((Income!D$3:D$502="GBP")*(Income!A$3:A$502=DATE(2026,11,7)),ROW(Income!A$3:A$502)-2),3)),0)=0,"",IFERROR(-INDEX(Expenses!D$3:D$1002,SMALL(IF((Expenses!E$3:E$1002="GBP")*(Expenses!A$3:A$1002=DATE(2026,11,7)),ROW(Expenses!A$3:A$1002)-2),3)),0)+IFERROR(INDEX(Income!C$3:C$502,SMALL(IF((Income!D$3:D$502="GBP")*(Income!A$3:A$502=DATE(2026,11,7)),ROW(Income!A$3:A$502)-2),3)),0))</f>
        <v/>
      </c>
      <c r="N226" s="38" t="str">
        <f aca="false">IF(IFERROR(INDEX(Expenses!B$3:B$1002,SMALL(IF((Expenses!E$3:E$1002="GBP")*(Expenses!A$3:A$1002=DATE(2026,11,7)),ROW(Expenses!A$3:A$1002)-2),3)),"")&lt;&gt;"",IFERROR(INDEX(Expenses!B$3:B$1002,SMALL(IF((Expenses!E$3:E$1002="GBP")*(Expenses!A$3:A$1002=DATE(2026,11,7)),ROW(Expenses!A$3:A$1002)-2),3)),""),IF(IFERROR(INDEX(Income!B$3:B$502,SMALL(IF((Income!D$3:D$502="GBP")*(Income!A$3:A$502=DATE(2026,11,7)),ROW(Income!A$3:A$502)-2),3)),"")&lt;&gt;"",IFERROR(INDEX(Income!B$3:B$502,SMALL(IF((Income!D$3:D$502="GBP")*(Income!A$3:A$502=DATE(2026,11,7)),ROW(Income!A$3:A$502)-2),3)),""),""))</f>
        <v/>
      </c>
      <c r="O226" s="62" t="str">
        <f aca="false">IF(IFERROR(-INDEX(Expenses!D$3:D$1002,SMALL(IF((Expenses!E$3:E$1002="GBP")*(Expenses!A$3:A$1002=DATE(2026,11,8)),ROW(Expenses!A$3:A$1002)-2),3)),0)+IFERROR(INDEX(Income!C$3:C$502,SMALL(IF((Income!D$3:D$502="GBP")*(Income!A$3:A$502=DATE(2026,11,8)),ROW(Income!A$3:A$502)-2),3)),0)=0,"",IFERROR(-INDEX(Expenses!D$3:D$1002,SMALL(IF((Expenses!E$3:E$1002="GBP")*(Expenses!A$3:A$1002=DATE(2026,11,8)),ROW(Expenses!A$3:A$1002)-2),3)),0)+IFERROR(INDEX(Income!C$3:C$502,SMALL(IF((Income!D$3:D$502="GBP")*(Income!A$3:A$502=DATE(2026,11,8)),ROW(Income!A$3:A$502)-2),3)),0))</f>
        <v/>
      </c>
      <c r="P226" s="38" t="str">
        <f aca="false">IF(IFERROR(INDEX(Expenses!B$3:B$1002,SMALL(IF((Expenses!E$3:E$1002="GBP")*(Expenses!A$3:A$1002=DATE(2026,11,8)),ROW(Expenses!A$3:A$1002)-2),3)),"")&lt;&gt;"",IFERROR(INDEX(Expenses!B$3:B$1002,SMALL(IF((Expenses!E$3:E$1002="GBP")*(Expenses!A$3:A$1002=DATE(2026,11,8)),ROW(Expenses!A$3:A$1002)-2),3)),""),IF(IFERROR(INDEX(Income!B$3:B$502,SMALL(IF((Income!D$3:D$502="GBP")*(Income!A$3:A$502=DATE(2026,11,8)),ROW(Income!A$3:A$502)-2),3)),"")&lt;&gt;"",IFERROR(INDEX(Income!B$3:B$502,SMALL(IF((Income!D$3:D$502="GBP")*(Income!A$3:A$502=DATE(2026,11,8)),ROW(Income!A$3:A$502)-2),3)),""),""))</f>
        <v/>
      </c>
      <c r="Q226" s="16"/>
      <c r="R226" s="16"/>
    </row>
    <row r="227" customFormat="false" ht="15" hidden="false" customHeight="false" outlineLevel="0" collapsed="false">
      <c r="A227" s="16"/>
      <c r="B227" s="16"/>
      <c r="C227" s="62" t="str">
        <f aca="false">IF(IFERROR(-INDEX(Expenses!D$3:D$1002,SMALL(IF((Expenses!E$3:E$1002="GBP")*(Expenses!A$3:A$1002=DATE(2026,11,2)),ROW(Expenses!A$3:A$1002)-2),4)),0)+IFERROR(INDEX(Income!C$3:C$502,SMALL(IF((Income!D$3:D$502="GBP")*(Income!A$3:A$502=DATE(2026,11,2)),ROW(Income!A$3:A$502)-2),4)),0)=0,"",IFERROR(-INDEX(Expenses!D$3:D$1002,SMALL(IF((Expenses!E$3:E$1002="GBP")*(Expenses!A$3:A$1002=DATE(2026,11,2)),ROW(Expenses!A$3:A$1002)-2),4)),0)+IFERROR(INDEX(Income!C$3:C$502,SMALL(IF((Income!D$3:D$502="GBP")*(Income!A$3:A$502=DATE(2026,11,2)),ROW(Income!A$3:A$502)-2),4)),0))</f>
        <v/>
      </c>
      <c r="D227" s="38" t="str">
        <f aca="false">IF(IFERROR(INDEX(Expenses!B$3:B$1002,SMALL(IF((Expenses!E$3:E$1002="GBP")*(Expenses!A$3:A$1002=DATE(2026,11,2)),ROW(Expenses!A$3:A$1002)-2),4)),"")&lt;&gt;"",IFERROR(INDEX(Expenses!B$3:B$1002,SMALL(IF((Expenses!E$3:E$1002="GBP")*(Expenses!A$3:A$1002=DATE(2026,11,2)),ROW(Expenses!A$3:A$1002)-2),4)),""),IF(IFERROR(INDEX(Income!B$3:B$502,SMALL(IF((Income!D$3:D$502="GBP")*(Income!A$3:A$502=DATE(2026,11,2)),ROW(Income!A$3:A$502)-2),4)),"")&lt;&gt;"",IFERROR(INDEX(Income!B$3:B$502,SMALL(IF((Income!D$3:D$502="GBP")*(Income!A$3:A$502=DATE(2026,11,2)),ROW(Income!A$3:A$502)-2),4)),""),""))</f>
        <v/>
      </c>
      <c r="E227" s="62" t="str">
        <f aca="false">IF(IFERROR(-INDEX(Expenses!D$3:D$1002,SMALL(IF((Expenses!E$3:E$1002="GBP")*(Expenses!A$3:A$1002=DATE(2026,11,3)),ROW(Expenses!A$3:A$1002)-2),4)),0)+IFERROR(INDEX(Income!C$3:C$502,SMALL(IF((Income!D$3:D$502="GBP")*(Income!A$3:A$502=DATE(2026,11,3)),ROW(Income!A$3:A$502)-2),4)),0)=0,"",IFERROR(-INDEX(Expenses!D$3:D$1002,SMALL(IF((Expenses!E$3:E$1002="GBP")*(Expenses!A$3:A$1002=DATE(2026,11,3)),ROW(Expenses!A$3:A$1002)-2),4)),0)+IFERROR(INDEX(Income!C$3:C$502,SMALL(IF((Income!D$3:D$502="GBP")*(Income!A$3:A$502=DATE(2026,11,3)),ROW(Income!A$3:A$502)-2),4)),0))</f>
        <v/>
      </c>
      <c r="F227" s="38" t="str">
        <f aca="false">IF(IFERROR(INDEX(Expenses!B$3:B$1002,SMALL(IF((Expenses!E$3:E$1002="GBP")*(Expenses!A$3:A$1002=DATE(2026,11,3)),ROW(Expenses!A$3:A$1002)-2),4)),"")&lt;&gt;"",IFERROR(INDEX(Expenses!B$3:B$1002,SMALL(IF((Expenses!E$3:E$1002="GBP")*(Expenses!A$3:A$1002=DATE(2026,11,3)),ROW(Expenses!A$3:A$1002)-2),4)),""),IF(IFERROR(INDEX(Income!B$3:B$502,SMALL(IF((Income!D$3:D$502="GBP")*(Income!A$3:A$502=DATE(2026,11,3)),ROW(Income!A$3:A$502)-2),4)),"")&lt;&gt;"",IFERROR(INDEX(Income!B$3:B$502,SMALL(IF((Income!D$3:D$502="GBP")*(Income!A$3:A$502=DATE(2026,11,3)),ROW(Income!A$3:A$502)-2),4)),""),""))</f>
        <v/>
      </c>
      <c r="G227" s="62" t="str">
        <f aca="false">IF(IFERROR(-INDEX(Expenses!D$3:D$1002,SMALL(IF((Expenses!E$3:E$1002="GBP")*(Expenses!A$3:A$1002=DATE(2026,11,4)),ROW(Expenses!A$3:A$1002)-2),4)),0)+IFERROR(INDEX(Income!C$3:C$502,SMALL(IF((Income!D$3:D$502="GBP")*(Income!A$3:A$502=DATE(2026,11,4)),ROW(Income!A$3:A$502)-2),4)),0)=0,"",IFERROR(-INDEX(Expenses!D$3:D$1002,SMALL(IF((Expenses!E$3:E$1002="GBP")*(Expenses!A$3:A$1002=DATE(2026,11,4)),ROW(Expenses!A$3:A$1002)-2),4)),0)+IFERROR(INDEX(Income!C$3:C$502,SMALL(IF((Income!D$3:D$502="GBP")*(Income!A$3:A$502=DATE(2026,11,4)),ROW(Income!A$3:A$502)-2),4)),0))</f>
        <v/>
      </c>
      <c r="H227" s="38" t="str">
        <f aca="false">IF(IFERROR(INDEX(Expenses!B$3:B$1002,SMALL(IF((Expenses!E$3:E$1002="GBP")*(Expenses!A$3:A$1002=DATE(2026,11,4)),ROW(Expenses!A$3:A$1002)-2),4)),"")&lt;&gt;"",IFERROR(INDEX(Expenses!B$3:B$1002,SMALL(IF((Expenses!E$3:E$1002="GBP")*(Expenses!A$3:A$1002=DATE(2026,11,4)),ROW(Expenses!A$3:A$1002)-2),4)),""),IF(IFERROR(INDEX(Income!B$3:B$502,SMALL(IF((Income!D$3:D$502="GBP")*(Income!A$3:A$502=DATE(2026,11,4)),ROW(Income!A$3:A$502)-2),4)),"")&lt;&gt;"",IFERROR(INDEX(Income!B$3:B$502,SMALL(IF((Income!D$3:D$502="GBP")*(Income!A$3:A$502=DATE(2026,11,4)),ROW(Income!A$3:A$502)-2),4)),""),""))</f>
        <v/>
      </c>
      <c r="I227" s="62" t="str">
        <f aca="false">IF(IFERROR(-INDEX(Expenses!D$3:D$1002,SMALL(IF((Expenses!E$3:E$1002="GBP")*(Expenses!A$3:A$1002=DATE(2026,11,5)),ROW(Expenses!A$3:A$1002)-2),4)),0)+IFERROR(INDEX(Income!C$3:C$502,SMALL(IF((Income!D$3:D$502="GBP")*(Income!A$3:A$502=DATE(2026,11,5)),ROW(Income!A$3:A$502)-2),4)),0)=0,"",IFERROR(-INDEX(Expenses!D$3:D$1002,SMALL(IF((Expenses!E$3:E$1002="GBP")*(Expenses!A$3:A$1002=DATE(2026,11,5)),ROW(Expenses!A$3:A$1002)-2),4)),0)+IFERROR(INDEX(Income!C$3:C$502,SMALL(IF((Income!D$3:D$502="GBP")*(Income!A$3:A$502=DATE(2026,11,5)),ROW(Income!A$3:A$502)-2),4)),0))</f>
        <v/>
      </c>
      <c r="J227" s="38" t="str">
        <f aca="false">IF(IFERROR(INDEX(Expenses!B$3:B$1002,SMALL(IF((Expenses!E$3:E$1002="GBP")*(Expenses!A$3:A$1002=DATE(2026,11,5)),ROW(Expenses!A$3:A$1002)-2),4)),"")&lt;&gt;"",IFERROR(INDEX(Expenses!B$3:B$1002,SMALL(IF((Expenses!E$3:E$1002="GBP")*(Expenses!A$3:A$1002=DATE(2026,11,5)),ROW(Expenses!A$3:A$1002)-2),4)),""),IF(IFERROR(INDEX(Income!B$3:B$502,SMALL(IF((Income!D$3:D$502="GBP")*(Income!A$3:A$502=DATE(2026,11,5)),ROW(Income!A$3:A$502)-2),4)),"")&lt;&gt;"",IFERROR(INDEX(Income!B$3:B$502,SMALL(IF((Income!D$3:D$502="GBP")*(Income!A$3:A$502=DATE(2026,11,5)),ROW(Income!A$3:A$502)-2),4)),""),""))</f>
        <v/>
      </c>
      <c r="K227" s="62" t="str">
        <f aca="false">IF(IFERROR(-INDEX(Expenses!D$3:D$1002,SMALL(IF((Expenses!E$3:E$1002="GBP")*(Expenses!A$3:A$1002=DATE(2026,11,6)),ROW(Expenses!A$3:A$1002)-2),4)),0)+IFERROR(INDEX(Income!C$3:C$502,SMALL(IF((Income!D$3:D$502="GBP")*(Income!A$3:A$502=DATE(2026,11,6)),ROW(Income!A$3:A$502)-2),4)),0)=0,"",IFERROR(-INDEX(Expenses!D$3:D$1002,SMALL(IF((Expenses!E$3:E$1002="GBP")*(Expenses!A$3:A$1002=DATE(2026,11,6)),ROW(Expenses!A$3:A$1002)-2),4)),0)+IFERROR(INDEX(Income!C$3:C$502,SMALL(IF((Income!D$3:D$502="GBP")*(Income!A$3:A$502=DATE(2026,11,6)),ROW(Income!A$3:A$502)-2),4)),0))</f>
        <v/>
      </c>
      <c r="L227" s="38" t="str">
        <f aca="false">IF(IFERROR(INDEX(Expenses!B$3:B$1002,SMALL(IF((Expenses!E$3:E$1002="GBP")*(Expenses!A$3:A$1002=DATE(2026,11,6)),ROW(Expenses!A$3:A$1002)-2),4)),"")&lt;&gt;"",IFERROR(INDEX(Expenses!B$3:B$1002,SMALL(IF((Expenses!E$3:E$1002="GBP")*(Expenses!A$3:A$1002=DATE(2026,11,6)),ROW(Expenses!A$3:A$1002)-2),4)),""),IF(IFERROR(INDEX(Income!B$3:B$502,SMALL(IF((Income!D$3:D$502="GBP")*(Income!A$3:A$502=DATE(2026,11,6)),ROW(Income!A$3:A$502)-2),4)),"")&lt;&gt;"",IFERROR(INDEX(Income!B$3:B$502,SMALL(IF((Income!D$3:D$502="GBP")*(Income!A$3:A$502=DATE(2026,11,6)),ROW(Income!A$3:A$502)-2),4)),""),""))</f>
        <v/>
      </c>
      <c r="M227" s="62" t="str">
        <f aca="false">IF(IFERROR(-INDEX(Expenses!D$3:D$1002,SMALL(IF((Expenses!E$3:E$1002="GBP")*(Expenses!A$3:A$1002=DATE(2026,11,7)),ROW(Expenses!A$3:A$1002)-2),4)),0)+IFERROR(INDEX(Income!C$3:C$502,SMALL(IF((Income!D$3:D$502="GBP")*(Income!A$3:A$502=DATE(2026,11,7)),ROW(Income!A$3:A$502)-2),4)),0)=0,"",IFERROR(-INDEX(Expenses!D$3:D$1002,SMALL(IF((Expenses!E$3:E$1002="GBP")*(Expenses!A$3:A$1002=DATE(2026,11,7)),ROW(Expenses!A$3:A$1002)-2),4)),0)+IFERROR(INDEX(Income!C$3:C$502,SMALL(IF((Income!D$3:D$502="GBP")*(Income!A$3:A$502=DATE(2026,11,7)),ROW(Income!A$3:A$502)-2),4)),0))</f>
        <v/>
      </c>
      <c r="N227" s="38" t="str">
        <f aca="false">IF(IFERROR(INDEX(Expenses!B$3:B$1002,SMALL(IF((Expenses!E$3:E$1002="GBP")*(Expenses!A$3:A$1002=DATE(2026,11,7)),ROW(Expenses!A$3:A$1002)-2),4)),"")&lt;&gt;"",IFERROR(INDEX(Expenses!B$3:B$1002,SMALL(IF((Expenses!E$3:E$1002="GBP")*(Expenses!A$3:A$1002=DATE(2026,11,7)),ROW(Expenses!A$3:A$1002)-2),4)),""),IF(IFERROR(INDEX(Income!B$3:B$502,SMALL(IF((Income!D$3:D$502="GBP")*(Income!A$3:A$502=DATE(2026,11,7)),ROW(Income!A$3:A$502)-2),4)),"")&lt;&gt;"",IFERROR(INDEX(Income!B$3:B$502,SMALL(IF((Income!D$3:D$502="GBP")*(Income!A$3:A$502=DATE(2026,11,7)),ROW(Income!A$3:A$502)-2),4)),""),""))</f>
        <v/>
      </c>
      <c r="O227" s="62" t="str">
        <f aca="false">IF(IFERROR(-INDEX(Expenses!D$3:D$1002,SMALL(IF((Expenses!E$3:E$1002="GBP")*(Expenses!A$3:A$1002=DATE(2026,11,8)),ROW(Expenses!A$3:A$1002)-2),4)),0)+IFERROR(INDEX(Income!C$3:C$502,SMALL(IF((Income!D$3:D$502="GBP")*(Income!A$3:A$502=DATE(2026,11,8)),ROW(Income!A$3:A$502)-2),4)),0)=0,"",IFERROR(-INDEX(Expenses!D$3:D$1002,SMALL(IF((Expenses!E$3:E$1002="GBP")*(Expenses!A$3:A$1002=DATE(2026,11,8)),ROW(Expenses!A$3:A$1002)-2),4)),0)+IFERROR(INDEX(Income!C$3:C$502,SMALL(IF((Income!D$3:D$502="GBP")*(Income!A$3:A$502=DATE(2026,11,8)),ROW(Income!A$3:A$502)-2),4)),0))</f>
        <v/>
      </c>
      <c r="P227" s="38" t="str">
        <f aca="false">IF(IFERROR(INDEX(Expenses!B$3:B$1002,SMALL(IF((Expenses!E$3:E$1002="GBP")*(Expenses!A$3:A$1002=DATE(2026,11,8)),ROW(Expenses!A$3:A$1002)-2),4)),"")&lt;&gt;"",IFERROR(INDEX(Expenses!B$3:B$1002,SMALL(IF((Expenses!E$3:E$1002="GBP")*(Expenses!A$3:A$1002=DATE(2026,11,8)),ROW(Expenses!A$3:A$1002)-2),4)),""),IF(IFERROR(INDEX(Income!B$3:B$502,SMALL(IF((Income!D$3:D$502="GBP")*(Income!A$3:A$502=DATE(2026,11,8)),ROW(Income!A$3:A$502)-2),4)),"")&lt;&gt;"",IFERROR(INDEX(Income!B$3:B$502,SMALL(IF((Income!D$3:D$502="GBP")*(Income!A$3:A$502=DATE(2026,11,8)),ROW(Income!A$3:A$502)-2),4)),""),""))</f>
        <v/>
      </c>
      <c r="Q227" s="16"/>
      <c r="R227" s="16"/>
    </row>
    <row r="228" customFormat="false" ht="15" hidden="false" customHeight="false" outlineLevel="0" collapsed="false">
      <c r="A228" s="16"/>
      <c r="B228" s="16"/>
      <c r="C228" s="62" t="str">
        <f aca="false">IF(IFERROR(-INDEX(Expenses!D$3:D$1002,SMALL(IF((Expenses!E$3:E$1002="GBP")*(Expenses!A$3:A$1002=DATE(2026,11,2)),ROW(Expenses!A$3:A$1002)-2),5)),0)+IFERROR(INDEX(Income!C$3:C$502,SMALL(IF((Income!D$3:D$502="GBP")*(Income!A$3:A$502=DATE(2026,11,2)),ROW(Income!A$3:A$502)-2),5)),0)=0,"",IFERROR(-INDEX(Expenses!D$3:D$1002,SMALL(IF((Expenses!E$3:E$1002="GBP")*(Expenses!A$3:A$1002=DATE(2026,11,2)),ROW(Expenses!A$3:A$1002)-2),5)),0)+IFERROR(INDEX(Income!C$3:C$502,SMALL(IF((Income!D$3:D$502="GBP")*(Income!A$3:A$502=DATE(2026,11,2)),ROW(Income!A$3:A$502)-2),5)),0))</f>
        <v/>
      </c>
      <c r="D228" s="38" t="str">
        <f aca="false">IF(IFERROR(INDEX(Expenses!B$3:B$1002,SMALL(IF((Expenses!E$3:E$1002="GBP")*(Expenses!A$3:A$1002=DATE(2026,11,2)),ROW(Expenses!A$3:A$1002)-2),5)),"")&lt;&gt;"",IFERROR(INDEX(Expenses!B$3:B$1002,SMALL(IF((Expenses!E$3:E$1002="GBP")*(Expenses!A$3:A$1002=DATE(2026,11,2)),ROW(Expenses!A$3:A$1002)-2),5)),""),IF(IFERROR(INDEX(Income!B$3:B$502,SMALL(IF((Income!D$3:D$502="GBP")*(Income!A$3:A$502=DATE(2026,11,2)),ROW(Income!A$3:A$502)-2),5)),"")&lt;&gt;"",IFERROR(INDEX(Income!B$3:B$502,SMALL(IF((Income!D$3:D$502="GBP")*(Income!A$3:A$502=DATE(2026,11,2)),ROW(Income!A$3:A$502)-2),5)),""),""))</f>
        <v/>
      </c>
      <c r="E228" s="62" t="str">
        <f aca="false">IF(IFERROR(-INDEX(Expenses!D$3:D$1002,SMALL(IF((Expenses!E$3:E$1002="GBP")*(Expenses!A$3:A$1002=DATE(2026,11,3)),ROW(Expenses!A$3:A$1002)-2),5)),0)+IFERROR(INDEX(Income!C$3:C$502,SMALL(IF((Income!D$3:D$502="GBP")*(Income!A$3:A$502=DATE(2026,11,3)),ROW(Income!A$3:A$502)-2),5)),0)=0,"",IFERROR(-INDEX(Expenses!D$3:D$1002,SMALL(IF((Expenses!E$3:E$1002="GBP")*(Expenses!A$3:A$1002=DATE(2026,11,3)),ROW(Expenses!A$3:A$1002)-2),5)),0)+IFERROR(INDEX(Income!C$3:C$502,SMALL(IF((Income!D$3:D$502="GBP")*(Income!A$3:A$502=DATE(2026,11,3)),ROW(Income!A$3:A$502)-2),5)),0))</f>
        <v/>
      </c>
      <c r="F228" s="38" t="str">
        <f aca="false">IF(IFERROR(INDEX(Expenses!B$3:B$1002,SMALL(IF((Expenses!E$3:E$1002="GBP")*(Expenses!A$3:A$1002=DATE(2026,11,3)),ROW(Expenses!A$3:A$1002)-2),5)),"")&lt;&gt;"",IFERROR(INDEX(Expenses!B$3:B$1002,SMALL(IF((Expenses!E$3:E$1002="GBP")*(Expenses!A$3:A$1002=DATE(2026,11,3)),ROW(Expenses!A$3:A$1002)-2),5)),""),IF(IFERROR(INDEX(Income!B$3:B$502,SMALL(IF((Income!D$3:D$502="GBP")*(Income!A$3:A$502=DATE(2026,11,3)),ROW(Income!A$3:A$502)-2),5)),"")&lt;&gt;"",IFERROR(INDEX(Income!B$3:B$502,SMALL(IF((Income!D$3:D$502="GBP")*(Income!A$3:A$502=DATE(2026,11,3)),ROW(Income!A$3:A$502)-2),5)),""),""))</f>
        <v/>
      </c>
      <c r="G228" s="62" t="str">
        <f aca="false">IF(IFERROR(-INDEX(Expenses!D$3:D$1002,SMALL(IF((Expenses!E$3:E$1002="GBP")*(Expenses!A$3:A$1002=DATE(2026,11,4)),ROW(Expenses!A$3:A$1002)-2),5)),0)+IFERROR(INDEX(Income!C$3:C$502,SMALL(IF((Income!D$3:D$502="GBP")*(Income!A$3:A$502=DATE(2026,11,4)),ROW(Income!A$3:A$502)-2),5)),0)=0,"",IFERROR(-INDEX(Expenses!D$3:D$1002,SMALL(IF((Expenses!E$3:E$1002="GBP")*(Expenses!A$3:A$1002=DATE(2026,11,4)),ROW(Expenses!A$3:A$1002)-2),5)),0)+IFERROR(INDEX(Income!C$3:C$502,SMALL(IF((Income!D$3:D$502="GBP")*(Income!A$3:A$502=DATE(2026,11,4)),ROW(Income!A$3:A$502)-2),5)),0))</f>
        <v/>
      </c>
      <c r="H228" s="38" t="str">
        <f aca="false">IF(IFERROR(INDEX(Expenses!B$3:B$1002,SMALL(IF((Expenses!E$3:E$1002="GBP")*(Expenses!A$3:A$1002=DATE(2026,11,4)),ROW(Expenses!A$3:A$1002)-2),5)),"")&lt;&gt;"",IFERROR(INDEX(Expenses!B$3:B$1002,SMALL(IF((Expenses!E$3:E$1002="GBP")*(Expenses!A$3:A$1002=DATE(2026,11,4)),ROW(Expenses!A$3:A$1002)-2),5)),""),IF(IFERROR(INDEX(Income!B$3:B$502,SMALL(IF((Income!D$3:D$502="GBP")*(Income!A$3:A$502=DATE(2026,11,4)),ROW(Income!A$3:A$502)-2),5)),"")&lt;&gt;"",IFERROR(INDEX(Income!B$3:B$502,SMALL(IF((Income!D$3:D$502="GBP")*(Income!A$3:A$502=DATE(2026,11,4)),ROW(Income!A$3:A$502)-2),5)),""),""))</f>
        <v/>
      </c>
      <c r="I228" s="62" t="str">
        <f aca="false">IF(IFERROR(-INDEX(Expenses!D$3:D$1002,SMALL(IF((Expenses!E$3:E$1002="GBP")*(Expenses!A$3:A$1002=DATE(2026,11,5)),ROW(Expenses!A$3:A$1002)-2),5)),0)+IFERROR(INDEX(Income!C$3:C$502,SMALL(IF((Income!D$3:D$502="GBP")*(Income!A$3:A$502=DATE(2026,11,5)),ROW(Income!A$3:A$502)-2),5)),0)=0,"",IFERROR(-INDEX(Expenses!D$3:D$1002,SMALL(IF((Expenses!E$3:E$1002="GBP")*(Expenses!A$3:A$1002=DATE(2026,11,5)),ROW(Expenses!A$3:A$1002)-2),5)),0)+IFERROR(INDEX(Income!C$3:C$502,SMALL(IF((Income!D$3:D$502="GBP")*(Income!A$3:A$502=DATE(2026,11,5)),ROW(Income!A$3:A$502)-2),5)),0))</f>
        <v/>
      </c>
      <c r="J228" s="38" t="str">
        <f aca="false">IF(IFERROR(INDEX(Expenses!B$3:B$1002,SMALL(IF((Expenses!E$3:E$1002="GBP")*(Expenses!A$3:A$1002=DATE(2026,11,5)),ROW(Expenses!A$3:A$1002)-2),5)),"")&lt;&gt;"",IFERROR(INDEX(Expenses!B$3:B$1002,SMALL(IF((Expenses!E$3:E$1002="GBP")*(Expenses!A$3:A$1002=DATE(2026,11,5)),ROW(Expenses!A$3:A$1002)-2),5)),""),IF(IFERROR(INDEX(Income!B$3:B$502,SMALL(IF((Income!D$3:D$502="GBP")*(Income!A$3:A$502=DATE(2026,11,5)),ROW(Income!A$3:A$502)-2),5)),"")&lt;&gt;"",IFERROR(INDEX(Income!B$3:B$502,SMALL(IF((Income!D$3:D$502="GBP")*(Income!A$3:A$502=DATE(2026,11,5)),ROW(Income!A$3:A$502)-2),5)),""),""))</f>
        <v/>
      </c>
      <c r="K228" s="62" t="str">
        <f aca="false">IF(IFERROR(-INDEX(Expenses!D$3:D$1002,SMALL(IF((Expenses!E$3:E$1002="GBP")*(Expenses!A$3:A$1002=DATE(2026,11,6)),ROW(Expenses!A$3:A$1002)-2),5)),0)+IFERROR(INDEX(Income!C$3:C$502,SMALL(IF((Income!D$3:D$502="GBP")*(Income!A$3:A$502=DATE(2026,11,6)),ROW(Income!A$3:A$502)-2),5)),0)=0,"",IFERROR(-INDEX(Expenses!D$3:D$1002,SMALL(IF((Expenses!E$3:E$1002="GBP")*(Expenses!A$3:A$1002=DATE(2026,11,6)),ROW(Expenses!A$3:A$1002)-2),5)),0)+IFERROR(INDEX(Income!C$3:C$502,SMALL(IF((Income!D$3:D$502="GBP")*(Income!A$3:A$502=DATE(2026,11,6)),ROW(Income!A$3:A$502)-2),5)),0))</f>
        <v/>
      </c>
      <c r="L228" s="38" t="str">
        <f aca="false">IF(IFERROR(INDEX(Expenses!B$3:B$1002,SMALL(IF((Expenses!E$3:E$1002="GBP")*(Expenses!A$3:A$1002=DATE(2026,11,6)),ROW(Expenses!A$3:A$1002)-2),5)),"")&lt;&gt;"",IFERROR(INDEX(Expenses!B$3:B$1002,SMALL(IF((Expenses!E$3:E$1002="GBP")*(Expenses!A$3:A$1002=DATE(2026,11,6)),ROW(Expenses!A$3:A$1002)-2),5)),""),IF(IFERROR(INDEX(Income!B$3:B$502,SMALL(IF((Income!D$3:D$502="GBP")*(Income!A$3:A$502=DATE(2026,11,6)),ROW(Income!A$3:A$502)-2),5)),"")&lt;&gt;"",IFERROR(INDEX(Income!B$3:B$502,SMALL(IF((Income!D$3:D$502="GBP")*(Income!A$3:A$502=DATE(2026,11,6)),ROW(Income!A$3:A$502)-2),5)),""),""))</f>
        <v/>
      </c>
      <c r="M228" s="62" t="str">
        <f aca="false">IF(IFERROR(-INDEX(Expenses!D$3:D$1002,SMALL(IF((Expenses!E$3:E$1002="GBP")*(Expenses!A$3:A$1002=DATE(2026,11,7)),ROW(Expenses!A$3:A$1002)-2),5)),0)+IFERROR(INDEX(Income!C$3:C$502,SMALL(IF((Income!D$3:D$502="GBP")*(Income!A$3:A$502=DATE(2026,11,7)),ROW(Income!A$3:A$502)-2),5)),0)=0,"",IFERROR(-INDEX(Expenses!D$3:D$1002,SMALL(IF((Expenses!E$3:E$1002="GBP")*(Expenses!A$3:A$1002=DATE(2026,11,7)),ROW(Expenses!A$3:A$1002)-2),5)),0)+IFERROR(INDEX(Income!C$3:C$502,SMALL(IF((Income!D$3:D$502="GBP")*(Income!A$3:A$502=DATE(2026,11,7)),ROW(Income!A$3:A$502)-2),5)),0))</f>
        <v/>
      </c>
      <c r="N228" s="38" t="str">
        <f aca="false">IF(IFERROR(INDEX(Expenses!B$3:B$1002,SMALL(IF((Expenses!E$3:E$1002="GBP")*(Expenses!A$3:A$1002=DATE(2026,11,7)),ROW(Expenses!A$3:A$1002)-2),5)),"")&lt;&gt;"",IFERROR(INDEX(Expenses!B$3:B$1002,SMALL(IF((Expenses!E$3:E$1002="GBP")*(Expenses!A$3:A$1002=DATE(2026,11,7)),ROW(Expenses!A$3:A$1002)-2),5)),""),IF(IFERROR(INDEX(Income!B$3:B$502,SMALL(IF((Income!D$3:D$502="GBP")*(Income!A$3:A$502=DATE(2026,11,7)),ROW(Income!A$3:A$502)-2),5)),"")&lt;&gt;"",IFERROR(INDEX(Income!B$3:B$502,SMALL(IF((Income!D$3:D$502="GBP")*(Income!A$3:A$502=DATE(2026,11,7)),ROW(Income!A$3:A$502)-2),5)),""),""))</f>
        <v/>
      </c>
      <c r="O228" s="62" t="str">
        <f aca="false">IF(IFERROR(-INDEX(Expenses!D$3:D$1002,SMALL(IF((Expenses!E$3:E$1002="GBP")*(Expenses!A$3:A$1002=DATE(2026,11,8)),ROW(Expenses!A$3:A$1002)-2),5)),0)+IFERROR(INDEX(Income!C$3:C$502,SMALL(IF((Income!D$3:D$502="GBP")*(Income!A$3:A$502=DATE(2026,11,8)),ROW(Income!A$3:A$502)-2),5)),0)=0,"",IFERROR(-INDEX(Expenses!D$3:D$1002,SMALL(IF((Expenses!E$3:E$1002="GBP")*(Expenses!A$3:A$1002=DATE(2026,11,8)),ROW(Expenses!A$3:A$1002)-2),5)),0)+IFERROR(INDEX(Income!C$3:C$502,SMALL(IF((Income!D$3:D$502="GBP")*(Income!A$3:A$502=DATE(2026,11,8)),ROW(Income!A$3:A$502)-2),5)),0))</f>
        <v/>
      </c>
      <c r="P228" s="38" t="str">
        <f aca="false">IF(IFERROR(INDEX(Expenses!B$3:B$1002,SMALL(IF((Expenses!E$3:E$1002="GBP")*(Expenses!A$3:A$1002=DATE(2026,11,8)),ROW(Expenses!A$3:A$1002)-2),5)),"")&lt;&gt;"",IFERROR(INDEX(Expenses!B$3:B$1002,SMALL(IF((Expenses!E$3:E$1002="GBP")*(Expenses!A$3:A$1002=DATE(2026,11,8)),ROW(Expenses!A$3:A$1002)-2),5)),""),IF(IFERROR(INDEX(Income!B$3:B$502,SMALL(IF((Income!D$3:D$502="GBP")*(Income!A$3:A$502=DATE(2026,11,8)),ROW(Income!A$3:A$502)-2),5)),"")&lt;&gt;"",IFERROR(INDEX(Income!B$3:B$502,SMALL(IF((Income!D$3:D$502="GBP")*(Income!A$3:A$502=DATE(2026,11,8)),ROW(Income!A$3:A$502)-2),5)),""),""))</f>
        <v/>
      </c>
      <c r="Q228" s="16"/>
      <c r="R228" s="16"/>
    </row>
    <row r="229" customFormat="false" ht="15" hidden="false" customHeight="false" outlineLevel="0" collapsed="false">
      <c r="A229" s="61" t="n">
        <v>46335</v>
      </c>
      <c r="B229" s="3" t="n">
        <v>46</v>
      </c>
      <c r="C229" s="62" t="str">
        <f aca="false">IF(IFERROR(-INDEX(Expenses!D$3:D$1002,SMALL(IF((Expenses!E$3:E$1002="GBP")*(Expenses!A$3:A$1002=DATE(2026,11,9)),ROW(Expenses!A$3:A$1002)-2),1)),0)+IFERROR(INDEX(Income!C$3:C$502,SMALL(IF((Income!D$3:D$502="GBP")*(Income!A$3:A$502=DATE(2026,11,9)),ROW(Income!A$3:A$502)-2),1)),0)=0,"",IFERROR(-INDEX(Expenses!D$3:D$1002,SMALL(IF((Expenses!E$3:E$1002="GBP")*(Expenses!A$3:A$1002=DATE(2026,11,9)),ROW(Expenses!A$3:A$1002)-2),1)),0)+IFERROR(INDEX(Income!C$3:C$502,SMALL(IF((Income!D$3:D$502="GBP")*(Income!A$3:A$502=DATE(2026,11,9)),ROW(Income!A$3:A$502)-2),1)),0))</f>
        <v/>
      </c>
      <c r="D229" s="38" t="str">
        <f aca="false">IF(IFERROR(INDEX(Expenses!B$3:B$1002,SMALL(IF((Expenses!E$3:E$1002="GBP")*(Expenses!A$3:A$1002=DATE(2026,11,9)),ROW(Expenses!A$3:A$1002)-2),1)),"")&lt;&gt;"",IFERROR(INDEX(Expenses!B$3:B$1002,SMALL(IF((Expenses!E$3:E$1002="GBP")*(Expenses!A$3:A$1002=DATE(2026,11,9)),ROW(Expenses!A$3:A$1002)-2),1)),""),IF(IFERROR(INDEX(Income!B$3:B$502,SMALL(IF((Income!D$3:D$502="GBP")*(Income!A$3:A$502=DATE(2026,11,9)),ROW(Income!A$3:A$502)-2),1)),"")&lt;&gt;"",IFERROR(INDEX(Income!B$3:B$502,SMALL(IF((Income!D$3:D$502="GBP")*(Income!A$3:A$502=DATE(2026,11,9)),ROW(Income!A$3:A$502)-2),1)),""),""))</f>
        <v/>
      </c>
      <c r="E229" s="62" t="str">
        <f aca="false">IF(IFERROR(-INDEX(Expenses!D$3:D$1002,SMALL(IF((Expenses!E$3:E$1002="GBP")*(Expenses!A$3:A$1002=DATE(2026,11,10)),ROW(Expenses!A$3:A$1002)-2),1)),0)+IFERROR(INDEX(Income!C$3:C$502,SMALL(IF((Income!D$3:D$502="GBP")*(Income!A$3:A$502=DATE(2026,11,10)),ROW(Income!A$3:A$502)-2),1)),0)=0,"",IFERROR(-INDEX(Expenses!D$3:D$1002,SMALL(IF((Expenses!E$3:E$1002="GBP")*(Expenses!A$3:A$1002=DATE(2026,11,10)),ROW(Expenses!A$3:A$1002)-2),1)),0)+IFERROR(INDEX(Income!C$3:C$502,SMALL(IF((Income!D$3:D$502="GBP")*(Income!A$3:A$502=DATE(2026,11,10)),ROW(Income!A$3:A$502)-2),1)),0))</f>
        <v/>
      </c>
      <c r="F229" s="38" t="str">
        <f aca="false">IF(IFERROR(INDEX(Expenses!B$3:B$1002,SMALL(IF((Expenses!E$3:E$1002="GBP")*(Expenses!A$3:A$1002=DATE(2026,11,10)),ROW(Expenses!A$3:A$1002)-2),1)),"")&lt;&gt;"",IFERROR(INDEX(Expenses!B$3:B$1002,SMALL(IF((Expenses!E$3:E$1002="GBP")*(Expenses!A$3:A$1002=DATE(2026,11,10)),ROW(Expenses!A$3:A$1002)-2),1)),""),IF(IFERROR(INDEX(Income!B$3:B$502,SMALL(IF((Income!D$3:D$502="GBP")*(Income!A$3:A$502=DATE(2026,11,10)),ROW(Income!A$3:A$502)-2),1)),"")&lt;&gt;"",IFERROR(INDEX(Income!B$3:B$502,SMALL(IF((Income!D$3:D$502="GBP")*(Income!A$3:A$502=DATE(2026,11,10)),ROW(Income!A$3:A$502)-2),1)),""),""))</f>
        <v/>
      </c>
      <c r="G229" s="62" t="str">
        <f aca="false">IF(IFERROR(-INDEX(Expenses!D$3:D$1002,SMALL(IF((Expenses!E$3:E$1002="GBP")*(Expenses!A$3:A$1002=DATE(2026,11,11)),ROW(Expenses!A$3:A$1002)-2),1)),0)+IFERROR(INDEX(Income!C$3:C$502,SMALL(IF((Income!D$3:D$502="GBP")*(Income!A$3:A$502=DATE(2026,11,11)),ROW(Income!A$3:A$502)-2),1)),0)=0,"",IFERROR(-INDEX(Expenses!D$3:D$1002,SMALL(IF((Expenses!E$3:E$1002="GBP")*(Expenses!A$3:A$1002=DATE(2026,11,11)),ROW(Expenses!A$3:A$1002)-2),1)),0)+IFERROR(INDEX(Income!C$3:C$502,SMALL(IF((Income!D$3:D$502="GBP")*(Income!A$3:A$502=DATE(2026,11,11)),ROW(Income!A$3:A$502)-2),1)),0))</f>
        <v/>
      </c>
      <c r="H229" s="38" t="str">
        <f aca="false">IF(IFERROR(INDEX(Expenses!B$3:B$1002,SMALL(IF((Expenses!E$3:E$1002="GBP")*(Expenses!A$3:A$1002=DATE(2026,11,11)),ROW(Expenses!A$3:A$1002)-2),1)),"")&lt;&gt;"",IFERROR(INDEX(Expenses!B$3:B$1002,SMALL(IF((Expenses!E$3:E$1002="GBP")*(Expenses!A$3:A$1002=DATE(2026,11,11)),ROW(Expenses!A$3:A$1002)-2),1)),""),IF(IFERROR(INDEX(Income!B$3:B$502,SMALL(IF((Income!D$3:D$502="GBP")*(Income!A$3:A$502=DATE(2026,11,11)),ROW(Income!A$3:A$502)-2),1)),"")&lt;&gt;"",IFERROR(INDEX(Income!B$3:B$502,SMALL(IF((Income!D$3:D$502="GBP")*(Income!A$3:A$502=DATE(2026,11,11)),ROW(Income!A$3:A$502)-2),1)),""),""))</f>
        <v/>
      </c>
      <c r="I229" s="62" t="str">
        <f aca="false">IF(IFERROR(-INDEX(Expenses!D$3:D$1002,SMALL(IF((Expenses!E$3:E$1002="GBP")*(Expenses!A$3:A$1002=DATE(2026,11,12)),ROW(Expenses!A$3:A$1002)-2),1)),0)+IFERROR(INDEX(Income!C$3:C$502,SMALL(IF((Income!D$3:D$502="GBP")*(Income!A$3:A$502=DATE(2026,11,12)),ROW(Income!A$3:A$502)-2),1)),0)=0,"",IFERROR(-INDEX(Expenses!D$3:D$1002,SMALL(IF((Expenses!E$3:E$1002="GBP")*(Expenses!A$3:A$1002=DATE(2026,11,12)),ROW(Expenses!A$3:A$1002)-2),1)),0)+IFERROR(INDEX(Income!C$3:C$502,SMALL(IF((Income!D$3:D$502="GBP")*(Income!A$3:A$502=DATE(2026,11,12)),ROW(Income!A$3:A$502)-2),1)),0))</f>
        <v/>
      </c>
      <c r="J229" s="38" t="str">
        <f aca="false">IF(IFERROR(INDEX(Expenses!B$3:B$1002,SMALL(IF((Expenses!E$3:E$1002="GBP")*(Expenses!A$3:A$1002=DATE(2026,11,12)),ROW(Expenses!A$3:A$1002)-2),1)),"")&lt;&gt;"",IFERROR(INDEX(Expenses!B$3:B$1002,SMALL(IF((Expenses!E$3:E$1002="GBP")*(Expenses!A$3:A$1002=DATE(2026,11,12)),ROW(Expenses!A$3:A$1002)-2),1)),""),IF(IFERROR(INDEX(Income!B$3:B$502,SMALL(IF((Income!D$3:D$502="GBP")*(Income!A$3:A$502=DATE(2026,11,12)),ROW(Income!A$3:A$502)-2),1)),"")&lt;&gt;"",IFERROR(INDEX(Income!B$3:B$502,SMALL(IF((Income!D$3:D$502="GBP")*(Income!A$3:A$502=DATE(2026,11,12)),ROW(Income!A$3:A$502)-2),1)),""),""))</f>
        <v/>
      </c>
      <c r="K229" s="62" t="str">
        <f aca="false">IF(IFERROR(-INDEX(Expenses!D$3:D$1002,SMALL(IF((Expenses!E$3:E$1002="GBP")*(Expenses!A$3:A$1002=DATE(2026,11,13)),ROW(Expenses!A$3:A$1002)-2),1)),0)+IFERROR(INDEX(Income!C$3:C$502,SMALL(IF((Income!D$3:D$502="GBP")*(Income!A$3:A$502=DATE(2026,11,13)),ROW(Income!A$3:A$502)-2),1)),0)=0,"",IFERROR(-INDEX(Expenses!D$3:D$1002,SMALL(IF((Expenses!E$3:E$1002="GBP")*(Expenses!A$3:A$1002=DATE(2026,11,13)),ROW(Expenses!A$3:A$1002)-2),1)),0)+IFERROR(INDEX(Income!C$3:C$502,SMALL(IF((Income!D$3:D$502="GBP")*(Income!A$3:A$502=DATE(2026,11,13)),ROW(Income!A$3:A$502)-2),1)),0))</f>
        <v/>
      </c>
      <c r="L229" s="38" t="str">
        <f aca="false">IF(IFERROR(INDEX(Expenses!B$3:B$1002,SMALL(IF((Expenses!E$3:E$1002="GBP")*(Expenses!A$3:A$1002=DATE(2026,11,13)),ROW(Expenses!A$3:A$1002)-2),1)),"")&lt;&gt;"",IFERROR(INDEX(Expenses!B$3:B$1002,SMALL(IF((Expenses!E$3:E$1002="GBP")*(Expenses!A$3:A$1002=DATE(2026,11,13)),ROW(Expenses!A$3:A$1002)-2),1)),""),IF(IFERROR(INDEX(Income!B$3:B$502,SMALL(IF((Income!D$3:D$502="GBP")*(Income!A$3:A$502=DATE(2026,11,13)),ROW(Income!A$3:A$502)-2),1)),"")&lt;&gt;"",IFERROR(INDEX(Income!B$3:B$502,SMALL(IF((Income!D$3:D$502="GBP")*(Income!A$3:A$502=DATE(2026,11,13)),ROW(Income!A$3:A$502)-2),1)),""),""))</f>
        <v/>
      </c>
      <c r="M229" s="62" t="str">
        <f aca="false">IF(IFERROR(-INDEX(Expenses!D$3:D$1002,SMALL(IF((Expenses!E$3:E$1002="GBP")*(Expenses!A$3:A$1002=DATE(2026,11,14)),ROW(Expenses!A$3:A$1002)-2),1)),0)+IFERROR(INDEX(Income!C$3:C$502,SMALL(IF((Income!D$3:D$502="GBP")*(Income!A$3:A$502=DATE(2026,11,14)),ROW(Income!A$3:A$502)-2),1)),0)=0,"",IFERROR(-INDEX(Expenses!D$3:D$1002,SMALL(IF((Expenses!E$3:E$1002="GBP")*(Expenses!A$3:A$1002=DATE(2026,11,14)),ROW(Expenses!A$3:A$1002)-2),1)),0)+IFERROR(INDEX(Income!C$3:C$502,SMALL(IF((Income!D$3:D$502="GBP")*(Income!A$3:A$502=DATE(2026,11,14)),ROW(Income!A$3:A$502)-2),1)),0))</f>
        <v/>
      </c>
      <c r="N229" s="38" t="str">
        <f aca="false">IF(IFERROR(INDEX(Expenses!B$3:B$1002,SMALL(IF((Expenses!E$3:E$1002="GBP")*(Expenses!A$3:A$1002=DATE(2026,11,14)),ROW(Expenses!A$3:A$1002)-2),1)),"")&lt;&gt;"",IFERROR(INDEX(Expenses!B$3:B$1002,SMALL(IF((Expenses!E$3:E$1002="GBP")*(Expenses!A$3:A$1002=DATE(2026,11,14)),ROW(Expenses!A$3:A$1002)-2),1)),""),IF(IFERROR(INDEX(Income!B$3:B$502,SMALL(IF((Income!D$3:D$502="GBP")*(Income!A$3:A$502=DATE(2026,11,14)),ROW(Income!A$3:A$502)-2),1)),"")&lt;&gt;"",IFERROR(INDEX(Income!B$3:B$502,SMALL(IF((Income!D$3:D$502="GBP")*(Income!A$3:A$502=DATE(2026,11,14)),ROW(Income!A$3:A$502)-2),1)),""),""))</f>
        <v/>
      </c>
      <c r="O229" s="62" t="str">
        <f aca="false">IF(IFERROR(-INDEX(Expenses!D$3:D$1002,SMALL(IF((Expenses!E$3:E$1002="GBP")*(Expenses!A$3:A$1002=DATE(2026,11,15)),ROW(Expenses!A$3:A$1002)-2),1)),0)+IFERROR(INDEX(Income!C$3:C$502,SMALL(IF((Income!D$3:D$502="GBP")*(Income!A$3:A$502=DATE(2026,11,15)),ROW(Income!A$3:A$502)-2),1)),0)=0,"",IFERROR(-INDEX(Expenses!D$3:D$1002,SMALL(IF((Expenses!E$3:E$1002="GBP")*(Expenses!A$3:A$1002=DATE(2026,11,15)),ROW(Expenses!A$3:A$1002)-2),1)),0)+IFERROR(INDEX(Income!C$3:C$502,SMALL(IF((Income!D$3:D$502="GBP")*(Income!A$3:A$502=DATE(2026,11,15)),ROW(Income!A$3:A$502)-2),1)),0))</f>
        <v/>
      </c>
      <c r="P229" s="38" t="str">
        <f aca="false">IF(IFERROR(INDEX(Expenses!B$3:B$1002,SMALL(IF((Expenses!E$3:E$1002="GBP")*(Expenses!A$3:A$1002=DATE(2026,11,15)),ROW(Expenses!A$3:A$1002)-2),1)),"")&lt;&gt;"",IFERROR(INDEX(Expenses!B$3:B$1002,SMALL(IF((Expenses!E$3:E$1002="GBP")*(Expenses!A$3:A$1002=DATE(2026,11,15)),ROW(Expenses!A$3:A$1002)-2),1)),""),IF(IFERROR(INDEX(Income!B$3:B$502,SMALL(IF((Income!D$3:D$502="GBP")*(Income!A$3:A$502=DATE(2026,11,15)),ROW(Income!A$3:A$502)-2),1)),"")&lt;&gt;"",IFERROR(INDEX(Income!B$3:B$502,SMALL(IF((Income!D$3:D$502="GBP")*(Income!A$3:A$502=DATE(2026,11,15)),ROW(Income!A$3:A$502)-2),1)),""),""))</f>
        <v/>
      </c>
      <c r="Q229" s="3" t="n">
        <v>46</v>
      </c>
      <c r="R229" s="45" t="n">
        <f aca="false">SUM(C229:C233)+SUM(E229:E233)+SUM(G229:G233)+SUM(I229:I233)+SUM(K229:K233)+SUM(M229:M233)+SUM(O229:O233)</f>
        <v>0</v>
      </c>
    </row>
    <row r="230" customFormat="false" ht="15" hidden="false" customHeight="false" outlineLevel="0" collapsed="false">
      <c r="A230" s="16"/>
      <c r="B230" s="16"/>
      <c r="C230" s="62" t="str">
        <f aca="false">IF(IFERROR(-INDEX(Expenses!D$3:D$1002,SMALL(IF((Expenses!E$3:E$1002="GBP")*(Expenses!A$3:A$1002=DATE(2026,11,9)),ROW(Expenses!A$3:A$1002)-2),2)),0)+IFERROR(INDEX(Income!C$3:C$502,SMALL(IF((Income!D$3:D$502="GBP")*(Income!A$3:A$502=DATE(2026,11,9)),ROW(Income!A$3:A$502)-2),2)),0)=0,"",IFERROR(-INDEX(Expenses!D$3:D$1002,SMALL(IF((Expenses!E$3:E$1002="GBP")*(Expenses!A$3:A$1002=DATE(2026,11,9)),ROW(Expenses!A$3:A$1002)-2),2)),0)+IFERROR(INDEX(Income!C$3:C$502,SMALL(IF((Income!D$3:D$502="GBP")*(Income!A$3:A$502=DATE(2026,11,9)),ROW(Income!A$3:A$502)-2),2)),0))</f>
        <v/>
      </c>
      <c r="D230" s="38" t="str">
        <f aca="false">IF(IFERROR(INDEX(Expenses!B$3:B$1002,SMALL(IF((Expenses!E$3:E$1002="GBP")*(Expenses!A$3:A$1002=DATE(2026,11,9)),ROW(Expenses!A$3:A$1002)-2),2)),"")&lt;&gt;"",IFERROR(INDEX(Expenses!B$3:B$1002,SMALL(IF((Expenses!E$3:E$1002="GBP")*(Expenses!A$3:A$1002=DATE(2026,11,9)),ROW(Expenses!A$3:A$1002)-2),2)),""),IF(IFERROR(INDEX(Income!B$3:B$502,SMALL(IF((Income!D$3:D$502="GBP")*(Income!A$3:A$502=DATE(2026,11,9)),ROW(Income!A$3:A$502)-2),2)),"")&lt;&gt;"",IFERROR(INDEX(Income!B$3:B$502,SMALL(IF((Income!D$3:D$502="GBP")*(Income!A$3:A$502=DATE(2026,11,9)),ROW(Income!A$3:A$502)-2),2)),""),""))</f>
        <v/>
      </c>
      <c r="E230" s="62" t="str">
        <f aca="false">IF(IFERROR(-INDEX(Expenses!D$3:D$1002,SMALL(IF((Expenses!E$3:E$1002="GBP")*(Expenses!A$3:A$1002=DATE(2026,11,10)),ROW(Expenses!A$3:A$1002)-2),2)),0)+IFERROR(INDEX(Income!C$3:C$502,SMALL(IF((Income!D$3:D$502="GBP")*(Income!A$3:A$502=DATE(2026,11,10)),ROW(Income!A$3:A$502)-2),2)),0)=0,"",IFERROR(-INDEX(Expenses!D$3:D$1002,SMALL(IF((Expenses!E$3:E$1002="GBP")*(Expenses!A$3:A$1002=DATE(2026,11,10)),ROW(Expenses!A$3:A$1002)-2),2)),0)+IFERROR(INDEX(Income!C$3:C$502,SMALL(IF((Income!D$3:D$502="GBP")*(Income!A$3:A$502=DATE(2026,11,10)),ROW(Income!A$3:A$502)-2),2)),0))</f>
        <v/>
      </c>
      <c r="F230" s="38" t="str">
        <f aca="false">IF(IFERROR(INDEX(Expenses!B$3:B$1002,SMALL(IF((Expenses!E$3:E$1002="GBP")*(Expenses!A$3:A$1002=DATE(2026,11,10)),ROW(Expenses!A$3:A$1002)-2),2)),"")&lt;&gt;"",IFERROR(INDEX(Expenses!B$3:B$1002,SMALL(IF((Expenses!E$3:E$1002="GBP")*(Expenses!A$3:A$1002=DATE(2026,11,10)),ROW(Expenses!A$3:A$1002)-2),2)),""),IF(IFERROR(INDEX(Income!B$3:B$502,SMALL(IF((Income!D$3:D$502="GBP")*(Income!A$3:A$502=DATE(2026,11,10)),ROW(Income!A$3:A$502)-2),2)),"")&lt;&gt;"",IFERROR(INDEX(Income!B$3:B$502,SMALL(IF((Income!D$3:D$502="GBP")*(Income!A$3:A$502=DATE(2026,11,10)),ROW(Income!A$3:A$502)-2),2)),""),""))</f>
        <v/>
      </c>
      <c r="G230" s="62" t="str">
        <f aca="false">IF(IFERROR(-INDEX(Expenses!D$3:D$1002,SMALL(IF((Expenses!E$3:E$1002="GBP")*(Expenses!A$3:A$1002=DATE(2026,11,11)),ROW(Expenses!A$3:A$1002)-2),2)),0)+IFERROR(INDEX(Income!C$3:C$502,SMALL(IF((Income!D$3:D$502="GBP")*(Income!A$3:A$502=DATE(2026,11,11)),ROW(Income!A$3:A$502)-2),2)),0)=0,"",IFERROR(-INDEX(Expenses!D$3:D$1002,SMALL(IF((Expenses!E$3:E$1002="GBP")*(Expenses!A$3:A$1002=DATE(2026,11,11)),ROW(Expenses!A$3:A$1002)-2),2)),0)+IFERROR(INDEX(Income!C$3:C$502,SMALL(IF((Income!D$3:D$502="GBP")*(Income!A$3:A$502=DATE(2026,11,11)),ROW(Income!A$3:A$502)-2),2)),0))</f>
        <v/>
      </c>
      <c r="H230" s="38" t="str">
        <f aca="false">IF(IFERROR(INDEX(Expenses!B$3:B$1002,SMALL(IF((Expenses!E$3:E$1002="GBP")*(Expenses!A$3:A$1002=DATE(2026,11,11)),ROW(Expenses!A$3:A$1002)-2),2)),"")&lt;&gt;"",IFERROR(INDEX(Expenses!B$3:B$1002,SMALL(IF((Expenses!E$3:E$1002="GBP")*(Expenses!A$3:A$1002=DATE(2026,11,11)),ROW(Expenses!A$3:A$1002)-2),2)),""),IF(IFERROR(INDEX(Income!B$3:B$502,SMALL(IF((Income!D$3:D$502="GBP")*(Income!A$3:A$502=DATE(2026,11,11)),ROW(Income!A$3:A$502)-2),2)),"")&lt;&gt;"",IFERROR(INDEX(Income!B$3:B$502,SMALL(IF((Income!D$3:D$502="GBP")*(Income!A$3:A$502=DATE(2026,11,11)),ROW(Income!A$3:A$502)-2),2)),""),""))</f>
        <v/>
      </c>
      <c r="I230" s="62" t="str">
        <f aca="false">IF(IFERROR(-INDEX(Expenses!D$3:D$1002,SMALL(IF((Expenses!E$3:E$1002="GBP")*(Expenses!A$3:A$1002=DATE(2026,11,12)),ROW(Expenses!A$3:A$1002)-2),2)),0)+IFERROR(INDEX(Income!C$3:C$502,SMALL(IF((Income!D$3:D$502="GBP")*(Income!A$3:A$502=DATE(2026,11,12)),ROW(Income!A$3:A$502)-2),2)),0)=0,"",IFERROR(-INDEX(Expenses!D$3:D$1002,SMALL(IF((Expenses!E$3:E$1002="GBP")*(Expenses!A$3:A$1002=DATE(2026,11,12)),ROW(Expenses!A$3:A$1002)-2),2)),0)+IFERROR(INDEX(Income!C$3:C$502,SMALL(IF((Income!D$3:D$502="GBP")*(Income!A$3:A$502=DATE(2026,11,12)),ROW(Income!A$3:A$502)-2),2)),0))</f>
        <v/>
      </c>
      <c r="J230" s="38" t="str">
        <f aca="false">IF(IFERROR(INDEX(Expenses!B$3:B$1002,SMALL(IF((Expenses!E$3:E$1002="GBP")*(Expenses!A$3:A$1002=DATE(2026,11,12)),ROW(Expenses!A$3:A$1002)-2),2)),"")&lt;&gt;"",IFERROR(INDEX(Expenses!B$3:B$1002,SMALL(IF((Expenses!E$3:E$1002="GBP")*(Expenses!A$3:A$1002=DATE(2026,11,12)),ROW(Expenses!A$3:A$1002)-2),2)),""),IF(IFERROR(INDEX(Income!B$3:B$502,SMALL(IF((Income!D$3:D$502="GBP")*(Income!A$3:A$502=DATE(2026,11,12)),ROW(Income!A$3:A$502)-2),2)),"")&lt;&gt;"",IFERROR(INDEX(Income!B$3:B$502,SMALL(IF((Income!D$3:D$502="GBP")*(Income!A$3:A$502=DATE(2026,11,12)),ROW(Income!A$3:A$502)-2),2)),""),""))</f>
        <v/>
      </c>
      <c r="K230" s="62" t="str">
        <f aca="false">IF(IFERROR(-INDEX(Expenses!D$3:D$1002,SMALL(IF((Expenses!E$3:E$1002="GBP")*(Expenses!A$3:A$1002=DATE(2026,11,13)),ROW(Expenses!A$3:A$1002)-2),2)),0)+IFERROR(INDEX(Income!C$3:C$502,SMALL(IF((Income!D$3:D$502="GBP")*(Income!A$3:A$502=DATE(2026,11,13)),ROW(Income!A$3:A$502)-2),2)),0)=0,"",IFERROR(-INDEX(Expenses!D$3:D$1002,SMALL(IF((Expenses!E$3:E$1002="GBP")*(Expenses!A$3:A$1002=DATE(2026,11,13)),ROW(Expenses!A$3:A$1002)-2),2)),0)+IFERROR(INDEX(Income!C$3:C$502,SMALL(IF((Income!D$3:D$502="GBP")*(Income!A$3:A$502=DATE(2026,11,13)),ROW(Income!A$3:A$502)-2),2)),0))</f>
        <v/>
      </c>
      <c r="L230" s="38" t="str">
        <f aca="false">IF(IFERROR(INDEX(Expenses!B$3:B$1002,SMALL(IF((Expenses!E$3:E$1002="GBP")*(Expenses!A$3:A$1002=DATE(2026,11,13)),ROW(Expenses!A$3:A$1002)-2),2)),"")&lt;&gt;"",IFERROR(INDEX(Expenses!B$3:B$1002,SMALL(IF((Expenses!E$3:E$1002="GBP")*(Expenses!A$3:A$1002=DATE(2026,11,13)),ROW(Expenses!A$3:A$1002)-2),2)),""),IF(IFERROR(INDEX(Income!B$3:B$502,SMALL(IF((Income!D$3:D$502="GBP")*(Income!A$3:A$502=DATE(2026,11,13)),ROW(Income!A$3:A$502)-2),2)),"")&lt;&gt;"",IFERROR(INDEX(Income!B$3:B$502,SMALL(IF((Income!D$3:D$502="GBP")*(Income!A$3:A$502=DATE(2026,11,13)),ROW(Income!A$3:A$502)-2),2)),""),""))</f>
        <v/>
      </c>
      <c r="M230" s="62" t="str">
        <f aca="false">IF(IFERROR(-INDEX(Expenses!D$3:D$1002,SMALL(IF((Expenses!E$3:E$1002="GBP")*(Expenses!A$3:A$1002=DATE(2026,11,14)),ROW(Expenses!A$3:A$1002)-2),2)),0)+IFERROR(INDEX(Income!C$3:C$502,SMALL(IF((Income!D$3:D$502="GBP")*(Income!A$3:A$502=DATE(2026,11,14)),ROW(Income!A$3:A$502)-2),2)),0)=0,"",IFERROR(-INDEX(Expenses!D$3:D$1002,SMALL(IF((Expenses!E$3:E$1002="GBP")*(Expenses!A$3:A$1002=DATE(2026,11,14)),ROW(Expenses!A$3:A$1002)-2),2)),0)+IFERROR(INDEX(Income!C$3:C$502,SMALL(IF((Income!D$3:D$502="GBP")*(Income!A$3:A$502=DATE(2026,11,14)),ROW(Income!A$3:A$502)-2),2)),0))</f>
        <v/>
      </c>
      <c r="N230" s="38" t="str">
        <f aca="false">IF(IFERROR(INDEX(Expenses!B$3:B$1002,SMALL(IF((Expenses!E$3:E$1002="GBP")*(Expenses!A$3:A$1002=DATE(2026,11,14)),ROW(Expenses!A$3:A$1002)-2),2)),"")&lt;&gt;"",IFERROR(INDEX(Expenses!B$3:B$1002,SMALL(IF((Expenses!E$3:E$1002="GBP")*(Expenses!A$3:A$1002=DATE(2026,11,14)),ROW(Expenses!A$3:A$1002)-2),2)),""),IF(IFERROR(INDEX(Income!B$3:B$502,SMALL(IF((Income!D$3:D$502="GBP")*(Income!A$3:A$502=DATE(2026,11,14)),ROW(Income!A$3:A$502)-2),2)),"")&lt;&gt;"",IFERROR(INDEX(Income!B$3:B$502,SMALL(IF((Income!D$3:D$502="GBP")*(Income!A$3:A$502=DATE(2026,11,14)),ROW(Income!A$3:A$502)-2),2)),""),""))</f>
        <v/>
      </c>
      <c r="O230" s="62" t="str">
        <f aca="false">IF(IFERROR(-INDEX(Expenses!D$3:D$1002,SMALL(IF((Expenses!E$3:E$1002="GBP")*(Expenses!A$3:A$1002=DATE(2026,11,15)),ROW(Expenses!A$3:A$1002)-2),2)),0)+IFERROR(INDEX(Income!C$3:C$502,SMALL(IF((Income!D$3:D$502="GBP")*(Income!A$3:A$502=DATE(2026,11,15)),ROW(Income!A$3:A$502)-2),2)),0)=0,"",IFERROR(-INDEX(Expenses!D$3:D$1002,SMALL(IF((Expenses!E$3:E$1002="GBP")*(Expenses!A$3:A$1002=DATE(2026,11,15)),ROW(Expenses!A$3:A$1002)-2),2)),0)+IFERROR(INDEX(Income!C$3:C$502,SMALL(IF((Income!D$3:D$502="GBP")*(Income!A$3:A$502=DATE(2026,11,15)),ROW(Income!A$3:A$502)-2),2)),0))</f>
        <v/>
      </c>
      <c r="P230" s="38" t="str">
        <f aca="false">IF(IFERROR(INDEX(Expenses!B$3:B$1002,SMALL(IF((Expenses!E$3:E$1002="GBP")*(Expenses!A$3:A$1002=DATE(2026,11,15)),ROW(Expenses!A$3:A$1002)-2),2)),"")&lt;&gt;"",IFERROR(INDEX(Expenses!B$3:B$1002,SMALL(IF((Expenses!E$3:E$1002="GBP")*(Expenses!A$3:A$1002=DATE(2026,11,15)),ROW(Expenses!A$3:A$1002)-2),2)),""),IF(IFERROR(INDEX(Income!B$3:B$502,SMALL(IF((Income!D$3:D$502="GBP")*(Income!A$3:A$502=DATE(2026,11,15)),ROW(Income!A$3:A$502)-2),2)),"")&lt;&gt;"",IFERROR(INDEX(Income!B$3:B$502,SMALL(IF((Income!D$3:D$502="GBP")*(Income!A$3:A$502=DATE(2026,11,15)),ROW(Income!A$3:A$502)-2),2)),""),""))</f>
        <v/>
      </c>
      <c r="Q230" s="16"/>
      <c r="R230" s="16"/>
    </row>
    <row r="231" customFormat="false" ht="15" hidden="false" customHeight="false" outlineLevel="0" collapsed="false">
      <c r="A231" s="16"/>
      <c r="B231" s="16"/>
      <c r="C231" s="62" t="str">
        <f aca="false">IF(IFERROR(-INDEX(Expenses!D$3:D$1002,SMALL(IF((Expenses!E$3:E$1002="GBP")*(Expenses!A$3:A$1002=DATE(2026,11,9)),ROW(Expenses!A$3:A$1002)-2),3)),0)+IFERROR(INDEX(Income!C$3:C$502,SMALL(IF((Income!D$3:D$502="GBP")*(Income!A$3:A$502=DATE(2026,11,9)),ROW(Income!A$3:A$502)-2),3)),0)=0,"",IFERROR(-INDEX(Expenses!D$3:D$1002,SMALL(IF((Expenses!E$3:E$1002="GBP")*(Expenses!A$3:A$1002=DATE(2026,11,9)),ROW(Expenses!A$3:A$1002)-2),3)),0)+IFERROR(INDEX(Income!C$3:C$502,SMALL(IF((Income!D$3:D$502="GBP")*(Income!A$3:A$502=DATE(2026,11,9)),ROW(Income!A$3:A$502)-2),3)),0))</f>
        <v/>
      </c>
      <c r="D231" s="38" t="str">
        <f aca="false">IF(IFERROR(INDEX(Expenses!B$3:B$1002,SMALL(IF((Expenses!E$3:E$1002="GBP")*(Expenses!A$3:A$1002=DATE(2026,11,9)),ROW(Expenses!A$3:A$1002)-2),3)),"")&lt;&gt;"",IFERROR(INDEX(Expenses!B$3:B$1002,SMALL(IF((Expenses!E$3:E$1002="GBP")*(Expenses!A$3:A$1002=DATE(2026,11,9)),ROW(Expenses!A$3:A$1002)-2),3)),""),IF(IFERROR(INDEX(Income!B$3:B$502,SMALL(IF((Income!D$3:D$502="GBP")*(Income!A$3:A$502=DATE(2026,11,9)),ROW(Income!A$3:A$502)-2),3)),"")&lt;&gt;"",IFERROR(INDEX(Income!B$3:B$502,SMALL(IF((Income!D$3:D$502="GBP")*(Income!A$3:A$502=DATE(2026,11,9)),ROW(Income!A$3:A$502)-2),3)),""),""))</f>
        <v/>
      </c>
      <c r="E231" s="62" t="str">
        <f aca="false">IF(IFERROR(-INDEX(Expenses!D$3:D$1002,SMALL(IF((Expenses!E$3:E$1002="GBP")*(Expenses!A$3:A$1002=DATE(2026,11,10)),ROW(Expenses!A$3:A$1002)-2),3)),0)+IFERROR(INDEX(Income!C$3:C$502,SMALL(IF((Income!D$3:D$502="GBP")*(Income!A$3:A$502=DATE(2026,11,10)),ROW(Income!A$3:A$502)-2),3)),0)=0,"",IFERROR(-INDEX(Expenses!D$3:D$1002,SMALL(IF((Expenses!E$3:E$1002="GBP")*(Expenses!A$3:A$1002=DATE(2026,11,10)),ROW(Expenses!A$3:A$1002)-2),3)),0)+IFERROR(INDEX(Income!C$3:C$502,SMALL(IF((Income!D$3:D$502="GBP")*(Income!A$3:A$502=DATE(2026,11,10)),ROW(Income!A$3:A$502)-2),3)),0))</f>
        <v/>
      </c>
      <c r="F231" s="38" t="str">
        <f aca="false">IF(IFERROR(INDEX(Expenses!B$3:B$1002,SMALL(IF((Expenses!E$3:E$1002="GBP")*(Expenses!A$3:A$1002=DATE(2026,11,10)),ROW(Expenses!A$3:A$1002)-2),3)),"")&lt;&gt;"",IFERROR(INDEX(Expenses!B$3:B$1002,SMALL(IF((Expenses!E$3:E$1002="GBP")*(Expenses!A$3:A$1002=DATE(2026,11,10)),ROW(Expenses!A$3:A$1002)-2),3)),""),IF(IFERROR(INDEX(Income!B$3:B$502,SMALL(IF((Income!D$3:D$502="GBP")*(Income!A$3:A$502=DATE(2026,11,10)),ROW(Income!A$3:A$502)-2),3)),"")&lt;&gt;"",IFERROR(INDEX(Income!B$3:B$502,SMALL(IF((Income!D$3:D$502="GBP")*(Income!A$3:A$502=DATE(2026,11,10)),ROW(Income!A$3:A$502)-2),3)),""),""))</f>
        <v/>
      </c>
      <c r="G231" s="62" t="str">
        <f aca="false">IF(IFERROR(-INDEX(Expenses!D$3:D$1002,SMALL(IF((Expenses!E$3:E$1002="GBP")*(Expenses!A$3:A$1002=DATE(2026,11,11)),ROW(Expenses!A$3:A$1002)-2),3)),0)+IFERROR(INDEX(Income!C$3:C$502,SMALL(IF((Income!D$3:D$502="GBP")*(Income!A$3:A$502=DATE(2026,11,11)),ROW(Income!A$3:A$502)-2),3)),0)=0,"",IFERROR(-INDEX(Expenses!D$3:D$1002,SMALL(IF((Expenses!E$3:E$1002="GBP")*(Expenses!A$3:A$1002=DATE(2026,11,11)),ROW(Expenses!A$3:A$1002)-2),3)),0)+IFERROR(INDEX(Income!C$3:C$502,SMALL(IF((Income!D$3:D$502="GBP")*(Income!A$3:A$502=DATE(2026,11,11)),ROW(Income!A$3:A$502)-2),3)),0))</f>
        <v/>
      </c>
      <c r="H231" s="38" t="str">
        <f aca="false">IF(IFERROR(INDEX(Expenses!B$3:B$1002,SMALL(IF((Expenses!E$3:E$1002="GBP")*(Expenses!A$3:A$1002=DATE(2026,11,11)),ROW(Expenses!A$3:A$1002)-2),3)),"")&lt;&gt;"",IFERROR(INDEX(Expenses!B$3:B$1002,SMALL(IF((Expenses!E$3:E$1002="GBP")*(Expenses!A$3:A$1002=DATE(2026,11,11)),ROW(Expenses!A$3:A$1002)-2),3)),""),IF(IFERROR(INDEX(Income!B$3:B$502,SMALL(IF((Income!D$3:D$502="GBP")*(Income!A$3:A$502=DATE(2026,11,11)),ROW(Income!A$3:A$502)-2),3)),"")&lt;&gt;"",IFERROR(INDEX(Income!B$3:B$502,SMALL(IF((Income!D$3:D$502="GBP")*(Income!A$3:A$502=DATE(2026,11,11)),ROW(Income!A$3:A$502)-2),3)),""),""))</f>
        <v/>
      </c>
      <c r="I231" s="62" t="str">
        <f aca="false">IF(IFERROR(-INDEX(Expenses!D$3:D$1002,SMALL(IF((Expenses!E$3:E$1002="GBP")*(Expenses!A$3:A$1002=DATE(2026,11,12)),ROW(Expenses!A$3:A$1002)-2),3)),0)+IFERROR(INDEX(Income!C$3:C$502,SMALL(IF((Income!D$3:D$502="GBP")*(Income!A$3:A$502=DATE(2026,11,12)),ROW(Income!A$3:A$502)-2),3)),0)=0,"",IFERROR(-INDEX(Expenses!D$3:D$1002,SMALL(IF((Expenses!E$3:E$1002="GBP")*(Expenses!A$3:A$1002=DATE(2026,11,12)),ROW(Expenses!A$3:A$1002)-2),3)),0)+IFERROR(INDEX(Income!C$3:C$502,SMALL(IF((Income!D$3:D$502="GBP")*(Income!A$3:A$502=DATE(2026,11,12)),ROW(Income!A$3:A$502)-2),3)),0))</f>
        <v/>
      </c>
      <c r="J231" s="38" t="str">
        <f aca="false">IF(IFERROR(INDEX(Expenses!B$3:B$1002,SMALL(IF((Expenses!E$3:E$1002="GBP")*(Expenses!A$3:A$1002=DATE(2026,11,12)),ROW(Expenses!A$3:A$1002)-2),3)),"")&lt;&gt;"",IFERROR(INDEX(Expenses!B$3:B$1002,SMALL(IF((Expenses!E$3:E$1002="GBP")*(Expenses!A$3:A$1002=DATE(2026,11,12)),ROW(Expenses!A$3:A$1002)-2),3)),""),IF(IFERROR(INDEX(Income!B$3:B$502,SMALL(IF((Income!D$3:D$502="GBP")*(Income!A$3:A$502=DATE(2026,11,12)),ROW(Income!A$3:A$502)-2),3)),"")&lt;&gt;"",IFERROR(INDEX(Income!B$3:B$502,SMALL(IF((Income!D$3:D$502="GBP")*(Income!A$3:A$502=DATE(2026,11,12)),ROW(Income!A$3:A$502)-2),3)),""),""))</f>
        <v/>
      </c>
      <c r="K231" s="62" t="str">
        <f aca="false">IF(IFERROR(-INDEX(Expenses!D$3:D$1002,SMALL(IF((Expenses!E$3:E$1002="GBP")*(Expenses!A$3:A$1002=DATE(2026,11,13)),ROW(Expenses!A$3:A$1002)-2),3)),0)+IFERROR(INDEX(Income!C$3:C$502,SMALL(IF((Income!D$3:D$502="GBP")*(Income!A$3:A$502=DATE(2026,11,13)),ROW(Income!A$3:A$502)-2),3)),0)=0,"",IFERROR(-INDEX(Expenses!D$3:D$1002,SMALL(IF((Expenses!E$3:E$1002="GBP")*(Expenses!A$3:A$1002=DATE(2026,11,13)),ROW(Expenses!A$3:A$1002)-2),3)),0)+IFERROR(INDEX(Income!C$3:C$502,SMALL(IF((Income!D$3:D$502="GBP")*(Income!A$3:A$502=DATE(2026,11,13)),ROW(Income!A$3:A$502)-2),3)),0))</f>
        <v/>
      </c>
      <c r="L231" s="38" t="str">
        <f aca="false">IF(IFERROR(INDEX(Expenses!B$3:B$1002,SMALL(IF((Expenses!E$3:E$1002="GBP")*(Expenses!A$3:A$1002=DATE(2026,11,13)),ROW(Expenses!A$3:A$1002)-2),3)),"")&lt;&gt;"",IFERROR(INDEX(Expenses!B$3:B$1002,SMALL(IF((Expenses!E$3:E$1002="GBP")*(Expenses!A$3:A$1002=DATE(2026,11,13)),ROW(Expenses!A$3:A$1002)-2),3)),""),IF(IFERROR(INDEX(Income!B$3:B$502,SMALL(IF((Income!D$3:D$502="GBP")*(Income!A$3:A$502=DATE(2026,11,13)),ROW(Income!A$3:A$502)-2),3)),"")&lt;&gt;"",IFERROR(INDEX(Income!B$3:B$502,SMALL(IF((Income!D$3:D$502="GBP")*(Income!A$3:A$502=DATE(2026,11,13)),ROW(Income!A$3:A$502)-2),3)),""),""))</f>
        <v/>
      </c>
      <c r="M231" s="62" t="str">
        <f aca="false">IF(IFERROR(-INDEX(Expenses!D$3:D$1002,SMALL(IF((Expenses!E$3:E$1002="GBP")*(Expenses!A$3:A$1002=DATE(2026,11,14)),ROW(Expenses!A$3:A$1002)-2),3)),0)+IFERROR(INDEX(Income!C$3:C$502,SMALL(IF((Income!D$3:D$502="GBP")*(Income!A$3:A$502=DATE(2026,11,14)),ROW(Income!A$3:A$502)-2),3)),0)=0,"",IFERROR(-INDEX(Expenses!D$3:D$1002,SMALL(IF((Expenses!E$3:E$1002="GBP")*(Expenses!A$3:A$1002=DATE(2026,11,14)),ROW(Expenses!A$3:A$1002)-2),3)),0)+IFERROR(INDEX(Income!C$3:C$502,SMALL(IF((Income!D$3:D$502="GBP")*(Income!A$3:A$502=DATE(2026,11,14)),ROW(Income!A$3:A$502)-2),3)),0))</f>
        <v/>
      </c>
      <c r="N231" s="38" t="str">
        <f aca="false">IF(IFERROR(INDEX(Expenses!B$3:B$1002,SMALL(IF((Expenses!E$3:E$1002="GBP")*(Expenses!A$3:A$1002=DATE(2026,11,14)),ROW(Expenses!A$3:A$1002)-2),3)),"")&lt;&gt;"",IFERROR(INDEX(Expenses!B$3:B$1002,SMALL(IF((Expenses!E$3:E$1002="GBP")*(Expenses!A$3:A$1002=DATE(2026,11,14)),ROW(Expenses!A$3:A$1002)-2),3)),""),IF(IFERROR(INDEX(Income!B$3:B$502,SMALL(IF((Income!D$3:D$502="GBP")*(Income!A$3:A$502=DATE(2026,11,14)),ROW(Income!A$3:A$502)-2),3)),"")&lt;&gt;"",IFERROR(INDEX(Income!B$3:B$502,SMALL(IF((Income!D$3:D$502="GBP")*(Income!A$3:A$502=DATE(2026,11,14)),ROW(Income!A$3:A$502)-2),3)),""),""))</f>
        <v/>
      </c>
      <c r="O231" s="62" t="str">
        <f aca="false">IF(IFERROR(-INDEX(Expenses!D$3:D$1002,SMALL(IF((Expenses!E$3:E$1002="GBP")*(Expenses!A$3:A$1002=DATE(2026,11,15)),ROW(Expenses!A$3:A$1002)-2),3)),0)+IFERROR(INDEX(Income!C$3:C$502,SMALL(IF((Income!D$3:D$502="GBP")*(Income!A$3:A$502=DATE(2026,11,15)),ROW(Income!A$3:A$502)-2),3)),0)=0,"",IFERROR(-INDEX(Expenses!D$3:D$1002,SMALL(IF((Expenses!E$3:E$1002="GBP")*(Expenses!A$3:A$1002=DATE(2026,11,15)),ROW(Expenses!A$3:A$1002)-2),3)),0)+IFERROR(INDEX(Income!C$3:C$502,SMALL(IF((Income!D$3:D$502="GBP")*(Income!A$3:A$502=DATE(2026,11,15)),ROW(Income!A$3:A$502)-2),3)),0))</f>
        <v/>
      </c>
      <c r="P231" s="38" t="str">
        <f aca="false">IF(IFERROR(INDEX(Expenses!B$3:B$1002,SMALL(IF((Expenses!E$3:E$1002="GBP")*(Expenses!A$3:A$1002=DATE(2026,11,15)),ROW(Expenses!A$3:A$1002)-2),3)),"")&lt;&gt;"",IFERROR(INDEX(Expenses!B$3:B$1002,SMALL(IF((Expenses!E$3:E$1002="GBP")*(Expenses!A$3:A$1002=DATE(2026,11,15)),ROW(Expenses!A$3:A$1002)-2),3)),""),IF(IFERROR(INDEX(Income!B$3:B$502,SMALL(IF((Income!D$3:D$502="GBP")*(Income!A$3:A$502=DATE(2026,11,15)),ROW(Income!A$3:A$502)-2),3)),"")&lt;&gt;"",IFERROR(INDEX(Income!B$3:B$502,SMALL(IF((Income!D$3:D$502="GBP")*(Income!A$3:A$502=DATE(2026,11,15)),ROW(Income!A$3:A$502)-2),3)),""),""))</f>
        <v/>
      </c>
      <c r="Q231" s="16"/>
      <c r="R231" s="16"/>
    </row>
    <row r="232" customFormat="false" ht="15" hidden="false" customHeight="false" outlineLevel="0" collapsed="false">
      <c r="A232" s="16"/>
      <c r="B232" s="16"/>
      <c r="C232" s="62" t="str">
        <f aca="false">IF(IFERROR(-INDEX(Expenses!D$3:D$1002,SMALL(IF((Expenses!E$3:E$1002="GBP")*(Expenses!A$3:A$1002=DATE(2026,11,9)),ROW(Expenses!A$3:A$1002)-2),4)),0)+IFERROR(INDEX(Income!C$3:C$502,SMALL(IF((Income!D$3:D$502="GBP")*(Income!A$3:A$502=DATE(2026,11,9)),ROW(Income!A$3:A$502)-2),4)),0)=0,"",IFERROR(-INDEX(Expenses!D$3:D$1002,SMALL(IF((Expenses!E$3:E$1002="GBP")*(Expenses!A$3:A$1002=DATE(2026,11,9)),ROW(Expenses!A$3:A$1002)-2),4)),0)+IFERROR(INDEX(Income!C$3:C$502,SMALL(IF((Income!D$3:D$502="GBP")*(Income!A$3:A$502=DATE(2026,11,9)),ROW(Income!A$3:A$502)-2),4)),0))</f>
        <v/>
      </c>
      <c r="D232" s="38" t="str">
        <f aca="false">IF(IFERROR(INDEX(Expenses!B$3:B$1002,SMALL(IF((Expenses!E$3:E$1002="GBP")*(Expenses!A$3:A$1002=DATE(2026,11,9)),ROW(Expenses!A$3:A$1002)-2),4)),"")&lt;&gt;"",IFERROR(INDEX(Expenses!B$3:B$1002,SMALL(IF((Expenses!E$3:E$1002="GBP")*(Expenses!A$3:A$1002=DATE(2026,11,9)),ROW(Expenses!A$3:A$1002)-2),4)),""),IF(IFERROR(INDEX(Income!B$3:B$502,SMALL(IF((Income!D$3:D$502="GBP")*(Income!A$3:A$502=DATE(2026,11,9)),ROW(Income!A$3:A$502)-2),4)),"")&lt;&gt;"",IFERROR(INDEX(Income!B$3:B$502,SMALL(IF((Income!D$3:D$502="GBP")*(Income!A$3:A$502=DATE(2026,11,9)),ROW(Income!A$3:A$502)-2),4)),""),""))</f>
        <v/>
      </c>
      <c r="E232" s="62" t="str">
        <f aca="false">IF(IFERROR(-INDEX(Expenses!D$3:D$1002,SMALL(IF((Expenses!E$3:E$1002="GBP")*(Expenses!A$3:A$1002=DATE(2026,11,10)),ROW(Expenses!A$3:A$1002)-2),4)),0)+IFERROR(INDEX(Income!C$3:C$502,SMALL(IF((Income!D$3:D$502="GBP")*(Income!A$3:A$502=DATE(2026,11,10)),ROW(Income!A$3:A$502)-2),4)),0)=0,"",IFERROR(-INDEX(Expenses!D$3:D$1002,SMALL(IF((Expenses!E$3:E$1002="GBP")*(Expenses!A$3:A$1002=DATE(2026,11,10)),ROW(Expenses!A$3:A$1002)-2),4)),0)+IFERROR(INDEX(Income!C$3:C$502,SMALL(IF((Income!D$3:D$502="GBP")*(Income!A$3:A$502=DATE(2026,11,10)),ROW(Income!A$3:A$502)-2),4)),0))</f>
        <v/>
      </c>
      <c r="F232" s="38" t="str">
        <f aca="false">IF(IFERROR(INDEX(Expenses!B$3:B$1002,SMALL(IF((Expenses!E$3:E$1002="GBP")*(Expenses!A$3:A$1002=DATE(2026,11,10)),ROW(Expenses!A$3:A$1002)-2),4)),"")&lt;&gt;"",IFERROR(INDEX(Expenses!B$3:B$1002,SMALL(IF((Expenses!E$3:E$1002="GBP")*(Expenses!A$3:A$1002=DATE(2026,11,10)),ROW(Expenses!A$3:A$1002)-2),4)),""),IF(IFERROR(INDEX(Income!B$3:B$502,SMALL(IF((Income!D$3:D$502="GBP")*(Income!A$3:A$502=DATE(2026,11,10)),ROW(Income!A$3:A$502)-2),4)),"")&lt;&gt;"",IFERROR(INDEX(Income!B$3:B$502,SMALL(IF((Income!D$3:D$502="GBP")*(Income!A$3:A$502=DATE(2026,11,10)),ROW(Income!A$3:A$502)-2),4)),""),""))</f>
        <v/>
      </c>
      <c r="G232" s="62" t="str">
        <f aca="false">IF(IFERROR(-INDEX(Expenses!D$3:D$1002,SMALL(IF((Expenses!E$3:E$1002="GBP")*(Expenses!A$3:A$1002=DATE(2026,11,11)),ROW(Expenses!A$3:A$1002)-2),4)),0)+IFERROR(INDEX(Income!C$3:C$502,SMALL(IF((Income!D$3:D$502="GBP")*(Income!A$3:A$502=DATE(2026,11,11)),ROW(Income!A$3:A$502)-2),4)),0)=0,"",IFERROR(-INDEX(Expenses!D$3:D$1002,SMALL(IF((Expenses!E$3:E$1002="GBP")*(Expenses!A$3:A$1002=DATE(2026,11,11)),ROW(Expenses!A$3:A$1002)-2),4)),0)+IFERROR(INDEX(Income!C$3:C$502,SMALL(IF((Income!D$3:D$502="GBP")*(Income!A$3:A$502=DATE(2026,11,11)),ROW(Income!A$3:A$502)-2),4)),0))</f>
        <v/>
      </c>
      <c r="H232" s="38" t="str">
        <f aca="false">IF(IFERROR(INDEX(Expenses!B$3:B$1002,SMALL(IF((Expenses!E$3:E$1002="GBP")*(Expenses!A$3:A$1002=DATE(2026,11,11)),ROW(Expenses!A$3:A$1002)-2),4)),"")&lt;&gt;"",IFERROR(INDEX(Expenses!B$3:B$1002,SMALL(IF((Expenses!E$3:E$1002="GBP")*(Expenses!A$3:A$1002=DATE(2026,11,11)),ROW(Expenses!A$3:A$1002)-2),4)),""),IF(IFERROR(INDEX(Income!B$3:B$502,SMALL(IF((Income!D$3:D$502="GBP")*(Income!A$3:A$502=DATE(2026,11,11)),ROW(Income!A$3:A$502)-2),4)),"")&lt;&gt;"",IFERROR(INDEX(Income!B$3:B$502,SMALL(IF((Income!D$3:D$502="GBP")*(Income!A$3:A$502=DATE(2026,11,11)),ROW(Income!A$3:A$502)-2),4)),""),""))</f>
        <v/>
      </c>
      <c r="I232" s="62" t="str">
        <f aca="false">IF(IFERROR(-INDEX(Expenses!D$3:D$1002,SMALL(IF((Expenses!E$3:E$1002="GBP")*(Expenses!A$3:A$1002=DATE(2026,11,12)),ROW(Expenses!A$3:A$1002)-2),4)),0)+IFERROR(INDEX(Income!C$3:C$502,SMALL(IF((Income!D$3:D$502="GBP")*(Income!A$3:A$502=DATE(2026,11,12)),ROW(Income!A$3:A$502)-2),4)),0)=0,"",IFERROR(-INDEX(Expenses!D$3:D$1002,SMALL(IF((Expenses!E$3:E$1002="GBP")*(Expenses!A$3:A$1002=DATE(2026,11,12)),ROW(Expenses!A$3:A$1002)-2),4)),0)+IFERROR(INDEX(Income!C$3:C$502,SMALL(IF((Income!D$3:D$502="GBP")*(Income!A$3:A$502=DATE(2026,11,12)),ROW(Income!A$3:A$502)-2),4)),0))</f>
        <v/>
      </c>
      <c r="J232" s="38" t="str">
        <f aca="false">IF(IFERROR(INDEX(Expenses!B$3:B$1002,SMALL(IF((Expenses!E$3:E$1002="GBP")*(Expenses!A$3:A$1002=DATE(2026,11,12)),ROW(Expenses!A$3:A$1002)-2),4)),"")&lt;&gt;"",IFERROR(INDEX(Expenses!B$3:B$1002,SMALL(IF((Expenses!E$3:E$1002="GBP")*(Expenses!A$3:A$1002=DATE(2026,11,12)),ROW(Expenses!A$3:A$1002)-2),4)),""),IF(IFERROR(INDEX(Income!B$3:B$502,SMALL(IF((Income!D$3:D$502="GBP")*(Income!A$3:A$502=DATE(2026,11,12)),ROW(Income!A$3:A$502)-2),4)),"")&lt;&gt;"",IFERROR(INDEX(Income!B$3:B$502,SMALL(IF((Income!D$3:D$502="GBP")*(Income!A$3:A$502=DATE(2026,11,12)),ROW(Income!A$3:A$502)-2),4)),""),""))</f>
        <v/>
      </c>
      <c r="K232" s="62" t="str">
        <f aca="false">IF(IFERROR(-INDEX(Expenses!D$3:D$1002,SMALL(IF((Expenses!E$3:E$1002="GBP")*(Expenses!A$3:A$1002=DATE(2026,11,13)),ROW(Expenses!A$3:A$1002)-2),4)),0)+IFERROR(INDEX(Income!C$3:C$502,SMALL(IF((Income!D$3:D$502="GBP")*(Income!A$3:A$502=DATE(2026,11,13)),ROW(Income!A$3:A$502)-2),4)),0)=0,"",IFERROR(-INDEX(Expenses!D$3:D$1002,SMALL(IF((Expenses!E$3:E$1002="GBP")*(Expenses!A$3:A$1002=DATE(2026,11,13)),ROW(Expenses!A$3:A$1002)-2),4)),0)+IFERROR(INDEX(Income!C$3:C$502,SMALL(IF((Income!D$3:D$502="GBP")*(Income!A$3:A$502=DATE(2026,11,13)),ROW(Income!A$3:A$502)-2),4)),0))</f>
        <v/>
      </c>
      <c r="L232" s="38" t="str">
        <f aca="false">IF(IFERROR(INDEX(Expenses!B$3:B$1002,SMALL(IF((Expenses!E$3:E$1002="GBP")*(Expenses!A$3:A$1002=DATE(2026,11,13)),ROW(Expenses!A$3:A$1002)-2),4)),"")&lt;&gt;"",IFERROR(INDEX(Expenses!B$3:B$1002,SMALL(IF((Expenses!E$3:E$1002="GBP")*(Expenses!A$3:A$1002=DATE(2026,11,13)),ROW(Expenses!A$3:A$1002)-2),4)),""),IF(IFERROR(INDEX(Income!B$3:B$502,SMALL(IF((Income!D$3:D$502="GBP")*(Income!A$3:A$502=DATE(2026,11,13)),ROW(Income!A$3:A$502)-2),4)),"")&lt;&gt;"",IFERROR(INDEX(Income!B$3:B$502,SMALL(IF((Income!D$3:D$502="GBP")*(Income!A$3:A$502=DATE(2026,11,13)),ROW(Income!A$3:A$502)-2),4)),""),""))</f>
        <v/>
      </c>
      <c r="M232" s="62" t="str">
        <f aca="false">IF(IFERROR(-INDEX(Expenses!D$3:D$1002,SMALL(IF((Expenses!E$3:E$1002="GBP")*(Expenses!A$3:A$1002=DATE(2026,11,14)),ROW(Expenses!A$3:A$1002)-2),4)),0)+IFERROR(INDEX(Income!C$3:C$502,SMALL(IF((Income!D$3:D$502="GBP")*(Income!A$3:A$502=DATE(2026,11,14)),ROW(Income!A$3:A$502)-2),4)),0)=0,"",IFERROR(-INDEX(Expenses!D$3:D$1002,SMALL(IF((Expenses!E$3:E$1002="GBP")*(Expenses!A$3:A$1002=DATE(2026,11,14)),ROW(Expenses!A$3:A$1002)-2),4)),0)+IFERROR(INDEX(Income!C$3:C$502,SMALL(IF((Income!D$3:D$502="GBP")*(Income!A$3:A$502=DATE(2026,11,14)),ROW(Income!A$3:A$502)-2),4)),0))</f>
        <v/>
      </c>
      <c r="N232" s="38" t="str">
        <f aca="false">IF(IFERROR(INDEX(Expenses!B$3:B$1002,SMALL(IF((Expenses!E$3:E$1002="GBP")*(Expenses!A$3:A$1002=DATE(2026,11,14)),ROW(Expenses!A$3:A$1002)-2),4)),"")&lt;&gt;"",IFERROR(INDEX(Expenses!B$3:B$1002,SMALL(IF((Expenses!E$3:E$1002="GBP")*(Expenses!A$3:A$1002=DATE(2026,11,14)),ROW(Expenses!A$3:A$1002)-2),4)),""),IF(IFERROR(INDEX(Income!B$3:B$502,SMALL(IF((Income!D$3:D$502="GBP")*(Income!A$3:A$502=DATE(2026,11,14)),ROW(Income!A$3:A$502)-2),4)),"")&lt;&gt;"",IFERROR(INDEX(Income!B$3:B$502,SMALL(IF((Income!D$3:D$502="GBP")*(Income!A$3:A$502=DATE(2026,11,14)),ROW(Income!A$3:A$502)-2),4)),""),""))</f>
        <v/>
      </c>
      <c r="O232" s="62" t="str">
        <f aca="false">IF(IFERROR(-INDEX(Expenses!D$3:D$1002,SMALL(IF((Expenses!E$3:E$1002="GBP")*(Expenses!A$3:A$1002=DATE(2026,11,15)),ROW(Expenses!A$3:A$1002)-2),4)),0)+IFERROR(INDEX(Income!C$3:C$502,SMALL(IF((Income!D$3:D$502="GBP")*(Income!A$3:A$502=DATE(2026,11,15)),ROW(Income!A$3:A$502)-2),4)),0)=0,"",IFERROR(-INDEX(Expenses!D$3:D$1002,SMALL(IF((Expenses!E$3:E$1002="GBP")*(Expenses!A$3:A$1002=DATE(2026,11,15)),ROW(Expenses!A$3:A$1002)-2),4)),0)+IFERROR(INDEX(Income!C$3:C$502,SMALL(IF((Income!D$3:D$502="GBP")*(Income!A$3:A$502=DATE(2026,11,15)),ROW(Income!A$3:A$502)-2),4)),0))</f>
        <v/>
      </c>
      <c r="P232" s="38" t="str">
        <f aca="false">IF(IFERROR(INDEX(Expenses!B$3:B$1002,SMALL(IF((Expenses!E$3:E$1002="GBP")*(Expenses!A$3:A$1002=DATE(2026,11,15)),ROW(Expenses!A$3:A$1002)-2),4)),"")&lt;&gt;"",IFERROR(INDEX(Expenses!B$3:B$1002,SMALL(IF((Expenses!E$3:E$1002="GBP")*(Expenses!A$3:A$1002=DATE(2026,11,15)),ROW(Expenses!A$3:A$1002)-2),4)),""),IF(IFERROR(INDEX(Income!B$3:B$502,SMALL(IF((Income!D$3:D$502="GBP")*(Income!A$3:A$502=DATE(2026,11,15)),ROW(Income!A$3:A$502)-2),4)),"")&lt;&gt;"",IFERROR(INDEX(Income!B$3:B$502,SMALL(IF((Income!D$3:D$502="GBP")*(Income!A$3:A$502=DATE(2026,11,15)),ROW(Income!A$3:A$502)-2),4)),""),""))</f>
        <v/>
      </c>
      <c r="Q232" s="16"/>
      <c r="R232" s="16"/>
    </row>
    <row r="233" customFormat="false" ht="15" hidden="false" customHeight="false" outlineLevel="0" collapsed="false">
      <c r="A233" s="16"/>
      <c r="B233" s="16"/>
      <c r="C233" s="62" t="str">
        <f aca="false">IF(IFERROR(-INDEX(Expenses!D$3:D$1002,SMALL(IF((Expenses!E$3:E$1002="GBP")*(Expenses!A$3:A$1002=DATE(2026,11,9)),ROW(Expenses!A$3:A$1002)-2),5)),0)+IFERROR(INDEX(Income!C$3:C$502,SMALL(IF((Income!D$3:D$502="GBP")*(Income!A$3:A$502=DATE(2026,11,9)),ROW(Income!A$3:A$502)-2),5)),0)=0,"",IFERROR(-INDEX(Expenses!D$3:D$1002,SMALL(IF((Expenses!E$3:E$1002="GBP")*(Expenses!A$3:A$1002=DATE(2026,11,9)),ROW(Expenses!A$3:A$1002)-2),5)),0)+IFERROR(INDEX(Income!C$3:C$502,SMALL(IF((Income!D$3:D$502="GBP")*(Income!A$3:A$502=DATE(2026,11,9)),ROW(Income!A$3:A$502)-2),5)),0))</f>
        <v/>
      </c>
      <c r="D233" s="38" t="str">
        <f aca="false">IF(IFERROR(INDEX(Expenses!B$3:B$1002,SMALL(IF((Expenses!E$3:E$1002="GBP")*(Expenses!A$3:A$1002=DATE(2026,11,9)),ROW(Expenses!A$3:A$1002)-2),5)),"")&lt;&gt;"",IFERROR(INDEX(Expenses!B$3:B$1002,SMALL(IF((Expenses!E$3:E$1002="GBP")*(Expenses!A$3:A$1002=DATE(2026,11,9)),ROW(Expenses!A$3:A$1002)-2),5)),""),IF(IFERROR(INDEX(Income!B$3:B$502,SMALL(IF((Income!D$3:D$502="GBP")*(Income!A$3:A$502=DATE(2026,11,9)),ROW(Income!A$3:A$502)-2),5)),"")&lt;&gt;"",IFERROR(INDEX(Income!B$3:B$502,SMALL(IF((Income!D$3:D$502="GBP")*(Income!A$3:A$502=DATE(2026,11,9)),ROW(Income!A$3:A$502)-2),5)),""),""))</f>
        <v/>
      </c>
      <c r="E233" s="62" t="str">
        <f aca="false">IF(IFERROR(-INDEX(Expenses!D$3:D$1002,SMALL(IF((Expenses!E$3:E$1002="GBP")*(Expenses!A$3:A$1002=DATE(2026,11,10)),ROW(Expenses!A$3:A$1002)-2),5)),0)+IFERROR(INDEX(Income!C$3:C$502,SMALL(IF((Income!D$3:D$502="GBP")*(Income!A$3:A$502=DATE(2026,11,10)),ROW(Income!A$3:A$502)-2),5)),0)=0,"",IFERROR(-INDEX(Expenses!D$3:D$1002,SMALL(IF((Expenses!E$3:E$1002="GBP")*(Expenses!A$3:A$1002=DATE(2026,11,10)),ROW(Expenses!A$3:A$1002)-2),5)),0)+IFERROR(INDEX(Income!C$3:C$502,SMALL(IF((Income!D$3:D$502="GBP")*(Income!A$3:A$502=DATE(2026,11,10)),ROW(Income!A$3:A$502)-2),5)),0))</f>
        <v/>
      </c>
      <c r="F233" s="38" t="str">
        <f aca="false">IF(IFERROR(INDEX(Expenses!B$3:B$1002,SMALL(IF((Expenses!E$3:E$1002="GBP")*(Expenses!A$3:A$1002=DATE(2026,11,10)),ROW(Expenses!A$3:A$1002)-2),5)),"")&lt;&gt;"",IFERROR(INDEX(Expenses!B$3:B$1002,SMALL(IF((Expenses!E$3:E$1002="GBP")*(Expenses!A$3:A$1002=DATE(2026,11,10)),ROW(Expenses!A$3:A$1002)-2),5)),""),IF(IFERROR(INDEX(Income!B$3:B$502,SMALL(IF((Income!D$3:D$502="GBP")*(Income!A$3:A$502=DATE(2026,11,10)),ROW(Income!A$3:A$502)-2),5)),"")&lt;&gt;"",IFERROR(INDEX(Income!B$3:B$502,SMALL(IF((Income!D$3:D$502="GBP")*(Income!A$3:A$502=DATE(2026,11,10)),ROW(Income!A$3:A$502)-2),5)),""),""))</f>
        <v/>
      </c>
      <c r="G233" s="62" t="str">
        <f aca="false">IF(IFERROR(-INDEX(Expenses!D$3:D$1002,SMALL(IF((Expenses!E$3:E$1002="GBP")*(Expenses!A$3:A$1002=DATE(2026,11,11)),ROW(Expenses!A$3:A$1002)-2),5)),0)+IFERROR(INDEX(Income!C$3:C$502,SMALL(IF((Income!D$3:D$502="GBP")*(Income!A$3:A$502=DATE(2026,11,11)),ROW(Income!A$3:A$502)-2),5)),0)=0,"",IFERROR(-INDEX(Expenses!D$3:D$1002,SMALL(IF((Expenses!E$3:E$1002="GBP")*(Expenses!A$3:A$1002=DATE(2026,11,11)),ROW(Expenses!A$3:A$1002)-2),5)),0)+IFERROR(INDEX(Income!C$3:C$502,SMALL(IF((Income!D$3:D$502="GBP")*(Income!A$3:A$502=DATE(2026,11,11)),ROW(Income!A$3:A$502)-2),5)),0))</f>
        <v/>
      </c>
      <c r="H233" s="38" t="str">
        <f aca="false">IF(IFERROR(INDEX(Expenses!B$3:B$1002,SMALL(IF((Expenses!E$3:E$1002="GBP")*(Expenses!A$3:A$1002=DATE(2026,11,11)),ROW(Expenses!A$3:A$1002)-2),5)),"")&lt;&gt;"",IFERROR(INDEX(Expenses!B$3:B$1002,SMALL(IF((Expenses!E$3:E$1002="GBP")*(Expenses!A$3:A$1002=DATE(2026,11,11)),ROW(Expenses!A$3:A$1002)-2),5)),""),IF(IFERROR(INDEX(Income!B$3:B$502,SMALL(IF((Income!D$3:D$502="GBP")*(Income!A$3:A$502=DATE(2026,11,11)),ROW(Income!A$3:A$502)-2),5)),"")&lt;&gt;"",IFERROR(INDEX(Income!B$3:B$502,SMALL(IF((Income!D$3:D$502="GBP")*(Income!A$3:A$502=DATE(2026,11,11)),ROW(Income!A$3:A$502)-2),5)),""),""))</f>
        <v/>
      </c>
      <c r="I233" s="62" t="str">
        <f aca="false">IF(IFERROR(-INDEX(Expenses!D$3:D$1002,SMALL(IF((Expenses!E$3:E$1002="GBP")*(Expenses!A$3:A$1002=DATE(2026,11,12)),ROW(Expenses!A$3:A$1002)-2),5)),0)+IFERROR(INDEX(Income!C$3:C$502,SMALL(IF((Income!D$3:D$502="GBP")*(Income!A$3:A$502=DATE(2026,11,12)),ROW(Income!A$3:A$502)-2),5)),0)=0,"",IFERROR(-INDEX(Expenses!D$3:D$1002,SMALL(IF((Expenses!E$3:E$1002="GBP")*(Expenses!A$3:A$1002=DATE(2026,11,12)),ROW(Expenses!A$3:A$1002)-2),5)),0)+IFERROR(INDEX(Income!C$3:C$502,SMALL(IF((Income!D$3:D$502="GBP")*(Income!A$3:A$502=DATE(2026,11,12)),ROW(Income!A$3:A$502)-2),5)),0))</f>
        <v/>
      </c>
      <c r="J233" s="38" t="str">
        <f aca="false">IF(IFERROR(INDEX(Expenses!B$3:B$1002,SMALL(IF((Expenses!E$3:E$1002="GBP")*(Expenses!A$3:A$1002=DATE(2026,11,12)),ROW(Expenses!A$3:A$1002)-2),5)),"")&lt;&gt;"",IFERROR(INDEX(Expenses!B$3:B$1002,SMALL(IF((Expenses!E$3:E$1002="GBP")*(Expenses!A$3:A$1002=DATE(2026,11,12)),ROW(Expenses!A$3:A$1002)-2),5)),""),IF(IFERROR(INDEX(Income!B$3:B$502,SMALL(IF((Income!D$3:D$502="GBP")*(Income!A$3:A$502=DATE(2026,11,12)),ROW(Income!A$3:A$502)-2),5)),"")&lt;&gt;"",IFERROR(INDEX(Income!B$3:B$502,SMALL(IF((Income!D$3:D$502="GBP")*(Income!A$3:A$502=DATE(2026,11,12)),ROW(Income!A$3:A$502)-2),5)),""),""))</f>
        <v/>
      </c>
      <c r="K233" s="62" t="str">
        <f aca="false">IF(IFERROR(-INDEX(Expenses!D$3:D$1002,SMALL(IF((Expenses!E$3:E$1002="GBP")*(Expenses!A$3:A$1002=DATE(2026,11,13)),ROW(Expenses!A$3:A$1002)-2),5)),0)+IFERROR(INDEX(Income!C$3:C$502,SMALL(IF((Income!D$3:D$502="GBP")*(Income!A$3:A$502=DATE(2026,11,13)),ROW(Income!A$3:A$502)-2),5)),0)=0,"",IFERROR(-INDEX(Expenses!D$3:D$1002,SMALL(IF((Expenses!E$3:E$1002="GBP")*(Expenses!A$3:A$1002=DATE(2026,11,13)),ROW(Expenses!A$3:A$1002)-2),5)),0)+IFERROR(INDEX(Income!C$3:C$502,SMALL(IF((Income!D$3:D$502="GBP")*(Income!A$3:A$502=DATE(2026,11,13)),ROW(Income!A$3:A$502)-2),5)),0))</f>
        <v/>
      </c>
      <c r="L233" s="38" t="str">
        <f aca="false">IF(IFERROR(INDEX(Expenses!B$3:B$1002,SMALL(IF((Expenses!E$3:E$1002="GBP")*(Expenses!A$3:A$1002=DATE(2026,11,13)),ROW(Expenses!A$3:A$1002)-2),5)),"")&lt;&gt;"",IFERROR(INDEX(Expenses!B$3:B$1002,SMALL(IF((Expenses!E$3:E$1002="GBP")*(Expenses!A$3:A$1002=DATE(2026,11,13)),ROW(Expenses!A$3:A$1002)-2),5)),""),IF(IFERROR(INDEX(Income!B$3:B$502,SMALL(IF((Income!D$3:D$502="GBP")*(Income!A$3:A$502=DATE(2026,11,13)),ROW(Income!A$3:A$502)-2),5)),"")&lt;&gt;"",IFERROR(INDEX(Income!B$3:B$502,SMALL(IF((Income!D$3:D$502="GBP")*(Income!A$3:A$502=DATE(2026,11,13)),ROW(Income!A$3:A$502)-2),5)),""),""))</f>
        <v/>
      </c>
      <c r="M233" s="62" t="str">
        <f aca="false">IF(IFERROR(-INDEX(Expenses!D$3:D$1002,SMALL(IF((Expenses!E$3:E$1002="GBP")*(Expenses!A$3:A$1002=DATE(2026,11,14)),ROW(Expenses!A$3:A$1002)-2),5)),0)+IFERROR(INDEX(Income!C$3:C$502,SMALL(IF((Income!D$3:D$502="GBP")*(Income!A$3:A$502=DATE(2026,11,14)),ROW(Income!A$3:A$502)-2),5)),0)=0,"",IFERROR(-INDEX(Expenses!D$3:D$1002,SMALL(IF((Expenses!E$3:E$1002="GBP")*(Expenses!A$3:A$1002=DATE(2026,11,14)),ROW(Expenses!A$3:A$1002)-2),5)),0)+IFERROR(INDEX(Income!C$3:C$502,SMALL(IF((Income!D$3:D$502="GBP")*(Income!A$3:A$502=DATE(2026,11,14)),ROW(Income!A$3:A$502)-2),5)),0))</f>
        <v/>
      </c>
      <c r="N233" s="38" t="str">
        <f aca="false">IF(IFERROR(INDEX(Expenses!B$3:B$1002,SMALL(IF((Expenses!E$3:E$1002="GBP")*(Expenses!A$3:A$1002=DATE(2026,11,14)),ROW(Expenses!A$3:A$1002)-2),5)),"")&lt;&gt;"",IFERROR(INDEX(Expenses!B$3:B$1002,SMALL(IF((Expenses!E$3:E$1002="GBP")*(Expenses!A$3:A$1002=DATE(2026,11,14)),ROW(Expenses!A$3:A$1002)-2),5)),""),IF(IFERROR(INDEX(Income!B$3:B$502,SMALL(IF((Income!D$3:D$502="GBP")*(Income!A$3:A$502=DATE(2026,11,14)),ROW(Income!A$3:A$502)-2),5)),"")&lt;&gt;"",IFERROR(INDEX(Income!B$3:B$502,SMALL(IF((Income!D$3:D$502="GBP")*(Income!A$3:A$502=DATE(2026,11,14)),ROW(Income!A$3:A$502)-2),5)),""),""))</f>
        <v/>
      </c>
      <c r="O233" s="62" t="str">
        <f aca="false">IF(IFERROR(-INDEX(Expenses!D$3:D$1002,SMALL(IF((Expenses!E$3:E$1002="GBP")*(Expenses!A$3:A$1002=DATE(2026,11,15)),ROW(Expenses!A$3:A$1002)-2),5)),0)+IFERROR(INDEX(Income!C$3:C$502,SMALL(IF((Income!D$3:D$502="GBP")*(Income!A$3:A$502=DATE(2026,11,15)),ROW(Income!A$3:A$502)-2),5)),0)=0,"",IFERROR(-INDEX(Expenses!D$3:D$1002,SMALL(IF((Expenses!E$3:E$1002="GBP")*(Expenses!A$3:A$1002=DATE(2026,11,15)),ROW(Expenses!A$3:A$1002)-2),5)),0)+IFERROR(INDEX(Income!C$3:C$502,SMALL(IF((Income!D$3:D$502="GBP")*(Income!A$3:A$502=DATE(2026,11,15)),ROW(Income!A$3:A$502)-2),5)),0))</f>
        <v/>
      </c>
      <c r="P233" s="38" t="str">
        <f aca="false">IF(IFERROR(INDEX(Expenses!B$3:B$1002,SMALL(IF((Expenses!E$3:E$1002="GBP")*(Expenses!A$3:A$1002=DATE(2026,11,15)),ROW(Expenses!A$3:A$1002)-2),5)),"")&lt;&gt;"",IFERROR(INDEX(Expenses!B$3:B$1002,SMALL(IF((Expenses!E$3:E$1002="GBP")*(Expenses!A$3:A$1002=DATE(2026,11,15)),ROW(Expenses!A$3:A$1002)-2),5)),""),IF(IFERROR(INDEX(Income!B$3:B$502,SMALL(IF((Income!D$3:D$502="GBP")*(Income!A$3:A$502=DATE(2026,11,15)),ROW(Income!A$3:A$502)-2),5)),"")&lt;&gt;"",IFERROR(INDEX(Income!B$3:B$502,SMALL(IF((Income!D$3:D$502="GBP")*(Income!A$3:A$502=DATE(2026,11,15)),ROW(Income!A$3:A$502)-2),5)),""),""))</f>
        <v/>
      </c>
      <c r="Q233" s="16"/>
      <c r="R233" s="16"/>
    </row>
    <row r="234" customFormat="false" ht="15" hidden="false" customHeight="false" outlineLevel="0" collapsed="false">
      <c r="A234" s="61" t="n">
        <v>46342</v>
      </c>
      <c r="B234" s="3" t="n">
        <v>47</v>
      </c>
      <c r="C234" s="62" t="str">
        <f aca="false">IF(IFERROR(-INDEX(Expenses!D$3:D$1002,SMALL(IF((Expenses!E$3:E$1002="GBP")*(Expenses!A$3:A$1002=DATE(2026,11,16)),ROW(Expenses!A$3:A$1002)-2),1)),0)+IFERROR(INDEX(Income!C$3:C$502,SMALL(IF((Income!D$3:D$502="GBP")*(Income!A$3:A$502=DATE(2026,11,16)),ROW(Income!A$3:A$502)-2),1)),0)=0,"",IFERROR(-INDEX(Expenses!D$3:D$1002,SMALL(IF((Expenses!E$3:E$1002="GBP")*(Expenses!A$3:A$1002=DATE(2026,11,16)),ROW(Expenses!A$3:A$1002)-2),1)),0)+IFERROR(INDEX(Income!C$3:C$502,SMALL(IF((Income!D$3:D$502="GBP")*(Income!A$3:A$502=DATE(2026,11,16)),ROW(Income!A$3:A$502)-2),1)),0))</f>
        <v/>
      </c>
      <c r="D234" s="38" t="str">
        <f aca="false">IF(IFERROR(INDEX(Expenses!B$3:B$1002,SMALL(IF((Expenses!E$3:E$1002="GBP")*(Expenses!A$3:A$1002=DATE(2026,11,16)),ROW(Expenses!A$3:A$1002)-2),1)),"")&lt;&gt;"",IFERROR(INDEX(Expenses!B$3:B$1002,SMALL(IF((Expenses!E$3:E$1002="GBP")*(Expenses!A$3:A$1002=DATE(2026,11,16)),ROW(Expenses!A$3:A$1002)-2),1)),""),IF(IFERROR(INDEX(Income!B$3:B$502,SMALL(IF((Income!D$3:D$502="GBP")*(Income!A$3:A$502=DATE(2026,11,16)),ROW(Income!A$3:A$502)-2),1)),"")&lt;&gt;"",IFERROR(INDEX(Income!B$3:B$502,SMALL(IF((Income!D$3:D$502="GBP")*(Income!A$3:A$502=DATE(2026,11,16)),ROW(Income!A$3:A$502)-2),1)),""),""))</f>
        <v/>
      </c>
      <c r="E234" s="62" t="str">
        <f aca="false">IF(IFERROR(-INDEX(Expenses!D$3:D$1002,SMALL(IF((Expenses!E$3:E$1002="GBP")*(Expenses!A$3:A$1002=DATE(2026,11,17)),ROW(Expenses!A$3:A$1002)-2),1)),0)+IFERROR(INDEX(Income!C$3:C$502,SMALL(IF((Income!D$3:D$502="GBP")*(Income!A$3:A$502=DATE(2026,11,17)),ROW(Income!A$3:A$502)-2),1)),0)=0,"",IFERROR(-INDEX(Expenses!D$3:D$1002,SMALL(IF((Expenses!E$3:E$1002="GBP")*(Expenses!A$3:A$1002=DATE(2026,11,17)),ROW(Expenses!A$3:A$1002)-2),1)),0)+IFERROR(INDEX(Income!C$3:C$502,SMALL(IF((Income!D$3:D$502="GBP")*(Income!A$3:A$502=DATE(2026,11,17)),ROW(Income!A$3:A$502)-2),1)),0))</f>
        <v/>
      </c>
      <c r="F234" s="38" t="str">
        <f aca="false">IF(IFERROR(INDEX(Expenses!B$3:B$1002,SMALL(IF((Expenses!E$3:E$1002="GBP")*(Expenses!A$3:A$1002=DATE(2026,11,17)),ROW(Expenses!A$3:A$1002)-2),1)),"")&lt;&gt;"",IFERROR(INDEX(Expenses!B$3:B$1002,SMALL(IF((Expenses!E$3:E$1002="GBP")*(Expenses!A$3:A$1002=DATE(2026,11,17)),ROW(Expenses!A$3:A$1002)-2),1)),""),IF(IFERROR(INDEX(Income!B$3:B$502,SMALL(IF((Income!D$3:D$502="GBP")*(Income!A$3:A$502=DATE(2026,11,17)),ROW(Income!A$3:A$502)-2),1)),"")&lt;&gt;"",IFERROR(INDEX(Income!B$3:B$502,SMALL(IF((Income!D$3:D$502="GBP")*(Income!A$3:A$502=DATE(2026,11,17)),ROW(Income!A$3:A$502)-2),1)),""),""))</f>
        <v/>
      </c>
      <c r="G234" s="62" t="str">
        <f aca="false">IF(IFERROR(-INDEX(Expenses!D$3:D$1002,SMALL(IF((Expenses!E$3:E$1002="GBP")*(Expenses!A$3:A$1002=DATE(2026,11,18)),ROW(Expenses!A$3:A$1002)-2),1)),0)+IFERROR(INDEX(Income!C$3:C$502,SMALL(IF((Income!D$3:D$502="GBP")*(Income!A$3:A$502=DATE(2026,11,18)),ROW(Income!A$3:A$502)-2),1)),0)=0,"",IFERROR(-INDEX(Expenses!D$3:D$1002,SMALL(IF((Expenses!E$3:E$1002="GBP")*(Expenses!A$3:A$1002=DATE(2026,11,18)),ROW(Expenses!A$3:A$1002)-2),1)),0)+IFERROR(INDEX(Income!C$3:C$502,SMALL(IF((Income!D$3:D$502="GBP")*(Income!A$3:A$502=DATE(2026,11,18)),ROW(Income!A$3:A$502)-2),1)),0))</f>
        <v/>
      </c>
      <c r="H234" s="38" t="str">
        <f aca="false">IF(IFERROR(INDEX(Expenses!B$3:B$1002,SMALL(IF((Expenses!E$3:E$1002="GBP")*(Expenses!A$3:A$1002=DATE(2026,11,18)),ROW(Expenses!A$3:A$1002)-2),1)),"")&lt;&gt;"",IFERROR(INDEX(Expenses!B$3:B$1002,SMALL(IF((Expenses!E$3:E$1002="GBP")*(Expenses!A$3:A$1002=DATE(2026,11,18)),ROW(Expenses!A$3:A$1002)-2),1)),""),IF(IFERROR(INDEX(Income!B$3:B$502,SMALL(IF((Income!D$3:D$502="GBP")*(Income!A$3:A$502=DATE(2026,11,18)),ROW(Income!A$3:A$502)-2),1)),"")&lt;&gt;"",IFERROR(INDEX(Income!B$3:B$502,SMALL(IF((Income!D$3:D$502="GBP")*(Income!A$3:A$502=DATE(2026,11,18)),ROW(Income!A$3:A$502)-2),1)),""),""))</f>
        <v/>
      </c>
      <c r="I234" s="62" t="str">
        <f aca="false">IF(IFERROR(-INDEX(Expenses!D$3:D$1002,SMALL(IF((Expenses!E$3:E$1002="GBP")*(Expenses!A$3:A$1002=DATE(2026,11,19)),ROW(Expenses!A$3:A$1002)-2),1)),0)+IFERROR(INDEX(Income!C$3:C$502,SMALL(IF((Income!D$3:D$502="GBP")*(Income!A$3:A$502=DATE(2026,11,19)),ROW(Income!A$3:A$502)-2),1)),0)=0,"",IFERROR(-INDEX(Expenses!D$3:D$1002,SMALL(IF((Expenses!E$3:E$1002="GBP")*(Expenses!A$3:A$1002=DATE(2026,11,19)),ROW(Expenses!A$3:A$1002)-2),1)),0)+IFERROR(INDEX(Income!C$3:C$502,SMALL(IF((Income!D$3:D$502="GBP")*(Income!A$3:A$502=DATE(2026,11,19)),ROW(Income!A$3:A$502)-2),1)),0))</f>
        <v/>
      </c>
      <c r="J234" s="38" t="str">
        <f aca="false">IF(IFERROR(INDEX(Expenses!B$3:B$1002,SMALL(IF((Expenses!E$3:E$1002="GBP")*(Expenses!A$3:A$1002=DATE(2026,11,19)),ROW(Expenses!A$3:A$1002)-2),1)),"")&lt;&gt;"",IFERROR(INDEX(Expenses!B$3:B$1002,SMALL(IF((Expenses!E$3:E$1002="GBP")*(Expenses!A$3:A$1002=DATE(2026,11,19)),ROW(Expenses!A$3:A$1002)-2),1)),""),IF(IFERROR(INDEX(Income!B$3:B$502,SMALL(IF((Income!D$3:D$502="GBP")*(Income!A$3:A$502=DATE(2026,11,19)),ROW(Income!A$3:A$502)-2),1)),"")&lt;&gt;"",IFERROR(INDEX(Income!B$3:B$502,SMALL(IF((Income!D$3:D$502="GBP")*(Income!A$3:A$502=DATE(2026,11,19)),ROW(Income!A$3:A$502)-2),1)),""),""))</f>
        <v/>
      </c>
      <c r="K234" s="62" t="str">
        <f aca="false">IF(IFERROR(-INDEX(Expenses!D$3:D$1002,SMALL(IF((Expenses!E$3:E$1002="GBP")*(Expenses!A$3:A$1002=DATE(2026,11,20)),ROW(Expenses!A$3:A$1002)-2),1)),0)+IFERROR(INDEX(Income!C$3:C$502,SMALL(IF((Income!D$3:D$502="GBP")*(Income!A$3:A$502=DATE(2026,11,20)),ROW(Income!A$3:A$502)-2),1)),0)=0,"",IFERROR(-INDEX(Expenses!D$3:D$1002,SMALL(IF((Expenses!E$3:E$1002="GBP")*(Expenses!A$3:A$1002=DATE(2026,11,20)),ROW(Expenses!A$3:A$1002)-2),1)),0)+IFERROR(INDEX(Income!C$3:C$502,SMALL(IF((Income!D$3:D$502="GBP")*(Income!A$3:A$502=DATE(2026,11,20)),ROW(Income!A$3:A$502)-2),1)),0))</f>
        <v/>
      </c>
      <c r="L234" s="38" t="str">
        <f aca="false">IF(IFERROR(INDEX(Expenses!B$3:B$1002,SMALL(IF((Expenses!E$3:E$1002="GBP")*(Expenses!A$3:A$1002=DATE(2026,11,20)),ROW(Expenses!A$3:A$1002)-2),1)),"")&lt;&gt;"",IFERROR(INDEX(Expenses!B$3:B$1002,SMALL(IF((Expenses!E$3:E$1002="GBP")*(Expenses!A$3:A$1002=DATE(2026,11,20)),ROW(Expenses!A$3:A$1002)-2),1)),""),IF(IFERROR(INDEX(Income!B$3:B$502,SMALL(IF((Income!D$3:D$502="GBP")*(Income!A$3:A$502=DATE(2026,11,20)),ROW(Income!A$3:A$502)-2),1)),"")&lt;&gt;"",IFERROR(INDEX(Income!B$3:B$502,SMALL(IF((Income!D$3:D$502="GBP")*(Income!A$3:A$502=DATE(2026,11,20)),ROW(Income!A$3:A$502)-2),1)),""),""))</f>
        <v/>
      </c>
      <c r="M234" s="62" t="str">
        <f aca="false">IF(IFERROR(-INDEX(Expenses!D$3:D$1002,SMALL(IF((Expenses!E$3:E$1002="GBP")*(Expenses!A$3:A$1002=DATE(2026,11,21)),ROW(Expenses!A$3:A$1002)-2),1)),0)+IFERROR(INDEX(Income!C$3:C$502,SMALL(IF((Income!D$3:D$502="GBP")*(Income!A$3:A$502=DATE(2026,11,21)),ROW(Income!A$3:A$502)-2),1)),0)=0,"",IFERROR(-INDEX(Expenses!D$3:D$1002,SMALL(IF((Expenses!E$3:E$1002="GBP")*(Expenses!A$3:A$1002=DATE(2026,11,21)),ROW(Expenses!A$3:A$1002)-2),1)),0)+IFERROR(INDEX(Income!C$3:C$502,SMALL(IF((Income!D$3:D$502="GBP")*(Income!A$3:A$502=DATE(2026,11,21)),ROW(Income!A$3:A$502)-2),1)),0))</f>
        <v/>
      </c>
      <c r="N234" s="38" t="str">
        <f aca="false">IF(IFERROR(INDEX(Expenses!B$3:B$1002,SMALL(IF((Expenses!E$3:E$1002="GBP")*(Expenses!A$3:A$1002=DATE(2026,11,21)),ROW(Expenses!A$3:A$1002)-2),1)),"")&lt;&gt;"",IFERROR(INDEX(Expenses!B$3:B$1002,SMALL(IF((Expenses!E$3:E$1002="GBP")*(Expenses!A$3:A$1002=DATE(2026,11,21)),ROW(Expenses!A$3:A$1002)-2),1)),""),IF(IFERROR(INDEX(Income!B$3:B$502,SMALL(IF((Income!D$3:D$502="GBP")*(Income!A$3:A$502=DATE(2026,11,21)),ROW(Income!A$3:A$502)-2),1)),"")&lt;&gt;"",IFERROR(INDEX(Income!B$3:B$502,SMALL(IF((Income!D$3:D$502="GBP")*(Income!A$3:A$502=DATE(2026,11,21)),ROW(Income!A$3:A$502)-2),1)),""),""))</f>
        <v/>
      </c>
      <c r="O234" s="62" t="str">
        <f aca="false">IF(IFERROR(-INDEX(Expenses!D$3:D$1002,SMALL(IF((Expenses!E$3:E$1002="GBP")*(Expenses!A$3:A$1002=DATE(2026,11,22)),ROW(Expenses!A$3:A$1002)-2),1)),0)+IFERROR(INDEX(Income!C$3:C$502,SMALL(IF((Income!D$3:D$502="GBP")*(Income!A$3:A$502=DATE(2026,11,22)),ROW(Income!A$3:A$502)-2),1)),0)=0,"",IFERROR(-INDEX(Expenses!D$3:D$1002,SMALL(IF((Expenses!E$3:E$1002="GBP")*(Expenses!A$3:A$1002=DATE(2026,11,22)),ROW(Expenses!A$3:A$1002)-2),1)),0)+IFERROR(INDEX(Income!C$3:C$502,SMALL(IF((Income!D$3:D$502="GBP")*(Income!A$3:A$502=DATE(2026,11,22)),ROW(Income!A$3:A$502)-2),1)),0))</f>
        <v/>
      </c>
      <c r="P234" s="38" t="str">
        <f aca="false">IF(IFERROR(INDEX(Expenses!B$3:B$1002,SMALL(IF((Expenses!E$3:E$1002="GBP")*(Expenses!A$3:A$1002=DATE(2026,11,22)),ROW(Expenses!A$3:A$1002)-2),1)),"")&lt;&gt;"",IFERROR(INDEX(Expenses!B$3:B$1002,SMALL(IF((Expenses!E$3:E$1002="GBP")*(Expenses!A$3:A$1002=DATE(2026,11,22)),ROW(Expenses!A$3:A$1002)-2),1)),""),IF(IFERROR(INDEX(Income!B$3:B$502,SMALL(IF((Income!D$3:D$502="GBP")*(Income!A$3:A$502=DATE(2026,11,22)),ROW(Income!A$3:A$502)-2),1)),"")&lt;&gt;"",IFERROR(INDEX(Income!B$3:B$502,SMALL(IF((Income!D$3:D$502="GBP")*(Income!A$3:A$502=DATE(2026,11,22)),ROW(Income!A$3:A$502)-2),1)),""),""))</f>
        <v/>
      </c>
      <c r="Q234" s="3" t="n">
        <v>47</v>
      </c>
      <c r="R234" s="45" t="n">
        <f aca="false">SUM(C234:C238)+SUM(E234:E238)+SUM(G234:G238)+SUM(I234:I238)+SUM(K234:K238)+SUM(M234:M238)+SUM(O234:O238)</f>
        <v>0</v>
      </c>
    </row>
    <row r="235" customFormat="false" ht="15" hidden="false" customHeight="false" outlineLevel="0" collapsed="false">
      <c r="A235" s="16"/>
      <c r="B235" s="16"/>
      <c r="C235" s="62" t="str">
        <f aca="false">IF(IFERROR(-INDEX(Expenses!D$3:D$1002,SMALL(IF((Expenses!E$3:E$1002="GBP")*(Expenses!A$3:A$1002=DATE(2026,11,16)),ROW(Expenses!A$3:A$1002)-2),2)),0)+IFERROR(INDEX(Income!C$3:C$502,SMALL(IF((Income!D$3:D$502="GBP")*(Income!A$3:A$502=DATE(2026,11,16)),ROW(Income!A$3:A$502)-2),2)),0)=0,"",IFERROR(-INDEX(Expenses!D$3:D$1002,SMALL(IF((Expenses!E$3:E$1002="GBP")*(Expenses!A$3:A$1002=DATE(2026,11,16)),ROW(Expenses!A$3:A$1002)-2),2)),0)+IFERROR(INDEX(Income!C$3:C$502,SMALL(IF((Income!D$3:D$502="GBP")*(Income!A$3:A$502=DATE(2026,11,16)),ROW(Income!A$3:A$502)-2),2)),0))</f>
        <v/>
      </c>
      <c r="D235" s="38" t="str">
        <f aca="false">IF(IFERROR(INDEX(Expenses!B$3:B$1002,SMALL(IF((Expenses!E$3:E$1002="GBP")*(Expenses!A$3:A$1002=DATE(2026,11,16)),ROW(Expenses!A$3:A$1002)-2),2)),"")&lt;&gt;"",IFERROR(INDEX(Expenses!B$3:B$1002,SMALL(IF((Expenses!E$3:E$1002="GBP")*(Expenses!A$3:A$1002=DATE(2026,11,16)),ROW(Expenses!A$3:A$1002)-2),2)),""),IF(IFERROR(INDEX(Income!B$3:B$502,SMALL(IF((Income!D$3:D$502="GBP")*(Income!A$3:A$502=DATE(2026,11,16)),ROW(Income!A$3:A$502)-2),2)),"")&lt;&gt;"",IFERROR(INDEX(Income!B$3:B$502,SMALL(IF((Income!D$3:D$502="GBP")*(Income!A$3:A$502=DATE(2026,11,16)),ROW(Income!A$3:A$502)-2),2)),""),""))</f>
        <v/>
      </c>
      <c r="E235" s="62" t="str">
        <f aca="false">IF(IFERROR(-INDEX(Expenses!D$3:D$1002,SMALL(IF((Expenses!E$3:E$1002="GBP")*(Expenses!A$3:A$1002=DATE(2026,11,17)),ROW(Expenses!A$3:A$1002)-2),2)),0)+IFERROR(INDEX(Income!C$3:C$502,SMALL(IF((Income!D$3:D$502="GBP")*(Income!A$3:A$502=DATE(2026,11,17)),ROW(Income!A$3:A$502)-2),2)),0)=0,"",IFERROR(-INDEX(Expenses!D$3:D$1002,SMALL(IF((Expenses!E$3:E$1002="GBP")*(Expenses!A$3:A$1002=DATE(2026,11,17)),ROW(Expenses!A$3:A$1002)-2),2)),0)+IFERROR(INDEX(Income!C$3:C$502,SMALL(IF((Income!D$3:D$502="GBP")*(Income!A$3:A$502=DATE(2026,11,17)),ROW(Income!A$3:A$502)-2),2)),0))</f>
        <v/>
      </c>
      <c r="F235" s="38" t="str">
        <f aca="false">IF(IFERROR(INDEX(Expenses!B$3:B$1002,SMALL(IF((Expenses!E$3:E$1002="GBP")*(Expenses!A$3:A$1002=DATE(2026,11,17)),ROW(Expenses!A$3:A$1002)-2),2)),"")&lt;&gt;"",IFERROR(INDEX(Expenses!B$3:B$1002,SMALL(IF((Expenses!E$3:E$1002="GBP")*(Expenses!A$3:A$1002=DATE(2026,11,17)),ROW(Expenses!A$3:A$1002)-2),2)),""),IF(IFERROR(INDEX(Income!B$3:B$502,SMALL(IF((Income!D$3:D$502="GBP")*(Income!A$3:A$502=DATE(2026,11,17)),ROW(Income!A$3:A$502)-2),2)),"")&lt;&gt;"",IFERROR(INDEX(Income!B$3:B$502,SMALL(IF((Income!D$3:D$502="GBP")*(Income!A$3:A$502=DATE(2026,11,17)),ROW(Income!A$3:A$502)-2),2)),""),""))</f>
        <v/>
      </c>
      <c r="G235" s="62" t="str">
        <f aca="false">IF(IFERROR(-INDEX(Expenses!D$3:D$1002,SMALL(IF((Expenses!E$3:E$1002="GBP")*(Expenses!A$3:A$1002=DATE(2026,11,18)),ROW(Expenses!A$3:A$1002)-2),2)),0)+IFERROR(INDEX(Income!C$3:C$502,SMALL(IF((Income!D$3:D$502="GBP")*(Income!A$3:A$502=DATE(2026,11,18)),ROW(Income!A$3:A$502)-2),2)),0)=0,"",IFERROR(-INDEX(Expenses!D$3:D$1002,SMALL(IF((Expenses!E$3:E$1002="GBP")*(Expenses!A$3:A$1002=DATE(2026,11,18)),ROW(Expenses!A$3:A$1002)-2),2)),0)+IFERROR(INDEX(Income!C$3:C$502,SMALL(IF((Income!D$3:D$502="GBP")*(Income!A$3:A$502=DATE(2026,11,18)),ROW(Income!A$3:A$502)-2),2)),0))</f>
        <v/>
      </c>
      <c r="H235" s="38" t="str">
        <f aca="false">IF(IFERROR(INDEX(Expenses!B$3:B$1002,SMALL(IF((Expenses!E$3:E$1002="GBP")*(Expenses!A$3:A$1002=DATE(2026,11,18)),ROW(Expenses!A$3:A$1002)-2),2)),"")&lt;&gt;"",IFERROR(INDEX(Expenses!B$3:B$1002,SMALL(IF((Expenses!E$3:E$1002="GBP")*(Expenses!A$3:A$1002=DATE(2026,11,18)),ROW(Expenses!A$3:A$1002)-2),2)),""),IF(IFERROR(INDEX(Income!B$3:B$502,SMALL(IF((Income!D$3:D$502="GBP")*(Income!A$3:A$502=DATE(2026,11,18)),ROW(Income!A$3:A$502)-2),2)),"")&lt;&gt;"",IFERROR(INDEX(Income!B$3:B$502,SMALL(IF((Income!D$3:D$502="GBP")*(Income!A$3:A$502=DATE(2026,11,18)),ROW(Income!A$3:A$502)-2),2)),""),""))</f>
        <v/>
      </c>
      <c r="I235" s="62" t="str">
        <f aca="false">IF(IFERROR(-INDEX(Expenses!D$3:D$1002,SMALL(IF((Expenses!E$3:E$1002="GBP")*(Expenses!A$3:A$1002=DATE(2026,11,19)),ROW(Expenses!A$3:A$1002)-2),2)),0)+IFERROR(INDEX(Income!C$3:C$502,SMALL(IF((Income!D$3:D$502="GBP")*(Income!A$3:A$502=DATE(2026,11,19)),ROW(Income!A$3:A$502)-2),2)),0)=0,"",IFERROR(-INDEX(Expenses!D$3:D$1002,SMALL(IF((Expenses!E$3:E$1002="GBP")*(Expenses!A$3:A$1002=DATE(2026,11,19)),ROW(Expenses!A$3:A$1002)-2),2)),0)+IFERROR(INDEX(Income!C$3:C$502,SMALL(IF((Income!D$3:D$502="GBP")*(Income!A$3:A$502=DATE(2026,11,19)),ROW(Income!A$3:A$502)-2),2)),0))</f>
        <v/>
      </c>
      <c r="J235" s="38" t="str">
        <f aca="false">IF(IFERROR(INDEX(Expenses!B$3:B$1002,SMALL(IF((Expenses!E$3:E$1002="GBP")*(Expenses!A$3:A$1002=DATE(2026,11,19)),ROW(Expenses!A$3:A$1002)-2),2)),"")&lt;&gt;"",IFERROR(INDEX(Expenses!B$3:B$1002,SMALL(IF((Expenses!E$3:E$1002="GBP")*(Expenses!A$3:A$1002=DATE(2026,11,19)),ROW(Expenses!A$3:A$1002)-2),2)),""),IF(IFERROR(INDEX(Income!B$3:B$502,SMALL(IF((Income!D$3:D$502="GBP")*(Income!A$3:A$502=DATE(2026,11,19)),ROW(Income!A$3:A$502)-2),2)),"")&lt;&gt;"",IFERROR(INDEX(Income!B$3:B$502,SMALL(IF((Income!D$3:D$502="GBP")*(Income!A$3:A$502=DATE(2026,11,19)),ROW(Income!A$3:A$502)-2),2)),""),""))</f>
        <v/>
      </c>
      <c r="K235" s="62" t="str">
        <f aca="false">IF(IFERROR(-INDEX(Expenses!D$3:D$1002,SMALL(IF((Expenses!E$3:E$1002="GBP")*(Expenses!A$3:A$1002=DATE(2026,11,20)),ROW(Expenses!A$3:A$1002)-2),2)),0)+IFERROR(INDEX(Income!C$3:C$502,SMALL(IF((Income!D$3:D$502="GBP")*(Income!A$3:A$502=DATE(2026,11,20)),ROW(Income!A$3:A$502)-2),2)),0)=0,"",IFERROR(-INDEX(Expenses!D$3:D$1002,SMALL(IF((Expenses!E$3:E$1002="GBP")*(Expenses!A$3:A$1002=DATE(2026,11,20)),ROW(Expenses!A$3:A$1002)-2),2)),0)+IFERROR(INDEX(Income!C$3:C$502,SMALL(IF((Income!D$3:D$502="GBP")*(Income!A$3:A$502=DATE(2026,11,20)),ROW(Income!A$3:A$502)-2),2)),0))</f>
        <v/>
      </c>
      <c r="L235" s="38" t="str">
        <f aca="false">IF(IFERROR(INDEX(Expenses!B$3:B$1002,SMALL(IF((Expenses!E$3:E$1002="GBP")*(Expenses!A$3:A$1002=DATE(2026,11,20)),ROW(Expenses!A$3:A$1002)-2),2)),"")&lt;&gt;"",IFERROR(INDEX(Expenses!B$3:B$1002,SMALL(IF((Expenses!E$3:E$1002="GBP")*(Expenses!A$3:A$1002=DATE(2026,11,20)),ROW(Expenses!A$3:A$1002)-2),2)),""),IF(IFERROR(INDEX(Income!B$3:B$502,SMALL(IF((Income!D$3:D$502="GBP")*(Income!A$3:A$502=DATE(2026,11,20)),ROW(Income!A$3:A$502)-2),2)),"")&lt;&gt;"",IFERROR(INDEX(Income!B$3:B$502,SMALL(IF((Income!D$3:D$502="GBP")*(Income!A$3:A$502=DATE(2026,11,20)),ROW(Income!A$3:A$502)-2),2)),""),""))</f>
        <v/>
      </c>
      <c r="M235" s="62" t="str">
        <f aca="false">IF(IFERROR(-INDEX(Expenses!D$3:D$1002,SMALL(IF((Expenses!E$3:E$1002="GBP")*(Expenses!A$3:A$1002=DATE(2026,11,21)),ROW(Expenses!A$3:A$1002)-2),2)),0)+IFERROR(INDEX(Income!C$3:C$502,SMALL(IF((Income!D$3:D$502="GBP")*(Income!A$3:A$502=DATE(2026,11,21)),ROW(Income!A$3:A$502)-2),2)),0)=0,"",IFERROR(-INDEX(Expenses!D$3:D$1002,SMALL(IF((Expenses!E$3:E$1002="GBP")*(Expenses!A$3:A$1002=DATE(2026,11,21)),ROW(Expenses!A$3:A$1002)-2),2)),0)+IFERROR(INDEX(Income!C$3:C$502,SMALL(IF((Income!D$3:D$502="GBP")*(Income!A$3:A$502=DATE(2026,11,21)),ROW(Income!A$3:A$502)-2),2)),0))</f>
        <v/>
      </c>
      <c r="N235" s="38" t="str">
        <f aca="false">IF(IFERROR(INDEX(Expenses!B$3:B$1002,SMALL(IF((Expenses!E$3:E$1002="GBP")*(Expenses!A$3:A$1002=DATE(2026,11,21)),ROW(Expenses!A$3:A$1002)-2),2)),"")&lt;&gt;"",IFERROR(INDEX(Expenses!B$3:B$1002,SMALL(IF((Expenses!E$3:E$1002="GBP")*(Expenses!A$3:A$1002=DATE(2026,11,21)),ROW(Expenses!A$3:A$1002)-2),2)),""),IF(IFERROR(INDEX(Income!B$3:B$502,SMALL(IF((Income!D$3:D$502="GBP")*(Income!A$3:A$502=DATE(2026,11,21)),ROW(Income!A$3:A$502)-2),2)),"")&lt;&gt;"",IFERROR(INDEX(Income!B$3:B$502,SMALL(IF((Income!D$3:D$502="GBP")*(Income!A$3:A$502=DATE(2026,11,21)),ROW(Income!A$3:A$502)-2),2)),""),""))</f>
        <v/>
      </c>
      <c r="O235" s="62" t="str">
        <f aca="false">IF(IFERROR(-INDEX(Expenses!D$3:D$1002,SMALL(IF((Expenses!E$3:E$1002="GBP")*(Expenses!A$3:A$1002=DATE(2026,11,22)),ROW(Expenses!A$3:A$1002)-2),2)),0)+IFERROR(INDEX(Income!C$3:C$502,SMALL(IF((Income!D$3:D$502="GBP")*(Income!A$3:A$502=DATE(2026,11,22)),ROW(Income!A$3:A$502)-2),2)),0)=0,"",IFERROR(-INDEX(Expenses!D$3:D$1002,SMALL(IF((Expenses!E$3:E$1002="GBP")*(Expenses!A$3:A$1002=DATE(2026,11,22)),ROW(Expenses!A$3:A$1002)-2),2)),0)+IFERROR(INDEX(Income!C$3:C$502,SMALL(IF((Income!D$3:D$502="GBP")*(Income!A$3:A$502=DATE(2026,11,22)),ROW(Income!A$3:A$502)-2),2)),0))</f>
        <v/>
      </c>
      <c r="P235" s="38" t="str">
        <f aca="false">IF(IFERROR(INDEX(Expenses!B$3:B$1002,SMALL(IF((Expenses!E$3:E$1002="GBP")*(Expenses!A$3:A$1002=DATE(2026,11,22)),ROW(Expenses!A$3:A$1002)-2),2)),"")&lt;&gt;"",IFERROR(INDEX(Expenses!B$3:B$1002,SMALL(IF((Expenses!E$3:E$1002="GBP")*(Expenses!A$3:A$1002=DATE(2026,11,22)),ROW(Expenses!A$3:A$1002)-2),2)),""),IF(IFERROR(INDEX(Income!B$3:B$502,SMALL(IF((Income!D$3:D$502="GBP")*(Income!A$3:A$502=DATE(2026,11,22)),ROW(Income!A$3:A$502)-2),2)),"")&lt;&gt;"",IFERROR(INDEX(Income!B$3:B$502,SMALL(IF((Income!D$3:D$502="GBP")*(Income!A$3:A$502=DATE(2026,11,22)),ROW(Income!A$3:A$502)-2),2)),""),""))</f>
        <v/>
      </c>
      <c r="Q235" s="16"/>
      <c r="R235" s="16"/>
    </row>
    <row r="236" customFormat="false" ht="15" hidden="false" customHeight="false" outlineLevel="0" collapsed="false">
      <c r="A236" s="16"/>
      <c r="B236" s="16"/>
      <c r="C236" s="62" t="str">
        <f aca="false">IF(IFERROR(-INDEX(Expenses!D$3:D$1002,SMALL(IF((Expenses!E$3:E$1002="GBP")*(Expenses!A$3:A$1002=DATE(2026,11,16)),ROW(Expenses!A$3:A$1002)-2),3)),0)+IFERROR(INDEX(Income!C$3:C$502,SMALL(IF((Income!D$3:D$502="GBP")*(Income!A$3:A$502=DATE(2026,11,16)),ROW(Income!A$3:A$502)-2),3)),0)=0,"",IFERROR(-INDEX(Expenses!D$3:D$1002,SMALL(IF((Expenses!E$3:E$1002="GBP")*(Expenses!A$3:A$1002=DATE(2026,11,16)),ROW(Expenses!A$3:A$1002)-2),3)),0)+IFERROR(INDEX(Income!C$3:C$502,SMALL(IF((Income!D$3:D$502="GBP")*(Income!A$3:A$502=DATE(2026,11,16)),ROW(Income!A$3:A$502)-2),3)),0))</f>
        <v/>
      </c>
      <c r="D236" s="38" t="str">
        <f aca="false">IF(IFERROR(INDEX(Expenses!B$3:B$1002,SMALL(IF((Expenses!E$3:E$1002="GBP")*(Expenses!A$3:A$1002=DATE(2026,11,16)),ROW(Expenses!A$3:A$1002)-2),3)),"")&lt;&gt;"",IFERROR(INDEX(Expenses!B$3:B$1002,SMALL(IF((Expenses!E$3:E$1002="GBP")*(Expenses!A$3:A$1002=DATE(2026,11,16)),ROW(Expenses!A$3:A$1002)-2),3)),""),IF(IFERROR(INDEX(Income!B$3:B$502,SMALL(IF((Income!D$3:D$502="GBP")*(Income!A$3:A$502=DATE(2026,11,16)),ROW(Income!A$3:A$502)-2),3)),"")&lt;&gt;"",IFERROR(INDEX(Income!B$3:B$502,SMALL(IF((Income!D$3:D$502="GBP")*(Income!A$3:A$502=DATE(2026,11,16)),ROW(Income!A$3:A$502)-2),3)),""),""))</f>
        <v/>
      </c>
      <c r="E236" s="62" t="str">
        <f aca="false">IF(IFERROR(-INDEX(Expenses!D$3:D$1002,SMALL(IF((Expenses!E$3:E$1002="GBP")*(Expenses!A$3:A$1002=DATE(2026,11,17)),ROW(Expenses!A$3:A$1002)-2),3)),0)+IFERROR(INDEX(Income!C$3:C$502,SMALL(IF((Income!D$3:D$502="GBP")*(Income!A$3:A$502=DATE(2026,11,17)),ROW(Income!A$3:A$502)-2),3)),0)=0,"",IFERROR(-INDEX(Expenses!D$3:D$1002,SMALL(IF((Expenses!E$3:E$1002="GBP")*(Expenses!A$3:A$1002=DATE(2026,11,17)),ROW(Expenses!A$3:A$1002)-2),3)),0)+IFERROR(INDEX(Income!C$3:C$502,SMALL(IF((Income!D$3:D$502="GBP")*(Income!A$3:A$502=DATE(2026,11,17)),ROW(Income!A$3:A$502)-2),3)),0))</f>
        <v/>
      </c>
      <c r="F236" s="38" t="str">
        <f aca="false">IF(IFERROR(INDEX(Expenses!B$3:B$1002,SMALL(IF((Expenses!E$3:E$1002="GBP")*(Expenses!A$3:A$1002=DATE(2026,11,17)),ROW(Expenses!A$3:A$1002)-2),3)),"")&lt;&gt;"",IFERROR(INDEX(Expenses!B$3:B$1002,SMALL(IF((Expenses!E$3:E$1002="GBP")*(Expenses!A$3:A$1002=DATE(2026,11,17)),ROW(Expenses!A$3:A$1002)-2),3)),""),IF(IFERROR(INDEX(Income!B$3:B$502,SMALL(IF((Income!D$3:D$502="GBP")*(Income!A$3:A$502=DATE(2026,11,17)),ROW(Income!A$3:A$502)-2),3)),"")&lt;&gt;"",IFERROR(INDEX(Income!B$3:B$502,SMALL(IF((Income!D$3:D$502="GBP")*(Income!A$3:A$502=DATE(2026,11,17)),ROW(Income!A$3:A$502)-2),3)),""),""))</f>
        <v/>
      </c>
      <c r="G236" s="62" t="str">
        <f aca="false">IF(IFERROR(-INDEX(Expenses!D$3:D$1002,SMALL(IF((Expenses!E$3:E$1002="GBP")*(Expenses!A$3:A$1002=DATE(2026,11,18)),ROW(Expenses!A$3:A$1002)-2),3)),0)+IFERROR(INDEX(Income!C$3:C$502,SMALL(IF((Income!D$3:D$502="GBP")*(Income!A$3:A$502=DATE(2026,11,18)),ROW(Income!A$3:A$502)-2),3)),0)=0,"",IFERROR(-INDEX(Expenses!D$3:D$1002,SMALL(IF((Expenses!E$3:E$1002="GBP")*(Expenses!A$3:A$1002=DATE(2026,11,18)),ROW(Expenses!A$3:A$1002)-2),3)),0)+IFERROR(INDEX(Income!C$3:C$502,SMALL(IF((Income!D$3:D$502="GBP")*(Income!A$3:A$502=DATE(2026,11,18)),ROW(Income!A$3:A$502)-2),3)),0))</f>
        <v/>
      </c>
      <c r="H236" s="38" t="str">
        <f aca="false">IF(IFERROR(INDEX(Expenses!B$3:B$1002,SMALL(IF((Expenses!E$3:E$1002="GBP")*(Expenses!A$3:A$1002=DATE(2026,11,18)),ROW(Expenses!A$3:A$1002)-2),3)),"")&lt;&gt;"",IFERROR(INDEX(Expenses!B$3:B$1002,SMALL(IF((Expenses!E$3:E$1002="GBP")*(Expenses!A$3:A$1002=DATE(2026,11,18)),ROW(Expenses!A$3:A$1002)-2),3)),""),IF(IFERROR(INDEX(Income!B$3:B$502,SMALL(IF((Income!D$3:D$502="GBP")*(Income!A$3:A$502=DATE(2026,11,18)),ROW(Income!A$3:A$502)-2),3)),"")&lt;&gt;"",IFERROR(INDEX(Income!B$3:B$502,SMALL(IF((Income!D$3:D$502="GBP")*(Income!A$3:A$502=DATE(2026,11,18)),ROW(Income!A$3:A$502)-2),3)),""),""))</f>
        <v/>
      </c>
      <c r="I236" s="62" t="str">
        <f aca="false">IF(IFERROR(-INDEX(Expenses!D$3:D$1002,SMALL(IF((Expenses!E$3:E$1002="GBP")*(Expenses!A$3:A$1002=DATE(2026,11,19)),ROW(Expenses!A$3:A$1002)-2),3)),0)+IFERROR(INDEX(Income!C$3:C$502,SMALL(IF((Income!D$3:D$502="GBP")*(Income!A$3:A$502=DATE(2026,11,19)),ROW(Income!A$3:A$502)-2),3)),0)=0,"",IFERROR(-INDEX(Expenses!D$3:D$1002,SMALL(IF((Expenses!E$3:E$1002="GBP")*(Expenses!A$3:A$1002=DATE(2026,11,19)),ROW(Expenses!A$3:A$1002)-2),3)),0)+IFERROR(INDEX(Income!C$3:C$502,SMALL(IF((Income!D$3:D$502="GBP")*(Income!A$3:A$502=DATE(2026,11,19)),ROW(Income!A$3:A$502)-2),3)),0))</f>
        <v/>
      </c>
      <c r="J236" s="38" t="str">
        <f aca="false">IF(IFERROR(INDEX(Expenses!B$3:B$1002,SMALL(IF((Expenses!E$3:E$1002="GBP")*(Expenses!A$3:A$1002=DATE(2026,11,19)),ROW(Expenses!A$3:A$1002)-2),3)),"")&lt;&gt;"",IFERROR(INDEX(Expenses!B$3:B$1002,SMALL(IF((Expenses!E$3:E$1002="GBP")*(Expenses!A$3:A$1002=DATE(2026,11,19)),ROW(Expenses!A$3:A$1002)-2),3)),""),IF(IFERROR(INDEX(Income!B$3:B$502,SMALL(IF((Income!D$3:D$502="GBP")*(Income!A$3:A$502=DATE(2026,11,19)),ROW(Income!A$3:A$502)-2),3)),"")&lt;&gt;"",IFERROR(INDEX(Income!B$3:B$502,SMALL(IF((Income!D$3:D$502="GBP")*(Income!A$3:A$502=DATE(2026,11,19)),ROW(Income!A$3:A$502)-2),3)),""),""))</f>
        <v/>
      </c>
      <c r="K236" s="62" t="str">
        <f aca="false">IF(IFERROR(-INDEX(Expenses!D$3:D$1002,SMALL(IF((Expenses!E$3:E$1002="GBP")*(Expenses!A$3:A$1002=DATE(2026,11,20)),ROW(Expenses!A$3:A$1002)-2),3)),0)+IFERROR(INDEX(Income!C$3:C$502,SMALL(IF((Income!D$3:D$502="GBP")*(Income!A$3:A$502=DATE(2026,11,20)),ROW(Income!A$3:A$502)-2),3)),0)=0,"",IFERROR(-INDEX(Expenses!D$3:D$1002,SMALL(IF((Expenses!E$3:E$1002="GBP")*(Expenses!A$3:A$1002=DATE(2026,11,20)),ROW(Expenses!A$3:A$1002)-2),3)),0)+IFERROR(INDEX(Income!C$3:C$502,SMALL(IF((Income!D$3:D$502="GBP")*(Income!A$3:A$502=DATE(2026,11,20)),ROW(Income!A$3:A$502)-2),3)),0))</f>
        <v/>
      </c>
      <c r="L236" s="38" t="str">
        <f aca="false">IF(IFERROR(INDEX(Expenses!B$3:B$1002,SMALL(IF((Expenses!E$3:E$1002="GBP")*(Expenses!A$3:A$1002=DATE(2026,11,20)),ROW(Expenses!A$3:A$1002)-2),3)),"")&lt;&gt;"",IFERROR(INDEX(Expenses!B$3:B$1002,SMALL(IF((Expenses!E$3:E$1002="GBP")*(Expenses!A$3:A$1002=DATE(2026,11,20)),ROW(Expenses!A$3:A$1002)-2),3)),""),IF(IFERROR(INDEX(Income!B$3:B$502,SMALL(IF((Income!D$3:D$502="GBP")*(Income!A$3:A$502=DATE(2026,11,20)),ROW(Income!A$3:A$502)-2),3)),"")&lt;&gt;"",IFERROR(INDEX(Income!B$3:B$502,SMALL(IF((Income!D$3:D$502="GBP")*(Income!A$3:A$502=DATE(2026,11,20)),ROW(Income!A$3:A$502)-2),3)),""),""))</f>
        <v/>
      </c>
      <c r="M236" s="62" t="str">
        <f aca="false">IF(IFERROR(-INDEX(Expenses!D$3:D$1002,SMALL(IF((Expenses!E$3:E$1002="GBP")*(Expenses!A$3:A$1002=DATE(2026,11,21)),ROW(Expenses!A$3:A$1002)-2),3)),0)+IFERROR(INDEX(Income!C$3:C$502,SMALL(IF((Income!D$3:D$502="GBP")*(Income!A$3:A$502=DATE(2026,11,21)),ROW(Income!A$3:A$502)-2),3)),0)=0,"",IFERROR(-INDEX(Expenses!D$3:D$1002,SMALL(IF((Expenses!E$3:E$1002="GBP")*(Expenses!A$3:A$1002=DATE(2026,11,21)),ROW(Expenses!A$3:A$1002)-2),3)),0)+IFERROR(INDEX(Income!C$3:C$502,SMALL(IF((Income!D$3:D$502="GBP")*(Income!A$3:A$502=DATE(2026,11,21)),ROW(Income!A$3:A$502)-2),3)),0))</f>
        <v/>
      </c>
      <c r="N236" s="38" t="str">
        <f aca="false">IF(IFERROR(INDEX(Expenses!B$3:B$1002,SMALL(IF((Expenses!E$3:E$1002="GBP")*(Expenses!A$3:A$1002=DATE(2026,11,21)),ROW(Expenses!A$3:A$1002)-2),3)),"")&lt;&gt;"",IFERROR(INDEX(Expenses!B$3:B$1002,SMALL(IF((Expenses!E$3:E$1002="GBP")*(Expenses!A$3:A$1002=DATE(2026,11,21)),ROW(Expenses!A$3:A$1002)-2),3)),""),IF(IFERROR(INDEX(Income!B$3:B$502,SMALL(IF((Income!D$3:D$502="GBP")*(Income!A$3:A$502=DATE(2026,11,21)),ROW(Income!A$3:A$502)-2),3)),"")&lt;&gt;"",IFERROR(INDEX(Income!B$3:B$502,SMALL(IF((Income!D$3:D$502="GBP")*(Income!A$3:A$502=DATE(2026,11,21)),ROW(Income!A$3:A$502)-2),3)),""),""))</f>
        <v/>
      </c>
      <c r="O236" s="62" t="str">
        <f aca="false">IF(IFERROR(-INDEX(Expenses!D$3:D$1002,SMALL(IF((Expenses!E$3:E$1002="GBP")*(Expenses!A$3:A$1002=DATE(2026,11,22)),ROW(Expenses!A$3:A$1002)-2),3)),0)+IFERROR(INDEX(Income!C$3:C$502,SMALL(IF((Income!D$3:D$502="GBP")*(Income!A$3:A$502=DATE(2026,11,22)),ROW(Income!A$3:A$502)-2),3)),0)=0,"",IFERROR(-INDEX(Expenses!D$3:D$1002,SMALL(IF((Expenses!E$3:E$1002="GBP")*(Expenses!A$3:A$1002=DATE(2026,11,22)),ROW(Expenses!A$3:A$1002)-2),3)),0)+IFERROR(INDEX(Income!C$3:C$502,SMALL(IF((Income!D$3:D$502="GBP")*(Income!A$3:A$502=DATE(2026,11,22)),ROW(Income!A$3:A$502)-2),3)),0))</f>
        <v/>
      </c>
      <c r="P236" s="38" t="str">
        <f aca="false">IF(IFERROR(INDEX(Expenses!B$3:B$1002,SMALL(IF((Expenses!E$3:E$1002="GBP")*(Expenses!A$3:A$1002=DATE(2026,11,22)),ROW(Expenses!A$3:A$1002)-2),3)),"")&lt;&gt;"",IFERROR(INDEX(Expenses!B$3:B$1002,SMALL(IF((Expenses!E$3:E$1002="GBP")*(Expenses!A$3:A$1002=DATE(2026,11,22)),ROW(Expenses!A$3:A$1002)-2),3)),""),IF(IFERROR(INDEX(Income!B$3:B$502,SMALL(IF((Income!D$3:D$502="GBP")*(Income!A$3:A$502=DATE(2026,11,22)),ROW(Income!A$3:A$502)-2),3)),"")&lt;&gt;"",IFERROR(INDEX(Income!B$3:B$502,SMALL(IF((Income!D$3:D$502="GBP")*(Income!A$3:A$502=DATE(2026,11,22)),ROW(Income!A$3:A$502)-2),3)),""),""))</f>
        <v/>
      </c>
      <c r="Q236" s="16"/>
      <c r="R236" s="16"/>
    </row>
    <row r="237" customFormat="false" ht="15" hidden="false" customHeight="false" outlineLevel="0" collapsed="false">
      <c r="A237" s="16"/>
      <c r="B237" s="16"/>
      <c r="C237" s="62" t="str">
        <f aca="false">IF(IFERROR(-INDEX(Expenses!D$3:D$1002,SMALL(IF((Expenses!E$3:E$1002="GBP")*(Expenses!A$3:A$1002=DATE(2026,11,16)),ROW(Expenses!A$3:A$1002)-2),4)),0)+IFERROR(INDEX(Income!C$3:C$502,SMALL(IF((Income!D$3:D$502="GBP")*(Income!A$3:A$502=DATE(2026,11,16)),ROW(Income!A$3:A$502)-2),4)),0)=0,"",IFERROR(-INDEX(Expenses!D$3:D$1002,SMALL(IF((Expenses!E$3:E$1002="GBP")*(Expenses!A$3:A$1002=DATE(2026,11,16)),ROW(Expenses!A$3:A$1002)-2),4)),0)+IFERROR(INDEX(Income!C$3:C$502,SMALL(IF((Income!D$3:D$502="GBP")*(Income!A$3:A$502=DATE(2026,11,16)),ROW(Income!A$3:A$502)-2),4)),0))</f>
        <v/>
      </c>
      <c r="D237" s="38" t="str">
        <f aca="false">IF(IFERROR(INDEX(Expenses!B$3:B$1002,SMALL(IF((Expenses!E$3:E$1002="GBP")*(Expenses!A$3:A$1002=DATE(2026,11,16)),ROW(Expenses!A$3:A$1002)-2),4)),"")&lt;&gt;"",IFERROR(INDEX(Expenses!B$3:B$1002,SMALL(IF((Expenses!E$3:E$1002="GBP")*(Expenses!A$3:A$1002=DATE(2026,11,16)),ROW(Expenses!A$3:A$1002)-2),4)),""),IF(IFERROR(INDEX(Income!B$3:B$502,SMALL(IF((Income!D$3:D$502="GBP")*(Income!A$3:A$502=DATE(2026,11,16)),ROW(Income!A$3:A$502)-2),4)),"")&lt;&gt;"",IFERROR(INDEX(Income!B$3:B$502,SMALL(IF((Income!D$3:D$502="GBP")*(Income!A$3:A$502=DATE(2026,11,16)),ROW(Income!A$3:A$502)-2),4)),""),""))</f>
        <v/>
      </c>
      <c r="E237" s="62" t="str">
        <f aca="false">IF(IFERROR(-INDEX(Expenses!D$3:D$1002,SMALL(IF((Expenses!E$3:E$1002="GBP")*(Expenses!A$3:A$1002=DATE(2026,11,17)),ROW(Expenses!A$3:A$1002)-2),4)),0)+IFERROR(INDEX(Income!C$3:C$502,SMALL(IF((Income!D$3:D$502="GBP")*(Income!A$3:A$502=DATE(2026,11,17)),ROW(Income!A$3:A$502)-2),4)),0)=0,"",IFERROR(-INDEX(Expenses!D$3:D$1002,SMALL(IF((Expenses!E$3:E$1002="GBP")*(Expenses!A$3:A$1002=DATE(2026,11,17)),ROW(Expenses!A$3:A$1002)-2),4)),0)+IFERROR(INDEX(Income!C$3:C$502,SMALL(IF((Income!D$3:D$502="GBP")*(Income!A$3:A$502=DATE(2026,11,17)),ROW(Income!A$3:A$502)-2),4)),0))</f>
        <v/>
      </c>
      <c r="F237" s="38" t="str">
        <f aca="false">IF(IFERROR(INDEX(Expenses!B$3:B$1002,SMALL(IF((Expenses!E$3:E$1002="GBP")*(Expenses!A$3:A$1002=DATE(2026,11,17)),ROW(Expenses!A$3:A$1002)-2),4)),"")&lt;&gt;"",IFERROR(INDEX(Expenses!B$3:B$1002,SMALL(IF((Expenses!E$3:E$1002="GBP")*(Expenses!A$3:A$1002=DATE(2026,11,17)),ROW(Expenses!A$3:A$1002)-2),4)),""),IF(IFERROR(INDEX(Income!B$3:B$502,SMALL(IF((Income!D$3:D$502="GBP")*(Income!A$3:A$502=DATE(2026,11,17)),ROW(Income!A$3:A$502)-2),4)),"")&lt;&gt;"",IFERROR(INDEX(Income!B$3:B$502,SMALL(IF((Income!D$3:D$502="GBP")*(Income!A$3:A$502=DATE(2026,11,17)),ROW(Income!A$3:A$502)-2),4)),""),""))</f>
        <v/>
      </c>
      <c r="G237" s="62" t="str">
        <f aca="false">IF(IFERROR(-INDEX(Expenses!D$3:D$1002,SMALL(IF((Expenses!E$3:E$1002="GBP")*(Expenses!A$3:A$1002=DATE(2026,11,18)),ROW(Expenses!A$3:A$1002)-2),4)),0)+IFERROR(INDEX(Income!C$3:C$502,SMALL(IF((Income!D$3:D$502="GBP")*(Income!A$3:A$502=DATE(2026,11,18)),ROW(Income!A$3:A$502)-2),4)),0)=0,"",IFERROR(-INDEX(Expenses!D$3:D$1002,SMALL(IF((Expenses!E$3:E$1002="GBP")*(Expenses!A$3:A$1002=DATE(2026,11,18)),ROW(Expenses!A$3:A$1002)-2),4)),0)+IFERROR(INDEX(Income!C$3:C$502,SMALL(IF((Income!D$3:D$502="GBP")*(Income!A$3:A$502=DATE(2026,11,18)),ROW(Income!A$3:A$502)-2),4)),0))</f>
        <v/>
      </c>
      <c r="H237" s="38" t="str">
        <f aca="false">IF(IFERROR(INDEX(Expenses!B$3:B$1002,SMALL(IF((Expenses!E$3:E$1002="GBP")*(Expenses!A$3:A$1002=DATE(2026,11,18)),ROW(Expenses!A$3:A$1002)-2),4)),"")&lt;&gt;"",IFERROR(INDEX(Expenses!B$3:B$1002,SMALL(IF((Expenses!E$3:E$1002="GBP")*(Expenses!A$3:A$1002=DATE(2026,11,18)),ROW(Expenses!A$3:A$1002)-2),4)),""),IF(IFERROR(INDEX(Income!B$3:B$502,SMALL(IF((Income!D$3:D$502="GBP")*(Income!A$3:A$502=DATE(2026,11,18)),ROW(Income!A$3:A$502)-2),4)),"")&lt;&gt;"",IFERROR(INDEX(Income!B$3:B$502,SMALL(IF((Income!D$3:D$502="GBP")*(Income!A$3:A$502=DATE(2026,11,18)),ROW(Income!A$3:A$502)-2),4)),""),""))</f>
        <v/>
      </c>
      <c r="I237" s="62" t="str">
        <f aca="false">IF(IFERROR(-INDEX(Expenses!D$3:D$1002,SMALL(IF((Expenses!E$3:E$1002="GBP")*(Expenses!A$3:A$1002=DATE(2026,11,19)),ROW(Expenses!A$3:A$1002)-2),4)),0)+IFERROR(INDEX(Income!C$3:C$502,SMALL(IF((Income!D$3:D$502="GBP")*(Income!A$3:A$502=DATE(2026,11,19)),ROW(Income!A$3:A$502)-2),4)),0)=0,"",IFERROR(-INDEX(Expenses!D$3:D$1002,SMALL(IF((Expenses!E$3:E$1002="GBP")*(Expenses!A$3:A$1002=DATE(2026,11,19)),ROW(Expenses!A$3:A$1002)-2),4)),0)+IFERROR(INDEX(Income!C$3:C$502,SMALL(IF((Income!D$3:D$502="GBP")*(Income!A$3:A$502=DATE(2026,11,19)),ROW(Income!A$3:A$502)-2),4)),0))</f>
        <v/>
      </c>
      <c r="J237" s="38" t="str">
        <f aca="false">IF(IFERROR(INDEX(Expenses!B$3:B$1002,SMALL(IF((Expenses!E$3:E$1002="GBP")*(Expenses!A$3:A$1002=DATE(2026,11,19)),ROW(Expenses!A$3:A$1002)-2),4)),"")&lt;&gt;"",IFERROR(INDEX(Expenses!B$3:B$1002,SMALL(IF((Expenses!E$3:E$1002="GBP")*(Expenses!A$3:A$1002=DATE(2026,11,19)),ROW(Expenses!A$3:A$1002)-2),4)),""),IF(IFERROR(INDEX(Income!B$3:B$502,SMALL(IF((Income!D$3:D$502="GBP")*(Income!A$3:A$502=DATE(2026,11,19)),ROW(Income!A$3:A$502)-2),4)),"")&lt;&gt;"",IFERROR(INDEX(Income!B$3:B$502,SMALL(IF((Income!D$3:D$502="GBP")*(Income!A$3:A$502=DATE(2026,11,19)),ROW(Income!A$3:A$502)-2),4)),""),""))</f>
        <v/>
      </c>
      <c r="K237" s="62" t="str">
        <f aca="false">IF(IFERROR(-INDEX(Expenses!D$3:D$1002,SMALL(IF((Expenses!E$3:E$1002="GBP")*(Expenses!A$3:A$1002=DATE(2026,11,20)),ROW(Expenses!A$3:A$1002)-2),4)),0)+IFERROR(INDEX(Income!C$3:C$502,SMALL(IF((Income!D$3:D$502="GBP")*(Income!A$3:A$502=DATE(2026,11,20)),ROW(Income!A$3:A$502)-2),4)),0)=0,"",IFERROR(-INDEX(Expenses!D$3:D$1002,SMALL(IF((Expenses!E$3:E$1002="GBP")*(Expenses!A$3:A$1002=DATE(2026,11,20)),ROW(Expenses!A$3:A$1002)-2),4)),0)+IFERROR(INDEX(Income!C$3:C$502,SMALL(IF((Income!D$3:D$502="GBP")*(Income!A$3:A$502=DATE(2026,11,20)),ROW(Income!A$3:A$502)-2),4)),0))</f>
        <v/>
      </c>
      <c r="L237" s="38" t="str">
        <f aca="false">IF(IFERROR(INDEX(Expenses!B$3:B$1002,SMALL(IF((Expenses!E$3:E$1002="GBP")*(Expenses!A$3:A$1002=DATE(2026,11,20)),ROW(Expenses!A$3:A$1002)-2),4)),"")&lt;&gt;"",IFERROR(INDEX(Expenses!B$3:B$1002,SMALL(IF((Expenses!E$3:E$1002="GBP")*(Expenses!A$3:A$1002=DATE(2026,11,20)),ROW(Expenses!A$3:A$1002)-2),4)),""),IF(IFERROR(INDEX(Income!B$3:B$502,SMALL(IF((Income!D$3:D$502="GBP")*(Income!A$3:A$502=DATE(2026,11,20)),ROW(Income!A$3:A$502)-2),4)),"")&lt;&gt;"",IFERROR(INDEX(Income!B$3:B$502,SMALL(IF((Income!D$3:D$502="GBP")*(Income!A$3:A$502=DATE(2026,11,20)),ROW(Income!A$3:A$502)-2),4)),""),""))</f>
        <v/>
      </c>
      <c r="M237" s="62" t="str">
        <f aca="false">IF(IFERROR(-INDEX(Expenses!D$3:D$1002,SMALL(IF((Expenses!E$3:E$1002="GBP")*(Expenses!A$3:A$1002=DATE(2026,11,21)),ROW(Expenses!A$3:A$1002)-2),4)),0)+IFERROR(INDEX(Income!C$3:C$502,SMALL(IF((Income!D$3:D$502="GBP")*(Income!A$3:A$502=DATE(2026,11,21)),ROW(Income!A$3:A$502)-2),4)),0)=0,"",IFERROR(-INDEX(Expenses!D$3:D$1002,SMALL(IF((Expenses!E$3:E$1002="GBP")*(Expenses!A$3:A$1002=DATE(2026,11,21)),ROW(Expenses!A$3:A$1002)-2),4)),0)+IFERROR(INDEX(Income!C$3:C$502,SMALL(IF((Income!D$3:D$502="GBP")*(Income!A$3:A$502=DATE(2026,11,21)),ROW(Income!A$3:A$502)-2),4)),0))</f>
        <v/>
      </c>
      <c r="N237" s="38" t="str">
        <f aca="false">IF(IFERROR(INDEX(Expenses!B$3:B$1002,SMALL(IF((Expenses!E$3:E$1002="GBP")*(Expenses!A$3:A$1002=DATE(2026,11,21)),ROW(Expenses!A$3:A$1002)-2),4)),"")&lt;&gt;"",IFERROR(INDEX(Expenses!B$3:B$1002,SMALL(IF((Expenses!E$3:E$1002="GBP")*(Expenses!A$3:A$1002=DATE(2026,11,21)),ROW(Expenses!A$3:A$1002)-2),4)),""),IF(IFERROR(INDEX(Income!B$3:B$502,SMALL(IF((Income!D$3:D$502="GBP")*(Income!A$3:A$502=DATE(2026,11,21)),ROW(Income!A$3:A$502)-2),4)),"")&lt;&gt;"",IFERROR(INDEX(Income!B$3:B$502,SMALL(IF((Income!D$3:D$502="GBP")*(Income!A$3:A$502=DATE(2026,11,21)),ROW(Income!A$3:A$502)-2),4)),""),""))</f>
        <v/>
      </c>
      <c r="O237" s="62" t="str">
        <f aca="false">IF(IFERROR(-INDEX(Expenses!D$3:D$1002,SMALL(IF((Expenses!E$3:E$1002="GBP")*(Expenses!A$3:A$1002=DATE(2026,11,22)),ROW(Expenses!A$3:A$1002)-2),4)),0)+IFERROR(INDEX(Income!C$3:C$502,SMALL(IF((Income!D$3:D$502="GBP")*(Income!A$3:A$502=DATE(2026,11,22)),ROW(Income!A$3:A$502)-2),4)),0)=0,"",IFERROR(-INDEX(Expenses!D$3:D$1002,SMALL(IF((Expenses!E$3:E$1002="GBP")*(Expenses!A$3:A$1002=DATE(2026,11,22)),ROW(Expenses!A$3:A$1002)-2),4)),0)+IFERROR(INDEX(Income!C$3:C$502,SMALL(IF((Income!D$3:D$502="GBP")*(Income!A$3:A$502=DATE(2026,11,22)),ROW(Income!A$3:A$502)-2),4)),0))</f>
        <v/>
      </c>
      <c r="P237" s="38" t="str">
        <f aca="false">IF(IFERROR(INDEX(Expenses!B$3:B$1002,SMALL(IF((Expenses!E$3:E$1002="GBP")*(Expenses!A$3:A$1002=DATE(2026,11,22)),ROW(Expenses!A$3:A$1002)-2),4)),"")&lt;&gt;"",IFERROR(INDEX(Expenses!B$3:B$1002,SMALL(IF((Expenses!E$3:E$1002="GBP")*(Expenses!A$3:A$1002=DATE(2026,11,22)),ROW(Expenses!A$3:A$1002)-2),4)),""),IF(IFERROR(INDEX(Income!B$3:B$502,SMALL(IF((Income!D$3:D$502="GBP")*(Income!A$3:A$502=DATE(2026,11,22)),ROW(Income!A$3:A$502)-2),4)),"")&lt;&gt;"",IFERROR(INDEX(Income!B$3:B$502,SMALL(IF((Income!D$3:D$502="GBP")*(Income!A$3:A$502=DATE(2026,11,22)),ROW(Income!A$3:A$502)-2),4)),""),""))</f>
        <v/>
      </c>
      <c r="Q237" s="16"/>
      <c r="R237" s="16"/>
    </row>
    <row r="238" customFormat="false" ht="15" hidden="false" customHeight="false" outlineLevel="0" collapsed="false">
      <c r="A238" s="16"/>
      <c r="B238" s="16"/>
      <c r="C238" s="62" t="str">
        <f aca="false">IF(IFERROR(-INDEX(Expenses!D$3:D$1002,SMALL(IF((Expenses!E$3:E$1002="GBP")*(Expenses!A$3:A$1002=DATE(2026,11,16)),ROW(Expenses!A$3:A$1002)-2),5)),0)+IFERROR(INDEX(Income!C$3:C$502,SMALL(IF((Income!D$3:D$502="GBP")*(Income!A$3:A$502=DATE(2026,11,16)),ROW(Income!A$3:A$502)-2),5)),0)=0,"",IFERROR(-INDEX(Expenses!D$3:D$1002,SMALL(IF((Expenses!E$3:E$1002="GBP")*(Expenses!A$3:A$1002=DATE(2026,11,16)),ROW(Expenses!A$3:A$1002)-2),5)),0)+IFERROR(INDEX(Income!C$3:C$502,SMALL(IF((Income!D$3:D$502="GBP")*(Income!A$3:A$502=DATE(2026,11,16)),ROW(Income!A$3:A$502)-2),5)),0))</f>
        <v/>
      </c>
      <c r="D238" s="38" t="str">
        <f aca="false">IF(IFERROR(INDEX(Expenses!B$3:B$1002,SMALL(IF((Expenses!E$3:E$1002="GBP")*(Expenses!A$3:A$1002=DATE(2026,11,16)),ROW(Expenses!A$3:A$1002)-2),5)),"")&lt;&gt;"",IFERROR(INDEX(Expenses!B$3:B$1002,SMALL(IF((Expenses!E$3:E$1002="GBP")*(Expenses!A$3:A$1002=DATE(2026,11,16)),ROW(Expenses!A$3:A$1002)-2),5)),""),IF(IFERROR(INDEX(Income!B$3:B$502,SMALL(IF((Income!D$3:D$502="GBP")*(Income!A$3:A$502=DATE(2026,11,16)),ROW(Income!A$3:A$502)-2),5)),"")&lt;&gt;"",IFERROR(INDEX(Income!B$3:B$502,SMALL(IF((Income!D$3:D$502="GBP")*(Income!A$3:A$502=DATE(2026,11,16)),ROW(Income!A$3:A$502)-2),5)),""),""))</f>
        <v/>
      </c>
      <c r="E238" s="62" t="str">
        <f aca="false">IF(IFERROR(-INDEX(Expenses!D$3:D$1002,SMALL(IF((Expenses!E$3:E$1002="GBP")*(Expenses!A$3:A$1002=DATE(2026,11,17)),ROW(Expenses!A$3:A$1002)-2),5)),0)+IFERROR(INDEX(Income!C$3:C$502,SMALL(IF((Income!D$3:D$502="GBP")*(Income!A$3:A$502=DATE(2026,11,17)),ROW(Income!A$3:A$502)-2),5)),0)=0,"",IFERROR(-INDEX(Expenses!D$3:D$1002,SMALL(IF((Expenses!E$3:E$1002="GBP")*(Expenses!A$3:A$1002=DATE(2026,11,17)),ROW(Expenses!A$3:A$1002)-2),5)),0)+IFERROR(INDEX(Income!C$3:C$502,SMALL(IF((Income!D$3:D$502="GBP")*(Income!A$3:A$502=DATE(2026,11,17)),ROW(Income!A$3:A$502)-2),5)),0))</f>
        <v/>
      </c>
      <c r="F238" s="38" t="str">
        <f aca="false">IF(IFERROR(INDEX(Expenses!B$3:B$1002,SMALL(IF((Expenses!E$3:E$1002="GBP")*(Expenses!A$3:A$1002=DATE(2026,11,17)),ROW(Expenses!A$3:A$1002)-2),5)),"")&lt;&gt;"",IFERROR(INDEX(Expenses!B$3:B$1002,SMALL(IF((Expenses!E$3:E$1002="GBP")*(Expenses!A$3:A$1002=DATE(2026,11,17)),ROW(Expenses!A$3:A$1002)-2),5)),""),IF(IFERROR(INDEX(Income!B$3:B$502,SMALL(IF((Income!D$3:D$502="GBP")*(Income!A$3:A$502=DATE(2026,11,17)),ROW(Income!A$3:A$502)-2),5)),"")&lt;&gt;"",IFERROR(INDEX(Income!B$3:B$502,SMALL(IF((Income!D$3:D$502="GBP")*(Income!A$3:A$502=DATE(2026,11,17)),ROW(Income!A$3:A$502)-2),5)),""),""))</f>
        <v/>
      </c>
      <c r="G238" s="62" t="str">
        <f aca="false">IF(IFERROR(-INDEX(Expenses!D$3:D$1002,SMALL(IF((Expenses!E$3:E$1002="GBP")*(Expenses!A$3:A$1002=DATE(2026,11,18)),ROW(Expenses!A$3:A$1002)-2),5)),0)+IFERROR(INDEX(Income!C$3:C$502,SMALL(IF((Income!D$3:D$502="GBP")*(Income!A$3:A$502=DATE(2026,11,18)),ROW(Income!A$3:A$502)-2),5)),0)=0,"",IFERROR(-INDEX(Expenses!D$3:D$1002,SMALL(IF((Expenses!E$3:E$1002="GBP")*(Expenses!A$3:A$1002=DATE(2026,11,18)),ROW(Expenses!A$3:A$1002)-2),5)),0)+IFERROR(INDEX(Income!C$3:C$502,SMALL(IF((Income!D$3:D$502="GBP")*(Income!A$3:A$502=DATE(2026,11,18)),ROW(Income!A$3:A$502)-2),5)),0))</f>
        <v/>
      </c>
      <c r="H238" s="38" t="str">
        <f aca="false">IF(IFERROR(INDEX(Expenses!B$3:B$1002,SMALL(IF((Expenses!E$3:E$1002="GBP")*(Expenses!A$3:A$1002=DATE(2026,11,18)),ROW(Expenses!A$3:A$1002)-2),5)),"")&lt;&gt;"",IFERROR(INDEX(Expenses!B$3:B$1002,SMALL(IF((Expenses!E$3:E$1002="GBP")*(Expenses!A$3:A$1002=DATE(2026,11,18)),ROW(Expenses!A$3:A$1002)-2),5)),""),IF(IFERROR(INDEX(Income!B$3:B$502,SMALL(IF((Income!D$3:D$502="GBP")*(Income!A$3:A$502=DATE(2026,11,18)),ROW(Income!A$3:A$502)-2),5)),"")&lt;&gt;"",IFERROR(INDEX(Income!B$3:B$502,SMALL(IF((Income!D$3:D$502="GBP")*(Income!A$3:A$502=DATE(2026,11,18)),ROW(Income!A$3:A$502)-2),5)),""),""))</f>
        <v/>
      </c>
      <c r="I238" s="62" t="str">
        <f aca="false">IF(IFERROR(-INDEX(Expenses!D$3:D$1002,SMALL(IF((Expenses!E$3:E$1002="GBP")*(Expenses!A$3:A$1002=DATE(2026,11,19)),ROW(Expenses!A$3:A$1002)-2),5)),0)+IFERROR(INDEX(Income!C$3:C$502,SMALL(IF((Income!D$3:D$502="GBP")*(Income!A$3:A$502=DATE(2026,11,19)),ROW(Income!A$3:A$502)-2),5)),0)=0,"",IFERROR(-INDEX(Expenses!D$3:D$1002,SMALL(IF((Expenses!E$3:E$1002="GBP")*(Expenses!A$3:A$1002=DATE(2026,11,19)),ROW(Expenses!A$3:A$1002)-2),5)),0)+IFERROR(INDEX(Income!C$3:C$502,SMALL(IF((Income!D$3:D$502="GBP")*(Income!A$3:A$502=DATE(2026,11,19)),ROW(Income!A$3:A$502)-2),5)),0))</f>
        <v/>
      </c>
      <c r="J238" s="38" t="str">
        <f aca="false">IF(IFERROR(INDEX(Expenses!B$3:B$1002,SMALL(IF((Expenses!E$3:E$1002="GBP")*(Expenses!A$3:A$1002=DATE(2026,11,19)),ROW(Expenses!A$3:A$1002)-2),5)),"")&lt;&gt;"",IFERROR(INDEX(Expenses!B$3:B$1002,SMALL(IF((Expenses!E$3:E$1002="GBP")*(Expenses!A$3:A$1002=DATE(2026,11,19)),ROW(Expenses!A$3:A$1002)-2),5)),""),IF(IFERROR(INDEX(Income!B$3:B$502,SMALL(IF((Income!D$3:D$502="GBP")*(Income!A$3:A$502=DATE(2026,11,19)),ROW(Income!A$3:A$502)-2),5)),"")&lt;&gt;"",IFERROR(INDEX(Income!B$3:B$502,SMALL(IF((Income!D$3:D$502="GBP")*(Income!A$3:A$502=DATE(2026,11,19)),ROW(Income!A$3:A$502)-2),5)),""),""))</f>
        <v/>
      </c>
      <c r="K238" s="62" t="str">
        <f aca="false">IF(IFERROR(-INDEX(Expenses!D$3:D$1002,SMALL(IF((Expenses!E$3:E$1002="GBP")*(Expenses!A$3:A$1002=DATE(2026,11,20)),ROW(Expenses!A$3:A$1002)-2),5)),0)+IFERROR(INDEX(Income!C$3:C$502,SMALL(IF((Income!D$3:D$502="GBP")*(Income!A$3:A$502=DATE(2026,11,20)),ROW(Income!A$3:A$502)-2),5)),0)=0,"",IFERROR(-INDEX(Expenses!D$3:D$1002,SMALL(IF((Expenses!E$3:E$1002="GBP")*(Expenses!A$3:A$1002=DATE(2026,11,20)),ROW(Expenses!A$3:A$1002)-2),5)),0)+IFERROR(INDEX(Income!C$3:C$502,SMALL(IF((Income!D$3:D$502="GBP")*(Income!A$3:A$502=DATE(2026,11,20)),ROW(Income!A$3:A$502)-2),5)),0))</f>
        <v/>
      </c>
      <c r="L238" s="38" t="str">
        <f aca="false">IF(IFERROR(INDEX(Expenses!B$3:B$1002,SMALL(IF((Expenses!E$3:E$1002="GBP")*(Expenses!A$3:A$1002=DATE(2026,11,20)),ROW(Expenses!A$3:A$1002)-2),5)),"")&lt;&gt;"",IFERROR(INDEX(Expenses!B$3:B$1002,SMALL(IF((Expenses!E$3:E$1002="GBP")*(Expenses!A$3:A$1002=DATE(2026,11,20)),ROW(Expenses!A$3:A$1002)-2),5)),""),IF(IFERROR(INDEX(Income!B$3:B$502,SMALL(IF((Income!D$3:D$502="GBP")*(Income!A$3:A$502=DATE(2026,11,20)),ROW(Income!A$3:A$502)-2),5)),"")&lt;&gt;"",IFERROR(INDEX(Income!B$3:B$502,SMALL(IF((Income!D$3:D$502="GBP")*(Income!A$3:A$502=DATE(2026,11,20)),ROW(Income!A$3:A$502)-2),5)),""),""))</f>
        <v/>
      </c>
      <c r="M238" s="62" t="str">
        <f aca="false">IF(IFERROR(-INDEX(Expenses!D$3:D$1002,SMALL(IF((Expenses!E$3:E$1002="GBP")*(Expenses!A$3:A$1002=DATE(2026,11,21)),ROW(Expenses!A$3:A$1002)-2),5)),0)+IFERROR(INDEX(Income!C$3:C$502,SMALL(IF((Income!D$3:D$502="GBP")*(Income!A$3:A$502=DATE(2026,11,21)),ROW(Income!A$3:A$502)-2),5)),0)=0,"",IFERROR(-INDEX(Expenses!D$3:D$1002,SMALL(IF((Expenses!E$3:E$1002="GBP")*(Expenses!A$3:A$1002=DATE(2026,11,21)),ROW(Expenses!A$3:A$1002)-2),5)),0)+IFERROR(INDEX(Income!C$3:C$502,SMALL(IF((Income!D$3:D$502="GBP")*(Income!A$3:A$502=DATE(2026,11,21)),ROW(Income!A$3:A$502)-2),5)),0))</f>
        <v/>
      </c>
      <c r="N238" s="38" t="str">
        <f aca="false">IF(IFERROR(INDEX(Expenses!B$3:B$1002,SMALL(IF((Expenses!E$3:E$1002="GBP")*(Expenses!A$3:A$1002=DATE(2026,11,21)),ROW(Expenses!A$3:A$1002)-2),5)),"")&lt;&gt;"",IFERROR(INDEX(Expenses!B$3:B$1002,SMALL(IF((Expenses!E$3:E$1002="GBP")*(Expenses!A$3:A$1002=DATE(2026,11,21)),ROW(Expenses!A$3:A$1002)-2),5)),""),IF(IFERROR(INDEX(Income!B$3:B$502,SMALL(IF((Income!D$3:D$502="GBP")*(Income!A$3:A$502=DATE(2026,11,21)),ROW(Income!A$3:A$502)-2),5)),"")&lt;&gt;"",IFERROR(INDEX(Income!B$3:B$502,SMALL(IF((Income!D$3:D$502="GBP")*(Income!A$3:A$502=DATE(2026,11,21)),ROW(Income!A$3:A$502)-2),5)),""),""))</f>
        <v/>
      </c>
      <c r="O238" s="62" t="str">
        <f aca="false">IF(IFERROR(-INDEX(Expenses!D$3:D$1002,SMALL(IF((Expenses!E$3:E$1002="GBP")*(Expenses!A$3:A$1002=DATE(2026,11,22)),ROW(Expenses!A$3:A$1002)-2),5)),0)+IFERROR(INDEX(Income!C$3:C$502,SMALL(IF((Income!D$3:D$502="GBP")*(Income!A$3:A$502=DATE(2026,11,22)),ROW(Income!A$3:A$502)-2),5)),0)=0,"",IFERROR(-INDEX(Expenses!D$3:D$1002,SMALL(IF((Expenses!E$3:E$1002="GBP")*(Expenses!A$3:A$1002=DATE(2026,11,22)),ROW(Expenses!A$3:A$1002)-2),5)),0)+IFERROR(INDEX(Income!C$3:C$502,SMALL(IF((Income!D$3:D$502="GBP")*(Income!A$3:A$502=DATE(2026,11,22)),ROW(Income!A$3:A$502)-2),5)),0))</f>
        <v/>
      </c>
      <c r="P238" s="38" t="str">
        <f aca="false">IF(IFERROR(INDEX(Expenses!B$3:B$1002,SMALL(IF((Expenses!E$3:E$1002="GBP")*(Expenses!A$3:A$1002=DATE(2026,11,22)),ROW(Expenses!A$3:A$1002)-2),5)),"")&lt;&gt;"",IFERROR(INDEX(Expenses!B$3:B$1002,SMALL(IF((Expenses!E$3:E$1002="GBP")*(Expenses!A$3:A$1002=DATE(2026,11,22)),ROW(Expenses!A$3:A$1002)-2),5)),""),IF(IFERROR(INDEX(Income!B$3:B$502,SMALL(IF((Income!D$3:D$502="GBP")*(Income!A$3:A$502=DATE(2026,11,22)),ROW(Income!A$3:A$502)-2),5)),"")&lt;&gt;"",IFERROR(INDEX(Income!B$3:B$502,SMALL(IF((Income!D$3:D$502="GBP")*(Income!A$3:A$502=DATE(2026,11,22)),ROW(Income!A$3:A$502)-2),5)),""),""))</f>
        <v/>
      </c>
      <c r="Q238" s="16"/>
      <c r="R238" s="16"/>
    </row>
    <row r="239" customFormat="false" ht="15" hidden="false" customHeight="false" outlineLevel="0" collapsed="false">
      <c r="A239" s="61" t="n">
        <v>46349</v>
      </c>
      <c r="B239" s="3" t="n">
        <v>48</v>
      </c>
      <c r="C239" s="62" t="str">
        <f aca="false">IF(IFERROR(-INDEX(Expenses!D$3:D$1002,SMALL(IF((Expenses!E$3:E$1002="GBP")*(Expenses!A$3:A$1002=DATE(2026,11,23)),ROW(Expenses!A$3:A$1002)-2),1)),0)+IFERROR(INDEX(Income!C$3:C$502,SMALL(IF((Income!D$3:D$502="GBP")*(Income!A$3:A$502=DATE(2026,11,23)),ROW(Income!A$3:A$502)-2),1)),0)=0,"",IFERROR(-INDEX(Expenses!D$3:D$1002,SMALL(IF((Expenses!E$3:E$1002="GBP")*(Expenses!A$3:A$1002=DATE(2026,11,23)),ROW(Expenses!A$3:A$1002)-2),1)),0)+IFERROR(INDEX(Income!C$3:C$502,SMALL(IF((Income!D$3:D$502="GBP")*(Income!A$3:A$502=DATE(2026,11,23)),ROW(Income!A$3:A$502)-2),1)),0))</f>
        <v/>
      </c>
      <c r="D239" s="38" t="str">
        <f aca="false">IF(IFERROR(INDEX(Expenses!B$3:B$1002,SMALL(IF((Expenses!E$3:E$1002="GBP")*(Expenses!A$3:A$1002=DATE(2026,11,23)),ROW(Expenses!A$3:A$1002)-2),1)),"")&lt;&gt;"",IFERROR(INDEX(Expenses!B$3:B$1002,SMALL(IF((Expenses!E$3:E$1002="GBP")*(Expenses!A$3:A$1002=DATE(2026,11,23)),ROW(Expenses!A$3:A$1002)-2),1)),""),IF(IFERROR(INDEX(Income!B$3:B$502,SMALL(IF((Income!D$3:D$502="GBP")*(Income!A$3:A$502=DATE(2026,11,23)),ROW(Income!A$3:A$502)-2),1)),"")&lt;&gt;"",IFERROR(INDEX(Income!B$3:B$502,SMALL(IF((Income!D$3:D$502="GBP")*(Income!A$3:A$502=DATE(2026,11,23)),ROW(Income!A$3:A$502)-2),1)),""),""))</f>
        <v/>
      </c>
      <c r="E239" s="62" t="str">
        <f aca="false">IF(IFERROR(-INDEX(Expenses!D$3:D$1002,SMALL(IF((Expenses!E$3:E$1002="GBP")*(Expenses!A$3:A$1002=DATE(2026,11,24)),ROW(Expenses!A$3:A$1002)-2),1)),0)+IFERROR(INDEX(Income!C$3:C$502,SMALL(IF((Income!D$3:D$502="GBP")*(Income!A$3:A$502=DATE(2026,11,24)),ROW(Income!A$3:A$502)-2),1)),0)=0,"",IFERROR(-INDEX(Expenses!D$3:D$1002,SMALL(IF((Expenses!E$3:E$1002="GBP")*(Expenses!A$3:A$1002=DATE(2026,11,24)),ROW(Expenses!A$3:A$1002)-2),1)),0)+IFERROR(INDEX(Income!C$3:C$502,SMALL(IF((Income!D$3:D$502="GBP")*(Income!A$3:A$502=DATE(2026,11,24)),ROW(Income!A$3:A$502)-2),1)),0))</f>
        <v/>
      </c>
      <c r="F239" s="38" t="str">
        <f aca="false">IF(IFERROR(INDEX(Expenses!B$3:B$1002,SMALL(IF((Expenses!E$3:E$1002="GBP")*(Expenses!A$3:A$1002=DATE(2026,11,24)),ROW(Expenses!A$3:A$1002)-2),1)),"")&lt;&gt;"",IFERROR(INDEX(Expenses!B$3:B$1002,SMALL(IF((Expenses!E$3:E$1002="GBP")*(Expenses!A$3:A$1002=DATE(2026,11,24)),ROW(Expenses!A$3:A$1002)-2),1)),""),IF(IFERROR(INDEX(Income!B$3:B$502,SMALL(IF((Income!D$3:D$502="GBP")*(Income!A$3:A$502=DATE(2026,11,24)),ROW(Income!A$3:A$502)-2),1)),"")&lt;&gt;"",IFERROR(INDEX(Income!B$3:B$502,SMALL(IF((Income!D$3:D$502="GBP")*(Income!A$3:A$502=DATE(2026,11,24)),ROW(Income!A$3:A$502)-2),1)),""),""))</f>
        <v/>
      </c>
      <c r="G239" s="62" t="str">
        <f aca="false">IF(IFERROR(-INDEX(Expenses!D$3:D$1002,SMALL(IF((Expenses!E$3:E$1002="GBP")*(Expenses!A$3:A$1002=DATE(2026,11,25)),ROW(Expenses!A$3:A$1002)-2),1)),0)+IFERROR(INDEX(Income!C$3:C$502,SMALL(IF((Income!D$3:D$502="GBP")*(Income!A$3:A$502=DATE(2026,11,25)),ROW(Income!A$3:A$502)-2),1)),0)=0,"",IFERROR(-INDEX(Expenses!D$3:D$1002,SMALL(IF((Expenses!E$3:E$1002="GBP")*(Expenses!A$3:A$1002=DATE(2026,11,25)),ROW(Expenses!A$3:A$1002)-2),1)),0)+IFERROR(INDEX(Income!C$3:C$502,SMALL(IF((Income!D$3:D$502="GBP")*(Income!A$3:A$502=DATE(2026,11,25)),ROW(Income!A$3:A$502)-2),1)),0))</f>
        <v/>
      </c>
      <c r="H239" s="38" t="str">
        <f aca="false">IF(IFERROR(INDEX(Expenses!B$3:B$1002,SMALL(IF((Expenses!E$3:E$1002="GBP")*(Expenses!A$3:A$1002=DATE(2026,11,25)),ROW(Expenses!A$3:A$1002)-2),1)),"")&lt;&gt;"",IFERROR(INDEX(Expenses!B$3:B$1002,SMALL(IF((Expenses!E$3:E$1002="GBP")*(Expenses!A$3:A$1002=DATE(2026,11,25)),ROW(Expenses!A$3:A$1002)-2),1)),""),IF(IFERROR(INDEX(Income!B$3:B$502,SMALL(IF((Income!D$3:D$502="GBP")*(Income!A$3:A$502=DATE(2026,11,25)),ROW(Income!A$3:A$502)-2),1)),"")&lt;&gt;"",IFERROR(INDEX(Income!B$3:B$502,SMALL(IF((Income!D$3:D$502="GBP")*(Income!A$3:A$502=DATE(2026,11,25)),ROW(Income!A$3:A$502)-2),1)),""),""))</f>
        <v/>
      </c>
      <c r="I239" s="62" t="str">
        <f aca="false">IF(IFERROR(-INDEX(Expenses!D$3:D$1002,SMALL(IF((Expenses!E$3:E$1002="GBP")*(Expenses!A$3:A$1002=DATE(2026,11,26)),ROW(Expenses!A$3:A$1002)-2),1)),0)+IFERROR(INDEX(Income!C$3:C$502,SMALL(IF((Income!D$3:D$502="GBP")*(Income!A$3:A$502=DATE(2026,11,26)),ROW(Income!A$3:A$502)-2),1)),0)=0,"",IFERROR(-INDEX(Expenses!D$3:D$1002,SMALL(IF((Expenses!E$3:E$1002="GBP")*(Expenses!A$3:A$1002=DATE(2026,11,26)),ROW(Expenses!A$3:A$1002)-2),1)),0)+IFERROR(INDEX(Income!C$3:C$502,SMALL(IF((Income!D$3:D$502="GBP")*(Income!A$3:A$502=DATE(2026,11,26)),ROW(Income!A$3:A$502)-2),1)),0))</f>
        <v/>
      </c>
      <c r="J239" s="38" t="str">
        <f aca="false">IF(IFERROR(INDEX(Expenses!B$3:B$1002,SMALL(IF((Expenses!E$3:E$1002="GBP")*(Expenses!A$3:A$1002=DATE(2026,11,26)),ROW(Expenses!A$3:A$1002)-2),1)),"")&lt;&gt;"",IFERROR(INDEX(Expenses!B$3:B$1002,SMALL(IF((Expenses!E$3:E$1002="GBP")*(Expenses!A$3:A$1002=DATE(2026,11,26)),ROW(Expenses!A$3:A$1002)-2),1)),""),IF(IFERROR(INDEX(Income!B$3:B$502,SMALL(IF((Income!D$3:D$502="GBP")*(Income!A$3:A$502=DATE(2026,11,26)),ROW(Income!A$3:A$502)-2),1)),"")&lt;&gt;"",IFERROR(INDEX(Income!B$3:B$502,SMALL(IF((Income!D$3:D$502="GBP")*(Income!A$3:A$502=DATE(2026,11,26)),ROW(Income!A$3:A$502)-2),1)),""),""))</f>
        <v/>
      </c>
      <c r="K239" s="62" t="str">
        <f aca="false">IF(IFERROR(-INDEX(Expenses!D$3:D$1002,SMALL(IF((Expenses!E$3:E$1002="GBP")*(Expenses!A$3:A$1002=DATE(2026,11,27)),ROW(Expenses!A$3:A$1002)-2),1)),0)+IFERROR(INDEX(Income!C$3:C$502,SMALL(IF((Income!D$3:D$502="GBP")*(Income!A$3:A$502=DATE(2026,11,27)),ROW(Income!A$3:A$502)-2),1)),0)=0,"",IFERROR(-INDEX(Expenses!D$3:D$1002,SMALL(IF((Expenses!E$3:E$1002="GBP")*(Expenses!A$3:A$1002=DATE(2026,11,27)),ROW(Expenses!A$3:A$1002)-2),1)),0)+IFERROR(INDEX(Income!C$3:C$502,SMALL(IF((Income!D$3:D$502="GBP")*(Income!A$3:A$502=DATE(2026,11,27)),ROW(Income!A$3:A$502)-2),1)),0))</f>
        <v/>
      </c>
      <c r="L239" s="38" t="str">
        <f aca="false">IF(IFERROR(INDEX(Expenses!B$3:B$1002,SMALL(IF((Expenses!E$3:E$1002="GBP")*(Expenses!A$3:A$1002=DATE(2026,11,27)),ROW(Expenses!A$3:A$1002)-2),1)),"")&lt;&gt;"",IFERROR(INDEX(Expenses!B$3:B$1002,SMALL(IF((Expenses!E$3:E$1002="GBP")*(Expenses!A$3:A$1002=DATE(2026,11,27)),ROW(Expenses!A$3:A$1002)-2),1)),""),IF(IFERROR(INDEX(Income!B$3:B$502,SMALL(IF((Income!D$3:D$502="GBP")*(Income!A$3:A$502=DATE(2026,11,27)),ROW(Income!A$3:A$502)-2),1)),"")&lt;&gt;"",IFERROR(INDEX(Income!B$3:B$502,SMALL(IF((Income!D$3:D$502="GBP")*(Income!A$3:A$502=DATE(2026,11,27)),ROW(Income!A$3:A$502)-2),1)),""),""))</f>
        <v/>
      </c>
      <c r="M239" s="62" t="str">
        <f aca="false">IF(IFERROR(-INDEX(Expenses!D$3:D$1002,SMALL(IF((Expenses!E$3:E$1002="GBP")*(Expenses!A$3:A$1002=DATE(2026,11,28)),ROW(Expenses!A$3:A$1002)-2),1)),0)+IFERROR(INDEX(Income!C$3:C$502,SMALL(IF((Income!D$3:D$502="GBP")*(Income!A$3:A$502=DATE(2026,11,28)),ROW(Income!A$3:A$502)-2),1)),0)=0,"",IFERROR(-INDEX(Expenses!D$3:D$1002,SMALL(IF((Expenses!E$3:E$1002="GBP")*(Expenses!A$3:A$1002=DATE(2026,11,28)),ROW(Expenses!A$3:A$1002)-2),1)),0)+IFERROR(INDEX(Income!C$3:C$502,SMALL(IF((Income!D$3:D$502="GBP")*(Income!A$3:A$502=DATE(2026,11,28)),ROW(Income!A$3:A$502)-2),1)),0))</f>
        <v/>
      </c>
      <c r="N239" s="38" t="str">
        <f aca="false">IF(IFERROR(INDEX(Expenses!B$3:B$1002,SMALL(IF((Expenses!E$3:E$1002="GBP")*(Expenses!A$3:A$1002=DATE(2026,11,28)),ROW(Expenses!A$3:A$1002)-2),1)),"")&lt;&gt;"",IFERROR(INDEX(Expenses!B$3:B$1002,SMALL(IF((Expenses!E$3:E$1002="GBP")*(Expenses!A$3:A$1002=DATE(2026,11,28)),ROW(Expenses!A$3:A$1002)-2),1)),""),IF(IFERROR(INDEX(Income!B$3:B$502,SMALL(IF((Income!D$3:D$502="GBP")*(Income!A$3:A$502=DATE(2026,11,28)),ROW(Income!A$3:A$502)-2),1)),"")&lt;&gt;"",IFERROR(INDEX(Income!B$3:B$502,SMALL(IF((Income!D$3:D$502="GBP")*(Income!A$3:A$502=DATE(2026,11,28)),ROW(Income!A$3:A$502)-2),1)),""),""))</f>
        <v/>
      </c>
      <c r="O239" s="62" t="str">
        <f aca="false">IF(IFERROR(-INDEX(Expenses!D$3:D$1002,SMALL(IF((Expenses!E$3:E$1002="GBP")*(Expenses!A$3:A$1002=DATE(2026,11,29)),ROW(Expenses!A$3:A$1002)-2),1)),0)+IFERROR(INDEX(Income!C$3:C$502,SMALL(IF((Income!D$3:D$502="GBP")*(Income!A$3:A$502=DATE(2026,11,29)),ROW(Income!A$3:A$502)-2),1)),0)=0,"",IFERROR(-INDEX(Expenses!D$3:D$1002,SMALL(IF((Expenses!E$3:E$1002="GBP")*(Expenses!A$3:A$1002=DATE(2026,11,29)),ROW(Expenses!A$3:A$1002)-2),1)),0)+IFERROR(INDEX(Income!C$3:C$502,SMALL(IF((Income!D$3:D$502="GBP")*(Income!A$3:A$502=DATE(2026,11,29)),ROW(Income!A$3:A$502)-2),1)),0))</f>
        <v/>
      </c>
      <c r="P239" s="38" t="str">
        <f aca="false">IF(IFERROR(INDEX(Expenses!B$3:B$1002,SMALL(IF((Expenses!E$3:E$1002="GBP")*(Expenses!A$3:A$1002=DATE(2026,11,29)),ROW(Expenses!A$3:A$1002)-2),1)),"")&lt;&gt;"",IFERROR(INDEX(Expenses!B$3:B$1002,SMALL(IF((Expenses!E$3:E$1002="GBP")*(Expenses!A$3:A$1002=DATE(2026,11,29)),ROW(Expenses!A$3:A$1002)-2),1)),""),IF(IFERROR(INDEX(Income!B$3:B$502,SMALL(IF((Income!D$3:D$502="GBP")*(Income!A$3:A$502=DATE(2026,11,29)),ROW(Income!A$3:A$502)-2),1)),"")&lt;&gt;"",IFERROR(INDEX(Income!B$3:B$502,SMALL(IF((Income!D$3:D$502="GBP")*(Income!A$3:A$502=DATE(2026,11,29)),ROW(Income!A$3:A$502)-2),1)),""),""))</f>
        <v/>
      </c>
      <c r="Q239" s="3" t="n">
        <v>48</v>
      </c>
      <c r="R239" s="45" t="n">
        <f aca="false">SUM(C239:C243)+SUM(E239:E243)+SUM(G239:G243)+SUM(I239:I243)+SUM(K239:K243)+SUM(M239:M243)+SUM(O239:O243)</f>
        <v>0</v>
      </c>
    </row>
    <row r="240" customFormat="false" ht="15" hidden="false" customHeight="false" outlineLevel="0" collapsed="false">
      <c r="A240" s="16"/>
      <c r="B240" s="16"/>
      <c r="C240" s="62" t="str">
        <f aca="false">IF(IFERROR(-INDEX(Expenses!D$3:D$1002,SMALL(IF((Expenses!E$3:E$1002="GBP")*(Expenses!A$3:A$1002=DATE(2026,11,23)),ROW(Expenses!A$3:A$1002)-2),2)),0)+IFERROR(INDEX(Income!C$3:C$502,SMALL(IF((Income!D$3:D$502="GBP")*(Income!A$3:A$502=DATE(2026,11,23)),ROW(Income!A$3:A$502)-2),2)),0)=0,"",IFERROR(-INDEX(Expenses!D$3:D$1002,SMALL(IF((Expenses!E$3:E$1002="GBP")*(Expenses!A$3:A$1002=DATE(2026,11,23)),ROW(Expenses!A$3:A$1002)-2),2)),0)+IFERROR(INDEX(Income!C$3:C$502,SMALL(IF((Income!D$3:D$502="GBP")*(Income!A$3:A$502=DATE(2026,11,23)),ROW(Income!A$3:A$502)-2),2)),0))</f>
        <v/>
      </c>
      <c r="D240" s="38" t="str">
        <f aca="false">IF(IFERROR(INDEX(Expenses!B$3:B$1002,SMALL(IF((Expenses!E$3:E$1002="GBP")*(Expenses!A$3:A$1002=DATE(2026,11,23)),ROW(Expenses!A$3:A$1002)-2),2)),"")&lt;&gt;"",IFERROR(INDEX(Expenses!B$3:B$1002,SMALL(IF((Expenses!E$3:E$1002="GBP")*(Expenses!A$3:A$1002=DATE(2026,11,23)),ROW(Expenses!A$3:A$1002)-2),2)),""),IF(IFERROR(INDEX(Income!B$3:B$502,SMALL(IF((Income!D$3:D$502="GBP")*(Income!A$3:A$502=DATE(2026,11,23)),ROW(Income!A$3:A$502)-2),2)),"")&lt;&gt;"",IFERROR(INDEX(Income!B$3:B$502,SMALL(IF((Income!D$3:D$502="GBP")*(Income!A$3:A$502=DATE(2026,11,23)),ROW(Income!A$3:A$502)-2),2)),""),""))</f>
        <v/>
      </c>
      <c r="E240" s="62" t="str">
        <f aca="false">IF(IFERROR(-INDEX(Expenses!D$3:D$1002,SMALL(IF((Expenses!E$3:E$1002="GBP")*(Expenses!A$3:A$1002=DATE(2026,11,24)),ROW(Expenses!A$3:A$1002)-2),2)),0)+IFERROR(INDEX(Income!C$3:C$502,SMALL(IF((Income!D$3:D$502="GBP")*(Income!A$3:A$502=DATE(2026,11,24)),ROW(Income!A$3:A$502)-2),2)),0)=0,"",IFERROR(-INDEX(Expenses!D$3:D$1002,SMALL(IF((Expenses!E$3:E$1002="GBP")*(Expenses!A$3:A$1002=DATE(2026,11,24)),ROW(Expenses!A$3:A$1002)-2),2)),0)+IFERROR(INDEX(Income!C$3:C$502,SMALL(IF((Income!D$3:D$502="GBP")*(Income!A$3:A$502=DATE(2026,11,24)),ROW(Income!A$3:A$502)-2),2)),0))</f>
        <v/>
      </c>
      <c r="F240" s="38" t="str">
        <f aca="false">IF(IFERROR(INDEX(Expenses!B$3:B$1002,SMALL(IF((Expenses!E$3:E$1002="GBP")*(Expenses!A$3:A$1002=DATE(2026,11,24)),ROW(Expenses!A$3:A$1002)-2),2)),"")&lt;&gt;"",IFERROR(INDEX(Expenses!B$3:B$1002,SMALL(IF((Expenses!E$3:E$1002="GBP")*(Expenses!A$3:A$1002=DATE(2026,11,24)),ROW(Expenses!A$3:A$1002)-2),2)),""),IF(IFERROR(INDEX(Income!B$3:B$502,SMALL(IF((Income!D$3:D$502="GBP")*(Income!A$3:A$502=DATE(2026,11,24)),ROW(Income!A$3:A$502)-2),2)),"")&lt;&gt;"",IFERROR(INDEX(Income!B$3:B$502,SMALL(IF((Income!D$3:D$502="GBP")*(Income!A$3:A$502=DATE(2026,11,24)),ROW(Income!A$3:A$502)-2),2)),""),""))</f>
        <v/>
      </c>
      <c r="G240" s="62" t="str">
        <f aca="false">IF(IFERROR(-INDEX(Expenses!D$3:D$1002,SMALL(IF((Expenses!E$3:E$1002="GBP")*(Expenses!A$3:A$1002=DATE(2026,11,25)),ROW(Expenses!A$3:A$1002)-2),2)),0)+IFERROR(INDEX(Income!C$3:C$502,SMALL(IF((Income!D$3:D$502="GBP")*(Income!A$3:A$502=DATE(2026,11,25)),ROW(Income!A$3:A$502)-2),2)),0)=0,"",IFERROR(-INDEX(Expenses!D$3:D$1002,SMALL(IF((Expenses!E$3:E$1002="GBP")*(Expenses!A$3:A$1002=DATE(2026,11,25)),ROW(Expenses!A$3:A$1002)-2),2)),0)+IFERROR(INDEX(Income!C$3:C$502,SMALL(IF((Income!D$3:D$502="GBP")*(Income!A$3:A$502=DATE(2026,11,25)),ROW(Income!A$3:A$502)-2),2)),0))</f>
        <v/>
      </c>
      <c r="H240" s="38" t="str">
        <f aca="false">IF(IFERROR(INDEX(Expenses!B$3:B$1002,SMALL(IF((Expenses!E$3:E$1002="GBP")*(Expenses!A$3:A$1002=DATE(2026,11,25)),ROW(Expenses!A$3:A$1002)-2),2)),"")&lt;&gt;"",IFERROR(INDEX(Expenses!B$3:B$1002,SMALL(IF((Expenses!E$3:E$1002="GBP")*(Expenses!A$3:A$1002=DATE(2026,11,25)),ROW(Expenses!A$3:A$1002)-2),2)),""),IF(IFERROR(INDEX(Income!B$3:B$502,SMALL(IF((Income!D$3:D$502="GBP")*(Income!A$3:A$502=DATE(2026,11,25)),ROW(Income!A$3:A$502)-2),2)),"")&lt;&gt;"",IFERROR(INDEX(Income!B$3:B$502,SMALL(IF((Income!D$3:D$502="GBP")*(Income!A$3:A$502=DATE(2026,11,25)),ROW(Income!A$3:A$502)-2),2)),""),""))</f>
        <v/>
      </c>
      <c r="I240" s="62" t="str">
        <f aca="false">IF(IFERROR(-INDEX(Expenses!D$3:D$1002,SMALL(IF((Expenses!E$3:E$1002="GBP")*(Expenses!A$3:A$1002=DATE(2026,11,26)),ROW(Expenses!A$3:A$1002)-2),2)),0)+IFERROR(INDEX(Income!C$3:C$502,SMALL(IF((Income!D$3:D$502="GBP")*(Income!A$3:A$502=DATE(2026,11,26)),ROW(Income!A$3:A$502)-2),2)),0)=0,"",IFERROR(-INDEX(Expenses!D$3:D$1002,SMALL(IF((Expenses!E$3:E$1002="GBP")*(Expenses!A$3:A$1002=DATE(2026,11,26)),ROW(Expenses!A$3:A$1002)-2),2)),0)+IFERROR(INDEX(Income!C$3:C$502,SMALL(IF((Income!D$3:D$502="GBP")*(Income!A$3:A$502=DATE(2026,11,26)),ROW(Income!A$3:A$502)-2),2)),0))</f>
        <v/>
      </c>
      <c r="J240" s="38" t="str">
        <f aca="false">IF(IFERROR(INDEX(Expenses!B$3:B$1002,SMALL(IF((Expenses!E$3:E$1002="GBP")*(Expenses!A$3:A$1002=DATE(2026,11,26)),ROW(Expenses!A$3:A$1002)-2),2)),"")&lt;&gt;"",IFERROR(INDEX(Expenses!B$3:B$1002,SMALL(IF((Expenses!E$3:E$1002="GBP")*(Expenses!A$3:A$1002=DATE(2026,11,26)),ROW(Expenses!A$3:A$1002)-2),2)),""),IF(IFERROR(INDEX(Income!B$3:B$502,SMALL(IF((Income!D$3:D$502="GBP")*(Income!A$3:A$502=DATE(2026,11,26)),ROW(Income!A$3:A$502)-2),2)),"")&lt;&gt;"",IFERROR(INDEX(Income!B$3:B$502,SMALL(IF((Income!D$3:D$502="GBP")*(Income!A$3:A$502=DATE(2026,11,26)),ROW(Income!A$3:A$502)-2),2)),""),""))</f>
        <v/>
      </c>
      <c r="K240" s="62" t="str">
        <f aca="false">IF(IFERROR(-INDEX(Expenses!D$3:D$1002,SMALL(IF((Expenses!E$3:E$1002="GBP")*(Expenses!A$3:A$1002=DATE(2026,11,27)),ROW(Expenses!A$3:A$1002)-2),2)),0)+IFERROR(INDEX(Income!C$3:C$502,SMALL(IF((Income!D$3:D$502="GBP")*(Income!A$3:A$502=DATE(2026,11,27)),ROW(Income!A$3:A$502)-2),2)),0)=0,"",IFERROR(-INDEX(Expenses!D$3:D$1002,SMALL(IF((Expenses!E$3:E$1002="GBP")*(Expenses!A$3:A$1002=DATE(2026,11,27)),ROW(Expenses!A$3:A$1002)-2),2)),0)+IFERROR(INDEX(Income!C$3:C$502,SMALL(IF((Income!D$3:D$502="GBP")*(Income!A$3:A$502=DATE(2026,11,27)),ROW(Income!A$3:A$502)-2),2)),0))</f>
        <v/>
      </c>
      <c r="L240" s="38" t="str">
        <f aca="false">IF(IFERROR(INDEX(Expenses!B$3:B$1002,SMALL(IF((Expenses!E$3:E$1002="GBP")*(Expenses!A$3:A$1002=DATE(2026,11,27)),ROW(Expenses!A$3:A$1002)-2),2)),"")&lt;&gt;"",IFERROR(INDEX(Expenses!B$3:B$1002,SMALL(IF((Expenses!E$3:E$1002="GBP")*(Expenses!A$3:A$1002=DATE(2026,11,27)),ROW(Expenses!A$3:A$1002)-2),2)),""),IF(IFERROR(INDEX(Income!B$3:B$502,SMALL(IF((Income!D$3:D$502="GBP")*(Income!A$3:A$502=DATE(2026,11,27)),ROW(Income!A$3:A$502)-2),2)),"")&lt;&gt;"",IFERROR(INDEX(Income!B$3:B$502,SMALL(IF((Income!D$3:D$502="GBP")*(Income!A$3:A$502=DATE(2026,11,27)),ROW(Income!A$3:A$502)-2),2)),""),""))</f>
        <v/>
      </c>
      <c r="M240" s="62" t="str">
        <f aca="false">IF(IFERROR(-INDEX(Expenses!D$3:D$1002,SMALL(IF((Expenses!E$3:E$1002="GBP")*(Expenses!A$3:A$1002=DATE(2026,11,28)),ROW(Expenses!A$3:A$1002)-2),2)),0)+IFERROR(INDEX(Income!C$3:C$502,SMALL(IF((Income!D$3:D$502="GBP")*(Income!A$3:A$502=DATE(2026,11,28)),ROW(Income!A$3:A$502)-2),2)),0)=0,"",IFERROR(-INDEX(Expenses!D$3:D$1002,SMALL(IF((Expenses!E$3:E$1002="GBP")*(Expenses!A$3:A$1002=DATE(2026,11,28)),ROW(Expenses!A$3:A$1002)-2),2)),0)+IFERROR(INDEX(Income!C$3:C$502,SMALL(IF((Income!D$3:D$502="GBP")*(Income!A$3:A$502=DATE(2026,11,28)),ROW(Income!A$3:A$502)-2),2)),0))</f>
        <v/>
      </c>
      <c r="N240" s="38" t="str">
        <f aca="false">IF(IFERROR(INDEX(Expenses!B$3:B$1002,SMALL(IF((Expenses!E$3:E$1002="GBP")*(Expenses!A$3:A$1002=DATE(2026,11,28)),ROW(Expenses!A$3:A$1002)-2),2)),"")&lt;&gt;"",IFERROR(INDEX(Expenses!B$3:B$1002,SMALL(IF((Expenses!E$3:E$1002="GBP")*(Expenses!A$3:A$1002=DATE(2026,11,28)),ROW(Expenses!A$3:A$1002)-2),2)),""),IF(IFERROR(INDEX(Income!B$3:B$502,SMALL(IF((Income!D$3:D$502="GBP")*(Income!A$3:A$502=DATE(2026,11,28)),ROW(Income!A$3:A$502)-2),2)),"")&lt;&gt;"",IFERROR(INDEX(Income!B$3:B$502,SMALL(IF((Income!D$3:D$502="GBP")*(Income!A$3:A$502=DATE(2026,11,28)),ROW(Income!A$3:A$502)-2),2)),""),""))</f>
        <v/>
      </c>
      <c r="O240" s="62" t="str">
        <f aca="false">IF(IFERROR(-INDEX(Expenses!D$3:D$1002,SMALL(IF((Expenses!E$3:E$1002="GBP")*(Expenses!A$3:A$1002=DATE(2026,11,29)),ROW(Expenses!A$3:A$1002)-2),2)),0)+IFERROR(INDEX(Income!C$3:C$502,SMALL(IF((Income!D$3:D$502="GBP")*(Income!A$3:A$502=DATE(2026,11,29)),ROW(Income!A$3:A$502)-2),2)),0)=0,"",IFERROR(-INDEX(Expenses!D$3:D$1002,SMALL(IF((Expenses!E$3:E$1002="GBP")*(Expenses!A$3:A$1002=DATE(2026,11,29)),ROW(Expenses!A$3:A$1002)-2),2)),0)+IFERROR(INDEX(Income!C$3:C$502,SMALL(IF((Income!D$3:D$502="GBP")*(Income!A$3:A$502=DATE(2026,11,29)),ROW(Income!A$3:A$502)-2),2)),0))</f>
        <v/>
      </c>
      <c r="P240" s="38" t="str">
        <f aca="false">IF(IFERROR(INDEX(Expenses!B$3:B$1002,SMALL(IF((Expenses!E$3:E$1002="GBP")*(Expenses!A$3:A$1002=DATE(2026,11,29)),ROW(Expenses!A$3:A$1002)-2),2)),"")&lt;&gt;"",IFERROR(INDEX(Expenses!B$3:B$1002,SMALL(IF((Expenses!E$3:E$1002="GBP")*(Expenses!A$3:A$1002=DATE(2026,11,29)),ROW(Expenses!A$3:A$1002)-2),2)),""),IF(IFERROR(INDEX(Income!B$3:B$502,SMALL(IF((Income!D$3:D$502="GBP")*(Income!A$3:A$502=DATE(2026,11,29)),ROW(Income!A$3:A$502)-2),2)),"")&lt;&gt;"",IFERROR(INDEX(Income!B$3:B$502,SMALL(IF((Income!D$3:D$502="GBP")*(Income!A$3:A$502=DATE(2026,11,29)),ROW(Income!A$3:A$502)-2),2)),""),""))</f>
        <v/>
      </c>
      <c r="Q240" s="16"/>
      <c r="R240" s="16"/>
    </row>
    <row r="241" customFormat="false" ht="15" hidden="false" customHeight="false" outlineLevel="0" collapsed="false">
      <c r="A241" s="16"/>
      <c r="B241" s="16"/>
      <c r="C241" s="62" t="str">
        <f aca="false">IF(IFERROR(-INDEX(Expenses!D$3:D$1002,SMALL(IF((Expenses!E$3:E$1002="GBP")*(Expenses!A$3:A$1002=DATE(2026,11,23)),ROW(Expenses!A$3:A$1002)-2),3)),0)+IFERROR(INDEX(Income!C$3:C$502,SMALL(IF((Income!D$3:D$502="GBP")*(Income!A$3:A$502=DATE(2026,11,23)),ROW(Income!A$3:A$502)-2),3)),0)=0,"",IFERROR(-INDEX(Expenses!D$3:D$1002,SMALL(IF((Expenses!E$3:E$1002="GBP")*(Expenses!A$3:A$1002=DATE(2026,11,23)),ROW(Expenses!A$3:A$1002)-2),3)),0)+IFERROR(INDEX(Income!C$3:C$502,SMALL(IF((Income!D$3:D$502="GBP")*(Income!A$3:A$502=DATE(2026,11,23)),ROW(Income!A$3:A$502)-2),3)),0))</f>
        <v/>
      </c>
      <c r="D241" s="38" t="str">
        <f aca="false">IF(IFERROR(INDEX(Expenses!B$3:B$1002,SMALL(IF((Expenses!E$3:E$1002="GBP")*(Expenses!A$3:A$1002=DATE(2026,11,23)),ROW(Expenses!A$3:A$1002)-2),3)),"")&lt;&gt;"",IFERROR(INDEX(Expenses!B$3:B$1002,SMALL(IF((Expenses!E$3:E$1002="GBP")*(Expenses!A$3:A$1002=DATE(2026,11,23)),ROW(Expenses!A$3:A$1002)-2),3)),""),IF(IFERROR(INDEX(Income!B$3:B$502,SMALL(IF((Income!D$3:D$502="GBP")*(Income!A$3:A$502=DATE(2026,11,23)),ROW(Income!A$3:A$502)-2),3)),"")&lt;&gt;"",IFERROR(INDEX(Income!B$3:B$502,SMALL(IF((Income!D$3:D$502="GBP")*(Income!A$3:A$502=DATE(2026,11,23)),ROW(Income!A$3:A$502)-2),3)),""),""))</f>
        <v/>
      </c>
      <c r="E241" s="62" t="str">
        <f aca="false">IF(IFERROR(-INDEX(Expenses!D$3:D$1002,SMALL(IF((Expenses!E$3:E$1002="GBP")*(Expenses!A$3:A$1002=DATE(2026,11,24)),ROW(Expenses!A$3:A$1002)-2),3)),0)+IFERROR(INDEX(Income!C$3:C$502,SMALL(IF((Income!D$3:D$502="GBP")*(Income!A$3:A$502=DATE(2026,11,24)),ROW(Income!A$3:A$502)-2),3)),0)=0,"",IFERROR(-INDEX(Expenses!D$3:D$1002,SMALL(IF((Expenses!E$3:E$1002="GBP")*(Expenses!A$3:A$1002=DATE(2026,11,24)),ROW(Expenses!A$3:A$1002)-2),3)),0)+IFERROR(INDEX(Income!C$3:C$502,SMALL(IF((Income!D$3:D$502="GBP")*(Income!A$3:A$502=DATE(2026,11,24)),ROW(Income!A$3:A$502)-2),3)),0))</f>
        <v/>
      </c>
      <c r="F241" s="38" t="str">
        <f aca="false">IF(IFERROR(INDEX(Expenses!B$3:B$1002,SMALL(IF((Expenses!E$3:E$1002="GBP")*(Expenses!A$3:A$1002=DATE(2026,11,24)),ROW(Expenses!A$3:A$1002)-2),3)),"")&lt;&gt;"",IFERROR(INDEX(Expenses!B$3:B$1002,SMALL(IF((Expenses!E$3:E$1002="GBP")*(Expenses!A$3:A$1002=DATE(2026,11,24)),ROW(Expenses!A$3:A$1002)-2),3)),""),IF(IFERROR(INDEX(Income!B$3:B$502,SMALL(IF((Income!D$3:D$502="GBP")*(Income!A$3:A$502=DATE(2026,11,24)),ROW(Income!A$3:A$502)-2),3)),"")&lt;&gt;"",IFERROR(INDEX(Income!B$3:B$502,SMALL(IF((Income!D$3:D$502="GBP")*(Income!A$3:A$502=DATE(2026,11,24)),ROW(Income!A$3:A$502)-2),3)),""),""))</f>
        <v/>
      </c>
      <c r="G241" s="62" t="str">
        <f aca="false">IF(IFERROR(-INDEX(Expenses!D$3:D$1002,SMALL(IF((Expenses!E$3:E$1002="GBP")*(Expenses!A$3:A$1002=DATE(2026,11,25)),ROW(Expenses!A$3:A$1002)-2),3)),0)+IFERROR(INDEX(Income!C$3:C$502,SMALL(IF((Income!D$3:D$502="GBP")*(Income!A$3:A$502=DATE(2026,11,25)),ROW(Income!A$3:A$502)-2),3)),0)=0,"",IFERROR(-INDEX(Expenses!D$3:D$1002,SMALL(IF((Expenses!E$3:E$1002="GBP")*(Expenses!A$3:A$1002=DATE(2026,11,25)),ROW(Expenses!A$3:A$1002)-2),3)),0)+IFERROR(INDEX(Income!C$3:C$502,SMALL(IF((Income!D$3:D$502="GBP")*(Income!A$3:A$502=DATE(2026,11,25)),ROW(Income!A$3:A$502)-2),3)),0))</f>
        <v/>
      </c>
      <c r="H241" s="38" t="str">
        <f aca="false">IF(IFERROR(INDEX(Expenses!B$3:B$1002,SMALL(IF((Expenses!E$3:E$1002="GBP")*(Expenses!A$3:A$1002=DATE(2026,11,25)),ROW(Expenses!A$3:A$1002)-2),3)),"")&lt;&gt;"",IFERROR(INDEX(Expenses!B$3:B$1002,SMALL(IF((Expenses!E$3:E$1002="GBP")*(Expenses!A$3:A$1002=DATE(2026,11,25)),ROW(Expenses!A$3:A$1002)-2),3)),""),IF(IFERROR(INDEX(Income!B$3:B$502,SMALL(IF((Income!D$3:D$502="GBP")*(Income!A$3:A$502=DATE(2026,11,25)),ROW(Income!A$3:A$502)-2),3)),"")&lt;&gt;"",IFERROR(INDEX(Income!B$3:B$502,SMALL(IF((Income!D$3:D$502="GBP")*(Income!A$3:A$502=DATE(2026,11,25)),ROW(Income!A$3:A$502)-2),3)),""),""))</f>
        <v/>
      </c>
      <c r="I241" s="62" t="str">
        <f aca="false">IF(IFERROR(-INDEX(Expenses!D$3:D$1002,SMALL(IF((Expenses!E$3:E$1002="GBP")*(Expenses!A$3:A$1002=DATE(2026,11,26)),ROW(Expenses!A$3:A$1002)-2),3)),0)+IFERROR(INDEX(Income!C$3:C$502,SMALL(IF((Income!D$3:D$502="GBP")*(Income!A$3:A$502=DATE(2026,11,26)),ROW(Income!A$3:A$502)-2),3)),0)=0,"",IFERROR(-INDEX(Expenses!D$3:D$1002,SMALL(IF((Expenses!E$3:E$1002="GBP")*(Expenses!A$3:A$1002=DATE(2026,11,26)),ROW(Expenses!A$3:A$1002)-2),3)),0)+IFERROR(INDEX(Income!C$3:C$502,SMALL(IF((Income!D$3:D$502="GBP")*(Income!A$3:A$502=DATE(2026,11,26)),ROW(Income!A$3:A$502)-2),3)),0))</f>
        <v/>
      </c>
      <c r="J241" s="38" t="str">
        <f aca="false">IF(IFERROR(INDEX(Expenses!B$3:B$1002,SMALL(IF((Expenses!E$3:E$1002="GBP")*(Expenses!A$3:A$1002=DATE(2026,11,26)),ROW(Expenses!A$3:A$1002)-2),3)),"")&lt;&gt;"",IFERROR(INDEX(Expenses!B$3:B$1002,SMALL(IF((Expenses!E$3:E$1002="GBP")*(Expenses!A$3:A$1002=DATE(2026,11,26)),ROW(Expenses!A$3:A$1002)-2),3)),""),IF(IFERROR(INDEX(Income!B$3:B$502,SMALL(IF((Income!D$3:D$502="GBP")*(Income!A$3:A$502=DATE(2026,11,26)),ROW(Income!A$3:A$502)-2),3)),"")&lt;&gt;"",IFERROR(INDEX(Income!B$3:B$502,SMALL(IF((Income!D$3:D$502="GBP")*(Income!A$3:A$502=DATE(2026,11,26)),ROW(Income!A$3:A$502)-2),3)),""),""))</f>
        <v/>
      </c>
      <c r="K241" s="62" t="str">
        <f aca="false">IF(IFERROR(-INDEX(Expenses!D$3:D$1002,SMALL(IF((Expenses!E$3:E$1002="GBP")*(Expenses!A$3:A$1002=DATE(2026,11,27)),ROW(Expenses!A$3:A$1002)-2),3)),0)+IFERROR(INDEX(Income!C$3:C$502,SMALL(IF((Income!D$3:D$502="GBP")*(Income!A$3:A$502=DATE(2026,11,27)),ROW(Income!A$3:A$502)-2),3)),0)=0,"",IFERROR(-INDEX(Expenses!D$3:D$1002,SMALL(IF((Expenses!E$3:E$1002="GBP")*(Expenses!A$3:A$1002=DATE(2026,11,27)),ROW(Expenses!A$3:A$1002)-2),3)),0)+IFERROR(INDEX(Income!C$3:C$502,SMALL(IF((Income!D$3:D$502="GBP")*(Income!A$3:A$502=DATE(2026,11,27)),ROW(Income!A$3:A$502)-2),3)),0))</f>
        <v/>
      </c>
      <c r="L241" s="38" t="str">
        <f aca="false">IF(IFERROR(INDEX(Expenses!B$3:B$1002,SMALL(IF((Expenses!E$3:E$1002="GBP")*(Expenses!A$3:A$1002=DATE(2026,11,27)),ROW(Expenses!A$3:A$1002)-2),3)),"")&lt;&gt;"",IFERROR(INDEX(Expenses!B$3:B$1002,SMALL(IF((Expenses!E$3:E$1002="GBP")*(Expenses!A$3:A$1002=DATE(2026,11,27)),ROW(Expenses!A$3:A$1002)-2),3)),""),IF(IFERROR(INDEX(Income!B$3:B$502,SMALL(IF((Income!D$3:D$502="GBP")*(Income!A$3:A$502=DATE(2026,11,27)),ROW(Income!A$3:A$502)-2),3)),"")&lt;&gt;"",IFERROR(INDEX(Income!B$3:B$502,SMALL(IF((Income!D$3:D$502="GBP")*(Income!A$3:A$502=DATE(2026,11,27)),ROW(Income!A$3:A$502)-2),3)),""),""))</f>
        <v/>
      </c>
      <c r="M241" s="62" t="str">
        <f aca="false">IF(IFERROR(-INDEX(Expenses!D$3:D$1002,SMALL(IF((Expenses!E$3:E$1002="GBP")*(Expenses!A$3:A$1002=DATE(2026,11,28)),ROW(Expenses!A$3:A$1002)-2),3)),0)+IFERROR(INDEX(Income!C$3:C$502,SMALL(IF((Income!D$3:D$502="GBP")*(Income!A$3:A$502=DATE(2026,11,28)),ROW(Income!A$3:A$502)-2),3)),0)=0,"",IFERROR(-INDEX(Expenses!D$3:D$1002,SMALL(IF((Expenses!E$3:E$1002="GBP")*(Expenses!A$3:A$1002=DATE(2026,11,28)),ROW(Expenses!A$3:A$1002)-2),3)),0)+IFERROR(INDEX(Income!C$3:C$502,SMALL(IF((Income!D$3:D$502="GBP")*(Income!A$3:A$502=DATE(2026,11,28)),ROW(Income!A$3:A$502)-2),3)),0))</f>
        <v/>
      </c>
      <c r="N241" s="38" t="str">
        <f aca="false">IF(IFERROR(INDEX(Expenses!B$3:B$1002,SMALL(IF((Expenses!E$3:E$1002="GBP")*(Expenses!A$3:A$1002=DATE(2026,11,28)),ROW(Expenses!A$3:A$1002)-2),3)),"")&lt;&gt;"",IFERROR(INDEX(Expenses!B$3:B$1002,SMALL(IF((Expenses!E$3:E$1002="GBP")*(Expenses!A$3:A$1002=DATE(2026,11,28)),ROW(Expenses!A$3:A$1002)-2),3)),""),IF(IFERROR(INDEX(Income!B$3:B$502,SMALL(IF((Income!D$3:D$502="GBP")*(Income!A$3:A$502=DATE(2026,11,28)),ROW(Income!A$3:A$502)-2),3)),"")&lt;&gt;"",IFERROR(INDEX(Income!B$3:B$502,SMALL(IF((Income!D$3:D$502="GBP")*(Income!A$3:A$502=DATE(2026,11,28)),ROW(Income!A$3:A$502)-2),3)),""),""))</f>
        <v/>
      </c>
      <c r="O241" s="62" t="str">
        <f aca="false">IF(IFERROR(-INDEX(Expenses!D$3:D$1002,SMALL(IF((Expenses!E$3:E$1002="GBP")*(Expenses!A$3:A$1002=DATE(2026,11,29)),ROW(Expenses!A$3:A$1002)-2),3)),0)+IFERROR(INDEX(Income!C$3:C$502,SMALL(IF((Income!D$3:D$502="GBP")*(Income!A$3:A$502=DATE(2026,11,29)),ROW(Income!A$3:A$502)-2),3)),0)=0,"",IFERROR(-INDEX(Expenses!D$3:D$1002,SMALL(IF((Expenses!E$3:E$1002="GBP")*(Expenses!A$3:A$1002=DATE(2026,11,29)),ROW(Expenses!A$3:A$1002)-2),3)),0)+IFERROR(INDEX(Income!C$3:C$502,SMALL(IF((Income!D$3:D$502="GBP")*(Income!A$3:A$502=DATE(2026,11,29)),ROW(Income!A$3:A$502)-2),3)),0))</f>
        <v/>
      </c>
      <c r="P241" s="38" t="str">
        <f aca="false">IF(IFERROR(INDEX(Expenses!B$3:B$1002,SMALL(IF((Expenses!E$3:E$1002="GBP")*(Expenses!A$3:A$1002=DATE(2026,11,29)),ROW(Expenses!A$3:A$1002)-2),3)),"")&lt;&gt;"",IFERROR(INDEX(Expenses!B$3:B$1002,SMALL(IF((Expenses!E$3:E$1002="GBP")*(Expenses!A$3:A$1002=DATE(2026,11,29)),ROW(Expenses!A$3:A$1002)-2),3)),""),IF(IFERROR(INDEX(Income!B$3:B$502,SMALL(IF((Income!D$3:D$502="GBP")*(Income!A$3:A$502=DATE(2026,11,29)),ROW(Income!A$3:A$502)-2),3)),"")&lt;&gt;"",IFERROR(INDEX(Income!B$3:B$502,SMALL(IF((Income!D$3:D$502="GBP")*(Income!A$3:A$502=DATE(2026,11,29)),ROW(Income!A$3:A$502)-2),3)),""),""))</f>
        <v/>
      </c>
      <c r="Q241" s="16"/>
      <c r="R241" s="16"/>
    </row>
    <row r="242" customFormat="false" ht="15" hidden="false" customHeight="false" outlineLevel="0" collapsed="false">
      <c r="A242" s="16"/>
      <c r="B242" s="16"/>
      <c r="C242" s="62" t="str">
        <f aca="false">IF(IFERROR(-INDEX(Expenses!D$3:D$1002,SMALL(IF((Expenses!E$3:E$1002="GBP")*(Expenses!A$3:A$1002=DATE(2026,11,23)),ROW(Expenses!A$3:A$1002)-2),4)),0)+IFERROR(INDEX(Income!C$3:C$502,SMALL(IF((Income!D$3:D$502="GBP")*(Income!A$3:A$502=DATE(2026,11,23)),ROW(Income!A$3:A$502)-2),4)),0)=0,"",IFERROR(-INDEX(Expenses!D$3:D$1002,SMALL(IF((Expenses!E$3:E$1002="GBP")*(Expenses!A$3:A$1002=DATE(2026,11,23)),ROW(Expenses!A$3:A$1002)-2),4)),0)+IFERROR(INDEX(Income!C$3:C$502,SMALL(IF((Income!D$3:D$502="GBP")*(Income!A$3:A$502=DATE(2026,11,23)),ROW(Income!A$3:A$502)-2),4)),0))</f>
        <v/>
      </c>
      <c r="D242" s="38" t="str">
        <f aca="false">IF(IFERROR(INDEX(Expenses!B$3:B$1002,SMALL(IF((Expenses!E$3:E$1002="GBP")*(Expenses!A$3:A$1002=DATE(2026,11,23)),ROW(Expenses!A$3:A$1002)-2),4)),"")&lt;&gt;"",IFERROR(INDEX(Expenses!B$3:B$1002,SMALL(IF((Expenses!E$3:E$1002="GBP")*(Expenses!A$3:A$1002=DATE(2026,11,23)),ROW(Expenses!A$3:A$1002)-2),4)),""),IF(IFERROR(INDEX(Income!B$3:B$502,SMALL(IF((Income!D$3:D$502="GBP")*(Income!A$3:A$502=DATE(2026,11,23)),ROW(Income!A$3:A$502)-2),4)),"")&lt;&gt;"",IFERROR(INDEX(Income!B$3:B$502,SMALL(IF((Income!D$3:D$502="GBP")*(Income!A$3:A$502=DATE(2026,11,23)),ROW(Income!A$3:A$502)-2),4)),""),""))</f>
        <v/>
      </c>
      <c r="E242" s="62" t="str">
        <f aca="false">IF(IFERROR(-INDEX(Expenses!D$3:D$1002,SMALL(IF((Expenses!E$3:E$1002="GBP")*(Expenses!A$3:A$1002=DATE(2026,11,24)),ROW(Expenses!A$3:A$1002)-2),4)),0)+IFERROR(INDEX(Income!C$3:C$502,SMALL(IF((Income!D$3:D$502="GBP")*(Income!A$3:A$502=DATE(2026,11,24)),ROW(Income!A$3:A$502)-2),4)),0)=0,"",IFERROR(-INDEX(Expenses!D$3:D$1002,SMALL(IF((Expenses!E$3:E$1002="GBP")*(Expenses!A$3:A$1002=DATE(2026,11,24)),ROW(Expenses!A$3:A$1002)-2),4)),0)+IFERROR(INDEX(Income!C$3:C$502,SMALL(IF((Income!D$3:D$502="GBP")*(Income!A$3:A$502=DATE(2026,11,24)),ROW(Income!A$3:A$502)-2),4)),0))</f>
        <v/>
      </c>
      <c r="F242" s="38" t="str">
        <f aca="false">IF(IFERROR(INDEX(Expenses!B$3:B$1002,SMALL(IF((Expenses!E$3:E$1002="GBP")*(Expenses!A$3:A$1002=DATE(2026,11,24)),ROW(Expenses!A$3:A$1002)-2),4)),"")&lt;&gt;"",IFERROR(INDEX(Expenses!B$3:B$1002,SMALL(IF((Expenses!E$3:E$1002="GBP")*(Expenses!A$3:A$1002=DATE(2026,11,24)),ROW(Expenses!A$3:A$1002)-2),4)),""),IF(IFERROR(INDEX(Income!B$3:B$502,SMALL(IF((Income!D$3:D$502="GBP")*(Income!A$3:A$502=DATE(2026,11,24)),ROW(Income!A$3:A$502)-2),4)),"")&lt;&gt;"",IFERROR(INDEX(Income!B$3:B$502,SMALL(IF((Income!D$3:D$502="GBP")*(Income!A$3:A$502=DATE(2026,11,24)),ROW(Income!A$3:A$502)-2),4)),""),""))</f>
        <v/>
      </c>
      <c r="G242" s="62" t="str">
        <f aca="false">IF(IFERROR(-INDEX(Expenses!D$3:D$1002,SMALL(IF((Expenses!E$3:E$1002="GBP")*(Expenses!A$3:A$1002=DATE(2026,11,25)),ROW(Expenses!A$3:A$1002)-2),4)),0)+IFERROR(INDEX(Income!C$3:C$502,SMALL(IF((Income!D$3:D$502="GBP")*(Income!A$3:A$502=DATE(2026,11,25)),ROW(Income!A$3:A$502)-2),4)),0)=0,"",IFERROR(-INDEX(Expenses!D$3:D$1002,SMALL(IF((Expenses!E$3:E$1002="GBP")*(Expenses!A$3:A$1002=DATE(2026,11,25)),ROW(Expenses!A$3:A$1002)-2),4)),0)+IFERROR(INDEX(Income!C$3:C$502,SMALL(IF((Income!D$3:D$502="GBP")*(Income!A$3:A$502=DATE(2026,11,25)),ROW(Income!A$3:A$502)-2),4)),0))</f>
        <v/>
      </c>
      <c r="H242" s="38" t="str">
        <f aca="false">IF(IFERROR(INDEX(Expenses!B$3:B$1002,SMALL(IF((Expenses!E$3:E$1002="GBP")*(Expenses!A$3:A$1002=DATE(2026,11,25)),ROW(Expenses!A$3:A$1002)-2),4)),"")&lt;&gt;"",IFERROR(INDEX(Expenses!B$3:B$1002,SMALL(IF((Expenses!E$3:E$1002="GBP")*(Expenses!A$3:A$1002=DATE(2026,11,25)),ROW(Expenses!A$3:A$1002)-2),4)),""),IF(IFERROR(INDEX(Income!B$3:B$502,SMALL(IF((Income!D$3:D$502="GBP")*(Income!A$3:A$502=DATE(2026,11,25)),ROW(Income!A$3:A$502)-2),4)),"")&lt;&gt;"",IFERROR(INDEX(Income!B$3:B$502,SMALL(IF((Income!D$3:D$502="GBP")*(Income!A$3:A$502=DATE(2026,11,25)),ROW(Income!A$3:A$502)-2),4)),""),""))</f>
        <v/>
      </c>
      <c r="I242" s="62" t="str">
        <f aca="false">IF(IFERROR(-INDEX(Expenses!D$3:D$1002,SMALL(IF((Expenses!E$3:E$1002="GBP")*(Expenses!A$3:A$1002=DATE(2026,11,26)),ROW(Expenses!A$3:A$1002)-2),4)),0)+IFERROR(INDEX(Income!C$3:C$502,SMALL(IF((Income!D$3:D$502="GBP")*(Income!A$3:A$502=DATE(2026,11,26)),ROW(Income!A$3:A$502)-2),4)),0)=0,"",IFERROR(-INDEX(Expenses!D$3:D$1002,SMALL(IF((Expenses!E$3:E$1002="GBP")*(Expenses!A$3:A$1002=DATE(2026,11,26)),ROW(Expenses!A$3:A$1002)-2),4)),0)+IFERROR(INDEX(Income!C$3:C$502,SMALL(IF((Income!D$3:D$502="GBP")*(Income!A$3:A$502=DATE(2026,11,26)),ROW(Income!A$3:A$502)-2),4)),0))</f>
        <v/>
      </c>
      <c r="J242" s="38" t="str">
        <f aca="false">IF(IFERROR(INDEX(Expenses!B$3:B$1002,SMALL(IF((Expenses!E$3:E$1002="GBP")*(Expenses!A$3:A$1002=DATE(2026,11,26)),ROW(Expenses!A$3:A$1002)-2),4)),"")&lt;&gt;"",IFERROR(INDEX(Expenses!B$3:B$1002,SMALL(IF((Expenses!E$3:E$1002="GBP")*(Expenses!A$3:A$1002=DATE(2026,11,26)),ROW(Expenses!A$3:A$1002)-2),4)),""),IF(IFERROR(INDEX(Income!B$3:B$502,SMALL(IF((Income!D$3:D$502="GBP")*(Income!A$3:A$502=DATE(2026,11,26)),ROW(Income!A$3:A$502)-2),4)),"")&lt;&gt;"",IFERROR(INDEX(Income!B$3:B$502,SMALL(IF((Income!D$3:D$502="GBP")*(Income!A$3:A$502=DATE(2026,11,26)),ROW(Income!A$3:A$502)-2),4)),""),""))</f>
        <v/>
      </c>
      <c r="K242" s="62" t="str">
        <f aca="false">IF(IFERROR(-INDEX(Expenses!D$3:D$1002,SMALL(IF((Expenses!E$3:E$1002="GBP")*(Expenses!A$3:A$1002=DATE(2026,11,27)),ROW(Expenses!A$3:A$1002)-2),4)),0)+IFERROR(INDEX(Income!C$3:C$502,SMALL(IF((Income!D$3:D$502="GBP")*(Income!A$3:A$502=DATE(2026,11,27)),ROW(Income!A$3:A$502)-2),4)),0)=0,"",IFERROR(-INDEX(Expenses!D$3:D$1002,SMALL(IF((Expenses!E$3:E$1002="GBP")*(Expenses!A$3:A$1002=DATE(2026,11,27)),ROW(Expenses!A$3:A$1002)-2),4)),0)+IFERROR(INDEX(Income!C$3:C$502,SMALL(IF((Income!D$3:D$502="GBP")*(Income!A$3:A$502=DATE(2026,11,27)),ROW(Income!A$3:A$502)-2),4)),0))</f>
        <v/>
      </c>
      <c r="L242" s="38" t="str">
        <f aca="false">IF(IFERROR(INDEX(Expenses!B$3:B$1002,SMALL(IF((Expenses!E$3:E$1002="GBP")*(Expenses!A$3:A$1002=DATE(2026,11,27)),ROW(Expenses!A$3:A$1002)-2),4)),"")&lt;&gt;"",IFERROR(INDEX(Expenses!B$3:B$1002,SMALL(IF((Expenses!E$3:E$1002="GBP")*(Expenses!A$3:A$1002=DATE(2026,11,27)),ROW(Expenses!A$3:A$1002)-2),4)),""),IF(IFERROR(INDEX(Income!B$3:B$502,SMALL(IF((Income!D$3:D$502="GBP")*(Income!A$3:A$502=DATE(2026,11,27)),ROW(Income!A$3:A$502)-2),4)),"")&lt;&gt;"",IFERROR(INDEX(Income!B$3:B$502,SMALL(IF((Income!D$3:D$502="GBP")*(Income!A$3:A$502=DATE(2026,11,27)),ROW(Income!A$3:A$502)-2),4)),""),""))</f>
        <v/>
      </c>
      <c r="M242" s="62" t="str">
        <f aca="false">IF(IFERROR(-INDEX(Expenses!D$3:D$1002,SMALL(IF((Expenses!E$3:E$1002="GBP")*(Expenses!A$3:A$1002=DATE(2026,11,28)),ROW(Expenses!A$3:A$1002)-2),4)),0)+IFERROR(INDEX(Income!C$3:C$502,SMALL(IF((Income!D$3:D$502="GBP")*(Income!A$3:A$502=DATE(2026,11,28)),ROW(Income!A$3:A$502)-2),4)),0)=0,"",IFERROR(-INDEX(Expenses!D$3:D$1002,SMALL(IF((Expenses!E$3:E$1002="GBP")*(Expenses!A$3:A$1002=DATE(2026,11,28)),ROW(Expenses!A$3:A$1002)-2),4)),0)+IFERROR(INDEX(Income!C$3:C$502,SMALL(IF((Income!D$3:D$502="GBP")*(Income!A$3:A$502=DATE(2026,11,28)),ROW(Income!A$3:A$502)-2),4)),0))</f>
        <v/>
      </c>
      <c r="N242" s="38" t="str">
        <f aca="false">IF(IFERROR(INDEX(Expenses!B$3:B$1002,SMALL(IF((Expenses!E$3:E$1002="GBP")*(Expenses!A$3:A$1002=DATE(2026,11,28)),ROW(Expenses!A$3:A$1002)-2),4)),"")&lt;&gt;"",IFERROR(INDEX(Expenses!B$3:B$1002,SMALL(IF((Expenses!E$3:E$1002="GBP")*(Expenses!A$3:A$1002=DATE(2026,11,28)),ROW(Expenses!A$3:A$1002)-2),4)),""),IF(IFERROR(INDEX(Income!B$3:B$502,SMALL(IF((Income!D$3:D$502="GBP")*(Income!A$3:A$502=DATE(2026,11,28)),ROW(Income!A$3:A$502)-2),4)),"")&lt;&gt;"",IFERROR(INDEX(Income!B$3:B$502,SMALL(IF((Income!D$3:D$502="GBP")*(Income!A$3:A$502=DATE(2026,11,28)),ROW(Income!A$3:A$502)-2),4)),""),""))</f>
        <v/>
      </c>
      <c r="O242" s="62" t="str">
        <f aca="false">IF(IFERROR(-INDEX(Expenses!D$3:D$1002,SMALL(IF((Expenses!E$3:E$1002="GBP")*(Expenses!A$3:A$1002=DATE(2026,11,29)),ROW(Expenses!A$3:A$1002)-2),4)),0)+IFERROR(INDEX(Income!C$3:C$502,SMALL(IF((Income!D$3:D$502="GBP")*(Income!A$3:A$502=DATE(2026,11,29)),ROW(Income!A$3:A$502)-2),4)),0)=0,"",IFERROR(-INDEX(Expenses!D$3:D$1002,SMALL(IF((Expenses!E$3:E$1002="GBP")*(Expenses!A$3:A$1002=DATE(2026,11,29)),ROW(Expenses!A$3:A$1002)-2),4)),0)+IFERROR(INDEX(Income!C$3:C$502,SMALL(IF((Income!D$3:D$502="GBP")*(Income!A$3:A$502=DATE(2026,11,29)),ROW(Income!A$3:A$502)-2),4)),0))</f>
        <v/>
      </c>
      <c r="P242" s="38" t="str">
        <f aca="false">IF(IFERROR(INDEX(Expenses!B$3:B$1002,SMALL(IF((Expenses!E$3:E$1002="GBP")*(Expenses!A$3:A$1002=DATE(2026,11,29)),ROW(Expenses!A$3:A$1002)-2),4)),"")&lt;&gt;"",IFERROR(INDEX(Expenses!B$3:B$1002,SMALL(IF((Expenses!E$3:E$1002="GBP")*(Expenses!A$3:A$1002=DATE(2026,11,29)),ROW(Expenses!A$3:A$1002)-2),4)),""),IF(IFERROR(INDEX(Income!B$3:B$502,SMALL(IF((Income!D$3:D$502="GBP")*(Income!A$3:A$502=DATE(2026,11,29)),ROW(Income!A$3:A$502)-2),4)),"")&lt;&gt;"",IFERROR(INDEX(Income!B$3:B$502,SMALL(IF((Income!D$3:D$502="GBP")*(Income!A$3:A$502=DATE(2026,11,29)),ROW(Income!A$3:A$502)-2),4)),""),""))</f>
        <v/>
      </c>
      <c r="Q242" s="16"/>
      <c r="R242" s="16"/>
    </row>
    <row r="243" customFormat="false" ht="15" hidden="false" customHeight="false" outlineLevel="0" collapsed="false">
      <c r="A243" s="16"/>
      <c r="B243" s="16"/>
      <c r="C243" s="62" t="str">
        <f aca="false">IF(IFERROR(-INDEX(Expenses!D$3:D$1002,SMALL(IF((Expenses!E$3:E$1002="GBP")*(Expenses!A$3:A$1002=DATE(2026,11,23)),ROW(Expenses!A$3:A$1002)-2),5)),0)+IFERROR(INDEX(Income!C$3:C$502,SMALL(IF((Income!D$3:D$502="GBP")*(Income!A$3:A$502=DATE(2026,11,23)),ROW(Income!A$3:A$502)-2),5)),0)=0,"",IFERROR(-INDEX(Expenses!D$3:D$1002,SMALL(IF((Expenses!E$3:E$1002="GBP")*(Expenses!A$3:A$1002=DATE(2026,11,23)),ROW(Expenses!A$3:A$1002)-2),5)),0)+IFERROR(INDEX(Income!C$3:C$502,SMALL(IF((Income!D$3:D$502="GBP")*(Income!A$3:A$502=DATE(2026,11,23)),ROW(Income!A$3:A$502)-2),5)),0))</f>
        <v/>
      </c>
      <c r="D243" s="38" t="str">
        <f aca="false">IF(IFERROR(INDEX(Expenses!B$3:B$1002,SMALL(IF((Expenses!E$3:E$1002="GBP")*(Expenses!A$3:A$1002=DATE(2026,11,23)),ROW(Expenses!A$3:A$1002)-2),5)),"")&lt;&gt;"",IFERROR(INDEX(Expenses!B$3:B$1002,SMALL(IF((Expenses!E$3:E$1002="GBP")*(Expenses!A$3:A$1002=DATE(2026,11,23)),ROW(Expenses!A$3:A$1002)-2),5)),""),IF(IFERROR(INDEX(Income!B$3:B$502,SMALL(IF((Income!D$3:D$502="GBP")*(Income!A$3:A$502=DATE(2026,11,23)),ROW(Income!A$3:A$502)-2),5)),"")&lt;&gt;"",IFERROR(INDEX(Income!B$3:B$502,SMALL(IF((Income!D$3:D$502="GBP")*(Income!A$3:A$502=DATE(2026,11,23)),ROW(Income!A$3:A$502)-2),5)),""),""))</f>
        <v/>
      </c>
      <c r="E243" s="62" t="str">
        <f aca="false">IF(IFERROR(-INDEX(Expenses!D$3:D$1002,SMALL(IF((Expenses!E$3:E$1002="GBP")*(Expenses!A$3:A$1002=DATE(2026,11,24)),ROW(Expenses!A$3:A$1002)-2),5)),0)+IFERROR(INDEX(Income!C$3:C$502,SMALL(IF((Income!D$3:D$502="GBP")*(Income!A$3:A$502=DATE(2026,11,24)),ROW(Income!A$3:A$502)-2),5)),0)=0,"",IFERROR(-INDEX(Expenses!D$3:D$1002,SMALL(IF((Expenses!E$3:E$1002="GBP")*(Expenses!A$3:A$1002=DATE(2026,11,24)),ROW(Expenses!A$3:A$1002)-2),5)),0)+IFERROR(INDEX(Income!C$3:C$502,SMALL(IF((Income!D$3:D$502="GBP")*(Income!A$3:A$502=DATE(2026,11,24)),ROW(Income!A$3:A$502)-2),5)),0))</f>
        <v/>
      </c>
      <c r="F243" s="38" t="str">
        <f aca="false">IF(IFERROR(INDEX(Expenses!B$3:B$1002,SMALL(IF((Expenses!E$3:E$1002="GBP")*(Expenses!A$3:A$1002=DATE(2026,11,24)),ROW(Expenses!A$3:A$1002)-2),5)),"")&lt;&gt;"",IFERROR(INDEX(Expenses!B$3:B$1002,SMALL(IF((Expenses!E$3:E$1002="GBP")*(Expenses!A$3:A$1002=DATE(2026,11,24)),ROW(Expenses!A$3:A$1002)-2),5)),""),IF(IFERROR(INDEX(Income!B$3:B$502,SMALL(IF((Income!D$3:D$502="GBP")*(Income!A$3:A$502=DATE(2026,11,24)),ROW(Income!A$3:A$502)-2),5)),"")&lt;&gt;"",IFERROR(INDEX(Income!B$3:B$502,SMALL(IF((Income!D$3:D$502="GBP")*(Income!A$3:A$502=DATE(2026,11,24)),ROW(Income!A$3:A$502)-2),5)),""),""))</f>
        <v/>
      </c>
      <c r="G243" s="62" t="str">
        <f aca="false">IF(IFERROR(-INDEX(Expenses!D$3:D$1002,SMALL(IF((Expenses!E$3:E$1002="GBP")*(Expenses!A$3:A$1002=DATE(2026,11,25)),ROW(Expenses!A$3:A$1002)-2),5)),0)+IFERROR(INDEX(Income!C$3:C$502,SMALL(IF((Income!D$3:D$502="GBP")*(Income!A$3:A$502=DATE(2026,11,25)),ROW(Income!A$3:A$502)-2),5)),0)=0,"",IFERROR(-INDEX(Expenses!D$3:D$1002,SMALL(IF((Expenses!E$3:E$1002="GBP")*(Expenses!A$3:A$1002=DATE(2026,11,25)),ROW(Expenses!A$3:A$1002)-2),5)),0)+IFERROR(INDEX(Income!C$3:C$502,SMALL(IF((Income!D$3:D$502="GBP")*(Income!A$3:A$502=DATE(2026,11,25)),ROW(Income!A$3:A$502)-2),5)),0))</f>
        <v/>
      </c>
      <c r="H243" s="38" t="str">
        <f aca="false">IF(IFERROR(INDEX(Expenses!B$3:B$1002,SMALL(IF((Expenses!E$3:E$1002="GBP")*(Expenses!A$3:A$1002=DATE(2026,11,25)),ROW(Expenses!A$3:A$1002)-2),5)),"")&lt;&gt;"",IFERROR(INDEX(Expenses!B$3:B$1002,SMALL(IF((Expenses!E$3:E$1002="GBP")*(Expenses!A$3:A$1002=DATE(2026,11,25)),ROW(Expenses!A$3:A$1002)-2),5)),""),IF(IFERROR(INDEX(Income!B$3:B$502,SMALL(IF((Income!D$3:D$502="GBP")*(Income!A$3:A$502=DATE(2026,11,25)),ROW(Income!A$3:A$502)-2),5)),"")&lt;&gt;"",IFERROR(INDEX(Income!B$3:B$502,SMALL(IF((Income!D$3:D$502="GBP")*(Income!A$3:A$502=DATE(2026,11,25)),ROW(Income!A$3:A$502)-2),5)),""),""))</f>
        <v/>
      </c>
      <c r="I243" s="62" t="str">
        <f aca="false">IF(IFERROR(-INDEX(Expenses!D$3:D$1002,SMALL(IF((Expenses!E$3:E$1002="GBP")*(Expenses!A$3:A$1002=DATE(2026,11,26)),ROW(Expenses!A$3:A$1002)-2),5)),0)+IFERROR(INDEX(Income!C$3:C$502,SMALL(IF((Income!D$3:D$502="GBP")*(Income!A$3:A$502=DATE(2026,11,26)),ROW(Income!A$3:A$502)-2),5)),0)=0,"",IFERROR(-INDEX(Expenses!D$3:D$1002,SMALL(IF((Expenses!E$3:E$1002="GBP")*(Expenses!A$3:A$1002=DATE(2026,11,26)),ROW(Expenses!A$3:A$1002)-2),5)),0)+IFERROR(INDEX(Income!C$3:C$502,SMALL(IF((Income!D$3:D$502="GBP")*(Income!A$3:A$502=DATE(2026,11,26)),ROW(Income!A$3:A$502)-2),5)),0))</f>
        <v/>
      </c>
      <c r="J243" s="38" t="str">
        <f aca="false">IF(IFERROR(INDEX(Expenses!B$3:B$1002,SMALL(IF((Expenses!E$3:E$1002="GBP")*(Expenses!A$3:A$1002=DATE(2026,11,26)),ROW(Expenses!A$3:A$1002)-2),5)),"")&lt;&gt;"",IFERROR(INDEX(Expenses!B$3:B$1002,SMALL(IF((Expenses!E$3:E$1002="GBP")*(Expenses!A$3:A$1002=DATE(2026,11,26)),ROW(Expenses!A$3:A$1002)-2),5)),""),IF(IFERROR(INDEX(Income!B$3:B$502,SMALL(IF((Income!D$3:D$502="GBP")*(Income!A$3:A$502=DATE(2026,11,26)),ROW(Income!A$3:A$502)-2),5)),"")&lt;&gt;"",IFERROR(INDEX(Income!B$3:B$502,SMALL(IF((Income!D$3:D$502="GBP")*(Income!A$3:A$502=DATE(2026,11,26)),ROW(Income!A$3:A$502)-2),5)),""),""))</f>
        <v/>
      </c>
      <c r="K243" s="62" t="str">
        <f aca="false">IF(IFERROR(-INDEX(Expenses!D$3:D$1002,SMALL(IF((Expenses!E$3:E$1002="GBP")*(Expenses!A$3:A$1002=DATE(2026,11,27)),ROW(Expenses!A$3:A$1002)-2),5)),0)+IFERROR(INDEX(Income!C$3:C$502,SMALL(IF((Income!D$3:D$502="GBP")*(Income!A$3:A$502=DATE(2026,11,27)),ROW(Income!A$3:A$502)-2),5)),0)=0,"",IFERROR(-INDEX(Expenses!D$3:D$1002,SMALL(IF((Expenses!E$3:E$1002="GBP")*(Expenses!A$3:A$1002=DATE(2026,11,27)),ROW(Expenses!A$3:A$1002)-2),5)),0)+IFERROR(INDEX(Income!C$3:C$502,SMALL(IF((Income!D$3:D$502="GBP")*(Income!A$3:A$502=DATE(2026,11,27)),ROW(Income!A$3:A$502)-2),5)),0))</f>
        <v/>
      </c>
      <c r="L243" s="38" t="str">
        <f aca="false">IF(IFERROR(INDEX(Expenses!B$3:B$1002,SMALL(IF((Expenses!E$3:E$1002="GBP")*(Expenses!A$3:A$1002=DATE(2026,11,27)),ROW(Expenses!A$3:A$1002)-2),5)),"")&lt;&gt;"",IFERROR(INDEX(Expenses!B$3:B$1002,SMALL(IF((Expenses!E$3:E$1002="GBP")*(Expenses!A$3:A$1002=DATE(2026,11,27)),ROW(Expenses!A$3:A$1002)-2),5)),""),IF(IFERROR(INDEX(Income!B$3:B$502,SMALL(IF((Income!D$3:D$502="GBP")*(Income!A$3:A$502=DATE(2026,11,27)),ROW(Income!A$3:A$502)-2),5)),"")&lt;&gt;"",IFERROR(INDEX(Income!B$3:B$502,SMALL(IF((Income!D$3:D$502="GBP")*(Income!A$3:A$502=DATE(2026,11,27)),ROW(Income!A$3:A$502)-2),5)),""),""))</f>
        <v/>
      </c>
      <c r="M243" s="62" t="str">
        <f aca="false">IF(IFERROR(-INDEX(Expenses!D$3:D$1002,SMALL(IF((Expenses!E$3:E$1002="GBP")*(Expenses!A$3:A$1002=DATE(2026,11,28)),ROW(Expenses!A$3:A$1002)-2),5)),0)+IFERROR(INDEX(Income!C$3:C$502,SMALL(IF((Income!D$3:D$502="GBP")*(Income!A$3:A$502=DATE(2026,11,28)),ROW(Income!A$3:A$502)-2),5)),0)=0,"",IFERROR(-INDEX(Expenses!D$3:D$1002,SMALL(IF((Expenses!E$3:E$1002="GBP")*(Expenses!A$3:A$1002=DATE(2026,11,28)),ROW(Expenses!A$3:A$1002)-2),5)),0)+IFERROR(INDEX(Income!C$3:C$502,SMALL(IF((Income!D$3:D$502="GBP")*(Income!A$3:A$502=DATE(2026,11,28)),ROW(Income!A$3:A$502)-2),5)),0))</f>
        <v/>
      </c>
      <c r="N243" s="38" t="str">
        <f aca="false">IF(IFERROR(INDEX(Expenses!B$3:B$1002,SMALL(IF((Expenses!E$3:E$1002="GBP")*(Expenses!A$3:A$1002=DATE(2026,11,28)),ROW(Expenses!A$3:A$1002)-2),5)),"")&lt;&gt;"",IFERROR(INDEX(Expenses!B$3:B$1002,SMALL(IF((Expenses!E$3:E$1002="GBP")*(Expenses!A$3:A$1002=DATE(2026,11,28)),ROW(Expenses!A$3:A$1002)-2),5)),""),IF(IFERROR(INDEX(Income!B$3:B$502,SMALL(IF((Income!D$3:D$502="GBP")*(Income!A$3:A$502=DATE(2026,11,28)),ROW(Income!A$3:A$502)-2),5)),"")&lt;&gt;"",IFERROR(INDEX(Income!B$3:B$502,SMALL(IF((Income!D$3:D$502="GBP")*(Income!A$3:A$502=DATE(2026,11,28)),ROW(Income!A$3:A$502)-2),5)),""),""))</f>
        <v/>
      </c>
      <c r="O243" s="62" t="str">
        <f aca="false">IF(IFERROR(-INDEX(Expenses!D$3:D$1002,SMALL(IF((Expenses!E$3:E$1002="GBP")*(Expenses!A$3:A$1002=DATE(2026,11,29)),ROW(Expenses!A$3:A$1002)-2),5)),0)+IFERROR(INDEX(Income!C$3:C$502,SMALL(IF((Income!D$3:D$502="GBP")*(Income!A$3:A$502=DATE(2026,11,29)),ROW(Income!A$3:A$502)-2),5)),0)=0,"",IFERROR(-INDEX(Expenses!D$3:D$1002,SMALL(IF((Expenses!E$3:E$1002="GBP")*(Expenses!A$3:A$1002=DATE(2026,11,29)),ROW(Expenses!A$3:A$1002)-2),5)),0)+IFERROR(INDEX(Income!C$3:C$502,SMALL(IF((Income!D$3:D$502="GBP")*(Income!A$3:A$502=DATE(2026,11,29)),ROW(Income!A$3:A$502)-2),5)),0))</f>
        <v/>
      </c>
      <c r="P243" s="38" t="str">
        <f aca="false">IF(IFERROR(INDEX(Expenses!B$3:B$1002,SMALL(IF((Expenses!E$3:E$1002="GBP")*(Expenses!A$3:A$1002=DATE(2026,11,29)),ROW(Expenses!A$3:A$1002)-2),5)),"")&lt;&gt;"",IFERROR(INDEX(Expenses!B$3:B$1002,SMALL(IF((Expenses!E$3:E$1002="GBP")*(Expenses!A$3:A$1002=DATE(2026,11,29)),ROW(Expenses!A$3:A$1002)-2),5)),""),IF(IFERROR(INDEX(Income!B$3:B$502,SMALL(IF((Income!D$3:D$502="GBP")*(Income!A$3:A$502=DATE(2026,11,29)),ROW(Income!A$3:A$502)-2),5)),"")&lt;&gt;"",IFERROR(INDEX(Income!B$3:B$502,SMALL(IF((Income!D$3:D$502="GBP")*(Income!A$3:A$502=DATE(2026,11,29)),ROW(Income!A$3:A$502)-2),5)),""),""))</f>
        <v/>
      </c>
      <c r="Q243" s="16"/>
      <c r="R243" s="16"/>
    </row>
    <row r="244" customFormat="false" ht="15" hidden="false" customHeight="false" outlineLevel="0" collapsed="false">
      <c r="A244" s="61" t="n">
        <v>46356</v>
      </c>
      <c r="B244" s="3" t="n">
        <v>49</v>
      </c>
      <c r="C244" s="62" t="str">
        <f aca="false">IF(IFERROR(-INDEX(Expenses!D$3:D$1002,SMALL(IF((Expenses!E$3:E$1002="GBP")*(Expenses!A$3:A$1002=DATE(2026,11,30)),ROW(Expenses!A$3:A$1002)-2),1)),0)+IFERROR(INDEX(Income!C$3:C$502,SMALL(IF((Income!D$3:D$502="GBP")*(Income!A$3:A$502=DATE(2026,11,30)),ROW(Income!A$3:A$502)-2),1)),0)=0,"",IFERROR(-INDEX(Expenses!D$3:D$1002,SMALL(IF((Expenses!E$3:E$1002="GBP")*(Expenses!A$3:A$1002=DATE(2026,11,30)),ROW(Expenses!A$3:A$1002)-2),1)),0)+IFERROR(INDEX(Income!C$3:C$502,SMALL(IF((Income!D$3:D$502="GBP")*(Income!A$3:A$502=DATE(2026,11,30)),ROW(Income!A$3:A$502)-2),1)),0))</f>
        <v/>
      </c>
      <c r="D244" s="38" t="str">
        <f aca="false">IF(IFERROR(INDEX(Expenses!B$3:B$1002,SMALL(IF((Expenses!E$3:E$1002="GBP")*(Expenses!A$3:A$1002=DATE(2026,11,30)),ROW(Expenses!A$3:A$1002)-2),1)),"")&lt;&gt;"",IFERROR(INDEX(Expenses!B$3:B$1002,SMALL(IF((Expenses!E$3:E$1002="GBP")*(Expenses!A$3:A$1002=DATE(2026,11,30)),ROW(Expenses!A$3:A$1002)-2),1)),""),IF(IFERROR(INDEX(Income!B$3:B$502,SMALL(IF((Income!D$3:D$502="GBP")*(Income!A$3:A$502=DATE(2026,11,30)),ROW(Income!A$3:A$502)-2),1)),"")&lt;&gt;"",IFERROR(INDEX(Income!B$3:B$502,SMALL(IF((Income!D$3:D$502="GBP")*(Income!A$3:A$502=DATE(2026,11,30)),ROW(Income!A$3:A$502)-2),1)),""),""))</f>
        <v/>
      </c>
      <c r="E244" s="62" t="str">
        <f aca="false">IF(IFERROR(-INDEX(Expenses!D$3:D$1002,SMALL(IF((Expenses!E$3:E$1002="GBP")*(Expenses!A$3:A$1002=DATE(2026,12,1)),ROW(Expenses!A$3:A$1002)-2),1)),0)+IFERROR(INDEX(Income!C$3:C$502,SMALL(IF((Income!D$3:D$502="GBP")*(Income!A$3:A$502=DATE(2026,12,1)),ROW(Income!A$3:A$502)-2),1)),0)=0,"",IFERROR(-INDEX(Expenses!D$3:D$1002,SMALL(IF((Expenses!E$3:E$1002="GBP")*(Expenses!A$3:A$1002=DATE(2026,12,1)),ROW(Expenses!A$3:A$1002)-2),1)),0)+IFERROR(INDEX(Income!C$3:C$502,SMALL(IF((Income!D$3:D$502="GBP")*(Income!A$3:A$502=DATE(2026,12,1)),ROW(Income!A$3:A$502)-2),1)),0))</f>
        <v/>
      </c>
      <c r="F244" s="38" t="str">
        <f aca="false">IF(IFERROR(INDEX(Expenses!B$3:B$1002,SMALL(IF((Expenses!E$3:E$1002="GBP")*(Expenses!A$3:A$1002=DATE(2026,12,1)),ROW(Expenses!A$3:A$1002)-2),1)),"")&lt;&gt;"",IFERROR(INDEX(Expenses!B$3:B$1002,SMALL(IF((Expenses!E$3:E$1002="GBP")*(Expenses!A$3:A$1002=DATE(2026,12,1)),ROW(Expenses!A$3:A$1002)-2),1)),""),IF(IFERROR(INDEX(Income!B$3:B$502,SMALL(IF((Income!D$3:D$502="GBP")*(Income!A$3:A$502=DATE(2026,12,1)),ROW(Income!A$3:A$502)-2),1)),"")&lt;&gt;"",IFERROR(INDEX(Income!B$3:B$502,SMALL(IF((Income!D$3:D$502="GBP")*(Income!A$3:A$502=DATE(2026,12,1)),ROW(Income!A$3:A$502)-2),1)),""),""))</f>
        <v/>
      </c>
      <c r="G244" s="62" t="str">
        <f aca="false">IF(IFERROR(-INDEX(Expenses!D$3:D$1002,SMALL(IF((Expenses!E$3:E$1002="GBP")*(Expenses!A$3:A$1002=DATE(2026,12,2)),ROW(Expenses!A$3:A$1002)-2),1)),0)+IFERROR(INDEX(Income!C$3:C$502,SMALL(IF((Income!D$3:D$502="GBP")*(Income!A$3:A$502=DATE(2026,12,2)),ROW(Income!A$3:A$502)-2),1)),0)=0,"",IFERROR(-INDEX(Expenses!D$3:D$1002,SMALL(IF((Expenses!E$3:E$1002="GBP")*(Expenses!A$3:A$1002=DATE(2026,12,2)),ROW(Expenses!A$3:A$1002)-2),1)),0)+IFERROR(INDEX(Income!C$3:C$502,SMALL(IF((Income!D$3:D$502="GBP")*(Income!A$3:A$502=DATE(2026,12,2)),ROW(Income!A$3:A$502)-2),1)),0))</f>
        <v/>
      </c>
      <c r="H244" s="38" t="str">
        <f aca="false">IF(IFERROR(INDEX(Expenses!B$3:B$1002,SMALL(IF((Expenses!E$3:E$1002="GBP")*(Expenses!A$3:A$1002=DATE(2026,12,2)),ROW(Expenses!A$3:A$1002)-2),1)),"")&lt;&gt;"",IFERROR(INDEX(Expenses!B$3:B$1002,SMALL(IF((Expenses!E$3:E$1002="GBP")*(Expenses!A$3:A$1002=DATE(2026,12,2)),ROW(Expenses!A$3:A$1002)-2),1)),""),IF(IFERROR(INDEX(Income!B$3:B$502,SMALL(IF((Income!D$3:D$502="GBP")*(Income!A$3:A$502=DATE(2026,12,2)),ROW(Income!A$3:A$502)-2),1)),"")&lt;&gt;"",IFERROR(INDEX(Income!B$3:B$502,SMALL(IF((Income!D$3:D$502="GBP")*(Income!A$3:A$502=DATE(2026,12,2)),ROW(Income!A$3:A$502)-2),1)),""),""))</f>
        <v/>
      </c>
      <c r="I244" s="62" t="str">
        <f aca="false">IF(IFERROR(-INDEX(Expenses!D$3:D$1002,SMALL(IF((Expenses!E$3:E$1002="GBP")*(Expenses!A$3:A$1002=DATE(2026,12,3)),ROW(Expenses!A$3:A$1002)-2),1)),0)+IFERROR(INDEX(Income!C$3:C$502,SMALL(IF((Income!D$3:D$502="GBP")*(Income!A$3:A$502=DATE(2026,12,3)),ROW(Income!A$3:A$502)-2),1)),0)=0,"",IFERROR(-INDEX(Expenses!D$3:D$1002,SMALL(IF((Expenses!E$3:E$1002="GBP")*(Expenses!A$3:A$1002=DATE(2026,12,3)),ROW(Expenses!A$3:A$1002)-2),1)),0)+IFERROR(INDEX(Income!C$3:C$502,SMALL(IF((Income!D$3:D$502="GBP")*(Income!A$3:A$502=DATE(2026,12,3)),ROW(Income!A$3:A$502)-2),1)),0))</f>
        <v/>
      </c>
      <c r="J244" s="38" t="str">
        <f aca="false">IF(IFERROR(INDEX(Expenses!B$3:B$1002,SMALL(IF((Expenses!E$3:E$1002="GBP")*(Expenses!A$3:A$1002=DATE(2026,12,3)),ROW(Expenses!A$3:A$1002)-2),1)),"")&lt;&gt;"",IFERROR(INDEX(Expenses!B$3:B$1002,SMALL(IF((Expenses!E$3:E$1002="GBP")*(Expenses!A$3:A$1002=DATE(2026,12,3)),ROW(Expenses!A$3:A$1002)-2),1)),""),IF(IFERROR(INDEX(Income!B$3:B$502,SMALL(IF((Income!D$3:D$502="GBP")*(Income!A$3:A$502=DATE(2026,12,3)),ROW(Income!A$3:A$502)-2),1)),"")&lt;&gt;"",IFERROR(INDEX(Income!B$3:B$502,SMALL(IF((Income!D$3:D$502="GBP")*(Income!A$3:A$502=DATE(2026,12,3)),ROW(Income!A$3:A$502)-2),1)),""),""))</f>
        <v/>
      </c>
      <c r="K244" s="62" t="str">
        <f aca="false">IF(IFERROR(-INDEX(Expenses!D$3:D$1002,SMALL(IF((Expenses!E$3:E$1002="GBP")*(Expenses!A$3:A$1002=DATE(2026,12,4)),ROW(Expenses!A$3:A$1002)-2),1)),0)+IFERROR(INDEX(Income!C$3:C$502,SMALL(IF((Income!D$3:D$502="GBP")*(Income!A$3:A$502=DATE(2026,12,4)),ROW(Income!A$3:A$502)-2),1)),0)=0,"",IFERROR(-INDEX(Expenses!D$3:D$1002,SMALL(IF((Expenses!E$3:E$1002="GBP")*(Expenses!A$3:A$1002=DATE(2026,12,4)),ROW(Expenses!A$3:A$1002)-2),1)),0)+IFERROR(INDEX(Income!C$3:C$502,SMALL(IF((Income!D$3:D$502="GBP")*(Income!A$3:A$502=DATE(2026,12,4)),ROW(Income!A$3:A$502)-2),1)),0))</f>
        <v/>
      </c>
      <c r="L244" s="38" t="str">
        <f aca="false">IF(IFERROR(INDEX(Expenses!B$3:B$1002,SMALL(IF((Expenses!E$3:E$1002="GBP")*(Expenses!A$3:A$1002=DATE(2026,12,4)),ROW(Expenses!A$3:A$1002)-2),1)),"")&lt;&gt;"",IFERROR(INDEX(Expenses!B$3:B$1002,SMALL(IF((Expenses!E$3:E$1002="GBP")*(Expenses!A$3:A$1002=DATE(2026,12,4)),ROW(Expenses!A$3:A$1002)-2),1)),""),IF(IFERROR(INDEX(Income!B$3:B$502,SMALL(IF((Income!D$3:D$502="GBP")*(Income!A$3:A$502=DATE(2026,12,4)),ROW(Income!A$3:A$502)-2),1)),"")&lt;&gt;"",IFERROR(INDEX(Income!B$3:B$502,SMALL(IF((Income!D$3:D$502="GBP")*(Income!A$3:A$502=DATE(2026,12,4)),ROW(Income!A$3:A$502)-2),1)),""),""))</f>
        <v/>
      </c>
      <c r="M244" s="62" t="str">
        <f aca="false">IF(IFERROR(-INDEX(Expenses!D$3:D$1002,SMALL(IF((Expenses!E$3:E$1002="GBP")*(Expenses!A$3:A$1002=DATE(2026,12,5)),ROW(Expenses!A$3:A$1002)-2),1)),0)+IFERROR(INDEX(Income!C$3:C$502,SMALL(IF((Income!D$3:D$502="GBP")*(Income!A$3:A$502=DATE(2026,12,5)),ROW(Income!A$3:A$502)-2),1)),0)=0,"",IFERROR(-INDEX(Expenses!D$3:D$1002,SMALL(IF((Expenses!E$3:E$1002="GBP")*(Expenses!A$3:A$1002=DATE(2026,12,5)),ROW(Expenses!A$3:A$1002)-2),1)),0)+IFERROR(INDEX(Income!C$3:C$502,SMALL(IF((Income!D$3:D$502="GBP")*(Income!A$3:A$502=DATE(2026,12,5)),ROW(Income!A$3:A$502)-2),1)),0))</f>
        <v/>
      </c>
      <c r="N244" s="38" t="str">
        <f aca="false">IF(IFERROR(INDEX(Expenses!B$3:B$1002,SMALL(IF((Expenses!E$3:E$1002="GBP")*(Expenses!A$3:A$1002=DATE(2026,12,5)),ROW(Expenses!A$3:A$1002)-2),1)),"")&lt;&gt;"",IFERROR(INDEX(Expenses!B$3:B$1002,SMALL(IF((Expenses!E$3:E$1002="GBP")*(Expenses!A$3:A$1002=DATE(2026,12,5)),ROW(Expenses!A$3:A$1002)-2),1)),""),IF(IFERROR(INDEX(Income!B$3:B$502,SMALL(IF((Income!D$3:D$502="GBP")*(Income!A$3:A$502=DATE(2026,12,5)),ROW(Income!A$3:A$502)-2),1)),"")&lt;&gt;"",IFERROR(INDEX(Income!B$3:B$502,SMALL(IF((Income!D$3:D$502="GBP")*(Income!A$3:A$502=DATE(2026,12,5)),ROW(Income!A$3:A$502)-2),1)),""),""))</f>
        <v/>
      </c>
      <c r="O244" s="62" t="str">
        <f aca="false">IF(IFERROR(-INDEX(Expenses!D$3:D$1002,SMALL(IF((Expenses!E$3:E$1002="GBP")*(Expenses!A$3:A$1002=DATE(2026,12,6)),ROW(Expenses!A$3:A$1002)-2),1)),0)+IFERROR(INDEX(Income!C$3:C$502,SMALL(IF((Income!D$3:D$502="GBP")*(Income!A$3:A$502=DATE(2026,12,6)),ROW(Income!A$3:A$502)-2),1)),0)=0,"",IFERROR(-INDEX(Expenses!D$3:D$1002,SMALL(IF((Expenses!E$3:E$1002="GBP")*(Expenses!A$3:A$1002=DATE(2026,12,6)),ROW(Expenses!A$3:A$1002)-2),1)),0)+IFERROR(INDEX(Income!C$3:C$502,SMALL(IF((Income!D$3:D$502="GBP")*(Income!A$3:A$502=DATE(2026,12,6)),ROW(Income!A$3:A$502)-2),1)),0))</f>
        <v/>
      </c>
      <c r="P244" s="38" t="str">
        <f aca="false">IF(IFERROR(INDEX(Expenses!B$3:B$1002,SMALL(IF((Expenses!E$3:E$1002="GBP")*(Expenses!A$3:A$1002=DATE(2026,12,6)),ROW(Expenses!A$3:A$1002)-2),1)),"")&lt;&gt;"",IFERROR(INDEX(Expenses!B$3:B$1002,SMALL(IF((Expenses!E$3:E$1002="GBP")*(Expenses!A$3:A$1002=DATE(2026,12,6)),ROW(Expenses!A$3:A$1002)-2),1)),""),IF(IFERROR(INDEX(Income!B$3:B$502,SMALL(IF((Income!D$3:D$502="GBP")*(Income!A$3:A$502=DATE(2026,12,6)),ROW(Income!A$3:A$502)-2),1)),"")&lt;&gt;"",IFERROR(INDEX(Income!B$3:B$502,SMALL(IF((Income!D$3:D$502="GBP")*(Income!A$3:A$502=DATE(2026,12,6)),ROW(Income!A$3:A$502)-2),1)),""),""))</f>
        <v/>
      </c>
      <c r="Q244" s="3" t="n">
        <v>49</v>
      </c>
      <c r="R244" s="45" t="n">
        <f aca="false">SUM(C244:C248)+SUM(E244:E248)+SUM(G244:G248)+SUM(I244:I248)+SUM(K244:K248)+SUM(M244:M248)+SUM(O244:O248)</f>
        <v>0</v>
      </c>
    </row>
    <row r="245" customFormat="false" ht="15" hidden="false" customHeight="false" outlineLevel="0" collapsed="false">
      <c r="A245" s="16"/>
      <c r="B245" s="16"/>
      <c r="C245" s="62" t="str">
        <f aca="false">IF(IFERROR(-INDEX(Expenses!D$3:D$1002,SMALL(IF((Expenses!E$3:E$1002="GBP")*(Expenses!A$3:A$1002=DATE(2026,11,30)),ROW(Expenses!A$3:A$1002)-2),2)),0)+IFERROR(INDEX(Income!C$3:C$502,SMALL(IF((Income!D$3:D$502="GBP")*(Income!A$3:A$502=DATE(2026,11,30)),ROW(Income!A$3:A$502)-2),2)),0)=0,"",IFERROR(-INDEX(Expenses!D$3:D$1002,SMALL(IF((Expenses!E$3:E$1002="GBP")*(Expenses!A$3:A$1002=DATE(2026,11,30)),ROW(Expenses!A$3:A$1002)-2),2)),0)+IFERROR(INDEX(Income!C$3:C$502,SMALL(IF((Income!D$3:D$502="GBP")*(Income!A$3:A$502=DATE(2026,11,30)),ROW(Income!A$3:A$502)-2),2)),0))</f>
        <v/>
      </c>
      <c r="D245" s="38" t="str">
        <f aca="false">IF(IFERROR(INDEX(Expenses!B$3:B$1002,SMALL(IF((Expenses!E$3:E$1002="GBP")*(Expenses!A$3:A$1002=DATE(2026,11,30)),ROW(Expenses!A$3:A$1002)-2),2)),"")&lt;&gt;"",IFERROR(INDEX(Expenses!B$3:B$1002,SMALL(IF((Expenses!E$3:E$1002="GBP")*(Expenses!A$3:A$1002=DATE(2026,11,30)),ROW(Expenses!A$3:A$1002)-2),2)),""),IF(IFERROR(INDEX(Income!B$3:B$502,SMALL(IF((Income!D$3:D$502="GBP")*(Income!A$3:A$502=DATE(2026,11,30)),ROW(Income!A$3:A$502)-2),2)),"")&lt;&gt;"",IFERROR(INDEX(Income!B$3:B$502,SMALL(IF((Income!D$3:D$502="GBP")*(Income!A$3:A$502=DATE(2026,11,30)),ROW(Income!A$3:A$502)-2),2)),""),""))</f>
        <v/>
      </c>
      <c r="E245" s="62" t="str">
        <f aca="false">IF(IFERROR(-INDEX(Expenses!D$3:D$1002,SMALL(IF((Expenses!E$3:E$1002="GBP")*(Expenses!A$3:A$1002=DATE(2026,12,1)),ROW(Expenses!A$3:A$1002)-2),2)),0)+IFERROR(INDEX(Income!C$3:C$502,SMALL(IF((Income!D$3:D$502="GBP")*(Income!A$3:A$502=DATE(2026,12,1)),ROW(Income!A$3:A$502)-2),2)),0)=0,"",IFERROR(-INDEX(Expenses!D$3:D$1002,SMALL(IF((Expenses!E$3:E$1002="GBP")*(Expenses!A$3:A$1002=DATE(2026,12,1)),ROW(Expenses!A$3:A$1002)-2),2)),0)+IFERROR(INDEX(Income!C$3:C$502,SMALL(IF((Income!D$3:D$502="GBP")*(Income!A$3:A$502=DATE(2026,12,1)),ROW(Income!A$3:A$502)-2),2)),0))</f>
        <v/>
      </c>
      <c r="F245" s="38" t="str">
        <f aca="false">IF(IFERROR(INDEX(Expenses!B$3:B$1002,SMALL(IF((Expenses!E$3:E$1002="GBP")*(Expenses!A$3:A$1002=DATE(2026,12,1)),ROW(Expenses!A$3:A$1002)-2),2)),"")&lt;&gt;"",IFERROR(INDEX(Expenses!B$3:B$1002,SMALL(IF((Expenses!E$3:E$1002="GBP")*(Expenses!A$3:A$1002=DATE(2026,12,1)),ROW(Expenses!A$3:A$1002)-2),2)),""),IF(IFERROR(INDEX(Income!B$3:B$502,SMALL(IF((Income!D$3:D$502="GBP")*(Income!A$3:A$502=DATE(2026,12,1)),ROW(Income!A$3:A$502)-2),2)),"")&lt;&gt;"",IFERROR(INDEX(Income!B$3:B$502,SMALL(IF((Income!D$3:D$502="GBP")*(Income!A$3:A$502=DATE(2026,12,1)),ROW(Income!A$3:A$502)-2),2)),""),""))</f>
        <v/>
      </c>
      <c r="G245" s="62" t="str">
        <f aca="false">IF(IFERROR(-INDEX(Expenses!D$3:D$1002,SMALL(IF((Expenses!E$3:E$1002="GBP")*(Expenses!A$3:A$1002=DATE(2026,12,2)),ROW(Expenses!A$3:A$1002)-2),2)),0)+IFERROR(INDEX(Income!C$3:C$502,SMALL(IF((Income!D$3:D$502="GBP")*(Income!A$3:A$502=DATE(2026,12,2)),ROW(Income!A$3:A$502)-2),2)),0)=0,"",IFERROR(-INDEX(Expenses!D$3:D$1002,SMALL(IF((Expenses!E$3:E$1002="GBP")*(Expenses!A$3:A$1002=DATE(2026,12,2)),ROW(Expenses!A$3:A$1002)-2),2)),0)+IFERROR(INDEX(Income!C$3:C$502,SMALL(IF((Income!D$3:D$502="GBP")*(Income!A$3:A$502=DATE(2026,12,2)),ROW(Income!A$3:A$502)-2),2)),0))</f>
        <v/>
      </c>
      <c r="H245" s="38" t="str">
        <f aca="false">IF(IFERROR(INDEX(Expenses!B$3:B$1002,SMALL(IF((Expenses!E$3:E$1002="GBP")*(Expenses!A$3:A$1002=DATE(2026,12,2)),ROW(Expenses!A$3:A$1002)-2),2)),"")&lt;&gt;"",IFERROR(INDEX(Expenses!B$3:B$1002,SMALL(IF((Expenses!E$3:E$1002="GBP")*(Expenses!A$3:A$1002=DATE(2026,12,2)),ROW(Expenses!A$3:A$1002)-2),2)),""),IF(IFERROR(INDEX(Income!B$3:B$502,SMALL(IF((Income!D$3:D$502="GBP")*(Income!A$3:A$502=DATE(2026,12,2)),ROW(Income!A$3:A$502)-2),2)),"")&lt;&gt;"",IFERROR(INDEX(Income!B$3:B$502,SMALL(IF((Income!D$3:D$502="GBP")*(Income!A$3:A$502=DATE(2026,12,2)),ROW(Income!A$3:A$502)-2),2)),""),""))</f>
        <v/>
      </c>
      <c r="I245" s="62" t="str">
        <f aca="false">IF(IFERROR(-INDEX(Expenses!D$3:D$1002,SMALL(IF((Expenses!E$3:E$1002="GBP")*(Expenses!A$3:A$1002=DATE(2026,12,3)),ROW(Expenses!A$3:A$1002)-2),2)),0)+IFERROR(INDEX(Income!C$3:C$502,SMALL(IF((Income!D$3:D$502="GBP")*(Income!A$3:A$502=DATE(2026,12,3)),ROW(Income!A$3:A$502)-2),2)),0)=0,"",IFERROR(-INDEX(Expenses!D$3:D$1002,SMALL(IF((Expenses!E$3:E$1002="GBP")*(Expenses!A$3:A$1002=DATE(2026,12,3)),ROW(Expenses!A$3:A$1002)-2),2)),0)+IFERROR(INDEX(Income!C$3:C$502,SMALL(IF((Income!D$3:D$502="GBP")*(Income!A$3:A$502=DATE(2026,12,3)),ROW(Income!A$3:A$502)-2),2)),0))</f>
        <v/>
      </c>
      <c r="J245" s="38" t="str">
        <f aca="false">IF(IFERROR(INDEX(Expenses!B$3:B$1002,SMALL(IF((Expenses!E$3:E$1002="GBP")*(Expenses!A$3:A$1002=DATE(2026,12,3)),ROW(Expenses!A$3:A$1002)-2),2)),"")&lt;&gt;"",IFERROR(INDEX(Expenses!B$3:B$1002,SMALL(IF((Expenses!E$3:E$1002="GBP")*(Expenses!A$3:A$1002=DATE(2026,12,3)),ROW(Expenses!A$3:A$1002)-2),2)),""),IF(IFERROR(INDEX(Income!B$3:B$502,SMALL(IF((Income!D$3:D$502="GBP")*(Income!A$3:A$502=DATE(2026,12,3)),ROW(Income!A$3:A$502)-2),2)),"")&lt;&gt;"",IFERROR(INDEX(Income!B$3:B$502,SMALL(IF((Income!D$3:D$502="GBP")*(Income!A$3:A$502=DATE(2026,12,3)),ROW(Income!A$3:A$502)-2),2)),""),""))</f>
        <v/>
      </c>
      <c r="K245" s="62" t="str">
        <f aca="false">IF(IFERROR(-INDEX(Expenses!D$3:D$1002,SMALL(IF((Expenses!E$3:E$1002="GBP")*(Expenses!A$3:A$1002=DATE(2026,12,4)),ROW(Expenses!A$3:A$1002)-2),2)),0)+IFERROR(INDEX(Income!C$3:C$502,SMALL(IF((Income!D$3:D$502="GBP")*(Income!A$3:A$502=DATE(2026,12,4)),ROW(Income!A$3:A$502)-2),2)),0)=0,"",IFERROR(-INDEX(Expenses!D$3:D$1002,SMALL(IF((Expenses!E$3:E$1002="GBP")*(Expenses!A$3:A$1002=DATE(2026,12,4)),ROW(Expenses!A$3:A$1002)-2),2)),0)+IFERROR(INDEX(Income!C$3:C$502,SMALL(IF((Income!D$3:D$502="GBP")*(Income!A$3:A$502=DATE(2026,12,4)),ROW(Income!A$3:A$502)-2),2)),0))</f>
        <v/>
      </c>
      <c r="L245" s="38" t="str">
        <f aca="false">IF(IFERROR(INDEX(Expenses!B$3:B$1002,SMALL(IF((Expenses!E$3:E$1002="GBP")*(Expenses!A$3:A$1002=DATE(2026,12,4)),ROW(Expenses!A$3:A$1002)-2),2)),"")&lt;&gt;"",IFERROR(INDEX(Expenses!B$3:B$1002,SMALL(IF((Expenses!E$3:E$1002="GBP")*(Expenses!A$3:A$1002=DATE(2026,12,4)),ROW(Expenses!A$3:A$1002)-2),2)),""),IF(IFERROR(INDEX(Income!B$3:B$502,SMALL(IF((Income!D$3:D$502="GBP")*(Income!A$3:A$502=DATE(2026,12,4)),ROW(Income!A$3:A$502)-2),2)),"")&lt;&gt;"",IFERROR(INDEX(Income!B$3:B$502,SMALL(IF((Income!D$3:D$502="GBP")*(Income!A$3:A$502=DATE(2026,12,4)),ROW(Income!A$3:A$502)-2),2)),""),""))</f>
        <v/>
      </c>
      <c r="M245" s="62" t="str">
        <f aca="false">IF(IFERROR(-INDEX(Expenses!D$3:D$1002,SMALL(IF((Expenses!E$3:E$1002="GBP")*(Expenses!A$3:A$1002=DATE(2026,12,5)),ROW(Expenses!A$3:A$1002)-2),2)),0)+IFERROR(INDEX(Income!C$3:C$502,SMALL(IF((Income!D$3:D$502="GBP")*(Income!A$3:A$502=DATE(2026,12,5)),ROW(Income!A$3:A$502)-2),2)),0)=0,"",IFERROR(-INDEX(Expenses!D$3:D$1002,SMALL(IF((Expenses!E$3:E$1002="GBP")*(Expenses!A$3:A$1002=DATE(2026,12,5)),ROW(Expenses!A$3:A$1002)-2),2)),0)+IFERROR(INDEX(Income!C$3:C$502,SMALL(IF((Income!D$3:D$502="GBP")*(Income!A$3:A$502=DATE(2026,12,5)),ROW(Income!A$3:A$502)-2),2)),0))</f>
        <v/>
      </c>
      <c r="N245" s="38" t="str">
        <f aca="false">IF(IFERROR(INDEX(Expenses!B$3:B$1002,SMALL(IF((Expenses!E$3:E$1002="GBP")*(Expenses!A$3:A$1002=DATE(2026,12,5)),ROW(Expenses!A$3:A$1002)-2),2)),"")&lt;&gt;"",IFERROR(INDEX(Expenses!B$3:B$1002,SMALL(IF((Expenses!E$3:E$1002="GBP")*(Expenses!A$3:A$1002=DATE(2026,12,5)),ROW(Expenses!A$3:A$1002)-2),2)),""),IF(IFERROR(INDEX(Income!B$3:B$502,SMALL(IF((Income!D$3:D$502="GBP")*(Income!A$3:A$502=DATE(2026,12,5)),ROW(Income!A$3:A$502)-2),2)),"")&lt;&gt;"",IFERROR(INDEX(Income!B$3:B$502,SMALL(IF((Income!D$3:D$502="GBP")*(Income!A$3:A$502=DATE(2026,12,5)),ROW(Income!A$3:A$502)-2),2)),""),""))</f>
        <v/>
      </c>
      <c r="O245" s="62" t="str">
        <f aca="false">IF(IFERROR(-INDEX(Expenses!D$3:D$1002,SMALL(IF((Expenses!E$3:E$1002="GBP")*(Expenses!A$3:A$1002=DATE(2026,12,6)),ROW(Expenses!A$3:A$1002)-2),2)),0)+IFERROR(INDEX(Income!C$3:C$502,SMALL(IF((Income!D$3:D$502="GBP")*(Income!A$3:A$502=DATE(2026,12,6)),ROW(Income!A$3:A$502)-2),2)),0)=0,"",IFERROR(-INDEX(Expenses!D$3:D$1002,SMALL(IF((Expenses!E$3:E$1002="GBP")*(Expenses!A$3:A$1002=DATE(2026,12,6)),ROW(Expenses!A$3:A$1002)-2),2)),0)+IFERROR(INDEX(Income!C$3:C$502,SMALL(IF((Income!D$3:D$502="GBP")*(Income!A$3:A$502=DATE(2026,12,6)),ROW(Income!A$3:A$502)-2),2)),0))</f>
        <v/>
      </c>
      <c r="P245" s="38" t="str">
        <f aca="false">IF(IFERROR(INDEX(Expenses!B$3:B$1002,SMALL(IF((Expenses!E$3:E$1002="GBP")*(Expenses!A$3:A$1002=DATE(2026,12,6)),ROW(Expenses!A$3:A$1002)-2),2)),"")&lt;&gt;"",IFERROR(INDEX(Expenses!B$3:B$1002,SMALL(IF((Expenses!E$3:E$1002="GBP")*(Expenses!A$3:A$1002=DATE(2026,12,6)),ROW(Expenses!A$3:A$1002)-2),2)),""),IF(IFERROR(INDEX(Income!B$3:B$502,SMALL(IF((Income!D$3:D$502="GBP")*(Income!A$3:A$502=DATE(2026,12,6)),ROW(Income!A$3:A$502)-2),2)),"")&lt;&gt;"",IFERROR(INDEX(Income!B$3:B$502,SMALL(IF((Income!D$3:D$502="GBP")*(Income!A$3:A$502=DATE(2026,12,6)),ROW(Income!A$3:A$502)-2),2)),""),""))</f>
        <v/>
      </c>
      <c r="Q245" s="16"/>
      <c r="R245" s="16"/>
    </row>
    <row r="246" customFormat="false" ht="15" hidden="false" customHeight="false" outlineLevel="0" collapsed="false">
      <c r="A246" s="16"/>
      <c r="B246" s="16"/>
      <c r="C246" s="62" t="str">
        <f aca="false">IF(IFERROR(-INDEX(Expenses!D$3:D$1002,SMALL(IF((Expenses!E$3:E$1002="GBP")*(Expenses!A$3:A$1002=DATE(2026,11,30)),ROW(Expenses!A$3:A$1002)-2),3)),0)+IFERROR(INDEX(Income!C$3:C$502,SMALL(IF((Income!D$3:D$502="GBP")*(Income!A$3:A$502=DATE(2026,11,30)),ROW(Income!A$3:A$502)-2),3)),0)=0,"",IFERROR(-INDEX(Expenses!D$3:D$1002,SMALL(IF((Expenses!E$3:E$1002="GBP")*(Expenses!A$3:A$1002=DATE(2026,11,30)),ROW(Expenses!A$3:A$1002)-2),3)),0)+IFERROR(INDEX(Income!C$3:C$502,SMALL(IF((Income!D$3:D$502="GBP")*(Income!A$3:A$502=DATE(2026,11,30)),ROW(Income!A$3:A$502)-2),3)),0))</f>
        <v/>
      </c>
      <c r="D246" s="38" t="str">
        <f aca="false">IF(IFERROR(INDEX(Expenses!B$3:B$1002,SMALL(IF((Expenses!E$3:E$1002="GBP")*(Expenses!A$3:A$1002=DATE(2026,11,30)),ROW(Expenses!A$3:A$1002)-2),3)),"")&lt;&gt;"",IFERROR(INDEX(Expenses!B$3:B$1002,SMALL(IF((Expenses!E$3:E$1002="GBP")*(Expenses!A$3:A$1002=DATE(2026,11,30)),ROW(Expenses!A$3:A$1002)-2),3)),""),IF(IFERROR(INDEX(Income!B$3:B$502,SMALL(IF((Income!D$3:D$502="GBP")*(Income!A$3:A$502=DATE(2026,11,30)),ROW(Income!A$3:A$502)-2),3)),"")&lt;&gt;"",IFERROR(INDEX(Income!B$3:B$502,SMALL(IF((Income!D$3:D$502="GBP")*(Income!A$3:A$502=DATE(2026,11,30)),ROW(Income!A$3:A$502)-2),3)),""),""))</f>
        <v/>
      </c>
      <c r="E246" s="62" t="str">
        <f aca="false">IF(IFERROR(-INDEX(Expenses!D$3:D$1002,SMALL(IF((Expenses!E$3:E$1002="GBP")*(Expenses!A$3:A$1002=DATE(2026,12,1)),ROW(Expenses!A$3:A$1002)-2),3)),0)+IFERROR(INDEX(Income!C$3:C$502,SMALL(IF((Income!D$3:D$502="GBP")*(Income!A$3:A$502=DATE(2026,12,1)),ROW(Income!A$3:A$502)-2),3)),0)=0,"",IFERROR(-INDEX(Expenses!D$3:D$1002,SMALL(IF((Expenses!E$3:E$1002="GBP")*(Expenses!A$3:A$1002=DATE(2026,12,1)),ROW(Expenses!A$3:A$1002)-2),3)),0)+IFERROR(INDEX(Income!C$3:C$502,SMALL(IF((Income!D$3:D$502="GBP")*(Income!A$3:A$502=DATE(2026,12,1)),ROW(Income!A$3:A$502)-2),3)),0))</f>
        <v/>
      </c>
      <c r="F246" s="38" t="str">
        <f aca="false">IF(IFERROR(INDEX(Expenses!B$3:B$1002,SMALL(IF((Expenses!E$3:E$1002="GBP")*(Expenses!A$3:A$1002=DATE(2026,12,1)),ROW(Expenses!A$3:A$1002)-2),3)),"")&lt;&gt;"",IFERROR(INDEX(Expenses!B$3:B$1002,SMALL(IF((Expenses!E$3:E$1002="GBP")*(Expenses!A$3:A$1002=DATE(2026,12,1)),ROW(Expenses!A$3:A$1002)-2),3)),""),IF(IFERROR(INDEX(Income!B$3:B$502,SMALL(IF((Income!D$3:D$502="GBP")*(Income!A$3:A$502=DATE(2026,12,1)),ROW(Income!A$3:A$502)-2),3)),"")&lt;&gt;"",IFERROR(INDEX(Income!B$3:B$502,SMALL(IF((Income!D$3:D$502="GBP")*(Income!A$3:A$502=DATE(2026,12,1)),ROW(Income!A$3:A$502)-2),3)),""),""))</f>
        <v/>
      </c>
      <c r="G246" s="62" t="str">
        <f aca="false">IF(IFERROR(-INDEX(Expenses!D$3:D$1002,SMALL(IF((Expenses!E$3:E$1002="GBP")*(Expenses!A$3:A$1002=DATE(2026,12,2)),ROW(Expenses!A$3:A$1002)-2),3)),0)+IFERROR(INDEX(Income!C$3:C$502,SMALL(IF((Income!D$3:D$502="GBP")*(Income!A$3:A$502=DATE(2026,12,2)),ROW(Income!A$3:A$502)-2),3)),0)=0,"",IFERROR(-INDEX(Expenses!D$3:D$1002,SMALL(IF((Expenses!E$3:E$1002="GBP")*(Expenses!A$3:A$1002=DATE(2026,12,2)),ROW(Expenses!A$3:A$1002)-2),3)),0)+IFERROR(INDEX(Income!C$3:C$502,SMALL(IF((Income!D$3:D$502="GBP")*(Income!A$3:A$502=DATE(2026,12,2)),ROW(Income!A$3:A$502)-2),3)),0))</f>
        <v/>
      </c>
      <c r="H246" s="38" t="str">
        <f aca="false">IF(IFERROR(INDEX(Expenses!B$3:B$1002,SMALL(IF((Expenses!E$3:E$1002="GBP")*(Expenses!A$3:A$1002=DATE(2026,12,2)),ROW(Expenses!A$3:A$1002)-2),3)),"")&lt;&gt;"",IFERROR(INDEX(Expenses!B$3:B$1002,SMALL(IF((Expenses!E$3:E$1002="GBP")*(Expenses!A$3:A$1002=DATE(2026,12,2)),ROW(Expenses!A$3:A$1002)-2),3)),""),IF(IFERROR(INDEX(Income!B$3:B$502,SMALL(IF((Income!D$3:D$502="GBP")*(Income!A$3:A$502=DATE(2026,12,2)),ROW(Income!A$3:A$502)-2),3)),"")&lt;&gt;"",IFERROR(INDEX(Income!B$3:B$502,SMALL(IF((Income!D$3:D$502="GBP")*(Income!A$3:A$502=DATE(2026,12,2)),ROW(Income!A$3:A$502)-2),3)),""),""))</f>
        <v/>
      </c>
      <c r="I246" s="62" t="str">
        <f aca="false">IF(IFERROR(-INDEX(Expenses!D$3:D$1002,SMALL(IF((Expenses!E$3:E$1002="GBP")*(Expenses!A$3:A$1002=DATE(2026,12,3)),ROW(Expenses!A$3:A$1002)-2),3)),0)+IFERROR(INDEX(Income!C$3:C$502,SMALL(IF((Income!D$3:D$502="GBP")*(Income!A$3:A$502=DATE(2026,12,3)),ROW(Income!A$3:A$502)-2),3)),0)=0,"",IFERROR(-INDEX(Expenses!D$3:D$1002,SMALL(IF((Expenses!E$3:E$1002="GBP")*(Expenses!A$3:A$1002=DATE(2026,12,3)),ROW(Expenses!A$3:A$1002)-2),3)),0)+IFERROR(INDEX(Income!C$3:C$502,SMALL(IF((Income!D$3:D$502="GBP")*(Income!A$3:A$502=DATE(2026,12,3)),ROW(Income!A$3:A$502)-2),3)),0))</f>
        <v/>
      </c>
      <c r="J246" s="38" t="str">
        <f aca="false">IF(IFERROR(INDEX(Expenses!B$3:B$1002,SMALL(IF((Expenses!E$3:E$1002="GBP")*(Expenses!A$3:A$1002=DATE(2026,12,3)),ROW(Expenses!A$3:A$1002)-2),3)),"")&lt;&gt;"",IFERROR(INDEX(Expenses!B$3:B$1002,SMALL(IF((Expenses!E$3:E$1002="GBP")*(Expenses!A$3:A$1002=DATE(2026,12,3)),ROW(Expenses!A$3:A$1002)-2),3)),""),IF(IFERROR(INDEX(Income!B$3:B$502,SMALL(IF((Income!D$3:D$502="GBP")*(Income!A$3:A$502=DATE(2026,12,3)),ROW(Income!A$3:A$502)-2),3)),"")&lt;&gt;"",IFERROR(INDEX(Income!B$3:B$502,SMALL(IF((Income!D$3:D$502="GBP")*(Income!A$3:A$502=DATE(2026,12,3)),ROW(Income!A$3:A$502)-2),3)),""),""))</f>
        <v/>
      </c>
      <c r="K246" s="62" t="str">
        <f aca="false">IF(IFERROR(-INDEX(Expenses!D$3:D$1002,SMALL(IF((Expenses!E$3:E$1002="GBP")*(Expenses!A$3:A$1002=DATE(2026,12,4)),ROW(Expenses!A$3:A$1002)-2),3)),0)+IFERROR(INDEX(Income!C$3:C$502,SMALL(IF((Income!D$3:D$502="GBP")*(Income!A$3:A$502=DATE(2026,12,4)),ROW(Income!A$3:A$502)-2),3)),0)=0,"",IFERROR(-INDEX(Expenses!D$3:D$1002,SMALL(IF((Expenses!E$3:E$1002="GBP")*(Expenses!A$3:A$1002=DATE(2026,12,4)),ROW(Expenses!A$3:A$1002)-2),3)),0)+IFERROR(INDEX(Income!C$3:C$502,SMALL(IF((Income!D$3:D$502="GBP")*(Income!A$3:A$502=DATE(2026,12,4)),ROW(Income!A$3:A$502)-2),3)),0))</f>
        <v/>
      </c>
      <c r="L246" s="38" t="str">
        <f aca="false">IF(IFERROR(INDEX(Expenses!B$3:B$1002,SMALL(IF((Expenses!E$3:E$1002="GBP")*(Expenses!A$3:A$1002=DATE(2026,12,4)),ROW(Expenses!A$3:A$1002)-2),3)),"")&lt;&gt;"",IFERROR(INDEX(Expenses!B$3:B$1002,SMALL(IF((Expenses!E$3:E$1002="GBP")*(Expenses!A$3:A$1002=DATE(2026,12,4)),ROW(Expenses!A$3:A$1002)-2),3)),""),IF(IFERROR(INDEX(Income!B$3:B$502,SMALL(IF((Income!D$3:D$502="GBP")*(Income!A$3:A$502=DATE(2026,12,4)),ROW(Income!A$3:A$502)-2),3)),"")&lt;&gt;"",IFERROR(INDEX(Income!B$3:B$502,SMALL(IF((Income!D$3:D$502="GBP")*(Income!A$3:A$502=DATE(2026,12,4)),ROW(Income!A$3:A$502)-2),3)),""),""))</f>
        <v/>
      </c>
      <c r="M246" s="62" t="str">
        <f aca="false">IF(IFERROR(-INDEX(Expenses!D$3:D$1002,SMALL(IF((Expenses!E$3:E$1002="GBP")*(Expenses!A$3:A$1002=DATE(2026,12,5)),ROW(Expenses!A$3:A$1002)-2),3)),0)+IFERROR(INDEX(Income!C$3:C$502,SMALL(IF((Income!D$3:D$502="GBP")*(Income!A$3:A$502=DATE(2026,12,5)),ROW(Income!A$3:A$502)-2),3)),0)=0,"",IFERROR(-INDEX(Expenses!D$3:D$1002,SMALL(IF((Expenses!E$3:E$1002="GBP")*(Expenses!A$3:A$1002=DATE(2026,12,5)),ROW(Expenses!A$3:A$1002)-2),3)),0)+IFERROR(INDEX(Income!C$3:C$502,SMALL(IF((Income!D$3:D$502="GBP")*(Income!A$3:A$502=DATE(2026,12,5)),ROW(Income!A$3:A$502)-2),3)),0))</f>
        <v/>
      </c>
      <c r="N246" s="38" t="str">
        <f aca="false">IF(IFERROR(INDEX(Expenses!B$3:B$1002,SMALL(IF((Expenses!E$3:E$1002="GBP")*(Expenses!A$3:A$1002=DATE(2026,12,5)),ROW(Expenses!A$3:A$1002)-2),3)),"")&lt;&gt;"",IFERROR(INDEX(Expenses!B$3:B$1002,SMALL(IF((Expenses!E$3:E$1002="GBP")*(Expenses!A$3:A$1002=DATE(2026,12,5)),ROW(Expenses!A$3:A$1002)-2),3)),""),IF(IFERROR(INDEX(Income!B$3:B$502,SMALL(IF((Income!D$3:D$502="GBP")*(Income!A$3:A$502=DATE(2026,12,5)),ROW(Income!A$3:A$502)-2),3)),"")&lt;&gt;"",IFERROR(INDEX(Income!B$3:B$502,SMALL(IF((Income!D$3:D$502="GBP")*(Income!A$3:A$502=DATE(2026,12,5)),ROW(Income!A$3:A$502)-2),3)),""),""))</f>
        <v/>
      </c>
      <c r="O246" s="62" t="str">
        <f aca="false">IF(IFERROR(-INDEX(Expenses!D$3:D$1002,SMALL(IF((Expenses!E$3:E$1002="GBP")*(Expenses!A$3:A$1002=DATE(2026,12,6)),ROW(Expenses!A$3:A$1002)-2),3)),0)+IFERROR(INDEX(Income!C$3:C$502,SMALL(IF((Income!D$3:D$502="GBP")*(Income!A$3:A$502=DATE(2026,12,6)),ROW(Income!A$3:A$502)-2),3)),0)=0,"",IFERROR(-INDEX(Expenses!D$3:D$1002,SMALL(IF((Expenses!E$3:E$1002="GBP")*(Expenses!A$3:A$1002=DATE(2026,12,6)),ROW(Expenses!A$3:A$1002)-2),3)),0)+IFERROR(INDEX(Income!C$3:C$502,SMALL(IF((Income!D$3:D$502="GBP")*(Income!A$3:A$502=DATE(2026,12,6)),ROW(Income!A$3:A$502)-2),3)),0))</f>
        <v/>
      </c>
      <c r="P246" s="38" t="str">
        <f aca="false">IF(IFERROR(INDEX(Expenses!B$3:B$1002,SMALL(IF((Expenses!E$3:E$1002="GBP")*(Expenses!A$3:A$1002=DATE(2026,12,6)),ROW(Expenses!A$3:A$1002)-2),3)),"")&lt;&gt;"",IFERROR(INDEX(Expenses!B$3:B$1002,SMALL(IF((Expenses!E$3:E$1002="GBP")*(Expenses!A$3:A$1002=DATE(2026,12,6)),ROW(Expenses!A$3:A$1002)-2),3)),""),IF(IFERROR(INDEX(Income!B$3:B$502,SMALL(IF((Income!D$3:D$502="GBP")*(Income!A$3:A$502=DATE(2026,12,6)),ROW(Income!A$3:A$502)-2),3)),"")&lt;&gt;"",IFERROR(INDEX(Income!B$3:B$502,SMALL(IF((Income!D$3:D$502="GBP")*(Income!A$3:A$502=DATE(2026,12,6)),ROW(Income!A$3:A$502)-2),3)),""),""))</f>
        <v/>
      </c>
      <c r="Q246" s="16"/>
      <c r="R246" s="16"/>
    </row>
    <row r="247" customFormat="false" ht="15" hidden="false" customHeight="false" outlineLevel="0" collapsed="false">
      <c r="A247" s="16"/>
      <c r="B247" s="16"/>
      <c r="C247" s="62" t="str">
        <f aca="false">IF(IFERROR(-INDEX(Expenses!D$3:D$1002,SMALL(IF((Expenses!E$3:E$1002="GBP")*(Expenses!A$3:A$1002=DATE(2026,11,30)),ROW(Expenses!A$3:A$1002)-2),4)),0)+IFERROR(INDEX(Income!C$3:C$502,SMALL(IF((Income!D$3:D$502="GBP")*(Income!A$3:A$502=DATE(2026,11,30)),ROW(Income!A$3:A$502)-2),4)),0)=0,"",IFERROR(-INDEX(Expenses!D$3:D$1002,SMALL(IF((Expenses!E$3:E$1002="GBP")*(Expenses!A$3:A$1002=DATE(2026,11,30)),ROW(Expenses!A$3:A$1002)-2),4)),0)+IFERROR(INDEX(Income!C$3:C$502,SMALL(IF((Income!D$3:D$502="GBP")*(Income!A$3:A$502=DATE(2026,11,30)),ROW(Income!A$3:A$502)-2),4)),0))</f>
        <v/>
      </c>
      <c r="D247" s="38" t="str">
        <f aca="false">IF(IFERROR(INDEX(Expenses!B$3:B$1002,SMALL(IF((Expenses!E$3:E$1002="GBP")*(Expenses!A$3:A$1002=DATE(2026,11,30)),ROW(Expenses!A$3:A$1002)-2),4)),"")&lt;&gt;"",IFERROR(INDEX(Expenses!B$3:B$1002,SMALL(IF((Expenses!E$3:E$1002="GBP")*(Expenses!A$3:A$1002=DATE(2026,11,30)),ROW(Expenses!A$3:A$1002)-2),4)),""),IF(IFERROR(INDEX(Income!B$3:B$502,SMALL(IF((Income!D$3:D$502="GBP")*(Income!A$3:A$502=DATE(2026,11,30)),ROW(Income!A$3:A$502)-2),4)),"")&lt;&gt;"",IFERROR(INDEX(Income!B$3:B$502,SMALL(IF((Income!D$3:D$502="GBP")*(Income!A$3:A$502=DATE(2026,11,30)),ROW(Income!A$3:A$502)-2),4)),""),""))</f>
        <v/>
      </c>
      <c r="E247" s="62" t="str">
        <f aca="false">IF(IFERROR(-INDEX(Expenses!D$3:D$1002,SMALL(IF((Expenses!E$3:E$1002="GBP")*(Expenses!A$3:A$1002=DATE(2026,12,1)),ROW(Expenses!A$3:A$1002)-2),4)),0)+IFERROR(INDEX(Income!C$3:C$502,SMALL(IF((Income!D$3:D$502="GBP")*(Income!A$3:A$502=DATE(2026,12,1)),ROW(Income!A$3:A$502)-2),4)),0)=0,"",IFERROR(-INDEX(Expenses!D$3:D$1002,SMALL(IF((Expenses!E$3:E$1002="GBP")*(Expenses!A$3:A$1002=DATE(2026,12,1)),ROW(Expenses!A$3:A$1002)-2),4)),0)+IFERROR(INDEX(Income!C$3:C$502,SMALL(IF((Income!D$3:D$502="GBP")*(Income!A$3:A$502=DATE(2026,12,1)),ROW(Income!A$3:A$502)-2),4)),0))</f>
        <v/>
      </c>
      <c r="F247" s="38" t="str">
        <f aca="false">IF(IFERROR(INDEX(Expenses!B$3:B$1002,SMALL(IF((Expenses!E$3:E$1002="GBP")*(Expenses!A$3:A$1002=DATE(2026,12,1)),ROW(Expenses!A$3:A$1002)-2),4)),"")&lt;&gt;"",IFERROR(INDEX(Expenses!B$3:B$1002,SMALL(IF((Expenses!E$3:E$1002="GBP")*(Expenses!A$3:A$1002=DATE(2026,12,1)),ROW(Expenses!A$3:A$1002)-2),4)),""),IF(IFERROR(INDEX(Income!B$3:B$502,SMALL(IF((Income!D$3:D$502="GBP")*(Income!A$3:A$502=DATE(2026,12,1)),ROW(Income!A$3:A$502)-2),4)),"")&lt;&gt;"",IFERROR(INDEX(Income!B$3:B$502,SMALL(IF((Income!D$3:D$502="GBP")*(Income!A$3:A$502=DATE(2026,12,1)),ROW(Income!A$3:A$502)-2),4)),""),""))</f>
        <v/>
      </c>
      <c r="G247" s="62" t="str">
        <f aca="false">IF(IFERROR(-INDEX(Expenses!D$3:D$1002,SMALL(IF((Expenses!E$3:E$1002="GBP")*(Expenses!A$3:A$1002=DATE(2026,12,2)),ROW(Expenses!A$3:A$1002)-2),4)),0)+IFERROR(INDEX(Income!C$3:C$502,SMALL(IF((Income!D$3:D$502="GBP")*(Income!A$3:A$502=DATE(2026,12,2)),ROW(Income!A$3:A$502)-2),4)),0)=0,"",IFERROR(-INDEX(Expenses!D$3:D$1002,SMALL(IF((Expenses!E$3:E$1002="GBP")*(Expenses!A$3:A$1002=DATE(2026,12,2)),ROW(Expenses!A$3:A$1002)-2),4)),0)+IFERROR(INDEX(Income!C$3:C$502,SMALL(IF((Income!D$3:D$502="GBP")*(Income!A$3:A$502=DATE(2026,12,2)),ROW(Income!A$3:A$502)-2),4)),0))</f>
        <v/>
      </c>
      <c r="H247" s="38" t="str">
        <f aca="false">IF(IFERROR(INDEX(Expenses!B$3:B$1002,SMALL(IF((Expenses!E$3:E$1002="GBP")*(Expenses!A$3:A$1002=DATE(2026,12,2)),ROW(Expenses!A$3:A$1002)-2),4)),"")&lt;&gt;"",IFERROR(INDEX(Expenses!B$3:B$1002,SMALL(IF((Expenses!E$3:E$1002="GBP")*(Expenses!A$3:A$1002=DATE(2026,12,2)),ROW(Expenses!A$3:A$1002)-2),4)),""),IF(IFERROR(INDEX(Income!B$3:B$502,SMALL(IF((Income!D$3:D$502="GBP")*(Income!A$3:A$502=DATE(2026,12,2)),ROW(Income!A$3:A$502)-2),4)),"")&lt;&gt;"",IFERROR(INDEX(Income!B$3:B$502,SMALL(IF((Income!D$3:D$502="GBP")*(Income!A$3:A$502=DATE(2026,12,2)),ROW(Income!A$3:A$502)-2),4)),""),""))</f>
        <v/>
      </c>
      <c r="I247" s="62" t="str">
        <f aca="false">IF(IFERROR(-INDEX(Expenses!D$3:D$1002,SMALL(IF((Expenses!E$3:E$1002="GBP")*(Expenses!A$3:A$1002=DATE(2026,12,3)),ROW(Expenses!A$3:A$1002)-2),4)),0)+IFERROR(INDEX(Income!C$3:C$502,SMALL(IF((Income!D$3:D$502="GBP")*(Income!A$3:A$502=DATE(2026,12,3)),ROW(Income!A$3:A$502)-2),4)),0)=0,"",IFERROR(-INDEX(Expenses!D$3:D$1002,SMALL(IF((Expenses!E$3:E$1002="GBP")*(Expenses!A$3:A$1002=DATE(2026,12,3)),ROW(Expenses!A$3:A$1002)-2),4)),0)+IFERROR(INDEX(Income!C$3:C$502,SMALL(IF((Income!D$3:D$502="GBP")*(Income!A$3:A$502=DATE(2026,12,3)),ROW(Income!A$3:A$502)-2),4)),0))</f>
        <v/>
      </c>
      <c r="J247" s="38" t="str">
        <f aca="false">IF(IFERROR(INDEX(Expenses!B$3:B$1002,SMALL(IF((Expenses!E$3:E$1002="GBP")*(Expenses!A$3:A$1002=DATE(2026,12,3)),ROW(Expenses!A$3:A$1002)-2),4)),"")&lt;&gt;"",IFERROR(INDEX(Expenses!B$3:B$1002,SMALL(IF((Expenses!E$3:E$1002="GBP")*(Expenses!A$3:A$1002=DATE(2026,12,3)),ROW(Expenses!A$3:A$1002)-2),4)),""),IF(IFERROR(INDEX(Income!B$3:B$502,SMALL(IF((Income!D$3:D$502="GBP")*(Income!A$3:A$502=DATE(2026,12,3)),ROW(Income!A$3:A$502)-2),4)),"")&lt;&gt;"",IFERROR(INDEX(Income!B$3:B$502,SMALL(IF((Income!D$3:D$502="GBP")*(Income!A$3:A$502=DATE(2026,12,3)),ROW(Income!A$3:A$502)-2),4)),""),""))</f>
        <v/>
      </c>
      <c r="K247" s="62" t="str">
        <f aca="false">IF(IFERROR(-INDEX(Expenses!D$3:D$1002,SMALL(IF((Expenses!E$3:E$1002="GBP")*(Expenses!A$3:A$1002=DATE(2026,12,4)),ROW(Expenses!A$3:A$1002)-2),4)),0)+IFERROR(INDEX(Income!C$3:C$502,SMALL(IF((Income!D$3:D$502="GBP")*(Income!A$3:A$502=DATE(2026,12,4)),ROW(Income!A$3:A$502)-2),4)),0)=0,"",IFERROR(-INDEX(Expenses!D$3:D$1002,SMALL(IF((Expenses!E$3:E$1002="GBP")*(Expenses!A$3:A$1002=DATE(2026,12,4)),ROW(Expenses!A$3:A$1002)-2),4)),0)+IFERROR(INDEX(Income!C$3:C$502,SMALL(IF((Income!D$3:D$502="GBP")*(Income!A$3:A$502=DATE(2026,12,4)),ROW(Income!A$3:A$502)-2),4)),0))</f>
        <v/>
      </c>
      <c r="L247" s="38" t="str">
        <f aca="false">IF(IFERROR(INDEX(Expenses!B$3:B$1002,SMALL(IF((Expenses!E$3:E$1002="GBP")*(Expenses!A$3:A$1002=DATE(2026,12,4)),ROW(Expenses!A$3:A$1002)-2),4)),"")&lt;&gt;"",IFERROR(INDEX(Expenses!B$3:B$1002,SMALL(IF((Expenses!E$3:E$1002="GBP")*(Expenses!A$3:A$1002=DATE(2026,12,4)),ROW(Expenses!A$3:A$1002)-2),4)),""),IF(IFERROR(INDEX(Income!B$3:B$502,SMALL(IF((Income!D$3:D$502="GBP")*(Income!A$3:A$502=DATE(2026,12,4)),ROW(Income!A$3:A$502)-2),4)),"")&lt;&gt;"",IFERROR(INDEX(Income!B$3:B$502,SMALL(IF((Income!D$3:D$502="GBP")*(Income!A$3:A$502=DATE(2026,12,4)),ROW(Income!A$3:A$502)-2),4)),""),""))</f>
        <v/>
      </c>
      <c r="M247" s="62" t="str">
        <f aca="false">IF(IFERROR(-INDEX(Expenses!D$3:D$1002,SMALL(IF((Expenses!E$3:E$1002="GBP")*(Expenses!A$3:A$1002=DATE(2026,12,5)),ROW(Expenses!A$3:A$1002)-2),4)),0)+IFERROR(INDEX(Income!C$3:C$502,SMALL(IF((Income!D$3:D$502="GBP")*(Income!A$3:A$502=DATE(2026,12,5)),ROW(Income!A$3:A$502)-2),4)),0)=0,"",IFERROR(-INDEX(Expenses!D$3:D$1002,SMALL(IF((Expenses!E$3:E$1002="GBP")*(Expenses!A$3:A$1002=DATE(2026,12,5)),ROW(Expenses!A$3:A$1002)-2),4)),0)+IFERROR(INDEX(Income!C$3:C$502,SMALL(IF((Income!D$3:D$502="GBP")*(Income!A$3:A$502=DATE(2026,12,5)),ROW(Income!A$3:A$502)-2),4)),0))</f>
        <v/>
      </c>
      <c r="N247" s="38" t="str">
        <f aca="false">IF(IFERROR(INDEX(Expenses!B$3:B$1002,SMALL(IF((Expenses!E$3:E$1002="GBP")*(Expenses!A$3:A$1002=DATE(2026,12,5)),ROW(Expenses!A$3:A$1002)-2),4)),"")&lt;&gt;"",IFERROR(INDEX(Expenses!B$3:B$1002,SMALL(IF((Expenses!E$3:E$1002="GBP")*(Expenses!A$3:A$1002=DATE(2026,12,5)),ROW(Expenses!A$3:A$1002)-2),4)),""),IF(IFERROR(INDEX(Income!B$3:B$502,SMALL(IF((Income!D$3:D$502="GBP")*(Income!A$3:A$502=DATE(2026,12,5)),ROW(Income!A$3:A$502)-2),4)),"")&lt;&gt;"",IFERROR(INDEX(Income!B$3:B$502,SMALL(IF((Income!D$3:D$502="GBP")*(Income!A$3:A$502=DATE(2026,12,5)),ROW(Income!A$3:A$502)-2),4)),""),""))</f>
        <v/>
      </c>
      <c r="O247" s="62" t="str">
        <f aca="false">IF(IFERROR(-INDEX(Expenses!D$3:D$1002,SMALL(IF((Expenses!E$3:E$1002="GBP")*(Expenses!A$3:A$1002=DATE(2026,12,6)),ROW(Expenses!A$3:A$1002)-2),4)),0)+IFERROR(INDEX(Income!C$3:C$502,SMALL(IF((Income!D$3:D$502="GBP")*(Income!A$3:A$502=DATE(2026,12,6)),ROW(Income!A$3:A$502)-2),4)),0)=0,"",IFERROR(-INDEX(Expenses!D$3:D$1002,SMALL(IF((Expenses!E$3:E$1002="GBP")*(Expenses!A$3:A$1002=DATE(2026,12,6)),ROW(Expenses!A$3:A$1002)-2),4)),0)+IFERROR(INDEX(Income!C$3:C$502,SMALL(IF((Income!D$3:D$502="GBP")*(Income!A$3:A$502=DATE(2026,12,6)),ROW(Income!A$3:A$502)-2),4)),0))</f>
        <v/>
      </c>
      <c r="P247" s="38" t="str">
        <f aca="false">IF(IFERROR(INDEX(Expenses!B$3:B$1002,SMALL(IF((Expenses!E$3:E$1002="GBP")*(Expenses!A$3:A$1002=DATE(2026,12,6)),ROW(Expenses!A$3:A$1002)-2),4)),"")&lt;&gt;"",IFERROR(INDEX(Expenses!B$3:B$1002,SMALL(IF((Expenses!E$3:E$1002="GBP")*(Expenses!A$3:A$1002=DATE(2026,12,6)),ROW(Expenses!A$3:A$1002)-2),4)),""),IF(IFERROR(INDEX(Income!B$3:B$502,SMALL(IF((Income!D$3:D$502="GBP")*(Income!A$3:A$502=DATE(2026,12,6)),ROW(Income!A$3:A$502)-2),4)),"")&lt;&gt;"",IFERROR(INDEX(Income!B$3:B$502,SMALL(IF((Income!D$3:D$502="GBP")*(Income!A$3:A$502=DATE(2026,12,6)),ROW(Income!A$3:A$502)-2),4)),""),""))</f>
        <v/>
      </c>
      <c r="Q247" s="16"/>
      <c r="R247" s="16"/>
    </row>
    <row r="248" customFormat="false" ht="15" hidden="false" customHeight="false" outlineLevel="0" collapsed="false">
      <c r="A248" s="16"/>
      <c r="B248" s="16"/>
      <c r="C248" s="62" t="str">
        <f aca="false">IF(IFERROR(-INDEX(Expenses!D$3:D$1002,SMALL(IF((Expenses!E$3:E$1002="GBP")*(Expenses!A$3:A$1002=DATE(2026,11,30)),ROW(Expenses!A$3:A$1002)-2),5)),0)+IFERROR(INDEX(Income!C$3:C$502,SMALL(IF((Income!D$3:D$502="GBP")*(Income!A$3:A$502=DATE(2026,11,30)),ROW(Income!A$3:A$502)-2),5)),0)=0,"",IFERROR(-INDEX(Expenses!D$3:D$1002,SMALL(IF((Expenses!E$3:E$1002="GBP")*(Expenses!A$3:A$1002=DATE(2026,11,30)),ROW(Expenses!A$3:A$1002)-2),5)),0)+IFERROR(INDEX(Income!C$3:C$502,SMALL(IF((Income!D$3:D$502="GBP")*(Income!A$3:A$502=DATE(2026,11,30)),ROW(Income!A$3:A$502)-2),5)),0))</f>
        <v/>
      </c>
      <c r="D248" s="38" t="str">
        <f aca="false">IF(IFERROR(INDEX(Expenses!B$3:B$1002,SMALL(IF((Expenses!E$3:E$1002="GBP")*(Expenses!A$3:A$1002=DATE(2026,11,30)),ROW(Expenses!A$3:A$1002)-2),5)),"")&lt;&gt;"",IFERROR(INDEX(Expenses!B$3:B$1002,SMALL(IF((Expenses!E$3:E$1002="GBP")*(Expenses!A$3:A$1002=DATE(2026,11,30)),ROW(Expenses!A$3:A$1002)-2),5)),""),IF(IFERROR(INDEX(Income!B$3:B$502,SMALL(IF((Income!D$3:D$502="GBP")*(Income!A$3:A$502=DATE(2026,11,30)),ROW(Income!A$3:A$502)-2),5)),"")&lt;&gt;"",IFERROR(INDEX(Income!B$3:B$502,SMALL(IF((Income!D$3:D$502="GBP")*(Income!A$3:A$502=DATE(2026,11,30)),ROW(Income!A$3:A$502)-2),5)),""),""))</f>
        <v/>
      </c>
      <c r="E248" s="62" t="str">
        <f aca="false">IF(IFERROR(-INDEX(Expenses!D$3:D$1002,SMALL(IF((Expenses!E$3:E$1002="GBP")*(Expenses!A$3:A$1002=DATE(2026,12,1)),ROW(Expenses!A$3:A$1002)-2),5)),0)+IFERROR(INDEX(Income!C$3:C$502,SMALL(IF((Income!D$3:D$502="GBP")*(Income!A$3:A$502=DATE(2026,12,1)),ROW(Income!A$3:A$502)-2),5)),0)=0,"",IFERROR(-INDEX(Expenses!D$3:D$1002,SMALL(IF((Expenses!E$3:E$1002="GBP")*(Expenses!A$3:A$1002=DATE(2026,12,1)),ROW(Expenses!A$3:A$1002)-2),5)),0)+IFERROR(INDEX(Income!C$3:C$502,SMALL(IF((Income!D$3:D$502="GBP")*(Income!A$3:A$502=DATE(2026,12,1)),ROW(Income!A$3:A$502)-2),5)),0))</f>
        <v/>
      </c>
      <c r="F248" s="38" t="str">
        <f aca="false">IF(IFERROR(INDEX(Expenses!B$3:B$1002,SMALL(IF((Expenses!E$3:E$1002="GBP")*(Expenses!A$3:A$1002=DATE(2026,12,1)),ROW(Expenses!A$3:A$1002)-2),5)),"")&lt;&gt;"",IFERROR(INDEX(Expenses!B$3:B$1002,SMALL(IF((Expenses!E$3:E$1002="GBP")*(Expenses!A$3:A$1002=DATE(2026,12,1)),ROW(Expenses!A$3:A$1002)-2),5)),""),IF(IFERROR(INDEX(Income!B$3:B$502,SMALL(IF((Income!D$3:D$502="GBP")*(Income!A$3:A$502=DATE(2026,12,1)),ROW(Income!A$3:A$502)-2),5)),"")&lt;&gt;"",IFERROR(INDEX(Income!B$3:B$502,SMALL(IF((Income!D$3:D$502="GBP")*(Income!A$3:A$502=DATE(2026,12,1)),ROW(Income!A$3:A$502)-2),5)),""),""))</f>
        <v/>
      </c>
      <c r="G248" s="62" t="str">
        <f aca="false">IF(IFERROR(-INDEX(Expenses!D$3:D$1002,SMALL(IF((Expenses!E$3:E$1002="GBP")*(Expenses!A$3:A$1002=DATE(2026,12,2)),ROW(Expenses!A$3:A$1002)-2),5)),0)+IFERROR(INDEX(Income!C$3:C$502,SMALL(IF((Income!D$3:D$502="GBP")*(Income!A$3:A$502=DATE(2026,12,2)),ROW(Income!A$3:A$502)-2),5)),0)=0,"",IFERROR(-INDEX(Expenses!D$3:D$1002,SMALL(IF((Expenses!E$3:E$1002="GBP")*(Expenses!A$3:A$1002=DATE(2026,12,2)),ROW(Expenses!A$3:A$1002)-2),5)),0)+IFERROR(INDEX(Income!C$3:C$502,SMALL(IF((Income!D$3:D$502="GBP")*(Income!A$3:A$502=DATE(2026,12,2)),ROW(Income!A$3:A$502)-2),5)),0))</f>
        <v/>
      </c>
      <c r="H248" s="38" t="str">
        <f aca="false">IF(IFERROR(INDEX(Expenses!B$3:B$1002,SMALL(IF((Expenses!E$3:E$1002="GBP")*(Expenses!A$3:A$1002=DATE(2026,12,2)),ROW(Expenses!A$3:A$1002)-2),5)),"")&lt;&gt;"",IFERROR(INDEX(Expenses!B$3:B$1002,SMALL(IF((Expenses!E$3:E$1002="GBP")*(Expenses!A$3:A$1002=DATE(2026,12,2)),ROW(Expenses!A$3:A$1002)-2),5)),""),IF(IFERROR(INDEX(Income!B$3:B$502,SMALL(IF((Income!D$3:D$502="GBP")*(Income!A$3:A$502=DATE(2026,12,2)),ROW(Income!A$3:A$502)-2),5)),"")&lt;&gt;"",IFERROR(INDEX(Income!B$3:B$502,SMALL(IF((Income!D$3:D$502="GBP")*(Income!A$3:A$502=DATE(2026,12,2)),ROW(Income!A$3:A$502)-2),5)),""),""))</f>
        <v/>
      </c>
      <c r="I248" s="62" t="str">
        <f aca="false">IF(IFERROR(-INDEX(Expenses!D$3:D$1002,SMALL(IF((Expenses!E$3:E$1002="GBP")*(Expenses!A$3:A$1002=DATE(2026,12,3)),ROW(Expenses!A$3:A$1002)-2),5)),0)+IFERROR(INDEX(Income!C$3:C$502,SMALL(IF((Income!D$3:D$502="GBP")*(Income!A$3:A$502=DATE(2026,12,3)),ROW(Income!A$3:A$502)-2),5)),0)=0,"",IFERROR(-INDEX(Expenses!D$3:D$1002,SMALL(IF((Expenses!E$3:E$1002="GBP")*(Expenses!A$3:A$1002=DATE(2026,12,3)),ROW(Expenses!A$3:A$1002)-2),5)),0)+IFERROR(INDEX(Income!C$3:C$502,SMALL(IF((Income!D$3:D$502="GBP")*(Income!A$3:A$502=DATE(2026,12,3)),ROW(Income!A$3:A$502)-2),5)),0))</f>
        <v/>
      </c>
      <c r="J248" s="38" t="str">
        <f aca="false">IF(IFERROR(INDEX(Expenses!B$3:B$1002,SMALL(IF((Expenses!E$3:E$1002="GBP")*(Expenses!A$3:A$1002=DATE(2026,12,3)),ROW(Expenses!A$3:A$1002)-2),5)),"")&lt;&gt;"",IFERROR(INDEX(Expenses!B$3:B$1002,SMALL(IF((Expenses!E$3:E$1002="GBP")*(Expenses!A$3:A$1002=DATE(2026,12,3)),ROW(Expenses!A$3:A$1002)-2),5)),""),IF(IFERROR(INDEX(Income!B$3:B$502,SMALL(IF((Income!D$3:D$502="GBP")*(Income!A$3:A$502=DATE(2026,12,3)),ROW(Income!A$3:A$502)-2),5)),"")&lt;&gt;"",IFERROR(INDEX(Income!B$3:B$502,SMALL(IF((Income!D$3:D$502="GBP")*(Income!A$3:A$502=DATE(2026,12,3)),ROW(Income!A$3:A$502)-2),5)),""),""))</f>
        <v/>
      </c>
      <c r="K248" s="62" t="str">
        <f aca="false">IF(IFERROR(-INDEX(Expenses!D$3:D$1002,SMALL(IF((Expenses!E$3:E$1002="GBP")*(Expenses!A$3:A$1002=DATE(2026,12,4)),ROW(Expenses!A$3:A$1002)-2),5)),0)+IFERROR(INDEX(Income!C$3:C$502,SMALL(IF((Income!D$3:D$502="GBP")*(Income!A$3:A$502=DATE(2026,12,4)),ROW(Income!A$3:A$502)-2),5)),0)=0,"",IFERROR(-INDEX(Expenses!D$3:D$1002,SMALL(IF((Expenses!E$3:E$1002="GBP")*(Expenses!A$3:A$1002=DATE(2026,12,4)),ROW(Expenses!A$3:A$1002)-2),5)),0)+IFERROR(INDEX(Income!C$3:C$502,SMALL(IF((Income!D$3:D$502="GBP")*(Income!A$3:A$502=DATE(2026,12,4)),ROW(Income!A$3:A$502)-2),5)),0))</f>
        <v/>
      </c>
      <c r="L248" s="38" t="str">
        <f aca="false">IF(IFERROR(INDEX(Expenses!B$3:B$1002,SMALL(IF((Expenses!E$3:E$1002="GBP")*(Expenses!A$3:A$1002=DATE(2026,12,4)),ROW(Expenses!A$3:A$1002)-2),5)),"")&lt;&gt;"",IFERROR(INDEX(Expenses!B$3:B$1002,SMALL(IF((Expenses!E$3:E$1002="GBP")*(Expenses!A$3:A$1002=DATE(2026,12,4)),ROW(Expenses!A$3:A$1002)-2),5)),""),IF(IFERROR(INDEX(Income!B$3:B$502,SMALL(IF((Income!D$3:D$502="GBP")*(Income!A$3:A$502=DATE(2026,12,4)),ROW(Income!A$3:A$502)-2),5)),"")&lt;&gt;"",IFERROR(INDEX(Income!B$3:B$502,SMALL(IF((Income!D$3:D$502="GBP")*(Income!A$3:A$502=DATE(2026,12,4)),ROW(Income!A$3:A$502)-2),5)),""),""))</f>
        <v/>
      </c>
      <c r="M248" s="62" t="str">
        <f aca="false">IF(IFERROR(-INDEX(Expenses!D$3:D$1002,SMALL(IF((Expenses!E$3:E$1002="GBP")*(Expenses!A$3:A$1002=DATE(2026,12,5)),ROW(Expenses!A$3:A$1002)-2),5)),0)+IFERROR(INDEX(Income!C$3:C$502,SMALL(IF((Income!D$3:D$502="GBP")*(Income!A$3:A$502=DATE(2026,12,5)),ROW(Income!A$3:A$502)-2),5)),0)=0,"",IFERROR(-INDEX(Expenses!D$3:D$1002,SMALL(IF((Expenses!E$3:E$1002="GBP")*(Expenses!A$3:A$1002=DATE(2026,12,5)),ROW(Expenses!A$3:A$1002)-2),5)),0)+IFERROR(INDEX(Income!C$3:C$502,SMALL(IF((Income!D$3:D$502="GBP")*(Income!A$3:A$502=DATE(2026,12,5)),ROW(Income!A$3:A$502)-2),5)),0))</f>
        <v/>
      </c>
      <c r="N248" s="38" t="str">
        <f aca="false">IF(IFERROR(INDEX(Expenses!B$3:B$1002,SMALL(IF((Expenses!E$3:E$1002="GBP")*(Expenses!A$3:A$1002=DATE(2026,12,5)),ROW(Expenses!A$3:A$1002)-2),5)),"")&lt;&gt;"",IFERROR(INDEX(Expenses!B$3:B$1002,SMALL(IF((Expenses!E$3:E$1002="GBP")*(Expenses!A$3:A$1002=DATE(2026,12,5)),ROW(Expenses!A$3:A$1002)-2),5)),""),IF(IFERROR(INDEX(Income!B$3:B$502,SMALL(IF((Income!D$3:D$502="GBP")*(Income!A$3:A$502=DATE(2026,12,5)),ROW(Income!A$3:A$502)-2),5)),"")&lt;&gt;"",IFERROR(INDEX(Income!B$3:B$502,SMALL(IF((Income!D$3:D$502="GBP")*(Income!A$3:A$502=DATE(2026,12,5)),ROW(Income!A$3:A$502)-2),5)),""),""))</f>
        <v/>
      </c>
      <c r="O248" s="62" t="str">
        <f aca="false">IF(IFERROR(-INDEX(Expenses!D$3:D$1002,SMALL(IF((Expenses!E$3:E$1002="GBP")*(Expenses!A$3:A$1002=DATE(2026,12,6)),ROW(Expenses!A$3:A$1002)-2),5)),0)+IFERROR(INDEX(Income!C$3:C$502,SMALL(IF((Income!D$3:D$502="GBP")*(Income!A$3:A$502=DATE(2026,12,6)),ROW(Income!A$3:A$502)-2),5)),0)=0,"",IFERROR(-INDEX(Expenses!D$3:D$1002,SMALL(IF((Expenses!E$3:E$1002="GBP")*(Expenses!A$3:A$1002=DATE(2026,12,6)),ROW(Expenses!A$3:A$1002)-2),5)),0)+IFERROR(INDEX(Income!C$3:C$502,SMALL(IF((Income!D$3:D$502="GBP")*(Income!A$3:A$502=DATE(2026,12,6)),ROW(Income!A$3:A$502)-2),5)),0))</f>
        <v/>
      </c>
      <c r="P248" s="38" t="str">
        <f aca="false">IF(IFERROR(INDEX(Expenses!B$3:B$1002,SMALL(IF((Expenses!E$3:E$1002="GBP")*(Expenses!A$3:A$1002=DATE(2026,12,6)),ROW(Expenses!A$3:A$1002)-2),5)),"")&lt;&gt;"",IFERROR(INDEX(Expenses!B$3:B$1002,SMALL(IF((Expenses!E$3:E$1002="GBP")*(Expenses!A$3:A$1002=DATE(2026,12,6)),ROW(Expenses!A$3:A$1002)-2),5)),""),IF(IFERROR(INDEX(Income!B$3:B$502,SMALL(IF((Income!D$3:D$502="GBP")*(Income!A$3:A$502=DATE(2026,12,6)),ROW(Income!A$3:A$502)-2),5)),"")&lt;&gt;"",IFERROR(INDEX(Income!B$3:B$502,SMALL(IF((Income!D$3:D$502="GBP")*(Income!A$3:A$502=DATE(2026,12,6)),ROW(Income!A$3:A$502)-2),5)),""),""))</f>
        <v/>
      </c>
      <c r="Q248" s="16"/>
      <c r="R248" s="16"/>
    </row>
    <row r="249" customFormat="false" ht="15" hidden="false" customHeight="false" outlineLevel="0" collapsed="false">
      <c r="A249" s="61" t="n">
        <v>46363</v>
      </c>
      <c r="B249" s="3" t="n">
        <v>50</v>
      </c>
      <c r="C249" s="62" t="str">
        <f aca="false">IF(IFERROR(-INDEX(Expenses!D$3:D$1002,SMALL(IF((Expenses!E$3:E$1002="GBP")*(Expenses!A$3:A$1002=DATE(2026,12,7)),ROW(Expenses!A$3:A$1002)-2),1)),0)+IFERROR(INDEX(Income!C$3:C$502,SMALL(IF((Income!D$3:D$502="GBP")*(Income!A$3:A$502=DATE(2026,12,7)),ROW(Income!A$3:A$502)-2),1)),0)=0,"",IFERROR(-INDEX(Expenses!D$3:D$1002,SMALL(IF((Expenses!E$3:E$1002="GBP")*(Expenses!A$3:A$1002=DATE(2026,12,7)),ROW(Expenses!A$3:A$1002)-2),1)),0)+IFERROR(INDEX(Income!C$3:C$502,SMALL(IF((Income!D$3:D$502="GBP")*(Income!A$3:A$502=DATE(2026,12,7)),ROW(Income!A$3:A$502)-2),1)),0))</f>
        <v/>
      </c>
      <c r="D249" s="38" t="str">
        <f aca="false">IF(IFERROR(INDEX(Expenses!B$3:B$1002,SMALL(IF((Expenses!E$3:E$1002="GBP")*(Expenses!A$3:A$1002=DATE(2026,12,7)),ROW(Expenses!A$3:A$1002)-2),1)),"")&lt;&gt;"",IFERROR(INDEX(Expenses!B$3:B$1002,SMALL(IF((Expenses!E$3:E$1002="GBP")*(Expenses!A$3:A$1002=DATE(2026,12,7)),ROW(Expenses!A$3:A$1002)-2),1)),""),IF(IFERROR(INDEX(Income!B$3:B$502,SMALL(IF((Income!D$3:D$502="GBP")*(Income!A$3:A$502=DATE(2026,12,7)),ROW(Income!A$3:A$502)-2),1)),"")&lt;&gt;"",IFERROR(INDEX(Income!B$3:B$502,SMALL(IF((Income!D$3:D$502="GBP")*(Income!A$3:A$502=DATE(2026,12,7)),ROW(Income!A$3:A$502)-2),1)),""),""))</f>
        <v/>
      </c>
      <c r="E249" s="62" t="str">
        <f aca="false">IF(IFERROR(-INDEX(Expenses!D$3:D$1002,SMALL(IF((Expenses!E$3:E$1002="GBP")*(Expenses!A$3:A$1002=DATE(2026,12,8)),ROW(Expenses!A$3:A$1002)-2),1)),0)+IFERROR(INDEX(Income!C$3:C$502,SMALL(IF((Income!D$3:D$502="GBP")*(Income!A$3:A$502=DATE(2026,12,8)),ROW(Income!A$3:A$502)-2),1)),0)=0,"",IFERROR(-INDEX(Expenses!D$3:D$1002,SMALL(IF((Expenses!E$3:E$1002="GBP")*(Expenses!A$3:A$1002=DATE(2026,12,8)),ROW(Expenses!A$3:A$1002)-2),1)),0)+IFERROR(INDEX(Income!C$3:C$502,SMALL(IF((Income!D$3:D$502="GBP")*(Income!A$3:A$502=DATE(2026,12,8)),ROW(Income!A$3:A$502)-2),1)),0))</f>
        <v/>
      </c>
      <c r="F249" s="38" t="str">
        <f aca="false">IF(IFERROR(INDEX(Expenses!B$3:B$1002,SMALL(IF((Expenses!E$3:E$1002="GBP")*(Expenses!A$3:A$1002=DATE(2026,12,8)),ROW(Expenses!A$3:A$1002)-2),1)),"")&lt;&gt;"",IFERROR(INDEX(Expenses!B$3:B$1002,SMALL(IF((Expenses!E$3:E$1002="GBP")*(Expenses!A$3:A$1002=DATE(2026,12,8)),ROW(Expenses!A$3:A$1002)-2),1)),""),IF(IFERROR(INDEX(Income!B$3:B$502,SMALL(IF((Income!D$3:D$502="GBP")*(Income!A$3:A$502=DATE(2026,12,8)),ROW(Income!A$3:A$502)-2),1)),"")&lt;&gt;"",IFERROR(INDEX(Income!B$3:B$502,SMALL(IF((Income!D$3:D$502="GBP")*(Income!A$3:A$502=DATE(2026,12,8)),ROW(Income!A$3:A$502)-2),1)),""),""))</f>
        <v/>
      </c>
      <c r="G249" s="62" t="str">
        <f aca="false">IF(IFERROR(-INDEX(Expenses!D$3:D$1002,SMALL(IF((Expenses!E$3:E$1002="GBP")*(Expenses!A$3:A$1002=DATE(2026,12,9)),ROW(Expenses!A$3:A$1002)-2),1)),0)+IFERROR(INDEX(Income!C$3:C$502,SMALL(IF((Income!D$3:D$502="GBP")*(Income!A$3:A$502=DATE(2026,12,9)),ROW(Income!A$3:A$502)-2),1)),0)=0,"",IFERROR(-INDEX(Expenses!D$3:D$1002,SMALL(IF((Expenses!E$3:E$1002="GBP")*(Expenses!A$3:A$1002=DATE(2026,12,9)),ROW(Expenses!A$3:A$1002)-2),1)),0)+IFERROR(INDEX(Income!C$3:C$502,SMALL(IF((Income!D$3:D$502="GBP")*(Income!A$3:A$502=DATE(2026,12,9)),ROW(Income!A$3:A$502)-2),1)),0))</f>
        <v/>
      </c>
      <c r="H249" s="38" t="str">
        <f aca="false">IF(IFERROR(INDEX(Expenses!B$3:B$1002,SMALL(IF((Expenses!E$3:E$1002="GBP")*(Expenses!A$3:A$1002=DATE(2026,12,9)),ROW(Expenses!A$3:A$1002)-2),1)),"")&lt;&gt;"",IFERROR(INDEX(Expenses!B$3:B$1002,SMALL(IF((Expenses!E$3:E$1002="GBP")*(Expenses!A$3:A$1002=DATE(2026,12,9)),ROW(Expenses!A$3:A$1002)-2),1)),""),IF(IFERROR(INDEX(Income!B$3:B$502,SMALL(IF((Income!D$3:D$502="GBP")*(Income!A$3:A$502=DATE(2026,12,9)),ROW(Income!A$3:A$502)-2),1)),"")&lt;&gt;"",IFERROR(INDEX(Income!B$3:B$502,SMALL(IF((Income!D$3:D$502="GBP")*(Income!A$3:A$502=DATE(2026,12,9)),ROW(Income!A$3:A$502)-2),1)),""),""))</f>
        <v/>
      </c>
      <c r="I249" s="62" t="str">
        <f aca="false">IF(IFERROR(-INDEX(Expenses!D$3:D$1002,SMALL(IF((Expenses!E$3:E$1002="GBP")*(Expenses!A$3:A$1002=DATE(2026,12,10)),ROW(Expenses!A$3:A$1002)-2),1)),0)+IFERROR(INDEX(Income!C$3:C$502,SMALL(IF((Income!D$3:D$502="GBP")*(Income!A$3:A$502=DATE(2026,12,10)),ROW(Income!A$3:A$502)-2),1)),0)=0,"",IFERROR(-INDEX(Expenses!D$3:D$1002,SMALL(IF((Expenses!E$3:E$1002="GBP")*(Expenses!A$3:A$1002=DATE(2026,12,10)),ROW(Expenses!A$3:A$1002)-2),1)),0)+IFERROR(INDEX(Income!C$3:C$502,SMALL(IF((Income!D$3:D$502="GBP")*(Income!A$3:A$502=DATE(2026,12,10)),ROW(Income!A$3:A$502)-2),1)),0))</f>
        <v/>
      </c>
      <c r="J249" s="38" t="str">
        <f aca="false">IF(IFERROR(INDEX(Expenses!B$3:B$1002,SMALL(IF((Expenses!E$3:E$1002="GBP")*(Expenses!A$3:A$1002=DATE(2026,12,10)),ROW(Expenses!A$3:A$1002)-2),1)),"")&lt;&gt;"",IFERROR(INDEX(Expenses!B$3:B$1002,SMALL(IF((Expenses!E$3:E$1002="GBP")*(Expenses!A$3:A$1002=DATE(2026,12,10)),ROW(Expenses!A$3:A$1002)-2),1)),""),IF(IFERROR(INDEX(Income!B$3:B$502,SMALL(IF((Income!D$3:D$502="GBP")*(Income!A$3:A$502=DATE(2026,12,10)),ROW(Income!A$3:A$502)-2),1)),"")&lt;&gt;"",IFERROR(INDEX(Income!B$3:B$502,SMALL(IF((Income!D$3:D$502="GBP")*(Income!A$3:A$502=DATE(2026,12,10)),ROW(Income!A$3:A$502)-2),1)),""),""))</f>
        <v/>
      </c>
      <c r="K249" s="62" t="str">
        <f aca="false">IF(IFERROR(-INDEX(Expenses!D$3:D$1002,SMALL(IF((Expenses!E$3:E$1002="GBP")*(Expenses!A$3:A$1002=DATE(2026,12,11)),ROW(Expenses!A$3:A$1002)-2),1)),0)+IFERROR(INDEX(Income!C$3:C$502,SMALL(IF((Income!D$3:D$502="GBP")*(Income!A$3:A$502=DATE(2026,12,11)),ROW(Income!A$3:A$502)-2),1)),0)=0,"",IFERROR(-INDEX(Expenses!D$3:D$1002,SMALL(IF((Expenses!E$3:E$1002="GBP")*(Expenses!A$3:A$1002=DATE(2026,12,11)),ROW(Expenses!A$3:A$1002)-2),1)),0)+IFERROR(INDEX(Income!C$3:C$502,SMALL(IF((Income!D$3:D$502="GBP")*(Income!A$3:A$502=DATE(2026,12,11)),ROW(Income!A$3:A$502)-2),1)),0))</f>
        <v/>
      </c>
      <c r="L249" s="38" t="str">
        <f aca="false">IF(IFERROR(INDEX(Expenses!B$3:B$1002,SMALL(IF((Expenses!E$3:E$1002="GBP")*(Expenses!A$3:A$1002=DATE(2026,12,11)),ROW(Expenses!A$3:A$1002)-2),1)),"")&lt;&gt;"",IFERROR(INDEX(Expenses!B$3:B$1002,SMALL(IF((Expenses!E$3:E$1002="GBP")*(Expenses!A$3:A$1002=DATE(2026,12,11)),ROW(Expenses!A$3:A$1002)-2),1)),""),IF(IFERROR(INDEX(Income!B$3:B$502,SMALL(IF((Income!D$3:D$502="GBP")*(Income!A$3:A$502=DATE(2026,12,11)),ROW(Income!A$3:A$502)-2),1)),"")&lt;&gt;"",IFERROR(INDEX(Income!B$3:B$502,SMALL(IF((Income!D$3:D$502="GBP")*(Income!A$3:A$502=DATE(2026,12,11)),ROW(Income!A$3:A$502)-2),1)),""),""))</f>
        <v/>
      </c>
      <c r="M249" s="62" t="str">
        <f aca="false">IF(IFERROR(-INDEX(Expenses!D$3:D$1002,SMALL(IF((Expenses!E$3:E$1002="GBP")*(Expenses!A$3:A$1002=DATE(2026,12,12)),ROW(Expenses!A$3:A$1002)-2),1)),0)+IFERROR(INDEX(Income!C$3:C$502,SMALL(IF((Income!D$3:D$502="GBP")*(Income!A$3:A$502=DATE(2026,12,12)),ROW(Income!A$3:A$502)-2),1)),0)=0,"",IFERROR(-INDEX(Expenses!D$3:D$1002,SMALL(IF((Expenses!E$3:E$1002="GBP")*(Expenses!A$3:A$1002=DATE(2026,12,12)),ROW(Expenses!A$3:A$1002)-2),1)),0)+IFERROR(INDEX(Income!C$3:C$502,SMALL(IF((Income!D$3:D$502="GBP")*(Income!A$3:A$502=DATE(2026,12,12)),ROW(Income!A$3:A$502)-2),1)),0))</f>
        <v/>
      </c>
      <c r="N249" s="38" t="str">
        <f aca="false">IF(IFERROR(INDEX(Expenses!B$3:B$1002,SMALL(IF((Expenses!E$3:E$1002="GBP")*(Expenses!A$3:A$1002=DATE(2026,12,12)),ROW(Expenses!A$3:A$1002)-2),1)),"")&lt;&gt;"",IFERROR(INDEX(Expenses!B$3:B$1002,SMALL(IF((Expenses!E$3:E$1002="GBP")*(Expenses!A$3:A$1002=DATE(2026,12,12)),ROW(Expenses!A$3:A$1002)-2),1)),""),IF(IFERROR(INDEX(Income!B$3:B$502,SMALL(IF((Income!D$3:D$502="GBP")*(Income!A$3:A$502=DATE(2026,12,12)),ROW(Income!A$3:A$502)-2),1)),"")&lt;&gt;"",IFERROR(INDEX(Income!B$3:B$502,SMALL(IF((Income!D$3:D$502="GBP")*(Income!A$3:A$502=DATE(2026,12,12)),ROW(Income!A$3:A$502)-2),1)),""),""))</f>
        <v/>
      </c>
      <c r="O249" s="62" t="str">
        <f aca="false">IF(IFERROR(-INDEX(Expenses!D$3:D$1002,SMALL(IF((Expenses!E$3:E$1002="GBP")*(Expenses!A$3:A$1002=DATE(2026,12,13)),ROW(Expenses!A$3:A$1002)-2),1)),0)+IFERROR(INDEX(Income!C$3:C$502,SMALL(IF((Income!D$3:D$502="GBP")*(Income!A$3:A$502=DATE(2026,12,13)),ROW(Income!A$3:A$502)-2),1)),0)=0,"",IFERROR(-INDEX(Expenses!D$3:D$1002,SMALL(IF((Expenses!E$3:E$1002="GBP")*(Expenses!A$3:A$1002=DATE(2026,12,13)),ROW(Expenses!A$3:A$1002)-2),1)),0)+IFERROR(INDEX(Income!C$3:C$502,SMALL(IF((Income!D$3:D$502="GBP")*(Income!A$3:A$502=DATE(2026,12,13)),ROW(Income!A$3:A$502)-2),1)),0))</f>
        <v/>
      </c>
      <c r="P249" s="38" t="str">
        <f aca="false">IF(IFERROR(INDEX(Expenses!B$3:B$1002,SMALL(IF((Expenses!E$3:E$1002="GBP")*(Expenses!A$3:A$1002=DATE(2026,12,13)),ROW(Expenses!A$3:A$1002)-2),1)),"")&lt;&gt;"",IFERROR(INDEX(Expenses!B$3:B$1002,SMALL(IF((Expenses!E$3:E$1002="GBP")*(Expenses!A$3:A$1002=DATE(2026,12,13)),ROW(Expenses!A$3:A$1002)-2),1)),""),IF(IFERROR(INDEX(Income!B$3:B$502,SMALL(IF((Income!D$3:D$502="GBP")*(Income!A$3:A$502=DATE(2026,12,13)),ROW(Income!A$3:A$502)-2),1)),"")&lt;&gt;"",IFERROR(INDEX(Income!B$3:B$502,SMALL(IF((Income!D$3:D$502="GBP")*(Income!A$3:A$502=DATE(2026,12,13)),ROW(Income!A$3:A$502)-2),1)),""),""))</f>
        <v/>
      </c>
      <c r="Q249" s="3" t="n">
        <v>50</v>
      </c>
      <c r="R249" s="45" t="n">
        <f aca="false">SUM(C249:C253)+SUM(E249:E253)+SUM(G249:G253)+SUM(I249:I253)+SUM(K249:K253)+SUM(M249:M253)+SUM(O249:O253)</f>
        <v>0</v>
      </c>
    </row>
    <row r="250" customFormat="false" ht="15" hidden="false" customHeight="false" outlineLevel="0" collapsed="false">
      <c r="A250" s="16"/>
      <c r="B250" s="16"/>
      <c r="C250" s="62" t="str">
        <f aca="false">IF(IFERROR(-INDEX(Expenses!D$3:D$1002,SMALL(IF((Expenses!E$3:E$1002="GBP")*(Expenses!A$3:A$1002=DATE(2026,12,7)),ROW(Expenses!A$3:A$1002)-2),2)),0)+IFERROR(INDEX(Income!C$3:C$502,SMALL(IF((Income!D$3:D$502="GBP")*(Income!A$3:A$502=DATE(2026,12,7)),ROW(Income!A$3:A$502)-2),2)),0)=0,"",IFERROR(-INDEX(Expenses!D$3:D$1002,SMALL(IF((Expenses!E$3:E$1002="GBP")*(Expenses!A$3:A$1002=DATE(2026,12,7)),ROW(Expenses!A$3:A$1002)-2),2)),0)+IFERROR(INDEX(Income!C$3:C$502,SMALL(IF((Income!D$3:D$502="GBP")*(Income!A$3:A$502=DATE(2026,12,7)),ROW(Income!A$3:A$502)-2),2)),0))</f>
        <v/>
      </c>
      <c r="D250" s="38" t="str">
        <f aca="false">IF(IFERROR(INDEX(Expenses!B$3:B$1002,SMALL(IF((Expenses!E$3:E$1002="GBP")*(Expenses!A$3:A$1002=DATE(2026,12,7)),ROW(Expenses!A$3:A$1002)-2),2)),"")&lt;&gt;"",IFERROR(INDEX(Expenses!B$3:B$1002,SMALL(IF((Expenses!E$3:E$1002="GBP")*(Expenses!A$3:A$1002=DATE(2026,12,7)),ROW(Expenses!A$3:A$1002)-2),2)),""),IF(IFERROR(INDEX(Income!B$3:B$502,SMALL(IF((Income!D$3:D$502="GBP")*(Income!A$3:A$502=DATE(2026,12,7)),ROW(Income!A$3:A$502)-2),2)),"")&lt;&gt;"",IFERROR(INDEX(Income!B$3:B$502,SMALL(IF((Income!D$3:D$502="GBP")*(Income!A$3:A$502=DATE(2026,12,7)),ROW(Income!A$3:A$502)-2),2)),""),""))</f>
        <v/>
      </c>
      <c r="E250" s="62" t="str">
        <f aca="false">IF(IFERROR(-INDEX(Expenses!D$3:D$1002,SMALL(IF((Expenses!E$3:E$1002="GBP")*(Expenses!A$3:A$1002=DATE(2026,12,8)),ROW(Expenses!A$3:A$1002)-2),2)),0)+IFERROR(INDEX(Income!C$3:C$502,SMALL(IF((Income!D$3:D$502="GBP")*(Income!A$3:A$502=DATE(2026,12,8)),ROW(Income!A$3:A$502)-2),2)),0)=0,"",IFERROR(-INDEX(Expenses!D$3:D$1002,SMALL(IF((Expenses!E$3:E$1002="GBP")*(Expenses!A$3:A$1002=DATE(2026,12,8)),ROW(Expenses!A$3:A$1002)-2),2)),0)+IFERROR(INDEX(Income!C$3:C$502,SMALL(IF((Income!D$3:D$502="GBP")*(Income!A$3:A$502=DATE(2026,12,8)),ROW(Income!A$3:A$502)-2),2)),0))</f>
        <v/>
      </c>
      <c r="F250" s="38" t="str">
        <f aca="false">IF(IFERROR(INDEX(Expenses!B$3:B$1002,SMALL(IF((Expenses!E$3:E$1002="GBP")*(Expenses!A$3:A$1002=DATE(2026,12,8)),ROW(Expenses!A$3:A$1002)-2),2)),"")&lt;&gt;"",IFERROR(INDEX(Expenses!B$3:B$1002,SMALL(IF((Expenses!E$3:E$1002="GBP")*(Expenses!A$3:A$1002=DATE(2026,12,8)),ROW(Expenses!A$3:A$1002)-2),2)),""),IF(IFERROR(INDEX(Income!B$3:B$502,SMALL(IF((Income!D$3:D$502="GBP")*(Income!A$3:A$502=DATE(2026,12,8)),ROW(Income!A$3:A$502)-2),2)),"")&lt;&gt;"",IFERROR(INDEX(Income!B$3:B$502,SMALL(IF((Income!D$3:D$502="GBP")*(Income!A$3:A$502=DATE(2026,12,8)),ROW(Income!A$3:A$502)-2),2)),""),""))</f>
        <v/>
      </c>
      <c r="G250" s="62" t="str">
        <f aca="false">IF(IFERROR(-INDEX(Expenses!D$3:D$1002,SMALL(IF((Expenses!E$3:E$1002="GBP")*(Expenses!A$3:A$1002=DATE(2026,12,9)),ROW(Expenses!A$3:A$1002)-2),2)),0)+IFERROR(INDEX(Income!C$3:C$502,SMALL(IF((Income!D$3:D$502="GBP")*(Income!A$3:A$502=DATE(2026,12,9)),ROW(Income!A$3:A$502)-2),2)),0)=0,"",IFERROR(-INDEX(Expenses!D$3:D$1002,SMALL(IF((Expenses!E$3:E$1002="GBP")*(Expenses!A$3:A$1002=DATE(2026,12,9)),ROW(Expenses!A$3:A$1002)-2),2)),0)+IFERROR(INDEX(Income!C$3:C$502,SMALL(IF((Income!D$3:D$502="GBP")*(Income!A$3:A$502=DATE(2026,12,9)),ROW(Income!A$3:A$502)-2),2)),0))</f>
        <v/>
      </c>
      <c r="H250" s="38" t="str">
        <f aca="false">IF(IFERROR(INDEX(Expenses!B$3:B$1002,SMALL(IF((Expenses!E$3:E$1002="GBP")*(Expenses!A$3:A$1002=DATE(2026,12,9)),ROW(Expenses!A$3:A$1002)-2),2)),"")&lt;&gt;"",IFERROR(INDEX(Expenses!B$3:B$1002,SMALL(IF((Expenses!E$3:E$1002="GBP")*(Expenses!A$3:A$1002=DATE(2026,12,9)),ROW(Expenses!A$3:A$1002)-2),2)),""),IF(IFERROR(INDEX(Income!B$3:B$502,SMALL(IF((Income!D$3:D$502="GBP")*(Income!A$3:A$502=DATE(2026,12,9)),ROW(Income!A$3:A$502)-2),2)),"")&lt;&gt;"",IFERROR(INDEX(Income!B$3:B$502,SMALL(IF((Income!D$3:D$502="GBP")*(Income!A$3:A$502=DATE(2026,12,9)),ROW(Income!A$3:A$502)-2),2)),""),""))</f>
        <v/>
      </c>
      <c r="I250" s="62" t="str">
        <f aca="false">IF(IFERROR(-INDEX(Expenses!D$3:D$1002,SMALL(IF((Expenses!E$3:E$1002="GBP")*(Expenses!A$3:A$1002=DATE(2026,12,10)),ROW(Expenses!A$3:A$1002)-2),2)),0)+IFERROR(INDEX(Income!C$3:C$502,SMALL(IF((Income!D$3:D$502="GBP")*(Income!A$3:A$502=DATE(2026,12,10)),ROW(Income!A$3:A$502)-2),2)),0)=0,"",IFERROR(-INDEX(Expenses!D$3:D$1002,SMALL(IF((Expenses!E$3:E$1002="GBP")*(Expenses!A$3:A$1002=DATE(2026,12,10)),ROW(Expenses!A$3:A$1002)-2),2)),0)+IFERROR(INDEX(Income!C$3:C$502,SMALL(IF((Income!D$3:D$502="GBP")*(Income!A$3:A$502=DATE(2026,12,10)),ROW(Income!A$3:A$502)-2),2)),0))</f>
        <v/>
      </c>
      <c r="J250" s="38" t="str">
        <f aca="false">IF(IFERROR(INDEX(Expenses!B$3:B$1002,SMALL(IF((Expenses!E$3:E$1002="GBP")*(Expenses!A$3:A$1002=DATE(2026,12,10)),ROW(Expenses!A$3:A$1002)-2),2)),"")&lt;&gt;"",IFERROR(INDEX(Expenses!B$3:B$1002,SMALL(IF((Expenses!E$3:E$1002="GBP")*(Expenses!A$3:A$1002=DATE(2026,12,10)),ROW(Expenses!A$3:A$1002)-2),2)),""),IF(IFERROR(INDEX(Income!B$3:B$502,SMALL(IF((Income!D$3:D$502="GBP")*(Income!A$3:A$502=DATE(2026,12,10)),ROW(Income!A$3:A$502)-2),2)),"")&lt;&gt;"",IFERROR(INDEX(Income!B$3:B$502,SMALL(IF((Income!D$3:D$502="GBP")*(Income!A$3:A$502=DATE(2026,12,10)),ROW(Income!A$3:A$502)-2),2)),""),""))</f>
        <v/>
      </c>
      <c r="K250" s="62" t="str">
        <f aca="false">IF(IFERROR(-INDEX(Expenses!D$3:D$1002,SMALL(IF((Expenses!E$3:E$1002="GBP")*(Expenses!A$3:A$1002=DATE(2026,12,11)),ROW(Expenses!A$3:A$1002)-2),2)),0)+IFERROR(INDEX(Income!C$3:C$502,SMALL(IF((Income!D$3:D$502="GBP")*(Income!A$3:A$502=DATE(2026,12,11)),ROW(Income!A$3:A$502)-2),2)),0)=0,"",IFERROR(-INDEX(Expenses!D$3:D$1002,SMALL(IF((Expenses!E$3:E$1002="GBP")*(Expenses!A$3:A$1002=DATE(2026,12,11)),ROW(Expenses!A$3:A$1002)-2),2)),0)+IFERROR(INDEX(Income!C$3:C$502,SMALL(IF((Income!D$3:D$502="GBP")*(Income!A$3:A$502=DATE(2026,12,11)),ROW(Income!A$3:A$502)-2),2)),0))</f>
        <v/>
      </c>
      <c r="L250" s="38" t="str">
        <f aca="false">IF(IFERROR(INDEX(Expenses!B$3:B$1002,SMALL(IF((Expenses!E$3:E$1002="GBP")*(Expenses!A$3:A$1002=DATE(2026,12,11)),ROW(Expenses!A$3:A$1002)-2),2)),"")&lt;&gt;"",IFERROR(INDEX(Expenses!B$3:B$1002,SMALL(IF((Expenses!E$3:E$1002="GBP")*(Expenses!A$3:A$1002=DATE(2026,12,11)),ROW(Expenses!A$3:A$1002)-2),2)),""),IF(IFERROR(INDEX(Income!B$3:B$502,SMALL(IF((Income!D$3:D$502="GBP")*(Income!A$3:A$502=DATE(2026,12,11)),ROW(Income!A$3:A$502)-2),2)),"")&lt;&gt;"",IFERROR(INDEX(Income!B$3:B$502,SMALL(IF((Income!D$3:D$502="GBP")*(Income!A$3:A$502=DATE(2026,12,11)),ROW(Income!A$3:A$502)-2),2)),""),""))</f>
        <v/>
      </c>
      <c r="M250" s="62" t="str">
        <f aca="false">IF(IFERROR(-INDEX(Expenses!D$3:D$1002,SMALL(IF((Expenses!E$3:E$1002="GBP")*(Expenses!A$3:A$1002=DATE(2026,12,12)),ROW(Expenses!A$3:A$1002)-2),2)),0)+IFERROR(INDEX(Income!C$3:C$502,SMALL(IF((Income!D$3:D$502="GBP")*(Income!A$3:A$502=DATE(2026,12,12)),ROW(Income!A$3:A$502)-2),2)),0)=0,"",IFERROR(-INDEX(Expenses!D$3:D$1002,SMALL(IF((Expenses!E$3:E$1002="GBP")*(Expenses!A$3:A$1002=DATE(2026,12,12)),ROW(Expenses!A$3:A$1002)-2),2)),0)+IFERROR(INDEX(Income!C$3:C$502,SMALL(IF((Income!D$3:D$502="GBP")*(Income!A$3:A$502=DATE(2026,12,12)),ROW(Income!A$3:A$502)-2),2)),0))</f>
        <v/>
      </c>
      <c r="N250" s="38" t="str">
        <f aca="false">IF(IFERROR(INDEX(Expenses!B$3:B$1002,SMALL(IF((Expenses!E$3:E$1002="GBP")*(Expenses!A$3:A$1002=DATE(2026,12,12)),ROW(Expenses!A$3:A$1002)-2),2)),"")&lt;&gt;"",IFERROR(INDEX(Expenses!B$3:B$1002,SMALL(IF((Expenses!E$3:E$1002="GBP")*(Expenses!A$3:A$1002=DATE(2026,12,12)),ROW(Expenses!A$3:A$1002)-2),2)),""),IF(IFERROR(INDEX(Income!B$3:B$502,SMALL(IF((Income!D$3:D$502="GBP")*(Income!A$3:A$502=DATE(2026,12,12)),ROW(Income!A$3:A$502)-2),2)),"")&lt;&gt;"",IFERROR(INDEX(Income!B$3:B$502,SMALL(IF((Income!D$3:D$502="GBP")*(Income!A$3:A$502=DATE(2026,12,12)),ROW(Income!A$3:A$502)-2),2)),""),""))</f>
        <v/>
      </c>
      <c r="O250" s="62" t="str">
        <f aca="false">IF(IFERROR(-INDEX(Expenses!D$3:D$1002,SMALL(IF((Expenses!E$3:E$1002="GBP")*(Expenses!A$3:A$1002=DATE(2026,12,13)),ROW(Expenses!A$3:A$1002)-2),2)),0)+IFERROR(INDEX(Income!C$3:C$502,SMALL(IF((Income!D$3:D$502="GBP")*(Income!A$3:A$502=DATE(2026,12,13)),ROW(Income!A$3:A$502)-2),2)),0)=0,"",IFERROR(-INDEX(Expenses!D$3:D$1002,SMALL(IF((Expenses!E$3:E$1002="GBP")*(Expenses!A$3:A$1002=DATE(2026,12,13)),ROW(Expenses!A$3:A$1002)-2),2)),0)+IFERROR(INDEX(Income!C$3:C$502,SMALL(IF((Income!D$3:D$502="GBP")*(Income!A$3:A$502=DATE(2026,12,13)),ROW(Income!A$3:A$502)-2),2)),0))</f>
        <v/>
      </c>
      <c r="P250" s="38" t="str">
        <f aca="false">IF(IFERROR(INDEX(Expenses!B$3:B$1002,SMALL(IF((Expenses!E$3:E$1002="GBP")*(Expenses!A$3:A$1002=DATE(2026,12,13)),ROW(Expenses!A$3:A$1002)-2),2)),"")&lt;&gt;"",IFERROR(INDEX(Expenses!B$3:B$1002,SMALL(IF((Expenses!E$3:E$1002="GBP")*(Expenses!A$3:A$1002=DATE(2026,12,13)),ROW(Expenses!A$3:A$1002)-2),2)),""),IF(IFERROR(INDEX(Income!B$3:B$502,SMALL(IF((Income!D$3:D$502="GBP")*(Income!A$3:A$502=DATE(2026,12,13)),ROW(Income!A$3:A$502)-2),2)),"")&lt;&gt;"",IFERROR(INDEX(Income!B$3:B$502,SMALL(IF((Income!D$3:D$502="GBP")*(Income!A$3:A$502=DATE(2026,12,13)),ROW(Income!A$3:A$502)-2),2)),""),""))</f>
        <v/>
      </c>
      <c r="Q250" s="16"/>
      <c r="R250" s="16"/>
    </row>
    <row r="251" customFormat="false" ht="15" hidden="false" customHeight="false" outlineLevel="0" collapsed="false">
      <c r="A251" s="16"/>
      <c r="B251" s="16"/>
      <c r="C251" s="62" t="str">
        <f aca="false">IF(IFERROR(-INDEX(Expenses!D$3:D$1002,SMALL(IF((Expenses!E$3:E$1002="GBP")*(Expenses!A$3:A$1002=DATE(2026,12,7)),ROW(Expenses!A$3:A$1002)-2),3)),0)+IFERROR(INDEX(Income!C$3:C$502,SMALL(IF((Income!D$3:D$502="GBP")*(Income!A$3:A$502=DATE(2026,12,7)),ROW(Income!A$3:A$502)-2),3)),0)=0,"",IFERROR(-INDEX(Expenses!D$3:D$1002,SMALL(IF((Expenses!E$3:E$1002="GBP")*(Expenses!A$3:A$1002=DATE(2026,12,7)),ROW(Expenses!A$3:A$1002)-2),3)),0)+IFERROR(INDEX(Income!C$3:C$502,SMALL(IF((Income!D$3:D$502="GBP")*(Income!A$3:A$502=DATE(2026,12,7)),ROW(Income!A$3:A$502)-2),3)),0))</f>
        <v/>
      </c>
      <c r="D251" s="38" t="str">
        <f aca="false">IF(IFERROR(INDEX(Expenses!B$3:B$1002,SMALL(IF((Expenses!E$3:E$1002="GBP")*(Expenses!A$3:A$1002=DATE(2026,12,7)),ROW(Expenses!A$3:A$1002)-2),3)),"")&lt;&gt;"",IFERROR(INDEX(Expenses!B$3:B$1002,SMALL(IF((Expenses!E$3:E$1002="GBP")*(Expenses!A$3:A$1002=DATE(2026,12,7)),ROW(Expenses!A$3:A$1002)-2),3)),""),IF(IFERROR(INDEX(Income!B$3:B$502,SMALL(IF((Income!D$3:D$502="GBP")*(Income!A$3:A$502=DATE(2026,12,7)),ROW(Income!A$3:A$502)-2),3)),"")&lt;&gt;"",IFERROR(INDEX(Income!B$3:B$502,SMALL(IF((Income!D$3:D$502="GBP")*(Income!A$3:A$502=DATE(2026,12,7)),ROW(Income!A$3:A$502)-2),3)),""),""))</f>
        <v/>
      </c>
      <c r="E251" s="62" t="str">
        <f aca="false">IF(IFERROR(-INDEX(Expenses!D$3:D$1002,SMALL(IF((Expenses!E$3:E$1002="GBP")*(Expenses!A$3:A$1002=DATE(2026,12,8)),ROW(Expenses!A$3:A$1002)-2),3)),0)+IFERROR(INDEX(Income!C$3:C$502,SMALL(IF((Income!D$3:D$502="GBP")*(Income!A$3:A$502=DATE(2026,12,8)),ROW(Income!A$3:A$502)-2),3)),0)=0,"",IFERROR(-INDEX(Expenses!D$3:D$1002,SMALL(IF((Expenses!E$3:E$1002="GBP")*(Expenses!A$3:A$1002=DATE(2026,12,8)),ROW(Expenses!A$3:A$1002)-2),3)),0)+IFERROR(INDEX(Income!C$3:C$502,SMALL(IF((Income!D$3:D$502="GBP")*(Income!A$3:A$502=DATE(2026,12,8)),ROW(Income!A$3:A$502)-2),3)),0))</f>
        <v/>
      </c>
      <c r="F251" s="38" t="str">
        <f aca="false">IF(IFERROR(INDEX(Expenses!B$3:B$1002,SMALL(IF((Expenses!E$3:E$1002="GBP")*(Expenses!A$3:A$1002=DATE(2026,12,8)),ROW(Expenses!A$3:A$1002)-2),3)),"")&lt;&gt;"",IFERROR(INDEX(Expenses!B$3:B$1002,SMALL(IF((Expenses!E$3:E$1002="GBP")*(Expenses!A$3:A$1002=DATE(2026,12,8)),ROW(Expenses!A$3:A$1002)-2),3)),""),IF(IFERROR(INDEX(Income!B$3:B$502,SMALL(IF((Income!D$3:D$502="GBP")*(Income!A$3:A$502=DATE(2026,12,8)),ROW(Income!A$3:A$502)-2),3)),"")&lt;&gt;"",IFERROR(INDEX(Income!B$3:B$502,SMALL(IF((Income!D$3:D$502="GBP")*(Income!A$3:A$502=DATE(2026,12,8)),ROW(Income!A$3:A$502)-2),3)),""),""))</f>
        <v/>
      </c>
      <c r="G251" s="62" t="str">
        <f aca="false">IF(IFERROR(-INDEX(Expenses!D$3:D$1002,SMALL(IF((Expenses!E$3:E$1002="GBP")*(Expenses!A$3:A$1002=DATE(2026,12,9)),ROW(Expenses!A$3:A$1002)-2),3)),0)+IFERROR(INDEX(Income!C$3:C$502,SMALL(IF((Income!D$3:D$502="GBP")*(Income!A$3:A$502=DATE(2026,12,9)),ROW(Income!A$3:A$502)-2),3)),0)=0,"",IFERROR(-INDEX(Expenses!D$3:D$1002,SMALL(IF((Expenses!E$3:E$1002="GBP")*(Expenses!A$3:A$1002=DATE(2026,12,9)),ROW(Expenses!A$3:A$1002)-2),3)),0)+IFERROR(INDEX(Income!C$3:C$502,SMALL(IF((Income!D$3:D$502="GBP")*(Income!A$3:A$502=DATE(2026,12,9)),ROW(Income!A$3:A$502)-2),3)),0))</f>
        <v/>
      </c>
      <c r="H251" s="38" t="str">
        <f aca="false">IF(IFERROR(INDEX(Expenses!B$3:B$1002,SMALL(IF((Expenses!E$3:E$1002="GBP")*(Expenses!A$3:A$1002=DATE(2026,12,9)),ROW(Expenses!A$3:A$1002)-2),3)),"")&lt;&gt;"",IFERROR(INDEX(Expenses!B$3:B$1002,SMALL(IF((Expenses!E$3:E$1002="GBP")*(Expenses!A$3:A$1002=DATE(2026,12,9)),ROW(Expenses!A$3:A$1002)-2),3)),""),IF(IFERROR(INDEX(Income!B$3:B$502,SMALL(IF((Income!D$3:D$502="GBP")*(Income!A$3:A$502=DATE(2026,12,9)),ROW(Income!A$3:A$502)-2),3)),"")&lt;&gt;"",IFERROR(INDEX(Income!B$3:B$502,SMALL(IF((Income!D$3:D$502="GBP")*(Income!A$3:A$502=DATE(2026,12,9)),ROW(Income!A$3:A$502)-2),3)),""),""))</f>
        <v/>
      </c>
      <c r="I251" s="62" t="str">
        <f aca="false">IF(IFERROR(-INDEX(Expenses!D$3:D$1002,SMALL(IF((Expenses!E$3:E$1002="GBP")*(Expenses!A$3:A$1002=DATE(2026,12,10)),ROW(Expenses!A$3:A$1002)-2),3)),0)+IFERROR(INDEX(Income!C$3:C$502,SMALL(IF((Income!D$3:D$502="GBP")*(Income!A$3:A$502=DATE(2026,12,10)),ROW(Income!A$3:A$502)-2),3)),0)=0,"",IFERROR(-INDEX(Expenses!D$3:D$1002,SMALL(IF((Expenses!E$3:E$1002="GBP")*(Expenses!A$3:A$1002=DATE(2026,12,10)),ROW(Expenses!A$3:A$1002)-2),3)),0)+IFERROR(INDEX(Income!C$3:C$502,SMALL(IF((Income!D$3:D$502="GBP")*(Income!A$3:A$502=DATE(2026,12,10)),ROW(Income!A$3:A$502)-2),3)),0))</f>
        <v/>
      </c>
      <c r="J251" s="38" t="str">
        <f aca="false">IF(IFERROR(INDEX(Expenses!B$3:B$1002,SMALL(IF((Expenses!E$3:E$1002="GBP")*(Expenses!A$3:A$1002=DATE(2026,12,10)),ROW(Expenses!A$3:A$1002)-2),3)),"")&lt;&gt;"",IFERROR(INDEX(Expenses!B$3:B$1002,SMALL(IF((Expenses!E$3:E$1002="GBP")*(Expenses!A$3:A$1002=DATE(2026,12,10)),ROW(Expenses!A$3:A$1002)-2),3)),""),IF(IFERROR(INDEX(Income!B$3:B$502,SMALL(IF((Income!D$3:D$502="GBP")*(Income!A$3:A$502=DATE(2026,12,10)),ROW(Income!A$3:A$502)-2),3)),"")&lt;&gt;"",IFERROR(INDEX(Income!B$3:B$502,SMALL(IF((Income!D$3:D$502="GBP")*(Income!A$3:A$502=DATE(2026,12,10)),ROW(Income!A$3:A$502)-2),3)),""),""))</f>
        <v/>
      </c>
      <c r="K251" s="62" t="str">
        <f aca="false">IF(IFERROR(-INDEX(Expenses!D$3:D$1002,SMALL(IF((Expenses!E$3:E$1002="GBP")*(Expenses!A$3:A$1002=DATE(2026,12,11)),ROW(Expenses!A$3:A$1002)-2),3)),0)+IFERROR(INDEX(Income!C$3:C$502,SMALL(IF((Income!D$3:D$502="GBP")*(Income!A$3:A$502=DATE(2026,12,11)),ROW(Income!A$3:A$502)-2),3)),0)=0,"",IFERROR(-INDEX(Expenses!D$3:D$1002,SMALL(IF((Expenses!E$3:E$1002="GBP")*(Expenses!A$3:A$1002=DATE(2026,12,11)),ROW(Expenses!A$3:A$1002)-2),3)),0)+IFERROR(INDEX(Income!C$3:C$502,SMALL(IF((Income!D$3:D$502="GBP")*(Income!A$3:A$502=DATE(2026,12,11)),ROW(Income!A$3:A$502)-2),3)),0))</f>
        <v/>
      </c>
      <c r="L251" s="38" t="str">
        <f aca="false">IF(IFERROR(INDEX(Expenses!B$3:B$1002,SMALL(IF((Expenses!E$3:E$1002="GBP")*(Expenses!A$3:A$1002=DATE(2026,12,11)),ROW(Expenses!A$3:A$1002)-2),3)),"")&lt;&gt;"",IFERROR(INDEX(Expenses!B$3:B$1002,SMALL(IF((Expenses!E$3:E$1002="GBP")*(Expenses!A$3:A$1002=DATE(2026,12,11)),ROW(Expenses!A$3:A$1002)-2),3)),""),IF(IFERROR(INDEX(Income!B$3:B$502,SMALL(IF((Income!D$3:D$502="GBP")*(Income!A$3:A$502=DATE(2026,12,11)),ROW(Income!A$3:A$502)-2),3)),"")&lt;&gt;"",IFERROR(INDEX(Income!B$3:B$502,SMALL(IF((Income!D$3:D$502="GBP")*(Income!A$3:A$502=DATE(2026,12,11)),ROW(Income!A$3:A$502)-2),3)),""),""))</f>
        <v/>
      </c>
      <c r="M251" s="62" t="str">
        <f aca="false">IF(IFERROR(-INDEX(Expenses!D$3:D$1002,SMALL(IF((Expenses!E$3:E$1002="GBP")*(Expenses!A$3:A$1002=DATE(2026,12,12)),ROW(Expenses!A$3:A$1002)-2),3)),0)+IFERROR(INDEX(Income!C$3:C$502,SMALL(IF((Income!D$3:D$502="GBP")*(Income!A$3:A$502=DATE(2026,12,12)),ROW(Income!A$3:A$502)-2),3)),0)=0,"",IFERROR(-INDEX(Expenses!D$3:D$1002,SMALL(IF((Expenses!E$3:E$1002="GBP")*(Expenses!A$3:A$1002=DATE(2026,12,12)),ROW(Expenses!A$3:A$1002)-2),3)),0)+IFERROR(INDEX(Income!C$3:C$502,SMALL(IF((Income!D$3:D$502="GBP")*(Income!A$3:A$502=DATE(2026,12,12)),ROW(Income!A$3:A$502)-2),3)),0))</f>
        <v/>
      </c>
      <c r="N251" s="38" t="str">
        <f aca="false">IF(IFERROR(INDEX(Expenses!B$3:B$1002,SMALL(IF((Expenses!E$3:E$1002="GBP")*(Expenses!A$3:A$1002=DATE(2026,12,12)),ROW(Expenses!A$3:A$1002)-2),3)),"")&lt;&gt;"",IFERROR(INDEX(Expenses!B$3:B$1002,SMALL(IF((Expenses!E$3:E$1002="GBP")*(Expenses!A$3:A$1002=DATE(2026,12,12)),ROW(Expenses!A$3:A$1002)-2),3)),""),IF(IFERROR(INDEX(Income!B$3:B$502,SMALL(IF((Income!D$3:D$502="GBP")*(Income!A$3:A$502=DATE(2026,12,12)),ROW(Income!A$3:A$502)-2),3)),"")&lt;&gt;"",IFERROR(INDEX(Income!B$3:B$502,SMALL(IF((Income!D$3:D$502="GBP")*(Income!A$3:A$502=DATE(2026,12,12)),ROW(Income!A$3:A$502)-2),3)),""),""))</f>
        <v/>
      </c>
      <c r="O251" s="62" t="str">
        <f aca="false">IF(IFERROR(-INDEX(Expenses!D$3:D$1002,SMALL(IF((Expenses!E$3:E$1002="GBP")*(Expenses!A$3:A$1002=DATE(2026,12,13)),ROW(Expenses!A$3:A$1002)-2),3)),0)+IFERROR(INDEX(Income!C$3:C$502,SMALL(IF((Income!D$3:D$502="GBP")*(Income!A$3:A$502=DATE(2026,12,13)),ROW(Income!A$3:A$502)-2),3)),0)=0,"",IFERROR(-INDEX(Expenses!D$3:D$1002,SMALL(IF((Expenses!E$3:E$1002="GBP")*(Expenses!A$3:A$1002=DATE(2026,12,13)),ROW(Expenses!A$3:A$1002)-2),3)),0)+IFERROR(INDEX(Income!C$3:C$502,SMALL(IF((Income!D$3:D$502="GBP")*(Income!A$3:A$502=DATE(2026,12,13)),ROW(Income!A$3:A$502)-2),3)),0))</f>
        <v/>
      </c>
      <c r="P251" s="38" t="str">
        <f aca="false">IF(IFERROR(INDEX(Expenses!B$3:B$1002,SMALL(IF((Expenses!E$3:E$1002="GBP")*(Expenses!A$3:A$1002=DATE(2026,12,13)),ROW(Expenses!A$3:A$1002)-2),3)),"")&lt;&gt;"",IFERROR(INDEX(Expenses!B$3:B$1002,SMALL(IF((Expenses!E$3:E$1002="GBP")*(Expenses!A$3:A$1002=DATE(2026,12,13)),ROW(Expenses!A$3:A$1002)-2),3)),""),IF(IFERROR(INDEX(Income!B$3:B$502,SMALL(IF((Income!D$3:D$502="GBP")*(Income!A$3:A$502=DATE(2026,12,13)),ROW(Income!A$3:A$502)-2),3)),"")&lt;&gt;"",IFERROR(INDEX(Income!B$3:B$502,SMALL(IF((Income!D$3:D$502="GBP")*(Income!A$3:A$502=DATE(2026,12,13)),ROW(Income!A$3:A$502)-2),3)),""),""))</f>
        <v/>
      </c>
      <c r="Q251" s="16"/>
      <c r="R251" s="16"/>
    </row>
    <row r="252" customFormat="false" ht="15" hidden="false" customHeight="false" outlineLevel="0" collapsed="false">
      <c r="A252" s="16"/>
      <c r="B252" s="16"/>
      <c r="C252" s="62" t="str">
        <f aca="false">IF(IFERROR(-INDEX(Expenses!D$3:D$1002,SMALL(IF((Expenses!E$3:E$1002="GBP")*(Expenses!A$3:A$1002=DATE(2026,12,7)),ROW(Expenses!A$3:A$1002)-2),4)),0)+IFERROR(INDEX(Income!C$3:C$502,SMALL(IF((Income!D$3:D$502="GBP")*(Income!A$3:A$502=DATE(2026,12,7)),ROW(Income!A$3:A$502)-2),4)),0)=0,"",IFERROR(-INDEX(Expenses!D$3:D$1002,SMALL(IF((Expenses!E$3:E$1002="GBP")*(Expenses!A$3:A$1002=DATE(2026,12,7)),ROW(Expenses!A$3:A$1002)-2),4)),0)+IFERROR(INDEX(Income!C$3:C$502,SMALL(IF((Income!D$3:D$502="GBP")*(Income!A$3:A$502=DATE(2026,12,7)),ROW(Income!A$3:A$502)-2),4)),0))</f>
        <v/>
      </c>
      <c r="D252" s="38" t="str">
        <f aca="false">IF(IFERROR(INDEX(Expenses!B$3:B$1002,SMALL(IF((Expenses!E$3:E$1002="GBP")*(Expenses!A$3:A$1002=DATE(2026,12,7)),ROW(Expenses!A$3:A$1002)-2),4)),"")&lt;&gt;"",IFERROR(INDEX(Expenses!B$3:B$1002,SMALL(IF((Expenses!E$3:E$1002="GBP")*(Expenses!A$3:A$1002=DATE(2026,12,7)),ROW(Expenses!A$3:A$1002)-2),4)),""),IF(IFERROR(INDEX(Income!B$3:B$502,SMALL(IF((Income!D$3:D$502="GBP")*(Income!A$3:A$502=DATE(2026,12,7)),ROW(Income!A$3:A$502)-2),4)),"")&lt;&gt;"",IFERROR(INDEX(Income!B$3:B$502,SMALL(IF((Income!D$3:D$502="GBP")*(Income!A$3:A$502=DATE(2026,12,7)),ROW(Income!A$3:A$502)-2),4)),""),""))</f>
        <v/>
      </c>
      <c r="E252" s="62" t="str">
        <f aca="false">IF(IFERROR(-INDEX(Expenses!D$3:D$1002,SMALL(IF((Expenses!E$3:E$1002="GBP")*(Expenses!A$3:A$1002=DATE(2026,12,8)),ROW(Expenses!A$3:A$1002)-2),4)),0)+IFERROR(INDEX(Income!C$3:C$502,SMALL(IF((Income!D$3:D$502="GBP")*(Income!A$3:A$502=DATE(2026,12,8)),ROW(Income!A$3:A$502)-2),4)),0)=0,"",IFERROR(-INDEX(Expenses!D$3:D$1002,SMALL(IF((Expenses!E$3:E$1002="GBP")*(Expenses!A$3:A$1002=DATE(2026,12,8)),ROW(Expenses!A$3:A$1002)-2),4)),0)+IFERROR(INDEX(Income!C$3:C$502,SMALL(IF((Income!D$3:D$502="GBP")*(Income!A$3:A$502=DATE(2026,12,8)),ROW(Income!A$3:A$502)-2),4)),0))</f>
        <v/>
      </c>
      <c r="F252" s="38" t="str">
        <f aca="false">IF(IFERROR(INDEX(Expenses!B$3:B$1002,SMALL(IF((Expenses!E$3:E$1002="GBP")*(Expenses!A$3:A$1002=DATE(2026,12,8)),ROW(Expenses!A$3:A$1002)-2),4)),"")&lt;&gt;"",IFERROR(INDEX(Expenses!B$3:B$1002,SMALL(IF((Expenses!E$3:E$1002="GBP")*(Expenses!A$3:A$1002=DATE(2026,12,8)),ROW(Expenses!A$3:A$1002)-2),4)),""),IF(IFERROR(INDEX(Income!B$3:B$502,SMALL(IF((Income!D$3:D$502="GBP")*(Income!A$3:A$502=DATE(2026,12,8)),ROW(Income!A$3:A$502)-2),4)),"")&lt;&gt;"",IFERROR(INDEX(Income!B$3:B$502,SMALL(IF((Income!D$3:D$502="GBP")*(Income!A$3:A$502=DATE(2026,12,8)),ROW(Income!A$3:A$502)-2),4)),""),""))</f>
        <v/>
      </c>
      <c r="G252" s="62" t="str">
        <f aca="false">IF(IFERROR(-INDEX(Expenses!D$3:D$1002,SMALL(IF((Expenses!E$3:E$1002="GBP")*(Expenses!A$3:A$1002=DATE(2026,12,9)),ROW(Expenses!A$3:A$1002)-2),4)),0)+IFERROR(INDEX(Income!C$3:C$502,SMALL(IF((Income!D$3:D$502="GBP")*(Income!A$3:A$502=DATE(2026,12,9)),ROW(Income!A$3:A$502)-2),4)),0)=0,"",IFERROR(-INDEX(Expenses!D$3:D$1002,SMALL(IF((Expenses!E$3:E$1002="GBP")*(Expenses!A$3:A$1002=DATE(2026,12,9)),ROW(Expenses!A$3:A$1002)-2),4)),0)+IFERROR(INDEX(Income!C$3:C$502,SMALL(IF((Income!D$3:D$502="GBP")*(Income!A$3:A$502=DATE(2026,12,9)),ROW(Income!A$3:A$502)-2),4)),0))</f>
        <v/>
      </c>
      <c r="H252" s="38" t="str">
        <f aca="false">IF(IFERROR(INDEX(Expenses!B$3:B$1002,SMALL(IF((Expenses!E$3:E$1002="GBP")*(Expenses!A$3:A$1002=DATE(2026,12,9)),ROW(Expenses!A$3:A$1002)-2),4)),"")&lt;&gt;"",IFERROR(INDEX(Expenses!B$3:B$1002,SMALL(IF((Expenses!E$3:E$1002="GBP")*(Expenses!A$3:A$1002=DATE(2026,12,9)),ROW(Expenses!A$3:A$1002)-2),4)),""),IF(IFERROR(INDEX(Income!B$3:B$502,SMALL(IF((Income!D$3:D$502="GBP")*(Income!A$3:A$502=DATE(2026,12,9)),ROW(Income!A$3:A$502)-2),4)),"")&lt;&gt;"",IFERROR(INDEX(Income!B$3:B$502,SMALL(IF((Income!D$3:D$502="GBP")*(Income!A$3:A$502=DATE(2026,12,9)),ROW(Income!A$3:A$502)-2),4)),""),""))</f>
        <v/>
      </c>
      <c r="I252" s="62" t="str">
        <f aca="false">IF(IFERROR(-INDEX(Expenses!D$3:D$1002,SMALL(IF((Expenses!E$3:E$1002="GBP")*(Expenses!A$3:A$1002=DATE(2026,12,10)),ROW(Expenses!A$3:A$1002)-2),4)),0)+IFERROR(INDEX(Income!C$3:C$502,SMALL(IF((Income!D$3:D$502="GBP")*(Income!A$3:A$502=DATE(2026,12,10)),ROW(Income!A$3:A$502)-2),4)),0)=0,"",IFERROR(-INDEX(Expenses!D$3:D$1002,SMALL(IF((Expenses!E$3:E$1002="GBP")*(Expenses!A$3:A$1002=DATE(2026,12,10)),ROW(Expenses!A$3:A$1002)-2),4)),0)+IFERROR(INDEX(Income!C$3:C$502,SMALL(IF((Income!D$3:D$502="GBP")*(Income!A$3:A$502=DATE(2026,12,10)),ROW(Income!A$3:A$502)-2),4)),0))</f>
        <v/>
      </c>
      <c r="J252" s="38" t="str">
        <f aca="false">IF(IFERROR(INDEX(Expenses!B$3:B$1002,SMALL(IF((Expenses!E$3:E$1002="GBP")*(Expenses!A$3:A$1002=DATE(2026,12,10)),ROW(Expenses!A$3:A$1002)-2),4)),"")&lt;&gt;"",IFERROR(INDEX(Expenses!B$3:B$1002,SMALL(IF((Expenses!E$3:E$1002="GBP")*(Expenses!A$3:A$1002=DATE(2026,12,10)),ROW(Expenses!A$3:A$1002)-2),4)),""),IF(IFERROR(INDEX(Income!B$3:B$502,SMALL(IF((Income!D$3:D$502="GBP")*(Income!A$3:A$502=DATE(2026,12,10)),ROW(Income!A$3:A$502)-2),4)),"")&lt;&gt;"",IFERROR(INDEX(Income!B$3:B$502,SMALL(IF((Income!D$3:D$502="GBP")*(Income!A$3:A$502=DATE(2026,12,10)),ROW(Income!A$3:A$502)-2),4)),""),""))</f>
        <v/>
      </c>
      <c r="K252" s="62" t="str">
        <f aca="false">IF(IFERROR(-INDEX(Expenses!D$3:D$1002,SMALL(IF((Expenses!E$3:E$1002="GBP")*(Expenses!A$3:A$1002=DATE(2026,12,11)),ROW(Expenses!A$3:A$1002)-2),4)),0)+IFERROR(INDEX(Income!C$3:C$502,SMALL(IF((Income!D$3:D$502="GBP")*(Income!A$3:A$502=DATE(2026,12,11)),ROW(Income!A$3:A$502)-2),4)),0)=0,"",IFERROR(-INDEX(Expenses!D$3:D$1002,SMALL(IF((Expenses!E$3:E$1002="GBP")*(Expenses!A$3:A$1002=DATE(2026,12,11)),ROW(Expenses!A$3:A$1002)-2),4)),0)+IFERROR(INDEX(Income!C$3:C$502,SMALL(IF((Income!D$3:D$502="GBP")*(Income!A$3:A$502=DATE(2026,12,11)),ROW(Income!A$3:A$502)-2),4)),0))</f>
        <v/>
      </c>
      <c r="L252" s="38" t="str">
        <f aca="false">IF(IFERROR(INDEX(Expenses!B$3:B$1002,SMALL(IF((Expenses!E$3:E$1002="GBP")*(Expenses!A$3:A$1002=DATE(2026,12,11)),ROW(Expenses!A$3:A$1002)-2),4)),"")&lt;&gt;"",IFERROR(INDEX(Expenses!B$3:B$1002,SMALL(IF((Expenses!E$3:E$1002="GBP")*(Expenses!A$3:A$1002=DATE(2026,12,11)),ROW(Expenses!A$3:A$1002)-2),4)),""),IF(IFERROR(INDEX(Income!B$3:B$502,SMALL(IF((Income!D$3:D$502="GBP")*(Income!A$3:A$502=DATE(2026,12,11)),ROW(Income!A$3:A$502)-2),4)),"")&lt;&gt;"",IFERROR(INDEX(Income!B$3:B$502,SMALL(IF((Income!D$3:D$502="GBP")*(Income!A$3:A$502=DATE(2026,12,11)),ROW(Income!A$3:A$502)-2),4)),""),""))</f>
        <v/>
      </c>
      <c r="M252" s="62" t="str">
        <f aca="false">IF(IFERROR(-INDEX(Expenses!D$3:D$1002,SMALL(IF((Expenses!E$3:E$1002="GBP")*(Expenses!A$3:A$1002=DATE(2026,12,12)),ROW(Expenses!A$3:A$1002)-2),4)),0)+IFERROR(INDEX(Income!C$3:C$502,SMALL(IF((Income!D$3:D$502="GBP")*(Income!A$3:A$502=DATE(2026,12,12)),ROW(Income!A$3:A$502)-2),4)),0)=0,"",IFERROR(-INDEX(Expenses!D$3:D$1002,SMALL(IF((Expenses!E$3:E$1002="GBP")*(Expenses!A$3:A$1002=DATE(2026,12,12)),ROW(Expenses!A$3:A$1002)-2),4)),0)+IFERROR(INDEX(Income!C$3:C$502,SMALL(IF((Income!D$3:D$502="GBP")*(Income!A$3:A$502=DATE(2026,12,12)),ROW(Income!A$3:A$502)-2),4)),0))</f>
        <v/>
      </c>
      <c r="N252" s="38" t="str">
        <f aca="false">IF(IFERROR(INDEX(Expenses!B$3:B$1002,SMALL(IF((Expenses!E$3:E$1002="GBP")*(Expenses!A$3:A$1002=DATE(2026,12,12)),ROW(Expenses!A$3:A$1002)-2),4)),"")&lt;&gt;"",IFERROR(INDEX(Expenses!B$3:B$1002,SMALL(IF((Expenses!E$3:E$1002="GBP")*(Expenses!A$3:A$1002=DATE(2026,12,12)),ROW(Expenses!A$3:A$1002)-2),4)),""),IF(IFERROR(INDEX(Income!B$3:B$502,SMALL(IF((Income!D$3:D$502="GBP")*(Income!A$3:A$502=DATE(2026,12,12)),ROW(Income!A$3:A$502)-2),4)),"")&lt;&gt;"",IFERROR(INDEX(Income!B$3:B$502,SMALL(IF((Income!D$3:D$502="GBP")*(Income!A$3:A$502=DATE(2026,12,12)),ROW(Income!A$3:A$502)-2),4)),""),""))</f>
        <v/>
      </c>
      <c r="O252" s="62" t="str">
        <f aca="false">IF(IFERROR(-INDEX(Expenses!D$3:D$1002,SMALL(IF((Expenses!E$3:E$1002="GBP")*(Expenses!A$3:A$1002=DATE(2026,12,13)),ROW(Expenses!A$3:A$1002)-2),4)),0)+IFERROR(INDEX(Income!C$3:C$502,SMALL(IF((Income!D$3:D$502="GBP")*(Income!A$3:A$502=DATE(2026,12,13)),ROW(Income!A$3:A$502)-2),4)),0)=0,"",IFERROR(-INDEX(Expenses!D$3:D$1002,SMALL(IF((Expenses!E$3:E$1002="GBP")*(Expenses!A$3:A$1002=DATE(2026,12,13)),ROW(Expenses!A$3:A$1002)-2),4)),0)+IFERROR(INDEX(Income!C$3:C$502,SMALL(IF((Income!D$3:D$502="GBP")*(Income!A$3:A$502=DATE(2026,12,13)),ROW(Income!A$3:A$502)-2),4)),0))</f>
        <v/>
      </c>
      <c r="P252" s="38" t="str">
        <f aca="false">IF(IFERROR(INDEX(Expenses!B$3:B$1002,SMALL(IF((Expenses!E$3:E$1002="GBP")*(Expenses!A$3:A$1002=DATE(2026,12,13)),ROW(Expenses!A$3:A$1002)-2),4)),"")&lt;&gt;"",IFERROR(INDEX(Expenses!B$3:B$1002,SMALL(IF((Expenses!E$3:E$1002="GBP")*(Expenses!A$3:A$1002=DATE(2026,12,13)),ROW(Expenses!A$3:A$1002)-2),4)),""),IF(IFERROR(INDEX(Income!B$3:B$502,SMALL(IF((Income!D$3:D$502="GBP")*(Income!A$3:A$502=DATE(2026,12,13)),ROW(Income!A$3:A$502)-2),4)),"")&lt;&gt;"",IFERROR(INDEX(Income!B$3:B$502,SMALL(IF((Income!D$3:D$502="GBP")*(Income!A$3:A$502=DATE(2026,12,13)),ROW(Income!A$3:A$502)-2),4)),""),""))</f>
        <v/>
      </c>
      <c r="Q252" s="16"/>
      <c r="R252" s="16"/>
    </row>
    <row r="253" customFormat="false" ht="15" hidden="false" customHeight="false" outlineLevel="0" collapsed="false">
      <c r="A253" s="16"/>
      <c r="B253" s="16"/>
      <c r="C253" s="62" t="str">
        <f aca="false">IF(IFERROR(-INDEX(Expenses!D$3:D$1002,SMALL(IF((Expenses!E$3:E$1002="GBP")*(Expenses!A$3:A$1002=DATE(2026,12,7)),ROW(Expenses!A$3:A$1002)-2),5)),0)+IFERROR(INDEX(Income!C$3:C$502,SMALL(IF((Income!D$3:D$502="GBP")*(Income!A$3:A$502=DATE(2026,12,7)),ROW(Income!A$3:A$502)-2),5)),0)=0,"",IFERROR(-INDEX(Expenses!D$3:D$1002,SMALL(IF((Expenses!E$3:E$1002="GBP")*(Expenses!A$3:A$1002=DATE(2026,12,7)),ROW(Expenses!A$3:A$1002)-2),5)),0)+IFERROR(INDEX(Income!C$3:C$502,SMALL(IF((Income!D$3:D$502="GBP")*(Income!A$3:A$502=DATE(2026,12,7)),ROW(Income!A$3:A$502)-2),5)),0))</f>
        <v/>
      </c>
      <c r="D253" s="38" t="str">
        <f aca="false">IF(IFERROR(INDEX(Expenses!B$3:B$1002,SMALL(IF((Expenses!E$3:E$1002="GBP")*(Expenses!A$3:A$1002=DATE(2026,12,7)),ROW(Expenses!A$3:A$1002)-2),5)),"")&lt;&gt;"",IFERROR(INDEX(Expenses!B$3:B$1002,SMALL(IF((Expenses!E$3:E$1002="GBP")*(Expenses!A$3:A$1002=DATE(2026,12,7)),ROW(Expenses!A$3:A$1002)-2),5)),""),IF(IFERROR(INDEX(Income!B$3:B$502,SMALL(IF((Income!D$3:D$502="GBP")*(Income!A$3:A$502=DATE(2026,12,7)),ROW(Income!A$3:A$502)-2),5)),"")&lt;&gt;"",IFERROR(INDEX(Income!B$3:B$502,SMALL(IF((Income!D$3:D$502="GBP")*(Income!A$3:A$502=DATE(2026,12,7)),ROW(Income!A$3:A$502)-2),5)),""),""))</f>
        <v/>
      </c>
      <c r="E253" s="62" t="str">
        <f aca="false">IF(IFERROR(-INDEX(Expenses!D$3:D$1002,SMALL(IF((Expenses!E$3:E$1002="GBP")*(Expenses!A$3:A$1002=DATE(2026,12,8)),ROW(Expenses!A$3:A$1002)-2),5)),0)+IFERROR(INDEX(Income!C$3:C$502,SMALL(IF((Income!D$3:D$502="GBP")*(Income!A$3:A$502=DATE(2026,12,8)),ROW(Income!A$3:A$502)-2),5)),0)=0,"",IFERROR(-INDEX(Expenses!D$3:D$1002,SMALL(IF((Expenses!E$3:E$1002="GBP")*(Expenses!A$3:A$1002=DATE(2026,12,8)),ROW(Expenses!A$3:A$1002)-2),5)),0)+IFERROR(INDEX(Income!C$3:C$502,SMALL(IF((Income!D$3:D$502="GBP")*(Income!A$3:A$502=DATE(2026,12,8)),ROW(Income!A$3:A$502)-2),5)),0))</f>
        <v/>
      </c>
      <c r="F253" s="38" t="str">
        <f aca="false">IF(IFERROR(INDEX(Expenses!B$3:B$1002,SMALL(IF((Expenses!E$3:E$1002="GBP")*(Expenses!A$3:A$1002=DATE(2026,12,8)),ROW(Expenses!A$3:A$1002)-2),5)),"")&lt;&gt;"",IFERROR(INDEX(Expenses!B$3:B$1002,SMALL(IF((Expenses!E$3:E$1002="GBP")*(Expenses!A$3:A$1002=DATE(2026,12,8)),ROW(Expenses!A$3:A$1002)-2),5)),""),IF(IFERROR(INDEX(Income!B$3:B$502,SMALL(IF((Income!D$3:D$502="GBP")*(Income!A$3:A$502=DATE(2026,12,8)),ROW(Income!A$3:A$502)-2),5)),"")&lt;&gt;"",IFERROR(INDEX(Income!B$3:B$502,SMALL(IF((Income!D$3:D$502="GBP")*(Income!A$3:A$502=DATE(2026,12,8)),ROW(Income!A$3:A$502)-2),5)),""),""))</f>
        <v/>
      </c>
      <c r="G253" s="62" t="str">
        <f aca="false">IF(IFERROR(-INDEX(Expenses!D$3:D$1002,SMALL(IF((Expenses!E$3:E$1002="GBP")*(Expenses!A$3:A$1002=DATE(2026,12,9)),ROW(Expenses!A$3:A$1002)-2),5)),0)+IFERROR(INDEX(Income!C$3:C$502,SMALL(IF((Income!D$3:D$502="GBP")*(Income!A$3:A$502=DATE(2026,12,9)),ROW(Income!A$3:A$502)-2),5)),0)=0,"",IFERROR(-INDEX(Expenses!D$3:D$1002,SMALL(IF((Expenses!E$3:E$1002="GBP")*(Expenses!A$3:A$1002=DATE(2026,12,9)),ROW(Expenses!A$3:A$1002)-2),5)),0)+IFERROR(INDEX(Income!C$3:C$502,SMALL(IF((Income!D$3:D$502="GBP")*(Income!A$3:A$502=DATE(2026,12,9)),ROW(Income!A$3:A$502)-2),5)),0))</f>
        <v/>
      </c>
      <c r="H253" s="38" t="str">
        <f aca="false">IF(IFERROR(INDEX(Expenses!B$3:B$1002,SMALL(IF((Expenses!E$3:E$1002="GBP")*(Expenses!A$3:A$1002=DATE(2026,12,9)),ROW(Expenses!A$3:A$1002)-2),5)),"")&lt;&gt;"",IFERROR(INDEX(Expenses!B$3:B$1002,SMALL(IF((Expenses!E$3:E$1002="GBP")*(Expenses!A$3:A$1002=DATE(2026,12,9)),ROW(Expenses!A$3:A$1002)-2),5)),""),IF(IFERROR(INDEX(Income!B$3:B$502,SMALL(IF((Income!D$3:D$502="GBP")*(Income!A$3:A$502=DATE(2026,12,9)),ROW(Income!A$3:A$502)-2),5)),"")&lt;&gt;"",IFERROR(INDEX(Income!B$3:B$502,SMALL(IF((Income!D$3:D$502="GBP")*(Income!A$3:A$502=DATE(2026,12,9)),ROW(Income!A$3:A$502)-2),5)),""),""))</f>
        <v/>
      </c>
      <c r="I253" s="62" t="str">
        <f aca="false">IF(IFERROR(-INDEX(Expenses!D$3:D$1002,SMALL(IF((Expenses!E$3:E$1002="GBP")*(Expenses!A$3:A$1002=DATE(2026,12,10)),ROW(Expenses!A$3:A$1002)-2),5)),0)+IFERROR(INDEX(Income!C$3:C$502,SMALL(IF((Income!D$3:D$502="GBP")*(Income!A$3:A$502=DATE(2026,12,10)),ROW(Income!A$3:A$502)-2),5)),0)=0,"",IFERROR(-INDEX(Expenses!D$3:D$1002,SMALL(IF((Expenses!E$3:E$1002="GBP")*(Expenses!A$3:A$1002=DATE(2026,12,10)),ROW(Expenses!A$3:A$1002)-2),5)),0)+IFERROR(INDEX(Income!C$3:C$502,SMALL(IF((Income!D$3:D$502="GBP")*(Income!A$3:A$502=DATE(2026,12,10)),ROW(Income!A$3:A$502)-2),5)),0))</f>
        <v/>
      </c>
      <c r="J253" s="38" t="str">
        <f aca="false">IF(IFERROR(INDEX(Expenses!B$3:B$1002,SMALL(IF((Expenses!E$3:E$1002="GBP")*(Expenses!A$3:A$1002=DATE(2026,12,10)),ROW(Expenses!A$3:A$1002)-2),5)),"")&lt;&gt;"",IFERROR(INDEX(Expenses!B$3:B$1002,SMALL(IF((Expenses!E$3:E$1002="GBP")*(Expenses!A$3:A$1002=DATE(2026,12,10)),ROW(Expenses!A$3:A$1002)-2),5)),""),IF(IFERROR(INDEX(Income!B$3:B$502,SMALL(IF((Income!D$3:D$502="GBP")*(Income!A$3:A$502=DATE(2026,12,10)),ROW(Income!A$3:A$502)-2),5)),"")&lt;&gt;"",IFERROR(INDEX(Income!B$3:B$502,SMALL(IF((Income!D$3:D$502="GBP")*(Income!A$3:A$502=DATE(2026,12,10)),ROW(Income!A$3:A$502)-2),5)),""),""))</f>
        <v/>
      </c>
      <c r="K253" s="62" t="str">
        <f aca="false">IF(IFERROR(-INDEX(Expenses!D$3:D$1002,SMALL(IF((Expenses!E$3:E$1002="GBP")*(Expenses!A$3:A$1002=DATE(2026,12,11)),ROW(Expenses!A$3:A$1002)-2),5)),0)+IFERROR(INDEX(Income!C$3:C$502,SMALL(IF((Income!D$3:D$502="GBP")*(Income!A$3:A$502=DATE(2026,12,11)),ROW(Income!A$3:A$502)-2),5)),0)=0,"",IFERROR(-INDEX(Expenses!D$3:D$1002,SMALL(IF((Expenses!E$3:E$1002="GBP")*(Expenses!A$3:A$1002=DATE(2026,12,11)),ROW(Expenses!A$3:A$1002)-2),5)),0)+IFERROR(INDEX(Income!C$3:C$502,SMALL(IF((Income!D$3:D$502="GBP")*(Income!A$3:A$502=DATE(2026,12,11)),ROW(Income!A$3:A$502)-2),5)),0))</f>
        <v/>
      </c>
      <c r="L253" s="38" t="str">
        <f aca="false">IF(IFERROR(INDEX(Expenses!B$3:B$1002,SMALL(IF((Expenses!E$3:E$1002="GBP")*(Expenses!A$3:A$1002=DATE(2026,12,11)),ROW(Expenses!A$3:A$1002)-2),5)),"")&lt;&gt;"",IFERROR(INDEX(Expenses!B$3:B$1002,SMALL(IF((Expenses!E$3:E$1002="GBP")*(Expenses!A$3:A$1002=DATE(2026,12,11)),ROW(Expenses!A$3:A$1002)-2),5)),""),IF(IFERROR(INDEX(Income!B$3:B$502,SMALL(IF((Income!D$3:D$502="GBP")*(Income!A$3:A$502=DATE(2026,12,11)),ROW(Income!A$3:A$502)-2),5)),"")&lt;&gt;"",IFERROR(INDEX(Income!B$3:B$502,SMALL(IF((Income!D$3:D$502="GBP")*(Income!A$3:A$502=DATE(2026,12,11)),ROW(Income!A$3:A$502)-2),5)),""),""))</f>
        <v/>
      </c>
      <c r="M253" s="62" t="str">
        <f aca="false">IF(IFERROR(-INDEX(Expenses!D$3:D$1002,SMALL(IF((Expenses!E$3:E$1002="GBP")*(Expenses!A$3:A$1002=DATE(2026,12,12)),ROW(Expenses!A$3:A$1002)-2),5)),0)+IFERROR(INDEX(Income!C$3:C$502,SMALL(IF((Income!D$3:D$502="GBP")*(Income!A$3:A$502=DATE(2026,12,12)),ROW(Income!A$3:A$502)-2),5)),0)=0,"",IFERROR(-INDEX(Expenses!D$3:D$1002,SMALL(IF((Expenses!E$3:E$1002="GBP")*(Expenses!A$3:A$1002=DATE(2026,12,12)),ROW(Expenses!A$3:A$1002)-2),5)),0)+IFERROR(INDEX(Income!C$3:C$502,SMALL(IF((Income!D$3:D$502="GBP")*(Income!A$3:A$502=DATE(2026,12,12)),ROW(Income!A$3:A$502)-2),5)),0))</f>
        <v/>
      </c>
      <c r="N253" s="38" t="str">
        <f aca="false">IF(IFERROR(INDEX(Expenses!B$3:B$1002,SMALL(IF((Expenses!E$3:E$1002="GBP")*(Expenses!A$3:A$1002=DATE(2026,12,12)),ROW(Expenses!A$3:A$1002)-2),5)),"")&lt;&gt;"",IFERROR(INDEX(Expenses!B$3:B$1002,SMALL(IF((Expenses!E$3:E$1002="GBP")*(Expenses!A$3:A$1002=DATE(2026,12,12)),ROW(Expenses!A$3:A$1002)-2),5)),""),IF(IFERROR(INDEX(Income!B$3:B$502,SMALL(IF((Income!D$3:D$502="GBP")*(Income!A$3:A$502=DATE(2026,12,12)),ROW(Income!A$3:A$502)-2),5)),"")&lt;&gt;"",IFERROR(INDEX(Income!B$3:B$502,SMALL(IF((Income!D$3:D$502="GBP")*(Income!A$3:A$502=DATE(2026,12,12)),ROW(Income!A$3:A$502)-2),5)),""),""))</f>
        <v/>
      </c>
      <c r="O253" s="62" t="str">
        <f aca="false">IF(IFERROR(-INDEX(Expenses!D$3:D$1002,SMALL(IF((Expenses!E$3:E$1002="GBP")*(Expenses!A$3:A$1002=DATE(2026,12,13)),ROW(Expenses!A$3:A$1002)-2),5)),0)+IFERROR(INDEX(Income!C$3:C$502,SMALL(IF((Income!D$3:D$502="GBP")*(Income!A$3:A$502=DATE(2026,12,13)),ROW(Income!A$3:A$502)-2),5)),0)=0,"",IFERROR(-INDEX(Expenses!D$3:D$1002,SMALL(IF((Expenses!E$3:E$1002="GBP")*(Expenses!A$3:A$1002=DATE(2026,12,13)),ROW(Expenses!A$3:A$1002)-2),5)),0)+IFERROR(INDEX(Income!C$3:C$502,SMALL(IF((Income!D$3:D$502="GBP")*(Income!A$3:A$502=DATE(2026,12,13)),ROW(Income!A$3:A$502)-2),5)),0))</f>
        <v/>
      </c>
      <c r="P253" s="38" t="str">
        <f aca="false">IF(IFERROR(INDEX(Expenses!B$3:B$1002,SMALL(IF((Expenses!E$3:E$1002="GBP")*(Expenses!A$3:A$1002=DATE(2026,12,13)),ROW(Expenses!A$3:A$1002)-2),5)),"")&lt;&gt;"",IFERROR(INDEX(Expenses!B$3:B$1002,SMALL(IF((Expenses!E$3:E$1002="GBP")*(Expenses!A$3:A$1002=DATE(2026,12,13)),ROW(Expenses!A$3:A$1002)-2),5)),""),IF(IFERROR(INDEX(Income!B$3:B$502,SMALL(IF((Income!D$3:D$502="GBP")*(Income!A$3:A$502=DATE(2026,12,13)),ROW(Income!A$3:A$502)-2),5)),"")&lt;&gt;"",IFERROR(INDEX(Income!B$3:B$502,SMALL(IF((Income!D$3:D$502="GBP")*(Income!A$3:A$502=DATE(2026,12,13)),ROW(Income!A$3:A$502)-2),5)),""),""))</f>
        <v/>
      </c>
      <c r="Q253" s="16"/>
      <c r="R253" s="16"/>
    </row>
    <row r="254" customFormat="false" ht="15" hidden="false" customHeight="false" outlineLevel="0" collapsed="false">
      <c r="A254" s="61" t="n">
        <v>46370</v>
      </c>
      <c r="B254" s="3" t="n">
        <v>51</v>
      </c>
      <c r="C254" s="62" t="str">
        <f aca="false">IF(IFERROR(-INDEX(Expenses!D$3:D$1002,SMALL(IF((Expenses!E$3:E$1002="GBP")*(Expenses!A$3:A$1002=DATE(2026,12,14)),ROW(Expenses!A$3:A$1002)-2),1)),0)+IFERROR(INDEX(Income!C$3:C$502,SMALL(IF((Income!D$3:D$502="GBP")*(Income!A$3:A$502=DATE(2026,12,14)),ROW(Income!A$3:A$502)-2),1)),0)=0,"",IFERROR(-INDEX(Expenses!D$3:D$1002,SMALL(IF((Expenses!E$3:E$1002="GBP")*(Expenses!A$3:A$1002=DATE(2026,12,14)),ROW(Expenses!A$3:A$1002)-2),1)),0)+IFERROR(INDEX(Income!C$3:C$502,SMALL(IF((Income!D$3:D$502="GBP")*(Income!A$3:A$502=DATE(2026,12,14)),ROW(Income!A$3:A$502)-2),1)),0))</f>
        <v/>
      </c>
      <c r="D254" s="38" t="str">
        <f aca="false">IF(IFERROR(INDEX(Expenses!B$3:B$1002,SMALL(IF((Expenses!E$3:E$1002="GBP")*(Expenses!A$3:A$1002=DATE(2026,12,14)),ROW(Expenses!A$3:A$1002)-2),1)),"")&lt;&gt;"",IFERROR(INDEX(Expenses!B$3:B$1002,SMALL(IF((Expenses!E$3:E$1002="GBP")*(Expenses!A$3:A$1002=DATE(2026,12,14)),ROW(Expenses!A$3:A$1002)-2),1)),""),IF(IFERROR(INDEX(Income!B$3:B$502,SMALL(IF((Income!D$3:D$502="GBP")*(Income!A$3:A$502=DATE(2026,12,14)),ROW(Income!A$3:A$502)-2),1)),"")&lt;&gt;"",IFERROR(INDEX(Income!B$3:B$502,SMALL(IF((Income!D$3:D$502="GBP")*(Income!A$3:A$502=DATE(2026,12,14)),ROW(Income!A$3:A$502)-2),1)),""),""))</f>
        <v/>
      </c>
      <c r="E254" s="62" t="str">
        <f aca="false">IF(IFERROR(-INDEX(Expenses!D$3:D$1002,SMALL(IF((Expenses!E$3:E$1002="GBP")*(Expenses!A$3:A$1002=DATE(2026,12,15)),ROW(Expenses!A$3:A$1002)-2),1)),0)+IFERROR(INDEX(Income!C$3:C$502,SMALL(IF((Income!D$3:D$502="GBP")*(Income!A$3:A$502=DATE(2026,12,15)),ROW(Income!A$3:A$502)-2),1)),0)=0,"",IFERROR(-INDEX(Expenses!D$3:D$1002,SMALL(IF((Expenses!E$3:E$1002="GBP")*(Expenses!A$3:A$1002=DATE(2026,12,15)),ROW(Expenses!A$3:A$1002)-2),1)),0)+IFERROR(INDEX(Income!C$3:C$502,SMALL(IF((Income!D$3:D$502="GBP")*(Income!A$3:A$502=DATE(2026,12,15)),ROW(Income!A$3:A$502)-2),1)),0))</f>
        <v/>
      </c>
      <c r="F254" s="38" t="str">
        <f aca="false">IF(IFERROR(INDEX(Expenses!B$3:B$1002,SMALL(IF((Expenses!E$3:E$1002="GBP")*(Expenses!A$3:A$1002=DATE(2026,12,15)),ROW(Expenses!A$3:A$1002)-2),1)),"")&lt;&gt;"",IFERROR(INDEX(Expenses!B$3:B$1002,SMALL(IF((Expenses!E$3:E$1002="GBP")*(Expenses!A$3:A$1002=DATE(2026,12,15)),ROW(Expenses!A$3:A$1002)-2),1)),""),IF(IFERROR(INDEX(Income!B$3:B$502,SMALL(IF((Income!D$3:D$502="GBP")*(Income!A$3:A$502=DATE(2026,12,15)),ROW(Income!A$3:A$502)-2),1)),"")&lt;&gt;"",IFERROR(INDEX(Income!B$3:B$502,SMALL(IF((Income!D$3:D$502="GBP")*(Income!A$3:A$502=DATE(2026,12,15)),ROW(Income!A$3:A$502)-2),1)),""),""))</f>
        <v/>
      </c>
      <c r="G254" s="62" t="str">
        <f aca="false">IF(IFERROR(-INDEX(Expenses!D$3:D$1002,SMALL(IF((Expenses!E$3:E$1002="GBP")*(Expenses!A$3:A$1002=DATE(2026,12,16)),ROW(Expenses!A$3:A$1002)-2),1)),0)+IFERROR(INDEX(Income!C$3:C$502,SMALL(IF((Income!D$3:D$502="GBP")*(Income!A$3:A$502=DATE(2026,12,16)),ROW(Income!A$3:A$502)-2),1)),0)=0,"",IFERROR(-INDEX(Expenses!D$3:D$1002,SMALL(IF((Expenses!E$3:E$1002="GBP")*(Expenses!A$3:A$1002=DATE(2026,12,16)),ROW(Expenses!A$3:A$1002)-2),1)),0)+IFERROR(INDEX(Income!C$3:C$502,SMALL(IF((Income!D$3:D$502="GBP")*(Income!A$3:A$502=DATE(2026,12,16)),ROW(Income!A$3:A$502)-2),1)),0))</f>
        <v/>
      </c>
      <c r="H254" s="38" t="str">
        <f aca="false">IF(IFERROR(INDEX(Expenses!B$3:B$1002,SMALL(IF((Expenses!E$3:E$1002="GBP")*(Expenses!A$3:A$1002=DATE(2026,12,16)),ROW(Expenses!A$3:A$1002)-2),1)),"")&lt;&gt;"",IFERROR(INDEX(Expenses!B$3:B$1002,SMALL(IF((Expenses!E$3:E$1002="GBP")*(Expenses!A$3:A$1002=DATE(2026,12,16)),ROW(Expenses!A$3:A$1002)-2),1)),""),IF(IFERROR(INDEX(Income!B$3:B$502,SMALL(IF((Income!D$3:D$502="GBP")*(Income!A$3:A$502=DATE(2026,12,16)),ROW(Income!A$3:A$502)-2),1)),"")&lt;&gt;"",IFERROR(INDEX(Income!B$3:B$502,SMALL(IF((Income!D$3:D$502="GBP")*(Income!A$3:A$502=DATE(2026,12,16)),ROW(Income!A$3:A$502)-2),1)),""),""))</f>
        <v/>
      </c>
      <c r="I254" s="62" t="str">
        <f aca="false">IF(IFERROR(-INDEX(Expenses!D$3:D$1002,SMALL(IF((Expenses!E$3:E$1002="GBP")*(Expenses!A$3:A$1002=DATE(2026,12,17)),ROW(Expenses!A$3:A$1002)-2),1)),0)+IFERROR(INDEX(Income!C$3:C$502,SMALL(IF((Income!D$3:D$502="GBP")*(Income!A$3:A$502=DATE(2026,12,17)),ROW(Income!A$3:A$502)-2),1)),0)=0,"",IFERROR(-INDEX(Expenses!D$3:D$1002,SMALL(IF((Expenses!E$3:E$1002="GBP")*(Expenses!A$3:A$1002=DATE(2026,12,17)),ROW(Expenses!A$3:A$1002)-2),1)),0)+IFERROR(INDEX(Income!C$3:C$502,SMALL(IF((Income!D$3:D$502="GBP")*(Income!A$3:A$502=DATE(2026,12,17)),ROW(Income!A$3:A$502)-2),1)),0))</f>
        <v/>
      </c>
      <c r="J254" s="38" t="str">
        <f aca="false">IF(IFERROR(INDEX(Expenses!B$3:B$1002,SMALL(IF((Expenses!E$3:E$1002="GBP")*(Expenses!A$3:A$1002=DATE(2026,12,17)),ROW(Expenses!A$3:A$1002)-2),1)),"")&lt;&gt;"",IFERROR(INDEX(Expenses!B$3:B$1002,SMALL(IF((Expenses!E$3:E$1002="GBP")*(Expenses!A$3:A$1002=DATE(2026,12,17)),ROW(Expenses!A$3:A$1002)-2),1)),""),IF(IFERROR(INDEX(Income!B$3:B$502,SMALL(IF((Income!D$3:D$502="GBP")*(Income!A$3:A$502=DATE(2026,12,17)),ROW(Income!A$3:A$502)-2),1)),"")&lt;&gt;"",IFERROR(INDEX(Income!B$3:B$502,SMALL(IF((Income!D$3:D$502="GBP")*(Income!A$3:A$502=DATE(2026,12,17)),ROW(Income!A$3:A$502)-2),1)),""),""))</f>
        <v/>
      </c>
      <c r="K254" s="62" t="str">
        <f aca="false">IF(IFERROR(-INDEX(Expenses!D$3:D$1002,SMALL(IF((Expenses!E$3:E$1002="GBP")*(Expenses!A$3:A$1002=DATE(2026,12,18)),ROW(Expenses!A$3:A$1002)-2),1)),0)+IFERROR(INDEX(Income!C$3:C$502,SMALL(IF((Income!D$3:D$502="GBP")*(Income!A$3:A$502=DATE(2026,12,18)),ROW(Income!A$3:A$502)-2),1)),0)=0,"",IFERROR(-INDEX(Expenses!D$3:D$1002,SMALL(IF((Expenses!E$3:E$1002="GBP")*(Expenses!A$3:A$1002=DATE(2026,12,18)),ROW(Expenses!A$3:A$1002)-2),1)),0)+IFERROR(INDEX(Income!C$3:C$502,SMALL(IF((Income!D$3:D$502="GBP")*(Income!A$3:A$502=DATE(2026,12,18)),ROW(Income!A$3:A$502)-2),1)),0))</f>
        <v/>
      </c>
      <c r="L254" s="38" t="str">
        <f aca="false">IF(IFERROR(INDEX(Expenses!B$3:B$1002,SMALL(IF((Expenses!E$3:E$1002="GBP")*(Expenses!A$3:A$1002=DATE(2026,12,18)),ROW(Expenses!A$3:A$1002)-2),1)),"")&lt;&gt;"",IFERROR(INDEX(Expenses!B$3:B$1002,SMALL(IF((Expenses!E$3:E$1002="GBP")*(Expenses!A$3:A$1002=DATE(2026,12,18)),ROW(Expenses!A$3:A$1002)-2),1)),""),IF(IFERROR(INDEX(Income!B$3:B$502,SMALL(IF((Income!D$3:D$502="GBP")*(Income!A$3:A$502=DATE(2026,12,18)),ROW(Income!A$3:A$502)-2),1)),"")&lt;&gt;"",IFERROR(INDEX(Income!B$3:B$502,SMALL(IF((Income!D$3:D$502="GBP")*(Income!A$3:A$502=DATE(2026,12,18)),ROW(Income!A$3:A$502)-2),1)),""),""))</f>
        <v/>
      </c>
      <c r="M254" s="62" t="str">
        <f aca="false">IF(IFERROR(-INDEX(Expenses!D$3:D$1002,SMALL(IF((Expenses!E$3:E$1002="GBP")*(Expenses!A$3:A$1002=DATE(2026,12,19)),ROW(Expenses!A$3:A$1002)-2),1)),0)+IFERROR(INDEX(Income!C$3:C$502,SMALL(IF((Income!D$3:D$502="GBP")*(Income!A$3:A$502=DATE(2026,12,19)),ROW(Income!A$3:A$502)-2),1)),0)=0,"",IFERROR(-INDEX(Expenses!D$3:D$1002,SMALL(IF((Expenses!E$3:E$1002="GBP")*(Expenses!A$3:A$1002=DATE(2026,12,19)),ROW(Expenses!A$3:A$1002)-2),1)),0)+IFERROR(INDEX(Income!C$3:C$502,SMALL(IF((Income!D$3:D$502="GBP")*(Income!A$3:A$502=DATE(2026,12,19)),ROW(Income!A$3:A$502)-2),1)),0))</f>
        <v/>
      </c>
      <c r="N254" s="38" t="str">
        <f aca="false">IF(IFERROR(INDEX(Expenses!B$3:B$1002,SMALL(IF((Expenses!E$3:E$1002="GBP")*(Expenses!A$3:A$1002=DATE(2026,12,19)),ROW(Expenses!A$3:A$1002)-2),1)),"")&lt;&gt;"",IFERROR(INDEX(Expenses!B$3:B$1002,SMALL(IF((Expenses!E$3:E$1002="GBP")*(Expenses!A$3:A$1002=DATE(2026,12,19)),ROW(Expenses!A$3:A$1002)-2),1)),""),IF(IFERROR(INDEX(Income!B$3:B$502,SMALL(IF((Income!D$3:D$502="GBP")*(Income!A$3:A$502=DATE(2026,12,19)),ROW(Income!A$3:A$502)-2),1)),"")&lt;&gt;"",IFERROR(INDEX(Income!B$3:B$502,SMALL(IF((Income!D$3:D$502="GBP")*(Income!A$3:A$502=DATE(2026,12,19)),ROW(Income!A$3:A$502)-2),1)),""),""))</f>
        <v/>
      </c>
      <c r="O254" s="62" t="str">
        <f aca="false">IF(IFERROR(-INDEX(Expenses!D$3:D$1002,SMALL(IF((Expenses!E$3:E$1002="GBP")*(Expenses!A$3:A$1002=DATE(2026,12,20)),ROW(Expenses!A$3:A$1002)-2),1)),0)+IFERROR(INDEX(Income!C$3:C$502,SMALL(IF((Income!D$3:D$502="GBP")*(Income!A$3:A$502=DATE(2026,12,20)),ROW(Income!A$3:A$502)-2),1)),0)=0,"",IFERROR(-INDEX(Expenses!D$3:D$1002,SMALL(IF((Expenses!E$3:E$1002="GBP")*(Expenses!A$3:A$1002=DATE(2026,12,20)),ROW(Expenses!A$3:A$1002)-2),1)),0)+IFERROR(INDEX(Income!C$3:C$502,SMALL(IF((Income!D$3:D$502="GBP")*(Income!A$3:A$502=DATE(2026,12,20)),ROW(Income!A$3:A$502)-2),1)),0))</f>
        <v/>
      </c>
      <c r="P254" s="38" t="str">
        <f aca="false">IF(IFERROR(INDEX(Expenses!B$3:B$1002,SMALL(IF((Expenses!E$3:E$1002="GBP")*(Expenses!A$3:A$1002=DATE(2026,12,20)),ROW(Expenses!A$3:A$1002)-2),1)),"")&lt;&gt;"",IFERROR(INDEX(Expenses!B$3:B$1002,SMALL(IF((Expenses!E$3:E$1002="GBP")*(Expenses!A$3:A$1002=DATE(2026,12,20)),ROW(Expenses!A$3:A$1002)-2),1)),""),IF(IFERROR(INDEX(Income!B$3:B$502,SMALL(IF((Income!D$3:D$502="GBP")*(Income!A$3:A$502=DATE(2026,12,20)),ROW(Income!A$3:A$502)-2),1)),"")&lt;&gt;"",IFERROR(INDEX(Income!B$3:B$502,SMALL(IF((Income!D$3:D$502="GBP")*(Income!A$3:A$502=DATE(2026,12,20)),ROW(Income!A$3:A$502)-2),1)),""),""))</f>
        <v/>
      </c>
      <c r="Q254" s="3" t="n">
        <v>51</v>
      </c>
      <c r="R254" s="45" t="n">
        <f aca="false">SUM(C254:C258)+SUM(E254:E258)+SUM(G254:G258)+SUM(I254:I258)+SUM(K254:K258)+SUM(M254:M258)+SUM(O254:O258)</f>
        <v>0</v>
      </c>
    </row>
    <row r="255" customFormat="false" ht="15" hidden="false" customHeight="false" outlineLevel="0" collapsed="false">
      <c r="A255" s="16"/>
      <c r="B255" s="16"/>
      <c r="C255" s="62" t="str">
        <f aca="false">IF(IFERROR(-INDEX(Expenses!D$3:D$1002,SMALL(IF((Expenses!E$3:E$1002="GBP")*(Expenses!A$3:A$1002=DATE(2026,12,14)),ROW(Expenses!A$3:A$1002)-2),2)),0)+IFERROR(INDEX(Income!C$3:C$502,SMALL(IF((Income!D$3:D$502="GBP")*(Income!A$3:A$502=DATE(2026,12,14)),ROW(Income!A$3:A$502)-2),2)),0)=0,"",IFERROR(-INDEX(Expenses!D$3:D$1002,SMALL(IF((Expenses!E$3:E$1002="GBP")*(Expenses!A$3:A$1002=DATE(2026,12,14)),ROW(Expenses!A$3:A$1002)-2),2)),0)+IFERROR(INDEX(Income!C$3:C$502,SMALL(IF((Income!D$3:D$502="GBP")*(Income!A$3:A$502=DATE(2026,12,14)),ROW(Income!A$3:A$502)-2),2)),0))</f>
        <v/>
      </c>
      <c r="D255" s="38" t="str">
        <f aca="false">IF(IFERROR(INDEX(Expenses!B$3:B$1002,SMALL(IF((Expenses!E$3:E$1002="GBP")*(Expenses!A$3:A$1002=DATE(2026,12,14)),ROW(Expenses!A$3:A$1002)-2),2)),"")&lt;&gt;"",IFERROR(INDEX(Expenses!B$3:B$1002,SMALL(IF((Expenses!E$3:E$1002="GBP")*(Expenses!A$3:A$1002=DATE(2026,12,14)),ROW(Expenses!A$3:A$1002)-2),2)),""),IF(IFERROR(INDEX(Income!B$3:B$502,SMALL(IF((Income!D$3:D$502="GBP")*(Income!A$3:A$502=DATE(2026,12,14)),ROW(Income!A$3:A$502)-2),2)),"")&lt;&gt;"",IFERROR(INDEX(Income!B$3:B$502,SMALL(IF((Income!D$3:D$502="GBP")*(Income!A$3:A$502=DATE(2026,12,14)),ROW(Income!A$3:A$502)-2),2)),""),""))</f>
        <v/>
      </c>
      <c r="E255" s="62" t="str">
        <f aca="false">IF(IFERROR(-INDEX(Expenses!D$3:D$1002,SMALL(IF((Expenses!E$3:E$1002="GBP")*(Expenses!A$3:A$1002=DATE(2026,12,15)),ROW(Expenses!A$3:A$1002)-2),2)),0)+IFERROR(INDEX(Income!C$3:C$502,SMALL(IF((Income!D$3:D$502="GBP")*(Income!A$3:A$502=DATE(2026,12,15)),ROW(Income!A$3:A$502)-2),2)),0)=0,"",IFERROR(-INDEX(Expenses!D$3:D$1002,SMALL(IF((Expenses!E$3:E$1002="GBP")*(Expenses!A$3:A$1002=DATE(2026,12,15)),ROW(Expenses!A$3:A$1002)-2),2)),0)+IFERROR(INDEX(Income!C$3:C$502,SMALL(IF((Income!D$3:D$502="GBP")*(Income!A$3:A$502=DATE(2026,12,15)),ROW(Income!A$3:A$502)-2),2)),0))</f>
        <v/>
      </c>
      <c r="F255" s="38" t="str">
        <f aca="false">IF(IFERROR(INDEX(Expenses!B$3:B$1002,SMALL(IF((Expenses!E$3:E$1002="GBP")*(Expenses!A$3:A$1002=DATE(2026,12,15)),ROW(Expenses!A$3:A$1002)-2),2)),"")&lt;&gt;"",IFERROR(INDEX(Expenses!B$3:B$1002,SMALL(IF((Expenses!E$3:E$1002="GBP")*(Expenses!A$3:A$1002=DATE(2026,12,15)),ROW(Expenses!A$3:A$1002)-2),2)),""),IF(IFERROR(INDEX(Income!B$3:B$502,SMALL(IF((Income!D$3:D$502="GBP")*(Income!A$3:A$502=DATE(2026,12,15)),ROW(Income!A$3:A$502)-2),2)),"")&lt;&gt;"",IFERROR(INDEX(Income!B$3:B$502,SMALL(IF((Income!D$3:D$502="GBP")*(Income!A$3:A$502=DATE(2026,12,15)),ROW(Income!A$3:A$502)-2),2)),""),""))</f>
        <v/>
      </c>
      <c r="G255" s="62" t="str">
        <f aca="false">IF(IFERROR(-INDEX(Expenses!D$3:D$1002,SMALL(IF((Expenses!E$3:E$1002="GBP")*(Expenses!A$3:A$1002=DATE(2026,12,16)),ROW(Expenses!A$3:A$1002)-2),2)),0)+IFERROR(INDEX(Income!C$3:C$502,SMALL(IF((Income!D$3:D$502="GBP")*(Income!A$3:A$502=DATE(2026,12,16)),ROW(Income!A$3:A$502)-2),2)),0)=0,"",IFERROR(-INDEX(Expenses!D$3:D$1002,SMALL(IF((Expenses!E$3:E$1002="GBP")*(Expenses!A$3:A$1002=DATE(2026,12,16)),ROW(Expenses!A$3:A$1002)-2),2)),0)+IFERROR(INDEX(Income!C$3:C$502,SMALL(IF((Income!D$3:D$502="GBP")*(Income!A$3:A$502=DATE(2026,12,16)),ROW(Income!A$3:A$502)-2),2)),0))</f>
        <v/>
      </c>
      <c r="H255" s="38" t="str">
        <f aca="false">IF(IFERROR(INDEX(Expenses!B$3:B$1002,SMALL(IF((Expenses!E$3:E$1002="GBP")*(Expenses!A$3:A$1002=DATE(2026,12,16)),ROW(Expenses!A$3:A$1002)-2),2)),"")&lt;&gt;"",IFERROR(INDEX(Expenses!B$3:B$1002,SMALL(IF((Expenses!E$3:E$1002="GBP")*(Expenses!A$3:A$1002=DATE(2026,12,16)),ROW(Expenses!A$3:A$1002)-2),2)),""),IF(IFERROR(INDEX(Income!B$3:B$502,SMALL(IF((Income!D$3:D$502="GBP")*(Income!A$3:A$502=DATE(2026,12,16)),ROW(Income!A$3:A$502)-2),2)),"")&lt;&gt;"",IFERROR(INDEX(Income!B$3:B$502,SMALL(IF((Income!D$3:D$502="GBP")*(Income!A$3:A$502=DATE(2026,12,16)),ROW(Income!A$3:A$502)-2),2)),""),""))</f>
        <v/>
      </c>
      <c r="I255" s="62" t="str">
        <f aca="false">IF(IFERROR(-INDEX(Expenses!D$3:D$1002,SMALL(IF((Expenses!E$3:E$1002="GBP")*(Expenses!A$3:A$1002=DATE(2026,12,17)),ROW(Expenses!A$3:A$1002)-2),2)),0)+IFERROR(INDEX(Income!C$3:C$502,SMALL(IF((Income!D$3:D$502="GBP")*(Income!A$3:A$502=DATE(2026,12,17)),ROW(Income!A$3:A$502)-2),2)),0)=0,"",IFERROR(-INDEX(Expenses!D$3:D$1002,SMALL(IF((Expenses!E$3:E$1002="GBP")*(Expenses!A$3:A$1002=DATE(2026,12,17)),ROW(Expenses!A$3:A$1002)-2),2)),0)+IFERROR(INDEX(Income!C$3:C$502,SMALL(IF((Income!D$3:D$502="GBP")*(Income!A$3:A$502=DATE(2026,12,17)),ROW(Income!A$3:A$502)-2),2)),0))</f>
        <v/>
      </c>
      <c r="J255" s="38" t="str">
        <f aca="false">IF(IFERROR(INDEX(Expenses!B$3:B$1002,SMALL(IF((Expenses!E$3:E$1002="GBP")*(Expenses!A$3:A$1002=DATE(2026,12,17)),ROW(Expenses!A$3:A$1002)-2),2)),"")&lt;&gt;"",IFERROR(INDEX(Expenses!B$3:B$1002,SMALL(IF((Expenses!E$3:E$1002="GBP")*(Expenses!A$3:A$1002=DATE(2026,12,17)),ROW(Expenses!A$3:A$1002)-2),2)),""),IF(IFERROR(INDEX(Income!B$3:B$502,SMALL(IF((Income!D$3:D$502="GBP")*(Income!A$3:A$502=DATE(2026,12,17)),ROW(Income!A$3:A$502)-2),2)),"")&lt;&gt;"",IFERROR(INDEX(Income!B$3:B$502,SMALL(IF((Income!D$3:D$502="GBP")*(Income!A$3:A$502=DATE(2026,12,17)),ROW(Income!A$3:A$502)-2),2)),""),""))</f>
        <v/>
      </c>
      <c r="K255" s="62" t="str">
        <f aca="false">IF(IFERROR(-INDEX(Expenses!D$3:D$1002,SMALL(IF((Expenses!E$3:E$1002="GBP")*(Expenses!A$3:A$1002=DATE(2026,12,18)),ROW(Expenses!A$3:A$1002)-2),2)),0)+IFERROR(INDEX(Income!C$3:C$502,SMALL(IF((Income!D$3:D$502="GBP")*(Income!A$3:A$502=DATE(2026,12,18)),ROW(Income!A$3:A$502)-2),2)),0)=0,"",IFERROR(-INDEX(Expenses!D$3:D$1002,SMALL(IF((Expenses!E$3:E$1002="GBP")*(Expenses!A$3:A$1002=DATE(2026,12,18)),ROW(Expenses!A$3:A$1002)-2),2)),0)+IFERROR(INDEX(Income!C$3:C$502,SMALL(IF((Income!D$3:D$502="GBP")*(Income!A$3:A$502=DATE(2026,12,18)),ROW(Income!A$3:A$502)-2),2)),0))</f>
        <v/>
      </c>
      <c r="L255" s="38" t="str">
        <f aca="false">IF(IFERROR(INDEX(Expenses!B$3:B$1002,SMALL(IF((Expenses!E$3:E$1002="GBP")*(Expenses!A$3:A$1002=DATE(2026,12,18)),ROW(Expenses!A$3:A$1002)-2),2)),"")&lt;&gt;"",IFERROR(INDEX(Expenses!B$3:B$1002,SMALL(IF((Expenses!E$3:E$1002="GBP")*(Expenses!A$3:A$1002=DATE(2026,12,18)),ROW(Expenses!A$3:A$1002)-2),2)),""),IF(IFERROR(INDEX(Income!B$3:B$502,SMALL(IF((Income!D$3:D$502="GBP")*(Income!A$3:A$502=DATE(2026,12,18)),ROW(Income!A$3:A$502)-2),2)),"")&lt;&gt;"",IFERROR(INDEX(Income!B$3:B$502,SMALL(IF((Income!D$3:D$502="GBP")*(Income!A$3:A$502=DATE(2026,12,18)),ROW(Income!A$3:A$502)-2),2)),""),""))</f>
        <v/>
      </c>
      <c r="M255" s="62" t="str">
        <f aca="false">IF(IFERROR(-INDEX(Expenses!D$3:D$1002,SMALL(IF((Expenses!E$3:E$1002="GBP")*(Expenses!A$3:A$1002=DATE(2026,12,19)),ROW(Expenses!A$3:A$1002)-2),2)),0)+IFERROR(INDEX(Income!C$3:C$502,SMALL(IF((Income!D$3:D$502="GBP")*(Income!A$3:A$502=DATE(2026,12,19)),ROW(Income!A$3:A$502)-2),2)),0)=0,"",IFERROR(-INDEX(Expenses!D$3:D$1002,SMALL(IF((Expenses!E$3:E$1002="GBP")*(Expenses!A$3:A$1002=DATE(2026,12,19)),ROW(Expenses!A$3:A$1002)-2),2)),0)+IFERROR(INDEX(Income!C$3:C$502,SMALL(IF((Income!D$3:D$502="GBP")*(Income!A$3:A$502=DATE(2026,12,19)),ROW(Income!A$3:A$502)-2),2)),0))</f>
        <v/>
      </c>
      <c r="N255" s="38" t="str">
        <f aca="false">IF(IFERROR(INDEX(Expenses!B$3:B$1002,SMALL(IF((Expenses!E$3:E$1002="GBP")*(Expenses!A$3:A$1002=DATE(2026,12,19)),ROW(Expenses!A$3:A$1002)-2),2)),"")&lt;&gt;"",IFERROR(INDEX(Expenses!B$3:B$1002,SMALL(IF((Expenses!E$3:E$1002="GBP")*(Expenses!A$3:A$1002=DATE(2026,12,19)),ROW(Expenses!A$3:A$1002)-2),2)),""),IF(IFERROR(INDEX(Income!B$3:B$502,SMALL(IF((Income!D$3:D$502="GBP")*(Income!A$3:A$502=DATE(2026,12,19)),ROW(Income!A$3:A$502)-2),2)),"")&lt;&gt;"",IFERROR(INDEX(Income!B$3:B$502,SMALL(IF((Income!D$3:D$502="GBP")*(Income!A$3:A$502=DATE(2026,12,19)),ROW(Income!A$3:A$502)-2),2)),""),""))</f>
        <v/>
      </c>
      <c r="O255" s="62" t="str">
        <f aca="false">IF(IFERROR(-INDEX(Expenses!D$3:D$1002,SMALL(IF((Expenses!E$3:E$1002="GBP")*(Expenses!A$3:A$1002=DATE(2026,12,20)),ROW(Expenses!A$3:A$1002)-2),2)),0)+IFERROR(INDEX(Income!C$3:C$502,SMALL(IF((Income!D$3:D$502="GBP")*(Income!A$3:A$502=DATE(2026,12,20)),ROW(Income!A$3:A$502)-2),2)),0)=0,"",IFERROR(-INDEX(Expenses!D$3:D$1002,SMALL(IF((Expenses!E$3:E$1002="GBP")*(Expenses!A$3:A$1002=DATE(2026,12,20)),ROW(Expenses!A$3:A$1002)-2),2)),0)+IFERROR(INDEX(Income!C$3:C$502,SMALL(IF((Income!D$3:D$502="GBP")*(Income!A$3:A$502=DATE(2026,12,20)),ROW(Income!A$3:A$502)-2),2)),0))</f>
        <v/>
      </c>
      <c r="P255" s="38" t="str">
        <f aca="false">IF(IFERROR(INDEX(Expenses!B$3:B$1002,SMALL(IF((Expenses!E$3:E$1002="GBP")*(Expenses!A$3:A$1002=DATE(2026,12,20)),ROW(Expenses!A$3:A$1002)-2),2)),"")&lt;&gt;"",IFERROR(INDEX(Expenses!B$3:B$1002,SMALL(IF((Expenses!E$3:E$1002="GBP")*(Expenses!A$3:A$1002=DATE(2026,12,20)),ROW(Expenses!A$3:A$1002)-2),2)),""),IF(IFERROR(INDEX(Income!B$3:B$502,SMALL(IF((Income!D$3:D$502="GBP")*(Income!A$3:A$502=DATE(2026,12,20)),ROW(Income!A$3:A$502)-2),2)),"")&lt;&gt;"",IFERROR(INDEX(Income!B$3:B$502,SMALL(IF((Income!D$3:D$502="GBP")*(Income!A$3:A$502=DATE(2026,12,20)),ROW(Income!A$3:A$502)-2),2)),""),""))</f>
        <v/>
      </c>
      <c r="Q255" s="16"/>
      <c r="R255" s="16"/>
    </row>
    <row r="256" customFormat="false" ht="15" hidden="false" customHeight="false" outlineLevel="0" collapsed="false">
      <c r="A256" s="16"/>
      <c r="B256" s="16"/>
      <c r="C256" s="62" t="str">
        <f aca="false">IF(IFERROR(-INDEX(Expenses!D$3:D$1002,SMALL(IF((Expenses!E$3:E$1002="GBP")*(Expenses!A$3:A$1002=DATE(2026,12,14)),ROW(Expenses!A$3:A$1002)-2),3)),0)+IFERROR(INDEX(Income!C$3:C$502,SMALL(IF((Income!D$3:D$502="GBP")*(Income!A$3:A$502=DATE(2026,12,14)),ROW(Income!A$3:A$502)-2),3)),0)=0,"",IFERROR(-INDEX(Expenses!D$3:D$1002,SMALL(IF((Expenses!E$3:E$1002="GBP")*(Expenses!A$3:A$1002=DATE(2026,12,14)),ROW(Expenses!A$3:A$1002)-2),3)),0)+IFERROR(INDEX(Income!C$3:C$502,SMALL(IF((Income!D$3:D$502="GBP")*(Income!A$3:A$502=DATE(2026,12,14)),ROW(Income!A$3:A$502)-2),3)),0))</f>
        <v/>
      </c>
      <c r="D256" s="38" t="str">
        <f aca="false">IF(IFERROR(INDEX(Expenses!B$3:B$1002,SMALL(IF((Expenses!E$3:E$1002="GBP")*(Expenses!A$3:A$1002=DATE(2026,12,14)),ROW(Expenses!A$3:A$1002)-2),3)),"")&lt;&gt;"",IFERROR(INDEX(Expenses!B$3:B$1002,SMALL(IF((Expenses!E$3:E$1002="GBP")*(Expenses!A$3:A$1002=DATE(2026,12,14)),ROW(Expenses!A$3:A$1002)-2),3)),""),IF(IFERROR(INDEX(Income!B$3:B$502,SMALL(IF((Income!D$3:D$502="GBP")*(Income!A$3:A$502=DATE(2026,12,14)),ROW(Income!A$3:A$502)-2),3)),"")&lt;&gt;"",IFERROR(INDEX(Income!B$3:B$502,SMALL(IF((Income!D$3:D$502="GBP")*(Income!A$3:A$502=DATE(2026,12,14)),ROW(Income!A$3:A$502)-2),3)),""),""))</f>
        <v/>
      </c>
      <c r="E256" s="62" t="str">
        <f aca="false">IF(IFERROR(-INDEX(Expenses!D$3:D$1002,SMALL(IF((Expenses!E$3:E$1002="GBP")*(Expenses!A$3:A$1002=DATE(2026,12,15)),ROW(Expenses!A$3:A$1002)-2),3)),0)+IFERROR(INDEX(Income!C$3:C$502,SMALL(IF((Income!D$3:D$502="GBP")*(Income!A$3:A$502=DATE(2026,12,15)),ROW(Income!A$3:A$502)-2),3)),0)=0,"",IFERROR(-INDEX(Expenses!D$3:D$1002,SMALL(IF((Expenses!E$3:E$1002="GBP")*(Expenses!A$3:A$1002=DATE(2026,12,15)),ROW(Expenses!A$3:A$1002)-2),3)),0)+IFERROR(INDEX(Income!C$3:C$502,SMALL(IF((Income!D$3:D$502="GBP")*(Income!A$3:A$502=DATE(2026,12,15)),ROW(Income!A$3:A$502)-2),3)),0))</f>
        <v/>
      </c>
      <c r="F256" s="38" t="str">
        <f aca="false">IF(IFERROR(INDEX(Expenses!B$3:B$1002,SMALL(IF((Expenses!E$3:E$1002="GBP")*(Expenses!A$3:A$1002=DATE(2026,12,15)),ROW(Expenses!A$3:A$1002)-2),3)),"")&lt;&gt;"",IFERROR(INDEX(Expenses!B$3:B$1002,SMALL(IF((Expenses!E$3:E$1002="GBP")*(Expenses!A$3:A$1002=DATE(2026,12,15)),ROW(Expenses!A$3:A$1002)-2),3)),""),IF(IFERROR(INDEX(Income!B$3:B$502,SMALL(IF((Income!D$3:D$502="GBP")*(Income!A$3:A$502=DATE(2026,12,15)),ROW(Income!A$3:A$502)-2),3)),"")&lt;&gt;"",IFERROR(INDEX(Income!B$3:B$502,SMALL(IF((Income!D$3:D$502="GBP")*(Income!A$3:A$502=DATE(2026,12,15)),ROW(Income!A$3:A$502)-2),3)),""),""))</f>
        <v/>
      </c>
      <c r="G256" s="62" t="str">
        <f aca="false">IF(IFERROR(-INDEX(Expenses!D$3:D$1002,SMALL(IF((Expenses!E$3:E$1002="GBP")*(Expenses!A$3:A$1002=DATE(2026,12,16)),ROW(Expenses!A$3:A$1002)-2),3)),0)+IFERROR(INDEX(Income!C$3:C$502,SMALL(IF((Income!D$3:D$502="GBP")*(Income!A$3:A$502=DATE(2026,12,16)),ROW(Income!A$3:A$502)-2),3)),0)=0,"",IFERROR(-INDEX(Expenses!D$3:D$1002,SMALL(IF((Expenses!E$3:E$1002="GBP")*(Expenses!A$3:A$1002=DATE(2026,12,16)),ROW(Expenses!A$3:A$1002)-2),3)),0)+IFERROR(INDEX(Income!C$3:C$502,SMALL(IF((Income!D$3:D$502="GBP")*(Income!A$3:A$502=DATE(2026,12,16)),ROW(Income!A$3:A$502)-2),3)),0))</f>
        <v/>
      </c>
      <c r="H256" s="38" t="str">
        <f aca="false">IF(IFERROR(INDEX(Expenses!B$3:B$1002,SMALL(IF((Expenses!E$3:E$1002="GBP")*(Expenses!A$3:A$1002=DATE(2026,12,16)),ROW(Expenses!A$3:A$1002)-2),3)),"")&lt;&gt;"",IFERROR(INDEX(Expenses!B$3:B$1002,SMALL(IF((Expenses!E$3:E$1002="GBP")*(Expenses!A$3:A$1002=DATE(2026,12,16)),ROW(Expenses!A$3:A$1002)-2),3)),""),IF(IFERROR(INDEX(Income!B$3:B$502,SMALL(IF((Income!D$3:D$502="GBP")*(Income!A$3:A$502=DATE(2026,12,16)),ROW(Income!A$3:A$502)-2),3)),"")&lt;&gt;"",IFERROR(INDEX(Income!B$3:B$502,SMALL(IF((Income!D$3:D$502="GBP")*(Income!A$3:A$502=DATE(2026,12,16)),ROW(Income!A$3:A$502)-2),3)),""),""))</f>
        <v/>
      </c>
      <c r="I256" s="62" t="str">
        <f aca="false">IF(IFERROR(-INDEX(Expenses!D$3:D$1002,SMALL(IF((Expenses!E$3:E$1002="GBP")*(Expenses!A$3:A$1002=DATE(2026,12,17)),ROW(Expenses!A$3:A$1002)-2),3)),0)+IFERROR(INDEX(Income!C$3:C$502,SMALL(IF((Income!D$3:D$502="GBP")*(Income!A$3:A$502=DATE(2026,12,17)),ROW(Income!A$3:A$502)-2),3)),0)=0,"",IFERROR(-INDEX(Expenses!D$3:D$1002,SMALL(IF((Expenses!E$3:E$1002="GBP")*(Expenses!A$3:A$1002=DATE(2026,12,17)),ROW(Expenses!A$3:A$1002)-2),3)),0)+IFERROR(INDEX(Income!C$3:C$502,SMALL(IF((Income!D$3:D$502="GBP")*(Income!A$3:A$502=DATE(2026,12,17)),ROW(Income!A$3:A$502)-2),3)),0))</f>
        <v/>
      </c>
      <c r="J256" s="38" t="str">
        <f aca="false">IF(IFERROR(INDEX(Expenses!B$3:B$1002,SMALL(IF((Expenses!E$3:E$1002="GBP")*(Expenses!A$3:A$1002=DATE(2026,12,17)),ROW(Expenses!A$3:A$1002)-2),3)),"")&lt;&gt;"",IFERROR(INDEX(Expenses!B$3:B$1002,SMALL(IF((Expenses!E$3:E$1002="GBP")*(Expenses!A$3:A$1002=DATE(2026,12,17)),ROW(Expenses!A$3:A$1002)-2),3)),""),IF(IFERROR(INDEX(Income!B$3:B$502,SMALL(IF((Income!D$3:D$502="GBP")*(Income!A$3:A$502=DATE(2026,12,17)),ROW(Income!A$3:A$502)-2),3)),"")&lt;&gt;"",IFERROR(INDEX(Income!B$3:B$502,SMALL(IF((Income!D$3:D$502="GBP")*(Income!A$3:A$502=DATE(2026,12,17)),ROW(Income!A$3:A$502)-2),3)),""),""))</f>
        <v/>
      </c>
      <c r="K256" s="62" t="str">
        <f aca="false">IF(IFERROR(-INDEX(Expenses!D$3:D$1002,SMALL(IF((Expenses!E$3:E$1002="GBP")*(Expenses!A$3:A$1002=DATE(2026,12,18)),ROW(Expenses!A$3:A$1002)-2),3)),0)+IFERROR(INDEX(Income!C$3:C$502,SMALL(IF((Income!D$3:D$502="GBP")*(Income!A$3:A$502=DATE(2026,12,18)),ROW(Income!A$3:A$502)-2),3)),0)=0,"",IFERROR(-INDEX(Expenses!D$3:D$1002,SMALL(IF((Expenses!E$3:E$1002="GBP")*(Expenses!A$3:A$1002=DATE(2026,12,18)),ROW(Expenses!A$3:A$1002)-2),3)),0)+IFERROR(INDEX(Income!C$3:C$502,SMALL(IF((Income!D$3:D$502="GBP")*(Income!A$3:A$502=DATE(2026,12,18)),ROW(Income!A$3:A$502)-2),3)),0))</f>
        <v/>
      </c>
      <c r="L256" s="38" t="str">
        <f aca="false">IF(IFERROR(INDEX(Expenses!B$3:B$1002,SMALL(IF((Expenses!E$3:E$1002="GBP")*(Expenses!A$3:A$1002=DATE(2026,12,18)),ROW(Expenses!A$3:A$1002)-2),3)),"")&lt;&gt;"",IFERROR(INDEX(Expenses!B$3:B$1002,SMALL(IF((Expenses!E$3:E$1002="GBP")*(Expenses!A$3:A$1002=DATE(2026,12,18)),ROW(Expenses!A$3:A$1002)-2),3)),""),IF(IFERROR(INDEX(Income!B$3:B$502,SMALL(IF((Income!D$3:D$502="GBP")*(Income!A$3:A$502=DATE(2026,12,18)),ROW(Income!A$3:A$502)-2),3)),"")&lt;&gt;"",IFERROR(INDEX(Income!B$3:B$502,SMALL(IF((Income!D$3:D$502="GBP")*(Income!A$3:A$502=DATE(2026,12,18)),ROW(Income!A$3:A$502)-2),3)),""),""))</f>
        <v/>
      </c>
      <c r="M256" s="62" t="str">
        <f aca="false">IF(IFERROR(-INDEX(Expenses!D$3:D$1002,SMALL(IF((Expenses!E$3:E$1002="GBP")*(Expenses!A$3:A$1002=DATE(2026,12,19)),ROW(Expenses!A$3:A$1002)-2),3)),0)+IFERROR(INDEX(Income!C$3:C$502,SMALL(IF((Income!D$3:D$502="GBP")*(Income!A$3:A$502=DATE(2026,12,19)),ROW(Income!A$3:A$502)-2),3)),0)=0,"",IFERROR(-INDEX(Expenses!D$3:D$1002,SMALL(IF((Expenses!E$3:E$1002="GBP")*(Expenses!A$3:A$1002=DATE(2026,12,19)),ROW(Expenses!A$3:A$1002)-2),3)),0)+IFERROR(INDEX(Income!C$3:C$502,SMALL(IF((Income!D$3:D$502="GBP")*(Income!A$3:A$502=DATE(2026,12,19)),ROW(Income!A$3:A$502)-2),3)),0))</f>
        <v/>
      </c>
      <c r="N256" s="38" t="str">
        <f aca="false">IF(IFERROR(INDEX(Expenses!B$3:B$1002,SMALL(IF((Expenses!E$3:E$1002="GBP")*(Expenses!A$3:A$1002=DATE(2026,12,19)),ROW(Expenses!A$3:A$1002)-2),3)),"")&lt;&gt;"",IFERROR(INDEX(Expenses!B$3:B$1002,SMALL(IF((Expenses!E$3:E$1002="GBP")*(Expenses!A$3:A$1002=DATE(2026,12,19)),ROW(Expenses!A$3:A$1002)-2),3)),""),IF(IFERROR(INDEX(Income!B$3:B$502,SMALL(IF((Income!D$3:D$502="GBP")*(Income!A$3:A$502=DATE(2026,12,19)),ROW(Income!A$3:A$502)-2),3)),"")&lt;&gt;"",IFERROR(INDEX(Income!B$3:B$502,SMALL(IF((Income!D$3:D$502="GBP")*(Income!A$3:A$502=DATE(2026,12,19)),ROW(Income!A$3:A$502)-2),3)),""),""))</f>
        <v/>
      </c>
      <c r="O256" s="62" t="str">
        <f aca="false">IF(IFERROR(-INDEX(Expenses!D$3:D$1002,SMALL(IF((Expenses!E$3:E$1002="GBP")*(Expenses!A$3:A$1002=DATE(2026,12,20)),ROW(Expenses!A$3:A$1002)-2),3)),0)+IFERROR(INDEX(Income!C$3:C$502,SMALL(IF((Income!D$3:D$502="GBP")*(Income!A$3:A$502=DATE(2026,12,20)),ROW(Income!A$3:A$502)-2),3)),0)=0,"",IFERROR(-INDEX(Expenses!D$3:D$1002,SMALL(IF((Expenses!E$3:E$1002="GBP")*(Expenses!A$3:A$1002=DATE(2026,12,20)),ROW(Expenses!A$3:A$1002)-2),3)),0)+IFERROR(INDEX(Income!C$3:C$502,SMALL(IF((Income!D$3:D$502="GBP")*(Income!A$3:A$502=DATE(2026,12,20)),ROW(Income!A$3:A$502)-2),3)),0))</f>
        <v/>
      </c>
      <c r="P256" s="38" t="str">
        <f aca="false">IF(IFERROR(INDEX(Expenses!B$3:B$1002,SMALL(IF((Expenses!E$3:E$1002="GBP")*(Expenses!A$3:A$1002=DATE(2026,12,20)),ROW(Expenses!A$3:A$1002)-2),3)),"")&lt;&gt;"",IFERROR(INDEX(Expenses!B$3:B$1002,SMALL(IF((Expenses!E$3:E$1002="GBP")*(Expenses!A$3:A$1002=DATE(2026,12,20)),ROW(Expenses!A$3:A$1002)-2),3)),""),IF(IFERROR(INDEX(Income!B$3:B$502,SMALL(IF((Income!D$3:D$502="GBP")*(Income!A$3:A$502=DATE(2026,12,20)),ROW(Income!A$3:A$502)-2),3)),"")&lt;&gt;"",IFERROR(INDEX(Income!B$3:B$502,SMALL(IF((Income!D$3:D$502="GBP")*(Income!A$3:A$502=DATE(2026,12,20)),ROW(Income!A$3:A$502)-2),3)),""),""))</f>
        <v/>
      </c>
      <c r="Q256" s="16"/>
      <c r="R256" s="16"/>
    </row>
    <row r="257" customFormat="false" ht="15" hidden="false" customHeight="false" outlineLevel="0" collapsed="false">
      <c r="A257" s="16"/>
      <c r="B257" s="16"/>
      <c r="C257" s="62" t="str">
        <f aca="false">IF(IFERROR(-INDEX(Expenses!D$3:D$1002,SMALL(IF((Expenses!E$3:E$1002="GBP")*(Expenses!A$3:A$1002=DATE(2026,12,14)),ROW(Expenses!A$3:A$1002)-2),4)),0)+IFERROR(INDEX(Income!C$3:C$502,SMALL(IF((Income!D$3:D$502="GBP")*(Income!A$3:A$502=DATE(2026,12,14)),ROW(Income!A$3:A$502)-2),4)),0)=0,"",IFERROR(-INDEX(Expenses!D$3:D$1002,SMALL(IF((Expenses!E$3:E$1002="GBP")*(Expenses!A$3:A$1002=DATE(2026,12,14)),ROW(Expenses!A$3:A$1002)-2),4)),0)+IFERROR(INDEX(Income!C$3:C$502,SMALL(IF((Income!D$3:D$502="GBP")*(Income!A$3:A$502=DATE(2026,12,14)),ROW(Income!A$3:A$502)-2),4)),0))</f>
        <v/>
      </c>
      <c r="D257" s="38" t="str">
        <f aca="false">IF(IFERROR(INDEX(Expenses!B$3:B$1002,SMALL(IF((Expenses!E$3:E$1002="GBP")*(Expenses!A$3:A$1002=DATE(2026,12,14)),ROW(Expenses!A$3:A$1002)-2),4)),"")&lt;&gt;"",IFERROR(INDEX(Expenses!B$3:B$1002,SMALL(IF((Expenses!E$3:E$1002="GBP")*(Expenses!A$3:A$1002=DATE(2026,12,14)),ROW(Expenses!A$3:A$1002)-2),4)),""),IF(IFERROR(INDEX(Income!B$3:B$502,SMALL(IF((Income!D$3:D$502="GBP")*(Income!A$3:A$502=DATE(2026,12,14)),ROW(Income!A$3:A$502)-2),4)),"")&lt;&gt;"",IFERROR(INDEX(Income!B$3:B$502,SMALL(IF((Income!D$3:D$502="GBP")*(Income!A$3:A$502=DATE(2026,12,14)),ROW(Income!A$3:A$502)-2),4)),""),""))</f>
        <v/>
      </c>
      <c r="E257" s="62" t="str">
        <f aca="false">IF(IFERROR(-INDEX(Expenses!D$3:D$1002,SMALL(IF((Expenses!E$3:E$1002="GBP")*(Expenses!A$3:A$1002=DATE(2026,12,15)),ROW(Expenses!A$3:A$1002)-2),4)),0)+IFERROR(INDEX(Income!C$3:C$502,SMALL(IF((Income!D$3:D$502="GBP")*(Income!A$3:A$502=DATE(2026,12,15)),ROW(Income!A$3:A$502)-2),4)),0)=0,"",IFERROR(-INDEX(Expenses!D$3:D$1002,SMALL(IF((Expenses!E$3:E$1002="GBP")*(Expenses!A$3:A$1002=DATE(2026,12,15)),ROW(Expenses!A$3:A$1002)-2),4)),0)+IFERROR(INDEX(Income!C$3:C$502,SMALL(IF((Income!D$3:D$502="GBP")*(Income!A$3:A$502=DATE(2026,12,15)),ROW(Income!A$3:A$502)-2),4)),0))</f>
        <v/>
      </c>
      <c r="F257" s="38" t="str">
        <f aca="false">IF(IFERROR(INDEX(Expenses!B$3:B$1002,SMALL(IF((Expenses!E$3:E$1002="GBP")*(Expenses!A$3:A$1002=DATE(2026,12,15)),ROW(Expenses!A$3:A$1002)-2),4)),"")&lt;&gt;"",IFERROR(INDEX(Expenses!B$3:B$1002,SMALL(IF((Expenses!E$3:E$1002="GBP")*(Expenses!A$3:A$1002=DATE(2026,12,15)),ROW(Expenses!A$3:A$1002)-2),4)),""),IF(IFERROR(INDEX(Income!B$3:B$502,SMALL(IF((Income!D$3:D$502="GBP")*(Income!A$3:A$502=DATE(2026,12,15)),ROW(Income!A$3:A$502)-2),4)),"")&lt;&gt;"",IFERROR(INDEX(Income!B$3:B$502,SMALL(IF((Income!D$3:D$502="GBP")*(Income!A$3:A$502=DATE(2026,12,15)),ROW(Income!A$3:A$502)-2),4)),""),""))</f>
        <v/>
      </c>
      <c r="G257" s="62" t="str">
        <f aca="false">IF(IFERROR(-INDEX(Expenses!D$3:D$1002,SMALL(IF((Expenses!E$3:E$1002="GBP")*(Expenses!A$3:A$1002=DATE(2026,12,16)),ROW(Expenses!A$3:A$1002)-2),4)),0)+IFERROR(INDEX(Income!C$3:C$502,SMALL(IF((Income!D$3:D$502="GBP")*(Income!A$3:A$502=DATE(2026,12,16)),ROW(Income!A$3:A$502)-2),4)),0)=0,"",IFERROR(-INDEX(Expenses!D$3:D$1002,SMALL(IF((Expenses!E$3:E$1002="GBP")*(Expenses!A$3:A$1002=DATE(2026,12,16)),ROW(Expenses!A$3:A$1002)-2),4)),0)+IFERROR(INDEX(Income!C$3:C$502,SMALL(IF((Income!D$3:D$502="GBP")*(Income!A$3:A$502=DATE(2026,12,16)),ROW(Income!A$3:A$502)-2),4)),0))</f>
        <v/>
      </c>
      <c r="H257" s="38" t="str">
        <f aca="false">IF(IFERROR(INDEX(Expenses!B$3:B$1002,SMALL(IF((Expenses!E$3:E$1002="GBP")*(Expenses!A$3:A$1002=DATE(2026,12,16)),ROW(Expenses!A$3:A$1002)-2),4)),"")&lt;&gt;"",IFERROR(INDEX(Expenses!B$3:B$1002,SMALL(IF((Expenses!E$3:E$1002="GBP")*(Expenses!A$3:A$1002=DATE(2026,12,16)),ROW(Expenses!A$3:A$1002)-2),4)),""),IF(IFERROR(INDEX(Income!B$3:B$502,SMALL(IF((Income!D$3:D$502="GBP")*(Income!A$3:A$502=DATE(2026,12,16)),ROW(Income!A$3:A$502)-2),4)),"")&lt;&gt;"",IFERROR(INDEX(Income!B$3:B$502,SMALL(IF((Income!D$3:D$502="GBP")*(Income!A$3:A$502=DATE(2026,12,16)),ROW(Income!A$3:A$502)-2),4)),""),""))</f>
        <v/>
      </c>
      <c r="I257" s="62" t="str">
        <f aca="false">IF(IFERROR(-INDEX(Expenses!D$3:D$1002,SMALL(IF((Expenses!E$3:E$1002="GBP")*(Expenses!A$3:A$1002=DATE(2026,12,17)),ROW(Expenses!A$3:A$1002)-2),4)),0)+IFERROR(INDEX(Income!C$3:C$502,SMALL(IF((Income!D$3:D$502="GBP")*(Income!A$3:A$502=DATE(2026,12,17)),ROW(Income!A$3:A$502)-2),4)),0)=0,"",IFERROR(-INDEX(Expenses!D$3:D$1002,SMALL(IF((Expenses!E$3:E$1002="GBP")*(Expenses!A$3:A$1002=DATE(2026,12,17)),ROW(Expenses!A$3:A$1002)-2),4)),0)+IFERROR(INDEX(Income!C$3:C$502,SMALL(IF((Income!D$3:D$502="GBP")*(Income!A$3:A$502=DATE(2026,12,17)),ROW(Income!A$3:A$502)-2),4)),0))</f>
        <v/>
      </c>
      <c r="J257" s="38" t="str">
        <f aca="false">IF(IFERROR(INDEX(Expenses!B$3:B$1002,SMALL(IF((Expenses!E$3:E$1002="GBP")*(Expenses!A$3:A$1002=DATE(2026,12,17)),ROW(Expenses!A$3:A$1002)-2),4)),"")&lt;&gt;"",IFERROR(INDEX(Expenses!B$3:B$1002,SMALL(IF((Expenses!E$3:E$1002="GBP")*(Expenses!A$3:A$1002=DATE(2026,12,17)),ROW(Expenses!A$3:A$1002)-2),4)),""),IF(IFERROR(INDEX(Income!B$3:B$502,SMALL(IF((Income!D$3:D$502="GBP")*(Income!A$3:A$502=DATE(2026,12,17)),ROW(Income!A$3:A$502)-2),4)),"")&lt;&gt;"",IFERROR(INDEX(Income!B$3:B$502,SMALL(IF((Income!D$3:D$502="GBP")*(Income!A$3:A$502=DATE(2026,12,17)),ROW(Income!A$3:A$502)-2),4)),""),""))</f>
        <v/>
      </c>
      <c r="K257" s="62" t="str">
        <f aca="false">IF(IFERROR(-INDEX(Expenses!D$3:D$1002,SMALL(IF((Expenses!E$3:E$1002="GBP")*(Expenses!A$3:A$1002=DATE(2026,12,18)),ROW(Expenses!A$3:A$1002)-2),4)),0)+IFERROR(INDEX(Income!C$3:C$502,SMALL(IF((Income!D$3:D$502="GBP")*(Income!A$3:A$502=DATE(2026,12,18)),ROW(Income!A$3:A$502)-2),4)),0)=0,"",IFERROR(-INDEX(Expenses!D$3:D$1002,SMALL(IF((Expenses!E$3:E$1002="GBP")*(Expenses!A$3:A$1002=DATE(2026,12,18)),ROW(Expenses!A$3:A$1002)-2),4)),0)+IFERROR(INDEX(Income!C$3:C$502,SMALL(IF((Income!D$3:D$502="GBP")*(Income!A$3:A$502=DATE(2026,12,18)),ROW(Income!A$3:A$502)-2),4)),0))</f>
        <v/>
      </c>
      <c r="L257" s="38" t="str">
        <f aca="false">IF(IFERROR(INDEX(Expenses!B$3:B$1002,SMALL(IF((Expenses!E$3:E$1002="GBP")*(Expenses!A$3:A$1002=DATE(2026,12,18)),ROW(Expenses!A$3:A$1002)-2),4)),"")&lt;&gt;"",IFERROR(INDEX(Expenses!B$3:B$1002,SMALL(IF((Expenses!E$3:E$1002="GBP")*(Expenses!A$3:A$1002=DATE(2026,12,18)),ROW(Expenses!A$3:A$1002)-2),4)),""),IF(IFERROR(INDEX(Income!B$3:B$502,SMALL(IF((Income!D$3:D$502="GBP")*(Income!A$3:A$502=DATE(2026,12,18)),ROW(Income!A$3:A$502)-2),4)),"")&lt;&gt;"",IFERROR(INDEX(Income!B$3:B$502,SMALL(IF((Income!D$3:D$502="GBP")*(Income!A$3:A$502=DATE(2026,12,18)),ROW(Income!A$3:A$502)-2),4)),""),""))</f>
        <v/>
      </c>
      <c r="M257" s="62" t="str">
        <f aca="false">IF(IFERROR(-INDEX(Expenses!D$3:D$1002,SMALL(IF((Expenses!E$3:E$1002="GBP")*(Expenses!A$3:A$1002=DATE(2026,12,19)),ROW(Expenses!A$3:A$1002)-2),4)),0)+IFERROR(INDEX(Income!C$3:C$502,SMALL(IF((Income!D$3:D$502="GBP")*(Income!A$3:A$502=DATE(2026,12,19)),ROW(Income!A$3:A$502)-2),4)),0)=0,"",IFERROR(-INDEX(Expenses!D$3:D$1002,SMALL(IF((Expenses!E$3:E$1002="GBP")*(Expenses!A$3:A$1002=DATE(2026,12,19)),ROW(Expenses!A$3:A$1002)-2),4)),0)+IFERROR(INDEX(Income!C$3:C$502,SMALL(IF((Income!D$3:D$502="GBP")*(Income!A$3:A$502=DATE(2026,12,19)),ROW(Income!A$3:A$502)-2),4)),0))</f>
        <v/>
      </c>
      <c r="N257" s="38" t="str">
        <f aca="false">IF(IFERROR(INDEX(Expenses!B$3:B$1002,SMALL(IF((Expenses!E$3:E$1002="GBP")*(Expenses!A$3:A$1002=DATE(2026,12,19)),ROW(Expenses!A$3:A$1002)-2),4)),"")&lt;&gt;"",IFERROR(INDEX(Expenses!B$3:B$1002,SMALL(IF((Expenses!E$3:E$1002="GBP")*(Expenses!A$3:A$1002=DATE(2026,12,19)),ROW(Expenses!A$3:A$1002)-2),4)),""),IF(IFERROR(INDEX(Income!B$3:B$502,SMALL(IF((Income!D$3:D$502="GBP")*(Income!A$3:A$502=DATE(2026,12,19)),ROW(Income!A$3:A$502)-2),4)),"")&lt;&gt;"",IFERROR(INDEX(Income!B$3:B$502,SMALL(IF((Income!D$3:D$502="GBP")*(Income!A$3:A$502=DATE(2026,12,19)),ROW(Income!A$3:A$502)-2),4)),""),""))</f>
        <v/>
      </c>
      <c r="O257" s="62" t="str">
        <f aca="false">IF(IFERROR(-INDEX(Expenses!D$3:D$1002,SMALL(IF((Expenses!E$3:E$1002="GBP")*(Expenses!A$3:A$1002=DATE(2026,12,20)),ROW(Expenses!A$3:A$1002)-2),4)),0)+IFERROR(INDEX(Income!C$3:C$502,SMALL(IF((Income!D$3:D$502="GBP")*(Income!A$3:A$502=DATE(2026,12,20)),ROW(Income!A$3:A$502)-2),4)),0)=0,"",IFERROR(-INDEX(Expenses!D$3:D$1002,SMALL(IF((Expenses!E$3:E$1002="GBP")*(Expenses!A$3:A$1002=DATE(2026,12,20)),ROW(Expenses!A$3:A$1002)-2),4)),0)+IFERROR(INDEX(Income!C$3:C$502,SMALL(IF((Income!D$3:D$502="GBP")*(Income!A$3:A$502=DATE(2026,12,20)),ROW(Income!A$3:A$502)-2),4)),0))</f>
        <v/>
      </c>
      <c r="P257" s="38" t="str">
        <f aca="false">IF(IFERROR(INDEX(Expenses!B$3:B$1002,SMALL(IF((Expenses!E$3:E$1002="GBP")*(Expenses!A$3:A$1002=DATE(2026,12,20)),ROW(Expenses!A$3:A$1002)-2),4)),"")&lt;&gt;"",IFERROR(INDEX(Expenses!B$3:B$1002,SMALL(IF((Expenses!E$3:E$1002="GBP")*(Expenses!A$3:A$1002=DATE(2026,12,20)),ROW(Expenses!A$3:A$1002)-2),4)),""),IF(IFERROR(INDEX(Income!B$3:B$502,SMALL(IF((Income!D$3:D$502="GBP")*(Income!A$3:A$502=DATE(2026,12,20)),ROW(Income!A$3:A$502)-2),4)),"")&lt;&gt;"",IFERROR(INDEX(Income!B$3:B$502,SMALL(IF((Income!D$3:D$502="GBP")*(Income!A$3:A$502=DATE(2026,12,20)),ROW(Income!A$3:A$502)-2),4)),""),""))</f>
        <v/>
      </c>
      <c r="Q257" s="16"/>
      <c r="R257" s="16"/>
    </row>
    <row r="258" customFormat="false" ht="15" hidden="false" customHeight="false" outlineLevel="0" collapsed="false">
      <c r="A258" s="16"/>
      <c r="B258" s="16"/>
      <c r="C258" s="62" t="str">
        <f aca="false">IF(IFERROR(-INDEX(Expenses!D$3:D$1002,SMALL(IF((Expenses!E$3:E$1002="GBP")*(Expenses!A$3:A$1002=DATE(2026,12,14)),ROW(Expenses!A$3:A$1002)-2),5)),0)+IFERROR(INDEX(Income!C$3:C$502,SMALL(IF((Income!D$3:D$502="GBP")*(Income!A$3:A$502=DATE(2026,12,14)),ROW(Income!A$3:A$502)-2),5)),0)=0,"",IFERROR(-INDEX(Expenses!D$3:D$1002,SMALL(IF((Expenses!E$3:E$1002="GBP")*(Expenses!A$3:A$1002=DATE(2026,12,14)),ROW(Expenses!A$3:A$1002)-2),5)),0)+IFERROR(INDEX(Income!C$3:C$502,SMALL(IF((Income!D$3:D$502="GBP")*(Income!A$3:A$502=DATE(2026,12,14)),ROW(Income!A$3:A$502)-2),5)),0))</f>
        <v/>
      </c>
      <c r="D258" s="38" t="str">
        <f aca="false">IF(IFERROR(INDEX(Expenses!B$3:B$1002,SMALL(IF((Expenses!E$3:E$1002="GBP")*(Expenses!A$3:A$1002=DATE(2026,12,14)),ROW(Expenses!A$3:A$1002)-2),5)),"")&lt;&gt;"",IFERROR(INDEX(Expenses!B$3:B$1002,SMALL(IF((Expenses!E$3:E$1002="GBP")*(Expenses!A$3:A$1002=DATE(2026,12,14)),ROW(Expenses!A$3:A$1002)-2),5)),""),IF(IFERROR(INDEX(Income!B$3:B$502,SMALL(IF((Income!D$3:D$502="GBP")*(Income!A$3:A$502=DATE(2026,12,14)),ROW(Income!A$3:A$502)-2),5)),"")&lt;&gt;"",IFERROR(INDEX(Income!B$3:B$502,SMALL(IF((Income!D$3:D$502="GBP")*(Income!A$3:A$502=DATE(2026,12,14)),ROW(Income!A$3:A$502)-2),5)),""),""))</f>
        <v/>
      </c>
      <c r="E258" s="62" t="str">
        <f aca="false">IF(IFERROR(-INDEX(Expenses!D$3:D$1002,SMALL(IF((Expenses!E$3:E$1002="GBP")*(Expenses!A$3:A$1002=DATE(2026,12,15)),ROW(Expenses!A$3:A$1002)-2),5)),0)+IFERROR(INDEX(Income!C$3:C$502,SMALL(IF((Income!D$3:D$502="GBP")*(Income!A$3:A$502=DATE(2026,12,15)),ROW(Income!A$3:A$502)-2),5)),0)=0,"",IFERROR(-INDEX(Expenses!D$3:D$1002,SMALL(IF((Expenses!E$3:E$1002="GBP")*(Expenses!A$3:A$1002=DATE(2026,12,15)),ROW(Expenses!A$3:A$1002)-2),5)),0)+IFERROR(INDEX(Income!C$3:C$502,SMALL(IF((Income!D$3:D$502="GBP")*(Income!A$3:A$502=DATE(2026,12,15)),ROW(Income!A$3:A$502)-2),5)),0))</f>
        <v/>
      </c>
      <c r="F258" s="38" t="str">
        <f aca="false">IF(IFERROR(INDEX(Expenses!B$3:B$1002,SMALL(IF((Expenses!E$3:E$1002="GBP")*(Expenses!A$3:A$1002=DATE(2026,12,15)),ROW(Expenses!A$3:A$1002)-2),5)),"")&lt;&gt;"",IFERROR(INDEX(Expenses!B$3:B$1002,SMALL(IF((Expenses!E$3:E$1002="GBP")*(Expenses!A$3:A$1002=DATE(2026,12,15)),ROW(Expenses!A$3:A$1002)-2),5)),""),IF(IFERROR(INDEX(Income!B$3:B$502,SMALL(IF((Income!D$3:D$502="GBP")*(Income!A$3:A$502=DATE(2026,12,15)),ROW(Income!A$3:A$502)-2),5)),"")&lt;&gt;"",IFERROR(INDEX(Income!B$3:B$502,SMALL(IF((Income!D$3:D$502="GBP")*(Income!A$3:A$502=DATE(2026,12,15)),ROW(Income!A$3:A$502)-2),5)),""),""))</f>
        <v/>
      </c>
      <c r="G258" s="62" t="str">
        <f aca="false">IF(IFERROR(-INDEX(Expenses!D$3:D$1002,SMALL(IF((Expenses!E$3:E$1002="GBP")*(Expenses!A$3:A$1002=DATE(2026,12,16)),ROW(Expenses!A$3:A$1002)-2),5)),0)+IFERROR(INDEX(Income!C$3:C$502,SMALL(IF((Income!D$3:D$502="GBP")*(Income!A$3:A$502=DATE(2026,12,16)),ROW(Income!A$3:A$502)-2),5)),0)=0,"",IFERROR(-INDEX(Expenses!D$3:D$1002,SMALL(IF((Expenses!E$3:E$1002="GBP")*(Expenses!A$3:A$1002=DATE(2026,12,16)),ROW(Expenses!A$3:A$1002)-2),5)),0)+IFERROR(INDEX(Income!C$3:C$502,SMALL(IF((Income!D$3:D$502="GBP")*(Income!A$3:A$502=DATE(2026,12,16)),ROW(Income!A$3:A$502)-2),5)),0))</f>
        <v/>
      </c>
      <c r="H258" s="38" t="str">
        <f aca="false">IF(IFERROR(INDEX(Expenses!B$3:B$1002,SMALL(IF((Expenses!E$3:E$1002="GBP")*(Expenses!A$3:A$1002=DATE(2026,12,16)),ROW(Expenses!A$3:A$1002)-2),5)),"")&lt;&gt;"",IFERROR(INDEX(Expenses!B$3:B$1002,SMALL(IF((Expenses!E$3:E$1002="GBP")*(Expenses!A$3:A$1002=DATE(2026,12,16)),ROW(Expenses!A$3:A$1002)-2),5)),""),IF(IFERROR(INDEX(Income!B$3:B$502,SMALL(IF((Income!D$3:D$502="GBP")*(Income!A$3:A$502=DATE(2026,12,16)),ROW(Income!A$3:A$502)-2),5)),"")&lt;&gt;"",IFERROR(INDEX(Income!B$3:B$502,SMALL(IF((Income!D$3:D$502="GBP")*(Income!A$3:A$502=DATE(2026,12,16)),ROW(Income!A$3:A$502)-2),5)),""),""))</f>
        <v/>
      </c>
      <c r="I258" s="62" t="str">
        <f aca="false">IF(IFERROR(-INDEX(Expenses!D$3:D$1002,SMALL(IF((Expenses!E$3:E$1002="GBP")*(Expenses!A$3:A$1002=DATE(2026,12,17)),ROW(Expenses!A$3:A$1002)-2),5)),0)+IFERROR(INDEX(Income!C$3:C$502,SMALL(IF((Income!D$3:D$502="GBP")*(Income!A$3:A$502=DATE(2026,12,17)),ROW(Income!A$3:A$502)-2),5)),0)=0,"",IFERROR(-INDEX(Expenses!D$3:D$1002,SMALL(IF((Expenses!E$3:E$1002="GBP")*(Expenses!A$3:A$1002=DATE(2026,12,17)),ROW(Expenses!A$3:A$1002)-2),5)),0)+IFERROR(INDEX(Income!C$3:C$502,SMALL(IF((Income!D$3:D$502="GBP")*(Income!A$3:A$502=DATE(2026,12,17)),ROW(Income!A$3:A$502)-2),5)),0))</f>
        <v/>
      </c>
      <c r="J258" s="38" t="str">
        <f aca="false">IF(IFERROR(INDEX(Expenses!B$3:B$1002,SMALL(IF((Expenses!E$3:E$1002="GBP")*(Expenses!A$3:A$1002=DATE(2026,12,17)),ROW(Expenses!A$3:A$1002)-2),5)),"")&lt;&gt;"",IFERROR(INDEX(Expenses!B$3:B$1002,SMALL(IF((Expenses!E$3:E$1002="GBP")*(Expenses!A$3:A$1002=DATE(2026,12,17)),ROW(Expenses!A$3:A$1002)-2),5)),""),IF(IFERROR(INDEX(Income!B$3:B$502,SMALL(IF((Income!D$3:D$502="GBP")*(Income!A$3:A$502=DATE(2026,12,17)),ROW(Income!A$3:A$502)-2),5)),"")&lt;&gt;"",IFERROR(INDEX(Income!B$3:B$502,SMALL(IF((Income!D$3:D$502="GBP")*(Income!A$3:A$502=DATE(2026,12,17)),ROW(Income!A$3:A$502)-2),5)),""),""))</f>
        <v/>
      </c>
      <c r="K258" s="62" t="str">
        <f aca="false">IF(IFERROR(-INDEX(Expenses!D$3:D$1002,SMALL(IF((Expenses!E$3:E$1002="GBP")*(Expenses!A$3:A$1002=DATE(2026,12,18)),ROW(Expenses!A$3:A$1002)-2),5)),0)+IFERROR(INDEX(Income!C$3:C$502,SMALL(IF((Income!D$3:D$502="GBP")*(Income!A$3:A$502=DATE(2026,12,18)),ROW(Income!A$3:A$502)-2),5)),0)=0,"",IFERROR(-INDEX(Expenses!D$3:D$1002,SMALL(IF((Expenses!E$3:E$1002="GBP")*(Expenses!A$3:A$1002=DATE(2026,12,18)),ROW(Expenses!A$3:A$1002)-2),5)),0)+IFERROR(INDEX(Income!C$3:C$502,SMALL(IF((Income!D$3:D$502="GBP")*(Income!A$3:A$502=DATE(2026,12,18)),ROW(Income!A$3:A$502)-2),5)),0))</f>
        <v/>
      </c>
      <c r="L258" s="38" t="str">
        <f aca="false">IF(IFERROR(INDEX(Expenses!B$3:B$1002,SMALL(IF((Expenses!E$3:E$1002="GBP")*(Expenses!A$3:A$1002=DATE(2026,12,18)),ROW(Expenses!A$3:A$1002)-2),5)),"")&lt;&gt;"",IFERROR(INDEX(Expenses!B$3:B$1002,SMALL(IF((Expenses!E$3:E$1002="GBP")*(Expenses!A$3:A$1002=DATE(2026,12,18)),ROW(Expenses!A$3:A$1002)-2),5)),""),IF(IFERROR(INDEX(Income!B$3:B$502,SMALL(IF((Income!D$3:D$502="GBP")*(Income!A$3:A$502=DATE(2026,12,18)),ROW(Income!A$3:A$502)-2),5)),"")&lt;&gt;"",IFERROR(INDEX(Income!B$3:B$502,SMALL(IF((Income!D$3:D$502="GBP")*(Income!A$3:A$502=DATE(2026,12,18)),ROW(Income!A$3:A$502)-2),5)),""),""))</f>
        <v/>
      </c>
      <c r="M258" s="62" t="str">
        <f aca="false">IF(IFERROR(-INDEX(Expenses!D$3:D$1002,SMALL(IF((Expenses!E$3:E$1002="GBP")*(Expenses!A$3:A$1002=DATE(2026,12,19)),ROW(Expenses!A$3:A$1002)-2),5)),0)+IFERROR(INDEX(Income!C$3:C$502,SMALL(IF((Income!D$3:D$502="GBP")*(Income!A$3:A$502=DATE(2026,12,19)),ROW(Income!A$3:A$502)-2),5)),0)=0,"",IFERROR(-INDEX(Expenses!D$3:D$1002,SMALL(IF((Expenses!E$3:E$1002="GBP")*(Expenses!A$3:A$1002=DATE(2026,12,19)),ROW(Expenses!A$3:A$1002)-2),5)),0)+IFERROR(INDEX(Income!C$3:C$502,SMALL(IF((Income!D$3:D$502="GBP")*(Income!A$3:A$502=DATE(2026,12,19)),ROW(Income!A$3:A$502)-2),5)),0))</f>
        <v/>
      </c>
      <c r="N258" s="38" t="str">
        <f aca="false">IF(IFERROR(INDEX(Expenses!B$3:B$1002,SMALL(IF((Expenses!E$3:E$1002="GBP")*(Expenses!A$3:A$1002=DATE(2026,12,19)),ROW(Expenses!A$3:A$1002)-2),5)),"")&lt;&gt;"",IFERROR(INDEX(Expenses!B$3:B$1002,SMALL(IF((Expenses!E$3:E$1002="GBP")*(Expenses!A$3:A$1002=DATE(2026,12,19)),ROW(Expenses!A$3:A$1002)-2),5)),""),IF(IFERROR(INDEX(Income!B$3:B$502,SMALL(IF((Income!D$3:D$502="GBP")*(Income!A$3:A$502=DATE(2026,12,19)),ROW(Income!A$3:A$502)-2),5)),"")&lt;&gt;"",IFERROR(INDEX(Income!B$3:B$502,SMALL(IF((Income!D$3:D$502="GBP")*(Income!A$3:A$502=DATE(2026,12,19)),ROW(Income!A$3:A$502)-2),5)),""),""))</f>
        <v/>
      </c>
      <c r="O258" s="62" t="str">
        <f aca="false">IF(IFERROR(-INDEX(Expenses!D$3:D$1002,SMALL(IF((Expenses!E$3:E$1002="GBP")*(Expenses!A$3:A$1002=DATE(2026,12,20)),ROW(Expenses!A$3:A$1002)-2),5)),0)+IFERROR(INDEX(Income!C$3:C$502,SMALL(IF((Income!D$3:D$502="GBP")*(Income!A$3:A$502=DATE(2026,12,20)),ROW(Income!A$3:A$502)-2),5)),0)=0,"",IFERROR(-INDEX(Expenses!D$3:D$1002,SMALL(IF((Expenses!E$3:E$1002="GBP")*(Expenses!A$3:A$1002=DATE(2026,12,20)),ROW(Expenses!A$3:A$1002)-2),5)),0)+IFERROR(INDEX(Income!C$3:C$502,SMALL(IF((Income!D$3:D$502="GBP")*(Income!A$3:A$502=DATE(2026,12,20)),ROW(Income!A$3:A$502)-2),5)),0))</f>
        <v/>
      </c>
      <c r="P258" s="38" t="str">
        <f aca="false">IF(IFERROR(INDEX(Expenses!B$3:B$1002,SMALL(IF((Expenses!E$3:E$1002="GBP")*(Expenses!A$3:A$1002=DATE(2026,12,20)),ROW(Expenses!A$3:A$1002)-2),5)),"")&lt;&gt;"",IFERROR(INDEX(Expenses!B$3:B$1002,SMALL(IF((Expenses!E$3:E$1002="GBP")*(Expenses!A$3:A$1002=DATE(2026,12,20)),ROW(Expenses!A$3:A$1002)-2),5)),""),IF(IFERROR(INDEX(Income!B$3:B$502,SMALL(IF((Income!D$3:D$502="GBP")*(Income!A$3:A$502=DATE(2026,12,20)),ROW(Income!A$3:A$502)-2),5)),"")&lt;&gt;"",IFERROR(INDEX(Income!B$3:B$502,SMALL(IF((Income!D$3:D$502="GBP")*(Income!A$3:A$502=DATE(2026,12,20)),ROW(Income!A$3:A$502)-2),5)),""),""))</f>
        <v/>
      </c>
      <c r="Q258" s="16"/>
      <c r="R258" s="16"/>
    </row>
    <row r="259" customFormat="false" ht="15" hidden="false" customHeight="false" outlineLevel="0" collapsed="false">
      <c r="A259" s="61" t="n">
        <v>46377</v>
      </c>
      <c r="B259" s="3" t="n">
        <v>52</v>
      </c>
      <c r="C259" s="62" t="str">
        <f aca="false">IF(IFERROR(-INDEX(Expenses!D$3:D$1002,SMALL(IF((Expenses!E$3:E$1002="GBP")*(Expenses!A$3:A$1002=DATE(2026,12,21)),ROW(Expenses!A$3:A$1002)-2),1)),0)+IFERROR(INDEX(Income!C$3:C$502,SMALL(IF((Income!D$3:D$502="GBP")*(Income!A$3:A$502=DATE(2026,12,21)),ROW(Income!A$3:A$502)-2),1)),0)=0,"",IFERROR(-INDEX(Expenses!D$3:D$1002,SMALL(IF((Expenses!E$3:E$1002="GBP")*(Expenses!A$3:A$1002=DATE(2026,12,21)),ROW(Expenses!A$3:A$1002)-2),1)),0)+IFERROR(INDEX(Income!C$3:C$502,SMALL(IF((Income!D$3:D$502="GBP")*(Income!A$3:A$502=DATE(2026,12,21)),ROW(Income!A$3:A$502)-2),1)),0))</f>
        <v/>
      </c>
      <c r="D259" s="38" t="str">
        <f aca="false">IF(IFERROR(INDEX(Expenses!B$3:B$1002,SMALL(IF((Expenses!E$3:E$1002="GBP")*(Expenses!A$3:A$1002=DATE(2026,12,21)),ROW(Expenses!A$3:A$1002)-2),1)),"")&lt;&gt;"",IFERROR(INDEX(Expenses!B$3:B$1002,SMALL(IF((Expenses!E$3:E$1002="GBP")*(Expenses!A$3:A$1002=DATE(2026,12,21)),ROW(Expenses!A$3:A$1002)-2),1)),""),IF(IFERROR(INDEX(Income!B$3:B$502,SMALL(IF((Income!D$3:D$502="GBP")*(Income!A$3:A$502=DATE(2026,12,21)),ROW(Income!A$3:A$502)-2),1)),"")&lt;&gt;"",IFERROR(INDEX(Income!B$3:B$502,SMALL(IF((Income!D$3:D$502="GBP")*(Income!A$3:A$502=DATE(2026,12,21)),ROW(Income!A$3:A$502)-2),1)),""),""))</f>
        <v/>
      </c>
      <c r="E259" s="62" t="str">
        <f aca="false">IF(IFERROR(-INDEX(Expenses!D$3:D$1002,SMALL(IF((Expenses!E$3:E$1002="GBP")*(Expenses!A$3:A$1002=DATE(2026,12,22)),ROW(Expenses!A$3:A$1002)-2),1)),0)+IFERROR(INDEX(Income!C$3:C$502,SMALL(IF((Income!D$3:D$502="GBP")*(Income!A$3:A$502=DATE(2026,12,22)),ROW(Income!A$3:A$502)-2),1)),0)=0,"",IFERROR(-INDEX(Expenses!D$3:D$1002,SMALL(IF((Expenses!E$3:E$1002="GBP")*(Expenses!A$3:A$1002=DATE(2026,12,22)),ROW(Expenses!A$3:A$1002)-2),1)),0)+IFERROR(INDEX(Income!C$3:C$502,SMALL(IF((Income!D$3:D$502="GBP")*(Income!A$3:A$502=DATE(2026,12,22)),ROW(Income!A$3:A$502)-2),1)),0))</f>
        <v/>
      </c>
      <c r="F259" s="38" t="str">
        <f aca="false">IF(IFERROR(INDEX(Expenses!B$3:B$1002,SMALL(IF((Expenses!E$3:E$1002="GBP")*(Expenses!A$3:A$1002=DATE(2026,12,22)),ROW(Expenses!A$3:A$1002)-2),1)),"")&lt;&gt;"",IFERROR(INDEX(Expenses!B$3:B$1002,SMALL(IF((Expenses!E$3:E$1002="GBP")*(Expenses!A$3:A$1002=DATE(2026,12,22)),ROW(Expenses!A$3:A$1002)-2),1)),""),IF(IFERROR(INDEX(Income!B$3:B$502,SMALL(IF((Income!D$3:D$502="GBP")*(Income!A$3:A$502=DATE(2026,12,22)),ROW(Income!A$3:A$502)-2),1)),"")&lt;&gt;"",IFERROR(INDEX(Income!B$3:B$502,SMALL(IF((Income!D$3:D$502="GBP")*(Income!A$3:A$502=DATE(2026,12,22)),ROW(Income!A$3:A$502)-2),1)),""),""))</f>
        <v/>
      </c>
      <c r="G259" s="62" t="str">
        <f aca="false">IF(IFERROR(-INDEX(Expenses!D$3:D$1002,SMALL(IF((Expenses!E$3:E$1002="GBP")*(Expenses!A$3:A$1002=DATE(2026,12,23)),ROW(Expenses!A$3:A$1002)-2),1)),0)+IFERROR(INDEX(Income!C$3:C$502,SMALL(IF((Income!D$3:D$502="GBP")*(Income!A$3:A$502=DATE(2026,12,23)),ROW(Income!A$3:A$502)-2),1)),0)=0,"",IFERROR(-INDEX(Expenses!D$3:D$1002,SMALL(IF((Expenses!E$3:E$1002="GBP")*(Expenses!A$3:A$1002=DATE(2026,12,23)),ROW(Expenses!A$3:A$1002)-2),1)),0)+IFERROR(INDEX(Income!C$3:C$502,SMALL(IF((Income!D$3:D$502="GBP")*(Income!A$3:A$502=DATE(2026,12,23)),ROW(Income!A$3:A$502)-2),1)),0))</f>
        <v/>
      </c>
      <c r="H259" s="38" t="str">
        <f aca="false">IF(IFERROR(INDEX(Expenses!B$3:B$1002,SMALL(IF((Expenses!E$3:E$1002="GBP")*(Expenses!A$3:A$1002=DATE(2026,12,23)),ROW(Expenses!A$3:A$1002)-2),1)),"")&lt;&gt;"",IFERROR(INDEX(Expenses!B$3:B$1002,SMALL(IF((Expenses!E$3:E$1002="GBP")*(Expenses!A$3:A$1002=DATE(2026,12,23)),ROW(Expenses!A$3:A$1002)-2),1)),""),IF(IFERROR(INDEX(Income!B$3:B$502,SMALL(IF((Income!D$3:D$502="GBP")*(Income!A$3:A$502=DATE(2026,12,23)),ROW(Income!A$3:A$502)-2),1)),"")&lt;&gt;"",IFERROR(INDEX(Income!B$3:B$502,SMALL(IF((Income!D$3:D$502="GBP")*(Income!A$3:A$502=DATE(2026,12,23)),ROW(Income!A$3:A$502)-2),1)),""),""))</f>
        <v/>
      </c>
      <c r="I259" s="62" t="str">
        <f aca="false">IF(IFERROR(-INDEX(Expenses!D$3:D$1002,SMALL(IF((Expenses!E$3:E$1002="GBP")*(Expenses!A$3:A$1002=DATE(2026,12,24)),ROW(Expenses!A$3:A$1002)-2),1)),0)+IFERROR(INDEX(Income!C$3:C$502,SMALL(IF((Income!D$3:D$502="GBP")*(Income!A$3:A$502=DATE(2026,12,24)),ROW(Income!A$3:A$502)-2),1)),0)=0,"",IFERROR(-INDEX(Expenses!D$3:D$1002,SMALL(IF((Expenses!E$3:E$1002="GBP")*(Expenses!A$3:A$1002=DATE(2026,12,24)),ROW(Expenses!A$3:A$1002)-2),1)),0)+IFERROR(INDEX(Income!C$3:C$502,SMALL(IF((Income!D$3:D$502="GBP")*(Income!A$3:A$502=DATE(2026,12,24)),ROW(Income!A$3:A$502)-2),1)),0))</f>
        <v/>
      </c>
      <c r="J259" s="38" t="str">
        <f aca="false">IF(IFERROR(INDEX(Expenses!B$3:B$1002,SMALL(IF((Expenses!E$3:E$1002="GBP")*(Expenses!A$3:A$1002=DATE(2026,12,24)),ROW(Expenses!A$3:A$1002)-2),1)),"")&lt;&gt;"",IFERROR(INDEX(Expenses!B$3:B$1002,SMALL(IF((Expenses!E$3:E$1002="GBP")*(Expenses!A$3:A$1002=DATE(2026,12,24)),ROW(Expenses!A$3:A$1002)-2),1)),""),IF(IFERROR(INDEX(Income!B$3:B$502,SMALL(IF((Income!D$3:D$502="GBP")*(Income!A$3:A$502=DATE(2026,12,24)),ROW(Income!A$3:A$502)-2),1)),"")&lt;&gt;"",IFERROR(INDEX(Income!B$3:B$502,SMALL(IF((Income!D$3:D$502="GBP")*(Income!A$3:A$502=DATE(2026,12,24)),ROW(Income!A$3:A$502)-2),1)),""),""))</f>
        <v/>
      </c>
      <c r="K259" s="62" t="str">
        <f aca="false">IF(IFERROR(-INDEX(Expenses!D$3:D$1002,SMALL(IF((Expenses!E$3:E$1002="GBP")*(Expenses!A$3:A$1002=DATE(2026,12,25)),ROW(Expenses!A$3:A$1002)-2),1)),0)+IFERROR(INDEX(Income!C$3:C$502,SMALL(IF((Income!D$3:D$502="GBP")*(Income!A$3:A$502=DATE(2026,12,25)),ROW(Income!A$3:A$502)-2),1)),0)=0,"",IFERROR(-INDEX(Expenses!D$3:D$1002,SMALL(IF((Expenses!E$3:E$1002="GBP")*(Expenses!A$3:A$1002=DATE(2026,12,25)),ROW(Expenses!A$3:A$1002)-2),1)),0)+IFERROR(INDEX(Income!C$3:C$502,SMALL(IF((Income!D$3:D$502="GBP")*(Income!A$3:A$502=DATE(2026,12,25)),ROW(Income!A$3:A$502)-2),1)),0))</f>
        <v/>
      </c>
      <c r="L259" s="38" t="str">
        <f aca="false">IF(IFERROR(INDEX(Expenses!B$3:B$1002,SMALL(IF((Expenses!E$3:E$1002="GBP")*(Expenses!A$3:A$1002=DATE(2026,12,25)),ROW(Expenses!A$3:A$1002)-2),1)),"")&lt;&gt;"",IFERROR(INDEX(Expenses!B$3:B$1002,SMALL(IF((Expenses!E$3:E$1002="GBP")*(Expenses!A$3:A$1002=DATE(2026,12,25)),ROW(Expenses!A$3:A$1002)-2),1)),""),IF(IFERROR(INDEX(Income!B$3:B$502,SMALL(IF((Income!D$3:D$502="GBP")*(Income!A$3:A$502=DATE(2026,12,25)),ROW(Income!A$3:A$502)-2),1)),"")&lt;&gt;"",IFERROR(INDEX(Income!B$3:B$502,SMALL(IF((Income!D$3:D$502="GBP")*(Income!A$3:A$502=DATE(2026,12,25)),ROW(Income!A$3:A$502)-2),1)),""),""))</f>
        <v/>
      </c>
      <c r="M259" s="62" t="str">
        <f aca="false">IF(IFERROR(-INDEX(Expenses!D$3:D$1002,SMALL(IF((Expenses!E$3:E$1002="GBP")*(Expenses!A$3:A$1002=DATE(2026,12,26)),ROW(Expenses!A$3:A$1002)-2),1)),0)+IFERROR(INDEX(Income!C$3:C$502,SMALL(IF((Income!D$3:D$502="GBP")*(Income!A$3:A$502=DATE(2026,12,26)),ROW(Income!A$3:A$502)-2),1)),0)=0,"",IFERROR(-INDEX(Expenses!D$3:D$1002,SMALL(IF((Expenses!E$3:E$1002="GBP")*(Expenses!A$3:A$1002=DATE(2026,12,26)),ROW(Expenses!A$3:A$1002)-2),1)),0)+IFERROR(INDEX(Income!C$3:C$502,SMALL(IF((Income!D$3:D$502="GBP")*(Income!A$3:A$502=DATE(2026,12,26)),ROW(Income!A$3:A$502)-2),1)),0))</f>
        <v/>
      </c>
      <c r="N259" s="38" t="str">
        <f aca="false">IF(IFERROR(INDEX(Expenses!B$3:B$1002,SMALL(IF((Expenses!E$3:E$1002="GBP")*(Expenses!A$3:A$1002=DATE(2026,12,26)),ROW(Expenses!A$3:A$1002)-2),1)),"")&lt;&gt;"",IFERROR(INDEX(Expenses!B$3:B$1002,SMALL(IF((Expenses!E$3:E$1002="GBP")*(Expenses!A$3:A$1002=DATE(2026,12,26)),ROW(Expenses!A$3:A$1002)-2),1)),""),IF(IFERROR(INDEX(Income!B$3:B$502,SMALL(IF((Income!D$3:D$502="GBP")*(Income!A$3:A$502=DATE(2026,12,26)),ROW(Income!A$3:A$502)-2),1)),"")&lt;&gt;"",IFERROR(INDEX(Income!B$3:B$502,SMALL(IF((Income!D$3:D$502="GBP")*(Income!A$3:A$502=DATE(2026,12,26)),ROW(Income!A$3:A$502)-2),1)),""),""))</f>
        <v/>
      </c>
      <c r="O259" s="62" t="str">
        <f aca="false">IF(IFERROR(-INDEX(Expenses!D$3:D$1002,SMALL(IF((Expenses!E$3:E$1002="GBP")*(Expenses!A$3:A$1002=DATE(2026,12,27)),ROW(Expenses!A$3:A$1002)-2),1)),0)+IFERROR(INDEX(Income!C$3:C$502,SMALL(IF((Income!D$3:D$502="GBP")*(Income!A$3:A$502=DATE(2026,12,27)),ROW(Income!A$3:A$502)-2),1)),0)=0,"",IFERROR(-INDEX(Expenses!D$3:D$1002,SMALL(IF((Expenses!E$3:E$1002="GBP")*(Expenses!A$3:A$1002=DATE(2026,12,27)),ROW(Expenses!A$3:A$1002)-2),1)),0)+IFERROR(INDEX(Income!C$3:C$502,SMALL(IF((Income!D$3:D$502="GBP")*(Income!A$3:A$502=DATE(2026,12,27)),ROW(Income!A$3:A$502)-2),1)),0))</f>
        <v/>
      </c>
      <c r="P259" s="38" t="str">
        <f aca="false">IF(IFERROR(INDEX(Expenses!B$3:B$1002,SMALL(IF((Expenses!E$3:E$1002="GBP")*(Expenses!A$3:A$1002=DATE(2026,12,27)),ROW(Expenses!A$3:A$1002)-2),1)),"")&lt;&gt;"",IFERROR(INDEX(Expenses!B$3:B$1002,SMALL(IF((Expenses!E$3:E$1002="GBP")*(Expenses!A$3:A$1002=DATE(2026,12,27)),ROW(Expenses!A$3:A$1002)-2),1)),""),IF(IFERROR(INDEX(Income!B$3:B$502,SMALL(IF((Income!D$3:D$502="GBP")*(Income!A$3:A$502=DATE(2026,12,27)),ROW(Income!A$3:A$502)-2),1)),"")&lt;&gt;"",IFERROR(INDEX(Income!B$3:B$502,SMALL(IF((Income!D$3:D$502="GBP")*(Income!A$3:A$502=DATE(2026,12,27)),ROW(Income!A$3:A$502)-2),1)),""),""))</f>
        <v/>
      </c>
      <c r="Q259" s="3" t="n">
        <v>52</v>
      </c>
      <c r="R259" s="45" t="n">
        <f aca="false">SUM(C259:C263)+SUM(E259:E263)+SUM(G259:G263)+SUM(I259:I263)+SUM(K259:K263)+SUM(M259:M263)+SUM(O259:O263)</f>
        <v>0</v>
      </c>
    </row>
    <row r="260" customFormat="false" ht="15" hidden="false" customHeight="false" outlineLevel="0" collapsed="false">
      <c r="A260" s="16"/>
      <c r="B260" s="16"/>
      <c r="C260" s="62" t="str">
        <f aca="false">IF(IFERROR(-INDEX(Expenses!D$3:D$1002,SMALL(IF((Expenses!E$3:E$1002="GBP")*(Expenses!A$3:A$1002=DATE(2026,12,21)),ROW(Expenses!A$3:A$1002)-2),2)),0)+IFERROR(INDEX(Income!C$3:C$502,SMALL(IF((Income!D$3:D$502="GBP")*(Income!A$3:A$502=DATE(2026,12,21)),ROW(Income!A$3:A$502)-2),2)),0)=0,"",IFERROR(-INDEX(Expenses!D$3:D$1002,SMALL(IF((Expenses!E$3:E$1002="GBP")*(Expenses!A$3:A$1002=DATE(2026,12,21)),ROW(Expenses!A$3:A$1002)-2),2)),0)+IFERROR(INDEX(Income!C$3:C$502,SMALL(IF((Income!D$3:D$502="GBP")*(Income!A$3:A$502=DATE(2026,12,21)),ROW(Income!A$3:A$502)-2),2)),0))</f>
        <v/>
      </c>
      <c r="D260" s="38" t="str">
        <f aca="false">IF(IFERROR(INDEX(Expenses!B$3:B$1002,SMALL(IF((Expenses!E$3:E$1002="GBP")*(Expenses!A$3:A$1002=DATE(2026,12,21)),ROW(Expenses!A$3:A$1002)-2),2)),"")&lt;&gt;"",IFERROR(INDEX(Expenses!B$3:B$1002,SMALL(IF((Expenses!E$3:E$1002="GBP")*(Expenses!A$3:A$1002=DATE(2026,12,21)),ROW(Expenses!A$3:A$1002)-2),2)),""),IF(IFERROR(INDEX(Income!B$3:B$502,SMALL(IF((Income!D$3:D$502="GBP")*(Income!A$3:A$502=DATE(2026,12,21)),ROW(Income!A$3:A$502)-2),2)),"")&lt;&gt;"",IFERROR(INDEX(Income!B$3:B$502,SMALL(IF((Income!D$3:D$502="GBP")*(Income!A$3:A$502=DATE(2026,12,21)),ROW(Income!A$3:A$502)-2),2)),""),""))</f>
        <v/>
      </c>
      <c r="E260" s="62" t="str">
        <f aca="false">IF(IFERROR(-INDEX(Expenses!D$3:D$1002,SMALL(IF((Expenses!E$3:E$1002="GBP")*(Expenses!A$3:A$1002=DATE(2026,12,22)),ROW(Expenses!A$3:A$1002)-2),2)),0)+IFERROR(INDEX(Income!C$3:C$502,SMALL(IF((Income!D$3:D$502="GBP")*(Income!A$3:A$502=DATE(2026,12,22)),ROW(Income!A$3:A$502)-2),2)),0)=0,"",IFERROR(-INDEX(Expenses!D$3:D$1002,SMALL(IF((Expenses!E$3:E$1002="GBP")*(Expenses!A$3:A$1002=DATE(2026,12,22)),ROW(Expenses!A$3:A$1002)-2),2)),0)+IFERROR(INDEX(Income!C$3:C$502,SMALL(IF((Income!D$3:D$502="GBP")*(Income!A$3:A$502=DATE(2026,12,22)),ROW(Income!A$3:A$502)-2),2)),0))</f>
        <v/>
      </c>
      <c r="F260" s="38" t="str">
        <f aca="false">IF(IFERROR(INDEX(Expenses!B$3:B$1002,SMALL(IF((Expenses!E$3:E$1002="GBP")*(Expenses!A$3:A$1002=DATE(2026,12,22)),ROW(Expenses!A$3:A$1002)-2),2)),"")&lt;&gt;"",IFERROR(INDEX(Expenses!B$3:B$1002,SMALL(IF((Expenses!E$3:E$1002="GBP")*(Expenses!A$3:A$1002=DATE(2026,12,22)),ROW(Expenses!A$3:A$1002)-2),2)),""),IF(IFERROR(INDEX(Income!B$3:B$502,SMALL(IF((Income!D$3:D$502="GBP")*(Income!A$3:A$502=DATE(2026,12,22)),ROW(Income!A$3:A$502)-2),2)),"")&lt;&gt;"",IFERROR(INDEX(Income!B$3:B$502,SMALL(IF((Income!D$3:D$502="GBP")*(Income!A$3:A$502=DATE(2026,12,22)),ROW(Income!A$3:A$502)-2),2)),""),""))</f>
        <v/>
      </c>
      <c r="G260" s="62" t="str">
        <f aca="false">IF(IFERROR(-INDEX(Expenses!D$3:D$1002,SMALL(IF((Expenses!E$3:E$1002="GBP")*(Expenses!A$3:A$1002=DATE(2026,12,23)),ROW(Expenses!A$3:A$1002)-2),2)),0)+IFERROR(INDEX(Income!C$3:C$502,SMALL(IF((Income!D$3:D$502="GBP")*(Income!A$3:A$502=DATE(2026,12,23)),ROW(Income!A$3:A$502)-2),2)),0)=0,"",IFERROR(-INDEX(Expenses!D$3:D$1002,SMALL(IF((Expenses!E$3:E$1002="GBP")*(Expenses!A$3:A$1002=DATE(2026,12,23)),ROW(Expenses!A$3:A$1002)-2),2)),0)+IFERROR(INDEX(Income!C$3:C$502,SMALL(IF((Income!D$3:D$502="GBP")*(Income!A$3:A$502=DATE(2026,12,23)),ROW(Income!A$3:A$502)-2),2)),0))</f>
        <v/>
      </c>
      <c r="H260" s="38" t="str">
        <f aca="false">IF(IFERROR(INDEX(Expenses!B$3:B$1002,SMALL(IF((Expenses!E$3:E$1002="GBP")*(Expenses!A$3:A$1002=DATE(2026,12,23)),ROW(Expenses!A$3:A$1002)-2),2)),"")&lt;&gt;"",IFERROR(INDEX(Expenses!B$3:B$1002,SMALL(IF((Expenses!E$3:E$1002="GBP")*(Expenses!A$3:A$1002=DATE(2026,12,23)),ROW(Expenses!A$3:A$1002)-2),2)),""),IF(IFERROR(INDEX(Income!B$3:B$502,SMALL(IF((Income!D$3:D$502="GBP")*(Income!A$3:A$502=DATE(2026,12,23)),ROW(Income!A$3:A$502)-2),2)),"")&lt;&gt;"",IFERROR(INDEX(Income!B$3:B$502,SMALL(IF((Income!D$3:D$502="GBP")*(Income!A$3:A$502=DATE(2026,12,23)),ROW(Income!A$3:A$502)-2),2)),""),""))</f>
        <v/>
      </c>
      <c r="I260" s="62" t="str">
        <f aca="false">IF(IFERROR(-INDEX(Expenses!D$3:D$1002,SMALL(IF((Expenses!E$3:E$1002="GBP")*(Expenses!A$3:A$1002=DATE(2026,12,24)),ROW(Expenses!A$3:A$1002)-2),2)),0)+IFERROR(INDEX(Income!C$3:C$502,SMALL(IF((Income!D$3:D$502="GBP")*(Income!A$3:A$502=DATE(2026,12,24)),ROW(Income!A$3:A$502)-2),2)),0)=0,"",IFERROR(-INDEX(Expenses!D$3:D$1002,SMALL(IF((Expenses!E$3:E$1002="GBP")*(Expenses!A$3:A$1002=DATE(2026,12,24)),ROW(Expenses!A$3:A$1002)-2),2)),0)+IFERROR(INDEX(Income!C$3:C$502,SMALL(IF((Income!D$3:D$502="GBP")*(Income!A$3:A$502=DATE(2026,12,24)),ROW(Income!A$3:A$502)-2),2)),0))</f>
        <v/>
      </c>
      <c r="J260" s="38" t="str">
        <f aca="false">IF(IFERROR(INDEX(Expenses!B$3:B$1002,SMALL(IF((Expenses!E$3:E$1002="GBP")*(Expenses!A$3:A$1002=DATE(2026,12,24)),ROW(Expenses!A$3:A$1002)-2),2)),"")&lt;&gt;"",IFERROR(INDEX(Expenses!B$3:B$1002,SMALL(IF((Expenses!E$3:E$1002="GBP")*(Expenses!A$3:A$1002=DATE(2026,12,24)),ROW(Expenses!A$3:A$1002)-2),2)),""),IF(IFERROR(INDEX(Income!B$3:B$502,SMALL(IF((Income!D$3:D$502="GBP")*(Income!A$3:A$502=DATE(2026,12,24)),ROW(Income!A$3:A$502)-2),2)),"")&lt;&gt;"",IFERROR(INDEX(Income!B$3:B$502,SMALL(IF((Income!D$3:D$502="GBP")*(Income!A$3:A$502=DATE(2026,12,24)),ROW(Income!A$3:A$502)-2),2)),""),""))</f>
        <v/>
      </c>
      <c r="K260" s="62" t="str">
        <f aca="false">IF(IFERROR(-INDEX(Expenses!D$3:D$1002,SMALL(IF((Expenses!E$3:E$1002="GBP")*(Expenses!A$3:A$1002=DATE(2026,12,25)),ROW(Expenses!A$3:A$1002)-2),2)),0)+IFERROR(INDEX(Income!C$3:C$502,SMALL(IF((Income!D$3:D$502="GBP")*(Income!A$3:A$502=DATE(2026,12,25)),ROW(Income!A$3:A$502)-2),2)),0)=0,"",IFERROR(-INDEX(Expenses!D$3:D$1002,SMALL(IF((Expenses!E$3:E$1002="GBP")*(Expenses!A$3:A$1002=DATE(2026,12,25)),ROW(Expenses!A$3:A$1002)-2),2)),0)+IFERROR(INDEX(Income!C$3:C$502,SMALL(IF((Income!D$3:D$502="GBP")*(Income!A$3:A$502=DATE(2026,12,25)),ROW(Income!A$3:A$502)-2),2)),0))</f>
        <v/>
      </c>
      <c r="L260" s="38" t="str">
        <f aca="false">IF(IFERROR(INDEX(Expenses!B$3:B$1002,SMALL(IF((Expenses!E$3:E$1002="GBP")*(Expenses!A$3:A$1002=DATE(2026,12,25)),ROW(Expenses!A$3:A$1002)-2),2)),"")&lt;&gt;"",IFERROR(INDEX(Expenses!B$3:B$1002,SMALL(IF((Expenses!E$3:E$1002="GBP")*(Expenses!A$3:A$1002=DATE(2026,12,25)),ROW(Expenses!A$3:A$1002)-2),2)),""),IF(IFERROR(INDEX(Income!B$3:B$502,SMALL(IF((Income!D$3:D$502="GBP")*(Income!A$3:A$502=DATE(2026,12,25)),ROW(Income!A$3:A$502)-2),2)),"")&lt;&gt;"",IFERROR(INDEX(Income!B$3:B$502,SMALL(IF((Income!D$3:D$502="GBP")*(Income!A$3:A$502=DATE(2026,12,25)),ROW(Income!A$3:A$502)-2),2)),""),""))</f>
        <v/>
      </c>
      <c r="M260" s="62" t="str">
        <f aca="false">IF(IFERROR(-INDEX(Expenses!D$3:D$1002,SMALL(IF((Expenses!E$3:E$1002="GBP")*(Expenses!A$3:A$1002=DATE(2026,12,26)),ROW(Expenses!A$3:A$1002)-2),2)),0)+IFERROR(INDEX(Income!C$3:C$502,SMALL(IF((Income!D$3:D$502="GBP")*(Income!A$3:A$502=DATE(2026,12,26)),ROW(Income!A$3:A$502)-2),2)),0)=0,"",IFERROR(-INDEX(Expenses!D$3:D$1002,SMALL(IF((Expenses!E$3:E$1002="GBP")*(Expenses!A$3:A$1002=DATE(2026,12,26)),ROW(Expenses!A$3:A$1002)-2),2)),0)+IFERROR(INDEX(Income!C$3:C$502,SMALL(IF((Income!D$3:D$502="GBP")*(Income!A$3:A$502=DATE(2026,12,26)),ROW(Income!A$3:A$502)-2),2)),0))</f>
        <v/>
      </c>
      <c r="N260" s="38" t="str">
        <f aca="false">IF(IFERROR(INDEX(Expenses!B$3:B$1002,SMALL(IF((Expenses!E$3:E$1002="GBP")*(Expenses!A$3:A$1002=DATE(2026,12,26)),ROW(Expenses!A$3:A$1002)-2),2)),"")&lt;&gt;"",IFERROR(INDEX(Expenses!B$3:B$1002,SMALL(IF((Expenses!E$3:E$1002="GBP")*(Expenses!A$3:A$1002=DATE(2026,12,26)),ROW(Expenses!A$3:A$1002)-2),2)),""),IF(IFERROR(INDEX(Income!B$3:B$502,SMALL(IF((Income!D$3:D$502="GBP")*(Income!A$3:A$502=DATE(2026,12,26)),ROW(Income!A$3:A$502)-2),2)),"")&lt;&gt;"",IFERROR(INDEX(Income!B$3:B$502,SMALL(IF((Income!D$3:D$502="GBP")*(Income!A$3:A$502=DATE(2026,12,26)),ROW(Income!A$3:A$502)-2),2)),""),""))</f>
        <v/>
      </c>
      <c r="O260" s="62" t="str">
        <f aca="false">IF(IFERROR(-INDEX(Expenses!D$3:D$1002,SMALL(IF((Expenses!E$3:E$1002="GBP")*(Expenses!A$3:A$1002=DATE(2026,12,27)),ROW(Expenses!A$3:A$1002)-2),2)),0)+IFERROR(INDEX(Income!C$3:C$502,SMALL(IF((Income!D$3:D$502="GBP")*(Income!A$3:A$502=DATE(2026,12,27)),ROW(Income!A$3:A$502)-2),2)),0)=0,"",IFERROR(-INDEX(Expenses!D$3:D$1002,SMALL(IF((Expenses!E$3:E$1002="GBP")*(Expenses!A$3:A$1002=DATE(2026,12,27)),ROW(Expenses!A$3:A$1002)-2),2)),0)+IFERROR(INDEX(Income!C$3:C$502,SMALL(IF((Income!D$3:D$502="GBP")*(Income!A$3:A$502=DATE(2026,12,27)),ROW(Income!A$3:A$502)-2),2)),0))</f>
        <v/>
      </c>
      <c r="P260" s="38" t="str">
        <f aca="false">IF(IFERROR(INDEX(Expenses!B$3:B$1002,SMALL(IF((Expenses!E$3:E$1002="GBP")*(Expenses!A$3:A$1002=DATE(2026,12,27)),ROW(Expenses!A$3:A$1002)-2),2)),"")&lt;&gt;"",IFERROR(INDEX(Expenses!B$3:B$1002,SMALL(IF((Expenses!E$3:E$1002="GBP")*(Expenses!A$3:A$1002=DATE(2026,12,27)),ROW(Expenses!A$3:A$1002)-2),2)),""),IF(IFERROR(INDEX(Income!B$3:B$502,SMALL(IF((Income!D$3:D$502="GBP")*(Income!A$3:A$502=DATE(2026,12,27)),ROW(Income!A$3:A$502)-2),2)),"")&lt;&gt;"",IFERROR(INDEX(Income!B$3:B$502,SMALL(IF((Income!D$3:D$502="GBP")*(Income!A$3:A$502=DATE(2026,12,27)),ROW(Income!A$3:A$502)-2),2)),""),""))</f>
        <v/>
      </c>
      <c r="Q260" s="16"/>
      <c r="R260" s="16"/>
    </row>
    <row r="261" customFormat="false" ht="15" hidden="false" customHeight="false" outlineLevel="0" collapsed="false">
      <c r="A261" s="16"/>
      <c r="B261" s="16"/>
      <c r="C261" s="62" t="str">
        <f aca="false">IF(IFERROR(-INDEX(Expenses!D$3:D$1002,SMALL(IF((Expenses!E$3:E$1002="GBP")*(Expenses!A$3:A$1002=DATE(2026,12,21)),ROW(Expenses!A$3:A$1002)-2),3)),0)+IFERROR(INDEX(Income!C$3:C$502,SMALL(IF((Income!D$3:D$502="GBP")*(Income!A$3:A$502=DATE(2026,12,21)),ROW(Income!A$3:A$502)-2),3)),0)=0,"",IFERROR(-INDEX(Expenses!D$3:D$1002,SMALL(IF((Expenses!E$3:E$1002="GBP")*(Expenses!A$3:A$1002=DATE(2026,12,21)),ROW(Expenses!A$3:A$1002)-2),3)),0)+IFERROR(INDEX(Income!C$3:C$502,SMALL(IF((Income!D$3:D$502="GBP")*(Income!A$3:A$502=DATE(2026,12,21)),ROW(Income!A$3:A$502)-2),3)),0))</f>
        <v/>
      </c>
      <c r="D261" s="38" t="str">
        <f aca="false">IF(IFERROR(INDEX(Expenses!B$3:B$1002,SMALL(IF((Expenses!E$3:E$1002="GBP")*(Expenses!A$3:A$1002=DATE(2026,12,21)),ROW(Expenses!A$3:A$1002)-2),3)),"")&lt;&gt;"",IFERROR(INDEX(Expenses!B$3:B$1002,SMALL(IF((Expenses!E$3:E$1002="GBP")*(Expenses!A$3:A$1002=DATE(2026,12,21)),ROW(Expenses!A$3:A$1002)-2),3)),""),IF(IFERROR(INDEX(Income!B$3:B$502,SMALL(IF((Income!D$3:D$502="GBP")*(Income!A$3:A$502=DATE(2026,12,21)),ROW(Income!A$3:A$502)-2),3)),"")&lt;&gt;"",IFERROR(INDEX(Income!B$3:B$502,SMALL(IF((Income!D$3:D$502="GBP")*(Income!A$3:A$502=DATE(2026,12,21)),ROW(Income!A$3:A$502)-2),3)),""),""))</f>
        <v/>
      </c>
      <c r="E261" s="62" t="str">
        <f aca="false">IF(IFERROR(-INDEX(Expenses!D$3:D$1002,SMALL(IF((Expenses!E$3:E$1002="GBP")*(Expenses!A$3:A$1002=DATE(2026,12,22)),ROW(Expenses!A$3:A$1002)-2),3)),0)+IFERROR(INDEX(Income!C$3:C$502,SMALL(IF((Income!D$3:D$502="GBP")*(Income!A$3:A$502=DATE(2026,12,22)),ROW(Income!A$3:A$502)-2),3)),0)=0,"",IFERROR(-INDEX(Expenses!D$3:D$1002,SMALL(IF((Expenses!E$3:E$1002="GBP")*(Expenses!A$3:A$1002=DATE(2026,12,22)),ROW(Expenses!A$3:A$1002)-2),3)),0)+IFERROR(INDEX(Income!C$3:C$502,SMALL(IF((Income!D$3:D$502="GBP")*(Income!A$3:A$502=DATE(2026,12,22)),ROW(Income!A$3:A$502)-2),3)),0))</f>
        <v/>
      </c>
      <c r="F261" s="38" t="str">
        <f aca="false">IF(IFERROR(INDEX(Expenses!B$3:B$1002,SMALL(IF((Expenses!E$3:E$1002="GBP")*(Expenses!A$3:A$1002=DATE(2026,12,22)),ROW(Expenses!A$3:A$1002)-2),3)),"")&lt;&gt;"",IFERROR(INDEX(Expenses!B$3:B$1002,SMALL(IF((Expenses!E$3:E$1002="GBP")*(Expenses!A$3:A$1002=DATE(2026,12,22)),ROW(Expenses!A$3:A$1002)-2),3)),""),IF(IFERROR(INDEX(Income!B$3:B$502,SMALL(IF((Income!D$3:D$502="GBP")*(Income!A$3:A$502=DATE(2026,12,22)),ROW(Income!A$3:A$502)-2),3)),"")&lt;&gt;"",IFERROR(INDEX(Income!B$3:B$502,SMALL(IF((Income!D$3:D$502="GBP")*(Income!A$3:A$502=DATE(2026,12,22)),ROW(Income!A$3:A$502)-2),3)),""),""))</f>
        <v/>
      </c>
      <c r="G261" s="62" t="str">
        <f aca="false">IF(IFERROR(-INDEX(Expenses!D$3:D$1002,SMALL(IF((Expenses!E$3:E$1002="GBP")*(Expenses!A$3:A$1002=DATE(2026,12,23)),ROW(Expenses!A$3:A$1002)-2),3)),0)+IFERROR(INDEX(Income!C$3:C$502,SMALL(IF((Income!D$3:D$502="GBP")*(Income!A$3:A$502=DATE(2026,12,23)),ROW(Income!A$3:A$502)-2),3)),0)=0,"",IFERROR(-INDEX(Expenses!D$3:D$1002,SMALL(IF((Expenses!E$3:E$1002="GBP")*(Expenses!A$3:A$1002=DATE(2026,12,23)),ROW(Expenses!A$3:A$1002)-2),3)),0)+IFERROR(INDEX(Income!C$3:C$502,SMALL(IF((Income!D$3:D$502="GBP")*(Income!A$3:A$502=DATE(2026,12,23)),ROW(Income!A$3:A$502)-2),3)),0))</f>
        <v/>
      </c>
      <c r="H261" s="38" t="str">
        <f aca="false">IF(IFERROR(INDEX(Expenses!B$3:B$1002,SMALL(IF((Expenses!E$3:E$1002="GBP")*(Expenses!A$3:A$1002=DATE(2026,12,23)),ROW(Expenses!A$3:A$1002)-2),3)),"")&lt;&gt;"",IFERROR(INDEX(Expenses!B$3:B$1002,SMALL(IF((Expenses!E$3:E$1002="GBP")*(Expenses!A$3:A$1002=DATE(2026,12,23)),ROW(Expenses!A$3:A$1002)-2),3)),""),IF(IFERROR(INDEX(Income!B$3:B$502,SMALL(IF((Income!D$3:D$502="GBP")*(Income!A$3:A$502=DATE(2026,12,23)),ROW(Income!A$3:A$502)-2),3)),"")&lt;&gt;"",IFERROR(INDEX(Income!B$3:B$502,SMALL(IF((Income!D$3:D$502="GBP")*(Income!A$3:A$502=DATE(2026,12,23)),ROW(Income!A$3:A$502)-2),3)),""),""))</f>
        <v/>
      </c>
      <c r="I261" s="62" t="str">
        <f aca="false">IF(IFERROR(-INDEX(Expenses!D$3:D$1002,SMALL(IF((Expenses!E$3:E$1002="GBP")*(Expenses!A$3:A$1002=DATE(2026,12,24)),ROW(Expenses!A$3:A$1002)-2),3)),0)+IFERROR(INDEX(Income!C$3:C$502,SMALL(IF((Income!D$3:D$502="GBP")*(Income!A$3:A$502=DATE(2026,12,24)),ROW(Income!A$3:A$502)-2),3)),0)=0,"",IFERROR(-INDEX(Expenses!D$3:D$1002,SMALL(IF((Expenses!E$3:E$1002="GBP")*(Expenses!A$3:A$1002=DATE(2026,12,24)),ROW(Expenses!A$3:A$1002)-2),3)),0)+IFERROR(INDEX(Income!C$3:C$502,SMALL(IF((Income!D$3:D$502="GBP")*(Income!A$3:A$502=DATE(2026,12,24)),ROW(Income!A$3:A$502)-2),3)),0))</f>
        <v/>
      </c>
      <c r="J261" s="38" t="str">
        <f aca="false">IF(IFERROR(INDEX(Expenses!B$3:B$1002,SMALL(IF((Expenses!E$3:E$1002="GBP")*(Expenses!A$3:A$1002=DATE(2026,12,24)),ROW(Expenses!A$3:A$1002)-2),3)),"")&lt;&gt;"",IFERROR(INDEX(Expenses!B$3:B$1002,SMALL(IF((Expenses!E$3:E$1002="GBP")*(Expenses!A$3:A$1002=DATE(2026,12,24)),ROW(Expenses!A$3:A$1002)-2),3)),""),IF(IFERROR(INDEX(Income!B$3:B$502,SMALL(IF((Income!D$3:D$502="GBP")*(Income!A$3:A$502=DATE(2026,12,24)),ROW(Income!A$3:A$502)-2),3)),"")&lt;&gt;"",IFERROR(INDEX(Income!B$3:B$502,SMALL(IF((Income!D$3:D$502="GBP")*(Income!A$3:A$502=DATE(2026,12,24)),ROW(Income!A$3:A$502)-2),3)),""),""))</f>
        <v/>
      </c>
      <c r="K261" s="62" t="str">
        <f aca="false">IF(IFERROR(-INDEX(Expenses!D$3:D$1002,SMALL(IF((Expenses!E$3:E$1002="GBP")*(Expenses!A$3:A$1002=DATE(2026,12,25)),ROW(Expenses!A$3:A$1002)-2),3)),0)+IFERROR(INDEX(Income!C$3:C$502,SMALL(IF((Income!D$3:D$502="GBP")*(Income!A$3:A$502=DATE(2026,12,25)),ROW(Income!A$3:A$502)-2),3)),0)=0,"",IFERROR(-INDEX(Expenses!D$3:D$1002,SMALL(IF((Expenses!E$3:E$1002="GBP")*(Expenses!A$3:A$1002=DATE(2026,12,25)),ROW(Expenses!A$3:A$1002)-2),3)),0)+IFERROR(INDEX(Income!C$3:C$502,SMALL(IF((Income!D$3:D$502="GBP")*(Income!A$3:A$502=DATE(2026,12,25)),ROW(Income!A$3:A$502)-2),3)),0))</f>
        <v/>
      </c>
      <c r="L261" s="38" t="str">
        <f aca="false">IF(IFERROR(INDEX(Expenses!B$3:B$1002,SMALL(IF((Expenses!E$3:E$1002="GBP")*(Expenses!A$3:A$1002=DATE(2026,12,25)),ROW(Expenses!A$3:A$1002)-2),3)),"")&lt;&gt;"",IFERROR(INDEX(Expenses!B$3:B$1002,SMALL(IF((Expenses!E$3:E$1002="GBP")*(Expenses!A$3:A$1002=DATE(2026,12,25)),ROW(Expenses!A$3:A$1002)-2),3)),""),IF(IFERROR(INDEX(Income!B$3:B$502,SMALL(IF((Income!D$3:D$502="GBP")*(Income!A$3:A$502=DATE(2026,12,25)),ROW(Income!A$3:A$502)-2),3)),"")&lt;&gt;"",IFERROR(INDEX(Income!B$3:B$502,SMALL(IF((Income!D$3:D$502="GBP")*(Income!A$3:A$502=DATE(2026,12,25)),ROW(Income!A$3:A$502)-2),3)),""),""))</f>
        <v/>
      </c>
      <c r="M261" s="62" t="str">
        <f aca="false">IF(IFERROR(-INDEX(Expenses!D$3:D$1002,SMALL(IF((Expenses!E$3:E$1002="GBP")*(Expenses!A$3:A$1002=DATE(2026,12,26)),ROW(Expenses!A$3:A$1002)-2),3)),0)+IFERROR(INDEX(Income!C$3:C$502,SMALL(IF((Income!D$3:D$502="GBP")*(Income!A$3:A$502=DATE(2026,12,26)),ROW(Income!A$3:A$502)-2),3)),0)=0,"",IFERROR(-INDEX(Expenses!D$3:D$1002,SMALL(IF((Expenses!E$3:E$1002="GBP")*(Expenses!A$3:A$1002=DATE(2026,12,26)),ROW(Expenses!A$3:A$1002)-2),3)),0)+IFERROR(INDEX(Income!C$3:C$502,SMALL(IF((Income!D$3:D$502="GBP")*(Income!A$3:A$502=DATE(2026,12,26)),ROW(Income!A$3:A$502)-2),3)),0))</f>
        <v/>
      </c>
      <c r="N261" s="38" t="str">
        <f aca="false">IF(IFERROR(INDEX(Expenses!B$3:B$1002,SMALL(IF((Expenses!E$3:E$1002="GBP")*(Expenses!A$3:A$1002=DATE(2026,12,26)),ROW(Expenses!A$3:A$1002)-2),3)),"")&lt;&gt;"",IFERROR(INDEX(Expenses!B$3:B$1002,SMALL(IF((Expenses!E$3:E$1002="GBP")*(Expenses!A$3:A$1002=DATE(2026,12,26)),ROW(Expenses!A$3:A$1002)-2),3)),""),IF(IFERROR(INDEX(Income!B$3:B$502,SMALL(IF((Income!D$3:D$502="GBP")*(Income!A$3:A$502=DATE(2026,12,26)),ROW(Income!A$3:A$502)-2),3)),"")&lt;&gt;"",IFERROR(INDEX(Income!B$3:B$502,SMALL(IF((Income!D$3:D$502="GBP")*(Income!A$3:A$502=DATE(2026,12,26)),ROW(Income!A$3:A$502)-2),3)),""),""))</f>
        <v/>
      </c>
      <c r="O261" s="62" t="str">
        <f aca="false">IF(IFERROR(-INDEX(Expenses!D$3:D$1002,SMALL(IF((Expenses!E$3:E$1002="GBP")*(Expenses!A$3:A$1002=DATE(2026,12,27)),ROW(Expenses!A$3:A$1002)-2),3)),0)+IFERROR(INDEX(Income!C$3:C$502,SMALL(IF((Income!D$3:D$502="GBP")*(Income!A$3:A$502=DATE(2026,12,27)),ROW(Income!A$3:A$502)-2),3)),0)=0,"",IFERROR(-INDEX(Expenses!D$3:D$1002,SMALL(IF((Expenses!E$3:E$1002="GBP")*(Expenses!A$3:A$1002=DATE(2026,12,27)),ROW(Expenses!A$3:A$1002)-2),3)),0)+IFERROR(INDEX(Income!C$3:C$502,SMALL(IF((Income!D$3:D$502="GBP")*(Income!A$3:A$502=DATE(2026,12,27)),ROW(Income!A$3:A$502)-2),3)),0))</f>
        <v/>
      </c>
      <c r="P261" s="38" t="str">
        <f aca="false">IF(IFERROR(INDEX(Expenses!B$3:B$1002,SMALL(IF((Expenses!E$3:E$1002="GBP")*(Expenses!A$3:A$1002=DATE(2026,12,27)),ROW(Expenses!A$3:A$1002)-2),3)),"")&lt;&gt;"",IFERROR(INDEX(Expenses!B$3:B$1002,SMALL(IF((Expenses!E$3:E$1002="GBP")*(Expenses!A$3:A$1002=DATE(2026,12,27)),ROW(Expenses!A$3:A$1002)-2),3)),""),IF(IFERROR(INDEX(Income!B$3:B$502,SMALL(IF((Income!D$3:D$502="GBP")*(Income!A$3:A$502=DATE(2026,12,27)),ROW(Income!A$3:A$502)-2),3)),"")&lt;&gt;"",IFERROR(INDEX(Income!B$3:B$502,SMALL(IF((Income!D$3:D$502="GBP")*(Income!A$3:A$502=DATE(2026,12,27)),ROW(Income!A$3:A$502)-2),3)),""),""))</f>
        <v/>
      </c>
      <c r="Q261" s="16"/>
      <c r="R261" s="16"/>
    </row>
    <row r="262" customFormat="false" ht="15" hidden="false" customHeight="false" outlineLevel="0" collapsed="false">
      <c r="A262" s="16"/>
      <c r="B262" s="16"/>
      <c r="C262" s="62" t="str">
        <f aca="false">IF(IFERROR(-INDEX(Expenses!D$3:D$1002,SMALL(IF((Expenses!E$3:E$1002="GBP")*(Expenses!A$3:A$1002=DATE(2026,12,21)),ROW(Expenses!A$3:A$1002)-2),4)),0)+IFERROR(INDEX(Income!C$3:C$502,SMALL(IF((Income!D$3:D$502="GBP")*(Income!A$3:A$502=DATE(2026,12,21)),ROW(Income!A$3:A$502)-2),4)),0)=0,"",IFERROR(-INDEX(Expenses!D$3:D$1002,SMALL(IF((Expenses!E$3:E$1002="GBP")*(Expenses!A$3:A$1002=DATE(2026,12,21)),ROW(Expenses!A$3:A$1002)-2),4)),0)+IFERROR(INDEX(Income!C$3:C$502,SMALL(IF((Income!D$3:D$502="GBP")*(Income!A$3:A$502=DATE(2026,12,21)),ROW(Income!A$3:A$502)-2),4)),0))</f>
        <v/>
      </c>
      <c r="D262" s="38" t="str">
        <f aca="false">IF(IFERROR(INDEX(Expenses!B$3:B$1002,SMALL(IF((Expenses!E$3:E$1002="GBP")*(Expenses!A$3:A$1002=DATE(2026,12,21)),ROW(Expenses!A$3:A$1002)-2),4)),"")&lt;&gt;"",IFERROR(INDEX(Expenses!B$3:B$1002,SMALL(IF((Expenses!E$3:E$1002="GBP")*(Expenses!A$3:A$1002=DATE(2026,12,21)),ROW(Expenses!A$3:A$1002)-2),4)),""),IF(IFERROR(INDEX(Income!B$3:B$502,SMALL(IF((Income!D$3:D$502="GBP")*(Income!A$3:A$502=DATE(2026,12,21)),ROW(Income!A$3:A$502)-2),4)),"")&lt;&gt;"",IFERROR(INDEX(Income!B$3:B$502,SMALL(IF((Income!D$3:D$502="GBP")*(Income!A$3:A$502=DATE(2026,12,21)),ROW(Income!A$3:A$502)-2),4)),""),""))</f>
        <v/>
      </c>
      <c r="E262" s="62" t="str">
        <f aca="false">IF(IFERROR(-INDEX(Expenses!D$3:D$1002,SMALL(IF((Expenses!E$3:E$1002="GBP")*(Expenses!A$3:A$1002=DATE(2026,12,22)),ROW(Expenses!A$3:A$1002)-2),4)),0)+IFERROR(INDEX(Income!C$3:C$502,SMALL(IF((Income!D$3:D$502="GBP")*(Income!A$3:A$502=DATE(2026,12,22)),ROW(Income!A$3:A$502)-2),4)),0)=0,"",IFERROR(-INDEX(Expenses!D$3:D$1002,SMALL(IF((Expenses!E$3:E$1002="GBP")*(Expenses!A$3:A$1002=DATE(2026,12,22)),ROW(Expenses!A$3:A$1002)-2),4)),0)+IFERROR(INDEX(Income!C$3:C$502,SMALL(IF((Income!D$3:D$502="GBP")*(Income!A$3:A$502=DATE(2026,12,22)),ROW(Income!A$3:A$502)-2),4)),0))</f>
        <v/>
      </c>
      <c r="F262" s="38" t="str">
        <f aca="false">IF(IFERROR(INDEX(Expenses!B$3:B$1002,SMALL(IF((Expenses!E$3:E$1002="GBP")*(Expenses!A$3:A$1002=DATE(2026,12,22)),ROW(Expenses!A$3:A$1002)-2),4)),"")&lt;&gt;"",IFERROR(INDEX(Expenses!B$3:B$1002,SMALL(IF((Expenses!E$3:E$1002="GBP")*(Expenses!A$3:A$1002=DATE(2026,12,22)),ROW(Expenses!A$3:A$1002)-2),4)),""),IF(IFERROR(INDEX(Income!B$3:B$502,SMALL(IF((Income!D$3:D$502="GBP")*(Income!A$3:A$502=DATE(2026,12,22)),ROW(Income!A$3:A$502)-2),4)),"")&lt;&gt;"",IFERROR(INDEX(Income!B$3:B$502,SMALL(IF((Income!D$3:D$502="GBP")*(Income!A$3:A$502=DATE(2026,12,22)),ROW(Income!A$3:A$502)-2),4)),""),""))</f>
        <v/>
      </c>
      <c r="G262" s="62" t="str">
        <f aca="false">IF(IFERROR(-INDEX(Expenses!D$3:D$1002,SMALL(IF((Expenses!E$3:E$1002="GBP")*(Expenses!A$3:A$1002=DATE(2026,12,23)),ROW(Expenses!A$3:A$1002)-2),4)),0)+IFERROR(INDEX(Income!C$3:C$502,SMALL(IF((Income!D$3:D$502="GBP")*(Income!A$3:A$502=DATE(2026,12,23)),ROW(Income!A$3:A$502)-2),4)),0)=0,"",IFERROR(-INDEX(Expenses!D$3:D$1002,SMALL(IF((Expenses!E$3:E$1002="GBP")*(Expenses!A$3:A$1002=DATE(2026,12,23)),ROW(Expenses!A$3:A$1002)-2),4)),0)+IFERROR(INDEX(Income!C$3:C$502,SMALL(IF((Income!D$3:D$502="GBP")*(Income!A$3:A$502=DATE(2026,12,23)),ROW(Income!A$3:A$502)-2),4)),0))</f>
        <v/>
      </c>
      <c r="H262" s="38" t="str">
        <f aca="false">IF(IFERROR(INDEX(Expenses!B$3:B$1002,SMALL(IF((Expenses!E$3:E$1002="GBP")*(Expenses!A$3:A$1002=DATE(2026,12,23)),ROW(Expenses!A$3:A$1002)-2),4)),"")&lt;&gt;"",IFERROR(INDEX(Expenses!B$3:B$1002,SMALL(IF((Expenses!E$3:E$1002="GBP")*(Expenses!A$3:A$1002=DATE(2026,12,23)),ROW(Expenses!A$3:A$1002)-2),4)),""),IF(IFERROR(INDEX(Income!B$3:B$502,SMALL(IF((Income!D$3:D$502="GBP")*(Income!A$3:A$502=DATE(2026,12,23)),ROW(Income!A$3:A$502)-2),4)),"")&lt;&gt;"",IFERROR(INDEX(Income!B$3:B$502,SMALL(IF((Income!D$3:D$502="GBP")*(Income!A$3:A$502=DATE(2026,12,23)),ROW(Income!A$3:A$502)-2),4)),""),""))</f>
        <v/>
      </c>
      <c r="I262" s="62" t="str">
        <f aca="false">IF(IFERROR(-INDEX(Expenses!D$3:D$1002,SMALL(IF((Expenses!E$3:E$1002="GBP")*(Expenses!A$3:A$1002=DATE(2026,12,24)),ROW(Expenses!A$3:A$1002)-2),4)),0)+IFERROR(INDEX(Income!C$3:C$502,SMALL(IF((Income!D$3:D$502="GBP")*(Income!A$3:A$502=DATE(2026,12,24)),ROW(Income!A$3:A$502)-2),4)),0)=0,"",IFERROR(-INDEX(Expenses!D$3:D$1002,SMALL(IF((Expenses!E$3:E$1002="GBP")*(Expenses!A$3:A$1002=DATE(2026,12,24)),ROW(Expenses!A$3:A$1002)-2),4)),0)+IFERROR(INDEX(Income!C$3:C$502,SMALL(IF((Income!D$3:D$502="GBP")*(Income!A$3:A$502=DATE(2026,12,24)),ROW(Income!A$3:A$502)-2),4)),0))</f>
        <v/>
      </c>
      <c r="J262" s="38" t="str">
        <f aca="false">IF(IFERROR(INDEX(Expenses!B$3:B$1002,SMALL(IF((Expenses!E$3:E$1002="GBP")*(Expenses!A$3:A$1002=DATE(2026,12,24)),ROW(Expenses!A$3:A$1002)-2),4)),"")&lt;&gt;"",IFERROR(INDEX(Expenses!B$3:B$1002,SMALL(IF((Expenses!E$3:E$1002="GBP")*(Expenses!A$3:A$1002=DATE(2026,12,24)),ROW(Expenses!A$3:A$1002)-2),4)),""),IF(IFERROR(INDEX(Income!B$3:B$502,SMALL(IF((Income!D$3:D$502="GBP")*(Income!A$3:A$502=DATE(2026,12,24)),ROW(Income!A$3:A$502)-2),4)),"")&lt;&gt;"",IFERROR(INDEX(Income!B$3:B$502,SMALL(IF((Income!D$3:D$502="GBP")*(Income!A$3:A$502=DATE(2026,12,24)),ROW(Income!A$3:A$502)-2),4)),""),""))</f>
        <v/>
      </c>
      <c r="K262" s="62" t="str">
        <f aca="false">IF(IFERROR(-INDEX(Expenses!D$3:D$1002,SMALL(IF((Expenses!E$3:E$1002="GBP")*(Expenses!A$3:A$1002=DATE(2026,12,25)),ROW(Expenses!A$3:A$1002)-2),4)),0)+IFERROR(INDEX(Income!C$3:C$502,SMALL(IF((Income!D$3:D$502="GBP")*(Income!A$3:A$502=DATE(2026,12,25)),ROW(Income!A$3:A$502)-2),4)),0)=0,"",IFERROR(-INDEX(Expenses!D$3:D$1002,SMALL(IF((Expenses!E$3:E$1002="GBP")*(Expenses!A$3:A$1002=DATE(2026,12,25)),ROW(Expenses!A$3:A$1002)-2),4)),0)+IFERROR(INDEX(Income!C$3:C$502,SMALL(IF((Income!D$3:D$502="GBP")*(Income!A$3:A$502=DATE(2026,12,25)),ROW(Income!A$3:A$502)-2),4)),0))</f>
        <v/>
      </c>
      <c r="L262" s="38" t="str">
        <f aca="false">IF(IFERROR(INDEX(Expenses!B$3:B$1002,SMALL(IF((Expenses!E$3:E$1002="GBP")*(Expenses!A$3:A$1002=DATE(2026,12,25)),ROW(Expenses!A$3:A$1002)-2),4)),"")&lt;&gt;"",IFERROR(INDEX(Expenses!B$3:B$1002,SMALL(IF((Expenses!E$3:E$1002="GBP")*(Expenses!A$3:A$1002=DATE(2026,12,25)),ROW(Expenses!A$3:A$1002)-2),4)),""),IF(IFERROR(INDEX(Income!B$3:B$502,SMALL(IF((Income!D$3:D$502="GBP")*(Income!A$3:A$502=DATE(2026,12,25)),ROW(Income!A$3:A$502)-2),4)),"")&lt;&gt;"",IFERROR(INDEX(Income!B$3:B$502,SMALL(IF((Income!D$3:D$502="GBP")*(Income!A$3:A$502=DATE(2026,12,25)),ROW(Income!A$3:A$502)-2),4)),""),""))</f>
        <v/>
      </c>
      <c r="M262" s="62" t="str">
        <f aca="false">IF(IFERROR(-INDEX(Expenses!D$3:D$1002,SMALL(IF((Expenses!E$3:E$1002="GBP")*(Expenses!A$3:A$1002=DATE(2026,12,26)),ROW(Expenses!A$3:A$1002)-2),4)),0)+IFERROR(INDEX(Income!C$3:C$502,SMALL(IF((Income!D$3:D$502="GBP")*(Income!A$3:A$502=DATE(2026,12,26)),ROW(Income!A$3:A$502)-2),4)),0)=0,"",IFERROR(-INDEX(Expenses!D$3:D$1002,SMALL(IF((Expenses!E$3:E$1002="GBP")*(Expenses!A$3:A$1002=DATE(2026,12,26)),ROW(Expenses!A$3:A$1002)-2),4)),0)+IFERROR(INDEX(Income!C$3:C$502,SMALL(IF((Income!D$3:D$502="GBP")*(Income!A$3:A$502=DATE(2026,12,26)),ROW(Income!A$3:A$502)-2),4)),0))</f>
        <v/>
      </c>
      <c r="N262" s="38" t="str">
        <f aca="false">IF(IFERROR(INDEX(Expenses!B$3:B$1002,SMALL(IF((Expenses!E$3:E$1002="GBP")*(Expenses!A$3:A$1002=DATE(2026,12,26)),ROW(Expenses!A$3:A$1002)-2),4)),"")&lt;&gt;"",IFERROR(INDEX(Expenses!B$3:B$1002,SMALL(IF((Expenses!E$3:E$1002="GBP")*(Expenses!A$3:A$1002=DATE(2026,12,26)),ROW(Expenses!A$3:A$1002)-2),4)),""),IF(IFERROR(INDEX(Income!B$3:B$502,SMALL(IF((Income!D$3:D$502="GBP")*(Income!A$3:A$502=DATE(2026,12,26)),ROW(Income!A$3:A$502)-2),4)),"")&lt;&gt;"",IFERROR(INDEX(Income!B$3:B$502,SMALL(IF((Income!D$3:D$502="GBP")*(Income!A$3:A$502=DATE(2026,12,26)),ROW(Income!A$3:A$502)-2),4)),""),""))</f>
        <v/>
      </c>
      <c r="O262" s="62" t="str">
        <f aca="false">IF(IFERROR(-INDEX(Expenses!D$3:D$1002,SMALL(IF((Expenses!E$3:E$1002="GBP")*(Expenses!A$3:A$1002=DATE(2026,12,27)),ROW(Expenses!A$3:A$1002)-2),4)),0)+IFERROR(INDEX(Income!C$3:C$502,SMALL(IF((Income!D$3:D$502="GBP")*(Income!A$3:A$502=DATE(2026,12,27)),ROW(Income!A$3:A$502)-2),4)),0)=0,"",IFERROR(-INDEX(Expenses!D$3:D$1002,SMALL(IF((Expenses!E$3:E$1002="GBP")*(Expenses!A$3:A$1002=DATE(2026,12,27)),ROW(Expenses!A$3:A$1002)-2),4)),0)+IFERROR(INDEX(Income!C$3:C$502,SMALL(IF((Income!D$3:D$502="GBP")*(Income!A$3:A$502=DATE(2026,12,27)),ROW(Income!A$3:A$502)-2),4)),0))</f>
        <v/>
      </c>
      <c r="P262" s="38" t="str">
        <f aca="false">IF(IFERROR(INDEX(Expenses!B$3:B$1002,SMALL(IF((Expenses!E$3:E$1002="GBP")*(Expenses!A$3:A$1002=DATE(2026,12,27)),ROW(Expenses!A$3:A$1002)-2),4)),"")&lt;&gt;"",IFERROR(INDEX(Expenses!B$3:B$1002,SMALL(IF((Expenses!E$3:E$1002="GBP")*(Expenses!A$3:A$1002=DATE(2026,12,27)),ROW(Expenses!A$3:A$1002)-2),4)),""),IF(IFERROR(INDEX(Income!B$3:B$502,SMALL(IF((Income!D$3:D$502="GBP")*(Income!A$3:A$502=DATE(2026,12,27)),ROW(Income!A$3:A$502)-2),4)),"")&lt;&gt;"",IFERROR(INDEX(Income!B$3:B$502,SMALL(IF((Income!D$3:D$502="GBP")*(Income!A$3:A$502=DATE(2026,12,27)),ROW(Income!A$3:A$502)-2),4)),""),""))</f>
        <v/>
      </c>
      <c r="Q262" s="16"/>
      <c r="R262" s="16"/>
    </row>
    <row r="263" customFormat="false" ht="15" hidden="false" customHeight="false" outlineLevel="0" collapsed="false">
      <c r="A263" s="16"/>
      <c r="B263" s="16"/>
      <c r="C263" s="62" t="str">
        <f aca="false">IF(IFERROR(-INDEX(Expenses!D$3:D$1002,SMALL(IF((Expenses!E$3:E$1002="GBP")*(Expenses!A$3:A$1002=DATE(2026,12,21)),ROW(Expenses!A$3:A$1002)-2),5)),0)+IFERROR(INDEX(Income!C$3:C$502,SMALL(IF((Income!D$3:D$502="GBP")*(Income!A$3:A$502=DATE(2026,12,21)),ROW(Income!A$3:A$502)-2),5)),0)=0,"",IFERROR(-INDEX(Expenses!D$3:D$1002,SMALL(IF((Expenses!E$3:E$1002="GBP")*(Expenses!A$3:A$1002=DATE(2026,12,21)),ROW(Expenses!A$3:A$1002)-2),5)),0)+IFERROR(INDEX(Income!C$3:C$502,SMALL(IF((Income!D$3:D$502="GBP")*(Income!A$3:A$502=DATE(2026,12,21)),ROW(Income!A$3:A$502)-2),5)),0))</f>
        <v/>
      </c>
      <c r="D263" s="38" t="str">
        <f aca="false">IF(IFERROR(INDEX(Expenses!B$3:B$1002,SMALL(IF((Expenses!E$3:E$1002="GBP")*(Expenses!A$3:A$1002=DATE(2026,12,21)),ROW(Expenses!A$3:A$1002)-2),5)),"")&lt;&gt;"",IFERROR(INDEX(Expenses!B$3:B$1002,SMALL(IF((Expenses!E$3:E$1002="GBP")*(Expenses!A$3:A$1002=DATE(2026,12,21)),ROW(Expenses!A$3:A$1002)-2),5)),""),IF(IFERROR(INDEX(Income!B$3:B$502,SMALL(IF((Income!D$3:D$502="GBP")*(Income!A$3:A$502=DATE(2026,12,21)),ROW(Income!A$3:A$502)-2),5)),"")&lt;&gt;"",IFERROR(INDEX(Income!B$3:B$502,SMALL(IF((Income!D$3:D$502="GBP")*(Income!A$3:A$502=DATE(2026,12,21)),ROW(Income!A$3:A$502)-2),5)),""),""))</f>
        <v/>
      </c>
      <c r="E263" s="62" t="str">
        <f aca="false">IF(IFERROR(-INDEX(Expenses!D$3:D$1002,SMALL(IF((Expenses!E$3:E$1002="GBP")*(Expenses!A$3:A$1002=DATE(2026,12,22)),ROW(Expenses!A$3:A$1002)-2),5)),0)+IFERROR(INDEX(Income!C$3:C$502,SMALL(IF((Income!D$3:D$502="GBP")*(Income!A$3:A$502=DATE(2026,12,22)),ROW(Income!A$3:A$502)-2),5)),0)=0,"",IFERROR(-INDEX(Expenses!D$3:D$1002,SMALL(IF((Expenses!E$3:E$1002="GBP")*(Expenses!A$3:A$1002=DATE(2026,12,22)),ROW(Expenses!A$3:A$1002)-2),5)),0)+IFERROR(INDEX(Income!C$3:C$502,SMALL(IF((Income!D$3:D$502="GBP")*(Income!A$3:A$502=DATE(2026,12,22)),ROW(Income!A$3:A$502)-2),5)),0))</f>
        <v/>
      </c>
      <c r="F263" s="38" t="str">
        <f aca="false">IF(IFERROR(INDEX(Expenses!B$3:B$1002,SMALL(IF((Expenses!E$3:E$1002="GBP")*(Expenses!A$3:A$1002=DATE(2026,12,22)),ROW(Expenses!A$3:A$1002)-2),5)),"")&lt;&gt;"",IFERROR(INDEX(Expenses!B$3:B$1002,SMALL(IF((Expenses!E$3:E$1002="GBP")*(Expenses!A$3:A$1002=DATE(2026,12,22)),ROW(Expenses!A$3:A$1002)-2),5)),""),IF(IFERROR(INDEX(Income!B$3:B$502,SMALL(IF((Income!D$3:D$502="GBP")*(Income!A$3:A$502=DATE(2026,12,22)),ROW(Income!A$3:A$502)-2),5)),"")&lt;&gt;"",IFERROR(INDEX(Income!B$3:B$502,SMALL(IF((Income!D$3:D$502="GBP")*(Income!A$3:A$502=DATE(2026,12,22)),ROW(Income!A$3:A$502)-2),5)),""),""))</f>
        <v/>
      </c>
      <c r="G263" s="62" t="str">
        <f aca="false">IF(IFERROR(-INDEX(Expenses!D$3:D$1002,SMALL(IF((Expenses!E$3:E$1002="GBP")*(Expenses!A$3:A$1002=DATE(2026,12,23)),ROW(Expenses!A$3:A$1002)-2),5)),0)+IFERROR(INDEX(Income!C$3:C$502,SMALL(IF((Income!D$3:D$502="GBP")*(Income!A$3:A$502=DATE(2026,12,23)),ROW(Income!A$3:A$502)-2),5)),0)=0,"",IFERROR(-INDEX(Expenses!D$3:D$1002,SMALL(IF((Expenses!E$3:E$1002="GBP")*(Expenses!A$3:A$1002=DATE(2026,12,23)),ROW(Expenses!A$3:A$1002)-2),5)),0)+IFERROR(INDEX(Income!C$3:C$502,SMALL(IF((Income!D$3:D$502="GBP")*(Income!A$3:A$502=DATE(2026,12,23)),ROW(Income!A$3:A$502)-2),5)),0))</f>
        <v/>
      </c>
      <c r="H263" s="38" t="str">
        <f aca="false">IF(IFERROR(INDEX(Expenses!B$3:B$1002,SMALL(IF((Expenses!E$3:E$1002="GBP")*(Expenses!A$3:A$1002=DATE(2026,12,23)),ROW(Expenses!A$3:A$1002)-2),5)),"")&lt;&gt;"",IFERROR(INDEX(Expenses!B$3:B$1002,SMALL(IF((Expenses!E$3:E$1002="GBP")*(Expenses!A$3:A$1002=DATE(2026,12,23)),ROW(Expenses!A$3:A$1002)-2),5)),""),IF(IFERROR(INDEX(Income!B$3:B$502,SMALL(IF((Income!D$3:D$502="GBP")*(Income!A$3:A$502=DATE(2026,12,23)),ROW(Income!A$3:A$502)-2),5)),"")&lt;&gt;"",IFERROR(INDEX(Income!B$3:B$502,SMALL(IF((Income!D$3:D$502="GBP")*(Income!A$3:A$502=DATE(2026,12,23)),ROW(Income!A$3:A$502)-2),5)),""),""))</f>
        <v/>
      </c>
      <c r="I263" s="62" t="str">
        <f aca="false">IF(IFERROR(-INDEX(Expenses!D$3:D$1002,SMALL(IF((Expenses!E$3:E$1002="GBP")*(Expenses!A$3:A$1002=DATE(2026,12,24)),ROW(Expenses!A$3:A$1002)-2),5)),0)+IFERROR(INDEX(Income!C$3:C$502,SMALL(IF((Income!D$3:D$502="GBP")*(Income!A$3:A$502=DATE(2026,12,24)),ROW(Income!A$3:A$502)-2),5)),0)=0,"",IFERROR(-INDEX(Expenses!D$3:D$1002,SMALL(IF((Expenses!E$3:E$1002="GBP")*(Expenses!A$3:A$1002=DATE(2026,12,24)),ROW(Expenses!A$3:A$1002)-2),5)),0)+IFERROR(INDEX(Income!C$3:C$502,SMALL(IF((Income!D$3:D$502="GBP")*(Income!A$3:A$502=DATE(2026,12,24)),ROW(Income!A$3:A$502)-2),5)),0))</f>
        <v/>
      </c>
      <c r="J263" s="38" t="str">
        <f aca="false">IF(IFERROR(INDEX(Expenses!B$3:B$1002,SMALL(IF((Expenses!E$3:E$1002="GBP")*(Expenses!A$3:A$1002=DATE(2026,12,24)),ROW(Expenses!A$3:A$1002)-2),5)),"")&lt;&gt;"",IFERROR(INDEX(Expenses!B$3:B$1002,SMALL(IF((Expenses!E$3:E$1002="GBP")*(Expenses!A$3:A$1002=DATE(2026,12,24)),ROW(Expenses!A$3:A$1002)-2),5)),""),IF(IFERROR(INDEX(Income!B$3:B$502,SMALL(IF((Income!D$3:D$502="GBP")*(Income!A$3:A$502=DATE(2026,12,24)),ROW(Income!A$3:A$502)-2),5)),"")&lt;&gt;"",IFERROR(INDEX(Income!B$3:B$502,SMALL(IF((Income!D$3:D$502="GBP")*(Income!A$3:A$502=DATE(2026,12,24)),ROW(Income!A$3:A$502)-2),5)),""),""))</f>
        <v/>
      </c>
      <c r="K263" s="62" t="str">
        <f aca="false">IF(IFERROR(-INDEX(Expenses!D$3:D$1002,SMALL(IF((Expenses!E$3:E$1002="GBP")*(Expenses!A$3:A$1002=DATE(2026,12,25)),ROW(Expenses!A$3:A$1002)-2),5)),0)+IFERROR(INDEX(Income!C$3:C$502,SMALL(IF((Income!D$3:D$502="GBP")*(Income!A$3:A$502=DATE(2026,12,25)),ROW(Income!A$3:A$502)-2),5)),0)=0,"",IFERROR(-INDEX(Expenses!D$3:D$1002,SMALL(IF((Expenses!E$3:E$1002="GBP")*(Expenses!A$3:A$1002=DATE(2026,12,25)),ROW(Expenses!A$3:A$1002)-2),5)),0)+IFERROR(INDEX(Income!C$3:C$502,SMALL(IF((Income!D$3:D$502="GBP")*(Income!A$3:A$502=DATE(2026,12,25)),ROW(Income!A$3:A$502)-2),5)),0))</f>
        <v/>
      </c>
      <c r="L263" s="38" t="str">
        <f aca="false">IF(IFERROR(INDEX(Expenses!B$3:B$1002,SMALL(IF((Expenses!E$3:E$1002="GBP")*(Expenses!A$3:A$1002=DATE(2026,12,25)),ROW(Expenses!A$3:A$1002)-2),5)),"")&lt;&gt;"",IFERROR(INDEX(Expenses!B$3:B$1002,SMALL(IF((Expenses!E$3:E$1002="GBP")*(Expenses!A$3:A$1002=DATE(2026,12,25)),ROW(Expenses!A$3:A$1002)-2),5)),""),IF(IFERROR(INDEX(Income!B$3:B$502,SMALL(IF((Income!D$3:D$502="GBP")*(Income!A$3:A$502=DATE(2026,12,25)),ROW(Income!A$3:A$502)-2),5)),"")&lt;&gt;"",IFERROR(INDEX(Income!B$3:B$502,SMALL(IF((Income!D$3:D$502="GBP")*(Income!A$3:A$502=DATE(2026,12,25)),ROW(Income!A$3:A$502)-2),5)),""),""))</f>
        <v/>
      </c>
      <c r="M263" s="62" t="str">
        <f aca="false">IF(IFERROR(-INDEX(Expenses!D$3:D$1002,SMALL(IF((Expenses!E$3:E$1002="GBP")*(Expenses!A$3:A$1002=DATE(2026,12,26)),ROW(Expenses!A$3:A$1002)-2),5)),0)+IFERROR(INDEX(Income!C$3:C$502,SMALL(IF((Income!D$3:D$502="GBP")*(Income!A$3:A$502=DATE(2026,12,26)),ROW(Income!A$3:A$502)-2),5)),0)=0,"",IFERROR(-INDEX(Expenses!D$3:D$1002,SMALL(IF((Expenses!E$3:E$1002="GBP")*(Expenses!A$3:A$1002=DATE(2026,12,26)),ROW(Expenses!A$3:A$1002)-2),5)),0)+IFERROR(INDEX(Income!C$3:C$502,SMALL(IF((Income!D$3:D$502="GBP")*(Income!A$3:A$502=DATE(2026,12,26)),ROW(Income!A$3:A$502)-2),5)),0))</f>
        <v/>
      </c>
      <c r="N263" s="38" t="str">
        <f aca="false">IF(IFERROR(INDEX(Expenses!B$3:B$1002,SMALL(IF((Expenses!E$3:E$1002="GBP")*(Expenses!A$3:A$1002=DATE(2026,12,26)),ROW(Expenses!A$3:A$1002)-2),5)),"")&lt;&gt;"",IFERROR(INDEX(Expenses!B$3:B$1002,SMALL(IF((Expenses!E$3:E$1002="GBP")*(Expenses!A$3:A$1002=DATE(2026,12,26)),ROW(Expenses!A$3:A$1002)-2),5)),""),IF(IFERROR(INDEX(Income!B$3:B$502,SMALL(IF((Income!D$3:D$502="GBP")*(Income!A$3:A$502=DATE(2026,12,26)),ROW(Income!A$3:A$502)-2),5)),"")&lt;&gt;"",IFERROR(INDEX(Income!B$3:B$502,SMALL(IF((Income!D$3:D$502="GBP")*(Income!A$3:A$502=DATE(2026,12,26)),ROW(Income!A$3:A$502)-2),5)),""),""))</f>
        <v/>
      </c>
      <c r="O263" s="62" t="str">
        <f aca="false">IF(IFERROR(-INDEX(Expenses!D$3:D$1002,SMALL(IF((Expenses!E$3:E$1002="GBP")*(Expenses!A$3:A$1002=DATE(2026,12,27)),ROW(Expenses!A$3:A$1002)-2),5)),0)+IFERROR(INDEX(Income!C$3:C$502,SMALL(IF((Income!D$3:D$502="GBP")*(Income!A$3:A$502=DATE(2026,12,27)),ROW(Income!A$3:A$502)-2),5)),0)=0,"",IFERROR(-INDEX(Expenses!D$3:D$1002,SMALL(IF((Expenses!E$3:E$1002="GBP")*(Expenses!A$3:A$1002=DATE(2026,12,27)),ROW(Expenses!A$3:A$1002)-2),5)),0)+IFERROR(INDEX(Income!C$3:C$502,SMALL(IF((Income!D$3:D$502="GBP")*(Income!A$3:A$502=DATE(2026,12,27)),ROW(Income!A$3:A$502)-2),5)),0))</f>
        <v/>
      </c>
      <c r="P263" s="38" t="str">
        <f aca="false">IF(IFERROR(INDEX(Expenses!B$3:B$1002,SMALL(IF((Expenses!E$3:E$1002="GBP")*(Expenses!A$3:A$1002=DATE(2026,12,27)),ROW(Expenses!A$3:A$1002)-2),5)),"")&lt;&gt;"",IFERROR(INDEX(Expenses!B$3:B$1002,SMALL(IF((Expenses!E$3:E$1002="GBP")*(Expenses!A$3:A$1002=DATE(2026,12,27)),ROW(Expenses!A$3:A$1002)-2),5)),""),IF(IFERROR(INDEX(Income!B$3:B$502,SMALL(IF((Income!D$3:D$502="GBP")*(Income!A$3:A$502=DATE(2026,12,27)),ROW(Income!A$3:A$502)-2),5)),"")&lt;&gt;"",IFERROR(INDEX(Income!B$3:B$502,SMALL(IF((Income!D$3:D$502="GBP")*(Income!A$3:A$502=DATE(2026,12,27)),ROW(Income!A$3:A$502)-2),5)),""),""))</f>
        <v/>
      </c>
      <c r="Q263" s="16"/>
      <c r="R263" s="16"/>
    </row>
    <row r="264" customFormat="false" ht="15" hidden="false" customHeight="false" outlineLevel="0" collapsed="false">
      <c r="A264" s="61" t="n">
        <v>46384</v>
      </c>
      <c r="B264" s="3" t="n">
        <v>53</v>
      </c>
      <c r="C264" s="62" t="str">
        <f aca="false">IF(IFERROR(-INDEX(Expenses!D$3:D$1002,SMALL(IF((Expenses!E$3:E$1002="GBP")*(Expenses!A$3:A$1002=DATE(2026,12,28)),ROW(Expenses!A$3:A$1002)-2),1)),0)+IFERROR(INDEX(Income!C$3:C$502,SMALL(IF((Income!D$3:D$502="GBP")*(Income!A$3:A$502=DATE(2026,12,28)),ROW(Income!A$3:A$502)-2),1)),0)=0,"",IFERROR(-INDEX(Expenses!D$3:D$1002,SMALL(IF((Expenses!E$3:E$1002="GBP")*(Expenses!A$3:A$1002=DATE(2026,12,28)),ROW(Expenses!A$3:A$1002)-2),1)),0)+IFERROR(INDEX(Income!C$3:C$502,SMALL(IF((Income!D$3:D$502="GBP")*(Income!A$3:A$502=DATE(2026,12,28)),ROW(Income!A$3:A$502)-2),1)),0))</f>
        <v/>
      </c>
      <c r="D264" s="38" t="str">
        <f aca="false">IF(IFERROR(INDEX(Expenses!B$3:B$1002,SMALL(IF((Expenses!E$3:E$1002="GBP")*(Expenses!A$3:A$1002=DATE(2026,12,28)),ROW(Expenses!A$3:A$1002)-2),1)),"")&lt;&gt;"",IFERROR(INDEX(Expenses!B$3:B$1002,SMALL(IF((Expenses!E$3:E$1002="GBP")*(Expenses!A$3:A$1002=DATE(2026,12,28)),ROW(Expenses!A$3:A$1002)-2),1)),""),IF(IFERROR(INDEX(Income!B$3:B$502,SMALL(IF((Income!D$3:D$502="GBP")*(Income!A$3:A$502=DATE(2026,12,28)),ROW(Income!A$3:A$502)-2),1)),"")&lt;&gt;"",IFERROR(INDEX(Income!B$3:B$502,SMALL(IF((Income!D$3:D$502="GBP")*(Income!A$3:A$502=DATE(2026,12,28)),ROW(Income!A$3:A$502)-2),1)),""),""))</f>
        <v/>
      </c>
      <c r="E264" s="62" t="str">
        <f aca="false">IF(IFERROR(-INDEX(Expenses!D$3:D$1002,SMALL(IF((Expenses!E$3:E$1002="GBP")*(Expenses!A$3:A$1002=DATE(2026,12,29)),ROW(Expenses!A$3:A$1002)-2),1)),0)+IFERROR(INDEX(Income!C$3:C$502,SMALL(IF((Income!D$3:D$502="GBP")*(Income!A$3:A$502=DATE(2026,12,29)),ROW(Income!A$3:A$502)-2),1)),0)=0,"",IFERROR(-INDEX(Expenses!D$3:D$1002,SMALL(IF((Expenses!E$3:E$1002="GBP")*(Expenses!A$3:A$1002=DATE(2026,12,29)),ROW(Expenses!A$3:A$1002)-2),1)),0)+IFERROR(INDEX(Income!C$3:C$502,SMALL(IF((Income!D$3:D$502="GBP")*(Income!A$3:A$502=DATE(2026,12,29)),ROW(Income!A$3:A$502)-2),1)),0))</f>
        <v/>
      </c>
      <c r="F264" s="38" t="str">
        <f aca="false">IF(IFERROR(INDEX(Expenses!B$3:B$1002,SMALL(IF((Expenses!E$3:E$1002="GBP")*(Expenses!A$3:A$1002=DATE(2026,12,29)),ROW(Expenses!A$3:A$1002)-2),1)),"")&lt;&gt;"",IFERROR(INDEX(Expenses!B$3:B$1002,SMALL(IF((Expenses!E$3:E$1002="GBP")*(Expenses!A$3:A$1002=DATE(2026,12,29)),ROW(Expenses!A$3:A$1002)-2),1)),""),IF(IFERROR(INDEX(Income!B$3:B$502,SMALL(IF((Income!D$3:D$502="GBP")*(Income!A$3:A$502=DATE(2026,12,29)),ROW(Income!A$3:A$502)-2),1)),"")&lt;&gt;"",IFERROR(INDEX(Income!B$3:B$502,SMALL(IF((Income!D$3:D$502="GBP")*(Income!A$3:A$502=DATE(2026,12,29)),ROW(Income!A$3:A$502)-2),1)),""),""))</f>
        <v/>
      </c>
      <c r="G264" s="62" t="str">
        <f aca="false">IF(IFERROR(-INDEX(Expenses!D$3:D$1002,SMALL(IF((Expenses!E$3:E$1002="GBP")*(Expenses!A$3:A$1002=DATE(2026,12,30)),ROW(Expenses!A$3:A$1002)-2),1)),0)+IFERROR(INDEX(Income!C$3:C$502,SMALL(IF((Income!D$3:D$502="GBP")*(Income!A$3:A$502=DATE(2026,12,30)),ROW(Income!A$3:A$502)-2),1)),0)=0,"",IFERROR(-INDEX(Expenses!D$3:D$1002,SMALL(IF((Expenses!E$3:E$1002="GBP")*(Expenses!A$3:A$1002=DATE(2026,12,30)),ROW(Expenses!A$3:A$1002)-2),1)),0)+IFERROR(INDEX(Income!C$3:C$502,SMALL(IF((Income!D$3:D$502="GBP")*(Income!A$3:A$502=DATE(2026,12,30)),ROW(Income!A$3:A$502)-2),1)),0))</f>
        <v/>
      </c>
      <c r="H264" s="38" t="str">
        <f aca="false">IF(IFERROR(INDEX(Expenses!B$3:B$1002,SMALL(IF((Expenses!E$3:E$1002="GBP")*(Expenses!A$3:A$1002=DATE(2026,12,30)),ROW(Expenses!A$3:A$1002)-2),1)),"")&lt;&gt;"",IFERROR(INDEX(Expenses!B$3:B$1002,SMALL(IF((Expenses!E$3:E$1002="GBP")*(Expenses!A$3:A$1002=DATE(2026,12,30)),ROW(Expenses!A$3:A$1002)-2),1)),""),IF(IFERROR(INDEX(Income!B$3:B$502,SMALL(IF((Income!D$3:D$502="GBP")*(Income!A$3:A$502=DATE(2026,12,30)),ROW(Income!A$3:A$502)-2),1)),"")&lt;&gt;"",IFERROR(INDEX(Income!B$3:B$502,SMALL(IF((Income!D$3:D$502="GBP")*(Income!A$3:A$502=DATE(2026,12,30)),ROW(Income!A$3:A$502)-2),1)),""),""))</f>
        <v/>
      </c>
      <c r="I264" s="62" t="str">
        <f aca="false">IF(IFERROR(-INDEX(Expenses!D$3:D$1002,SMALL(IF((Expenses!E$3:E$1002="GBP")*(Expenses!A$3:A$1002=DATE(2026,12,31)),ROW(Expenses!A$3:A$1002)-2),1)),0)+IFERROR(INDEX(Income!C$3:C$502,SMALL(IF((Income!D$3:D$502="GBP")*(Income!A$3:A$502=DATE(2026,12,31)),ROW(Income!A$3:A$502)-2),1)),0)=0,"",IFERROR(-INDEX(Expenses!D$3:D$1002,SMALL(IF((Expenses!E$3:E$1002="GBP")*(Expenses!A$3:A$1002=DATE(2026,12,31)),ROW(Expenses!A$3:A$1002)-2),1)),0)+IFERROR(INDEX(Income!C$3:C$502,SMALL(IF((Income!D$3:D$502="GBP")*(Income!A$3:A$502=DATE(2026,12,31)),ROW(Income!A$3:A$502)-2),1)),0))</f>
        <v/>
      </c>
      <c r="J264" s="38" t="str">
        <f aca="false">IF(IFERROR(INDEX(Expenses!B$3:B$1002,SMALL(IF((Expenses!E$3:E$1002="GBP")*(Expenses!A$3:A$1002=DATE(2026,12,31)),ROW(Expenses!A$3:A$1002)-2),1)),"")&lt;&gt;"",IFERROR(INDEX(Expenses!B$3:B$1002,SMALL(IF((Expenses!E$3:E$1002="GBP")*(Expenses!A$3:A$1002=DATE(2026,12,31)),ROW(Expenses!A$3:A$1002)-2),1)),""),IF(IFERROR(INDEX(Income!B$3:B$502,SMALL(IF((Income!D$3:D$502="GBP")*(Income!A$3:A$502=DATE(2026,12,31)),ROW(Income!A$3:A$502)-2),1)),"")&lt;&gt;"",IFERROR(INDEX(Income!B$3:B$502,SMALL(IF((Income!D$3:D$502="GBP")*(Income!A$3:A$502=DATE(2026,12,31)),ROW(Income!A$3:A$502)-2),1)),""),""))</f>
        <v/>
      </c>
      <c r="K264" s="62" t="str">
        <f aca="false">IF(IFERROR(-INDEX(Expenses!D$3:D$1002,SMALL(IF((Expenses!E$3:E$1002="GBP")*(Expenses!A$3:A$1002=DATE(2027,1,1)),ROW(Expenses!A$3:A$1002)-2),1)),0)+IFERROR(INDEX(Income!C$3:C$502,SMALL(IF((Income!D$3:D$502="GBP")*(Income!A$3:A$502=DATE(2027,1,1)),ROW(Income!A$3:A$502)-2),1)),0)=0,"",IFERROR(-INDEX(Expenses!D$3:D$1002,SMALL(IF((Expenses!E$3:E$1002="GBP")*(Expenses!A$3:A$1002=DATE(2027,1,1)),ROW(Expenses!A$3:A$1002)-2),1)),0)+IFERROR(INDEX(Income!C$3:C$502,SMALL(IF((Income!D$3:D$502="GBP")*(Income!A$3:A$502=DATE(2027,1,1)),ROW(Income!A$3:A$502)-2),1)),0))</f>
        <v/>
      </c>
      <c r="L264" s="38" t="str">
        <f aca="false">IF(IFERROR(INDEX(Expenses!B$3:B$1002,SMALL(IF((Expenses!E$3:E$1002="GBP")*(Expenses!A$3:A$1002=DATE(2027,1,1)),ROW(Expenses!A$3:A$1002)-2),1)),"")&lt;&gt;"",IFERROR(INDEX(Expenses!B$3:B$1002,SMALL(IF((Expenses!E$3:E$1002="GBP")*(Expenses!A$3:A$1002=DATE(2027,1,1)),ROW(Expenses!A$3:A$1002)-2),1)),""),IF(IFERROR(INDEX(Income!B$3:B$502,SMALL(IF((Income!D$3:D$502="GBP")*(Income!A$3:A$502=DATE(2027,1,1)),ROW(Income!A$3:A$502)-2),1)),"")&lt;&gt;"",IFERROR(INDEX(Income!B$3:B$502,SMALL(IF((Income!D$3:D$502="GBP")*(Income!A$3:A$502=DATE(2027,1,1)),ROW(Income!A$3:A$502)-2),1)),""),""))</f>
        <v/>
      </c>
      <c r="M264" s="62" t="str">
        <f aca="false">IF(IFERROR(-INDEX(Expenses!D$3:D$1002,SMALL(IF((Expenses!E$3:E$1002="GBP")*(Expenses!A$3:A$1002=DATE(2027,1,2)),ROW(Expenses!A$3:A$1002)-2),1)),0)+IFERROR(INDEX(Income!C$3:C$502,SMALL(IF((Income!D$3:D$502="GBP")*(Income!A$3:A$502=DATE(2027,1,2)),ROW(Income!A$3:A$502)-2),1)),0)=0,"",IFERROR(-INDEX(Expenses!D$3:D$1002,SMALL(IF((Expenses!E$3:E$1002="GBP")*(Expenses!A$3:A$1002=DATE(2027,1,2)),ROW(Expenses!A$3:A$1002)-2),1)),0)+IFERROR(INDEX(Income!C$3:C$502,SMALL(IF((Income!D$3:D$502="GBP")*(Income!A$3:A$502=DATE(2027,1,2)),ROW(Income!A$3:A$502)-2),1)),0))</f>
        <v/>
      </c>
      <c r="N264" s="38" t="str">
        <f aca="false">IF(IFERROR(INDEX(Expenses!B$3:B$1002,SMALL(IF((Expenses!E$3:E$1002="GBP")*(Expenses!A$3:A$1002=DATE(2027,1,2)),ROW(Expenses!A$3:A$1002)-2),1)),"")&lt;&gt;"",IFERROR(INDEX(Expenses!B$3:B$1002,SMALL(IF((Expenses!E$3:E$1002="GBP")*(Expenses!A$3:A$1002=DATE(2027,1,2)),ROW(Expenses!A$3:A$1002)-2),1)),""),IF(IFERROR(INDEX(Income!B$3:B$502,SMALL(IF((Income!D$3:D$502="GBP")*(Income!A$3:A$502=DATE(2027,1,2)),ROW(Income!A$3:A$502)-2),1)),"")&lt;&gt;"",IFERROR(INDEX(Income!B$3:B$502,SMALL(IF((Income!D$3:D$502="GBP")*(Income!A$3:A$502=DATE(2027,1,2)),ROW(Income!A$3:A$502)-2),1)),""),""))</f>
        <v/>
      </c>
      <c r="O264" s="62" t="str">
        <f aca="false">IF(IFERROR(-INDEX(Expenses!D$3:D$1002,SMALL(IF((Expenses!E$3:E$1002="GBP")*(Expenses!A$3:A$1002=DATE(2027,1,3)),ROW(Expenses!A$3:A$1002)-2),1)),0)+IFERROR(INDEX(Income!C$3:C$502,SMALL(IF((Income!D$3:D$502="GBP")*(Income!A$3:A$502=DATE(2027,1,3)),ROW(Income!A$3:A$502)-2),1)),0)=0,"",IFERROR(-INDEX(Expenses!D$3:D$1002,SMALL(IF((Expenses!E$3:E$1002="GBP")*(Expenses!A$3:A$1002=DATE(2027,1,3)),ROW(Expenses!A$3:A$1002)-2),1)),0)+IFERROR(INDEX(Income!C$3:C$502,SMALL(IF((Income!D$3:D$502="GBP")*(Income!A$3:A$502=DATE(2027,1,3)),ROW(Income!A$3:A$502)-2),1)),0))</f>
        <v/>
      </c>
      <c r="P264" s="38" t="str">
        <f aca="false">IF(IFERROR(INDEX(Expenses!B$3:B$1002,SMALL(IF((Expenses!E$3:E$1002="GBP")*(Expenses!A$3:A$1002=DATE(2027,1,3)),ROW(Expenses!A$3:A$1002)-2),1)),"")&lt;&gt;"",IFERROR(INDEX(Expenses!B$3:B$1002,SMALL(IF((Expenses!E$3:E$1002="GBP")*(Expenses!A$3:A$1002=DATE(2027,1,3)),ROW(Expenses!A$3:A$1002)-2),1)),""),IF(IFERROR(INDEX(Income!B$3:B$502,SMALL(IF((Income!D$3:D$502="GBP")*(Income!A$3:A$502=DATE(2027,1,3)),ROW(Income!A$3:A$502)-2),1)),"")&lt;&gt;"",IFERROR(INDEX(Income!B$3:B$502,SMALL(IF((Income!D$3:D$502="GBP")*(Income!A$3:A$502=DATE(2027,1,3)),ROW(Income!A$3:A$502)-2),1)),""),""))</f>
        <v/>
      </c>
      <c r="Q264" s="3" t="n">
        <v>53</v>
      </c>
      <c r="R264" s="45" t="n">
        <f aca="false">SUM(C264:C268)+SUM(E264:E268)+SUM(G264:G268)+SUM(I264:I268)+SUM(K264:K268)+SUM(M264:M268)+SUM(O264:O268)</f>
        <v>0</v>
      </c>
    </row>
    <row r="265" customFormat="false" ht="15" hidden="false" customHeight="false" outlineLevel="0" collapsed="false">
      <c r="A265" s="16"/>
      <c r="B265" s="16"/>
      <c r="C265" s="62" t="str">
        <f aca="false">IF(IFERROR(-INDEX(Expenses!D$3:D$1002,SMALL(IF((Expenses!E$3:E$1002="GBP")*(Expenses!A$3:A$1002=DATE(2026,12,28)),ROW(Expenses!A$3:A$1002)-2),2)),0)+IFERROR(INDEX(Income!C$3:C$502,SMALL(IF((Income!D$3:D$502="GBP")*(Income!A$3:A$502=DATE(2026,12,28)),ROW(Income!A$3:A$502)-2),2)),0)=0,"",IFERROR(-INDEX(Expenses!D$3:D$1002,SMALL(IF((Expenses!E$3:E$1002="GBP")*(Expenses!A$3:A$1002=DATE(2026,12,28)),ROW(Expenses!A$3:A$1002)-2),2)),0)+IFERROR(INDEX(Income!C$3:C$502,SMALL(IF((Income!D$3:D$502="GBP")*(Income!A$3:A$502=DATE(2026,12,28)),ROW(Income!A$3:A$502)-2),2)),0))</f>
        <v/>
      </c>
      <c r="D265" s="38" t="str">
        <f aca="false">IF(IFERROR(INDEX(Expenses!B$3:B$1002,SMALL(IF((Expenses!E$3:E$1002="GBP")*(Expenses!A$3:A$1002=DATE(2026,12,28)),ROW(Expenses!A$3:A$1002)-2),2)),"")&lt;&gt;"",IFERROR(INDEX(Expenses!B$3:B$1002,SMALL(IF((Expenses!E$3:E$1002="GBP")*(Expenses!A$3:A$1002=DATE(2026,12,28)),ROW(Expenses!A$3:A$1002)-2),2)),""),IF(IFERROR(INDEX(Income!B$3:B$502,SMALL(IF((Income!D$3:D$502="GBP")*(Income!A$3:A$502=DATE(2026,12,28)),ROW(Income!A$3:A$502)-2),2)),"")&lt;&gt;"",IFERROR(INDEX(Income!B$3:B$502,SMALL(IF((Income!D$3:D$502="GBP")*(Income!A$3:A$502=DATE(2026,12,28)),ROW(Income!A$3:A$502)-2),2)),""),""))</f>
        <v/>
      </c>
      <c r="E265" s="62" t="str">
        <f aca="false">IF(IFERROR(-INDEX(Expenses!D$3:D$1002,SMALL(IF((Expenses!E$3:E$1002="GBP")*(Expenses!A$3:A$1002=DATE(2026,12,29)),ROW(Expenses!A$3:A$1002)-2),2)),0)+IFERROR(INDEX(Income!C$3:C$502,SMALL(IF((Income!D$3:D$502="GBP")*(Income!A$3:A$502=DATE(2026,12,29)),ROW(Income!A$3:A$502)-2),2)),0)=0,"",IFERROR(-INDEX(Expenses!D$3:D$1002,SMALL(IF((Expenses!E$3:E$1002="GBP")*(Expenses!A$3:A$1002=DATE(2026,12,29)),ROW(Expenses!A$3:A$1002)-2),2)),0)+IFERROR(INDEX(Income!C$3:C$502,SMALL(IF((Income!D$3:D$502="GBP")*(Income!A$3:A$502=DATE(2026,12,29)),ROW(Income!A$3:A$502)-2),2)),0))</f>
        <v/>
      </c>
      <c r="F265" s="38" t="str">
        <f aca="false">IF(IFERROR(INDEX(Expenses!B$3:B$1002,SMALL(IF((Expenses!E$3:E$1002="GBP")*(Expenses!A$3:A$1002=DATE(2026,12,29)),ROW(Expenses!A$3:A$1002)-2),2)),"")&lt;&gt;"",IFERROR(INDEX(Expenses!B$3:B$1002,SMALL(IF((Expenses!E$3:E$1002="GBP")*(Expenses!A$3:A$1002=DATE(2026,12,29)),ROW(Expenses!A$3:A$1002)-2),2)),""),IF(IFERROR(INDEX(Income!B$3:B$502,SMALL(IF((Income!D$3:D$502="GBP")*(Income!A$3:A$502=DATE(2026,12,29)),ROW(Income!A$3:A$502)-2),2)),"")&lt;&gt;"",IFERROR(INDEX(Income!B$3:B$502,SMALL(IF((Income!D$3:D$502="GBP")*(Income!A$3:A$502=DATE(2026,12,29)),ROW(Income!A$3:A$502)-2),2)),""),""))</f>
        <v/>
      </c>
      <c r="G265" s="62" t="str">
        <f aca="false">IF(IFERROR(-INDEX(Expenses!D$3:D$1002,SMALL(IF((Expenses!E$3:E$1002="GBP")*(Expenses!A$3:A$1002=DATE(2026,12,30)),ROW(Expenses!A$3:A$1002)-2),2)),0)+IFERROR(INDEX(Income!C$3:C$502,SMALL(IF((Income!D$3:D$502="GBP")*(Income!A$3:A$502=DATE(2026,12,30)),ROW(Income!A$3:A$502)-2),2)),0)=0,"",IFERROR(-INDEX(Expenses!D$3:D$1002,SMALL(IF((Expenses!E$3:E$1002="GBP")*(Expenses!A$3:A$1002=DATE(2026,12,30)),ROW(Expenses!A$3:A$1002)-2),2)),0)+IFERROR(INDEX(Income!C$3:C$502,SMALL(IF((Income!D$3:D$502="GBP")*(Income!A$3:A$502=DATE(2026,12,30)),ROW(Income!A$3:A$502)-2),2)),0))</f>
        <v/>
      </c>
      <c r="H265" s="38" t="str">
        <f aca="false">IF(IFERROR(INDEX(Expenses!B$3:B$1002,SMALL(IF((Expenses!E$3:E$1002="GBP")*(Expenses!A$3:A$1002=DATE(2026,12,30)),ROW(Expenses!A$3:A$1002)-2),2)),"")&lt;&gt;"",IFERROR(INDEX(Expenses!B$3:B$1002,SMALL(IF((Expenses!E$3:E$1002="GBP")*(Expenses!A$3:A$1002=DATE(2026,12,30)),ROW(Expenses!A$3:A$1002)-2),2)),""),IF(IFERROR(INDEX(Income!B$3:B$502,SMALL(IF((Income!D$3:D$502="GBP")*(Income!A$3:A$502=DATE(2026,12,30)),ROW(Income!A$3:A$502)-2),2)),"")&lt;&gt;"",IFERROR(INDEX(Income!B$3:B$502,SMALL(IF((Income!D$3:D$502="GBP")*(Income!A$3:A$502=DATE(2026,12,30)),ROW(Income!A$3:A$502)-2),2)),""),""))</f>
        <v/>
      </c>
      <c r="I265" s="62" t="str">
        <f aca="false">IF(IFERROR(-INDEX(Expenses!D$3:D$1002,SMALL(IF((Expenses!E$3:E$1002="GBP")*(Expenses!A$3:A$1002=DATE(2026,12,31)),ROW(Expenses!A$3:A$1002)-2),2)),0)+IFERROR(INDEX(Income!C$3:C$502,SMALL(IF((Income!D$3:D$502="GBP")*(Income!A$3:A$502=DATE(2026,12,31)),ROW(Income!A$3:A$502)-2),2)),0)=0,"",IFERROR(-INDEX(Expenses!D$3:D$1002,SMALL(IF((Expenses!E$3:E$1002="GBP")*(Expenses!A$3:A$1002=DATE(2026,12,31)),ROW(Expenses!A$3:A$1002)-2),2)),0)+IFERROR(INDEX(Income!C$3:C$502,SMALL(IF((Income!D$3:D$502="GBP")*(Income!A$3:A$502=DATE(2026,12,31)),ROW(Income!A$3:A$502)-2),2)),0))</f>
        <v/>
      </c>
      <c r="J265" s="38" t="str">
        <f aca="false">IF(IFERROR(INDEX(Expenses!B$3:B$1002,SMALL(IF((Expenses!E$3:E$1002="GBP")*(Expenses!A$3:A$1002=DATE(2026,12,31)),ROW(Expenses!A$3:A$1002)-2),2)),"")&lt;&gt;"",IFERROR(INDEX(Expenses!B$3:B$1002,SMALL(IF((Expenses!E$3:E$1002="GBP")*(Expenses!A$3:A$1002=DATE(2026,12,31)),ROW(Expenses!A$3:A$1002)-2),2)),""),IF(IFERROR(INDEX(Income!B$3:B$502,SMALL(IF((Income!D$3:D$502="GBP")*(Income!A$3:A$502=DATE(2026,12,31)),ROW(Income!A$3:A$502)-2),2)),"")&lt;&gt;"",IFERROR(INDEX(Income!B$3:B$502,SMALL(IF((Income!D$3:D$502="GBP")*(Income!A$3:A$502=DATE(2026,12,31)),ROW(Income!A$3:A$502)-2),2)),""),""))</f>
        <v/>
      </c>
      <c r="K265" s="62" t="str">
        <f aca="false">IF(IFERROR(-INDEX(Expenses!D$3:D$1002,SMALL(IF((Expenses!E$3:E$1002="GBP")*(Expenses!A$3:A$1002=DATE(2027,1,1)),ROW(Expenses!A$3:A$1002)-2),2)),0)+IFERROR(INDEX(Income!C$3:C$502,SMALL(IF((Income!D$3:D$502="GBP")*(Income!A$3:A$502=DATE(2027,1,1)),ROW(Income!A$3:A$502)-2),2)),0)=0,"",IFERROR(-INDEX(Expenses!D$3:D$1002,SMALL(IF((Expenses!E$3:E$1002="GBP")*(Expenses!A$3:A$1002=DATE(2027,1,1)),ROW(Expenses!A$3:A$1002)-2),2)),0)+IFERROR(INDEX(Income!C$3:C$502,SMALL(IF((Income!D$3:D$502="GBP")*(Income!A$3:A$502=DATE(2027,1,1)),ROW(Income!A$3:A$502)-2),2)),0))</f>
        <v/>
      </c>
      <c r="L265" s="38" t="str">
        <f aca="false">IF(IFERROR(INDEX(Expenses!B$3:B$1002,SMALL(IF((Expenses!E$3:E$1002="GBP")*(Expenses!A$3:A$1002=DATE(2027,1,1)),ROW(Expenses!A$3:A$1002)-2),2)),"")&lt;&gt;"",IFERROR(INDEX(Expenses!B$3:B$1002,SMALL(IF((Expenses!E$3:E$1002="GBP")*(Expenses!A$3:A$1002=DATE(2027,1,1)),ROW(Expenses!A$3:A$1002)-2),2)),""),IF(IFERROR(INDEX(Income!B$3:B$502,SMALL(IF((Income!D$3:D$502="GBP")*(Income!A$3:A$502=DATE(2027,1,1)),ROW(Income!A$3:A$502)-2),2)),"")&lt;&gt;"",IFERROR(INDEX(Income!B$3:B$502,SMALL(IF((Income!D$3:D$502="GBP")*(Income!A$3:A$502=DATE(2027,1,1)),ROW(Income!A$3:A$502)-2),2)),""),""))</f>
        <v/>
      </c>
      <c r="M265" s="62" t="str">
        <f aca="false">IF(IFERROR(-INDEX(Expenses!D$3:D$1002,SMALL(IF((Expenses!E$3:E$1002="GBP")*(Expenses!A$3:A$1002=DATE(2027,1,2)),ROW(Expenses!A$3:A$1002)-2),2)),0)+IFERROR(INDEX(Income!C$3:C$502,SMALL(IF((Income!D$3:D$502="GBP")*(Income!A$3:A$502=DATE(2027,1,2)),ROW(Income!A$3:A$502)-2),2)),0)=0,"",IFERROR(-INDEX(Expenses!D$3:D$1002,SMALL(IF((Expenses!E$3:E$1002="GBP")*(Expenses!A$3:A$1002=DATE(2027,1,2)),ROW(Expenses!A$3:A$1002)-2),2)),0)+IFERROR(INDEX(Income!C$3:C$502,SMALL(IF((Income!D$3:D$502="GBP")*(Income!A$3:A$502=DATE(2027,1,2)),ROW(Income!A$3:A$502)-2),2)),0))</f>
        <v/>
      </c>
      <c r="N265" s="38" t="str">
        <f aca="false">IF(IFERROR(INDEX(Expenses!B$3:B$1002,SMALL(IF((Expenses!E$3:E$1002="GBP")*(Expenses!A$3:A$1002=DATE(2027,1,2)),ROW(Expenses!A$3:A$1002)-2),2)),"")&lt;&gt;"",IFERROR(INDEX(Expenses!B$3:B$1002,SMALL(IF((Expenses!E$3:E$1002="GBP")*(Expenses!A$3:A$1002=DATE(2027,1,2)),ROW(Expenses!A$3:A$1002)-2),2)),""),IF(IFERROR(INDEX(Income!B$3:B$502,SMALL(IF((Income!D$3:D$502="GBP")*(Income!A$3:A$502=DATE(2027,1,2)),ROW(Income!A$3:A$502)-2),2)),"")&lt;&gt;"",IFERROR(INDEX(Income!B$3:B$502,SMALL(IF((Income!D$3:D$502="GBP")*(Income!A$3:A$502=DATE(2027,1,2)),ROW(Income!A$3:A$502)-2),2)),""),""))</f>
        <v/>
      </c>
      <c r="O265" s="62" t="str">
        <f aca="false">IF(IFERROR(-INDEX(Expenses!D$3:D$1002,SMALL(IF((Expenses!E$3:E$1002="GBP")*(Expenses!A$3:A$1002=DATE(2027,1,3)),ROW(Expenses!A$3:A$1002)-2),2)),0)+IFERROR(INDEX(Income!C$3:C$502,SMALL(IF((Income!D$3:D$502="GBP")*(Income!A$3:A$502=DATE(2027,1,3)),ROW(Income!A$3:A$502)-2),2)),0)=0,"",IFERROR(-INDEX(Expenses!D$3:D$1002,SMALL(IF((Expenses!E$3:E$1002="GBP")*(Expenses!A$3:A$1002=DATE(2027,1,3)),ROW(Expenses!A$3:A$1002)-2),2)),0)+IFERROR(INDEX(Income!C$3:C$502,SMALL(IF((Income!D$3:D$502="GBP")*(Income!A$3:A$502=DATE(2027,1,3)),ROW(Income!A$3:A$502)-2),2)),0))</f>
        <v/>
      </c>
      <c r="P265" s="38" t="str">
        <f aca="false">IF(IFERROR(INDEX(Expenses!B$3:B$1002,SMALL(IF((Expenses!E$3:E$1002="GBP")*(Expenses!A$3:A$1002=DATE(2027,1,3)),ROW(Expenses!A$3:A$1002)-2),2)),"")&lt;&gt;"",IFERROR(INDEX(Expenses!B$3:B$1002,SMALL(IF((Expenses!E$3:E$1002="GBP")*(Expenses!A$3:A$1002=DATE(2027,1,3)),ROW(Expenses!A$3:A$1002)-2),2)),""),IF(IFERROR(INDEX(Income!B$3:B$502,SMALL(IF((Income!D$3:D$502="GBP")*(Income!A$3:A$502=DATE(2027,1,3)),ROW(Income!A$3:A$502)-2),2)),"")&lt;&gt;"",IFERROR(INDEX(Income!B$3:B$502,SMALL(IF((Income!D$3:D$502="GBP")*(Income!A$3:A$502=DATE(2027,1,3)),ROW(Income!A$3:A$502)-2),2)),""),""))</f>
        <v/>
      </c>
      <c r="Q265" s="16"/>
      <c r="R265" s="16"/>
    </row>
    <row r="266" customFormat="false" ht="15" hidden="false" customHeight="false" outlineLevel="0" collapsed="false">
      <c r="A266" s="16"/>
      <c r="B266" s="16"/>
      <c r="C266" s="62" t="str">
        <f aca="false">IF(IFERROR(-INDEX(Expenses!D$3:D$1002,SMALL(IF((Expenses!E$3:E$1002="GBP")*(Expenses!A$3:A$1002=DATE(2026,12,28)),ROW(Expenses!A$3:A$1002)-2),3)),0)+IFERROR(INDEX(Income!C$3:C$502,SMALL(IF((Income!D$3:D$502="GBP")*(Income!A$3:A$502=DATE(2026,12,28)),ROW(Income!A$3:A$502)-2),3)),0)=0,"",IFERROR(-INDEX(Expenses!D$3:D$1002,SMALL(IF((Expenses!E$3:E$1002="GBP")*(Expenses!A$3:A$1002=DATE(2026,12,28)),ROW(Expenses!A$3:A$1002)-2),3)),0)+IFERROR(INDEX(Income!C$3:C$502,SMALL(IF((Income!D$3:D$502="GBP")*(Income!A$3:A$502=DATE(2026,12,28)),ROW(Income!A$3:A$502)-2),3)),0))</f>
        <v/>
      </c>
      <c r="D266" s="38" t="str">
        <f aca="false">IF(IFERROR(INDEX(Expenses!B$3:B$1002,SMALL(IF((Expenses!E$3:E$1002="GBP")*(Expenses!A$3:A$1002=DATE(2026,12,28)),ROW(Expenses!A$3:A$1002)-2),3)),"")&lt;&gt;"",IFERROR(INDEX(Expenses!B$3:B$1002,SMALL(IF((Expenses!E$3:E$1002="GBP")*(Expenses!A$3:A$1002=DATE(2026,12,28)),ROW(Expenses!A$3:A$1002)-2),3)),""),IF(IFERROR(INDEX(Income!B$3:B$502,SMALL(IF((Income!D$3:D$502="GBP")*(Income!A$3:A$502=DATE(2026,12,28)),ROW(Income!A$3:A$502)-2),3)),"")&lt;&gt;"",IFERROR(INDEX(Income!B$3:B$502,SMALL(IF((Income!D$3:D$502="GBP")*(Income!A$3:A$502=DATE(2026,12,28)),ROW(Income!A$3:A$502)-2),3)),""),""))</f>
        <v/>
      </c>
      <c r="E266" s="62" t="str">
        <f aca="false">IF(IFERROR(-INDEX(Expenses!D$3:D$1002,SMALL(IF((Expenses!E$3:E$1002="GBP")*(Expenses!A$3:A$1002=DATE(2026,12,29)),ROW(Expenses!A$3:A$1002)-2),3)),0)+IFERROR(INDEX(Income!C$3:C$502,SMALL(IF((Income!D$3:D$502="GBP")*(Income!A$3:A$502=DATE(2026,12,29)),ROW(Income!A$3:A$502)-2),3)),0)=0,"",IFERROR(-INDEX(Expenses!D$3:D$1002,SMALL(IF((Expenses!E$3:E$1002="GBP")*(Expenses!A$3:A$1002=DATE(2026,12,29)),ROW(Expenses!A$3:A$1002)-2),3)),0)+IFERROR(INDEX(Income!C$3:C$502,SMALL(IF((Income!D$3:D$502="GBP")*(Income!A$3:A$502=DATE(2026,12,29)),ROW(Income!A$3:A$502)-2),3)),0))</f>
        <v/>
      </c>
      <c r="F266" s="38" t="str">
        <f aca="false">IF(IFERROR(INDEX(Expenses!B$3:B$1002,SMALL(IF((Expenses!E$3:E$1002="GBP")*(Expenses!A$3:A$1002=DATE(2026,12,29)),ROW(Expenses!A$3:A$1002)-2),3)),"")&lt;&gt;"",IFERROR(INDEX(Expenses!B$3:B$1002,SMALL(IF((Expenses!E$3:E$1002="GBP")*(Expenses!A$3:A$1002=DATE(2026,12,29)),ROW(Expenses!A$3:A$1002)-2),3)),""),IF(IFERROR(INDEX(Income!B$3:B$502,SMALL(IF((Income!D$3:D$502="GBP")*(Income!A$3:A$502=DATE(2026,12,29)),ROW(Income!A$3:A$502)-2),3)),"")&lt;&gt;"",IFERROR(INDEX(Income!B$3:B$502,SMALL(IF((Income!D$3:D$502="GBP")*(Income!A$3:A$502=DATE(2026,12,29)),ROW(Income!A$3:A$502)-2),3)),""),""))</f>
        <v/>
      </c>
      <c r="G266" s="62" t="str">
        <f aca="false">IF(IFERROR(-INDEX(Expenses!D$3:D$1002,SMALL(IF((Expenses!E$3:E$1002="GBP")*(Expenses!A$3:A$1002=DATE(2026,12,30)),ROW(Expenses!A$3:A$1002)-2),3)),0)+IFERROR(INDEX(Income!C$3:C$502,SMALL(IF((Income!D$3:D$502="GBP")*(Income!A$3:A$502=DATE(2026,12,30)),ROW(Income!A$3:A$502)-2),3)),0)=0,"",IFERROR(-INDEX(Expenses!D$3:D$1002,SMALL(IF((Expenses!E$3:E$1002="GBP")*(Expenses!A$3:A$1002=DATE(2026,12,30)),ROW(Expenses!A$3:A$1002)-2),3)),0)+IFERROR(INDEX(Income!C$3:C$502,SMALL(IF((Income!D$3:D$502="GBP")*(Income!A$3:A$502=DATE(2026,12,30)),ROW(Income!A$3:A$502)-2),3)),0))</f>
        <v/>
      </c>
      <c r="H266" s="38" t="str">
        <f aca="false">IF(IFERROR(INDEX(Expenses!B$3:B$1002,SMALL(IF((Expenses!E$3:E$1002="GBP")*(Expenses!A$3:A$1002=DATE(2026,12,30)),ROW(Expenses!A$3:A$1002)-2),3)),"")&lt;&gt;"",IFERROR(INDEX(Expenses!B$3:B$1002,SMALL(IF((Expenses!E$3:E$1002="GBP")*(Expenses!A$3:A$1002=DATE(2026,12,30)),ROW(Expenses!A$3:A$1002)-2),3)),""),IF(IFERROR(INDEX(Income!B$3:B$502,SMALL(IF((Income!D$3:D$502="GBP")*(Income!A$3:A$502=DATE(2026,12,30)),ROW(Income!A$3:A$502)-2),3)),"")&lt;&gt;"",IFERROR(INDEX(Income!B$3:B$502,SMALL(IF((Income!D$3:D$502="GBP")*(Income!A$3:A$502=DATE(2026,12,30)),ROW(Income!A$3:A$502)-2),3)),""),""))</f>
        <v/>
      </c>
      <c r="I266" s="62" t="str">
        <f aca="false">IF(IFERROR(-INDEX(Expenses!D$3:D$1002,SMALL(IF((Expenses!E$3:E$1002="GBP")*(Expenses!A$3:A$1002=DATE(2026,12,31)),ROW(Expenses!A$3:A$1002)-2),3)),0)+IFERROR(INDEX(Income!C$3:C$502,SMALL(IF((Income!D$3:D$502="GBP")*(Income!A$3:A$502=DATE(2026,12,31)),ROW(Income!A$3:A$502)-2),3)),0)=0,"",IFERROR(-INDEX(Expenses!D$3:D$1002,SMALL(IF((Expenses!E$3:E$1002="GBP")*(Expenses!A$3:A$1002=DATE(2026,12,31)),ROW(Expenses!A$3:A$1002)-2),3)),0)+IFERROR(INDEX(Income!C$3:C$502,SMALL(IF((Income!D$3:D$502="GBP")*(Income!A$3:A$502=DATE(2026,12,31)),ROW(Income!A$3:A$502)-2),3)),0))</f>
        <v/>
      </c>
      <c r="J266" s="38" t="str">
        <f aca="false">IF(IFERROR(INDEX(Expenses!B$3:B$1002,SMALL(IF((Expenses!E$3:E$1002="GBP")*(Expenses!A$3:A$1002=DATE(2026,12,31)),ROW(Expenses!A$3:A$1002)-2),3)),"")&lt;&gt;"",IFERROR(INDEX(Expenses!B$3:B$1002,SMALL(IF((Expenses!E$3:E$1002="GBP")*(Expenses!A$3:A$1002=DATE(2026,12,31)),ROW(Expenses!A$3:A$1002)-2),3)),""),IF(IFERROR(INDEX(Income!B$3:B$502,SMALL(IF((Income!D$3:D$502="GBP")*(Income!A$3:A$502=DATE(2026,12,31)),ROW(Income!A$3:A$502)-2),3)),"")&lt;&gt;"",IFERROR(INDEX(Income!B$3:B$502,SMALL(IF((Income!D$3:D$502="GBP")*(Income!A$3:A$502=DATE(2026,12,31)),ROW(Income!A$3:A$502)-2),3)),""),""))</f>
        <v/>
      </c>
      <c r="K266" s="62" t="str">
        <f aca="false">IF(IFERROR(-INDEX(Expenses!D$3:D$1002,SMALL(IF((Expenses!E$3:E$1002="GBP")*(Expenses!A$3:A$1002=DATE(2027,1,1)),ROW(Expenses!A$3:A$1002)-2),3)),0)+IFERROR(INDEX(Income!C$3:C$502,SMALL(IF((Income!D$3:D$502="GBP")*(Income!A$3:A$502=DATE(2027,1,1)),ROW(Income!A$3:A$502)-2),3)),0)=0,"",IFERROR(-INDEX(Expenses!D$3:D$1002,SMALL(IF((Expenses!E$3:E$1002="GBP")*(Expenses!A$3:A$1002=DATE(2027,1,1)),ROW(Expenses!A$3:A$1002)-2),3)),0)+IFERROR(INDEX(Income!C$3:C$502,SMALL(IF((Income!D$3:D$502="GBP")*(Income!A$3:A$502=DATE(2027,1,1)),ROW(Income!A$3:A$502)-2),3)),0))</f>
        <v/>
      </c>
      <c r="L266" s="38" t="str">
        <f aca="false">IF(IFERROR(INDEX(Expenses!B$3:B$1002,SMALL(IF((Expenses!E$3:E$1002="GBP")*(Expenses!A$3:A$1002=DATE(2027,1,1)),ROW(Expenses!A$3:A$1002)-2),3)),"")&lt;&gt;"",IFERROR(INDEX(Expenses!B$3:B$1002,SMALL(IF((Expenses!E$3:E$1002="GBP")*(Expenses!A$3:A$1002=DATE(2027,1,1)),ROW(Expenses!A$3:A$1002)-2),3)),""),IF(IFERROR(INDEX(Income!B$3:B$502,SMALL(IF((Income!D$3:D$502="GBP")*(Income!A$3:A$502=DATE(2027,1,1)),ROW(Income!A$3:A$502)-2),3)),"")&lt;&gt;"",IFERROR(INDEX(Income!B$3:B$502,SMALL(IF((Income!D$3:D$502="GBP")*(Income!A$3:A$502=DATE(2027,1,1)),ROW(Income!A$3:A$502)-2),3)),""),""))</f>
        <v/>
      </c>
      <c r="M266" s="62" t="str">
        <f aca="false">IF(IFERROR(-INDEX(Expenses!D$3:D$1002,SMALL(IF((Expenses!E$3:E$1002="GBP")*(Expenses!A$3:A$1002=DATE(2027,1,2)),ROW(Expenses!A$3:A$1002)-2),3)),0)+IFERROR(INDEX(Income!C$3:C$502,SMALL(IF((Income!D$3:D$502="GBP")*(Income!A$3:A$502=DATE(2027,1,2)),ROW(Income!A$3:A$502)-2),3)),0)=0,"",IFERROR(-INDEX(Expenses!D$3:D$1002,SMALL(IF((Expenses!E$3:E$1002="GBP")*(Expenses!A$3:A$1002=DATE(2027,1,2)),ROW(Expenses!A$3:A$1002)-2),3)),0)+IFERROR(INDEX(Income!C$3:C$502,SMALL(IF((Income!D$3:D$502="GBP")*(Income!A$3:A$502=DATE(2027,1,2)),ROW(Income!A$3:A$502)-2),3)),0))</f>
        <v/>
      </c>
      <c r="N266" s="38" t="str">
        <f aca="false">IF(IFERROR(INDEX(Expenses!B$3:B$1002,SMALL(IF((Expenses!E$3:E$1002="GBP")*(Expenses!A$3:A$1002=DATE(2027,1,2)),ROW(Expenses!A$3:A$1002)-2),3)),"")&lt;&gt;"",IFERROR(INDEX(Expenses!B$3:B$1002,SMALL(IF((Expenses!E$3:E$1002="GBP")*(Expenses!A$3:A$1002=DATE(2027,1,2)),ROW(Expenses!A$3:A$1002)-2),3)),""),IF(IFERROR(INDEX(Income!B$3:B$502,SMALL(IF((Income!D$3:D$502="GBP")*(Income!A$3:A$502=DATE(2027,1,2)),ROW(Income!A$3:A$502)-2),3)),"")&lt;&gt;"",IFERROR(INDEX(Income!B$3:B$502,SMALL(IF((Income!D$3:D$502="GBP")*(Income!A$3:A$502=DATE(2027,1,2)),ROW(Income!A$3:A$502)-2),3)),""),""))</f>
        <v/>
      </c>
      <c r="O266" s="62" t="str">
        <f aca="false">IF(IFERROR(-INDEX(Expenses!D$3:D$1002,SMALL(IF((Expenses!E$3:E$1002="GBP")*(Expenses!A$3:A$1002=DATE(2027,1,3)),ROW(Expenses!A$3:A$1002)-2),3)),0)+IFERROR(INDEX(Income!C$3:C$502,SMALL(IF((Income!D$3:D$502="GBP")*(Income!A$3:A$502=DATE(2027,1,3)),ROW(Income!A$3:A$502)-2),3)),0)=0,"",IFERROR(-INDEX(Expenses!D$3:D$1002,SMALL(IF((Expenses!E$3:E$1002="GBP")*(Expenses!A$3:A$1002=DATE(2027,1,3)),ROW(Expenses!A$3:A$1002)-2),3)),0)+IFERROR(INDEX(Income!C$3:C$502,SMALL(IF((Income!D$3:D$502="GBP")*(Income!A$3:A$502=DATE(2027,1,3)),ROW(Income!A$3:A$502)-2),3)),0))</f>
        <v/>
      </c>
      <c r="P266" s="38" t="str">
        <f aca="false">IF(IFERROR(INDEX(Expenses!B$3:B$1002,SMALL(IF((Expenses!E$3:E$1002="GBP")*(Expenses!A$3:A$1002=DATE(2027,1,3)),ROW(Expenses!A$3:A$1002)-2),3)),"")&lt;&gt;"",IFERROR(INDEX(Expenses!B$3:B$1002,SMALL(IF((Expenses!E$3:E$1002="GBP")*(Expenses!A$3:A$1002=DATE(2027,1,3)),ROW(Expenses!A$3:A$1002)-2),3)),""),IF(IFERROR(INDEX(Income!B$3:B$502,SMALL(IF((Income!D$3:D$502="GBP")*(Income!A$3:A$502=DATE(2027,1,3)),ROW(Income!A$3:A$502)-2),3)),"")&lt;&gt;"",IFERROR(INDEX(Income!B$3:B$502,SMALL(IF((Income!D$3:D$502="GBP")*(Income!A$3:A$502=DATE(2027,1,3)),ROW(Income!A$3:A$502)-2),3)),""),""))</f>
        <v/>
      </c>
      <c r="Q266" s="16"/>
      <c r="R266" s="16"/>
    </row>
    <row r="267" customFormat="false" ht="15" hidden="false" customHeight="false" outlineLevel="0" collapsed="false">
      <c r="A267" s="16"/>
      <c r="B267" s="16"/>
      <c r="C267" s="62" t="str">
        <f aca="false">IF(IFERROR(-INDEX(Expenses!D$3:D$1002,SMALL(IF((Expenses!E$3:E$1002="GBP")*(Expenses!A$3:A$1002=DATE(2026,12,28)),ROW(Expenses!A$3:A$1002)-2),4)),0)+IFERROR(INDEX(Income!C$3:C$502,SMALL(IF((Income!D$3:D$502="GBP")*(Income!A$3:A$502=DATE(2026,12,28)),ROW(Income!A$3:A$502)-2),4)),0)=0,"",IFERROR(-INDEX(Expenses!D$3:D$1002,SMALL(IF((Expenses!E$3:E$1002="GBP")*(Expenses!A$3:A$1002=DATE(2026,12,28)),ROW(Expenses!A$3:A$1002)-2),4)),0)+IFERROR(INDEX(Income!C$3:C$502,SMALL(IF((Income!D$3:D$502="GBP")*(Income!A$3:A$502=DATE(2026,12,28)),ROW(Income!A$3:A$502)-2),4)),0))</f>
        <v/>
      </c>
      <c r="D267" s="38" t="str">
        <f aca="false">IF(IFERROR(INDEX(Expenses!B$3:B$1002,SMALL(IF((Expenses!E$3:E$1002="GBP")*(Expenses!A$3:A$1002=DATE(2026,12,28)),ROW(Expenses!A$3:A$1002)-2),4)),"")&lt;&gt;"",IFERROR(INDEX(Expenses!B$3:B$1002,SMALL(IF((Expenses!E$3:E$1002="GBP")*(Expenses!A$3:A$1002=DATE(2026,12,28)),ROW(Expenses!A$3:A$1002)-2),4)),""),IF(IFERROR(INDEX(Income!B$3:B$502,SMALL(IF((Income!D$3:D$502="GBP")*(Income!A$3:A$502=DATE(2026,12,28)),ROW(Income!A$3:A$502)-2),4)),"")&lt;&gt;"",IFERROR(INDEX(Income!B$3:B$502,SMALL(IF((Income!D$3:D$502="GBP")*(Income!A$3:A$502=DATE(2026,12,28)),ROW(Income!A$3:A$502)-2),4)),""),""))</f>
        <v/>
      </c>
      <c r="E267" s="62" t="str">
        <f aca="false">IF(IFERROR(-INDEX(Expenses!D$3:D$1002,SMALL(IF((Expenses!E$3:E$1002="GBP")*(Expenses!A$3:A$1002=DATE(2026,12,29)),ROW(Expenses!A$3:A$1002)-2),4)),0)+IFERROR(INDEX(Income!C$3:C$502,SMALL(IF((Income!D$3:D$502="GBP")*(Income!A$3:A$502=DATE(2026,12,29)),ROW(Income!A$3:A$502)-2),4)),0)=0,"",IFERROR(-INDEX(Expenses!D$3:D$1002,SMALL(IF((Expenses!E$3:E$1002="GBP")*(Expenses!A$3:A$1002=DATE(2026,12,29)),ROW(Expenses!A$3:A$1002)-2),4)),0)+IFERROR(INDEX(Income!C$3:C$502,SMALL(IF((Income!D$3:D$502="GBP")*(Income!A$3:A$502=DATE(2026,12,29)),ROW(Income!A$3:A$502)-2),4)),0))</f>
        <v/>
      </c>
      <c r="F267" s="38" t="str">
        <f aca="false">IF(IFERROR(INDEX(Expenses!B$3:B$1002,SMALL(IF((Expenses!E$3:E$1002="GBP")*(Expenses!A$3:A$1002=DATE(2026,12,29)),ROW(Expenses!A$3:A$1002)-2),4)),"")&lt;&gt;"",IFERROR(INDEX(Expenses!B$3:B$1002,SMALL(IF((Expenses!E$3:E$1002="GBP")*(Expenses!A$3:A$1002=DATE(2026,12,29)),ROW(Expenses!A$3:A$1002)-2),4)),""),IF(IFERROR(INDEX(Income!B$3:B$502,SMALL(IF((Income!D$3:D$502="GBP")*(Income!A$3:A$502=DATE(2026,12,29)),ROW(Income!A$3:A$502)-2),4)),"")&lt;&gt;"",IFERROR(INDEX(Income!B$3:B$502,SMALL(IF((Income!D$3:D$502="GBP")*(Income!A$3:A$502=DATE(2026,12,29)),ROW(Income!A$3:A$502)-2),4)),""),""))</f>
        <v/>
      </c>
      <c r="G267" s="62" t="str">
        <f aca="false">IF(IFERROR(-INDEX(Expenses!D$3:D$1002,SMALL(IF((Expenses!E$3:E$1002="GBP")*(Expenses!A$3:A$1002=DATE(2026,12,30)),ROW(Expenses!A$3:A$1002)-2),4)),0)+IFERROR(INDEX(Income!C$3:C$502,SMALL(IF((Income!D$3:D$502="GBP")*(Income!A$3:A$502=DATE(2026,12,30)),ROW(Income!A$3:A$502)-2),4)),0)=0,"",IFERROR(-INDEX(Expenses!D$3:D$1002,SMALL(IF((Expenses!E$3:E$1002="GBP")*(Expenses!A$3:A$1002=DATE(2026,12,30)),ROW(Expenses!A$3:A$1002)-2),4)),0)+IFERROR(INDEX(Income!C$3:C$502,SMALL(IF((Income!D$3:D$502="GBP")*(Income!A$3:A$502=DATE(2026,12,30)),ROW(Income!A$3:A$502)-2),4)),0))</f>
        <v/>
      </c>
      <c r="H267" s="38" t="str">
        <f aca="false">IF(IFERROR(INDEX(Expenses!B$3:B$1002,SMALL(IF((Expenses!E$3:E$1002="GBP")*(Expenses!A$3:A$1002=DATE(2026,12,30)),ROW(Expenses!A$3:A$1002)-2),4)),"")&lt;&gt;"",IFERROR(INDEX(Expenses!B$3:B$1002,SMALL(IF((Expenses!E$3:E$1002="GBP")*(Expenses!A$3:A$1002=DATE(2026,12,30)),ROW(Expenses!A$3:A$1002)-2),4)),""),IF(IFERROR(INDEX(Income!B$3:B$502,SMALL(IF((Income!D$3:D$502="GBP")*(Income!A$3:A$502=DATE(2026,12,30)),ROW(Income!A$3:A$502)-2),4)),"")&lt;&gt;"",IFERROR(INDEX(Income!B$3:B$502,SMALL(IF((Income!D$3:D$502="GBP")*(Income!A$3:A$502=DATE(2026,12,30)),ROW(Income!A$3:A$502)-2),4)),""),""))</f>
        <v/>
      </c>
      <c r="I267" s="62" t="str">
        <f aca="false">IF(IFERROR(-INDEX(Expenses!D$3:D$1002,SMALL(IF((Expenses!E$3:E$1002="GBP")*(Expenses!A$3:A$1002=DATE(2026,12,31)),ROW(Expenses!A$3:A$1002)-2),4)),0)+IFERROR(INDEX(Income!C$3:C$502,SMALL(IF((Income!D$3:D$502="GBP")*(Income!A$3:A$502=DATE(2026,12,31)),ROW(Income!A$3:A$502)-2),4)),0)=0,"",IFERROR(-INDEX(Expenses!D$3:D$1002,SMALL(IF((Expenses!E$3:E$1002="GBP")*(Expenses!A$3:A$1002=DATE(2026,12,31)),ROW(Expenses!A$3:A$1002)-2),4)),0)+IFERROR(INDEX(Income!C$3:C$502,SMALL(IF((Income!D$3:D$502="GBP")*(Income!A$3:A$502=DATE(2026,12,31)),ROW(Income!A$3:A$502)-2),4)),0))</f>
        <v/>
      </c>
      <c r="J267" s="38" t="str">
        <f aca="false">IF(IFERROR(INDEX(Expenses!B$3:B$1002,SMALL(IF((Expenses!E$3:E$1002="GBP")*(Expenses!A$3:A$1002=DATE(2026,12,31)),ROW(Expenses!A$3:A$1002)-2),4)),"")&lt;&gt;"",IFERROR(INDEX(Expenses!B$3:B$1002,SMALL(IF((Expenses!E$3:E$1002="GBP")*(Expenses!A$3:A$1002=DATE(2026,12,31)),ROW(Expenses!A$3:A$1002)-2),4)),""),IF(IFERROR(INDEX(Income!B$3:B$502,SMALL(IF((Income!D$3:D$502="GBP")*(Income!A$3:A$502=DATE(2026,12,31)),ROW(Income!A$3:A$502)-2),4)),"")&lt;&gt;"",IFERROR(INDEX(Income!B$3:B$502,SMALL(IF((Income!D$3:D$502="GBP")*(Income!A$3:A$502=DATE(2026,12,31)),ROW(Income!A$3:A$502)-2),4)),""),""))</f>
        <v/>
      </c>
      <c r="K267" s="62" t="str">
        <f aca="false">IF(IFERROR(-INDEX(Expenses!D$3:D$1002,SMALL(IF((Expenses!E$3:E$1002="GBP")*(Expenses!A$3:A$1002=DATE(2027,1,1)),ROW(Expenses!A$3:A$1002)-2),4)),0)+IFERROR(INDEX(Income!C$3:C$502,SMALL(IF((Income!D$3:D$502="GBP")*(Income!A$3:A$502=DATE(2027,1,1)),ROW(Income!A$3:A$502)-2),4)),0)=0,"",IFERROR(-INDEX(Expenses!D$3:D$1002,SMALL(IF((Expenses!E$3:E$1002="GBP")*(Expenses!A$3:A$1002=DATE(2027,1,1)),ROW(Expenses!A$3:A$1002)-2),4)),0)+IFERROR(INDEX(Income!C$3:C$502,SMALL(IF((Income!D$3:D$502="GBP")*(Income!A$3:A$502=DATE(2027,1,1)),ROW(Income!A$3:A$502)-2),4)),0))</f>
        <v/>
      </c>
      <c r="L267" s="38" t="str">
        <f aca="false">IF(IFERROR(INDEX(Expenses!B$3:B$1002,SMALL(IF((Expenses!E$3:E$1002="GBP")*(Expenses!A$3:A$1002=DATE(2027,1,1)),ROW(Expenses!A$3:A$1002)-2),4)),"")&lt;&gt;"",IFERROR(INDEX(Expenses!B$3:B$1002,SMALL(IF((Expenses!E$3:E$1002="GBP")*(Expenses!A$3:A$1002=DATE(2027,1,1)),ROW(Expenses!A$3:A$1002)-2),4)),""),IF(IFERROR(INDEX(Income!B$3:B$502,SMALL(IF((Income!D$3:D$502="GBP")*(Income!A$3:A$502=DATE(2027,1,1)),ROW(Income!A$3:A$502)-2),4)),"")&lt;&gt;"",IFERROR(INDEX(Income!B$3:B$502,SMALL(IF((Income!D$3:D$502="GBP")*(Income!A$3:A$502=DATE(2027,1,1)),ROW(Income!A$3:A$502)-2),4)),""),""))</f>
        <v/>
      </c>
      <c r="M267" s="62" t="str">
        <f aca="false">IF(IFERROR(-INDEX(Expenses!D$3:D$1002,SMALL(IF((Expenses!E$3:E$1002="GBP")*(Expenses!A$3:A$1002=DATE(2027,1,2)),ROW(Expenses!A$3:A$1002)-2),4)),0)+IFERROR(INDEX(Income!C$3:C$502,SMALL(IF((Income!D$3:D$502="GBP")*(Income!A$3:A$502=DATE(2027,1,2)),ROW(Income!A$3:A$502)-2),4)),0)=0,"",IFERROR(-INDEX(Expenses!D$3:D$1002,SMALL(IF((Expenses!E$3:E$1002="GBP")*(Expenses!A$3:A$1002=DATE(2027,1,2)),ROW(Expenses!A$3:A$1002)-2),4)),0)+IFERROR(INDEX(Income!C$3:C$502,SMALL(IF((Income!D$3:D$502="GBP")*(Income!A$3:A$502=DATE(2027,1,2)),ROW(Income!A$3:A$502)-2),4)),0))</f>
        <v/>
      </c>
      <c r="N267" s="38" t="str">
        <f aca="false">IF(IFERROR(INDEX(Expenses!B$3:B$1002,SMALL(IF((Expenses!E$3:E$1002="GBP")*(Expenses!A$3:A$1002=DATE(2027,1,2)),ROW(Expenses!A$3:A$1002)-2),4)),"")&lt;&gt;"",IFERROR(INDEX(Expenses!B$3:B$1002,SMALL(IF((Expenses!E$3:E$1002="GBP")*(Expenses!A$3:A$1002=DATE(2027,1,2)),ROW(Expenses!A$3:A$1002)-2),4)),""),IF(IFERROR(INDEX(Income!B$3:B$502,SMALL(IF((Income!D$3:D$502="GBP")*(Income!A$3:A$502=DATE(2027,1,2)),ROW(Income!A$3:A$502)-2),4)),"")&lt;&gt;"",IFERROR(INDEX(Income!B$3:B$502,SMALL(IF((Income!D$3:D$502="GBP")*(Income!A$3:A$502=DATE(2027,1,2)),ROW(Income!A$3:A$502)-2),4)),""),""))</f>
        <v/>
      </c>
      <c r="O267" s="62" t="str">
        <f aca="false">IF(IFERROR(-INDEX(Expenses!D$3:D$1002,SMALL(IF((Expenses!E$3:E$1002="GBP")*(Expenses!A$3:A$1002=DATE(2027,1,3)),ROW(Expenses!A$3:A$1002)-2),4)),0)+IFERROR(INDEX(Income!C$3:C$502,SMALL(IF((Income!D$3:D$502="GBP")*(Income!A$3:A$502=DATE(2027,1,3)),ROW(Income!A$3:A$502)-2),4)),0)=0,"",IFERROR(-INDEX(Expenses!D$3:D$1002,SMALL(IF((Expenses!E$3:E$1002="GBP")*(Expenses!A$3:A$1002=DATE(2027,1,3)),ROW(Expenses!A$3:A$1002)-2),4)),0)+IFERROR(INDEX(Income!C$3:C$502,SMALL(IF((Income!D$3:D$502="GBP")*(Income!A$3:A$502=DATE(2027,1,3)),ROW(Income!A$3:A$502)-2),4)),0))</f>
        <v/>
      </c>
      <c r="P267" s="38" t="str">
        <f aca="false">IF(IFERROR(INDEX(Expenses!B$3:B$1002,SMALL(IF((Expenses!E$3:E$1002="GBP")*(Expenses!A$3:A$1002=DATE(2027,1,3)),ROW(Expenses!A$3:A$1002)-2),4)),"")&lt;&gt;"",IFERROR(INDEX(Expenses!B$3:B$1002,SMALL(IF((Expenses!E$3:E$1002="GBP")*(Expenses!A$3:A$1002=DATE(2027,1,3)),ROW(Expenses!A$3:A$1002)-2),4)),""),IF(IFERROR(INDEX(Income!B$3:B$502,SMALL(IF((Income!D$3:D$502="GBP")*(Income!A$3:A$502=DATE(2027,1,3)),ROW(Income!A$3:A$502)-2),4)),"")&lt;&gt;"",IFERROR(INDEX(Income!B$3:B$502,SMALL(IF((Income!D$3:D$502="GBP")*(Income!A$3:A$502=DATE(2027,1,3)),ROW(Income!A$3:A$502)-2),4)),""),""))</f>
        <v/>
      </c>
      <c r="Q267" s="16"/>
      <c r="R267" s="16"/>
    </row>
    <row r="268" customFormat="false" ht="15" hidden="false" customHeight="false" outlineLevel="0" collapsed="false">
      <c r="A268" s="16"/>
      <c r="B268" s="16"/>
      <c r="C268" s="62" t="str">
        <f aca="false">IF(IFERROR(-INDEX(Expenses!D$3:D$1002,SMALL(IF((Expenses!E$3:E$1002="GBP")*(Expenses!A$3:A$1002=DATE(2026,12,28)),ROW(Expenses!A$3:A$1002)-2),5)),0)+IFERROR(INDEX(Income!C$3:C$502,SMALL(IF((Income!D$3:D$502="GBP")*(Income!A$3:A$502=DATE(2026,12,28)),ROW(Income!A$3:A$502)-2),5)),0)=0,"",IFERROR(-INDEX(Expenses!D$3:D$1002,SMALL(IF((Expenses!E$3:E$1002="GBP")*(Expenses!A$3:A$1002=DATE(2026,12,28)),ROW(Expenses!A$3:A$1002)-2),5)),0)+IFERROR(INDEX(Income!C$3:C$502,SMALL(IF((Income!D$3:D$502="GBP")*(Income!A$3:A$502=DATE(2026,12,28)),ROW(Income!A$3:A$502)-2),5)),0))</f>
        <v/>
      </c>
      <c r="D268" s="38" t="str">
        <f aca="false">IF(IFERROR(INDEX(Expenses!B$3:B$1002,SMALL(IF((Expenses!E$3:E$1002="GBP")*(Expenses!A$3:A$1002=DATE(2026,12,28)),ROW(Expenses!A$3:A$1002)-2),5)),"")&lt;&gt;"",IFERROR(INDEX(Expenses!B$3:B$1002,SMALL(IF((Expenses!E$3:E$1002="GBP")*(Expenses!A$3:A$1002=DATE(2026,12,28)),ROW(Expenses!A$3:A$1002)-2),5)),""),IF(IFERROR(INDEX(Income!B$3:B$502,SMALL(IF((Income!D$3:D$502="GBP")*(Income!A$3:A$502=DATE(2026,12,28)),ROW(Income!A$3:A$502)-2),5)),"")&lt;&gt;"",IFERROR(INDEX(Income!B$3:B$502,SMALL(IF((Income!D$3:D$502="GBP")*(Income!A$3:A$502=DATE(2026,12,28)),ROW(Income!A$3:A$502)-2),5)),""),""))</f>
        <v/>
      </c>
      <c r="E268" s="62" t="str">
        <f aca="false">IF(IFERROR(-INDEX(Expenses!D$3:D$1002,SMALL(IF((Expenses!E$3:E$1002="GBP")*(Expenses!A$3:A$1002=DATE(2026,12,29)),ROW(Expenses!A$3:A$1002)-2),5)),0)+IFERROR(INDEX(Income!C$3:C$502,SMALL(IF((Income!D$3:D$502="GBP")*(Income!A$3:A$502=DATE(2026,12,29)),ROW(Income!A$3:A$502)-2),5)),0)=0,"",IFERROR(-INDEX(Expenses!D$3:D$1002,SMALL(IF((Expenses!E$3:E$1002="GBP")*(Expenses!A$3:A$1002=DATE(2026,12,29)),ROW(Expenses!A$3:A$1002)-2),5)),0)+IFERROR(INDEX(Income!C$3:C$502,SMALL(IF((Income!D$3:D$502="GBP")*(Income!A$3:A$502=DATE(2026,12,29)),ROW(Income!A$3:A$502)-2),5)),0))</f>
        <v/>
      </c>
      <c r="F268" s="38" t="str">
        <f aca="false">IF(IFERROR(INDEX(Expenses!B$3:B$1002,SMALL(IF((Expenses!E$3:E$1002="GBP")*(Expenses!A$3:A$1002=DATE(2026,12,29)),ROW(Expenses!A$3:A$1002)-2),5)),"")&lt;&gt;"",IFERROR(INDEX(Expenses!B$3:B$1002,SMALL(IF((Expenses!E$3:E$1002="GBP")*(Expenses!A$3:A$1002=DATE(2026,12,29)),ROW(Expenses!A$3:A$1002)-2),5)),""),IF(IFERROR(INDEX(Income!B$3:B$502,SMALL(IF((Income!D$3:D$502="GBP")*(Income!A$3:A$502=DATE(2026,12,29)),ROW(Income!A$3:A$502)-2),5)),"")&lt;&gt;"",IFERROR(INDEX(Income!B$3:B$502,SMALL(IF((Income!D$3:D$502="GBP")*(Income!A$3:A$502=DATE(2026,12,29)),ROW(Income!A$3:A$502)-2),5)),""),""))</f>
        <v/>
      </c>
      <c r="G268" s="62" t="str">
        <f aca="false">IF(IFERROR(-INDEX(Expenses!D$3:D$1002,SMALL(IF((Expenses!E$3:E$1002="GBP")*(Expenses!A$3:A$1002=DATE(2026,12,30)),ROW(Expenses!A$3:A$1002)-2),5)),0)+IFERROR(INDEX(Income!C$3:C$502,SMALL(IF((Income!D$3:D$502="GBP")*(Income!A$3:A$502=DATE(2026,12,30)),ROW(Income!A$3:A$502)-2),5)),0)=0,"",IFERROR(-INDEX(Expenses!D$3:D$1002,SMALL(IF((Expenses!E$3:E$1002="GBP")*(Expenses!A$3:A$1002=DATE(2026,12,30)),ROW(Expenses!A$3:A$1002)-2),5)),0)+IFERROR(INDEX(Income!C$3:C$502,SMALL(IF((Income!D$3:D$502="GBP")*(Income!A$3:A$502=DATE(2026,12,30)),ROW(Income!A$3:A$502)-2),5)),0))</f>
        <v/>
      </c>
      <c r="H268" s="38" t="str">
        <f aca="false">IF(IFERROR(INDEX(Expenses!B$3:B$1002,SMALL(IF((Expenses!E$3:E$1002="GBP")*(Expenses!A$3:A$1002=DATE(2026,12,30)),ROW(Expenses!A$3:A$1002)-2),5)),"")&lt;&gt;"",IFERROR(INDEX(Expenses!B$3:B$1002,SMALL(IF((Expenses!E$3:E$1002="GBP")*(Expenses!A$3:A$1002=DATE(2026,12,30)),ROW(Expenses!A$3:A$1002)-2),5)),""),IF(IFERROR(INDEX(Income!B$3:B$502,SMALL(IF((Income!D$3:D$502="GBP")*(Income!A$3:A$502=DATE(2026,12,30)),ROW(Income!A$3:A$502)-2),5)),"")&lt;&gt;"",IFERROR(INDEX(Income!B$3:B$502,SMALL(IF((Income!D$3:D$502="GBP")*(Income!A$3:A$502=DATE(2026,12,30)),ROW(Income!A$3:A$502)-2),5)),""),""))</f>
        <v/>
      </c>
      <c r="I268" s="62" t="str">
        <f aca="false">IF(IFERROR(-INDEX(Expenses!D$3:D$1002,SMALL(IF((Expenses!E$3:E$1002="GBP")*(Expenses!A$3:A$1002=DATE(2026,12,31)),ROW(Expenses!A$3:A$1002)-2),5)),0)+IFERROR(INDEX(Income!C$3:C$502,SMALL(IF((Income!D$3:D$502="GBP")*(Income!A$3:A$502=DATE(2026,12,31)),ROW(Income!A$3:A$502)-2),5)),0)=0,"",IFERROR(-INDEX(Expenses!D$3:D$1002,SMALL(IF((Expenses!E$3:E$1002="GBP")*(Expenses!A$3:A$1002=DATE(2026,12,31)),ROW(Expenses!A$3:A$1002)-2),5)),0)+IFERROR(INDEX(Income!C$3:C$502,SMALL(IF((Income!D$3:D$502="GBP")*(Income!A$3:A$502=DATE(2026,12,31)),ROW(Income!A$3:A$502)-2),5)),0))</f>
        <v/>
      </c>
      <c r="J268" s="38" t="str">
        <f aca="false">IF(IFERROR(INDEX(Expenses!B$3:B$1002,SMALL(IF((Expenses!E$3:E$1002="GBP")*(Expenses!A$3:A$1002=DATE(2026,12,31)),ROW(Expenses!A$3:A$1002)-2),5)),"")&lt;&gt;"",IFERROR(INDEX(Expenses!B$3:B$1002,SMALL(IF((Expenses!E$3:E$1002="GBP")*(Expenses!A$3:A$1002=DATE(2026,12,31)),ROW(Expenses!A$3:A$1002)-2),5)),""),IF(IFERROR(INDEX(Income!B$3:B$502,SMALL(IF((Income!D$3:D$502="GBP")*(Income!A$3:A$502=DATE(2026,12,31)),ROW(Income!A$3:A$502)-2),5)),"")&lt;&gt;"",IFERROR(INDEX(Income!B$3:B$502,SMALL(IF((Income!D$3:D$502="GBP")*(Income!A$3:A$502=DATE(2026,12,31)),ROW(Income!A$3:A$502)-2),5)),""),""))</f>
        <v/>
      </c>
      <c r="K268" s="62" t="str">
        <f aca="false">IF(IFERROR(-INDEX(Expenses!D$3:D$1002,SMALL(IF((Expenses!E$3:E$1002="GBP")*(Expenses!A$3:A$1002=DATE(2027,1,1)),ROW(Expenses!A$3:A$1002)-2),5)),0)+IFERROR(INDEX(Income!C$3:C$502,SMALL(IF((Income!D$3:D$502="GBP")*(Income!A$3:A$502=DATE(2027,1,1)),ROW(Income!A$3:A$502)-2),5)),0)=0,"",IFERROR(-INDEX(Expenses!D$3:D$1002,SMALL(IF((Expenses!E$3:E$1002="GBP")*(Expenses!A$3:A$1002=DATE(2027,1,1)),ROW(Expenses!A$3:A$1002)-2),5)),0)+IFERROR(INDEX(Income!C$3:C$502,SMALL(IF((Income!D$3:D$502="GBP")*(Income!A$3:A$502=DATE(2027,1,1)),ROW(Income!A$3:A$502)-2),5)),0))</f>
        <v/>
      </c>
      <c r="L268" s="38" t="str">
        <f aca="false">IF(IFERROR(INDEX(Expenses!B$3:B$1002,SMALL(IF((Expenses!E$3:E$1002="GBP")*(Expenses!A$3:A$1002=DATE(2027,1,1)),ROW(Expenses!A$3:A$1002)-2),5)),"")&lt;&gt;"",IFERROR(INDEX(Expenses!B$3:B$1002,SMALL(IF((Expenses!E$3:E$1002="GBP")*(Expenses!A$3:A$1002=DATE(2027,1,1)),ROW(Expenses!A$3:A$1002)-2),5)),""),IF(IFERROR(INDEX(Income!B$3:B$502,SMALL(IF((Income!D$3:D$502="GBP")*(Income!A$3:A$502=DATE(2027,1,1)),ROW(Income!A$3:A$502)-2),5)),"")&lt;&gt;"",IFERROR(INDEX(Income!B$3:B$502,SMALL(IF((Income!D$3:D$502="GBP")*(Income!A$3:A$502=DATE(2027,1,1)),ROW(Income!A$3:A$502)-2),5)),""),""))</f>
        <v/>
      </c>
      <c r="M268" s="62" t="str">
        <f aca="false">IF(IFERROR(-INDEX(Expenses!D$3:D$1002,SMALL(IF((Expenses!E$3:E$1002="GBP")*(Expenses!A$3:A$1002=DATE(2027,1,2)),ROW(Expenses!A$3:A$1002)-2),5)),0)+IFERROR(INDEX(Income!C$3:C$502,SMALL(IF((Income!D$3:D$502="GBP")*(Income!A$3:A$502=DATE(2027,1,2)),ROW(Income!A$3:A$502)-2),5)),0)=0,"",IFERROR(-INDEX(Expenses!D$3:D$1002,SMALL(IF((Expenses!E$3:E$1002="GBP")*(Expenses!A$3:A$1002=DATE(2027,1,2)),ROW(Expenses!A$3:A$1002)-2),5)),0)+IFERROR(INDEX(Income!C$3:C$502,SMALL(IF((Income!D$3:D$502="GBP")*(Income!A$3:A$502=DATE(2027,1,2)),ROW(Income!A$3:A$502)-2),5)),0))</f>
        <v/>
      </c>
      <c r="N268" s="38" t="str">
        <f aca="false">IF(IFERROR(INDEX(Expenses!B$3:B$1002,SMALL(IF((Expenses!E$3:E$1002="GBP")*(Expenses!A$3:A$1002=DATE(2027,1,2)),ROW(Expenses!A$3:A$1002)-2),5)),"")&lt;&gt;"",IFERROR(INDEX(Expenses!B$3:B$1002,SMALL(IF((Expenses!E$3:E$1002="GBP")*(Expenses!A$3:A$1002=DATE(2027,1,2)),ROW(Expenses!A$3:A$1002)-2),5)),""),IF(IFERROR(INDEX(Income!B$3:B$502,SMALL(IF((Income!D$3:D$502="GBP")*(Income!A$3:A$502=DATE(2027,1,2)),ROW(Income!A$3:A$502)-2),5)),"")&lt;&gt;"",IFERROR(INDEX(Income!B$3:B$502,SMALL(IF((Income!D$3:D$502="GBP")*(Income!A$3:A$502=DATE(2027,1,2)),ROW(Income!A$3:A$502)-2),5)),""),""))</f>
        <v/>
      </c>
      <c r="O268" s="62" t="str">
        <f aca="false">IF(IFERROR(-INDEX(Expenses!D$3:D$1002,SMALL(IF((Expenses!E$3:E$1002="GBP")*(Expenses!A$3:A$1002=DATE(2027,1,3)),ROW(Expenses!A$3:A$1002)-2),5)),0)+IFERROR(INDEX(Income!C$3:C$502,SMALL(IF((Income!D$3:D$502="GBP")*(Income!A$3:A$502=DATE(2027,1,3)),ROW(Income!A$3:A$502)-2),5)),0)=0,"",IFERROR(-INDEX(Expenses!D$3:D$1002,SMALL(IF((Expenses!E$3:E$1002="GBP")*(Expenses!A$3:A$1002=DATE(2027,1,3)),ROW(Expenses!A$3:A$1002)-2),5)),0)+IFERROR(INDEX(Income!C$3:C$502,SMALL(IF((Income!D$3:D$502="GBP")*(Income!A$3:A$502=DATE(2027,1,3)),ROW(Income!A$3:A$502)-2),5)),0))</f>
        <v/>
      </c>
      <c r="P268" s="38" t="str">
        <f aca="false">IF(IFERROR(INDEX(Expenses!B$3:B$1002,SMALL(IF((Expenses!E$3:E$1002="GBP")*(Expenses!A$3:A$1002=DATE(2027,1,3)),ROW(Expenses!A$3:A$1002)-2),5)),"")&lt;&gt;"",IFERROR(INDEX(Expenses!B$3:B$1002,SMALL(IF((Expenses!E$3:E$1002="GBP")*(Expenses!A$3:A$1002=DATE(2027,1,3)),ROW(Expenses!A$3:A$1002)-2),5)),""),IF(IFERROR(INDEX(Income!B$3:B$502,SMALL(IF((Income!D$3:D$502="GBP")*(Income!A$3:A$502=DATE(2027,1,3)),ROW(Income!A$3:A$502)-2),5)),"")&lt;&gt;"",IFERROR(INDEX(Income!B$3:B$502,SMALL(IF((Income!D$3:D$502="GBP")*(Income!A$3:A$502=DATE(2027,1,3)),ROW(Income!A$3:A$502)-2),5)),""),""))</f>
        <v/>
      </c>
      <c r="Q268" s="16"/>
      <c r="R268" s="16"/>
    </row>
  </sheetData>
  <mergeCells count="8">
    <mergeCell ref="A1:R1"/>
    <mergeCell ref="C2:D2"/>
    <mergeCell ref="E2:F2"/>
    <mergeCell ref="G2:H2"/>
    <mergeCell ref="I2:J2"/>
    <mergeCell ref="K2:L2"/>
    <mergeCell ref="M2:N2"/>
    <mergeCell ref="O2:P2"/>
  </mergeCells>
  <conditionalFormatting sqref="C4:C269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4:E269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0">
      <formula>0</formula>
    </cfRule>
  </conditionalFormatting>
  <conditionalFormatting sqref="G4:G269">
    <cfRule type="cellIs" priority="6" operator="lessThan" aboveAverage="0" equalAverage="0" bottom="0" percent="0" rank="0" text="" dxfId="1">
      <formula>0</formula>
    </cfRule>
    <cfRule type="cellIs" priority="7" operator="greaterThan" aboveAverage="0" equalAverage="0" bottom="0" percent="0" rank="0" text="" dxfId="0">
      <formula>0</formula>
    </cfRule>
  </conditionalFormatting>
  <conditionalFormatting sqref="I4:I269">
    <cfRule type="cellIs" priority="8" operator="lessThan" aboveAverage="0" equalAverage="0" bottom="0" percent="0" rank="0" text="" dxfId="1">
      <formula>0</formula>
    </cfRule>
    <cfRule type="cellIs" priority="9" operator="greaterThan" aboveAverage="0" equalAverage="0" bottom="0" percent="0" rank="0" text="" dxfId="0">
      <formula>0</formula>
    </cfRule>
  </conditionalFormatting>
  <conditionalFormatting sqref="K4:K269">
    <cfRule type="cellIs" priority="10" operator="lessThan" aboveAverage="0" equalAverage="0" bottom="0" percent="0" rank="0" text="" dxfId="1">
      <formula>0</formula>
    </cfRule>
    <cfRule type="cellIs" priority="11" operator="greaterThan" aboveAverage="0" equalAverage="0" bottom="0" percent="0" rank="0" text="" dxfId="0">
      <formula>0</formula>
    </cfRule>
  </conditionalFormatting>
  <conditionalFormatting sqref="M4:M269">
    <cfRule type="cellIs" priority="12" operator="lessThan" aboveAverage="0" equalAverage="0" bottom="0" percent="0" rank="0" text="" dxfId="1">
      <formula>0</formula>
    </cfRule>
    <cfRule type="cellIs" priority="13" operator="greaterThan" aboveAverage="0" equalAverage="0" bottom="0" percent="0" rank="0" text="" dxfId="0">
      <formula>0</formula>
    </cfRule>
  </conditionalFormatting>
  <conditionalFormatting sqref="O4:O269">
    <cfRule type="cellIs" priority="14" operator="lessThan" aboveAverage="0" equalAverage="0" bottom="0" percent="0" rank="0" text="" dxfId="1">
      <formula>0</formula>
    </cfRule>
    <cfRule type="cellIs" priority="15" operator="greaterThan" aboveAverage="0" equalAverage="0" bottom="0" percent="0" rank="0" text="" dxfId="0">
      <formula>0</formula>
    </cfRule>
  </conditionalFormatting>
  <conditionalFormatting sqref="R4:R269">
    <cfRule type="cellIs" priority="16" operator="lessThan" aboveAverage="0" equalAverage="0" bottom="0" percent="0" rank="0" text="" dxfId="1">
      <formula>0</formula>
    </cfRule>
    <cfRule type="cellIs" priority="17" operator="greater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R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8"/>
    <col collapsed="false" customWidth="true" hidden="false" outlineLevel="0" max="18" min="18" style="0" width="14"/>
  </cols>
  <sheetData>
    <row r="1" customFormat="false" ht="17.35" hidden="false" customHeight="fals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6.85" hidden="false" customHeight="false" outlineLevel="0" collapsed="false">
      <c r="A2" s="46" t="s">
        <v>150</v>
      </c>
      <c r="B2" s="58" t="s">
        <v>142</v>
      </c>
      <c r="C2" s="58" t="s">
        <v>151</v>
      </c>
      <c r="D2" s="58"/>
      <c r="E2" s="58" t="s">
        <v>152</v>
      </c>
      <c r="F2" s="58"/>
      <c r="G2" s="58" t="s">
        <v>153</v>
      </c>
      <c r="H2" s="58"/>
      <c r="I2" s="58" t="s">
        <v>154</v>
      </c>
      <c r="J2" s="58"/>
      <c r="K2" s="58" t="s">
        <v>155</v>
      </c>
      <c r="L2" s="58"/>
      <c r="M2" s="58" t="s">
        <v>156</v>
      </c>
      <c r="N2" s="58"/>
      <c r="O2" s="58" t="s">
        <v>157</v>
      </c>
      <c r="P2" s="58"/>
      <c r="Q2" s="46" t="s">
        <v>158</v>
      </c>
      <c r="R2" s="46" t="s">
        <v>159</v>
      </c>
    </row>
    <row r="3" customFormat="false" ht="15" hidden="false" customHeight="false" outlineLevel="0" collapsed="false">
      <c r="A3" s="59"/>
      <c r="B3" s="59"/>
      <c r="C3" s="60" t="s">
        <v>100</v>
      </c>
      <c r="D3" s="60" t="s">
        <v>3</v>
      </c>
      <c r="E3" s="60" t="s">
        <v>100</v>
      </c>
      <c r="F3" s="60" t="s">
        <v>3</v>
      </c>
      <c r="G3" s="60" t="s">
        <v>100</v>
      </c>
      <c r="H3" s="60" t="s">
        <v>3</v>
      </c>
      <c r="I3" s="60" t="s">
        <v>100</v>
      </c>
      <c r="J3" s="60" t="s">
        <v>3</v>
      </c>
      <c r="K3" s="60" t="s">
        <v>100</v>
      </c>
      <c r="L3" s="60" t="s">
        <v>3</v>
      </c>
      <c r="M3" s="60" t="s">
        <v>100</v>
      </c>
      <c r="N3" s="60" t="s">
        <v>3</v>
      </c>
      <c r="O3" s="60" t="s">
        <v>100</v>
      </c>
      <c r="P3" s="60" t="s">
        <v>3</v>
      </c>
      <c r="Q3" s="59"/>
      <c r="R3" s="59"/>
    </row>
    <row r="4" customFormat="false" ht="15" hidden="false" customHeight="false" outlineLevel="0" collapsed="false">
      <c r="A4" s="61" t="n">
        <v>46020</v>
      </c>
      <c r="B4" s="3" t="n">
        <v>1</v>
      </c>
      <c r="C4" s="63" t="str">
        <f aca="false">IF(IFERROR(-INDEX(Expenses!D$3:D$1002,SMALL(IF((Expenses!E$3:E$1002="INR")*(Expenses!A$3:A$1002=DATE(2025,12,29)),ROW(Expenses!A$3:A$1002)-2),1)),0)+IFERROR(INDEX(Income!C$3:C$502,SMALL(IF((Income!D$3:D$502="INR")*(Income!A$3:A$502=DATE(2025,12,29)),ROW(Income!A$3:A$502)-2),1)),0)=0,"",IFERROR(-INDEX(Expenses!D$3:D$1002,SMALL(IF((Expenses!E$3:E$1002="INR")*(Expenses!A$3:A$1002=DATE(2025,12,29)),ROW(Expenses!A$3:A$1002)-2),1)),0)+IFERROR(INDEX(Income!C$3:C$502,SMALL(IF((Income!D$3:D$502="INR")*(Income!A$3:A$502=DATE(2025,12,29)),ROW(Income!A$3:A$502)-2),1)),0))</f>
        <v/>
      </c>
      <c r="D4" s="38" t="str">
        <f aca="false">IF(IFERROR(INDEX(Expenses!B$3:B$1002,SMALL(IF((Expenses!E$3:E$1002="INR")*(Expenses!A$3:A$1002=DATE(2025,12,29)),ROW(Expenses!A$3:A$1002)-2),1)),"")&lt;&gt;"",IFERROR(INDEX(Expenses!B$3:B$1002,SMALL(IF((Expenses!E$3:E$1002="INR")*(Expenses!A$3:A$1002=DATE(2025,12,29)),ROW(Expenses!A$3:A$1002)-2),1)),""),IF(IFERROR(INDEX(Income!B$3:B$502,SMALL(IF((Income!D$3:D$502="INR")*(Income!A$3:A$502=DATE(2025,12,29)),ROW(Income!A$3:A$502)-2),1)),"")&lt;&gt;"",IFERROR(INDEX(Income!B$3:B$502,SMALL(IF((Income!D$3:D$502="INR")*(Income!A$3:A$502=DATE(2025,12,29)),ROW(Income!A$3:A$502)-2),1)),""),""))</f>
        <v/>
      </c>
      <c r="E4" s="63" t="str">
        <f aca="false">IF(IFERROR(-INDEX(Expenses!D$3:D$1002,SMALL(IF((Expenses!E$3:E$1002="INR")*(Expenses!A$3:A$1002=DATE(2025,12,30)),ROW(Expenses!A$3:A$1002)-2),1)),0)+IFERROR(INDEX(Income!C$3:C$502,SMALL(IF((Income!D$3:D$502="INR")*(Income!A$3:A$502=DATE(2025,12,30)),ROW(Income!A$3:A$502)-2),1)),0)=0,"",IFERROR(-INDEX(Expenses!D$3:D$1002,SMALL(IF((Expenses!E$3:E$1002="INR")*(Expenses!A$3:A$1002=DATE(2025,12,30)),ROW(Expenses!A$3:A$1002)-2),1)),0)+IFERROR(INDEX(Income!C$3:C$502,SMALL(IF((Income!D$3:D$502="INR")*(Income!A$3:A$502=DATE(2025,12,30)),ROW(Income!A$3:A$502)-2),1)),0))</f>
        <v/>
      </c>
      <c r="F4" s="38" t="str">
        <f aca="false">IF(IFERROR(INDEX(Expenses!B$3:B$1002,SMALL(IF((Expenses!E$3:E$1002="INR")*(Expenses!A$3:A$1002=DATE(2025,12,30)),ROW(Expenses!A$3:A$1002)-2),1)),"")&lt;&gt;"",IFERROR(INDEX(Expenses!B$3:B$1002,SMALL(IF((Expenses!E$3:E$1002="INR")*(Expenses!A$3:A$1002=DATE(2025,12,30)),ROW(Expenses!A$3:A$1002)-2),1)),""),IF(IFERROR(INDEX(Income!B$3:B$502,SMALL(IF((Income!D$3:D$502="INR")*(Income!A$3:A$502=DATE(2025,12,30)),ROW(Income!A$3:A$502)-2),1)),"")&lt;&gt;"",IFERROR(INDEX(Income!B$3:B$502,SMALL(IF((Income!D$3:D$502="INR")*(Income!A$3:A$502=DATE(2025,12,30)),ROW(Income!A$3:A$502)-2),1)),""),""))</f>
        <v/>
      </c>
      <c r="G4" s="63" t="str">
        <f aca="false">IF(IFERROR(-INDEX(Expenses!D$3:D$1002,SMALL(IF((Expenses!E$3:E$1002="INR")*(Expenses!A$3:A$1002=DATE(2025,12,31)),ROW(Expenses!A$3:A$1002)-2),1)),0)+IFERROR(INDEX(Income!C$3:C$502,SMALL(IF((Income!D$3:D$502="INR")*(Income!A$3:A$502=DATE(2025,12,31)),ROW(Income!A$3:A$502)-2),1)),0)=0,"",IFERROR(-INDEX(Expenses!D$3:D$1002,SMALL(IF((Expenses!E$3:E$1002="INR")*(Expenses!A$3:A$1002=DATE(2025,12,31)),ROW(Expenses!A$3:A$1002)-2),1)),0)+IFERROR(INDEX(Income!C$3:C$502,SMALL(IF((Income!D$3:D$502="INR")*(Income!A$3:A$502=DATE(2025,12,31)),ROW(Income!A$3:A$502)-2),1)),0))</f>
        <v/>
      </c>
      <c r="H4" s="38" t="str">
        <f aca="false">IF(IFERROR(INDEX(Expenses!B$3:B$1002,SMALL(IF((Expenses!E$3:E$1002="INR")*(Expenses!A$3:A$1002=DATE(2025,12,31)),ROW(Expenses!A$3:A$1002)-2),1)),"")&lt;&gt;"",IFERROR(INDEX(Expenses!B$3:B$1002,SMALL(IF((Expenses!E$3:E$1002="INR")*(Expenses!A$3:A$1002=DATE(2025,12,31)),ROW(Expenses!A$3:A$1002)-2),1)),""),IF(IFERROR(INDEX(Income!B$3:B$502,SMALL(IF((Income!D$3:D$502="INR")*(Income!A$3:A$502=DATE(2025,12,31)),ROW(Income!A$3:A$502)-2),1)),"")&lt;&gt;"",IFERROR(INDEX(Income!B$3:B$502,SMALL(IF((Income!D$3:D$502="INR")*(Income!A$3:A$502=DATE(2025,12,31)),ROW(Income!A$3:A$502)-2),1)),""),""))</f>
        <v/>
      </c>
      <c r="I4" s="63" t="str">
        <f aca="false">IF(IFERROR(-INDEX(Expenses!D$3:D$1002,SMALL(IF((Expenses!E$3:E$1002="INR")*(Expenses!A$3:A$1002=DATE(2026,1,1)),ROW(Expenses!A$3:A$1002)-2),1)),0)+IFERROR(INDEX(Income!C$3:C$502,SMALL(IF((Income!D$3:D$502="INR")*(Income!A$3:A$502=DATE(2026,1,1)),ROW(Income!A$3:A$502)-2),1)),0)=0,"",IFERROR(-INDEX(Expenses!D$3:D$1002,SMALL(IF((Expenses!E$3:E$1002="INR")*(Expenses!A$3:A$1002=DATE(2026,1,1)),ROW(Expenses!A$3:A$1002)-2),1)),0)+IFERROR(INDEX(Income!C$3:C$502,SMALL(IF((Income!D$3:D$502="INR")*(Income!A$3:A$502=DATE(2026,1,1)),ROW(Income!A$3:A$502)-2),1)),0))</f>
        <v/>
      </c>
      <c r="J4" s="38" t="str">
        <f aca="false">IF(IFERROR(INDEX(Expenses!B$3:B$1002,SMALL(IF((Expenses!E$3:E$1002="INR")*(Expenses!A$3:A$1002=DATE(2026,1,1)),ROW(Expenses!A$3:A$1002)-2),1)),"")&lt;&gt;"",IFERROR(INDEX(Expenses!B$3:B$1002,SMALL(IF((Expenses!E$3:E$1002="INR")*(Expenses!A$3:A$1002=DATE(2026,1,1)),ROW(Expenses!A$3:A$1002)-2),1)),""),IF(IFERROR(INDEX(Income!B$3:B$502,SMALL(IF((Income!D$3:D$502="INR")*(Income!A$3:A$502=DATE(2026,1,1)),ROW(Income!A$3:A$502)-2),1)),"")&lt;&gt;"",IFERROR(INDEX(Income!B$3:B$502,SMALL(IF((Income!D$3:D$502="INR")*(Income!A$3:A$502=DATE(2026,1,1)),ROW(Income!A$3:A$502)-2),1)),""),""))</f>
        <v/>
      </c>
      <c r="K4" s="63" t="str">
        <f aca="false">IF(IFERROR(-INDEX(Expenses!D$3:D$1002,SMALL(IF((Expenses!E$3:E$1002="INR")*(Expenses!A$3:A$1002=DATE(2026,1,2)),ROW(Expenses!A$3:A$1002)-2),1)),0)+IFERROR(INDEX(Income!C$3:C$502,SMALL(IF((Income!D$3:D$502="INR")*(Income!A$3:A$502=DATE(2026,1,2)),ROW(Income!A$3:A$502)-2),1)),0)=0,"",IFERROR(-INDEX(Expenses!D$3:D$1002,SMALL(IF((Expenses!E$3:E$1002="INR")*(Expenses!A$3:A$1002=DATE(2026,1,2)),ROW(Expenses!A$3:A$1002)-2),1)),0)+IFERROR(INDEX(Income!C$3:C$502,SMALL(IF((Income!D$3:D$502="INR")*(Income!A$3:A$502=DATE(2026,1,2)),ROW(Income!A$3:A$502)-2),1)),0))</f>
        <v/>
      </c>
      <c r="L4" s="38" t="str">
        <f aca="false">IF(IFERROR(INDEX(Expenses!B$3:B$1002,SMALL(IF((Expenses!E$3:E$1002="INR")*(Expenses!A$3:A$1002=DATE(2026,1,2)),ROW(Expenses!A$3:A$1002)-2),1)),"")&lt;&gt;"",IFERROR(INDEX(Expenses!B$3:B$1002,SMALL(IF((Expenses!E$3:E$1002="INR")*(Expenses!A$3:A$1002=DATE(2026,1,2)),ROW(Expenses!A$3:A$1002)-2),1)),""),IF(IFERROR(INDEX(Income!B$3:B$502,SMALL(IF((Income!D$3:D$502="INR")*(Income!A$3:A$502=DATE(2026,1,2)),ROW(Income!A$3:A$502)-2),1)),"")&lt;&gt;"",IFERROR(INDEX(Income!B$3:B$502,SMALL(IF((Income!D$3:D$502="INR")*(Income!A$3:A$502=DATE(2026,1,2)),ROW(Income!A$3:A$502)-2),1)),""),""))</f>
        <v/>
      </c>
      <c r="M4" s="63" t="str">
        <f aca="false">IF(IFERROR(-INDEX(Expenses!D$3:D$1002,SMALL(IF((Expenses!E$3:E$1002="INR")*(Expenses!A$3:A$1002=DATE(2026,1,3)),ROW(Expenses!A$3:A$1002)-2),1)),0)+IFERROR(INDEX(Income!C$3:C$502,SMALL(IF((Income!D$3:D$502="INR")*(Income!A$3:A$502=DATE(2026,1,3)),ROW(Income!A$3:A$502)-2),1)),0)=0,"",IFERROR(-INDEX(Expenses!D$3:D$1002,SMALL(IF((Expenses!E$3:E$1002="INR")*(Expenses!A$3:A$1002=DATE(2026,1,3)),ROW(Expenses!A$3:A$1002)-2),1)),0)+IFERROR(INDEX(Income!C$3:C$502,SMALL(IF((Income!D$3:D$502="INR")*(Income!A$3:A$502=DATE(2026,1,3)),ROW(Income!A$3:A$502)-2),1)),0))</f>
        <v/>
      </c>
      <c r="N4" s="38" t="str">
        <f aca="false">IF(IFERROR(INDEX(Expenses!B$3:B$1002,SMALL(IF((Expenses!E$3:E$1002="INR")*(Expenses!A$3:A$1002=DATE(2026,1,3)),ROW(Expenses!A$3:A$1002)-2),1)),"")&lt;&gt;"",IFERROR(INDEX(Expenses!B$3:B$1002,SMALL(IF((Expenses!E$3:E$1002="INR")*(Expenses!A$3:A$1002=DATE(2026,1,3)),ROW(Expenses!A$3:A$1002)-2),1)),""),IF(IFERROR(INDEX(Income!B$3:B$502,SMALL(IF((Income!D$3:D$502="INR")*(Income!A$3:A$502=DATE(2026,1,3)),ROW(Income!A$3:A$502)-2),1)),"")&lt;&gt;"",IFERROR(INDEX(Income!B$3:B$502,SMALL(IF((Income!D$3:D$502="INR")*(Income!A$3:A$502=DATE(2026,1,3)),ROW(Income!A$3:A$502)-2),1)),""),""))</f>
        <v/>
      </c>
      <c r="O4" s="63" t="str">
        <f aca="false">IF(IFERROR(-INDEX(Expenses!D$3:D$1002,SMALL(IF((Expenses!E$3:E$1002="INR")*(Expenses!A$3:A$1002=DATE(2026,1,4)),ROW(Expenses!A$3:A$1002)-2),1)),0)+IFERROR(INDEX(Income!C$3:C$502,SMALL(IF((Income!D$3:D$502="INR")*(Income!A$3:A$502=DATE(2026,1,4)),ROW(Income!A$3:A$502)-2),1)),0)=0,"",IFERROR(-INDEX(Expenses!D$3:D$1002,SMALL(IF((Expenses!E$3:E$1002="INR")*(Expenses!A$3:A$1002=DATE(2026,1,4)),ROW(Expenses!A$3:A$1002)-2),1)),0)+IFERROR(INDEX(Income!C$3:C$502,SMALL(IF((Income!D$3:D$502="INR")*(Income!A$3:A$502=DATE(2026,1,4)),ROW(Income!A$3:A$502)-2),1)),0))</f>
        <v/>
      </c>
      <c r="P4" s="38" t="str">
        <f aca="false">IF(IFERROR(INDEX(Expenses!B$3:B$1002,SMALL(IF((Expenses!E$3:E$1002="INR")*(Expenses!A$3:A$1002=DATE(2026,1,4)),ROW(Expenses!A$3:A$1002)-2),1)),"")&lt;&gt;"",IFERROR(INDEX(Expenses!B$3:B$1002,SMALL(IF((Expenses!E$3:E$1002="INR")*(Expenses!A$3:A$1002=DATE(2026,1,4)),ROW(Expenses!A$3:A$1002)-2),1)),""),IF(IFERROR(INDEX(Income!B$3:B$502,SMALL(IF((Income!D$3:D$502="INR")*(Income!A$3:A$502=DATE(2026,1,4)),ROW(Income!A$3:A$502)-2),1)),"")&lt;&gt;"",IFERROR(INDEX(Income!B$3:B$502,SMALL(IF((Income!D$3:D$502="INR")*(Income!A$3:A$502=DATE(2026,1,4)),ROW(Income!A$3:A$502)-2),1)),""),""))</f>
        <v/>
      </c>
      <c r="Q4" s="3" t="n">
        <v>1</v>
      </c>
      <c r="R4" s="53" t="n">
        <f aca="false">SUM(C4:C8)+SUM(E4:E8)+SUM(G4:G8)+SUM(I4:I8)+SUM(K4:K8)+SUM(M4:M8)+SUM(O4:O8)</f>
        <v>0</v>
      </c>
    </row>
    <row r="5" customFormat="false" ht="15" hidden="false" customHeight="false" outlineLevel="0" collapsed="false">
      <c r="A5" s="16"/>
      <c r="B5" s="16"/>
      <c r="C5" s="63" t="str">
        <f aca="false">IF(IFERROR(-INDEX(Expenses!D$3:D$1002,SMALL(IF((Expenses!E$3:E$1002="INR")*(Expenses!A$3:A$1002=DATE(2025,12,29)),ROW(Expenses!A$3:A$1002)-2),2)),0)+IFERROR(INDEX(Income!C$3:C$502,SMALL(IF((Income!D$3:D$502="INR")*(Income!A$3:A$502=DATE(2025,12,29)),ROW(Income!A$3:A$502)-2),2)),0)=0,"",IFERROR(-INDEX(Expenses!D$3:D$1002,SMALL(IF((Expenses!E$3:E$1002="INR")*(Expenses!A$3:A$1002=DATE(2025,12,29)),ROW(Expenses!A$3:A$1002)-2),2)),0)+IFERROR(INDEX(Income!C$3:C$502,SMALL(IF((Income!D$3:D$502="INR")*(Income!A$3:A$502=DATE(2025,12,29)),ROW(Income!A$3:A$502)-2),2)),0))</f>
        <v/>
      </c>
      <c r="D5" s="38" t="str">
        <f aca="false">IF(IFERROR(INDEX(Expenses!B$3:B$1002,SMALL(IF((Expenses!E$3:E$1002="INR")*(Expenses!A$3:A$1002=DATE(2025,12,29)),ROW(Expenses!A$3:A$1002)-2),2)),"")&lt;&gt;"",IFERROR(INDEX(Expenses!B$3:B$1002,SMALL(IF((Expenses!E$3:E$1002="INR")*(Expenses!A$3:A$1002=DATE(2025,12,29)),ROW(Expenses!A$3:A$1002)-2),2)),""),IF(IFERROR(INDEX(Income!B$3:B$502,SMALL(IF((Income!D$3:D$502="INR")*(Income!A$3:A$502=DATE(2025,12,29)),ROW(Income!A$3:A$502)-2),2)),"")&lt;&gt;"",IFERROR(INDEX(Income!B$3:B$502,SMALL(IF((Income!D$3:D$502="INR")*(Income!A$3:A$502=DATE(2025,12,29)),ROW(Income!A$3:A$502)-2),2)),""),""))</f>
        <v/>
      </c>
      <c r="E5" s="63" t="str">
        <f aca="false">IF(IFERROR(-INDEX(Expenses!D$3:D$1002,SMALL(IF((Expenses!E$3:E$1002="INR")*(Expenses!A$3:A$1002=DATE(2025,12,30)),ROW(Expenses!A$3:A$1002)-2),2)),0)+IFERROR(INDEX(Income!C$3:C$502,SMALL(IF((Income!D$3:D$502="INR")*(Income!A$3:A$502=DATE(2025,12,30)),ROW(Income!A$3:A$502)-2),2)),0)=0,"",IFERROR(-INDEX(Expenses!D$3:D$1002,SMALL(IF((Expenses!E$3:E$1002="INR")*(Expenses!A$3:A$1002=DATE(2025,12,30)),ROW(Expenses!A$3:A$1002)-2),2)),0)+IFERROR(INDEX(Income!C$3:C$502,SMALL(IF((Income!D$3:D$502="INR")*(Income!A$3:A$502=DATE(2025,12,30)),ROW(Income!A$3:A$502)-2),2)),0))</f>
        <v/>
      </c>
      <c r="F5" s="38" t="str">
        <f aca="false">IF(IFERROR(INDEX(Expenses!B$3:B$1002,SMALL(IF((Expenses!E$3:E$1002="INR")*(Expenses!A$3:A$1002=DATE(2025,12,30)),ROW(Expenses!A$3:A$1002)-2),2)),"")&lt;&gt;"",IFERROR(INDEX(Expenses!B$3:B$1002,SMALL(IF((Expenses!E$3:E$1002="INR")*(Expenses!A$3:A$1002=DATE(2025,12,30)),ROW(Expenses!A$3:A$1002)-2),2)),""),IF(IFERROR(INDEX(Income!B$3:B$502,SMALL(IF((Income!D$3:D$502="INR")*(Income!A$3:A$502=DATE(2025,12,30)),ROW(Income!A$3:A$502)-2),2)),"")&lt;&gt;"",IFERROR(INDEX(Income!B$3:B$502,SMALL(IF((Income!D$3:D$502="INR")*(Income!A$3:A$502=DATE(2025,12,30)),ROW(Income!A$3:A$502)-2),2)),""),""))</f>
        <v/>
      </c>
      <c r="G5" s="63" t="str">
        <f aca="false">IF(IFERROR(-INDEX(Expenses!D$3:D$1002,SMALL(IF((Expenses!E$3:E$1002="INR")*(Expenses!A$3:A$1002=DATE(2025,12,31)),ROW(Expenses!A$3:A$1002)-2),2)),0)+IFERROR(INDEX(Income!C$3:C$502,SMALL(IF((Income!D$3:D$502="INR")*(Income!A$3:A$502=DATE(2025,12,31)),ROW(Income!A$3:A$502)-2),2)),0)=0,"",IFERROR(-INDEX(Expenses!D$3:D$1002,SMALL(IF((Expenses!E$3:E$1002="INR")*(Expenses!A$3:A$1002=DATE(2025,12,31)),ROW(Expenses!A$3:A$1002)-2),2)),0)+IFERROR(INDEX(Income!C$3:C$502,SMALL(IF((Income!D$3:D$502="INR")*(Income!A$3:A$502=DATE(2025,12,31)),ROW(Income!A$3:A$502)-2),2)),0))</f>
        <v/>
      </c>
      <c r="H5" s="38" t="str">
        <f aca="false">IF(IFERROR(INDEX(Expenses!B$3:B$1002,SMALL(IF((Expenses!E$3:E$1002="INR")*(Expenses!A$3:A$1002=DATE(2025,12,31)),ROW(Expenses!A$3:A$1002)-2),2)),"")&lt;&gt;"",IFERROR(INDEX(Expenses!B$3:B$1002,SMALL(IF((Expenses!E$3:E$1002="INR")*(Expenses!A$3:A$1002=DATE(2025,12,31)),ROW(Expenses!A$3:A$1002)-2),2)),""),IF(IFERROR(INDEX(Income!B$3:B$502,SMALL(IF((Income!D$3:D$502="INR")*(Income!A$3:A$502=DATE(2025,12,31)),ROW(Income!A$3:A$502)-2),2)),"")&lt;&gt;"",IFERROR(INDEX(Income!B$3:B$502,SMALL(IF((Income!D$3:D$502="INR")*(Income!A$3:A$502=DATE(2025,12,31)),ROW(Income!A$3:A$502)-2),2)),""),""))</f>
        <v/>
      </c>
      <c r="I5" s="63" t="str">
        <f aca="false">IF(IFERROR(-INDEX(Expenses!D$3:D$1002,SMALL(IF((Expenses!E$3:E$1002="INR")*(Expenses!A$3:A$1002=DATE(2026,1,1)),ROW(Expenses!A$3:A$1002)-2),2)),0)+IFERROR(INDEX(Income!C$3:C$502,SMALL(IF((Income!D$3:D$502="INR")*(Income!A$3:A$502=DATE(2026,1,1)),ROW(Income!A$3:A$502)-2),2)),0)=0,"",IFERROR(-INDEX(Expenses!D$3:D$1002,SMALL(IF((Expenses!E$3:E$1002="INR")*(Expenses!A$3:A$1002=DATE(2026,1,1)),ROW(Expenses!A$3:A$1002)-2),2)),0)+IFERROR(INDEX(Income!C$3:C$502,SMALL(IF((Income!D$3:D$502="INR")*(Income!A$3:A$502=DATE(2026,1,1)),ROW(Income!A$3:A$502)-2),2)),0))</f>
        <v/>
      </c>
      <c r="J5" s="38" t="str">
        <f aca="false">IF(IFERROR(INDEX(Expenses!B$3:B$1002,SMALL(IF((Expenses!E$3:E$1002="INR")*(Expenses!A$3:A$1002=DATE(2026,1,1)),ROW(Expenses!A$3:A$1002)-2),2)),"")&lt;&gt;"",IFERROR(INDEX(Expenses!B$3:B$1002,SMALL(IF((Expenses!E$3:E$1002="INR")*(Expenses!A$3:A$1002=DATE(2026,1,1)),ROW(Expenses!A$3:A$1002)-2),2)),""),IF(IFERROR(INDEX(Income!B$3:B$502,SMALL(IF((Income!D$3:D$502="INR")*(Income!A$3:A$502=DATE(2026,1,1)),ROW(Income!A$3:A$502)-2),2)),"")&lt;&gt;"",IFERROR(INDEX(Income!B$3:B$502,SMALL(IF((Income!D$3:D$502="INR")*(Income!A$3:A$502=DATE(2026,1,1)),ROW(Income!A$3:A$502)-2),2)),""),""))</f>
        <v/>
      </c>
      <c r="K5" s="63" t="str">
        <f aca="false">IF(IFERROR(-INDEX(Expenses!D$3:D$1002,SMALL(IF((Expenses!E$3:E$1002="INR")*(Expenses!A$3:A$1002=DATE(2026,1,2)),ROW(Expenses!A$3:A$1002)-2),2)),0)+IFERROR(INDEX(Income!C$3:C$502,SMALL(IF((Income!D$3:D$502="INR")*(Income!A$3:A$502=DATE(2026,1,2)),ROW(Income!A$3:A$502)-2),2)),0)=0,"",IFERROR(-INDEX(Expenses!D$3:D$1002,SMALL(IF((Expenses!E$3:E$1002="INR")*(Expenses!A$3:A$1002=DATE(2026,1,2)),ROW(Expenses!A$3:A$1002)-2),2)),0)+IFERROR(INDEX(Income!C$3:C$502,SMALL(IF((Income!D$3:D$502="INR")*(Income!A$3:A$502=DATE(2026,1,2)),ROW(Income!A$3:A$502)-2),2)),0))</f>
        <v/>
      </c>
      <c r="L5" s="38" t="str">
        <f aca="false">IF(IFERROR(INDEX(Expenses!B$3:B$1002,SMALL(IF((Expenses!E$3:E$1002="INR")*(Expenses!A$3:A$1002=DATE(2026,1,2)),ROW(Expenses!A$3:A$1002)-2),2)),"")&lt;&gt;"",IFERROR(INDEX(Expenses!B$3:B$1002,SMALL(IF((Expenses!E$3:E$1002="INR")*(Expenses!A$3:A$1002=DATE(2026,1,2)),ROW(Expenses!A$3:A$1002)-2),2)),""),IF(IFERROR(INDEX(Income!B$3:B$502,SMALL(IF((Income!D$3:D$502="INR")*(Income!A$3:A$502=DATE(2026,1,2)),ROW(Income!A$3:A$502)-2),2)),"")&lt;&gt;"",IFERROR(INDEX(Income!B$3:B$502,SMALL(IF((Income!D$3:D$502="INR")*(Income!A$3:A$502=DATE(2026,1,2)),ROW(Income!A$3:A$502)-2),2)),""),""))</f>
        <v/>
      </c>
      <c r="M5" s="63" t="str">
        <f aca="false">IF(IFERROR(-INDEX(Expenses!D$3:D$1002,SMALL(IF((Expenses!E$3:E$1002="INR")*(Expenses!A$3:A$1002=DATE(2026,1,3)),ROW(Expenses!A$3:A$1002)-2),2)),0)+IFERROR(INDEX(Income!C$3:C$502,SMALL(IF((Income!D$3:D$502="INR")*(Income!A$3:A$502=DATE(2026,1,3)),ROW(Income!A$3:A$502)-2),2)),0)=0,"",IFERROR(-INDEX(Expenses!D$3:D$1002,SMALL(IF((Expenses!E$3:E$1002="INR")*(Expenses!A$3:A$1002=DATE(2026,1,3)),ROW(Expenses!A$3:A$1002)-2),2)),0)+IFERROR(INDEX(Income!C$3:C$502,SMALL(IF((Income!D$3:D$502="INR")*(Income!A$3:A$502=DATE(2026,1,3)),ROW(Income!A$3:A$502)-2),2)),0))</f>
        <v/>
      </c>
      <c r="N5" s="38" t="str">
        <f aca="false">IF(IFERROR(INDEX(Expenses!B$3:B$1002,SMALL(IF((Expenses!E$3:E$1002="INR")*(Expenses!A$3:A$1002=DATE(2026,1,3)),ROW(Expenses!A$3:A$1002)-2),2)),"")&lt;&gt;"",IFERROR(INDEX(Expenses!B$3:B$1002,SMALL(IF((Expenses!E$3:E$1002="INR")*(Expenses!A$3:A$1002=DATE(2026,1,3)),ROW(Expenses!A$3:A$1002)-2),2)),""),IF(IFERROR(INDEX(Income!B$3:B$502,SMALL(IF((Income!D$3:D$502="INR")*(Income!A$3:A$502=DATE(2026,1,3)),ROW(Income!A$3:A$502)-2),2)),"")&lt;&gt;"",IFERROR(INDEX(Income!B$3:B$502,SMALL(IF((Income!D$3:D$502="INR")*(Income!A$3:A$502=DATE(2026,1,3)),ROW(Income!A$3:A$502)-2),2)),""),""))</f>
        <v/>
      </c>
      <c r="O5" s="63" t="str">
        <f aca="false">IF(IFERROR(-INDEX(Expenses!D$3:D$1002,SMALL(IF((Expenses!E$3:E$1002="INR")*(Expenses!A$3:A$1002=DATE(2026,1,4)),ROW(Expenses!A$3:A$1002)-2),2)),0)+IFERROR(INDEX(Income!C$3:C$502,SMALL(IF((Income!D$3:D$502="INR")*(Income!A$3:A$502=DATE(2026,1,4)),ROW(Income!A$3:A$502)-2),2)),0)=0,"",IFERROR(-INDEX(Expenses!D$3:D$1002,SMALL(IF((Expenses!E$3:E$1002="INR")*(Expenses!A$3:A$1002=DATE(2026,1,4)),ROW(Expenses!A$3:A$1002)-2),2)),0)+IFERROR(INDEX(Income!C$3:C$502,SMALL(IF((Income!D$3:D$502="INR")*(Income!A$3:A$502=DATE(2026,1,4)),ROW(Income!A$3:A$502)-2),2)),0))</f>
        <v/>
      </c>
      <c r="P5" s="38" t="str">
        <f aca="false">IF(IFERROR(INDEX(Expenses!B$3:B$1002,SMALL(IF((Expenses!E$3:E$1002="INR")*(Expenses!A$3:A$1002=DATE(2026,1,4)),ROW(Expenses!A$3:A$1002)-2),2)),"")&lt;&gt;"",IFERROR(INDEX(Expenses!B$3:B$1002,SMALL(IF((Expenses!E$3:E$1002="INR")*(Expenses!A$3:A$1002=DATE(2026,1,4)),ROW(Expenses!A$3:A$1002)-2),2)),""),IF(IFERROR(INDEX(Income!B$3:B$502,SMALL(IF((Income!D$3:D$502="INR")*(Income!A$3:A$502=DATE(2026,1,4)),ROW(Income!A$3:A$502)-2),2)),"")&lt;&gt;"",IFERROR(INDEX(Income!B$3:B$502,SMALL(IF((Income!D$3:D$502="INR")*(Income!A$3:A$502=DATE(2026,1,4)),ROW(Income!A$3:A$502)-2),2)),""),""))</f>
        <v/>
      </c>
      <c r="Q5" s="16"/>
      <c r="R5" s="16"/>
    </row>
    <row r="6" customFormat="false" ht="15" hidden="false" customHeight="false" outlineLevel="0" collapsed="false">
      <c r="A6" s="16"/>
      <c r="B6" s="16"/>
      <c r="C6" s="63" t="str">
        <f aca="false">IF(IFERROR(-INDEX(Expenses!D$3:D$1002,SMALL(IF((Expenses!E$3:E$1002="INR")*(Expenses!A$3:A$1002=DATE(2025,12,29)),ROW(Expenses!A$3:A$1002)-2),3)),0)+IFERROR(INDEX(Income!C$3:C$502,SMALL(IF((Income!D$3:D$502="INR")*(Income!A$3:A$502=DATE(2025,12,29)),ROW(Income!A$3:A$502)-2),3)),0)=0,"",IFERROR(-INDEX(Expenses!D$3:D$1002,SMALL(IF((Expenses!E$3:E$1002="INR")*(Expenses!A$3:A$1002=DATE(2025,12,29)),ROW(Expenses!A$3:A$1002)-2),3)),0)+IFERROR(INDEX(Income!C$3:C$502,SMALL(IF((Income!D$3:D$502="INR")*(Income!A$3:A$502=DATE(2025,12,29)),ROW(Income!A$3:A$502)-2),3)),0))</f>
        <v/>
      </c>
      <c r="D6" s="38" t="str">
        <f aca="false">IF(IFERROR(INDEX(Expenses!B$3:B$1002,SMALL(IF((Expenses!E$3:E$1002="INR")*(Expenses!A$3:A$1002=DATE(2025,12,29)),ROW(Expenses!A$3:A$1002)-2),3)),"")&lt;&gt;"",IFERROR(INDEX(Expenses!B$3:B$1002,SMALL(IF((Expenses!E$3:E$1002="INR")*(Expenses!A$3:A$1002=DATE(2025,12,29)),ROW(Expenses!A$3:A$1002)-2),3)),""),IF(IFERROR(INDEX(Income!B$3:B$502,SMALL(IF((Income!D$3:D$502="INR")*(Income!A$3:A$502=DATE(2025,12,29)),ROW(Income!A$3:A$502)-2),3)),"")&lt;&gt;"",IFERROR(INDEX(Income!B$3:B$502,SMALL(IF((Income!D$3:D$502="INR")*(Income!A$3:A$502=DATE(2025,12,29)),ROW(Income!A$3:A$502)-2),3)),""),""))</f>
        <v/>
      </c>
      <c r="E6" s="63" t="str">
        <f aca="false">IF(IFERROR(-INDEX(Expenses!D$3:D$1002,SMALL(IF((Expenses!E$3:E$1002="INR")*(Expenses!A$3:A$1002=DATE(2025,12,30)),ROW(Expenses!A$3:A$1002)-2),3)),0)+IFERROR(INDEX(Income!C$3:C$502,SMALL(IF((Income!D$3:D$502="INR")*(Income!A$3:A$502=DATE(2025,12,30)),ROW(Income!A$3:A$502)-2),3)),0)=0,"",IFERROR(-INDEX(Expenses!D$3:D$1002,SMALL(IF((Expenses!E$3:E$1002="INR")*(Expenses!A$3:A$1002=DATE(2025,12,30)),ROW(Expenses!A$3:A$1002)-2),3)),0)+IFERROR(INDEX(Income!C$3:C$502,SMALL(IF((Income!D$3:D$502="INR")*(Income!A$3:A$502=DATE(2025,12,30)),ROW(Income!A$3:A$502)-2),3)),0))</f>
        <v/>
      </c>
      <c r="F6" s="38" t="str">
        <f aca="false">IF(IFERROR(INDEX(Expenses!B$3:B$1002,SMALL(IF((Expenses!E$3:E$1002="INR")*(Expenses!A$3:A$1002=DATE(2025,12,30)),ROW(Expenses!A$3:A$1002)-2),3)),"")&lt;&gt;"",IFERROR(INDEX(Expenses!B$3:B$1002,SMALL(IF((Expenses!E$3:E$1002="INR")*(Expenses!A$3:A$1002=DATE(2025,12,30)),ROW(Expenses!A$3:A$1002)-2),3)),""),IF(IFERROR(INDEX(Income!B$3:B$502,SMALL(IF((Income!D$3:D$502="INR")*(Income!A$3:A$502=DATE(2025,12,30)),ROW(Income!A$3:A$502)-2),3)),"")&lt;&gt;"",IFERROR(INDEX(Income!B$3:B$502,SMALL(IF((Income!D$3:D$502="INR")*(Income!A$3:A$502=DATE(2025,12,30)),ROW(Income!A$3:A$502)-2),3)),""),""))</f>
        <v/>
      </c>
      <c r="G6" s="63" t="str">
        <f aca="false">IF(IFERROR(-INDEX(Expenses!D$3:D$1002,SMALL(IF((Expenses!E$3:E$1002="INR")*(Expenses!A$3:A$1002=DATE(2025,12,31)),ROW(Expenses!A$3:A$1002)-2),3)),0)+IFERROR(INDEX(Income!C$3:C$502,SMALL(IF((Income!D$3:D$502="INR")*(Income!A$3:A$502=DATE(2025,12,31)),ROW(Income!A$3:A$502)-2),3)),0)=0,"",IFERROR(-INDEX(Expenses!D$3:D$1002,SMALL(IF((Expenses!E$3:E$1002="INR")*(Expenses!A$3:A$1002=DATE(2025,12,31)),ROW(Expenses!A$3:A$1002)-2),3)),0)+IFERROR(INDEX(Income!C$3:C$502,SMALL(IF((Income!D$3:D$502="INR")*(Income!A$3:A$502=DATE(2025,12,31)),ROW(Income!A$3:A$502)-2),3)),0))</f>
        <v/>
      </c>
      <c r="H6" s="38" t="str">
        <f aca="false">IF(IFERROR(INDEX(Expenses!B$3:B$1002,SMALL(IF((Expenses!E$3:E$1002="INR")*(Expenses!A$3:A$1002=DATE(2025,12,31)),ROW(Expenses!A$3:A$1002)-2),3)),"")&lt;&gt;"",IFERROR(INDEX(Expenses!B$3:B$1002,SMALL(IF((Expenses!E$3:E$1002="INR")*(Expenses!A$3:A$1002=DATE(2025,12,31)),ROW(Expenses!A$3:A$1002)-2),3)),""),IF(IFERROR(INDEX(Income!B$3:B$502,SMALL(IF((Income!D$3:D$502="INR")*(Income!A$3:A$502=DATE(2025,12,31)),ROW(Income!A$3:A$502)-2),3)),"")&lt;&gt;"",IFERROR(INDEX(Income!B$3:B$502,SMALL(IF((Income!D$3:D$502="INR")*(Income!A$3:A$502=DATE(2025,12,31)),ROW(Income!A$3:A$502)-2),3)),""),""))</f>
        <v/>
      </c>
      <c r="I6" s="63" t="str">
        <f aca="false">IF(IFERROR(-INDEX(Expenses!D$3:D$1002,SMALL(IF((Expenses!E$3:E$1002="INR")*(Expenses!A$3:A$1002=DATE(2026,1,1)),ROW(Expenses!A$3:A$1002)-2),3)),0)+IFERROR(INDEX(Income!C$3:C$502,SMALL(IF((Income!D$3:D$502="INR")*(Income!A$3:A$502=DATE(2026,1,1)),ROW(Income!A$3:A$502)-2),3)),0)=0,"",IFERROR(-INDEX(Expenses!D$3:D$1002,SMALL(IF((Expenses!E$3:E$1002="INR")*(Expenses!A$3:A$1002=DATE(2026,1,1)),ROW(Expenses!A$3:A$1002)-2),3)),0)+IFERROR(INDEX(Income!C$3:C$502,SMALL(IF((Income!D$3:D$502="INR")*(Income!A$3:A$502=DATE(2026,1,1)),ROW(Income!A$3:A$502)-2),3)),0))</f>
        <v/>
      </c>
      <c r="J6" s="38" t="str">
        <f aca="false">IF(IFERROR(INDEX(Expenses!B$3:B$1002,SMALL(IF((Expenses!E$3:E$1002="INR")*(Expenses!A$3:A$1002=DATE(2026,1,1)),ROW(Expenses!A$3:A$1002)-2),3)),"")&lt;&gt;"",IFERROR(INDEX(Expenses!B$3:B$1002,SMALL(IF((Expenses!E$3:E$1002="INR")*(Expenses!A$3:A$1002=DATE(2026,1,1)),ROW(Expenses!A$3:A$1002)-2),3)),""),IF(IFERROR(INDEX(Income!B$3:B$502,SMALL(IF((Income!D$3:D$502="INR")*(Income!A$3:A$502=DATE(2026,1,1)),ROW(Income!A$3:A$502)-2),3)),"")&lt;&gt;"",IFERROR(INDEX(Income!B$3:B$502,SMALL(IF((Income!D$3:D$502="INR")*(Income!A$3:A$502=DATE(2026,1,1)),ROW(Income!A$3:A$502)-2),3)),""),""))</f>
        <v/>
      </c>
      <c r="K6" s="63" t="str">
        <f aca="false">IF(IFERROR(-INDEX(Expenses!D$3:D$1002,SMALL(IF((Expenses!E$3:E$1002="INR")*(Expenses!A$3:A$1002=DATE(2026,1,2)),ROW(Expenses!A$3:A$1002)-2),3)),0)+IFERROR(INDEX(Income!C$3:C$502,SMALL(IF((Income!D$3:D$502="INR")*(Income!A$3:A$502=DATE(2026,1,2)),ROW(Income!A$3:A$502)-2),3)),0)=0,"",IFERROR(-INDEX(Expenses!D$3:D$1002,SMALL(IF((Expenses!E$3:E$1002="INR")*(Expenses!A$3:A$1002=DATE(2026,1,2)),ROW(Expenses!A$3:A$1002)-2),3)),0)+IFERROR(INDEX(Income!C$3:C$502,SMALL(IF((Income!D$3:D$502="INR")*(Income!A$3:A$502=DATE(2026,1,2)),ROW(Income!A$3:A$502)-2),3)),0))</f>
        <v/>
      </c>
      <c r="L6" s="38" t="str">
        <f aca="false">IF(IFERROR(INDEX(Expenses!B$3:B$1002,SMALL(IF((Expenses!E$3:E$1002="INR")*(Expenses!A$3:A$1002=DATE(2026,1,2)),ROW(Expenses!A$3:A$1002)-2),3)),"")&lt;&gt;"",IFERROR(INDEX(Expenses!B$3:B$1002,SMALL(IF((Expenses!E$3:E$1002="INR")*(Expenses!A$3:A$1002=DATE(2026,1,2)),ROW(Expenses!A$3:A$1002)-2),3)),""),IF(IFERROR(INDEX(Income!B$3:B$502,SMALL(IF((Income!D$3:D$502="INR")*(Income!A$3:A$502=DATE(2026,1,2)),ROW(Income!A$3:A$502)-2),3)),"")&lt;&gt;"",IFERROR(INDEX(Income!B$3:B$502,SMALL(IF((Income!D$3:D$502="INR")*(Income!A$3:A$502=DATE(2026,1,2)),ROW(Income!A$3:A$502)-2),3)),""),""))</f>
        <v/>
      </c>
      <c r="M6" s="63" t="str">
        <f aca="false">IF(IFERROR(-INDEX(Expenses!D$3:D$1002,SMALL(IF((Expenses!E$3:E$1002="INR")*(Expenses!A$3:A$1002=DATE(2026,1,3)),ROW(Expenses!A$3:A$1002)-2),3)),0)+IFERROR(INDEX(Income!C$3:C$502,SMALL(IF((Income!D$3:D$502="INR")*(Income!A$3:A$502=DATE(2026,1,3)),ROW(Income!A$3:A$502)-2),3)),0)=0,"",IFERROR(-INDEX(Expenses!D$3:D$1002,SMALL(IF((Expenses!E$3:E$1002="INR")*(Expenses!A$3:A$1002=DATE(2026,1,3)),ROW(Expenses!A$3:A$1002)-2),3)),0)+IFERROR(INDEX(Income!C$3:C$502,SMALL(IF((Income!D$3:D$502="INR")*(Income!A$3:A$502=DATE(2026,1,3)),ROW(Income!A$3:A$502)-2),3)),0))</f>
        <v/>
      </c>
      <c r="N6" s="38" t="str">
        <f aca="false">IF(IFERROR(INDEX(Expenses!B$3:B$1002,SMALL(IF((Expenses!E$3:E$1002="INR")*(Expenses!A$3:A$1002=DATE(2026,1,3)),ROW(Expenses!A$3:A$1002)-2),3)),"")&lt;&gt;"",IFERROR(INDEX(Expenses!B$3:B$1002,SMALL(IF((Expenses!E$3:E$1002="INR")*(Expenses!A$3:A$1002=DATE(2026,1,3)),ROW(Expenses!A$3:A$1002)-2),3)),""),IF(IFERROR(INDEX(Income!B$3:B$502,SMALL(IF((Income!D$3:D$502="INR")*(Income!A$3:A$502=DATE(2026,1,3)),ROW(Income!A$3:A$502)-2),3)),"")&lt;&gt;"",IFERROR(INDEX(Income!B$3:B$502,SMALL(IF((Income!D$3:D$502="INR")*(Income!A$3:A$502=DATE(2026,1,3)),ROW(Income!A$3:A$502)-2),3)),""),""))</f>
        <v/>
      </c>
      <c r="O6" s="63" t="str">
        <f aca="false">IF(IFERROR(-INDEX(Expenses!D$3:D$1002,SMALL(IF((Expenses!E$3:E$1002="INR")*(Expenses!A$3:A$1002=DATE(2026,1,4)),ROW(Expenses!A$3:A$1002)-2),3)),0)+IFERROR(INDEX(Income!C$3:C$502,SMALL(IF((Income!D$3:D$502="INR")*(Income!A$3:A$502=DATE(2026,1,4)),ROW(Income!A$3:A$502)-2),3)),0)=0,"",IFERROR(-INDEX(Expenses!D$3:D$1002,SMALL(IF((Expenses!E$3:E$1002="INR")*(Expenses!A$3:A$1002=DATE(2026,1,4)),ROW(Expenses!A$3:A$1002)-2),3)),0)+IFERROR(INDEX(Income!C$3:C$502,SMALL(IF((Income!D$3:D$502="INR")*(Income!A$3:A$502=DATE(2026,1,4)),ROW(Income!A$3:A$502)-2),3)),0))</f>
        <v/>
      </c>
      <c r="P6" s="38" t="str">
        <f aca="false">IF(IFERROR(INDEX(Expenses!B$3:B$1002,SMALL(IF((Expenses!E$3:E$1002="INR")*(Expenses!A$3:A$1002=DATE(2026,1,4)),ROW(Expenses!A$3:A$1002)-2),3)),"")&lt;&gt;"",IFERROR(INDEX(Expenses!B$3:B$1002,SMALL(IF((Expenses!E$3:E$1002="INR")*(Expenses!A$3:A$1002=DATE(2026,1,4)),ROW(Expenses!A$3:A$1002)-2),3)),""),IF(IFERROR(INDEX(Income!B$3:B$502,SMALL(IF((Income!D$3:D$502="INR")*(Income!A$3:A$502=DATE(2026,1,4)),ROW(Income!A$3:A$502)-2),3)),"")&lt;&gt;"",IFERROR(INDEX(Income!B$3:B$502,SMALL(IF((Income!D$3:D$502="INR")*(Income!A$3:A$502=DATE(2026,1,4)),ROW(Income!A$3:A$502)-2),3)),""),""))</f>
        <v/>
      </c>
      <c r="Q6" s="16"/>
      <c r="R6" s="16"/>
    </row>
    <row r="7" customFormat="false" ht="15" hidden="false" customHeight="false" outlineLevel="0" collapsed="false">
      <c r="A7" s="16"/>
      <c r="B7" s="16"/>
      <c r="C7" s="63" t="str">
        <f aca="false">IF(IFERROR(-INDEX(Expenses!D$3:D$1002,SMALL(IF((Expenses!E$3:E$1002="INR")*(Expenses!A$3:A$1002=DATE(2025,12,29)),ROW(Expenses!A$3:A$1002)-2),4)),0)+IFERROR(INDEX(Income!C$3:C$502,SMALL(IF((Income!D$3:D$502="INR")*(Income!A$3:A$502=DATE(2025,12,29)),ROW(Income!A$3:A$502)-2),4)),0)=0,"",IFERROR(-INDEX(Expenses!D$3:D$1002,SMALL(IF((Expenses!E$3:E$1002="INR")*(Expenses!A$3:A$1002=DATE(2025,12,29)),ROW(Expenses!A$3:A$1002)-2),4)),0)+IFERROR(INDEX(Income!C$3:C$502,SMALL(IF((Income!D$3:D$502="INR")*(Income!A$3:A$502=DATE(2025,12,29)),ROW(Income!A$3:A$502)-2),4)),0))</f>
        <v/>
      </c>
      <c r="D7" s="38" t="str">
        <f aca="false">IF(IFERROR(INDEX(Expenses!B$3:B$1002,SMALL(IF((Expenses!E$3:E$1002="INR")*(Expenses!A$3:A$1002=DATE(2025,12,29)),ROW(Expenses!A$3:A$1002)-2),4)),"")&lt;&gt;"",IFERROR(INDEX(Expenses!B$3:B$1002,SMALL(IF((Expenses!E$3:E$1002="INR")*(Expenses!A$3:A$1002=DATE(2025,12,29)),ROW(Expenses!A$3:A$1002)-2),4)),""),IF(IFERROR(INDEX(Income!B$3:B$502,SMALL(IF((Income!D$3:D$502="INR")*(Income!A$3:A$502=DATE(2025,12,29)),ROW(Income!A$3:A$502)-2),4)),"")&lt;&gt;"",IFERROR(INDEX(Income!B$3:B$502,SMALL(IF((Income!D$3:D$502="INR")*(Income!A$3:A$502=DATE(2025,12,29)),ROW(Income!A$3:A$502)-2),4)),""),""))</f>
        <v/>
      </c>
      <c r="E7" s="63" t="str">
        <f aca="false">IF(IFERROR(-INDEX(Expenses!D$3:D$1002,SMALL(IF((Expenses!E$3:E$1002="INR")*(Expenses!A$3:A$1002=DATE(2025,12,30)),ROW(Expenses!A$3:A$1002)-2),4)),0)+IFERROR(INDEX(Income!C$3:C$502,SMALL(IF((Income!D$3:D$502="INR")*(Income!A$3:A$502=DATE(2025,12,30)),ROW(Income!A$3:A$502)-2),4)),0)=0,"",IFERROR(-INDEX(Expenses!D$3:D$1002,SMALL(IF((Expenses!E$3:E$1002="INR")*(Expenses!A$3:A$1002=DATE(2025,12,30)),ROW(Expenses!A$3:A$1002)-2),4)),0)+IFERROR(INDEX(Income!C$3:C$502,SMALL(IF((Income!D$3:D$502="INR")*(Income!A$3:A$502=DATE(2025,12,30)),ROW(Income!A$3:A$502)-2),4)),0))</f>
        <v/>
      </c>
      <c r="F7" s="38" t="str">
        <f aca="false">IF(IFERROR(INDEX(Expenses!B$3:B$1002,SMALL(IF((Expenses!E$3:E$1002="INR")*(Expenses!A$3:A$1002=DATE(2025,12,30)),ROW(Expenses!A$3:A$1002)-2),4)),"")&lt;&gt;"",IFERROR(INDEX(Expenses!B$3:B$1002,SMALL(IF((Expenses!E$3:E$1002="INR")*(Expenses!A$3:A$1002=DATE(2025,12,30)),ROW(Expenses!A$3:A$1002)-2),4)),""),IF(IFERROR(INDEX(Income!B$3:B$502,SMALL(IF((Income!D$3:D$502="INR")*(Income!A$3:A$502=DATE(2025,12,30)),ROW(Income!A$3:A$502)-2),4)),"")&lt;&gt;"",IFERROR(INDEX(Income!B$3:B$502,SMALL(IF((Income!D$3:D$502="INR")*(Income!A$3:A$502=DATE(2025,12,30)),ROW(Income!A$3:A$502)-2),4)),""),""))</f>
        <v/>
      </c>
      <c r="G7" s="63" t="str">
        <f aca="false">IF(IFERROR(-INDEX(Expenses!D$3:D$1002,SMALL(IF((Expenses!E$3:E$1002="INR")*(Expenses!A$3:A$1002=DATE(2025,12,31)),ROW(Expenses!A$3:A$1002)-2),4)),0)+IFERROR(INDEX(Income!C$3:C$502,SMALL(IF((Income!D$3:D$502="INR")*(Income!A$3:A$502=DATE(2025,12,31)),ROW(Income!A$3:A$502)-2),4)),0)=0,"",IFERROR(-INDEX(Expenses!D$3:D$1002,SMALL(IF((Expenses!E$3:E$1002="INR")*(Expenses!A$3:A$1002=DATE(2025,12,31)),ROW(Expenses!A$3:A$1002)-2),4)),0)+IFERROR(INDEX(Income!C$3:C$502,SMALL(IF((Income!D$3:D$502="INR")*(Income!A$3:A$502=DATE(2025,12,31)),ROW(Income!A$3:A$502)-2),4)),0))</f>
        <v/>
      </c>
      <c r="H7" s="38" t="str">
        <f aca="false">IF(IFERROR(INDEX(Expenses!B$3:B$1002,SMALL(IF((Expenses!E$3:E$1002="INR")*(Expenses!A$3:A$1002=DATE(2025,12,31)),ROW(Expenses!A$3:A$1002)-2),4)),"")&lt;&gt;"",IFERROR(INDEX(Expenses!B$3:B$1002,SMALL(IF((Expenses!E$3:E$1002="INR")*(Expenses!A$3:A$1002=DATE(2025,12,31)),ROW(Expenses!A$3:A$1002)-2),4)),""),IF(IFERROR(INDEX(Income!B$3:B$502,SMALL(IF((Income!D$3:D$502="INR")*(Income!A$3:A$502=DATE(2025,12,31)),ROW(Income!A$3:A$502)-2),4)),"")&lt;&gt;"",IFERROR(INDEX(Income!B$3:B$502,SMALL(IF((Income!D$3:D$502="INR")*(Income!A$3:A$502=DATE(2025,12,31)),ROW(Income!A$3:A$502)-2),4)),""),""))</f>
        <v/>
      </c>
      <c r="I7" s="63" t="str">
        <f aca="false">IF(IFERROR(-INDEX(Expenses!D$3:D$1002,SMALL(IF((Expenses!E$3:E$1002="INR")*(Expenses!A$3:A$1002=DATE(2026,1,1)),ROW(Expenses!A$3:A$1002)-2),4)),0)+IFERROR(INDEX(Income!C$3:C$502,SMALL(IF((Income!D$3:D$502="INR")*(Income!A$3:A$502=DATE(2026,1,1)),ROW(Income!A$3:A$502)-2),4)),0)=0,"",IFERROR(-INDEX(Expenses!D$3:D$1002,SMALL(IF((Expenses!E$3:E$1002="INR")*(Expenses!A$3:A$1002=DATE(2026,1,1)),ROW(Expenses!A$3:A$1002)-2),4)),0)+IFERROR(INDEX(Income!C$3:C$502,SMALL(IF((Income!D$3:D$502="INR")*(Income!A$3:A$502=DATE(2026,1,1)),ROW(Income!A$3:A$502)-2),4)),0))</f>
        <v/>
      </c>
      <c r="J7" s="38" t="str">
        <f aca="false">IF(IFERROR(INDEX(Expenses!B$3:B$1002,SMALL(IF((Expenses!E$3:E$1002="INR")*(Expenses!A$3:A$1002=DATE(2026,1,1)),ROW(Expenses!A$3:A$1002)-2),4)),"")&lt;&gt;"",IFERROR(INDEX(Expenses!B$3:B$1002,SMALL(IF((Expenses!E$3:E$1002="INR")*(Expenses!A$3:A$1002=DATE(2026,1,1)),ROW(Expenses!A$3:A$1002)-2),4)),""),IF(IFERROR(INDEX(Income!B$3:B$502,SMALL(IF((Income!D$3:D$502="INR")*(Income!A$3:A$502=DATE(2026,1,1)),ROW(Income!A$3:A$502)-2),4)),"")&lt;&gt;"",IFERROR(INDEX(Income!B$3:B$502,SMALL(IF((Income!D$3:D$502="INR")*(Income!A$3:A$502=DATE(2026,1,1)),ROW(Income!A$3:A$502)-2),4)),""),""))</f>
        <v/>
      </c>
      <c r="K7" s="63" t="str">
        <f aca="false">IF(IFERROR(-INDEX(Expenses!D$3:D$1002,SMALL(IF((Expenses!E$3:E$1002="INR")*(Expenses!A$3:A$1002=DATE(2026,1,2)),ROW(Expenses!A$3:A$1002)-2),4)),0)+IFERROR(INDEX(Income!C$3:C$502,SMALL(IF((Income!D$3:D$502="INR")*(Income!A$3:A$502=DATE(2026,1,2)),ROW(Income!A$3:A$502)-2),4)),0)=0,"",IFERROR(-INDEX(Expenses!D$3:D$1002,SMALL(IF((Expenses!E$3:E$1002="INR")*(Expenses!A$3:A$1002=DATE(2026,1,2)),ROW(Expenses!A$3:A$1002)-2),4)),0)+IFERROR(INDEX(Income!C$3:C$502,SMALL(IF((Income!D$3:D$502="INR")*(Income!A$3:A$502=DATE(2026,1,2)),ROW(Income!A$3:A$502)-2),4)),0))</f>
        <v/>
      </c>
      <c r="L7" s="38" t="str">
        <f aca="false">IF(IFERROR(INDEX(Expenses!B$3:B$1002,SMALL(IF((Expenses!E$3:E$1002="INR")*(Expenses!A$3:A$1002=DATE(2026,1,2)),ROW(Expenses!A$3:A$1002)-2),4)),"")&lt;&gt;"",IFERROR(INDEX(Expenses!B$3:B$1002,SMALL(IF((Expenses!E$3:E$1002="INR")*(Expenses!A$3:A$1002=DATE(2026,1,2)),ROW(Expenses!A$3:A$1002)-2),4)),""),IF(IFERROR(INDEX(Income!B$3:B$502,SMALL(IF((Income!D$3:D$502="INR")*(Income!A$3:A$502=DATE(2026,1,2)),ROW(Income!A$3:A$502)-2),4)),"")&lt;&gt;"",IFERROR(INDEX(Income!B$3:B$502,SMALL(IF((Income!D$3:D$502="INR")*(Income!A$3:A$502=DATE(2026,1,2)),ROW(Income!A$3:A$502)-2),4)),""),""))</f>
        <v/>
      </c>
      <c r="M7" s="63" t="str">
        <f aca="false">IF(IFERROR(-INDEX(Expenses!D$3:D$1002,SMALL(IF((Expenses!E$3:E$1002="INR")*(Expenses!A$3:A$1002=DATE(2026,1,3)),ROW(Expenses!A$3:A$1002)-2),4)),0)+IFERROR(INDEX(Income!C$3:C$502,SMALL(IF((Income!D$3:D$502="INR")*(Income!A$3:A$502=DATE(2026,1,3)),ROW(Income!A$3:A$502)-2),4)),0)=0,"",IFERROR(-INDEX(Expenses!D$3:D$1002,SMALL(IF((Expenses!E$3:E$1002="INR")*(Expenses!A$3:A$1002=DATE(2026,1,3)),ROW(Expenses!A$3:A$1002)-2),4)),0)+IFERROR(INDEX(Income!C$3:C$502,SMALL(IF((Income!D$3:D$502="INR")*(Income!A$3:A$502=DATE(2026,1,3)),ROW(Income!A$3:A$502)-2),4)),0))</f>
        <v/>
      </c>
      <c r="N7" s="38" t="str">
        <f aca="false">IF(IFERROR(INDEX(Expenses!B$3:B$1002,SMALL(IF((Expenses!E$3:E$1002="INR")*(Expenses!A$3:A$1002=DATE(2026,1,3)),ROW(Expenses!A$3:A$1002)-2),4)),"")&lt;&gt;"",IFERROR(INDEX(Expenses!B$3:B$1002,SMALL(IF((Expenses!E$3:E$1002="INR")*(Expenses!A$3:A$1002=DATE(2026,1,3)),ROW(Expenses!A$3:A$1002)-2),4)),""),IF(IFERROR(INDEX(Income!B$3:B$502,SMALL(IF((Income!D$3:D$502="INR")*(Income!A$3:A$502=DATE(2026,1,3)),ROW(Income!A$3:A$502)-2),4)),"")&lt;&gt;"",IFERROR(INDEX(Income!B$3:B$502,SMALL(IF((Income!D$3:D$502="INR")*(Income!A$3:A$502=DATE(2026,1,3)),ROW(Income!A$3:A$502)-2),4)),""),""))</f>
        <v/>
      </c>
      <c r="O7" s="63" t="str">
        <f aca="false">IF(IFERROR(-INDEX(Expenses!D$3:D$1002,SMALL(IF((Expenses!E$3:E$1002="INR")*(Expenses!A$3:A$1002=DATE(2026,1,4)),ROW(Expenses!A$3:A$1002)-2),4)),0)+IFERROR(INDEX(Income!C$3:C$502,SMALL(IF((Income!D$3:D$502="INR")*(Income!A$3:A$502=DATE(2026,1,4)),ROW(Income!A$3:A$502)-2),4)),0)=0,"",IFERROR(-INDEX(Expenses!D$3:D$1002,SMALL(IF((Expenses!E$3:E$1002="INR")*(Expenses!A$3:A$1002=DATE(2026,1,4)),ROW(Expenses!A$3:A$1002)-2),4)),0)+IFERROR(INDEX(Income!C$3:C$502,SMALL(IF((Income!D$3:D$502="INR")*(Income!A$3:A$502=DATE(2026,1,4)),ROW(Income!A$3:A$502)-2),4)),0))</f>
        <v/>
      </c>
      <c r="P7" s="38" t="str">
        <f aca="false">IF(IFERROR(INDEX(Expenses!B$3:B$1002,SMALL(IF((Expenses!E$3:E$1002="INR")*(Expenses!A$3:A$1002=DATE(2026,1,4)),ROW(Expenses!A$3:A$1002)-2),4)),"")&lt;&gt;"",IFERROR(INDEX(Expenses!B$3:B$1002,SMALL(IF((Expenses!E$3:E$1002="INR")*(Expenses!A$3:A$1002=DATE(2026,1,4)),ROW(Expenses!A$3:A$1002)-2),4)),""),IF(IFERROR(INDEX(Income!B$3:B$502,SMALL(IF((Income!D$3:D$502="INR")*(Income!A$3:A$502=DATE(2026,1,4)),ROW(Income!A$3:A$502)-2),4)),"")&lt;&gt;"",IFERROR(INDEX(Income!B$3:B$502,SMALL(IF((Income!D$3:D$502="INR")*(Income!A$3:A$502=DATE(2026,1,4)),ROW(Income!A$3:A$502)-2),4)),""),""))</f>
        <v/>
      </c>
      <c r="Q7" s="16"/>
      <c r="R7" s="16"/>
    </row>
    <row r="8" customFormat="false" ht="15" hidden="false" customHeight="false" outlineLevel="0" collapsed="false">
      <c r="A8" s="16"/>
      <c r="B8" s="16"/>
      <c r="C8" s="63" t="str">
        <f aca="false">IF(IFERROR(-INDEX(Expenses!D$3:D$1002,SMALL(IF((Expenses!E$3:E$1002="INR")*(Expenses!A$3:A$1002=DATE(2025,12,29)),ROW(Expenses!A$3:A$1002)-2),5)),0)+IFERROR(INDEX(Income!C$3:C$502,SMALL(IF((Income!D$3:D$502="INR")*(Income!A$3:A$502=DATE(2025,12,29)),ROW(Income!A$3:A$502)-2),5)),0)=0,"",IFERROR(-INDEX(Expenses!D$3:D$1002,SMALL(IF((Expenses!E$3:E$1002="INR")*(Expenses!A$3:A$1002=DATE(2025,12,29)),ROW(Expenses!A$3:A$1002)-2),5)),0)+IFERROR(INDEX(Income!C$3:C$502,SMALL(IF((Income!D$3:D$502="INR")*(Income!A$3:A$502=DATE(2025,12,29)),ROW(Income!A$3:A$502)-2),5)),0))</f>
        <v/>
      </c>
      <c r="D8" s="38" t="str">
        <f aca="false">IF(IFERROR(INDEX(Expenses!B$3:B$1002,SMALL(IF((Expenses!E$3:E$1002="INR")*(Expenses!A$3:A$1002=DATE(2025,12,29)),ROW(Expenses!A$3:A$1002)-2),5)),"")&lt;&gt;"",IFERROR(INDEX(Expenses!B$3:B$1002,SMALL(IF((Expenses!E$3:E$1002="INR")*(Expenses!A$3:A$1002=DATE(2025,12,29)),ROW(Expenses!A$3:A$1002)-2),5)),""),IF(IFERROR(INDEX(Income!B$3:B$502,SMALL(IF((Income!D$3:D$502="INR")*(Income!A$3:A$502=DATE(2025,12,29)),ROW(Income!A$3:A$502)-2),5)),"")&lt;&gt;"",IFERROR(INDEX(Income!B$3:B$502,SMALL(IF((Income!D$3:D$502="INR")*(Income!A$3:A$502=DATE(2025,12,29)),ROW(Income!A$3:A$502)-2),5)),""),""))</f>
        <v/>
      </c>
      <c r="E8" s="63" t="str">
        <f aca="false">IF(IFERROR(-INDEX(Expenses!D$3:D$1002,SMALL(IF((Expenses!E$3:E$1002="INR")*(Expenses!A$3:A$1002=DATE(2025,12,30)),ROW(Expenses!A$3:A$1002)-2),5)),0)+IFERROR(INDEX(Income!C$3:C$502,SMALL(IF((Income!D$3:D$502="INR")*(Income!A$3:A$502=DATE(2025,12,30)),ROW(Income!A$3:A$502)-2),5)),0)=0,"",IFERROR(-INDEX(Expenses!D$3:D$1002,SMALL(IF((Expenses!E$3:E$1002="INR")*(Expenses!A$3:A$1002=DATE(2025,12,30)),ROW(Expenses!A$3:A$1002)-2),5)),0)+IFERROR(INDEX(Income!C$3:C$502,SMALL(IF((Income!D$3:D$502="INR")*(Income!A$3:A$502=DATE(2025,12,30)),ROW(Income!A$3:A$502)-2),5)),0))</f>
        <v/>
      </c>
      <c r="F8" s="38" t="str">
        <f aca="false">IF(IFERROR(INDEX(Expenses!B$3:B$1002,SMALL(IF((Expenses!E$3:E$1002="INR")*(Expenses!A$3:A$1002=DATE(2025,12,30)),ROW(Expenses!A$3:A$1002)-2),5)),"")&lt;&gt;"",IFERROR(INDEX(Expenses!B$3:B$1002,SMALL(IF((Expenses!E$3:E$1002="INR")*(Expenses!A$3:A$1002=DATE(2025,12,30)),ROW(Expenses!A$3:A$1002)-2),5)),""),IF(IFERROR(INDEX(Income!B$3:B$502,SMALL(IF((Income!D$3:D$502="INR")*(Income!A$3:A$502=DATE(2025,12,30)),ROW(Income!A$3:A$502)-2),5)),"")&lt;&gt;"",IFERROR(INDEX(Income!B$3:B$502,SMALL(IF((Income!D$3:D$502="INR")*(Income!A$3:A$502=DATE(2025,12,30)),ROW(Income!A$3:A$502)-2),5)),""),""))</f>
        <v/>
      </c>
      <c r="G8" s="63" t="str">
        <f aca="false">IF(IFERROR(-INDEX(Expenses!D$3:D$1002,SMALL(IF((Expenses!E$3:E$1002="INR")*(Expenses!A$3:A$1002=DATE(2025,12,31)),ROW(Expenses!A$3:A$1002)-2),5)),0)+IFERROR(INDEX(Income!C$3:C$502,SMALL(IF((Income!D$3:D$502="INR")*(Income!A$3:A$502=DATE(2025,12,31)),ROW(Income!A$3:A$502)-2),5)),0)=0,"",IFERROR(-INDEX(Expenses!D$3:D$1002,SMALL(IF((Expenses!E$3:E$1002="INR")*(Expenses!A$3:A$1002=DATE(2025,12,31)),ROW(Expenses!A$3:A$1002)-2),5)),0)+IFERROR(INDEX(Income!C$3:C$502,SMALL(IF((Income!D$3:D$502="INR")*(Income!A$3:A$502=DATE(2025,12,31)),ROW(Income!A$3:A$502)-2),5)),0))</f>
        <v/>
      </c>
      <c r="H8" s="38" t="str">
        <f aca="false">IF(IFERROR(INDEX(Expenses!B$3:B$1002,SMALL(IF((Expenses!E$3:E$1002="INR")*(Expenses!A$3:A$1002=DATE(2025,12,31)),ROW(Expenses!A$3:A$1002)-2),5)),"")&lt;&gt;"",IFERROR(INDEX(Expenses!B$3:B$1002,SMALL(IF((Expenses!E$3:E$1002="INR")*(Expenses!A$3:A$1002=DATE(2025,12,31)),ROW(Expenses!A$3:A$1002)-2),5)),""),IF(IFERROR(INDEX(Income!B$3:B$502,SMALL(IF((Income!D$3:D$502="INR")*(Income!A$3:A$502=DATE(2025,12,31)),ROW(Income!A$3:A$502)-2),5)),"")&lt;&gt;"",IFERROR(INDEX(Income!B$3:B$502,SMALL(IF((Income!D$3:D$502="INR")*(Income!A$3:A$502=DATE(2025,12,31)),ROW(Income!A$3:A$502)-2),5)),""),""))</f>
        <v/>
      </c>
      <c r="I8" s="63" t="str">
        <f aca="false">IF(IFERROR(-INDEX(Expenses!D$3:D$1002,SMALL(IF((Expenses!E$3:E$1002="INR")*(Expenses!A$3:A$1002=DATE(2026,1,1)),ROW(Expenses!A$3:A$1002)-2),5)),0)+IFERROR(INDEX(Income!C$3:C$502,SMALL(IF((Income!D$3:D$502="INR")*(Income!A$3:A$502=DATE(2026,1,1)),ROW(Income!A$3:A$502)-2),5)),0)=0,"",IFERROR(-INDEX(Expenses!D$3:D$1002,SMALL(IF((Expenses!E$3:E$1002="INR")*(Expenses!A$3:A$1002=DATE(2026,1,1)),ROW(Expenses!A$3:A$1002)-2),5)),0)+IFERROR(INDEX(Income!C$3:C$502,SMALL(IF((Income!D$3:D$502="INR")*(Income!A$3:A$502=DATE(2026,1,1)),ROW(Income!A$3:A$502)-2),5)),0))</f>
        <v/>
      </c>
      <c r="J8" s="38" t="str">
        <f aca="false">IF(IFERROR(INDEX(Expenses!B$3:B$1002,SMALL(IF((Expenses!E$3:E$1002="INR")*(Expenses!A$3:A$1002=DATE(2026,1,1)),ROW(Expenses!A$3:A$1002)-2),5)),"")&lt;&gt;"",IFERROR(INDEX(Expenses!B$3:B$1002,SMALL(IF((Expenses!E$3:E$1002="INR")*(Expenses!A$3:A$1002=DATE(2026,1,1)),ROW(Expenses!A$3:A$1002)-2),5)),""),IF(IFERROR(INDEX(Income!B$3:B$502,SMALL(IF((Income!D$3:D$502="INR")*(Income!A$3:A$502=DATE(2026,1,1)),ROW(Income!A$3:A$502)-2),5)),"")&lt;&gt;"",IFERROR(INDEX(Income!B$3:B$502,SMALL(IF((Income!D$3:D$502="INR")*(Income!A$3:A$502=DATE(2026,1,1)),ROW(Income!A$3:A$502)-2),5)),""),""))</f>
        <v/>
      </c>
      <c r="K8" s="63" t="str">
        <f aca="false">IF(IFERROR(-INDEX(Expenses!D$3:D$1002,SMALL(IF((Expenses!E$3:E$1002="INR")*(Expenses!A$3:A$1002=DATE(2026,1,2)),ROW(Expenses!A$3:A$1002)-2),5)),0)+IFERROR(INDEX(Income!C$3:C$502,SMALL(IF((Income!D$3:D$502="INR")*(Income!A$3:A$502=DATE(2026,1,2)),ROW(Income!A$3:A$502)-2),5)),0)=0,"",IFERROR(-INDEX(Expenses!D$3:D$1002,SMALL(IF((Expenses!E$3:E$1002="INR")*(Expenses!A$3:A$1002=DATE(2026,1,2)),ROW(Expenses!A$3:A$1002)-2),5)),0)+IFERROR(INDEX(Income!C$3:C$502,SMALL(IF((Income!D$3:D$502="INR")*(Income!A$3:A$502=DATE(2026,1,2)),ROW(Income!A$3:A$502)-2),5)),0))</f>
        <v/>
      </c>
      <c r="L8" s="38" t="str">
        <f aca="false">IF(IFERROR(INDEX(Expenses!B$3:B$1002,SMALL(IF((Expenses!E$3:E$1002="INR")*(Expenses!A$3:A$1002=DATE(2026,1,2)),ROW(Expenses!A$3:A$1002)-2),5)),"")&lt;&gt;"",IFERROR(INDEX(Expenses!B$3:B$1002,SMALL(IF((Expenses!E$3:E$1002="INR")*(Expenses!A$3:A$1002=DATE(2026,1,2)),ROW(Expenses!A$3:A$1002)-2),5)),""),IF(IFERROR(INDEX(Income!B$3:B$502,SMALL(IF((Income!D$3:D$502="INR")*(Income!A$3:A$502=DATE(2026,1,2)),ROW(Income!A$3:A$502)-2),5)),"")&lt;&gt;"",IFERROR(INDEX(Income!B$3:B$502,SMALL(IF((Income!D$3:D$502="INR")*(Income!A$3:A$502=DATE(2026,1,2)),ROW(Income!A$3:A$502)-2),5)),""),""))</f>
        <v/>
      </c>
      <c r="M8" s="63" t="str">
        <f aca="false">IF(IFERROR(-INDEX(Expenses!D$3:D$1002,SMALL(IF((Expenses!E$3:E$1002="INR")*(Expenses!A$3:A$1002=DATE(2026,1,3)),ROW(Expenses!A$3:A$1002)-2),5)),0)+IFERROR(INDEX(Income!C$3:C$502,SMALL(IF((Income!D$3:D$502="INR")*(Income!A$3:A$502=DATE(2026,1,3)),ROW(Income!A$3:A$502)-2),5)),0)=0,"",IFERROR(-INDEX(Expenses!D$3:D$1002,SMALL(IF((Expenses!E$3:E$1002="INR")*(Expenses!A$3:A$1002=DATE(2026,1,3)),ROW(Expenses!A$3:A$1002)-2),5)),0)+IFERROR(INDEX(Income!C$3:C$502,SMALL(IF((Income!D$3:D$502="INR")*(Income!A$3:A$502=DATE(2026,1,3)),ROW(Income!A$3:A$502)-2),5)),0))</f>
        <v/>
      </c>
      <c r="N8" s="38" t="str">
        <f aca="false">IF(IFERROR(INDEX(Expenses!B$3:B$1002,SMALL(IF((Expenses!E$3:E$1002="INR")*(Expenses!A$3:A$1002=DATE(2026,1,3)),ROW(Expenses!A$3:A$1002)-2),5)),"")&lt;&gt;"",IFERROR(INDEX(Expenses!B$3:B$1002,SMALL(IF((Expenses!E$3:E$1002="INR")*(Expenses!A$3:A$1002=DATE(2026,1,3)),ROW(Expenses!A$3:A$1002)-2),5)),""),IF(IFERROR(INDEX(Income!B$3:B$502,SMALL(IF((Income!D$3:D$502="INR")*(Income!A$3:A$502=DATE(2026,1,3)),ROW(Income!A$3:A$502)-2),5)),"")&lt;&gt;"",IFERROR(INDEX(Income!B$3:B$502,SMALL(IF((Income!D$3:D$502="INR")*(Income!A$3:A$502=DATE(2026,1,3)),ROW(Income!A$3:A$502)-2),5)),""),""))</f>
        <v/>
      </c>
      <c r="O8" s="63" t="str">
        <f aca="false">IF(IFERROR(-INDEX(Expenses!D$3:D$1002,SMALL(IF((Expenses!E$3:E$1002="INR")*(Expenses!A$3:A$1002=DATE(2026,1,4)),ROW(Expenses!A$3:A$1002)-2),5)),0)+IFERROR(INDEX(Income!C$3:C$502,SMALL(IF((Income!D$3:D$502="INR")*(Income!A$3:A$502=DATE(2026,1,4)),ROW(Income!A$3:A$502)-2),5)),0)=0,"",IFERROR(-INDEX(Expenses!D$3:D$1002,SMALL(IF((Expenses!E$3:E$1002="INR")*(Expenses!A$3:A$1002=DATE(2026,1,4)),ROW(Expenses!A$3:A$1002)-2),5)),0)+IFERROR(INDEX(Income!C$3:C$502,SMALL(IF((Income!D$3:D$502="INR")*(Income!A$3:A$502=DATE(2026,1,4)),ROW(Income!A$3:A$502)-2),5)),0))</f>
        <v/>
      </c>
      <c r="P8" s="38" t="str">
        <f aca="false">IF(IFERROR(INDEX(Expenses!B$3:B$1002,SMALL(IF((Expenses!E$3:E$1002="INR")*(Expenses!A$3:A$1002=DATE(2026,1,4)),ROW(Expenses!A$3:A$1002)-2),5)),"")&lt;&gt;"",IFERROR(INDEX(Expenses!B$3:B$1002,SMALL(IF((Expenses!E$3:E$1002="INR")*(Expenses!A$3:A$1002=DATE(2026,1,4)),ROW(Expenses!A$3:A$1002)-2),5)),""),IF(IFERROR(INDEX(Income!B$3:B$502,SMALL(IF((Income!D$3:D$502="INR")*(Income!A$3:A$502=DATE(2026,1,4)),ROW(Income!A$3:A$502)-2),5)),"")&lt;&gt;"",IFERROR(INDEX(Income!B$3:B$502,SMALL(IF((Income!D$3:D$502="INR")*(Income!A$3:A$502=DATE(2026,1,4)),ROW(Income!A$3:A$502)-2),5)),""),""))</f>
        <v/>
      </c>
      <c r="Q8" s="16"/>
      <c r="R8" s="16"/>
    </row>
    <row r="9" customFormat="false" ht="15" hidden="false" customHeight="false" outlineLevel="0" collapsed="false">
      <c r="A9" s="61" t="n">
        <v>46027</v>
      </c>
      <c r="B9" s="3" t="n">
        <v>2</v>
      </c>
      <c r="C9" s="63" t="str">
        <f aca="false">IF(IFERROR(-INDEX(Expenses!D$3:D$1002,SMALL(IF((Expenses!E$3:E$1002="INR")*(Expenses!A$3:A$1002=DATE(2026,1,5)),ROW(Expenses!A$3:A$1002)-2),1)),0)+IFERROR(INDEX(Income!C$3:C$502,SMALL(IF((Income!D$3:D$502="INR")*(Income!A$3:A$502=DATE(2026,1,5)),ROW(Income!A$3:A$502)-2),1)),0)=0,"",IFERROR(-INDEX(Expenses!D$3:D$1002,SMALL(IF((Expenses!E$3:E$1002="INR")*(Expenses!A$3:A$1002=DATE(2026,1,5)),ROW(Expenses!A$3:A$1002)-2),1)),0)+IFERROR(INDEX(Income!C$3:C$502,SMALL(IF((Income!D$3:D$502="INR")*(Income!A$3:A$502=DATE(2026,1,5)),ROW(Income!A$3:A$502)-2),1)),0))</f>
        <v/>
      </c>
      <c r="D9" s="38" t="str">
        <f aca="false">IF(IFERROR(INDEX(Expenses!B$3:B$1002,SMALL(IF((Expenses!E$3:E$1002="INR")*(Expenses!A$3:A$1002=DATE(2026,1,5)),ROW(Expenses!A$3:A$1002)-2),1)),"")&lt;&gt;"",IFERROR(INDEX(Expenses!B$3:B$1002,SMALL(IF((Expenses!E$3:E$1002="INR")*(Expenses!A$3:A$1002=DATE(2026,1,5)),ROW(Expenses!A$3:A$1002)-2),1)),""),IF(IFERROR(INDEX(Income!B$3:B$502,SMALL(IF((Income!D$3:D$502="INR")*(Income!A$3:A$502=DATE(2026,1,5)),ROW(Income!A$3:A$502)-2),1)),"")&lt;&gt;"",IFERROR(INDEX(Income!B$3:B$502,SMALL(IF((Income!D$3:D$502="INR")*(Income!A$3:A$502=DATE(2026,1,5)),ROW(Income!A$3:A$502)-2),1)),""),""))</f>
        <v/>
      </c>
      <c r="E9" s="63" t="str">
        <f aca="false">IF(IFERROR(-INDEX(Expenses!D$3:D$1002,SMALL(IF((Expenses!E$3:E$1002="INR")*(Expenses!A$3:A$1002=DATE(2026,1,6)),ROW(Expenses!A$3:A$1002)-2),1)),0)+IFERROR(INDEX(Income!C$3:C$502,SMALL(IF((Income!D$3:D$502="INR")*(Income!A$3:A$502=DATE(2026,1,6)),ROW(Income!A$3:A$502)-2),1)),0)=0,"",IFERROR(-INDEX(Expenses!D$3:D$1002,SMALL(IF((Expenses!E$3:E$1002="INR")*(Expenses!A$3:A$1002=DATE(2026,1,6)),ROW(Expenses!A$3:A$1002)-2),1)),0)+IFERROR(INDEX(Income!C$3:C$502,SMALL(IF((Income!D$3:D$502="INR")*(Income!A$3:A$502=DATE(2026,1,6)),ROW(Income!A$3:A$502)-2),1)),0))</f>
        <v/>
      </c>
      <c r="F9" s="38" t="str">
        <f aca="false">IF(IFERROR(INDEX(Expenses!B$3:B$1002,SMALL(IF((Expenses!E$3:E$1002="INR")*(Expenses!A$3:A$1002=DATE(2026,1,6)),ROW(Expenses!A$3:A$1002)-2),1)),"")&lt;&gt;"",IFERROR(INDEX(Expenses!B$3:B$1002,SMALL(IF((Expenses!E$3:E$1002="INR")*(Expenses!A$3:A$1002=DATE(2026,1,6)),ROW(Expenses!A$3:A$1002)-2),1)),""),IF(IFERROR(INDEX(Income!B$3:B$502,SMALL(IF((Income!D$3:D$502="INR")*(Income!A$3:A$502=DATE(2026,1,6)),ROW(Income!A$3:A$502)-2),1)),"")&lt;&gt;"",IFERROR(INDEX(Income!B$3:B$502,SMALL(IF((Income!D$3:D$502="INR")*(Income!A$3:A$502=DATE(2026,1,6)),ROW(Income!A$3:A$502)-2),1)),""),""))</f>
        <v/>
      </c>
      <c r="G9" s="63" t="str">
        <f aca="false">IF(IFERROR(-INDEX(Expenses!D$3:D$1002,SMALL(IF((Expenses!E$3:E$1002="INR")*(Expenses!A$3:A$1002=DATE(2026,1,7)),ROW(Expenses!A$3:A$1002)-2),1)),0)+IFERROR(INDEX(Income!C$3:C$502,SMALL(IF((Income!D$3:D$502="INR")*(Income!A$3:A$502=DATE(2026,1,7)),ROW(Income!A$3:A$502)-2),1)),0)=0,"",IFERROR(-INDEX(Expenses!D$3:D$1002,SMALL(IF((Expenses!E$3:E$1002="INR")*(Expenses!A$3:A$1002=DATE(2026,1,7)),ROW(Expenses!A$3:A$1002)-2),1)),0)+IFERROR(INDEX(Income!C$3:C$502,SMALL(IF((Income!D$3:D$502="INR")*(Income!A$3:A$502=DATE(2026,1,7)),ROW(Income!A$3:A$502)-2),1)),0))</f>
        <v/>
      </c>
      <c r="H9" s="38" t="str">
        <f aca="false">IF(IFERROR(INDEX(Expenses!B$3:B$1002,SMALL(IF((Expenses!E$3:E$1002="INR")*(Expenses!A$3:A$1002=DATE(2026,1,7)),ROW(Expenses!A$3:A$1002)-2),1)),"")&lt;&gt;"",IFERROR(INDEX(Expenses!B$3:B$1002,SMALL(IF((Expenses!E$3:E$1002="INR")*(Expenses!A$3:A$1002=DATE(2026,1,7)),ROW(Expenses!A$3:A$1002)-2),1)),""),IF(IFERROR(INDEX(Income!B$3:B$502,SMALL(IF((Income!D$3:D$502="INR")*(Income!A$3:A$502=DATE(2026,1,7)),ROW(Income!A$3:A$502)-2),1)),"")&lt;&gt;"",IFERROR(INDEX(Income!B$3:B$502,SMALL(IF((Income!D$3:D$502="INR")*(Income!A$3:A$502=DATE(2026,1,7)),ROW(Income!A$3:A$502)-2),1)),""),""))</f>
        <v/>
      </c>
      <c r="I9" s="63" t="str">
        <f aca="false">IF(IFERROR(-INDEX(Expenses!D$3:D$1002,SMALL(IF((Expenses!E$3:E$1002="INR")*(Expenses!A$3:A$1002=DATE(2026,1,8)),ROW(Expenses!A$3:A$1002)-2),1)),0)+IFERROR(INDEX(Income!C$3:C$502,SMALL(IF((Income!D$3:D$502="INR")*(Income!A$3:A$502=DATE(2026,1,8)),ROW(Income!A$3:A$502)-2),1)),0)=0,"",IFERROR(-INDEX(Expenses!D$3:D$1002,SMALL(IF((Expenses!E$3:E$1002="INR")*(Expenses!A$3:A$1002=DATE(2026,1,8)),ROW(Expenses!A$3:A$1002)-2),1)),0)+IFERROR(INDEX(Income!C$3:C$502,SMALL(IF((Income!D$3:D$502="INR")*(Income!A$3:A$502=DATE(2026,1,8)),ROW(Income!A$3:A$502)-2),1)),0))</f>
        <v/>
      </c>
      <c r="J9" s="38" t="str">
        <f aca="false">IF(IFERROR(INDEX(Expenses!B$3:B$1002,SMALL(IF((Expenses!E$3:E$1002="INR")*(Expenses!A$3:A$1002=DATE(2026,1,8)),ROW(Expenses!A$3:A$1002)-2),1)),"")&lt;&gt;"",IFERROR(INDEX(Expenses!B$3:B$1002,SMALL(IF((Expenses!E$3:E$1002="INR")*(Expenses!A$3:A$1002=DATE(2026,1,8)),ROW(Expenses!A$3:A$1002)-2),1)),""),IF(IFERROR(INDEX(Income!B$3:B$502,SMALL(IF((Income!D$3:D$502="INR")*(Income!A$3:A$502=DATE(2026,1,8)),ROW(Income!A$3:A$502)-2),1)),"")&lt;&gt;"",IFERROR(INDEX(Income!B$3:B$502,SMALL(IF((Income!D$3:D$502="INR")*(Income!A$3:A$502=DATE(2026,1,8)),ROW(Income!A$3:A$502)-2),1)),""),""))</f>
        <v/>
      </c>
      <c r="K9" s="63" t="str">
        <f aca="false">IF(IFERROR(-INDEX(Expenses!D$3:D$1002,SMALL(IF((Expenses!E$3:E$1002="INR")*(Expenses!A$3:A$1002=DATE(2026,1,9)),ROW(Expenses!A$3:A$1002)-2),1)),0)+IFERROR(INDEX(Income!C$3:C$502,SMALL(IF((Income!D$3:D$502="INR")*(Income!A$3:A$502=DATE(2026,1,9)),ROW(Income!A$3:A$502)-2),1)),0)=0,"",IFERROR(-INDEX(Expenses!D$3:D$1002,SMALL(IF((Expenses!E$3:E$1002="INR")*(Expenses!A$3:A$1002=DATE(2026,1,9)),ROW(Expenses!A$3:A$1002)-2),1)),0)+IFERROR(INDEX(Income!C$3:C$502,SMALL(IF((Income!D$3:D$502="INR")*(Income!A$3:A$502=DATE(2026,1,9)),ROW(Income!A$3:A$502)-2),1)),0))</f>
        <v/>
      </c>
      <c r="L9" s="38" t="str">
        <f aca="false">IF(IFERROR(INDEX(Expenses!B$3:B$1002,SMALL(IF((Expenses!E$3:E$1002="INR")*(Expenses!A$3:A$1002=DATE(2026,1,9)),ROW(Expenses!A$3:A$1002)-2),1)),"")&lt;&gt;"",IFERROR(INDEX(Expenses!B$3:B$1002,SMALL(IF((Expenses!E$3:E$1002="INR")*(Expenses!A$3:A$1002=DATE(2026,1,9)),ROW(Expenses!A$3:A$1002)-2),1)),""),IF(IFERROR(INDEX(Income!B$3:B$502,SMALL(IF((Income!D$3:D$502="INR")*(Income!A$3:A$502=DATE(2026,1,9)),ROW(Income!A$3:A$502)-2),1)),"")&lt;&gt;"",IFERROR(INDEX(Income!B$3:B$502,SMALL(IF((Income!D$3:D$502="INR")*(Income!A$3:A$502=DATE(2026,1,9)),ROW(Income!A$3:A$502)-2),1)),""),""))</f>
        <v/>
      </c>
      <c r="M9" s="63" t="str">
        <f aca="false">IF(IFERROR(-INDEX(Expenses!D$3:D$1002,SMALL(IF((Expenses!E$3:E$1002="INR")*(Expenses!A$3:A$1002=DATE(2026,1,10)),ROW(Expenses!A$3:A$1002)-2),1)),0)+IFERROR(INDEX(Income!C$3:C$502,SMALL(IF((Income!D$3:D$502="INR")*(Income!A$3:A$502=DATE(2026,1,10)),ROW(Income!A$3:A$502)-2),1)),0)=0,"",IFERROR(-INDEX(Expenses!D$3:D$1002,SMALL(IF((Expenses!E$3:E$1002="INR")*(Expenses!A$3:A$1002=DATE(2026,1,10)),ROW(Expenses!A$3:A$1002)-2),1)),0)+IFERROR(INDEX(Income!C$3:C$502,SMALL(IF((Income!D$3:D$502="INR")*(Income!A$3:A$502=DATE(2026,1,10)),ROW(Income!A$3:A$502)-2),1)),0))</f>
        <v/>
      </c>
      <c r="N9" s="38" t="str">
        <f aca="false">IF(IFERROR(INDEX(Expenses!B$3:B$1002,SMALL(IF((Expenses!E$3:E$1002="INR")*(Expenses!A$3:A$1002=DATE(2026,1,10)),ROW(Expenses!A$3:A$1002)-2),1)),"")&lt;&gt;"",IFERROR(INDEX(Expenses!B$3:B$1002,SMALL(IF((Expenses!E$3:E$1002="INR")*(Expenses!A$3:A$1002=DATE(2026,1,10)),ROW(Expenses!A$3:A$1002)-2),1)),""),IF(IFERROR(INDEX(Income!B$3:B$502,SMALL(IF((Income!D$3:D$502="INR")*(Income!A$3:A$502=DATE(2026,1,10)),ROW(Income!A$3:A$502)-2),1)),"")&lt;&gt;"",IFERROR(INDEX(Income!B$3:B$502,SMALL(IF((Income!D$3:D$502="INR")*(Income!A$3:A$502=DATE(2026,1,10)),ROW(Income!A$3:A$502)-2),1)),""),""))</f>
        <v/>
      </c>
      <c r="O9" s="63" t="str">
        <f aca="false">IF(IFERROR(-INDEX(Expenses!D$3:D$1002,SMALL(IF((Expenses!E$3:E$1002="INR")*(Expenses!A$3:A$1002=DATE(2026,1,11)),ROW(Expenses!A$3:A$1002)-2),1)),0)+IFERROR(INDEX(Income!C$3:C$502,SMALL(IF((Income!D$3:D$502="INR")*(Income!A$3:A$502=DATE(2026,1,11)),ROW(Income!A$3:A$502)-2),1)),0)=0,"",IFERROR(-INDEX(Expenses!D$3:D$1002,SMALL(IF((Expenses!E$3:E$1002="INR")*(Expenses!A$3:A$1002=DATE(2026,1,11)),ROW(Expenses!A$3:A$1002)-2),1)),0)+IFERROR(INDEX(Income!C$3:C$502,SMALL(IF((Income!D$3:D$502="INR")*(Income!A$3:A$502=DATE(2026,1,11)),ROW(Income!A$3:A$502)-2),1)),0))</f>
        <v/>
      </c>
      <c r="P9" s="38" t="str">
        <f aca="false">IF(IFERROR(INDEX(Expenses!B$3:B$1002,SMALL(IF((Expenses!E$3:E$1002="INR")*(Expenses!A$3:A$1002=DATE(2026,1,11)),ROW(Expenses!A$3:A$1002)-2),1)),"")&lt;&gt;"",IFERROR(INDEX(Expenses!B$3:B$1002,SMALL(IF((Expenses!E$3:E$1002="INR")*(Expenses!A$3:A$1002=DATE(2026,1,11)),ROW(Expenses!A$3:A$1002)-2),1)),""),IF(IFERROR(INDEX(Income!B$3:B$502,SMALL(IF((Income!D$3:D$502="INR")*(Income!A$3:A$502=DATE(2026,1,11)),ROW(Income!A$3:A$502)-2),1)),"")&lt;&gt;"",IFERROR(INDEX(Income!B$3:B$502,SMALL(IF((Income!D$3:D$502="INR")*(Income!A$3:A$502=DATE(2026,1,11)),ROW(Income!A$3:A$502)-2),1)),""),""))</f>
        <v/>
      </c>
      <c r="Q9" s="3" t="n">
        <v>2</v>
      </c>
      <c r="R9" s="53" t="n">
        <f aca="false">SUM(C9:C13)+SUM(E9:E13)+SUM(G9:G13)+SUM(I9:I13)+SUM(K9:K13)+SUM(M9:M13)+SUM(O9:O13)</f>
        <v>0</v>
      </c>
    </row>
    <row r="10" customFormat="false" ht="15" hidden="false" customHeight="false" outlineLevel="0" collapsed="false">
      <c r="A10" s="16"/>
      <c r="B10" s="16"/>
      <c r="C10" s="63" t="str">
        <f aca="false">IF(IFERROR(-INDEX(Expenses!D$3:D$1002,SMALL(IF((Expenses!E$3:E$1002="INR")*(Expenses!A$3:A$1002=DATE(2026,1,5)),ROW(Expenses!A$3:A$1002)-2),2)),0)+IFERROR(INDEX(Income!C$3:C$502,SMALL(IF((Income!D$3:D$502="INR")*(Income!A$3:A$502=DATE(2026,1,5)),ROW(Income!A$3:A$502)-2),2)),0)=0,"",IFERROR(-INDEX(Expenses!D$3:D$1002,SMALL(IF((Expenses!E$3:E$1002="INR")*(Expenses!A$3:A$1002=DATE(2026,1,5)),ROW(Expenses!A$3:A$1002)-2),2)),0)+IFERROR(INDEX(Income!C$3:C$502,SMALL(IF((Income!D$3:D$502="INR")*(Income!A$3:A$502=DATE(2026,1,5)),ROW(Income!A$3:A$502)-2),2)),0))</f>
        <v/>
      </c>
      <c r="D10" s="38" t="str">
        <f aca="false">IF(IFERROR(INDEX(Expenses!B$3:B$1002,SMALL(IF((Expenses!E$3:E$1002="INR")*(Expenses!A$3:A$1002=DATE(2026,1,5)),ROW(Expenses!A$3:A$1002)-2),2)),"")&lt;&gt;"",IFERROR(INDEX(Expenses!B$3:B$1002,SMALL(IF((Expenses!E$3:E$1002="INR")*(Expenses!A$3:A$1002=DATE(2026,1,5)),ROW(Expenses!A$3:A$1002)-2),2)),""),IF(IFERROR(INDEX(Income!B$3:B$502,SMALL(IF((Income!D$3:D$502="INR")*(Income!A$3:A$502=DATE(2026,1,5)),ROW(Income!A$3:A$502)-2),2)),"")&lt;&gt;"",IFERROR(INDEX(Income!B$3:B$502,SMALL(IF((Income!D$3:D$502="INR")*(Income!A$3:A$502=DATE(2026,1,5)),ROW(Income!A$3:A$502)-2),2)),""),""))</f>
        <v/>
      </c>
      <c r="E10" s="63" t="str">
        <f aca="false">IF(IFERROR(-INDEX(Expenses!D$3:D$1002,SMALL(IF((Expenses!E$3:E$1002="INR")*(Expenses!A$3:A$1002=DATE(2026,1,6)),ROW(Expenses!A$3:A$1002)-2),2)),0)+IFERROR(INDEX(Income!C$3:C$502,SMALL(IF((Income!D$3:D$502="INR")*(Income!A$3:A$502=DATE(2026,1,6)),ROW(Income!A$3:A$502)-2),2)),0)=0,"",IFERROR(-INDEX(Expenses!D$3:D$1002,SMALL(IF((Expenses!E$3:E$1002="INR")*(Expenses!A$3:A$1002=DATE(2026,1,6)),ROW(Expenses!A$3:A$1002)-2),2)),0)+IFERROR(INDEX(Income!C$3:C$502,SMALL(IF((Income!D$3:D$502="INR")*(Income!A$3:A$502=DATE(2026,1,6)),ROW(Income!A$3:A$502)-2),2)),0))</f>
        <v/>
      </c>
      <c r="F10" s="38" t="str">
        <f aca="false">IF(IFERROR(INDEX(Expenses!B$3:B$1002,SMALL(IF((Expenses!E$3:E$1002="INR")*(Expenses!A$3:A$1002=DATE(2026,1,6)),ROW(Expenses!A$3:A$1002)-2),2)),"")&lt;&gt;"",IFERROR(INDEX(Expenses!B$3:B$1002,SMALL(IF((Expenses!E$3:E$1002="INR")*(Expenses!A$3:A$1002=DATE(2026,1,6)),ROW(Expenses!A$3:A$1002)-2),2)),""),IF(IFERROR(INDEX(Income!B$3:B$502,SMALL(IF((Income!D$3:D$502="INR")*(Income!A$3:A$502=DATE(2026,1,6)),ROW(Income!A$3:A$502)-2),2)),"")&lt;&gt;"",IFERROR(INDEX(Income!B$3:B$502,SMALL(IF((Income!D$3:D$502="INR")*(Income!A$3:A$502=DATE(2026,1,6)),ROW(Income!A$3:A$502)-2),2)),""),""))</f>
        <v/>
      </c>
      <c r="G10" s="63" t="str">
        <f aca="false">IF(IFERROR(-INDEX(Expenses!D$3:D$1002,SMALL(IF((Expenses!E$3:E$1002="INR")*(Expenses!A$3:A$1002=DATE(2026,1,7)),ROW(Expenses!A$3:A$1002)-2),2)),0)+IFERROR(INDEX(Income!C$3:C$502,SMALL(IF((Income!D$3:D$502="INR")*(Income!A$3:A$502=DATE(2026,1,7)),ROW(Income!A$3:A$502)-2),2)),0)=0,"",IFERROR(-INDEX(Expenses!D$3:D$1002,SMALL(IF((Expenses!E$3:E$1002="INR")*(Expenses!A$3:A$1002=DATE(2026,1,7)),ROW(Expenses!A$3:A$1002)-2),2)),0)+IFERROR(INDEX(Income!C$3:C$502,SMALL(IF((Income!D$3:D$502="INR")*(Income!A$3:A$502=DATE(2026,1,7)),ROW(Income!A$3:A$502)-2),2)),0))</f>
        <v/>
      </c>
      <c r="H10" s="38" t="str">
        <f aca="false">IF(IFERROR(INDEX(Expenses!B$3:B$1002,SMALL(IF((Expenses!E$3:E$1002="INR")*(Expenses!A$3:A$1002=DATE(2026,1,7)),ROW(Expenses!A$3:A$1002)-2),2)),"")&lt;&gt;"",IFERROR(INDEX(Expenses!B$3:B$1002,SMALL(IF((Expenses!E$3:E$1002="INR")*(Expenses!A$3:A$1002=DATE(2026,1,7)),ROW(Expenses!A$3:A$1002)-2),2)),""),IF(IFERROR(INDEX(Income!B$3:B$502,SMALL(IF((Income!D$3:D$502="INR")*(Income!A$3:A$502=DATE(2026,1,7)),ROW(Income!A$3:A$502)-2),2)),"")&lt;&gt;"",IFERROR(INDEX(Income!B$3:B$502,SMALL(IF((Income!D$3:D$502="INR")*(Income!A$3:A$502=DATE(2026,1,7)),ROW(Income!A$3:A$502)-2),2)),""),""))</f>
        <v/>
      </c>
      <c r="I10" s="63" t="str">
        <f aca="false">IF(IFERROR(-INDEX(Expenses!D$3:D$1002,SMALL(IF((Expenses!E$3:E$1002="INR")*(Expenses!A$3:A$1002=DATE(2026,1,8)),ROW(Expenses!A$3:A$1002)-2),2)),0)+IFERROR(INDEX(Income!C$3:C$502,SMALL(IF((Income!D$3:D$502="INR")*(Income!A$3:A$502=DATE(2026,1,8)),ROW(Income!A$3:A$502)-2),2)),0)=0,"",IFERROR(-INDEX(Expenses!D$3:D$1002,SMALL(IF((Expenses!E$3:E$1002="INR")*(Expenses!A$3:A$1002=DATE(2026,1,8)),ROW(Expenses!A$3:A$1002)-2),2)),0)+IFERROR(INDEX(Income!C$3:C$502,SMALL(IF((Income!D$3:D$502="INR")*(Income!A$3:A$502=DATE(2026,1,8)),ROW(Income!A$3:A$502)-2),2)),0))</f>
        <v/>
      </c>
      <c r="J10" s="38" t="str">
        <f aca="false">IF(IFERROR(INDEX(Expenses!B$3:B$1002,SMALL(IF((Expenses!E$3:E$1002="INR")*(Expenses!A$3:A$1002=DATE(2026,1,8)),ROW(Expenses!A$3:A$1002)-2),2)),"")&lt;&gt;"",IFERROR(INDEX(Expenses!B$3:B$1002,SMALL(IF((Expenses!E$3:E$1002="INR")*(Expenses!A$3:A$1002=DATE(2026,1,8)),ROW(Expenses!A$3:A$1002)-2),2)),""),IF(IFERROR(INDEX(Income!B$3:B$502,SMALL(IF((Income!D$3:D$502="INR")*(Income!A$3:A$502=DATE(2026,1,8)),ROW(Income!A$3:A$502)-2),2)),"")&lt;&gt;"",IFERROR(INDEX(Income!B$3:B$502,SMALL(IF((Income!D$3:D$502="INR")*(Income!A$3:A$502=DATE(2026,1,8)),ROW(Income!A$3:A$502)-2),2)),""),""))</f>
        <v/>
      </c>
      <c r="K10" s="63" t="str">
        <f aca="false">IF(IFERROR(-INDEX(Expenses!D$3:D$1002,SMALL(IF((Expenses!E$3:E$1002="INR")*(Expenses!A$3:A$1002=DATE(2026,1,9)),ROW(Expenses!A$3:A$1002)-2),2)),0)+IFERROR(INDEX(Income!C$3:C$502,SMALL(IF((Income!D$3:D$502="INR")*(Income!A$3:A$502=DATE(2026,1,9)),ROW(Income!A$3:A$502)-2),2)),0)=0,"",IFERROR(-INDEX(Expenses!D$3:D$1002,SMALL(IF((Expenses!E$3:E$1002="INR")*(Expenses!A$3:A$1002=DATE(2026,1,9)),ROW(Expenses!A$3:A$1002)-2),2)),0)+IFERROR(INDEX(Income!C$3:C$502,SMALL(IF((Income!D$3:D$502="INR")*(Income!A$3:A$502=DATE(2026,1,9)),ROW(Income!A$3:A$502)-2),2)),0))</f>
        <v/>
      </c>
      <c r="L10" s="38" t="str">
        <f aca="false">IF(IFERROR(INDEX(Expenses!B$3:B$1002,SMALL(IF((Expenses!E$3:E$1002="INR")*(Expenses!A$3:A$1002=DATE(2026,1,9)),ROW(Expenses!A$3:A$1002)-2),2)),"")&lt;&gt;"",IFERROR(INDEX(Expenses!B$3:B$1002,SMALL(IF((Expenses!E$3:E$1002="INR")*(Expenses!A$3:A$1002=DATE(2026,1,9)),ROW(Expenses!A$3:A$1002)-2),2)),""),IF(IFERROR(INDEX(Income!B$3:B$502,SMALL(IF((Income!D$3:D$502="INR")*(Income!A$3:A$502=DATE(2026,1,9)),ROW(Income!A$3:A$502)-2),2)),"")&lt;&gt;"",IFERROR(INDEX(Income!B$3:B$502,SMALL(IF((Income!D$3:D$502="INR")*(Income!A$3:A$502=DATE(2026,1,9)),ROW(Income!A$3:A$502)-2),2)),""),""))</f>
        <v/>
      </c>
      <c r="M10" s="63" t="str">
        <f aca="false">IF(IFERROR(-INDEX(Expenses!D$3:D$1002,SMALL(IF((Expenses!E$3:E$1002="INR")*(Expenses!A$3:A$1002=DATE(2026,1,10)),ROW(Expenses!A$3:A$1002)-2),2)),0)+IFERROR(INDEX(Income!C$3:C$502,SMALL(IF((Income!D$3:D$502="INR")*(Income!A$3:A$502=DATE(2026,1,10)),ROW(Income!A$3:A$502)-2),2)),0)=0,"",IFERROR(-INDEX(Expenses!D$3:D$1002,SMALL(IF((Expenses!E$3:E$1002="INR")*(Expenses!A$3:A$1002=DATE(2026,1,10)),ROW(Expenses!A$3:A$1002)-2),2)),0)+IFERROR(INDEX(Income!C$3:C$502,SMALL(IF((Income!D$3:D$502="INR")*(Income!A$3:A$502=DATE(2026,1,10)),ROW(Income!A$3:A$502)-2),2)),0))</f>
        <v/>
      </c>
      <c r="N10" s="38" t="str">
        <f aca="false">IF(IFERROR(INDEX(Expenses!B$3:B$1002,SMALL(IF((Expenses!E$3:E$1002="INR")*(Expenses!A$3:A$1002=DATE(2026,1,10)),ROW(Expenses!A$3:A$1002)-2),2)),"")&lt;&gt;"",IFERROR(INDEX(Expenses!B$3:B$1002,SMALL(IF((Expenses!E$3:E$1002="INR")*(Expenses!A$3:A$1002=DATE(2026,1,10)),ROW(Expenses!A$3:A$1002)-2),2)),""),IF(IFERROR(INDEX(Income!B$3:B$502,SMALL(IF((Income!D$3:D$502="INR")*(Income!A$3:A$502=DATE(2026,1,10)),ROW(Income!A$3:A$502)-2),2)),"")&lt;&gt;"",IFERROR(INDEX(Income!B$3:B$502,SMALL(IF((Income!D$3:D$502="INR")*(Income!A$3:A$502=DATE(2026,1,10)),ROW(Income!A$3:A$502)-2),2)),""),""))</f>
        <v/>
      </c>
      <c r="O10" s="63" t="str">
        <f aca="false">IF(IFERROR(-INDEX(Expenses!D$3:D$1002,SMALL(IF((Expenses!E$3:E$1002="INR")*(Expenses!A$3:A$1002=DATE(2026,1,11)),ROW(Expenses!A$3:A$1002)-2),2)),0)+IFERROR(INDEX(Income!C$3:C$502,SMALL(IF((Income!D$3:D$502="INR")*(Income!A$3:A$502=DATE(2026,1,11)),ROW(Income!A$3:A$502)-2),2)),0)=0,"",IFERROR(-INDEX(Expenses!D$3:D$1002,SMALL(IF((Expenses!E$3:E$1002="INR")*(Expenses!A$3:A$1002=DATE(2026,1,11)),ROW(Expenses!A$3:A$1002)-2),2)),0)+IFERROR(INDEX(Income!C$3:C$502,SMALL(IF((Income!D$3:D$502="INR")*(Income!A$3:A$502=DATE(2026,1,11)),ROW(Income!A$3:A$502)-2),2)),0))</f>
        <v/>
      </c>
      <c r="P10" s="38" t="str">
        <f aca="false">IF(IFERROR(INDEX(Expenses!B$3:B$1002,SMALL(IF((Expenses!E$3:E$1002="INR")*(Expenses!A$3:A$1002=DATE(2026,1,11)),ROW(Expenses!A$3:A$1002)-2),2)),"")&lt;&gt;"",IFERROR(INDEX(Expenses!B$3:B$1002,SMALL(IF((Expenses!E$3:E$1002="INR")*(Expenses!A$3:A$1002=DATE(2026,1,11)),ROW(Expenses!A$3:A$1002)-2),2)),""),IF(IFERROR(INDEX(Income!B$3:B$502,SMALL(IF((Income!D$3:D$502="INR")*(Income!A$3:A$502=DATE(2026,1,11)),ROW(Income!A$3:A$502)-2),2)),"")&lt;&gt;"",IFERROR(INDEX(Income!B$3:B$502,SMALL(IF((Income!D$3:D$502="INR")*(Income!A$3:A$502=DATE(2026,1,11)),ROW(Income!A$3:A$502)-2),2)),""),""))</f>
        <v/>
      </c>
      <c r="Q10" s="16"/>
      <c r="R10" s="16"/>
    </row>
    <row r="11" customFormat="false" ht="15" hidden="false" customHeight="false" outlineLevel="0" collapsed="false">
      <c r="A11" s="16"/>
      <c r="B11" s="16"/>
      <c r="C11" s="63" t="str">
        <f aca="false">IF(IFERROR(-INDEX(Expenses!D$3:D$1002,SMALL(IF((Expenses!E$3:E$1002="INR")*(Expenses!A$3:A$1002=DATE(2026,1,5)),ROW(Expenses!A$3:A$1002)-2),3)),0)+IFERROR(INDEX(Income!C$3:C$502,SMALL(IF((Income!D$3:D$502="INR")*(Income!A$3:A$502=DATE(2026,1,5)),ROW(Income!A$3:A$502)-2),3)),0)=0,"",IFERROR(-INDEX(Expenses!D$3:D$1002,SMALL(IF((Expenses!E$3:E$1002="INR")*(Expenses!A$3:A$1002=DATE(2026,1,5)),ROW(Expenses!A$3:A$1002)-2),3)),0)+IFERROR(INDEX(Income!C$3:C$502,SMALL(IF((Income!D$3:D$502="INR")*(Income!A$3:A$502=DATE(2026,1,5)),ROW(Income!A$3:A$502)-2),3)),0))</f>
        <v/>
      </c>
      <c r="D11" s="38" t="str">
        <f aca="false">IF(IFERROR(INDEX(Expenses!B$3:B$1002,SMALL(IF((Expenses!E$3:E$1002="INR")*(Expenses!A$3:A$1002=DATE(2026,1,5)),ROW(Expenses!A$3:A$1002)-2),3)),"")&lt;&gt;"",IFERROR(INDEX(Expenses!B$3:B$1002,SMALL(IF((Expenses!E$3:E$1002="INR")*(Expenses!A$3:A$1002=DATE(2026,1,5)),ROW(Expenses!A$3:A$1002)-2),3)),""),IF(IFERROR(INDEX(Income!B$3:B$502,SMALL(IF((Income!D$3:D$502="INR")*(Income!A$3:A$502=DATE(2026,1,5)),ROW(Income!A$3:A$502)-2),3)),"")&lt;&gt;"",IFERROR(INDEX(Income!B$3:B$502,SMALL(IF((Income!D$3:D$502="INR")*(Income!A$3:A$502=DATE(2026,1,5)),ROW(Income!A$3:A$502)-2),3)),""),""))</f>
        <v/>
      </c>
      <c r="E11" s="63" t="str">
        <f aca="false">IF(IFERROR(-INDEX(Expenses!D$3:D$1002,SMALL(IF((Expenses!E$3:E$1002="INR")*(Expenses!A$3:A$1002=DATE(2026,1,6)),ROW(Expenses!A$3:A$1002)-2),3)),0)+IFERROR(INDEX(Income!C$3:C$502,SMALL(IF((Income!D$3:D$502="INR")*(Income!A$3:A$502=DATE(2026,1,6)),ROW(Income!A$3:A$502)-2),3)),0)=0,"",IFERROR(-INDEX(Expenses!D$3:D$1002,SMALL(IF((Expenses!E$3:E$1002="INR")*(Expenses!A$3:A$1002=DATE(2026,1,6)),ROW(Expenses!A$3:A$1002)-2),3)),0)+IFERROR(INDEX(Income!C$3:C$502,SMALL(IF((Income!D$3:D$502="INR")*(Income!A$3:A$502=DATE(2026,1,6)),ROW(Income!A$3:A$502)-2),3)),0))</f>
        <v/>
      </c>
      <c r="F11" s="38" t="str">
        <f aca="false">IF(IFERROR(INDEX(Expenses!B$3:B$1002,SMALL(IF((Expenses!E$3:E$1002="INR")*(Expenses!A$3:A$1002=DATE(2026,1,6)),ROW(Expenses!A$3:A$1002)-2),3)),"")&lt;&gt;"",IFERROR(INDEX(Expenses!B$3:B$1002,SMALL(IF((Expenses!E$3:E$1002="INR")*(Expenses!A$3:A$1002=DATE(2026,1,6)),ROW(Expenses!A$3:A$1002)-2),3)),""),IF(IFERROR(INDEX(Income!B$3:B$502,SMALL(IF((Income!D$3:D$502="INR")*(Income!A$3:A$502=DATE(2026,1,6)),ROW(Income!A$3:A$502)-2),3)),"")&lt;&gt;"",IFERROR(INDEX(Income!B$3:B$502,SMALL(IF((Income!D$3:D$502="INR")*(Income!A$3:A$502=DATE(2026,1,6)),ROW(Income!A$3:A$502)-2),3)),""),""))</f>
        <v/>
      </c>
      <c r="G11" s="63" t="str">
        <f aca="false">IF(IFERROR(-INDEX(Expenses!D$3:D$1002,SMALL(IF((Expenses!E$3:E$1002="INR")*(Expenses!A$3:A$1002=DATE(2026,1,7)),ROW(Expenses!A$3:A$1002)-2),3)),0)+IFERROR(INDEX(Income!C$3:C$502,SMALL(IF((Income!D$3:D$502="INR")*(Income!A$3:A$502=DATE(2026,1,7)),ROW(Income!A$3:A$502)-2),3)),0)=0,"",IFERROR(-INDEX(Expenses!D$3:D$1002,SMALL(IF((Expenses!E$3:E$1002="INR")*(Expenses!A$3:A$1002=DATE(2026,1,7)),ROW(Expenses!A$3:A$1002)-2),3)),0)+IFERROR(INDEX(Income!C$3:C$502,SMALL(IF((Income!D$3:D$502="INR")*(Income!A$3:A$502=DATE(2026,1,7)),ROW(Income!A$3:A$502)-2),3)),0))</f>
        <v/>
      </c>
      <c r="H11" s="38" t="str">
        <f aca="false">IF(IFERROR(INDEX(Expenses!B$3:B$1002,SMALL(IF((Expenses!E$3:E$1002="INR")*(Expenses!A$3:A$1002=DATE(2026,1,7)),ROW(Expenses!A$3:A$1002)-2),3)),"")&lt;&gt;"",IFERROR(INDEX(Expenses!B$3:B$1002,SMALL(IF((Expenses!E$3:E$1002="INR")*(Expenses!A$3:A$1002=DATE(2026,1,7)),ROW(Expenses!A$3:A$1002)-2),3)),""),IF(IFERROR(INDEX(Income!B$3:B$502,SMALL(IF((Income!D$3:D$502="INR")*(Income!A$3:A$502=DATE(2026,1,7)),ROW(Income!A$3:A$502)-2),3)),"")&lt;&gt;"",IFERROR(INDEX(Income!B$3:B$502,SMALL(IF((Income!D$3:D$502="INR")*(Income!A$3:A$502=DATE(2026,1,7)),ROW(Income!A$3:A$502)-2),3)),""),""))</f>
        <v/>
      </c>
      <c r="I11" s="63" t="str">
        <f aca="false">IF(IFERROR(-INDEX(Expenses!D$3:D$1002,SMALL(IF((Expenses!E$3:E$1002="INR")*(Expenses!A$3:A$1002=DATE(2026,1,8)),ROW(Expenses!A$3:A$1002)-2),3)),0)+IFERROR(INDEX(Income!C$3:C$502,SMALL(IF((Income!D$3:D$502="INR")*(Income!A$3:A$502=DATE(2026,1,8)),ROW(Income!A$3:A$502)-2),3)),0)=0,"",IFERROR(-INDEX(Expenses!D$3:D$1002,SMALL(IF((Expenses!E$3:E$1002="INR")*(Expenses!A$3:A$1002=DATE(2026,1,8)),ROW(Expenses!A$3:A$1002)-2),3)),0)+IFERROR(INDEX(Income!C$3:C$502,SMALL(IF((Income!D$3:D$502="INR")*(Income!A$3:A$502=DATE(2026,1,8)),ROW(Income!A$3:A$502)-2),3)),0))</f>
        <v/>
      </c>
      <c r="J11" s="38" t="str">
        <f aca="false">IF(IFERROR(INDEX(Expenses!B$3:B$1002,SMALL(IF((Expenses!E$3:E$1002="INR")*(Expenses!A$3:A$1002=DATE(2026,1,8)),ROW(Expenses!A$3:A$1002)-2),3)),"")&lt;&gt;"",IFERROR(INDEX(Expenses!B$3:B$1002,SMALL(IF((Expenses!E$3:E$1002="INR")*(Expenses!A$3:A$1002=DATE(2026,1,8)),ROW(Expenses!A$3:A$1002)-2),3)),""),IF(IFERROR(INDEX(Income!B$3:B$502,SMALL(IF((Income!D$3:D$502="INR")*(Income!A$3:A$502=DATE(2026,1,8)),ROW(Income!A$3:A$502)-2),3)),"")&lt;&gt;"",IFERROR(INDEX(Income!B$3:B$502,SMALL(IF((Income!D$3:D$502="INR")*(Income!A$3:A$502=DATE(2026,1,8)),ROW(Income!A$3:A$502)-2),3)),""),""))</f>
        <v/>
      </c>
      <c r="K11" s="63" t="str">
        <f aca="false">IF(IFERROR(-INDEX(Expenses!D$3:D$1002,SMALL(IF((Expenses!E$3:E$1002="INR")*(Expenses!A$3:A$1002=DATE(2026,1,9)),ROW(Expenses!A$3:A$1002)-2),3)),0)+IFERROR(INDEX(Income!C$3:C$502,SMALL(IF((Income!D$3:D$502="INR")*(Income!A$3:A$502=DATE(2026,1,9)),ROW(Income!A$3:A$502)-2),3)),0)=0,"",IFERROR(-INDEX(Expenses!D$3:D$1002,SMALL(IF((Expenses!E$3:E$1002="INR")*(Expenses!A$3:A$1002=DATE(2026,1,9)),ROW(Expenses!A$3:A$1002)-2),3)),0)+IFERROR(INDEX(Income!C$3:C$502,SMALL(IF((Income!D$3:D$502="INR")*(Income!A$3:A$502=DATE(2026,1,9)),ROW(Income!A$3:A$502)-2),3)),0))</f>
        <v/>
      </c>
      <c r="L11" s="38" t="str">
        <f aca="false">IF(IFERROR(INDEX(Expenses!B$3:B$1002,SMALL(IF((Expenses!E$3:E$1002="INR")*(Expenses!A$3:A$1002=DATE(2026,1,9)),ROW(Expenses!A$3:A$1002)-2),3)),"")&lt;&gt;"",IFERROR(INDEX(Expenses!B$3:B$1002,SMALL(IF((Expenses!E$3:E$1002="INR")*(Expenses!A$3:A$1002=DATE(2026,1,9)),ROW(Expenses!A$3:A$1002)-2),3)),""),IF(IFERROR(INDEX(Income!B$3:B$502,SMALL(IF((Income!D$3:D$502="INR")*(Income!A$3:A$502=DATE(2026,1,9)),ROW(Income!A$3:A$502)-2),3)),"")&lt;&gt;"",IFERROR(INDEX(Income!B$3:B$502,SMALL(IF((Income!D$3:D$502="INR")*(Income!A$3:A$502=DATE(2026,1,9)),ROW(Income!A$3:A$502)-2),3)),""),""))</f>
        <v/>
      </c>
      <c r="M11" s="63" t="str">
        <f aca="false">IF(IFERROR(-INDEX(Expenses!D$3:D$1002,SMALL(IF((Expenses!E$3:E$1002="INR")*(Expenses!A$3:A$1002=DATE(2026,1,10)),ROW(Expenses!A$3:A$1002)-2),3)),0)+IFERROR(INDEX(Income!C$3:C$502,SMALL(IF((Income!D$3:D$502="INR")*(Income!A$3:A$502=DATE(2026,1,10)),ROW(Income!A$3:A$502)-2),3)),0)=0,"",IFERROR(-INDEX(Expenses!D$3:D$1002,SMALL(IF((Expenses!E$3:E$1002="INR")*(Expenses!A$3:A$1002=DATE(2026,1,10)),ROW(Expenses!A$3:A$1002)-2),3)),0)+IFERROR(INDEX(Income!C$3:C$502,SMALL(IF((Income!D$3:D$502="INR")*(Income!A$3:A$502=DATE(2026,1,10)),ROW(Income!A$3:A$502)-2),3)),0))</f>
        <v/>
      </c>
      <c r="N11" s="38" t="str">
        <f aca="false">IF(IFERROR(INDEX(Expenses!B$3:B$1002,SMALL(IF((Expenses!E$3:E$1002="INR")*(Expenses!A$3:A$1002=DATE(2026,1,10)),ROW(Expenses!A$3:A$1002)-2),3)),"")&lt;&gt;"",IFERROR(INDEX(Expenses!B$3:B$1002,SMALL(IF((Expenses!E$3:E$1002="INR")*(Expenses!A$3:A$1002=DATE(2026,1,10)),ROW(Expenses!A$3:A$1002)-2),3)),""),IF(IFERROR(INDEX(Income!B$3:B$502,SMALL(IF((Income!D$3:D$502="INR")*(Income!A$3:A$502=DATE(2026,1,10)),ROW(Income!A$3:A$502)-2),3)),"")&lt;&gt;"",IFERROR(INDEX(Income!B$3:B$502,SMALL(IF((Income!D$3:D$502="INR")*(Income!A$3:A$502=DATE(2026,1,10)),ROW(Income!A$3:A$502)-2),3)),""),""))</f>
        <v/>
      </c>
      <c r="O11" s="63" t="str">
        <f aca="false">IF(IFERROR(-INDEX(Expenses!D$3:D$1002,SMALL(IF((Expenses!E$3:E$1002="INR")*(Expenses!A$3:A$1002=DATE(2026,1,11)),ROW(Expenses!A$3:A$1002)-2),3)),0)+IFERROR(INDEX(Income!C$3:C$502,SMALL(IF((Income!D$3:D$502="INR")*(Income!A$3:A$502=DATE(2026,1,11)),ROW(Income!A$3:A$502)-2),3)),0)=0,"",IFERROR(-INDEX(Expenses!D$3:D$1002,SMALL(IF((Expenses!E$3:E$1002="INR")*(Expenses!A$3:A$1002=DATE(2026,1,11)),ROW(Expenses!A$3:A$1002)-2),3)),0)+IFERROR(INDEX(Income!C$3:C$502,SMALL(IF((Income!D$3:D$502="INR")*(Income!A$3:A$502=DATE(2026,1,11)),ROW(Income!A$3:A$502)-2),3)),0))</f>
        <v/>
      </c>
      <c r="P11" s="38" t="str">
        <f aca="false">IF(IFERROR(INDEX(Expenses!B$3:B$1002,SMALL(IF((Expenses!E$3:E$1002="INR")*(Expenses!A$3:A$1002=DATE(2026,1,11)),ROW(Expenses!A$3:A$1002)-2),3)),"")&lt;&gt;"",IFERROR(INDEX(Expenses!B$3:B$1002,SMALL(IF((Expenses!E$3:E$1002="INR")*(Expenses!A$3:A$1002=DATE(2026,1,11)),ROW(Expenses!A$3:A$1002)-2),3)),""),IF(IFERROR(INDEX(Income!B$3:B$502,SMALL(IF((Income!D$3:D$502="INR")*(Income!A$3:A$502=DATE(2026,1,11)),ROW(Income!A$3:A$502)-2),3)),"")&lt;&gt;"",IFERROR(INDEX(Income!B$3:B$502,SMALL(IF((Income!D$3:D$502="INR")*(Income!A$3:A$502=DATE(2026,1,11)),ROW(Income!A$3:A$502)-2),3)),""),""))</f>
        <v/>
      </c>
      <c r="Q11" s="16"/>
      <c r="R11" s="16"/>
    </row>
    <row r="12" customFormat="false" ht="15" hidden="false" customHeight="false" outlineLevel="0" collapsed="false">
      <c r="A12" s="16"/>
      <c r="B12" s="16"/>
      <c r="C12" s="63" t="str">
        <f aca="false">IF(IFERROR(-INDEX(Expenses!D$3:D$1002,SMALL(IF((Expenses!E$3:E$1002="INR")*(Expenses!A$3:A$1002=DATE(2026,1,5)),ROW(Expenses!A$3:A$1002)-2),4)),0)+IFERROR(INDEX(Income!C$3:C$502,SMALL(IF((Income!D$3:D$502="INR")*(Income!A$3:A$502=DATE(2026,1,5)),ROW(Income!A$3:A$502)-2),4)),0)=0,"",IFERROR(-INDEX(Expenses!D$3:D$1002,SMALL(IF((Expenses!E$3:E$1002="INR")*(Expenses!A$3:A$1002=DATE(2026,1,5)),ROW(Expenses!A$3:A$1002)-2),4)),0)+IFERROR(INDEX(Income!C$3:C$502,SMALL(IF((Income!D$3:D$502="INR")*(Income!A$3:A$502=DATE(2026,1,5)),ROW(Income!A$3:A$502)-2),4)),0))</f>
        <v/>
      </c>
      <c r="D12" s="38" t="str">
        <f aca="false">IF(IFERROR(INDEX(Expenses!B$3:B$1002,SMALL(IF((Expenses!E$3:E$1002="INR")*(Expenses!A$3:A$1002=DATE(2026,1,5)),ROW(Expenses!A$3:A$1002)-2),4)),"")&lt;&gt;"",IFERROR(INDEX(Expenses!B$3:B$1002,SMALL(IF((Expenses!E$3:E$1002="INR")*(Expenses!A$3:A$1002=DATE(2026,1,5)),ROW(Expenses!A$3:A$1002)-2),4)),""),IF(IFERROR(INDEX(Income!B$3:B$502,SMALL(IF((Income!D$3:D$502="INR")*(Income!A$3:A$502=DATE(2026,1,5)),ROW(Income!A$3:A$502)-2),4)),"")&lt;&gt;"",IFERROR(INDEX(Income!B$3:B$502,SMALL(IF((Income!D$3:D$502="INR")*(Income!A$3:A$502=DATE(2026,1,5)),ROW(Income!A$3:A$502)-2),4)),""),""))</f>
        <v/>
      </c>
      <c r="E12" s="63" t="str">
        <f aca="false">IF(IFERROR(-INDEX(Expenses!D$3:D$1002,SMALL(IF((Expenses!E$3:E$1002="INR")*(Expenses!A$3:A$1002=DATE(2026,1,6)),ROW(Expenses!A$3:A$1002)-2),4)),0)+IFERROR(INDEX(Income!C$3:C$502,SMALL(IF((Income!D$3:D$502="INR")*(Income!A$3:A$502=DATE(2026,1,6)),ROW(Income!A$3:A$502)-2),4)),0)=0,"",IFERROR(-INDEX(Expenses!D$3:D$1002,SMALL(IF((Expenses!E$3:E$1002="INR")*(Expenses!A$3:A$1002=DATE(2026,1,6)),ROW(Expenses!A$3:A$1002)-2),4)),0)+IFERROR(INDEX(Income!C$3:C$502,SMALL(IF((Income!D$3:D$502="INR")*(Income!A$3:A$502=DATE(2026,1,6)),ROW(Income!A$3:A$502)-2),4)),0))</f>
        <v/>
      </c>
      <c r="F12" s="38" t="str">
        <f aca="false">IF(IFERROR(INDEX(Expenses!B$3:B$1002,SMALL(IF((Expenses!E$3:E$1002="INR")*(Expenses!A$3:A$1002=DATE(2026,1,6)),ROW(Expenses!A$3:A$1002)-2),4)),"")&lt;&gt;"",IFERROR(INDEX(Expenses!B$3:B$1002,SMALL(IF((Expenses!E$3:E$1002="INR")*(Expenses!A$3:A$1002=DATE(2026,1,6)),ROW(Expenses!A$3:A$1002)-2),4)),""),IF(IFERROR(INDEX(Income!B$3:B$502,SMALL(IF((Income!D$3:D$502="INR")*(Income!A$3:A$502=DATE(2026,1,6)),ROW(Income!A$3:A$502)-2),4)),"")&lt;&gt;"",IFERROR(INDEX(Income!B$3:B$502,SMALL(IF((Income!D$3:D$502="INR")*(Income!A$3:A$502=DATE(2026,1,6)),ROW(Income!A$3:A$502)-2),4)),""),""))</f>
        <v/>
      </c>
      <c r="G12" s="63" t="str">
        <f aca="false">IF(IFERROR(-INDEX(Expenses!D$3:D$1002,SMALL(IF((Expenses!E$3:E$1002="INR")*(Expenses!A$3:A$1002=DATE(2026,1,7)),ROW(Expenses!A$3:A$1002)-2),4)),0)+IFERROR(INDEX(Income!C$3:C$502,SMALL(IF((Income!D$3:D$502="INR")*(Income!A$3:A$502=DATE(2026,1,7)),ROW(Income!A$3:A$502)-2),4)),0)=0,"",IFERROR(-INDEX(Expenses!D$3:D$1002,SMALL(IF((Expenses!E$3:E$1002="INR")*(Expenses!A$3:A$1002=DATE(2026,1,7)),ROW(Expenses!A$3:A$1002)-2),4)),0)+IFERROR(INDEX(Income!C$3:C$502,SMALL(IF((Income!D$3:D$502="INR")*(Income!A$3:A$502=DATE(2026,1,7)),ROW(Income!A$3:A$502)-2),4)),0))</f>
        <v/>
      </c>
      <c r="H12" s="38" t="str">
        <f aca="false">IF(IFERROR(INDEX(Expenses!B$3:B$1002,SMALL(IF((Expenses!E$3:E$1002="INR")*(Expenses!A$3:A$1002=DATE(2026,1,7)),ROW(Expenses!A$3:A$1002)-2),4)),"")&lt;&gt;"",IFERROR(INDEX(Expenses!B$3:B$1002,SMALL(IF((Expenses!E$3:E$1002="INR")*(Expenses!A$3:A$1002=DATE(2026,1,7)),ROW(Expenses!A$3:A$1002)-2),4)),""),IF(IFERROR(INDEX(Income!B$3:B$502,SMALL(IF((Income!D$3:D$502="INR")*(Income!A$3:A$502=DATE(2026,1,7)),ROW(Income!A$3:A$502)-2),4)),"")&lt;&gt;"",IFERROR(INDEX(Income!B$3:B$502,SMALL(IF((Income!D$3:D$502="INR")*(Income!A$3:A$502=DATE(2026,1,7)),ROW(Income!A$3:A$502)-2),4)),""),""))</f>
        <v/>
      </c>
      <c r="I12" s="63" t="str">
        <f aca="false">IF(IFERROR(-INDEX(Expenses!D$3:D$1002,SMALL(IF((Expenses!E$3:E$1002="INR")*(Expenses!A$3:A$1002=DATE(2026,1,8)),ROW(Expenses!A$3:A$1002)-2),4)),0)+IFERROR(INDEX(Income!C$3:C$502,SMALL(IF((Income!D$3:D$502="INR")*(Income!A$3:A$502=DATE(2026,1,8)),ROW(Income!A$3:A$502)-2),4)),0)=0,"",IFERROR(-INDEX(Expenses!D$3:D$1002,SMALL(IF((Expenses!E$3:E$1002="INR")*(Expenses!A$3:A$1002=DATE(2026,1,8)),ROW(Expenses!A$3:A$1002)-2),4)),0)+IFERROR(INDEX(Income!C$3:C$502,SMALL(IF((Income!D$3:D$502="INR")*(Income!A$3:A$502=DATE(2026,1,8)),ROW(Income!A$3:A$502)-2),4)),0))</f>
        <v/>
      </c>
      <c r="J12" s="38" t="str">
        <f aca="false">IF(IFERROR(INDEX(Expenses!B$3:B$1002,SMALL(IF((Expenses!E$3:E$1002="INR")*(Expenses!A$3:A$1002=DATE(2026,1,8)),ROW(Expenses!A$3:A$1002)-2),4)),"")&lt;&gt;"",IFERROR(INDEX(Expenses!B$3:B$1002,SMALL(IF((Expenses!E$3:E$1002="INR")*(Expenses!A$3:A$1002=DATE(2026,1,8)),ROW(Expenses!A$3:A$1002)-2),4)),""),IF(IFERROR(INDEX(Income!B$3:B$502,SMALL(IF((Income!D$3:D$502="INR")*(Income!A$3:A$502=DATE(2026,1,8)),ROW(Income!A$3:A$502)-2),4)),"")&lt;&gt;"",IFERROR(INDEX(Income!B$3:B$502,SMALL(IF((Income!D$3:D$502="INR")*(Income!A$3:A$502=DATE(2026,1,8)),ROW(Income!A$3:A$502)-2),4)),""),""))</f>
        <v/>
      </c>
      <c r="K12" s="63" t="str">
        <f aca="false">IF(IFERROR(-INDEX(Expenses!D$3:D$1002,SMALL(IF((Expenses!E$3:E$1002="INR")*(Expenses!A$3:A$1002=DATE(2026,1,9)),ROW(Expenses!A$3:A$1002)-2),4)),0)+IFERROR(INDEX(Income!C$3:C$502,SMALL(IF((Income!D$3:D$502="INR")*(Income!A$3:A$502=DATE(2026,1,9)),ROW(Income!A$3:A$502)-2),4)),0)=0,"",IFERROR(-INDEX(Expenses!D$3:D$1002,SMALL(IF((Expenses!E$3:E$1002="INR")*(Expenses!A$3:A$1002=DATE(2026,1,9)),ROW(Expenses!A$3:A$1002)-2),4)),0)+IFERROR(INDEX(Income!C$3:C$502,SMALL(IF((Income!D$3:D$502="INR")*(Income!A$3:A$502=DATE(2026,1,9)),ROW(Income!A$3:A$502)-2),4)),0))</f>
        <v/>
      </c>
      <c r="L12" s="38" t="str">
        <f aca="false">IF(IFERROR(INDEX(Expenses!B$3:B$1002,SMALL(IF((Expenses!E$3:E$1002="INR")*(Expenses!A$3:A$1002=DATE(2026,1,9)),ROW(Expenses!A$3:A$1002)-2),4)),"")&lt;&gt;"",IFERROR(INDEX(Expenses!B$3:B$1002,SMALL(IF((Expenses!E$3:E$1002="INR")*(Expenses!A$3:A$1002=DATE(2026,1,9)),ROW(Expenses!A$3:A$1002)-2),4)),""),IF(IFERROR(INDEX(Income!B$3:B$502,SMALL(IF((Income!D$3:D$502="INR")*(Income!A$3:A$502=DATE(2026,1,9)),ROW(Income!A$3:A$502)-2),4)),"")&lt;&gt;"",IFERROR(INDEX(Income!B$3:B$502,SMALL(IF((Income!D$3:D$502="INR")*(Income!A$3:A$502=DATE(2026,1,9)),ROW(Income!A$3:A$502)-2),4)),""),""))</f>
        <v/>
      </c>
      <c r="M12" s="63" t="str">
        <f aca="false">IF(IFERROR(-INDEX(Expenses!D$3:D$1002,SMALL(IF((Expenses!E$3:E$1002="INR")*(Expenses!A$3:A$1002=DATE(2026,1,10)),ROW(Expenses!A$3:A$1002)-2),4)),0)+IFERROR(INDEX(Income!C$3:C$502,SMALL(IF((Income!D$3:D$502="INR")*(Income!A$3:A$502=DATE(2026,1,10)),ROW(Income!A$3:A$502)-2),4)),0)=0,"",IFERROR(-INDEX(Expenses!D$3:D$1002,SMALL(IF((Expenses!E$3:E$1002="INR")*(Expenses!A$3:A$1002=DATE(2026,1,10)),ROW(Expenses!A$3:A$1002)-2),4)),0)+IFERROR(INDEX(Income!C$3:C$502,SMALL(IF((Income!D$3:D$502="INR")*(Income!A$3:A$502=DATE(2026,1,10)),ROW(Income!A$3:A$502)-2),4)),0))</f>
        <v/>
      </c>
      <c r="N12" s="38" t="str">
        <f aca="false">IF(IFERROR(INDEX(Expenses!B$3:B$1002,SMALL(IF((Expenses!E$3:E$1002="INR")*(Expenses!A$3:A$1002=DATE(2026,1,10)),ROW(Expenses!A$3:A$1002)-2),4)),"")&lt;&gt;"",IFERROR(INDEX(Expenses!B$3:B$1002,SMALL(IF((Expenses!E$3:E$1002="INR")*(Expenses!A$3:A$1002=DATE(2026,1,10)),ROW(Expenses!A$3:A$1002)-2),4)),""),IF(IFERROR(INDEX(Income!B$3:B$502,SMALL(IF((Income!D$3:D$502="INR")*(Income!A$3:A$502=DATE(2026,1,10)),ROW(Income!A$3:A$502)-2),4)),"")&lt;&gt;"",IFERROR(INDEX(Income!B$3:B$502,SMALL(IF((Income!D$3:D$502="INR")*(Income!A$3:A$502=DATE(2026,1,10)),ROW(Income!A$3:A$502)-2),4)),""),""))</f>
        <v/>
      </c>
      <c r="O12" s="63" t="str">
        <f aca="false">IF(IFERROR(-INDEX(Expenses!D$3:D$1002,SMALL(IF((Expenses!E$3:E$1002="INR")*(Expenses!A$3:A$1002=DATE(2026,1,11)),ROW(Expenses!A$3:A$1002)-2),4)),0)+IFERROR(INDEX(Income!C$3:C$502,SMALL(IF((Income!D$3:D$502="INR")*(Income!A$3:A$502=DATE(2026,1,11)),ROW(Income!A$3:A$502)-2),4)),0)=0,"",IFERROR(-INDEX(Expenses!D$3:D$1002,SMALL(IF((Expenses!E$3:E$1002="INR")*(Expenses!A$3:A$1002=DATE(2026,1,11)),ROW(Expenses!A$3:A$1002)-2),4)),0)+IFERROR(INDEX(Income!C$3:C$502,SMALL(IF((Income!D$3:D$502="INR")*(Income!A$3:A$502=DATE(2026,1,11)),ROW(Income!A$3:A$502)-2),4)),0))</f>
        <v/>
      </c>
      <c r="P12" s="38" t="str">
        <f aca="false">IF(IFERROR(INDEX(Expenses!B$3:B$1002,SMALL(IF((Expenses!E$3:E$1002="INR")*(Expenses!A$3:A$1002=DATE(2026,1,11)),ROW(Expenses!A$3:A$1002)-2),4)),"")&lt;&gt;"",IFERROR(INDEX(Expenses!B$3:B$1002,SMALL(IF((Expenses!E$3:E$1002="INR")*(Expenses!A$3:A$1002=DATE(2026,1,11)),ROW(Expenses!A$3:A$1002)-2),4)),""),IF(IFERROR(INDEX(Income!B$3:B$502,SMALL(IF((Income!D$3:D$502="INR")*(Income!A$3:A$502=DATE(2026,1,11)),ROW(Income!A$3:A$502)-2),4)),"")&lt;&gt;"",IFERROR(INDEX(Income!B$3:B$502,SMALL(IF((Income!D$3:D$502="INR")*(Income!A$3:A$502=DATE(2026,1,11)),ROW(Income!A$3:A$502)-2),4)),""),""))</f>
        <v/>
      </c>
      <c r="Q12" s="16"/>
      <c r="R12" s="16"/>
    </row>
    <row r="13" customFormat="false" ht="15" hidden="false" customHeight="false" outlineLevel="0" collapsed="false">
      <c r="A13" s="16"/>
      <c r="B13" s="16"/>
      <c r="C13" s="63" t="str">
        <f aca="false">IF(IFERROR(-INDEX(Expenses!D$3:D$1002,SMALL(IF((Expenses!E$3:E$1002="INR")*(Expenses!A$3:A$1002=DATE(2026,1,5)),ROW(Expenses!A$3:A$1002)-2),5)),0)+IFERROR(INDEX(Income!C$3:C$502,SMALL(IF((Income!D$3:D$502="INR")*(Income!A$3:A$502=DATE(2026,1,5)),ROW(Income!A$3:A$502)-2),5)),0)=0,"",IFERROR(-INDEX(Expenses!D$3:D$1002,SMALL(IF((Expenses!E$3:E$1002="INR")*(Expenses!A$3:A$1002=DATE(2026,1,5)),ROW(Expenses!A$3:A$1002)-2),5)),0)+IFERROR(INDEX(Income!C$3:C$502,SMALL(IF((Income!D$3:D$502="INR")*(Income!A$3:A$502=DATE(2026,1,5)),ROW(Income!A$3:A$502)-2),5)),0))</f>
        <v/>
      </c>
      <c r="D13" s="38" t="str">
        <f aca="false">IF(IFERROR(INDEX(Expenses!B$3:B$1002,SMALL(IF((Expenses!E$3:E$1002="INR")*(Expenses!A$3:A$1002=DATE(2026,1,5)),ROW(Expenses!A$3:A$1002)-2),5)),"")&lt;&gt;"",IFERROR(INDEX(Expenses!B$3:B$1002,SMALL(IF((Expenses!E$3:E$1002="INR")*(Expenses!A$3:A$1002=DATE(2026,1,5)),ROW(Expenses!A$3:A$1002)-2),5)),""),IF(IFERROR(INDEX(Income!B$3:B$502,SMALL(IF((Income!D$3:D$502="INR")*(Income!A$3:A$502=DATE(2026,1,5)),ROW(Income!A$3:A$502)-2),5)),"")&lt;&gt;"",IFERROR(INDEX(Income!B$3:B$502,SMALL(IF((Income!D$3:D$502="INR")*(Income!A$3:A$502=DATE(2026,1,5)),ROW(Income!A$3:A$502)-2),5)),""),""))</f>
        <v/>
      </c>
      <c r="E13" s="63" t="str">
        <f aca="false">IF(IFERROR(-INDEX(Expenses!D$3:D$1002,SMALL(IF((Expenses!E$3:E$1002="INR")*(Expenses!A$3:A$1002=DATE(2026,1,6)),ROW(Expenses!A$3:A$1002)-2),5)),0)+IFERROR(INDEX(Income!C$3:C$502,SMALL(IF((Income!D$3:D$502="INR")*(Income!A$3:A$502=DATE(2026,1,6)),ROW(Income!A$3:A$502)-2),5)),0)=0,"",IFERROR(-INDEX(Expenses!D$3:D$1002,SMALL(IF((Expenses!E$3:E$1002="INR")*(Expenses!A$3:A$1002=DATE(2026,1,6)),ROW(Expenses!A$3:A$1002)-2),5)),0)+IFERROR(INDEX(Income!C$3:C$502,SMALL(IF((Income!D$3:D$502="INR")*(Income!A$3:A$502=DATE(2026,1,6)),ROW(Income!A$3:A$502)-2),5)),0))</f>
        <v/>
      </c>
      <c r="F13" s="38" t="str">
        <f aca="false">IF(IFERROR(INDEX(Expenses!B$3:B$1002,SMALL(IF((Expenses!E$3:E$1002="INR")*(Expenses!A$3:A$1002=DATE(2026,1,6)),ROW(Expenses!A$3:A$1002)-2),5)),"")&lt;&gt;"",IFERROR(INDEX(Expenses!B$3:B$1002,SMALL(IF((Expenses!E$3:E$1002="INR")*(Expenses!A$3:A$1002=DATE(2026,1,6)),ROW(Expenses!A$3:A$1002)-2),5)),""),IF(IFERROR(INDEX(Income!B$3:B$502,SMALL(IF((Income!D$3:D$502="INR")*(Income!A$3:A$502=DATE(2026,1,6)),ROW(Income!A$3:A$502)-2),5)),"")&lt;&gt;"",IFERROR(INDEX(Income!B$3:B$502,SMALL(IF((Income!D$3:D$502="INR")*(Income!A$3:A$502=DATE(2026,1,6)),ROW(Income!A$3:A$502)-2),5)),""),""))</f>
        <v/>
      </c>
      <c r="G13" s="63" t="str">
        <f aca="false">IF(IFERROR(-INDEX(Expenses!D$3:D$1002,SMALL(IF((Expenses!E$3:E$1002="INR")*(Expenses!A$3:A$1002=DATE(2026,1,7)),ROW(Expenses!A$3:A$1002)-2),5)),0)+IFERROR(INDEX(Income!C$3:C$502,SMALL(IF((Income!D$3:D$502="INR")*(Income!A$3:A$502=DATE(2026,1,7)),ROW(Income!A$3:A$502)-2),5)),0)=0,"",IFERROR(-INDEX(Expenses!D$3:D$1002,SMALL(IF((Expenses!E$3:E$1002="INR")*(Expenses!A$3:A$1002=DATE(2026,1,7)),ROW(Expenses!A$3:A$1002)-2),5)),0)+IFERROR(INDEX(Income!C$3:C$502,SMALL(IF((Income!D$3:D$502="INR")*(Income!A$3:A$502=DATE(2026,1,7)),ROW(Income!A$3:A$502)-2),5)),0))</f>
        <v/>
      </c>
      <c r="H13" s="38" t="str">
        <f aca="false">IF(IFERROR(INDEX(Expenses!B$3:B$1002,SMALL(IF((Expenses!E$3:E$1002="INR")*(Expenses!A$3:A$1002=DATE(2026,1,7)),ROW(Expenses!A$3:A$1002)-2),5)),"")&lt;&gt;"",IFERROR(INDEX(Expenses!B$3:B$1002,SMALL(IF((Expenses!E$3:E$1002="INR")*(Expenses!A$3:A$1002=DATE(2026,1,7)),ROW(Expenses!A$3:A$1002)-2),5)),""),IF(IFERROR(INDEX(Income!B$3:B$502,SMALL(IF((Income!D$3:D$502="INR")*(Income!A$3:A$502=DATE(2026,1,7)),ROW(Income!A$3:A$502)-2),5)),"")&lt;&gt;"",IFERROR(INDEX(Income!B$3:B$502,SMALL(IF((Income!D$3:D$502="INR")*(Income!A$3:A$502=DATE(2026,1,7)),ROW(Income!A$3:A$502)-2),5)),""),""))</f>
        <v/>
      </c>
      <c r="I13" s="63" t="str">
        <f aca="false">IF(IFERROR(-INDEX(Expenses!D$3:D$1002,SMALL(IF((Expenses!E$3:E$1002="INR")*(Expenses!A$3:A$1002=DATE(2026,1,8)),ROW(Expenses!A$3:A$1002)-2),5)),0)+IFERROR(INDEX(Income!C$3:C$502,SMALL(IF((Income!D$3:D$502="INR")*(Income!A$3:A$502=DATE(2026,1,8)),ROW(Income!A$3:A$502)-2),5)),0)=0,"",IFERROR(-INDEX(Expenses!D$3:D$1002,SMALL(IF((Expenses!E$3:E$1002="INR")*(Expenses!A$3:A$1002=DATE(2026,1,8)),ROW(Expenses!A$3:A$1002)-2),5)),0)+IFERROR(INDEX(Income!C$3:C$502,SMALL(IF((Income!D$3:D$502="INR")*(Income!A$3:A$502=DATE(2026,1,8)),ROW(Income!A$3:A$502)-2),5)),0))</f>
        <v/>
      </c>
      <c r="J13" s="38" t="str">
        <f aca="false">IF(IFERROR(INDEX(Expenses!B$3:B$1002,SMALL(IF((Expenses!E$3:E$1002="INR")*(Expenses!A$3:A$1002=DATE(2026,1,8)),ROW(Expenses!A$3:A$1002)-2),5)),"")&lt;&gt;"",IFERROR(INDEX(Expenses!B$3:B$1002,SMALL(IF((Expenses!E$3:E$1002="INR")*(Expenses!A$3:A$1002=DATE(2026,1,8)),ROW(Expenses!A$3:A$1002)-2),5)),""),IF(IFERROR(INDEX(Income!B$3:B$502,SMALL(IF((Income!D$3:D$502="INR")*(Income!A$3:A$502=DATE(2026,1,8)),ROW(Income!A$3:A$502)-2),5)),"")&lt;&gt;"",IFERROR(INDEX(Income!B$3:B$502,SMALL(IF((Income!D$3:D$502="INR")*(Income!A$3:A$502=DATE(2026,1,8)),ROW(Income!A$3:A$502)-2),5)),""),""))</f>
        <v/>
      </c>
      <c r="K13" s="63" t="str">
        <f aca="false">IF(IFERROR(-INDEX(Expenses!D$3:D$1002,SMALL(IF((Expenses!E$3:E$1002="INR")*(Expenses!A$3:A$1002=DATE(2026,1,9)),ROW(Expenses!A$3:A$1002)-2),5)),0)+IFERROR(INDEX(Income!C$3:C$502,SMALL(IF((Income!D$3:D$502="INR")*(Income!A$3:A$502=DATE(2026,1,9)),ROW(Income!A$3:A$502)-2),5)),0)=0,"",IFERROR(-INDEX(Expenses!D$3:D$1002,SMALL(IF((Expenses!E$3:E$1002="INR")*(Expenses!A$3:A$1002=DATE(2026,1,9)),ROW(Expenses!A$3:A$1002)-2),5)),0)+IFERROR(INDEX(Income!C$3:C$502,SMALL(IF((Income!D$3:D$502="INR")*(Income!A$3:A$502=DATE(2026,1,9)),ROW(Income!A$3:A$502)-2),5)),0))</f>
        <v/>
      </c>
      <c r="L13" s="38" t="str">
        <f aca="false">IF(IFERROR(INDEX(Expenses!B$3:B$1002,SMALL(IF((Expenses!E$3:E$1002="INR")*(Expenses!A$3:A$1002=DATE(2026,1,9)),ROW(Expenses!A$3:A$1002)-2),5)),"")&lt;&gt;"",IFERROR(INDEX(Expenses!B$3:B$1002,SMALL(IF((Expenses!E$3:E$1002="INR")*(Expenses!A$3:A$1002=DATE(2026,1,9)),ROW(Expenses!A$3:A$1002)-2),5)),""),IF(IFERROR(INDEX(Income!B$3:B$502,SMALL(IF((Income!D$3:D$502="INR")*(Income!A$3:A$502=DATE(2026,1,9)),ROW(Income!A$3:A$502)-2),5)),"")&lt;&gt;"",IFERROR(INDEX(Income!B$3:B$502,SMALL(IF((Income!D$3:D$502="INR")*(Income!A$3:A$502=DATE(2026,1,9)),ROW(Income!A$3:A$502)-2),5)),""),""))</f>
        <v/>
      </c>
      <c r="M13" s="63" t="str">
        <f aca="false">IF(IFERROR(-INDEX(Expenses!D$3:D$1002,SMALL(IF((Expenses!E$3:E$1002="INR")*(Expenses!A$3:A$1002=DATE(2026,1,10)),ROW(Expenses!A$3:A$1002)-2),5)),0)+IFERROR(INDEX(Income!C$3:C$502,SMALL(IF((Income!D$3:D$502="INR")*(Income!A$3:A$502=DATE(2026,1,10)),ROW(Income!A$3:A$502)-2),5)),0)=0,"",IFERROR(-INDEX(Expenses!D$3:D$1002,SMALL(IF((Expenses!E$3:E$1002="INR")*(Expenses!A$3:A$1002=DATE(2026,1,10)),ROW(Expenses!A$3:A$1002)-2),5)),0)+IFERROR(INDEX(Income!C$3:C$502,SMALL(IF((Income!D$3:D$502="INR")*(Income!A$3:A$502=DATE(2026,1,10)),ROW(Income!A$3:A$502)-2),5)),0))</f>
        <v/>
      </c>
      <c r="N13" s="38" t="str">
        <f aca="false">IF(IFERROR(INDEX(Expenses!B$3:B$1002,SMALL(IF((Expenses!E$3:E$1002="INR")*(Expenses!A$3:A$1002=DATE(2026,1,10)),ROW(Expenses!A$3:A$1002)-2),5)),"")&lt;&gt;"",IFERROR(INDEX(Expenses!B$3:B$1002,SMALL(IF((Expenses!E$3:E$1002="INR")*(Expenses!A$3:A$1002=DATE(2026,1,10)),ROW(Expenses!A$3:A$1002)-2),5)),""),IF(IFERROR(INDEX(Income!B$3:B$502,SMALL(IF((Income!D$3:D$502="INR")*(Income!A$3:A$502=DATE(2026,1,10)),ROW(Income!A$3:A$502)-2),5)),"")&lt;&gt;"",IFERROR(INDEX(Income!B$3:B$502,SMALL(IF((Income!D$3:D$502="INR")*(Income!A$3:A$502=DATE(2026,1,10)),ROW(Income!A$3:A$502)-2),5)),""),""))</f>
        <v/>
      </c>
      <c r="O13" s="63" t="str">
        <f aca="false">IF(IFERROR(-INDEX(Expenses!D$3:D$1002,SMALL(IF((Expenses!E$3:E$1002="INR")*(Expenses!A$3:A$1002=DATE(2026,1,11)),ROW(Expenses!A$3:A$1002)-2),5)),0)+IFERROR(INDEX(Income!C$3:C$502,SMALL(IF((Income!D$3:D$502="INR")*(Income!A$3:A$502=DATE(2026,1,11)),ROW(Income!A$3:A$502)-2),5)),0)=0,"",IFERROR(-INDEX(Expenses!D$3:D$1002,SMALL(IF((Expenses!E$3:E$1002="INR")*(Expenses!A$3:A$1002=DATE(2026,1,11)),ROW(Expenses!A$3:A$1002)-2),5)),0)+IFERROR(INDEX(Income!C$3:C$502,SMALL(IF((Income!D$3:D$502="INR")*(Income!A$3:A$502=DATE(2026,1,11)),ROW(Income!A$3:A$502)-2),5)),0))</f>
        <v/>
      </c>
      <c r="P13" s="38" t="str">
        <f aca="false">IF(IFERROR(INDEX(Expenses!B$3:B$1002,SMALL(IF((Expenses!E$3:E$1002="INR")*(Expenses!A$3:A$1002=DATE(2026,1,11)),ROW(Expenses!A$3:A$1002)-2),5)),"")&lt;&gt;"",IFERROR(INDEX(Expenses!B$3:B$1002,SMALL(IF((Expenses!E$3:E$1002="INR")*(Expenses!A$3:A$1002=DATE(2026,1,11)),ROW(Expenses!A$3:A$1002)-2),5)),""),IF(IFERROR(INDEX(Income!B$3:B$502,SMALL(IF((Income!D$3:D$502="INR")*(Income!A$3:A$502=DATE(2026,1,11)),ROW(Income!A$3:A$502)-2),5)),"")&lt;&gt;"",IFERROR(INDEX(Income!B$3:B$502,SMALL(IF((Income!D$3:D$502="INR")*(Income!A$3:A$502=DATE(2026,1,11)),ROW(Income!A$3:A$502)-2),5)),""),""))</f>
        <v/>
      </c>
      <c r="Q13" s="16"/>
      <c r="R13" s="16"/>
    </row>
    <row r="14" customFormat="false" ht="15" hidden="false" customHeight="false" outlineLevel="0" collapsed="false">
      <c r="A14" s="61" t="n">
        <v>46034</v>
      </c>
      <c r="B14" s="3" t="n">
        <v>3</v>
      </c>
      <c r="C14" s="63" t="str">
        <f aca="false">IF(IFERROR(-INDEX(Expenses!D$3:D$1002,SMALL(IF((Expenses!E$3:E$1002="INR")*(Expenses!A$3:A$1002=DATE(2026,1,12)),ROW(Expenses!A$3:A$1002)-2),1)),0)+IFERROR(INDEX(Income!C$3:C$502,SMALL(IF((Income!D$3:D$502="INR")*(Income!A$3:A$502=DATE(2026,1,12)),ROW(Income!A$3:A$502)-2),1)),0)=0,"",IFERROR(-INDEX(Expenses!D$3:D$1002,SMALL(IF((Expenses!E$3:E$1002="INR")*(Expenses!A$3:A$1002=DATE(2026,1,12)),ROW(Expenses!A$3:A$1002)-2),1)),0)+IFERROR(INDEX(Income!C$3:C$502,SMALL(IF((Income!D$3:D$502="INR")*(Income!A$3:A$502=DATE(2026,1,12)),ROW(Income!A$3:A$502)-2),1)),0))</f>
        <v/>
      </c>
      <c r="D14" s="38" t="str">
        <f aca="false">IF(IFERROR(INDEX(Expenses!B$3:B$1002,SMALL(IF((Expenses!E$3:E$1002="INR")*(Expenses!A$3:A$1002=DATE(2026,1,12)),ROW(Expenses!A$3:A$1002)-2),1)),"")&lt;&gt;"",IFERROR(INDEX(Expenses!B$3:B$1002,SMALL(IF((Expenses!E$3:E$1002="INR")*(Expenses!A$3:A$1002=DATE(2026,1,12)),ROW(Expenses!A$3:A$1002)-2),1)),""),IF(IFERROR(INDEX(Income!B$3:B$502,SMALL(IF((Income!D$3:D$502="INR")*(Income!A$3:A$502=DATE(2026,1,12)),ROW(Income!A$3:A$502)-2),1)),"")&lt;&gt;"",IFERROR(INDEX(Income!B$3:B$502,SMALL(IF((Income!D$3:D$502="INR")*(Income!A$3:A$502=DATE(2026,1,12)),ROW(Income!A$3:A$502)-2),1)),""),""))</f>
        <v/>
      </c>
      <c r="E14" s="63" t="str">
        <f aca="false">IF(IFERROR(-INDEX(Expenses!D$3:D$1002,SMALL(IF((Expenses!E$3:E$1002="INR")*(Expenses!A$3:A$1002=DATE(2026,1,13)),ROW(Expenses!A$3:A$1002)-2),1)),0)+IFERROR(INDEX(Income!C$3:C$502,SMALL(IF((Income!D$3:D$502="INR")*(Income!A$3:A$502=DATE(2026,1,13)),ROW(Income!A$3:A$502)-2),1)),0)=0,"",IFERROR(-INDEX(Expenses!D$3:D$1002,SMALL(IF((Expenses!E$3:E$1002="INR")*(Expenses!A$3:A$1002=DATE(2026,1,13)),ROW(Expenses!A$3:A$1002)-2),1)),0)+IFERROR(INDEX(Income!C$3:C$502,SMALL(IF((Income!D$3:D$502="INR")*(Income!A$3:A$502=DATE(2026,1,13)),ROW(Income!A$3:A$502)-2),1)),0))</f>
        <v/>
      </c>
      <c r="F14" s="38" t="str">
        <f aca="false">IF(IFERROR(INDEX(Expenses!B$3:B$1002,SMALL(IF((Expenses!E$3:E$1002="INR")*(Expenses!A$3:A$1002=DATE(2026,1,13)),ROW(Expenses!A$3:A$1002)-2),1)),"")&lt;&gt;"",IFERROR(INDEX(Expenses!B$3:B$1002,SMALL(IF((Expenses!E$3:E$1002="INR")*(Expenses!A$3:A$1002=DATE(2026,1,13)),ROW(Expenses!A$3:A$1002)-2),1)),""),IF(IFERROR(INDEX(Income!B$3:B$502,SMALL(IF((Income!D$3:D$502="INR")*(Income!A$3:A$502=DATE(2026,1,13)),ROW(Income!A$3:A$502)-2),1)),"")&lt;&gt;"",IFERROR(INDEX(Income!B$3:B$502,SMALL(IF((Income!D$3:D$502="INR")*(Income!A$3:A$502=DATE(2026,1,13)),ROW(Income!A$3:A$502)-2),1)),""),""))</f>
        <v/>
      </c>
      <c r="G14" s="63" t="str">
        <f aca="false">IF(IFERROR(-INDEX(Expenses!D$3:D$1002,SMALL(IF((Expenses!E$3:E$1002="INR")*(Expenses!A$3:A$1002=DATE(2026,1,14)),ROW(Expenses!A$3:A$1002)-2),1)),0)+IFERROR(INDEX(Income!C$3:C$502,SMALL(IF((Income!D$3:D$502="INR")*(Income!A$3:A$502=DATE(2026,1,14)),ROW(Income!A$3:A$502)-2),1)),0)=0,"",IFERROR(-INDEX(Expenses!D$3:D$1002,SMALL(IF((Expenses!E$3:E$1002="INR")*(Expenses!A$3:A$1002=DATE(2026,1,14)),ROW(Expenses!A$3:A$1002)-2),1)),0)+IFERROR(INDEX(Income!C$3:C$502,SMALL(IF((Income!D$3:D$502="INR")*(Income!A$3:A$502=DATE(2026,1,14)),ROW(Income!A$3:A$502)-2),1)),0))</f>
        <v/>
      </c>
      <c r="H14" s="38" t="str">
        <f aca="false">IF(IFERROR(INDEX(Expenses!B$3:B$1002,SMALL(IF((Expenses!E$3:E$1002="INR")*(Expenses!A$3:A$1002=DATE(2026,1,14)),ROW(Expenses!A$3:A$1002)-2),1)),"")&lt;&gt;"",IFERROR(INDEX(Expenses!B$3:B$1002,SMALL(IF((Expenses!E$3:E$1002="INR")*(Expenses!A$3:A$1002=DATE(2026,1,14)),ROW(Expenses!A$3:A$1002)-2),1)),""),IF(IFERROR(INDEX(Income!B$3:B$502,SMALL(IF((Income!D$3:D$502="INR")*(Income!A$3:A$502=DATE(2026,1,14)),ROW(Income!A$3:A$502)-2),1)),"")&lt;&gt;"",IFERROR(INDEX(Income!B$3:B$502,SMALL(IF((Income!D$3:D$502="INR")*(Income!A$3:A$502=DATE(2026,1,14)),ROW(Income!A$3:A$502)-2),1)),""),""))</f>
        <v/>
      </c>
      <c r="I14" s="63" t="str">
        <f aca="false">IF(IFERROR(-INDEX(Expenses!D$3:D$1002,SMALL(IF((Expenses!E$3:E$1002="INR")*(Expenses!A$3:A$1002=DATE(2026,1,15)),ROW(Expenses!A$3:A$1002)-2),1)),0)+IFERROR(INDEX(Income!C$3:C$502,SMALL(IF((Income!D$3:D$502="INR")*(Income!A$3:A$502=DATE(2026,1,15)),ROW(Income!A$3:A$502)-2),1)),0)=0,"",IFERROR(-INDEX(Expenses!D$3:D$1002,SMALL(IF((Expenses!E$3:E$1002="INR")*(Expenses!A$3:A$1002=DATE(2026,1,15)),ROW(Expenses!A$3:A$1002)-2),1)),0)+IFERROR(INDEX(Income!C$3:C$502,SMALL(IF((Income!D$3:D$502="INR")*(Income!A$3:A$502=DATE(2026,1,15)),ROW(Income!A$3:A$502)-2),1)),0))</f>
        <v/>
      </c>
      <c r="J14" s="38" t="str">
        <f aca="false">IF(IFERROR(INDEX(Expenses!B$3:B$1002,SMALL(IF((Expenses!E$3:E$1002="INR")*(Expenses!A$3:A$1002=DATE(2026,1,15)),ROW(Expenses!A$3:A$1002)-2),1)),"")&lt;&gt;"",IFERROR(INDEX(Expenses!B$3:B$1002,SMALL(IF((Expenses!E$3:E$1002="INR")*(Expenses!A$3:A$1002=DATE(2026,1,15)),ROW(Expenses!A$3:A$1002)-2),1)),""),IF(IFERROR(INDEX(Income!B$3:B$502,SMALL(IF((Income!D$3:D$502="INR")*(Income!A$3:A$502=DATE(2026,1,15)),ROW(Income!A$3:A$502)-2),1)),"")&lt;&gt;"",IFERROR(INDEX(Income!B$3:B$502,SMALL(IF((Income!D$3:D$502="INR")*(Income!A$3:A$502=DATE(2026,1,15)),ROW(Income!A$3:A$502)-2),1)),""),""))</f>
        <v/>
      </c>
      <c r="K14" s="63" t="str">
        <f aca="false">IF(IFERROR(-INDEX(Expenses!D$3:D$1002,SMALL(IF((Expenses!E$3:E$1002="INR")*(Expenses!A$3:A$1002=DATE(2026,1,16)),ROW(Expenses!A$3:A$1002)-2),1)),0)+IFERROR(INDEX(Income!C$3:C$502,SMALL(IF((Income!D$3:D$502="INR")*(Income!A$3:A$502=DATE(2026,1,16)),ROW(Income!A$3:A$502)-2),1)),0)=0,"",IFERROR(-INDEX(Expenses!D$3:D$1002,SMALL(IF((Expenses!E$3:E$1002="INR")*(Expenses!A$3:A$1002=DATE(2026,1,16)),ROW(Expenses!A$3:A$1002)-2),1)),0)+IFERROR(INDEX(Income!C$3:C$502,SMALL(IF((Income!D$3:D$502="INR")*(Income!A$3:A$502=DATE(2026,1,16)),ROW(Income!A$3:A$502)-2),1)),0))</f>
        <v/>
      </c>
      <c r="L14" s="38" t="str">
        <f aca="false">IF(IFERROR(INDEX(Expenses!B$3:B$1002,SMALL(IF((Expenses!E$3:E$1002="INR")*(Expenses!A$3:A$1002=DATE(2026,1,16)),ROW(Expenses!A$3:A$1002)-2),1)),"")&lt;&gt;"",IFERROR(INDEX(Expenses!B$3:B$1002,SMALL(IF((Expenses!E$3:E$1002="INR")*(Expenses!A$3:A$1002=DATE(2026,1,16)),ROW(Expenses!A$3:A$1002)-2),1)),""),IF(IFERROR(INDEX(Income!B$3:B$502,SMALL(IF((Income!D$3:D$502="INR")*(Income!A$3:A$502=DATE(2026,1,16)),ROW(Income!A$3:A$502)-2),1)),"")&lt;&gt;"",IFERROR(INDEX(Income!B$3:B$502,SMALL(IF((Income!D$3:D$502="INR")*(Income!A$3:A$502=DATE(2026,1,16)),ROW(Income!A$3:A$502)-2),1)),""),""))</f>
        <v/>
      </c>
      <c r="M14" s="63" t="str">
        <f aca="false">IF(IFERROR(-INDEX(Expenses!D$3:D$1002,SMALL(IF((Expenses!E$3:E$1002="INR")*(Expenses!A$3:A$1002=DATE(2026,1,17)),ROW(Expenses!A$3:A$1002)-2),1)),0)+IFERROR(INDEX(Income!C$3:C$502,SMALL(IF((Income!D$3:D$502="INR")*(Income!A$3:A$502=DATE(2026,1,17)),ROW(Income!A$3:A$502)-2),1)),0)=0,"",IFERROR(-INDEX(Expenses!D$3:D$1002,SMALL(IF((Expenses!E$3:E$1002="INR")*(Expenses!A$3:A$1002=DATE(2026,1,17)),ROW(Expenses!A$3:A$1002)-2),1)),0)+IFERROR(INDEX(Income!C$3:C$502,SMALL(IF((Income!D$3:D$502="INR")*(Income!A$3:A$502=DATE(2026,1,17)),ROW(Income!A$3:A$502)-2),1)),0))</f>
        <v/>
      </c>
      <c r="N14" s="38" t="str">
        <f aca="false">IF(IFERROR(INDEX(Expenses!B$3:B$1002,SMALL(IF((Expenses!E$3:E$1002="INR")*(Expenses!A$3:A$1002=DATE(2026,1,17)),ROW(Expenses!A$3:A$1002)-2),1)),"")&lt;&gt;"",IFERROR(INDEX(Expenses!B$3:B$1002,SMALL(IF((Expenses!E$3:E$1002="INR")*(Expenses!A$3:A$1002=DATE(2026,1,17)),ROW(Expenses!A$3:A$1002)-2),1)),""),IF(IFERROR(INDEX(Income!B$3:B$502,SMALL(IF((Income!D$3:D$502="INR")*(Income!A$3:A$502=DATE(2026,1,17)),ROW(Income!A$3:A$502)-2),1)),"")&lt;&gt;"",IFERROR(INDEX(Income!B$3:B$502,SMALL(IF((Income!D$3:D$502="INR")*(Income!A$3:A$502=DATE(2026,1,17)),ROW(Income!A$3:A$502)-2),1)),""),""))</f>
        <v/>
      </c>
      <c r="O14" s="63" t="str">
        <f aca="false">IF(IFERROR(-INDEX(Expenses!D$3:D$1002,SMALL(IF((Expenses!E$3:E$1002="INR")*(Expenses!A$3:A$1002=DATE(2026,1,18)),ROW(Expenses!A$3:A$1002)-2),1)),0)+IFERROR(INDEX(Income!C$3:C$502,SMALL(IF((Income!D$3:D$502="INR")*(Income!A$3:A$502=DATE(2026,1,18)),ROW(Income!A$3:A$502)-2),1)),0)=0,"",IFERROR(-INDEX(Expenses!D$3:D$1002,SMALL(IF((Expenses!E$3:E$1002="INR")*(Expenses!A$3:A$1002=DATE(2026,1,18)),ROW(Expenses!A$3:A$1002)-2),1)),0)+IFERROR(INDEX(Income!C$3:C$502,SMALL(IF((Income!D$3:D$502="INR")*(Income!A$3:A$502=DATE(2026,1,18)),ROW(Income!A$3:A$502)-2),1)),0))</f>
        <v/>
      </c>
      <c r="P14" s="38" t="str">
        <f aca="false">IF(IFERROR(INDEX(Expenses!B$3:B$1002,SMALL(IF((Expenses!E$3:E$1002="INR")*(Expenses!A$3:A$1002=DATE(2026,1,18)),ROW(Expenses!A$3:A$1002)-2),1)),"")&lt;&gt;"",IFERROR(INDEX(Expenses!B$3:B$1002,SMALL(IF((Expenses!E$3:E$1002="INR")*(Expenses!A$3:A$1002=DATE(2026,1,18)),ROW(Expenses!A$3:A$1002)-2),1)),""),IF(IFERROR(INDEX(Income!B$3:B$502,SMALL(IF((Income!D$3:D$502="INR")*(Income!A$3:A$502=DATE(2026,1,18)),ROW(Income!A$3:A$502)-2),1)),"")&lt;&gt;"",IFERROR(INDEX(Income!B$3:B$502,SMALL(IF((Income!D$3:D$502="INR")*(Income!A$3:A$502=DATE(2026,1,18)),ROW(Income!A$3:A$502)-2),1)),""),""))</f>
        <v/>
      </c>
      <c r="Q14" s="3" t="n">
        <v>3</v>
      </c>
      <c r="R14" s="53" t="n">
        <f aca="false">SUM(C14:C18)+SUM(E14:E18)+SUM(G14:G18)+SUM(I14:I18)+SUM(K14:K18)+SUM(M14:M18)+SUM(O14:O18)</f>
        <v>0</v>
      </c>
    </row>
    <row r="15" customFormat="false" ht="15" hidden="false" customHeight="false" outlineLevel="0" collapsed="false">
      <c r="A15" s="16"/>
      <c r="B15" s="16"/>
      <c r="C15" s="63" t="str">
        <f aca="false">IF(IFERROR(-INDEX(Expenses!D$3:D$1002,SMALL(IF((Expenses!E$3:E$1002="INR")*(Expenses!A$3:A$1002=DATE(2026,1,12)),ROW(Expenses!A$3:A$1002)-2),2)),0)+IFERROR(INDEX(Income!C$3:C$502,SMALL(IF((Income!D$3:D$502="INR")*(Income!A$3:A$502=DATE(2026,1,12)),ROW(Income!A$3:A$502)-2),2)),0)=0,"",IFERROR(-INDEX(Expenses!D$3:D$1002,SMALL(IF((Expenses!E$3:E$1002="INR")*(Expenses!A$3:A$1002=DATE(2026,1,12)),ROW(Expenses!A$3:A$1002)-2),2)),0)+IFERROR(INDEX(Income!C$3:C$502,SMALL(IF((Income!D$3:D$502="INR")*(Income!A$3:A$502=DATE(2026,1,12)),ROW(Income!A$3:A$502)-2),2)),0))</f>
        <v/>
      </c>
      <c r="D15" s="38" t="str">
        <f aca="false">IF(IFERROR(INDEX(Expenses!B$3:B$1002,SMALL(IF((Expenses!E$3:E$1002="INR")*(Expenses!A$3:A$1002=DATE(2026,1,12)),ROW(Expenses!A$3:A$1002)-2),2)),"")&lt;&gt;"",IFERROR(INDEX(Expenses!B$3:B$1002,SMALL(IF((Expenses!E$3:E$1002="INR")*(Expenses!A$3:A$1002=DATE(2026,1,12)),ROW(Expenses!A$3:A$1002)-2),2)),""),IF(IFERROR(INDEX(Income!B$3:B$502,SMALL(IF((Income!D$3:D$502="INR")*(Income!A$3:A$502=DATE(2026,1,12)),ROW(Income!A$3:A$502)-2),2)),"")&lt;&gt;"",IFERROR(INDEX(Income!B$3:B$502,SMALL(IF((Income!D$3:D$502="INR")*(Income!A$3:A$502=DATE(2026,1,12)),ROW(Income!A$3:A$502)-2),2)),""),""))</f>
        <v/>
      </c>
      <c r="E15" s="63" t="str">
        <f aca="false">IF(IFERROR(-INDEX(Expenses!D$3:D$1002,SMALL(IF((Expenses!E$3:E$1002="INR")*(Expenses!A$3:A$1002=DATE(2026,1,13)),ROW(Expenses!A$3:A$1002)-2),2)),0)+IFERROR(INDEX(Income!C$3:C$502,SMALL(IF((Income!D$3:D$502="INR")*(Income!A$3:A$502=DATE(2026,1,13)),ROW(Income!A$3:A$502)-2),2)),0)=0,"",IFERROR(-INDEX(Expenses!D$3:D$1002,SMALL(IF((Expenses!E$3:E$1002="INR")*(Expenses!A$3:A$1002=DATE(2026,1,13)),ROW(Expenses!A$3:A$1002)-2),2)),0)+IFERROR(INDEX(Income!C$3:C$502,SMALL(IF((Income!D$3:D$502="INR")*(Income!A$3:A$502=DATE(2026,1,13)),ROW(Income!A$3:A$502)-2),2)),0))</f>
        <v/>
      </c>
      <c r="F15" s="38" t="str">
        <f aca="false">IF(IFERROR(INDEX(Expenses!B$3:B$1002,SMALL(IF((Expenses!E$3:E$1002="INR")*(Expenses!A$3:A$1002=DATE(2026,1,13)),ROW(Expenses!A$3:A$1002)-2),2)),"")&lt;&gt;"",IFERROR(INDEX(Expenses!B$3:B$1002,SMALL(IF((Expenses!E$3:E$1002="INR")*(Expenses!A$3:A$1002=DATE(2026,1,13)),ROW(Expenses!A$3:A$1002)-2),2)),""),IF(IFERROR(INDEX(Income!B$3:B$502,SMALL(IF((Income!D$3:D$502="INR")*(Income!A$3:A$502=DATE(2026,1,13)),ROW(Income!A$3:A$502)-2),2)),"")&lt;&gt;"",IFERROR(INDEX(Income!B$3:B$502,SMALL(IF((Income!D$3:D$502="INR")*(Income!A$3:A$502=DATE(2026,1,13)),ROW(Income!A$3:A$502)-2),2)),""),""))</f>
        <v/>
      </c>
      <c r="G15" s="63" t="str">
        <f aca="false">IF(IFERROR(-INDEX(Expenses!D$3:D$1002,SMALL(IF((Expenses!E$3:E$1002="INR")*(Expenses!A$3:A$1002=DATE(2026,1,14)),ROW(Expenses!A$3:A$1002)-2),2)),0)+IFERROR(INDEX(Income!C$3:C$502,SMALL(IF((Income!D$3:D$502="INR")*(Income!A$3:A$502=DATE(2026,1,14)),ROW(Income!A$3:A$502)-2),2)),0)=0,"",IFERROR(-INDEX(Expenses!D$3:D$1002,SMALL(IF((Expenses!E$3:E$1002="INR")*(Expenses!A$3:A$1002=DATE(2026,1,14)),ROW(Expenses!A$3:A$1002)-2),2)),0)+IFERROR(INDEX(Income!C$3:C$502,SMALL(IF((Income!D$3:D$502="INR")*(Income!A$3:A$502=DATE(2026,1,14)),ROW(Income!A$3:A$502)-2),2)),0))</f>
        <v/>
      </c>
      <c r="H15" s="38" t="str">
        <f aca="false">IF(IFERROR(INDEX(Expenses!B$3:B$1002,SMALL(IF((Expenses!E$3:E$1002="INR")*(Expenses!A$3:A$1002=DATE(2026,1,14)),ROW(Expenses!A$3:A$1002)-2),2)),"")&lt;&gt;"",IFERROR(INDEX(Expenses!B$3:B$1002,SMALL(IF((Expenses!E$3:E$1002="INR")*(Expenses!A$3:A$1002=DATE(2026,1,14)),ROW(Expenses!A$3:A$1002)-2),2)),""),IF(IFERROR(INDEX(Income!B$3:B$502,SMALL(IF((Income!D$3:D$502="INR")*(Income!A$3:A$502=DATE(2026,1,14)),ROW(Income!A$3:A$502)-2),2)),"")&lt;&gt;"",IFERROR(INDEX(Income!B$3:B$502,SMALL(IF((Income!D$3:D$502="INR")*(Income!A$3:A$502=DATE(2026,1,14)),ROW(Income!A$3:A$502)-2),2)),""),""))</f>
        <v/>
      </c>
      <c r="I15" s="63" t="str">
        <f aca="false">IF(IFERROR(-INDEX(Expenses!D$3:D$1002,SMALL(IF((Expenses!E$3:E$1002="INR")*(Expenses!A$3:A$1002=DATE(2026,1,15)),ROW(Expenses!A$3:A$1002)-2),2)),0)+IFERROR(INDEX(Income!C$3:C$502,SMALL(IF((Income!D$3:D$502="INR")*(Income!A$3:A$502=DATE(2026,1,15)),ROW(Income!A$3:A$502)-2),2)),0)=0,"",IFERROR(-INDEX(Expenses!D$3:D$1002,SMALL(IF((Expenses!E$3:E$1002="INR")*(Expenses!A$3:A$1002=DATE(2026,1,15)),ROW(Expenses!A$3:A$1002)-2),2)),0)+IFERROR(INDEX(Income!C$3:C$502,SMALL(IF((Income!D$3:D$502="INR")*(Income!A$3:A$502=DATE(2026,1,15)),ROW(Income!A$3:A$502)-2),2)),0))</f>
        <v/>
      </c>
      <c r="J15" s="38" t="str">
        <f aca="false">IF(IFERROR(INDEX(Expenses!B$3:B$1002,SMALL(IF((Expenses!E$3:E$1002="INR")*(Expenses!A$3:A$1002=DATE(2026,1,15)),ROW(Expenses!A$3:A$1002)-2),2)),"")&lt;&gt;"",IFERROR(INDEX(Expenses!B$3:B$1002,SMALL(IF((Expenses!E$3:E$1002="INR")*(Expenses!A$3:A$1002=DATE(2026,1,15)),ROW(Expenses!A$3:A$1002)-2),2)),""),IF(IFERROR(INDEX(Income!B$3:B$502,SMALL(IF((Income!D$3:D$502="INR")*(Income!A$3:A$502=DATE(2026,1,15)),ROW(Income!A$3:A$502)-2),2)),"")&lt;&gt;"",IFERROR(INDEX(Income!B$3:B$502,SMALL(IF((Income!D$3:D$502="INR")*(Income!A$3:A$502=DATE(2026,1,15)),ROW(Income!A$3:A$502)-2),2)),""),""))</f>
        <v/>
      </c>
      <c r="K15" s="63" t="str">
        <f aca="false">IF(IFERROR(-INDEX(Expenses!D$3:D$1002,SMALL(IF((Expenses!E$3:E$1002="INR")*(Expenses!A$3:A$1002=DATE(2026,1,16)),ROW(Expenses!A$3:A$1002)-2),2)),0)+IFERROR(INDEX(Income!C$3:C$502,SMALL(IF((Income!D$3:D$502="INR")*(Income!A$3:A$502=DATE(2026,1,16)),ROW(Income!A$3:A$502)-2),2)),0)=0,"",IFERROR(-INDEX(Expenses!D$3:D$1002,SMALL(IF((Expenses!E$3:E$1002="INR")*(Expenses!A$3:A$1002=DATE(2026,1,16)),ROW(Expenses!A$3:A$1002)-2),2)),0)+IFERROR(INDEX(Income!C$3:C$502,SMALL(IF((Income!D$3:D$502="INR")*(Income!A$3:A$502=DATE(2026,1,16)),ROW(Income!A$3:A$502)-2),2)),0))</f>
        <v/>
      </c>
      <c r="L15" s="38" t="str">
        <f aca="false">IF(IFERROR(INDEX(Expenses!B$3:B$1002,SMALL(IF((Expenses!E$3:E$1002="INR")*(Expenses!A$3:A$1002=DATE(2026,1,16)),ROW(Expenses!A$3:A$1002)-2),2)),"")&lt;&gt;"",IFERROR(INDEX(Expenses!B$3:B$1002,SMALL(IF((Expenses!E$3:E$1002="INR")*(Expenses!A$3:A$1002=DATE(2026,1,16)),ROW(Expenses!A$3:A$1002)-2),2)),""),IF(IFERROR(INDEX(Income!B$3:B$502,SMALL(IF((Income!D$3:D$502="INR")*(Income!A$3:A$502=DATE(2026,1,16)),ROW(Income!A$3:A$502)-2),2)),"")&lt;&gt;"",IFERROR(INDEX(Income!B$3:B$502,SMALL(IF((Income!D$3:D$502="INR")*(Income!A$3:A$502=DATE(2026,1,16)),ROW(Income!A$3:A$502)-2),2)),""),""))</f>
        <v/>
      </c>
      <c r="M15" s="63" t="str">
        <f aca="false">IF(IFERROR(-INDEX(Expenses!D$3:D$1002,SMALL(IF((Expenses!E$3:E$1002="INR")*(Expenses!A$3:A$1002=DATE(2026,1,17)),ROW(Expenses!A$3:A$1002)-2),2)),0)+IFERROR(INDEX(Income!C$3:C$502,SMALL(IF((Income!D$3:D$502="INR")*(Income!A$3:A$502=DATE(2026,1,17)),ROW(Income!A$3:A$502)-2),2)),0)=0,"",IFERROR(-INDEX(Expenses!D$3:D$1002,SMALL(IF((Expenses!E$3:E$1002="INR")*(Expenses!A$3:A$1002=DATE(2026,1,17)),ROW(Expenses!A$3:A$1002)-2),2)),0)+IFERROR(INDEX(Income!C$3:C$502,SMALL(IF((Income!D$3:D$502="INR")*(Income!A$3:A$502=DATE(2026,1,17)),ROW(Income!A$3:A$502)-2),2)),0))</f>
        <v/>
      </c>
      <c r="N15" s="38" t="str">
        <f aca="false">IF(IFERROR(INDEX(Expenses!B$3:B$1002,SMALL(IF((Expenses!E$3:E$1002="INR")*(Expenses!A$3:A$1002=DATE(2026,1,17)),ROW(Expenses!A$3:A$1002)-2),2)),"")&lt;&gt;"",IFERROR(INDEX(Expenses!B$3:B$1002,SMALL(IF((Expenses!E$3:E$1002="INR")*(Expenses!A$3:A$1002=DATE(2026,1,17)),ROW(Expenses!A$3:A$1002)-2),2)),""),IF(IFERROR(INDEX(Income!B$3:B$502,SMALL(IF((Income!D$3:D$502="INR")*(Income!A$3:A$502=DATE(2026,1,17)),ROW(Income!A$3:A$502)-2),2)),"")&lt;&gt;"",IFERROR(INDEX(Income!B$3:B$502,SMALL(IF((Income!D$3:D$502="INR")*(Income!A$3:A$502=DATE(2026,1,17)),ROW(Income!A$3:A$502)-2),2)),""),""))</f>
        <v/>
      </c>
      <c r="O15" s="63" t="str">
        <f aca="false">IF(IFERROR(-INDEX(Expenses!D$3:D$1002,SMALL(IF((Expenses!E$3:E$1002="INR")*(Expenses!A$3:A$1002=DATE(2026,1,18)),ROW(Expenses!A$3:A$1002)-2),2)),0)+IFERROR(INDEX(Income!C$3:C$502,SMALL(IF((Income!D$3:D$502="INR")*(Income!A$3:A$502=DATE(2026,1,18)),ROW(Income!A$3:A$502)-2),2)),0)=0,"",IFERROR(-INDEX(Expenses!D$3:D$1002,SMALL(IF((Expenses!E$3:E$1002="INR")*(Expenses!A$3:A$1002=DATE(2026,1,18)),ROW(Expenses!A$3:A$1002)-2),2)),0)+IFERROR(INDEX(Income!C$3:C$502,SMALL(IF((Income!D$3:D$502="INR")*(Income!A$3:A$502=DATE(2026,1,18)),ROW(Income!A$3:A$502)-2),2)),0))</f>
        <v/>
      </c>
      <c r="P15" s="38" t="str">
        <f aca="false">IF(IFERROR(INDEX(Expenses!B$3:B$1002,SMALL(IF((Expenses!E$3:E$1002="INR")*(Expenses!A$3:A$1002=DATE(2026,1,18)),ROW(Expenses!A$3:A$1002)-2),2)),"")&lt;&gt;"",IFERROR(INDEX(Expenses!B$3:B$1002,SMALL(IF((Expenses!E$3:E$1002="INR")*(Expenses!A$3:A$1002=DATE(2026,1,18)),ROW(Expenses!A$3:A$1002)-2),2)),""),IF(IFERROR(INDEX(Income!B$3:B$502,SMALL(IF((Income!D$3:D$502="INR")*(Income!A$3:A$502=DATE(2026,1,18)),ROW(Income!A$3:A$502)-2),2)),"")&lt;&gt;"",IFERROR(INDEX(Income!B$3:B$502,SMALL(IF((Income!D$3:D$502="INR")*(Income!A$3:A$502=DATE(2026,1,18)),ROW(Income!A$3:A$502)-2),2)),""),""))</f>
        <v/>
      </c>
      <c r="Q15" s="16"/>
      <c r="R15" s="16"/>
    </row>
    <row r="16" customFormat="false" ht="15" hidden="false" customHeight="false" outlineLevel="0" collapsed="false">
      <c r="A16" s="16"/>
      <c r="B16" s="16"/>
      <c r="C16" s="63" t="str">
        <f aca="false">IF(IFERROR(-INDEX(Expenses!D$3:D$1002,SMALL(IF((Expenses!E$3:E$1002="INR")*(Expenses!A$3:A$1002=DATE(2026,1,12)),ROW(Expenses!A$3:A$1002)-2),3)),0)+IFERROR(INDEX(Income!C$3:C$502,SMALL(IF((Income!D$3:D$502="INR")*(Income!A$3:A$502=DATE(2026,1,12)),ROW(Income!A$3:A$502)-2),3)),0)=0,"",IFERROR(-INDEX(Expenses!D$3:D$1002,SMALL(IF((Expenses!E$3:E$1002="INR")*(Expenses!A$3:A$1002=DATE(2026,1,12)),ROW(Expenses!A$3:A$1002)-2),3)),0)+IFERROR(INDEX(Income!C$3:C$502,SMALL(IF((Income!D$3:D$502="INR")*(Income!A$3:A$502=DATE(2026,1,12)),ROW(Income!A$3:A$502)-2),3)),0))</f>
        <v/>
      </c>
      <c r="D16" s="38" t="str">
        <f aca="false">IF(IFERROR(INDEX(Expenses!B$3:B$1002,SMALL(IF((Expenses!E$3:E$1002="INR")*(Expenses!A$3:A$1002=DATE(2026,1,12)),ROW(Expenses!A$3:A$1002)-2),3)),"")&lt;&gt;"",IFERROR(INDEX(Expenses!B$3:B$1002,SMALL(IF((Expenses!E$3:E$1002="INR")*(Expenses!A$3:A$1002=DATE(2026,1,12)),ROW(Expenses!A$3:A$1002)-2),3)),""),IF(IFERROR(INDEX(Income!B$3:B$502,SMALL(IF((Income!D$3:D$502="INR")*(Income!A$3:A$502=DATE(2026,1,12)),ROW(Income!A$3:A$502)-2),3)),"")&lt;&gt;"",IFERROR(INDEX(Income!B$3:B$502,SMALL(IF((Income!D$3:D$502="INR")*(Income!A$3:A$502=DATE(2026,1,12)),ROW(Income!A$3:A$502)-2),3)),""),""))</f>
        <v/>
      </c>
      <c r="E16" s="63" t="str">
        <f aca="false">IF(IFERROR(-INDEX(Expenses!D$3:D$1002,SMALL(IF((Expenses!E$3:E$1002="INR")*(Expenses!A$3:A$1002=DATE(2026,1,13)),ROW(Expenses!A$3:A$1002)-2),3)),0)+IFERROR(INDEX(Income!C$3:C$502,SMALL(IF((Income!D$3:D$502="INR")*(Income!A$3:A$502=DATE(2026,1,13)),ROW(Income!A$3:A$502)-2),3)),0)=0,"",IFERROR(-INDEX(Expenses!D$3:D$1002,SMALL(IF((Expenses!E$3:E$1002="INR")*(Expenses!A$3:A$1002=DATE(2026,1,13)),ROW(Expenses!A$3:A$1002)-2),3)),0)+IFERROR(INDEX(Income!C$3:C$502,SMALL(IF((Income!D$3:D$502="INR")*(Income!A$3:A$502=DATE(2026,1,13)),ROW(Income!A$3:A$502)-2),3)),0))</f>
        <v/>
      </c>
      <c r="F16" s="38" t="str">
        <f aca="false">IF(IFERROR(INDEX(Expenses!B$3:B$1002,SMALL(IF((Expenses!E$3:E$1002="INR")*(Expenses!A$3:A$1002=DATE(2026,1,13)),ROW(Expenses!A$3:A$1002)-2),3)),"")&lt;&gt;"",IFERROR(INDEX(Expenses!B$3:B$1002,SMALL(IF((Expenses!E$3:E$1002="INR")*(Expenses!A$3:A$1002=DATE(2026,1,13)),ROW(Expenses!A$3:A$1002)-2),3)),""),IF(IFERROR(INDEX(Income!B$3:B$502,SMALL(IF((Income!D$3:D$502="INR")*(Income!A$3:A$502=DATE(2026,1,13)),ROW(Income!A$3:A$502)-2),3)),"")&lt;&gt;"",IFERROR(INDEX(Income!B$3:B$502,SMALL(IF((Income!D$3:D$502="INR")*(Income!A$3:A$502=DATE(2026,1,13)),ROW(Income!A$3:A$502)-2),3)),""),""))</f>
        <v/>
      </c>
      <c r="G16" s="63" t="str">
        <f aca="false">IF(IFERROR(-INDEX(Expenses!D$3:D$1002,SMALL(IF((Expenses!E$3:E$1002="INR")*(Expenses!A$3:A$1002=DATE(2026,1,14)),ROW(Expenses!A$3:A$1002)-2),3)),0)+IFERROR(INDEX(Income!C$3:C$502,SMALL(IF((Income!D$3:D$502="INR")*(Income!A$3:A$502=DATE(2026,1,14)),ROW(Income!A$3:A$502)-2),3)),0)=0,"",IFERROR(-INDEX(Expenses!D$3:D$1002,SMALL(IF((Expenses!E$3:E$1002="INR")*(Expenses!A$3:A$1002=DATE(2026,1,14)),ROW(Expenses!A$3:A$1002)-2),3)),0)+IFERROR(INDEX(Income!C$3:C$502,SMALL(IF((Income!D$3:D$502="INR")*(Income!A$3:A$502=DATE(2026,1,14)),ROW(Income!A$3:A$502)-2),3)),0))</f>
        <v/>
      </c>
      <c r="H16" s="38" t="str">
        <f aca="false">IF(IFERROR(INDEX(Expenses!B$3:B$1002,SMALL(IF((Expenses!E$3:E$1002="INR")*(Expenses!A$3:A$1002=DATE(2026,1,14)),ROW(Expenses!A$3:A$1002)-2),3)),"")&lt;&gt;"",IFERROR(INDEX(Expenses!B$3:B$1002,SMALL(IF((Expenses!E$3:E$1002="INR")*(Expenses!A$3:A$1002=DATE(2026,1,14)),ROW(Expenses!A$3:A$1002)-2),3)),""),IF(IFERROR(INDEX(Income!B$3:B$502,SMALL(IF((Income!D$3:D$502="INR")*(Income!A$3:A$502=DATE(2026,1,14)),ROW(Income!A$3:A$502)-2),3)),"")&lt;&gt;"",IFERROR(INDEX(Income!B$3:B$502,SMALL(IF((Income!D$3:D$502="INR")*(Income!A$3:A$502=DATE(2026,1,14)),ROW(Income!A$3:A$502)-2),3)),""),""))</f>
        <v/>
      </c>
      <c r="I16" s="63" t="str">
        <f aca="false">IF(IFERROR(-INDEX(Expenses!D$3:D$1002,SMALL(IF((Expenses!E$3:E$1002="INR")*(Expenses!A$3:A$1002=DATE(2026,1,15)),ROW(Expenses!A$3:A$1002)-2),3)),0)+IFERROR(INDEX(Income!C$3:C$502,SMALL(IF((Income!D$3:D$502="INR")*(Income!A$3:A$502=DATE(2026,1,15)),ROW(Income!A$3:A$502)-2),3)),0)=0,"",IFERROR(-INDEX(Expenses!D$3:D$1002,SMALL(IF((Expenses!E$3:E$1002="INR")*(Expenses!A$3:A$1002=DATE(2026,1,15)),ROW(Expenses!A$3:A$1002)-2),3)),0)+IFERROR(INDEX(Income!C$3:C$502,SMALL(IF((Income!D$3:D$502="INR")*(Income!A$3:A$502=DATE(2026,1,15)),ROW(Income!A$3:A$502)-2),3)),0))</f>
        <v/>
      </c>
      <c r="J16" s="38" t="str">
        <f aca="false">IF(IFERROR(INDEX(Expenses!B$3:B$1002,SMALL(IF((Expenses!E$3:E$1002="INR")*(Expenses!A$3:A$1002=DATE(2026,1,15)),ROW(Expenses!A$3:A$1002)-2),3)),"")&lt;&gt;"",IFERROR(INDEX(Expenses!B$3:B$1002,SMALL(IF((Expenses!E$3:E$1002="INR")*(Expenses!A$3:A$1002=DATE(2026,1,15)),ROW(Expenses!A$3:A$1002)-2),3)),""),IF(IFERROR(INDEX(Income!B$3:B$502,SMALL(IF((Income!D$3:D$502="INR")*(Income!A$3:A$502=DATE(2026,1,15)),ROW(Income!A$3:A$502)-2),3)),"")&lt;&gt;"",IFERROR(INDEX(Income!B$3:B$502,SMALL(IF((Income!D$3:D$502="INR")*(Income!A$3:A$502=DATE(2026,1,15)),ROW(Income!A$3:A$502)-2),3)),""),""))</f>
        <v/>
      </c>
      <c r="K16" s="63" t="str">
        <f aca="false">IF(IFERROR(-INDEX(Expenses!D$3:D$1002,SMALL(IF((Expenses!E$3:E$1002="INR")*(Expenses!A$3:A$1002=DATE(2026,1,16)),ROW(Expenses!A$3:A$1002)-2),3)),0)+IFERROR(INDEX(Income!C$3:C$502,SMALL(IF((Income!D$3:D$502="INR")*(Income!A$3:A$502=DATE(2026,1,16)),ROW(Income!A$3:A$502)-2),3)),0)=0,"",IFERROR(-INDEX(Expenses!D$3:D$1002,SMALL(IF((Expenses!E$3:E$1002="INR")*(Expenses!A$3:A$1002=DATE(2026,1,16)),ROW(Expenses!A$3:A$1002)-2),3)),0)+IFERROR(INDEX(Income!C$3:C$502,SMALL(IF((Income!D$3:D$502="INR")*(Income!A$3:A$502=DATE(2026,1,16)),ROW(Income!A$3:A$502)-2),3)),0))</f>
        <v/>
      </c>
      <c r="L16" s="38" t="str">
        <f aca="false">IF(IFERROR(INDEX(Expenses!B$3:B$1002,SMALL(IF((Expenses!E$3:E$1002="INR")*(Expenses!A$3:A$1002=DATE(2026,1,16)),ROW(Expenses!A$3:A$1002)-2),3)),"")&lt;&gt;"",IFERROR(INDEX(Expenses!B$3:B$1002,SMALL(IF((Expenses!E$3:E$1002="INR")*(Expenses!A$3:A$1002=DATE(2026,1,16)),ROW(Expenses!A$3:A$1002)-2),3)),""),IF(IFERROR(INDEX(Income!B$3:B$502,SMALL(IF((Income!D$3:D$502="INR")*(Income!A$3:A$502=DATE(2026,1,16)),ROW(Income!A$3:A$502)-2),3)),"")&lt;&gt;"",IFERROR(INDEX(Income!B$3:B$502,SMALL(IF((Income!D$3:D$502="INR")*(Income!A$3:A$502=DATE(2026,1,16)),ROW(Income!A$3:A$502)-2),3)),""),""))</f>
        <v/>
      </c>
      <c r="M16" s="63" t="str">
        <f aca="false">IF(IFERROR(-INDEX(Expenses!D$3:D$1002,SMALL(IF((Expenses!E$3:E$1002="INR")*(Expenses!A$3:A$1002=DATE(2026,1,17)),ROW(Expenses!A$3:A$1002)-2),3)),0)+IFERROR(INDEX(Income!C$3:C$502,SMALL(IF((Income!D$3:D$502="INR")*(Income!A$3:A$502=DATE(2026,1,17)),ROW(Income!A$3:A$502)-2),3)),0)=0,"",IFERROR(-INDEX(Expenses!D$3:D$1002,SMALL(IF((Expenses!E$3:E$1002="INR")*(Expenses!A$3:A$1002=DATE(2026,1,17)),ROW(Expenses!A$3:A$1002)-2),3)),0)+IFERROR(INDEX(Income!C$3:C$502,SMALL(IF((Income!D$3:D$502="INR")*(Income!A$3:A$502=DATE(2026,1,17)),ROW(Income!A$3:A$502)-2),3)),0))</f>
        <v/>
      </c>
      <c r="N16" s="38" t="str">
        <f aca="false">IF(IFERROR(INDEX(Expenses!B$3:B$1002,SMALL(IF((Expenses!E$3:E$1002="INR")*(Expenses!A$3:A$1002=DATE(2026,1,17)),ROW(Expenses!A$3:A$1002)-2),3)),"")&lt;&gt;"",IFERROR(INDEX(Expenses!B$3:B$1002,SMALL(IF((Expenses!E$3:E$1002="INR")*(Expenses!A$3:A$1002=DATE(2026,1,17)),ROW(Expenses!A$3:A$1002)-2),3)),""),IF(IFERROR(INDEX(Income!B$3:B$502,SMALL(IF((Income!D$3:D$502="INR")*(Income!A$3:A$502=DATE(2026,1,17)),ROW(Income!A$3:A$502)-2),3)),"")&lt;&gt;"",IFERROR(INDEX(Income!B$3:B$502,SMALL(IF((Income!D$3:D$502="INR")*(Income!A$3:A$502=DATE(2026,1,17)),ROW(Income!A$3:A$502)-2),3)),""),""))</f>
        <v/>
      </c>
      <c r="O16" s="63" t="str">
        <f aca="false">IF(IFERROR(-INDEX(Expenses!D$3:D$1002,SMALL(IF((Expenses!E$3:E$1002="INR")*(Expenses!A$3:A$1002=DATE(2026,1,18)),ROW(Expenses!A$3:A$1002)-2),3)),0)+IFERROR(INDEX(Income!C$3:C$502,SMALL(IF((Income!D$3:D$502="INR")*(Income!A$3:A$502=DATE(2026,1,18)),ROW(Income!A$3:A$502)-2),3)),0)=0,"",IFERROR(-INDEX(Expenses!D$3:D$1002,SMALL(IF((Expenses!E$3:E$1002="INR")*(Expenses!A$3:A$1002=DATE(2026,1,18)),ROW(Expenses!A$3:A$1002)-2),3)),0)+IFERROR(INDEX(Income!C$3:C$502,SMALL(IF((Income!D$3:D$502="INR")*(Income!A$3:A$502=DATE(2026,1,18)),ROW(Income!A$3:A$502)-2),3)),0))</f>
        <v/>
      </c>
      <c r="P16" s="38" t="str">
        <f aca="false">IF(IFERROR(INDEX(Expenses!B$3:B$1002,SMALL(IF((Expenses!E$3:E$1002="INR")*(Expenses!A$3:A$1002=DATE(2026,1,18)),ROW(Expenses!A$3:A$1002)-2),3)),"")&lt;&gt;"",IFERROR(INDEX(Expenses!B$3:B$1002,SMALL(IF((Expenses!E$3:E$1002="INR")*(Expenses!A$3:A$1002=DATE(2026,1,18)),ROW(Expenses!A$3:A$1002)-2),3)),""),IF(IFERROR(INDEX(Income!B$3:B$502,SMALL(IF((Income!D$3:D$502="INR")*(Income!A$3:A$502=DATE(2026,1,18)),ROW(Income!A$3:A$502)-2),3)),"")&lt;&gt;"",IFERROR(INDEX(Income!B$3:B$502,SMALL(IF((Income!D$3:D$502="INR")*(Income!A$3:A$502=DATE(2026,1,18)),ROW(Income!A$3:A$502)-2),3)),""),""))</f>
        <v/>
      </c>
      <c r="Q16" s="16"/>
      <c r="R16" s="16"/>
    </row>
    <row r="17" customFormat="false" ht="15" hidden="false" customHeight="false" outlineLevel="0" collapsed="false">
      <c r="A17" s="16"/>
      <c r="B17" s="16"/>
      <c r="C17" s="63" t="str">
        <f aca="false">IF(IFERROR(-INDEX(Expenses!D$3:D$1002,SMALL(IF((Expenses!E$3:E$1002="INR")*(Expenses!A$3:A$1002=DATE(2026,1,12)),ROW(Expenses!A$3:A$1002)-2),4)),0)+IFERROR(INDEX(Income!C$3:C$502,SMALL(IF((Income!D$3:D$502="INR")*(Income!A$3:A$502=DATE(2026,1,12)),ROW(Income!A$3:A$502)-2),4)),0)=0,"",IFERROR(-INDEX(Expenses!D$3:D$1002,SMALL(IF((Expenses!E$3:E$1002="INR")*(Expenses!A$3:A$1002=DATE(2026,1,12)),ROW(Expenses!A$3:A$1002)-2),4)),0)+IFERROR(INDEX(Income!C$3:C$502,SMALL(IF((Income!D$3:D$502="INR")*(Income!A$3:A$502=DATE(2026,1,12)),ROW(Income!A$3:A$502)-2),4)),0))</f>
        <v/>
      </c>
      <c r="D17" s="38" t="str">
        <f aca="false">IF(IFERROR(INDEX(Expenses!B$3:B$1002,SMALL(IF((Expenses!E$3:E$1002="INR")*(Expenses!A$3:A$1002=DATE(2026,1,12)),ROW(Expenses!A$3:A$1002)-2),4)),"")&lt;&gt;"",IFERROR(INDEX(Expenses!B$3:B$1002,SMALL(IF((Expenses!E$3:E$1002="INR")*(Expenses!A$3:A$1002=DATE(2026,1,12)),ROW(Expenses!A$3:A$1002)-2),4)),""),IF(IFERROR(INDEX(Income!B$3:B$502,SMALL(IF((Income!D$3:D$502="INR")*(Income!A$3:A$502=DATE(2026,1,12)),ROW(Income!A$3:A$502)-2),4)),"")&lt;&gt;"",IFERROR(INDEX(Income!B$3:B$502,SMALL(IF((Income!D$3:D$502="INR")*(Income!A$3:A$502=DATE(2026,1,12)),ROW(Income!A$3:A$502)-2),4)),""),""))</f>
        <v/>
      </c>
      <c r="E17" s="63" t="str">
        <f aca="false">IF(IFERROR(-INDEX(Expenses!D$3:D$1002,SMALL(IF((Expenses!E$3:E$1002="INR")*(Expenses!A$3:A$1002=DATE(2026,1,13)),ROW(Expenses!A$3:A$1002)-2),4)),0)+IFERROR(INDEX(Income!C$3:C$502,SMALL(IF((Income!D$3:D$502="INR")*(Income!A$3:A$502=DATE(2026,1,13)),ROW(Income!A$3:A$502)-2),4)),0)=0,"",IFERROR(-INDEX(Expenses!D$3:D$1002,SMALL(IF((Expenses!E$3:E$1002="INR")*(Expenses!A$3:A$1002=DATE(2026,1,13)),ROW(Expenses!A$3:A$1002)-2),4)),0)+IFERROR(INDEX(Income!C$3:C$502,SMALL(IF((Income!D$3:D$502="INR")*(Income!A$3:A$502=DATE(2026,1,13)),ROW(Income!A$3:A$502)-2),4)),0))</f>
        <v/>
      </c>
      <c r="F17" s="38" t="str">
        <f aca="false">IF(IFERROR(INDEX(Expenses!B$3:B$1002,SMALL(IF((Expenses!E$3:E$1002="INR")*(Expenses!A$3:A$1002=DATE(2026,1,13)),ROW(Expenses!A$3:A$1002)-2),4)),"")&lt;&gt;"",IFERROR(INDEX(Expenses!B$3:B$1002,SMALL(IF((Expenses!E$3:E$1002="INR")*(Expenses!A$3:A$1002=DATE(2026,1,13)),ROW(Expenses!A$3:A$1002)-2),4)),""),IF(IFERROR(INDEX(Income!B$3:B$502,SMALL(IF((Income!D$3:D$502="INR")*(Income!A$3:A$502=DATE(2026,1,13)),ROW(Income!A$3:A$502)-2),4)),"")&lt;&gt;"",IFERROR(INDEX(Income!B$3:B$502,SMALL(IF((Income!D$3:D$502="INR")*(Income!A$3:A$502=DATE(2026,1,13)),ROW(Income!A$3:A$502)-2),4)),""),""))</f>
        <v/>
      </c>
      <c r="G17" s="63" t="str">
        <f aca="false">IF(IFERROR(-INDEX(Expenses!D$3:D$1002,SMALL(IF((Expenses!E$3:E$1002="INR")*(Expenses!A$3:A$1002=DATE(2026,1,14)),ROW(Expenses!A$3:A$1002)-2),4)),0)+IFERROR(INDEX(Income!C$3:C$502,SMALL(IF((Income!D$3:D$502="INR")*(Income!A$3:A$502=DATE(2026,1,14)),ROW(Income!A$3:A$502)-2),4)),0)=0,"",IFERROR(-INDEX(Expenses!D$3:D$1002,SMALL(IF((Expenses!E$3:E$1002="INR")*(Expenses!A$3:A$1002=DATE(2026,1,14)),ROW(Expenses!A$3:A$1002)-2),4)),0)+IFERROR(INDEX(Income!C$3:C$502,SMALL(IF((Income!D$3:D$502="INR")*(Income!A$3:A$502=DATE(2026,1,14)),ROW(Income!A$3:A$502)-2),4)),0))</f>
        <v/>
      </c>
      <c r="H17" s="38" t="str">
        <f aca="false">IF(IFERROR(INDEX(Expenses!B$3:B$1002,SMALL(IF((Expenses!E$3:E$1002="INR")*(Expenses!A$3:A$1002=DATE(2026,1,14)),ROW(Expenses!A$3:A$1002)-2),4)),"")&lt;&gt;"",IFERROR(INDEX(Expenses!B$3:B$1002,SMALL(IF((Expenses!E$3:E$1002="INR")*(Expenses!A$3:A$1002=DATE(2026,1,14)),ROW(Expenses!A$3:A$1002)-2),4)),""),IF(IFERROR(INDEX(Income!B$3:B$502,SMALL(IF((Income!D$3:D$502="INR")*(Income!A$3:A$502=DATE(2026,1,14)),ROW(Income!A$3:A$502)-2),4)),"")&lt;&gt;"",IFERROR(INDEX(Income!B$3:B$502,SMALL(IF((Income!D$3:D$502="INR")*(Income!A$3:A$502=DATE(2026,1,14)),ROW(Income!A$3:A$502)-2),4)),""),""))</f>
        <v/>
      </c>
      <c r="I17" s="63" t="str">
        <f aca="false">IF(IFERROR(-INDEX(Expenses!D$3:D$1002,SMALL(IF((Expenses!E$3:E$1002="INR")*(Expenses!A$3:A$1002=DATE(2026,1,15)),ROW(Expenses!A$3:A$1002)-2),4)),0)+IFERROR(INDEX(Income!C$3:C$502,SMALL(IF((Income!D$3:D$502="INR")*(Income!A$3:A$502=DATE(2026,1,15)),ROW(Income!A$3:A$502)-2),4)),0)=0,"",IFERROR(-INDEX(Expenses!D$3:D$1002,SMALL(IF((Expenses!E$3:E$1002="INR")*(Expenses!A$3:A$1002=DATE(2026,1,15)),ROW(Expenses!A$3:A$1002)-2),4)),0)+IFERROR(INDEX(Income!C$3:C$502,SMALL(IF((Income!D$3:D$502="INR")*(Income!A$3:A$502=DATE(2026,1,15)),ROW(Income!A$3:A$502)-2),4)),0))</f>
        <v/>
      </c>
      <c r="J17" s="38" t="str">
        <f aca="false">IF(IFERROR(INDEX(Expenses!B$3:B$1002,SMALL(IF((Expenses!E$3:E$1002="INR")*(Expenses!A$3:A$1002=DATE(2026,1,15)),ROW(Expenses!A$3:A$1002)-2),4)),"")&lt;&gt;"",IFERROR(INDEX(Expenses!B$3:B$1002,SMALL(IF((Expenses!E$3:E$1002="INR")*(Expenses!A$3:A$1002=DATE(2026,1,15)),ROW(Expenses!A$3:A$1002)-2),4)),""),IF(IFERROR(INDEX(Income!B$3:B$502,SMALL(IF((Income!D$3:D$502="INR")*(Income!A$3:A$502=DATE(2026,1,15)),ROW(Income!A$3:A$502)-2),4)),"")&lt;&gt;"",IFERROR(INDEX(Income!B$3:B$502,SMALL(IF((Income!D$3:D$502="INR")*(Income!A$3:A$502=DATE(2026,1,15)),ROW(Income!A$3:A$502)-2),4)),""),""))</f>
        <v/>
      </c>
      <c r="K17" s="63" t="str">
        <f aca="false">IF(IFERROR(-INDEX(Expenses!D$3:D$1002,SMALL(IF((Expenses!E$3:E$1002="INR")*(Expenses!A$3:A$1002=DATE(2026,1,16)),ROW(Expenses!A$3:A$1002)-2),4)),0)+IFERROR(INDEX(Income!C$3:C$502,SMALL(IF((Income!D$3:D$502="INR")*(Income!A$3:A$502=DATE(2026,1,16)),ROW(Income!A$3:A$502)-2),4)),0)=0,"",IFERROR(-INDEX(Expenses!D$3:D$1002,SMALL(IF((Expenses!E$3:E$1002="INR")*(Expenses!A$3:A$1002=DATE(2026,1,16)),ROW(Expenses!A$3:A$1002)-2),4)),0)+IFERROR(INDEX(Income!C$3:C$502,SMALL(IF((Income!D$3:D$502="INR")*(Income!A$3:A$502=DATE(2026,1,16)),ROW(Income!A$3:A$502)-2),4)),0))</f>
        <v/>
      </c>
      <c r="L17" s="38" t="str">
        <f aca="false">IF(IFERROR(INDEX(Expenses!B$3:B$1002,SMALL(IF((Expenses!E$3:E$1002="INR")*(Expenses!A$3:A$1002=DATE(2026,1,16)),ROW(Expenses!A$3:A$1002)-2),4)),"")&lt;&gt;"",IFERROR(INDEX(Expenses!B$3:B$1002,SMALL(IF((Expenses!E$3:E$1002="INR")*(Expenses!A$3:A$1002=DATE(2026,1,16)),ROW(Expenses!A$3:A$1002)-2),4)),""),IF(IFERROR(INDEX(Income!B$3:B$502,SMALL(IF((Income!D$3:D$502="INR")*(Income!A$3:A$502=DATE(2026,1,16)),ROW(Income!A$3:A$502)-2),4)),"")&lt;&gt;"",IFERROR(INDEX(Income!B$3:B$502,SMALL(IF((Income!D$3:D$502="INR")*(Income!A$3:A$502=DATE(2026,1,16)),ROW(Income!A$3:A$502)-2),4)),""),""))</f>
        <v/>
      </c>
      <c r="M17" s="63" t="str">
        <f aca="false">IF(IFERROR(-INDEX(Expenses!D$3:D$1002,SMALL(IF((Expenses!E$3:E$1002="INR")*(Expenses!A$3:A$1002=DATE(2026,1,17)),ROW(Expenses!A$3:A$1002)-2),4)),0)+IFERROR(INDEX(Income!C$3:C$502,SMALL(IF((Income!D$3:D$502="INR")*(Income!A$3:A$502=DATE(2026,1,17)),ROW(Income!A$3:A$502)-2),4)),0)=0,"",IFERROR(-INDEX(Expenses!D$3:D$1002,SMALL(IF((Expenses!E$3:E$1002="INR")*(Expenses!A$3:A$1002=DATE(2026,1,17)),ROW(Expenses!A$3:A$1002)-2),4)),0)+IFERROR(INDEX(Income!C$3:C$502,SMALL(IF((Income!D$3:D$502="INR")*(Income!A$3:A$502=DATE(2026,1,17)),ROW(Income!A$3:A$502)-2),4)),0))</f>
        <v/>
      </c>
      <c r="N17" s="38" t="str">
        <f aca="false">IF(IFERROR(INDEX(Expenses!B$3:B$1002,SMALL(IF((Expenses!E$3:E$1002="INR")*(Expenses!A$3:A$1002=DATE(2026,1,17)),ROW(Expenses!A$3:A$1002)-2),4)),"")&lt;&gt;"",IFERROR(INDEX(Expenses!B$3:B$1002,SMALL(IF((Expenses!E$3:E$1002="INR")*(Expenses!A$3:A$1002=DATE(2026,1,17)),ROW(Expenses!A$3:A$1002)-2),4)),""),IF(IFERROR(INDEX(Income!B$3:B$502,SMALL(IF((Income!D$3:D$502="INR")*(Income!A$3:A$502=DATE(2026,1,17)),ROW(Income!A$3:A$502)-2),4)),"")&lt;&gt;"",IFERROR(INDEX(Income!B$3:B$502,SMALL(IF((Income!D$3:D$502="INR")*(Income!A$3:A$502=DATE(2026,1,17)),ROW(Income!A$3:A$502)-2),4)),""),""))</f>
        <v/>
      </c>
      <c r="O17" s="63" t="str">
        <f aca="false">IF(IFERROR(-INDEX(Expenses!D$3:D$1002,SMALL(IF((Expenses!E$3:E$1002="INR")*(Expenses!A$3:A$1002=DATE(2026,1,18)),ROW(Expenses!A$3:A$1002)-2),4)),0)+IFERROR(INDEX(Income!C$3:C$502,SMALL(IF((Income!D$3:D$502="INR")*(Income!A$3:A$502=DATE(2026,1,18)),ROW(Income!A$3:A$502)-2),4)),0)=0,"",IFERROR(-INDEX(Expenses!D$3:D$1002,SMALL(IF((Expenses!E$3:E$1002="INR")*(Expenses!A$3:A$1002=DATE(2026,1,18)),ROW(Expenses!A$3:A$1002)-2),4)),0)+IFERROR(INDEX(Income!C$3:C$502,SMALL(IF((Income!D$3:D$502="INR")*(Income!A$3:A$502=DATE(2026,1,18)),ROW(Income!A$3:A$502)-2),4)),0))</f>
        <v/>
      </c>
      <c r="P17" s="38" t="str">
        <f aca="false">IF(IFERROR(INDEX(Expenses!B$3:B$1002,SMALL(IF((Expenses!E$3:E$1002="INR")*(Expenses!A$3:A$1002=DATE(2026,1,18)),ROW(Expenses!A$3:A$1002)-2),4)),"")&lt;&gt;"",IFERROR(INDEX(Expenses!B$3:B$1002,SMALL(IF((Expenses!E$3:E$1002="INR")*(Expenses!A$3:A$1002=DATE(2026,1,18)),ROW(Expenses!A$3:A$1002)-2),4)),""),IF(IFERROR(INDEX(Income!B$3:B$502,SMALL(IF((Income!D$3:D$502="INR")*(Income!A$3:A$502=DATE(2026,1,18)),ROW(Income!A$3:A$502)-2),4)),"")&lt;&gt;"",IFERROR(INDEX(Income!B$3:B$502,SMALL(IF((Income!D$3:D$502="INR")*(Income!A$3:A$502=DATE(2026,1,18)),ROW(Income!A$3:A$502)-2),4)),""),""))</f>
        <v/>
      </c>
      <c r="Q17" s="16"/>
      <c r="R17" s="16"/>
    </row>
    <row r="18" customFormat="false" ht="15" hidden="false" customHeight="false" outlineLevel="0" collapsed="false">
      <c r="A18" s="16"/>
      <c r="B18" s="16"/>
      <c r="C18" s="63" t="str">
        <f aca="false">IF(IFERROR(-INDEX(Expenses!D$3:D$1002,SMALL(IF((Expenses!E$3:E$1002="INR")*(Expenses!A$3:A$1002=DATE(2026,1,12)),ROW(Expenses!A$3:A$1002)-2),5)),0)+IFERROR(INDEX(Income!C$3:C$502,SMALL(IF((Income!D$3:D$502="INR")*(Income!A$3:A$502=DATE(2026,1,12)),ROW(Income!A$3:A$502)-2),5)),0)=0,"",IFERROR(-INDEX(Expenses!D$3:D$1002,SMALL(IF((Expenses!E$3:E$1002="INR")*(Expenses!A$3:A$1002=DATE(2026,1,12)),ROW(Expenses!A$3:A$1002)-2),5)),0)+IFERROR(INDEX(Income!C$3:C$502,SMALL(IF((Income!D$3:D$502="INR")*(Income!A$3:A$502=DATE(2026,1,12)),ROW(Income!A$3:A$502)-2),5)),0))</f>
        <v/>
      </c>
      <c r="D18" s="38" t="str">
        <f aca="false">IF(IFERROR(INDEX(Expenses!B$3:B$1002,SMALL(IF((Expenses!E$3:E$1002="INR")*(Expenses!A$3:A$1002=DATE(2026,1,12)),ROW(Expenses!A$3:A$1002)-2),5)),"")&lt;&gt;"",IFERROR(INDEX(Expenses!B$3:B$1002,SMALL(IF((Expenses!E$3:E$1002="INR")*(Expenses!A$3:A$1002=DATE(2026,1,12)),ROW(Expenses!A$3:A$1002)-2),5)),""),IF(IFERROR(INDEX(Income!B$3:B$502,SMALL(IF((Income!D$3:D$502="INR")*(Income!A$3:A$502=DATE(2026,1,12)),ROW(Income!A$3:A$502)-2),5)),"")&lt;&gt;"",IFERROR(INDEX(Income!B$3:B$502,SMALL(IF((Income!D$3:D$502="INR")*(Income!A$3:A$502=DATE(2026,1,12)),ROW(Income!A$3:A$502)-2),5)),""),""))</f>
        <v/>
      </c>
      <c r="E18" s="63" t="str">
        <f aca="false">IF(IFERROR(-INDEX(Expenses!D$3:D$1002,SMALL(IF((Expenses!E$3:E$1002="INR")*(Expenses!A$3:A$1002=DATE(2026,1,13)),ROW(Expenses!A$3:A$1002)-2),5)),0)+IFERROR(INDEX(Income!C$3:C$502,SMALL(IF((Income!D$3:D$502="INR")*(Income!A$3:A$502=DATE(2026,1,13)),ROW(Income!A$3:A$502)-2),5)),0)=0,"",IFERROR(-INDEX(Expenses!D$3:D$1002,SMALL(IF((Expenses!E$3:E$1002="INR")*(Expenses!A$3:A$1002=DATE(2026,1,13)),ROW(Expenses!A$3:A$1002)-2),5)),0)+IFERROR(INDEX(Income!C$3:C$502,SMALL(IF((Income!D$3:D$502="INR")*(Income!A$3:A$502=DATE(2026,1,13)),ROW(Income!A$3:A$502)-2),5)),0))</f>
        <v/>
      </c>
      <c r="F18" s="38" t="str">
        <f aca="false">IF(IFERROR(INDEX(Expenses!B$3:B$1002,SMALL(IF((Expenses!E$3:E$1002="INR")*(Expenses!A$3:A$1002=DATE(2026,1,13)),ROW(Expenses!A$3:A$1002)-2),5)),"")&lt;&gt;"",IFERROR(INDEX(Expenses!B$3:B$1002,SMALL(IF((Expenses!E$3:E$1002="INR")*(Expenses!A$3:A$1002=DATE(2026,1,13)),ROW(Expenses!A$3:A$1002)-2),5)),""),IF(IFERROR(INDEX(Income!B$3:B$502,SMALL(IF((Income!D$3:D$502="INR")*(Income!A$3:A$502=DATE(2026,1,13)),ROW(Income!A$3:A$502)-2),5)),"")&lt;&gt;"",IFERROR(INDEX(Income!B$3:B$502,SMALL(IF((Income!D$3:D$502="INR")*(Income!A$3:A$502=DATE(2026,1,13)),ROW(Income!A$3:A$502)-2),5)),""),""))</f>
        <v/>
      </c>
      <c r="G18" s="63" t="str">
        <f aca="false">IF(IFERROR(-INDEX(Expenses!D$3:D$1002,SMALL(IF((Expenses!E$3:E$1002="INR")*(Expenses!A$3:A$1002=DATE(2026,1,14)),ROW(Expenses!A$3:A$1002)-2),5)),0)+IFERROR(INDEX(Income!C$3:C$502,SMALL(IF((Income!D$3:D$502="INR")*(Income!A$3:A$502=DATE(2026,1,14)),ROW(Income!A$3:A$502)-2),5)),0)=0,"",IFERROR(-INDEX(Expenses!D$3:D$1002,SMALL(IF((Expenses!E$3:E$1002="INR")*(Expenses!A$3:A$1002=DATE(2026,1,14)),ROW(Expenses!A$3:A$1002)-2),5)),0)+IFERROR(INDEX(Income!C$3:C$502,SMALL(IF((Income!D$3:D$502="INR")*(Income!A$3:A$502=DATE(2026,1,14)),ROW(Income!A$3:A$502)-2),5)),0))</f>
        <v/>
      </c>
      <c r="H18" s="38" t="str">
        <f aca="false">IF(IFERROR(INDEX(Expenses!B$3:B$1002,SMALL(IF((Expenses!E$3:E$1002="INR")*(Expenses!A$3:A$1002=DATE(2026,1,14)),ROW(Expenses!A$3:A$1002)-2),5)),"")&lt;&gt;"",IFERROR(INDEX(Expenses!B$3:B$1002,SMALL(IF((Expenses!E$3:E$1002="INR")*(Expenses!A$3:A$1002=DATE(2026,1,14)),ROW(Expenses!A$3:A$1002)-2),5)),""),IF(IFERROR(INDEX(Income!B$3:B$502,SMALL(IF((Income!D$3:D$502="INR")*(Income!A$3:A$502=DATE(2026,1,14)),ROW(Income!A$3:A$502)-2),5)),"")&lt;&gt;"",IFERROR(INDEX(Income!B$3:B$502,SMALL(IF((Income!D$3:D$502="INR")*(Income!A$3:A$502=DATE(2026,1,14)),ROW(Income!A$3:A$502)-2),5)),""),""))</f>
        <v/>
      </c>
      <c r="I18" s="63" t="str">
        <f aca="false">IF(IFERROR(-INDEX(Expenses!D$3:D$1002,SMALL(IF((Expenses!E$3:E$1002="INR")*(Expenses!A$3:A$1002=DATE(2026,1,15)),ROW(Expenses!A$3:A$1002)-2),5)),0)+IFERROR(INDEX(Income!C$3:C$502,SMALL(IF((Income!D$3:D$502="INR")*(Income!A$3:A$502=DATE(2026,1,15)),ROW(Income!A$3:A$502)-2),5)),0)=0,"",IFERROR(-INDEX(Expenses!D$3:D$1002,SMALL(IF((Expenses!E$3:E$1002="INR")*(Expenses!A$3:A$1002=DATE(2026,1,15)),ROW(Expenses!A$3:A$1002)-2),5)),0)+IFERROR(INDEX(Income!C$3:C$502,SMALL(IF((Income!D$3:D$502="INR")*(Income!A$3:A$502=DATE(2026,1,15)),ROW(Income!A$3:A$502)-2),5)),0))</f>
        <v/>
      </c>
      <c r="J18" s="38" t="str">
        <f aca="false">IF(IFERROR(INDEX(Expenses!B$3:B$1002,SMALL(IF((Expenses!E$3:E$1002="INR")*(Expenses!A$3:A$1002=DATE(2026,1,15)),ROW(Expenses!A$3:A$1002)-2),5)),"")&lt;&gt;"",IFERROR(INDEX(Expenses!B$3:B$1002,SMALL(IF((Expenses!E$3:E$1002="INR")*(Expenses!A$3:A$1002=DATE(2026,1,15)),ROW(Expenses!A$3:A$1002)-2),5)),""),IF(IFERROR(INDEX(Income!B$3:B$502,SMALL(IF((Income!D$3:D$502="INR")*(Income!A$3:A$502=DATE(2026,1,15)),ROW(Income!A$3:A$502)-2),5)),"")&lt;&gt;"",IFERROR(INDEX(Income!B$3:B$502,SMALL(IF((Income!D$3:D$502="INR")*(Income!A$3:A$502=DATE(2026,1,15)),ROW(Income!A$3:A$502)-2),5)),""),""))</f>
        <v/>
      </c>
      <c r="K18" s="63" t="str">
        <f aca="false">IF(IFERROR(-INDEX(Expenses!D$3:D$1002,SMALL(IF((Expenses!E$3:E$1002="INR")*(Expenses!A$3:A$1002=DATE(2026,1,16)),ROW(Expenses!A$3:A$1002)-2),5)),0)+IFERROR(INDEX(Income!C$3:C$502,SMALL(IF((Income!D$3:D$502="INR")*(Income!A$3:A$502=DATE(2026,1,16)),ROW(Income!A$3:A$502)-2),5)),0)=0,"",IFERROR(-INDEX(Expenses!D$3:D$1002,SMALL(IF((Expenses!E$3:E$1002="INR")*(Expenses!A$3:A$1002=DATE(2026,1,16)),ROW(Expenses!A$3:A$1002)-2),5)),0)+IFERROR(INDEX(Income!C$3:C$502,SMALL(IF((Income!D$3:D$502="INR")*(Income!A$3:A$502=DATE(2026,1,16)),ROW(Income!A$3:A$502)-2),5)),0))</f>
        <v/>
      </c>
      <c r="L18" s="38" t="str">
        <f aca="false">IF(IFERROR(INDEX(Expenses!B$3:B$1002,SMALL(IF((Expenses!E$3:E$1002="INR")*(Expenses!A$3:A$1002=DATE(2026,1,16)),ROW(Expenses!A$3:A$1002)-2),5)),"")&lt;&gt;"",IFERROR(INDEX(Expenses!B$3:B$1002,SMALL(IF((Expenses!E$3:E$1002="INR")*(Expenses!A$3:A$1002=DATE(2026,1,16)),ROW(Expenses!A$3:A$1002)-2),5)),""),IF(IFERROR(INDEX(Income!B$3:B$502,SMALL(IF((Income!D$3:D$502="INR")*(Income!A$3:A$502=DATE(2026,1,16)),ROW(Income!A$3:A$502)-2),5)),"")&lt;&gt;"",IFERROR(INDEX(Income!B$3:B$502,SMALL(IF((Income!D$3:D$502="INR")*(Income!A$3:A$502=DATE(2026,1,16)),ROW(Income!A$3:A$502)-2),5)),""),""))</f>
        <v/>
      </c>
      <c r="M18" s="63" t="str">
        <f aca="false">IF(IFERROR(-INDEX(Expenses!D$3:D$1002,SMALL(IF((Expenses!E$3:E$1002="INR")*(Expenses!A$3:A$1002=DATE(2026,1,17)),ROW(Expenses!A$3:A$1002)-2),5)),0)+IFERROR(INDEX(Income!C$3:C$502,SMALL(IF((Income!D$3:D$502="INR")*(Income!A$3:A$502=DATE(2026,1,17)),ROW(Income!A$3:A$502)-2),5)),0)=0,"",IFERROR(-INDEX(Expenses!D$3:D$1002,SMALL(IF((Expenses!E$3:E$1002="INR")*(Expenses!A$3:A$1002=DATE(2026,1,17)),ROW(Expenses!A$3:A$1002)-2),5)),0)+IFERROR(INDEX(Income!C$3:C$502,SMALL(IF((Income!D$3:D$502="INR")*(Income!A$3:A$502=DATE(2026,1,17)),ROW(Income!A$3:A$502)-2),5)),0))</f>
        <v/>
      </c>
      <c r="N18" s="38" t="str">
        <f aca="false">IF(IFERROR(INDEX(Expenses!B$3:B$1002,SMALL(IF((Expenses!E$3:E$1002="INR")*(Expenses!A$3:A$1002=DATE(2026,1,17)),ROW(Expenses!A$3:A$1002)-2),5)),"")&lt;&gt;"",IFERROR(INDEX(Expenses!B$3:B$1002,SMALL(IF((Expenses!E$3:E$1002="INR")*(Expenses!A$3:A$1002=DATE(2026,1,17)),ROW(Expenses!A$3:A$1002)-2),5)),""),IF(IFERROR(INDEX(Income!B$3:B$502,SMALL(IF((Income!D$3:D$502="INR")*(Income!A$3:A$502=DATE(2026,1,17)),ROW(Income!A$3:A$502)-2),5)),"")&lt;&gt;"",IFERROR(INDEX(Income!B$3:B$502,SMALL(IF((Income!D$3:D$502="INR")*(Income!A$3:A$502=DATE(2026,1,17)),ROW(Income!A$3:A$502)-2),5)),""),""))</f>
        <v/>
      </c>
      <c r="O18" s="63" t="str">
        <f aca="false">IF(IFERROR(-INDEX(Expenses!D$3:D$1002,SMALL(IF((Expenses!E$3:E$1002="INR")*(Expenses!A$3:A$1002=DATE(2026,1,18)),ROW(Expenses!A$3:A$1002)-2),5)),0)+IFERROR(INDEX(Income!C$3:C$502,SMALL(IF((Income!D$3:D$502="INR")*(Income!A$3:A$502=DATE(2026,1,18)),ROW(Income!A$3:A$502)-2),5)),0)=0,"",IFERROR(-INDEX(Expenses!D$3:D$1002,SMALL(IF((Expenses!E$3:E$1002="INR")*(Expenses!A$3:A$1002=DATE(2026,1,18)),ROW(Expenses!A$3:A$1002)-2),5)),0)+IFERROR(INDEX(Income!C$3:C$502,SMALL(IF((Income!D$3:D$502="INR")*(Income!A$3:A$502=DATE(2026,1,18)),ROW(Income!A$3:A$502)-2),5)),0))</f>
        <v/>
      </c>
      <c r="P18" s="38" t="str">
        <f aca="false">IF(IFERROR(INDEX(Expenses!B$3:B$1002,SMALL(IF((Expenses!E$3:E$1002="INR")*(Expenses!A$3:A$1002=DATE(2026,1,18)),ROW(Expenses!A$3:A$1002)-2),5)),"")&lt;&gt;"",IFERROR(INDEX(Expenses!B$3:B$1002,SMALL(IF((Expenses!E$3:E$1002="INR")*(Expenses!A$3:A$1002=DATE(2026,1,18)),ROW(Expenses!A$3:A$1002)-2),5)),""),IF(IFERROR(INDEX(Income!B$3:B$502,SMALL(IF((Income!D$3:D$502="INR")*(Income!A$3:A$502=DATE(2026,1,18)),ROW(Income!A$3:A$502)-2),5)),"")&lt;&gt;"",IFERROR(INDEX(Income!B$3:B$502,SMALL(IF((Income!D$3:D$502="INR")*(Income!A$3:A$502=DATE(2026,1,18)),ROW(Income!A$3:A$502)-2),5)),""),""))</f>
        <v/>
      </c>
      <c r="Q18" s="16"/>
      <c r="R18" s="16"/>
    </row>
    <row r="19" customFormat="false" ht="15" hidden="false" customHeight="false" outlineLevel="0" collapsed="false">
      <c r="A19" s="61" t="n">
        <v>46041</v>
      </c>
      <c r="B19" s="3" t="n">
        <v>4</v>
      </c>
      <c r="C19" s="63" t="str">
        <f aca="false">IF(IFERROR(-INDEX(Expenses!D$3:D$1002,SMALL(IF((Expenses!E$3:E$1002="INR")*(Expenses!A$3:A$1002=DATE(2026,1,19)),ROW(Expenses!A$3:A$1002)-2),1)),0)+IFERROR(INDEX(Income!C$3:C$502,SMALL(IF((Income!D$3:D$502="INR")*(Income!A$3:A$502=DATE(2026,1,19)),ROW(Income!A$3:A$502)-2),1)),0)=0,"",IFERROR(-INDEX(Expenses!D$3:D$1002,SMALL(IF((Expenses!E$3:E$1002="INR")*(Expenses!A$3:A$1002=DATE(2026,1,19)),ROW(Expenses!A$3:A$1002)-2),1)),0)+IFERROR(INDEX(Income!C$3:C$502,SMALL(IF((Income!D$3:D$502="INR")*(Income!A$3:A$502=DATE(2026,1,19)),ROW(Income!A$3:A$502)-2),1)),0))</f>
        <v/>
      </c>
      <c r="D19" s="38" t="str">
        <f aca="false">IF(IFERROR(INDEX(Expenses!B$3:B$1002,SMALL(IF((Expenses!E$3:E$1002="INR")*(Expenses!A$3:A$1002=DATE(2026,1,19)),ROW(Expenses!A$3:A$1002)-2),1)),"")&lt;&gt;"",IFERROR(INDEX(Expenses!B$3:B$1002,SMALL(IF((Expenses!E$3:E$1002="INR")*(Expenses!A$3:A$1002=DATE(2026,1,19)),ROW(Expenses!A$3:A$1002)-2),1)),""),IF(IFERROR(INDEX(Income!B$3:B$502,SMALL(IF((Income!D$3:D$502="INR")*(Income!A$3:A$502=DATE(2026,1,19)),ROW(Income!A$3:A$502)-2),1)),"")&lt;&gt;"",IFERROR(INDEX(Income!B$3:B$502,SMALL(IF((Income!D$3:D$502="INR")*(Income!A$3:A$502=DATE(2026,1,19)),ROW(Income!A$3:A$502)-2),1)),""),""))</f>
        <v/>
      </c>
      <c r="E19" s="63" t="str">
        <f aca="false">IF(IFERROR(-INDEX(Expenses!D$3:D$1002,SMALL(IF((Expenses!E$3:E$1002="INR")*(Expenses!A$3:A$1002=DATE(2026,1,20)),ROW(Expenses!A$3:A$1002)-2),1)),0)+IFERROR(INDEX(Income!C$3:C$502,SMALL(IF((Income!D$3:D$502="INR")*(Income!A$3:A$502=DATE(2026,1,20)),ROW(Income!A$3:A$502)-2),1)),0)=0,"",IFERROR(-INDEX(Expenses!D$3:D$1002,SMALL(IF((Expenses!E$3:E$1002="INR")*(Expenses!A$3:A$1002=DATE(2026,1,20)),ROW(Expenses!A$3:A$1002)-2),1)),0)+IFERROR(INDEX(Income!C$3:C$502,SMALL(IF((Income!D$3:D$502="INR")*(Income!A$3:A$502=DATE(2026,1,20)),ROW(Income!A$3:A$502)-2),1)),0))</f>
        <v/>
      </c>
      <c r="F19" s="38" t="str">
        <f aca="false">IF(IFERROR(INDEX(Expenses!B$3:B$1002,SMALL(IF((Expenses!E$3:E$1002="INR")*(Expenses!A$3:A$1002=DATE(2026,1,20)),ROW(Expenses!A$3:A$1002)-2),1)),"")&lt;&gt;"",IFERROR(INDEX(Expenses!B$3:B$1002,SMALL(IF((Expenses!E$3:E$1002="INR")*(Expenses!A$3:A$1002=DATE(2026,1,20)),ROW(Expenses!A$3:A$1002)-2),1)),""),IF(IFERROR(INDEX(Income!B$3:B$502,SMALL(IF((Income!D$3:D$502="INR")*(Income!A$3:A$502=DATE(2026,1,20)),ROW(Income!A$3:A$502)-2),1)),"")&lt;&gt;"",IFERROR(INDEX(Income!B$3:B$502,SMALL(IF((Income!D$3:D$502="INR")*(Income!A$3:A$502=DATE(2026,1,20)),ROW(Income!A$3:A$502)-2),1)),""),""))</f>
        <v/>
      </c>
      <c r="G19" s="63" t="str">
        <f aca="false">IF(IFERROR(-INDEX(Expenses!D$3:D$1002,SMALL(IF((Expenses!E$3:E$1002="INR")*(Expenses!A$3:A$1002=DATE(2026,1,21)),ROW(Expenses!A$3:A$1002)-2),1)),0)+IFERROR(INDEX(Income!C$3:C$502,SMALL(IF((Income!D$3:D$502="INR")*(Income!A$3:A$502=DATE(2026,1,21)),ROW(Income!A$3:A$502)-2),1)),0)=0,"",IFERROR(-INDEX(Expenses!D$3:D$1002,SMALL(IF((Expenses!E$3:E$1002="INR")*(Expenses!A$3:A$1002=DATE(2026,1,21)),ROW(Expenses!A$3:A$1002)-2),1)),0)+IFERROR(INDEX(Income!C$3:C$502,SMALL(IF((Income!D$3:D$502="INR")*(Income!A$3:A$502=DATE(2026,1,21)),ROW(Income!A$3:A$502)-2),1)),0))</f>
        <v/>
      </c>
      <c r="H19" s="38" t="str">
        <f aca="false">IF(IFERROR(INDEX(Expenses!B$3:B$1002,SMALL(IF((Expenses!E$3:E$1002="INR")*(Expenses!A$3:A$1002=DATE(2026,1,21)),ROW(Expenses!A$3:A$1002)-2),1)),"")&lt;&gt;"",IFERROR(INDEX(Expenses!B$3:B$1002,SMALL(IF((Expenses!E$3:E$1002="INR")*(Expenses!A$3:A$1002=DATE(2026,1,21)),ROW(Expenses!A$3:A$1002)-2),1)),""),IF(IFERROR(INDEX(Income!B$3:B$502,SMALL(IF((Income!D$3:D$502="INR")*(Income!A$3:A$502=DATE(2026,1,21)),ROW(Income!A$3:A$502)-2),1)),"")&lt;&gt;"",IFERROR(INDEX(Income!B$3:B$502,SMALL(IF((Income!D$3:D$502="INR")*(Income!A$3:A$502=DATE(2026,1,21)),ROW(Income!A$3:A$502)-2),1)),""),""))</f>
        <v/>
      </c>
      <c r="I19" s="63" t="str">
        <f aca="false">IF(IFERROR(-INDEX(Expenses!D$3:D$1002,SMALL(IF((Expenses!E$3:E$1002="INR")*(Expenses!A$3:A$1002=DATE(2026,1,22)),ROW(Expenses!A$3:A$1002)-2),1)),0)+IFERROR(INDEX(Income!C$3:C$502,SMALL(IF((Income!D$3:D$502="INR")*(Income!A$3:A$502=DATE(2026,1,22)),ROW(Income!A$3:A$502)-2),1)),0)=0,"",IFERROR(-INDEX(Expenses!D$3:D$1002,SMALL(IF((Expenses!E$3:E$1002="INR")*(Expenses!A$3:A$1002=DATE(2026,1,22)),ROW(Expenses!A$3:A$1002)-2),1)),0)+IFERROR(INDEX(Income!C$3:C$502,SMALL(IF((Income!D$3:D$502="INR")*(Income!A$3:A$502=DATE(2026,1,22)),ROW(Income!A$3:A$502)-2),1)),0))</f>
        <v/>
      </c>
      <c r="J19" s="38" t="str">
        <f aca="false">IF(IFERROR(INDEX(Expenses!B$3:B$1002,SMALL(IF((Expenses!E$3:E$1002="INR")*(Expenses!A$3:A$1002=DATE(2026,1,22)),ROW(Expenses!A$3:A$1002)-2),1)),"")&lt;&gt;"",IFERROR(INDEX(Expenses!B$3:B$1002,SMALL(IF((Expenses!E$3:E$1002="INR")*(Expenses!A$3:A$1002=DATE(2026,1,22)),ROW(Expenses!A$3:A$1002)-2),1)),""),IF(IFERROR(INDEX(Income!B$3:B$502,SMALL(IF((Income!D$3:D$502="INR")*(Income!A$3:A$502=DATE(2026,1,22)),ROW(Income!A$3:A$502)-2),1)),"")&lt;&gt;"",IFERROR(INDEX(Income!B$3:B$502,SMALL(IF((Income!D$3:D$502="INR")*(Income!A$3:A$502=DATE(2026,1,22)),ROW(Income!A$3:A$502)-2),1)),""),""))</f>
        <v/>
      </c>
      <c r="K19" s="63" t="str">
        <f aca="false">IF(IFERROR(-INDEX(Expenses!D$3:D$1002,SMALL(IF((Expenses!E$3:E$1002="INR")*(Expenses!A$3:A$1002=DATE(2026,1,23)),ROW(Expenses!A$3:A$1002)-2),1)),0)+IFERROR(INDEX(Income!C$3:C$502,SMALL(IF((Income!D$3:D$502="INR")*(Income!A$3:A$502=DATE(2026,1,23)),ROW(Income!A$3:A$502)-2),1)),0)=0,"",IFERROR(-INDEX(Expenses!D$3:D$1002,SMALL(IF((Expenses!E$3:E$1002="INR")*(Expenses!A$3:A$1002=DATE(2026,1,23)),ROW(Expenses!A$3:A$1002)-2),1)),0)+IFERROR(INDEX(Income!C$3:C$502,SMALL(IF((Income!D$3:D$502="INR")*(Income!A$3:A$502=DATE(2026,1,23)),ROW(Income!A$3:A$502)-2),1)),0))</f>
        <v/>
      </c>
      <c r="L19" s="38" t="str">
        <f aca="false">IF(IFERROR(INDEX(Expenses!B$3:B$1002,SMALL(IF((Expenses!E$3:E$1002="INR")*(Expenses!A$3:A$1002=DATE(2026,1,23)),ROW(Expenses!A$3:A$1002)-2),1)),"")&lt;&gt;"",IFERROR(INDEX(Expenses!B$3:B$1002,SMALL(IF((Expenses!E$3:E$1002="INR")*(Expenses!A$3:A$1002=DATE(2026,1,23)),ROW(Expenses!A$3:A$1002)-2),1)),""),IF(IFERROR(INDEX(Income!B$3:B$502,SMALL(IF((Income!D$3:D$502="INR")*(Income!A$3:A$502=DATE(2026,1,23)),ROW(Income!A$3:A$502)-2),1)),"")&lt;&gt;"",IFERROR(INDEX(Income!B$3:B$502,SMALL(IF((Income!D$3:D$502="INR")*(Income!A$3:A$502=DATE(2026,1,23)),ROW(Income!A$3:A$502)-2),1)),""),""))</f>
        <v/>
      </c>
      <c r="M19" s="63" t="str">
        <f aca="false">IF(IFERROR(-INDEX(Expenses!D$3:D$1002,SMALL(IF((Expenses!E$3:E$1002="INR")*(Expenses!A$3:A$1002=DATE(2026,1,24)),ROW(Expenses!A$3:A$1002)-2),1)),0)+IFERROR(INDEX(Income!C$3:C$502,SMALL(IF((Income!D$3:D$502="INR")*(Income!A$3:A$502=DATE(2026,1,24)),ROW(Income!A$3:A$502)-2),1)),0)=0,"",IFERROR(-INDEX(Expenses!D$3:D$1002,SMALL(IF((Expenses!E$3:E$1002="INR")*(Expenses!A$3:A$1002=DATE(2026,1,24)),ROW(Expenses!A$3:A$1002)-2),1)),0)+IFERROR(INDEX(Income!C$3:C$502,SMALL(IF((Income!D$3:D$502="INR")*(Income!A$3:A$502=DATE(2026,1,24)),ROW(Income!A$3:A$502)-2),1)),0))</f>
        <v/>
      </c>
      <c r="N19" s="38" t="str">
        <f aca="false">IF(IFERROR(INDEX(Expenses!B$3:B$1002,SMALL(IF((Expenses!E$3:E$1002="INR")*(Expenses!A$3:A$1002=DATE(2026,1,24)),ROW(Expenses!A$3:A$1002)-2),1)),"")&lt;&gt;"",IFERROR(INDEX(Expenses!B$3:B$1002,SMALL(IF((Expenses!E$3:E$1002="INR")*(Expenses!A$3:A$1002=DATE(2026,1,24)),ROW(Expenses!A$3:A$1002)-2),1)),""),IF(IFERROR(INDEX(Income!B$3:B$502,SMALL(IF((Income!D$3:D$502="INR")*(Income!A$3:A$502=DATE(2026,1,24)),ROW(Income!A$3:A$502)-2),1)),"")&lt;&gt;"",IFERROR(INDEX(Income!B$3:B$502,SMALL(IF((Income!D$3:D$502="INR")*(Income!A$3:A$502=DATE(2026,1,24)),ROW(Income!A$3:A$502)-2),1)),""),""))</f>
        <v/>
      </c>
      <c r="O19" s="63" t="str">
        <f aca="false">IF(IFERROR(-INDEX(Expenses!D$3:D$1002,SMALL(IF((Expenses!E$3:E$1002="INR")*(Expenses!A$3:A$1002=DATE(2026,1,25)),ROW(Expenses!A$3:A$1002)-2),1)),0)+IFERROR(INDEX(Income!C$3:C$502,SMALL(IF((Income!D$3:D$502="INR")*(Income!A$3:A$502=DATE(2026,1,25)),ROW(Income!A$3:A$502)-2),1)),0)=0,"",IFERROR(-INDEX(Expenses!D$3:D$1002,SMALL(IF((Expenses!E$3:E$1002="INR")*(Expenses!A$3:A$1002=DATE(2026,1,25)),ROW(Expenses!A$3:A$1002)-2),1)),0)+IFERROR(INDEX(Income!C$3:C$502,SMALL(IF((Income!D$3:D$502="INR")*(Income!A$3:A$502=DATE(2026,1,25)),ROW(Income!A$3:A$502)-2),1)),0))</f>
        <v/>
      </c>
      <c r="P19" s="38" t="str">
        <f aca="false">IF(IFERROR(INDEX(Expenses!B$3:B$1002,SMALL(IF((Expenses!E$3:E$1002="INR")*(Expenses!A$3:A$1002=DATE(2026,1,25)),ROW(Expenses!A$3:A$1002)-2),1)),"")&lt;&gt;"",IFERROR(INDEX(Expenses!B$3:B$1002,SMALL(IF((Expenses!E$3:E$1002="INR")*(Expenses!A$3:A$1002=DATE(2026,1,25)),ROW(Expenses!A$3:A$1002)-2),1)),""),IF(IFERROR(INDEX(Income!B$3:B$502,SMALL(IF((Income!D$3:D$502="INR")*(Income!A$3:A$502=DATE(2026,1,25)),ROW(Income!A$3:A$502)-2),1)),"")&lt;&gt;"",IFERROR(INDEX(Income!B$3:B$502,SMALL(IF((Income!D$3:D$502="INR")*(Income!A$3:A$502=DATE(2026,1,25)),ROW(Income!A$3:A$502)-2),1)),""),""))</f>
        <v/>
      </c>
      <c r="Q19" s="3" t="n">
        <v>4</v>
      </c>
      <c r="R19" s="53" t="n">
        <f aca="false">SUM(C19:C23)+SUM(E19:E23)+SUM(G19:G23)+SUM(I19:I23)+SUM(K19:K23)+SUM(M19:M23)+SUM(O19:O23)</f>
        <v>0</v>
      </c>
    </row>
    <row r="20" customFormat="false" ht="15" hidden="false" customHeight="false" outlineLevel="0" collapsed="false">
      <c r="A20" s="16"/>
      <c r="B20" s="16"/>
      <c r="C20" s="63" t="str">
        <f aca="false">IF(IFERROR(-INDEX(Expenses!D$3:D$1002,SMALL(IF((Expenses!E$3:E$1002="INR")*(Expenses!A$3:A$1002=DATE(2026,1,19)),ROW(Expenses!A$3:A$1002)-2),2)),0)+IFERROR(INDEX(Income!C$3:C$502,SMALL(IF((Income!D$3:D$502="INR")*(Income!A$3:A$502=DATE(2026,1,19)),ROW(Income!A$3:A$502)-2),2)),0)=0,"",IFERROR(-INDEX(Expenses!D$3:D$1002,SMALL(IF((Expenses!E$3:E$1002="INR")*(Expenses!A$3:A$1002=DATE(2026,1,19)),ROW(Expenses!A$3:A$1002)-2),2)),0)+IFERROR(INDEX(Income!C$3:C$502,SMALL(IF((Income!D$3:D$502="INR")*(Income!A$3:A$502=DATE(2026,1,19)),ROW(Income!A$3:A$502)-2),2)),0))</f>
        <v/>
      </c>
      <c r="D20" s="38" t="str">
        <f aca="false">IF(IFERROR(INDEX(Expenses!B$3:B$1002,SMALL(IF((Expenses!E$3:E$1002="INR")*(Expenses!A$3:A$1002=DATE(2026,1,19)),ROW(Expenses!A$3:A$1002)-2),2)),"")&lt;&gt;"",IFERROR(INDEX(Expenses!B$3:B$1002,SMALL(IF((Expenses!E$3:E$1002="INR")*(Expenses!A$3:A$1002=DATE(2026,1,19)),ROW(Expenses!A$3:A$1002)-2),2)),""),IF(IFERROR(INDEX(Income!B$3:B$502,SMALL(IF((Income!D$3:D$502="INR")*(Income!A$3:A$502=DATE(2026,1,19)),ROW(Income!A$3:A$502)-2),2)),"")&lt;&gt;"",IFERROR(INDEX(Income!B$3:B$502,SMALL(IF((Income!D$3:D$502="INR")*(Income!A$3:A$502=DATE(2026,1,19)),ROW(Income!A$3:A$502)-2),2)),""),""))</f>
        <v/>
      </c>
      <c r="E20" s="63" t="str">
        <f aca="false">IF(IFERROR(-INDEX(Expenses!D$3:D$1002,SMALL(IF((Expenses!E$3:E$1002="INR")*(Expenses!A$3:A$1002=DATE(2026,1,20)),ROW(Expenses!A$3:A$1002)-2),2)),0)+IFERROR(INDEX(Income!C$3:C$502,SMALL(IF((Income!D$3:D$502="INR")*(Income!A$3:A$502=DATE(2026,1,20)),ROW(Income!A$3:A$502)-2),2)),0)=0,"",IFERROR(-INDEX(Expenses!D$3:D$1002,SMALL(IF((Expenses!E$3:E$1002="INR")*(Expenses!A$3:A$1002=DATE(2026,1,20)),ROW(Expenses!A$3:A$1002)-2),2)),0)+IFERROR(INDEX(Income!C$3:C$502,SMALL(IF((Income!D$3:D$502="INR")*(Income!A$3:A$502=DATE(2026,1,20)),ROW(Income!A$3:A$502)-2),2)),0))</f>
        <v/>
      </c>
      <c r="F20" s="38" t="str">
        <f aca="false">IF(IFERROR(INDEX(Expenses!B$3:B$1002,SMALL(IF((Expenses!E$3:E$1002="INR")*(Expenses!A$3:A$1002=DATE(2026,1,20)),ROW(Expenses!A$3:A$1002)-2),2)),"")&lt;&gt;"",IFERROR(INDEX(Expenses!B$3:B$1002,SMALL(IF((Expenses!E$3:E$1002="INR")*(Expenses!A$3:A$1002=DATE(2026,1,20)),ROW(Expenses!A$3:A$1002)-2),2)),""),IF(IFERROR(INDEX(Income!B$3:B$502,SMALL(IF((Income!D$3:D$502="INR")*(Income!A$3:A$502=DATE(2026,1,20)),ROW(Income!A$3:A$502)-2),2)),"")&lt;&gt;"",IFERROR(INDEX(Income!B$3:B$502,SMALL(IF((Income!D$3:D$502="INR")*(Income!A$3:A$502=DATE(2026,1,20)),ROW(Income!A$3:A$502)-2),2)),""),""))</f>
        <v/>
      </c>
      <c r="G20" s="63" t="str">
        <f aca="false">IF(IFERROR(-INDEX(Expenses!D$3:D$1002,SMALL(IF((Expenses!E$3:E$1002="INR")*(Expenses!A$3:A$1002=DATE(2026,1,21)),ROW(Expenses!A$3:A$1002)-2),2)),0)+IFERROR(INDEX(Income!C$3:C$502,SMALL(IF((Income!D$3:D$502="INR")*(Income!A$3:A$502=DATE(2026,1,21)),ROW(Income!A$3:A$502)-2),2)),0)=0,"",IFERROR(-INDEX(Expenses!D$3:D$1002,SMALL(IF((Expenses!E$3:E$1002="INR")*(Expenses!A$3:A$1002=DATE(2026,1,21)),ROW(Expenses!A$3:A$1002)-2),2)),0)+IFERROR(INDEX(Income!C$3:C$502,SMALL(IF((Income!D$3:D$502="INR")*(Income!A$3:A$502=DATE(2026,1,21)),ROW(Income!A$3:A$502)-2),2)),0))</f>
        <v/>
      </c>
      <c r="H20" s="38" t="str">
        <f aca="false">IF(IFERROR(INDEX(Expenses!B$3:B$1002,SMALL(IF((Expenses!E$3:E$1002="INR")*(Expenses!A$3:A$1002=DATE(2026,1,21)),ROW(Expenses!A$3:A$1002)-2),2)),"")&lt;&gt;"",IFERROR(INDEX(Expenses!B$3:B$1002,SMALL(IF((Expenses!E$3:E$1002="INR")*(Expenses!A$3:A$1002=DATE(2026,1,21)),ROW(Expenses!A$3:A$1002)-2),2)),""),IF(IFERROR(INDEX(Income!B$3:B$502,SMALL(IF((Income!D$3:D$502="INR")*(Income!A$3:A$502=DATE(2026,1,21)),ROW(Income!A$3:A$502)-2),2)),"")&lt;&gt;"",IFERROR(INDEX(Income!B$3:B$502,SMALL(IF((Income!D$3:D$502="INR")*(Income!A$3:A$502=DATE(2026,1,21)),ROW(Income!A$3:A$502)-2),2)),""),""))</f>
        <v/>
      </c>
      <c r="I20" s="63" t="str">
        <f aca="false">IF(IFERROR(-INDEX(Expenses!D$3:D$1002,SMALL(IF((Expenses!E$3:E$1002="INR")*(Expenses!A$3:A$1002=DATE(2026,1,22)),ROW(Expenses!A$3:A$1002)-2),2)),0)+IFERROR(INDEX(Income!C$3:C$502,SMALL(IF((Income!D$3:D$502="INR")*(Income!A$3:A$502=DATE(2026,1,22)),ROW(Income!A$3:A$502)-2),2)),0)=0,"",IFERROR(-INDEX(Expenses!D$3:D$1002,SMALL(IF((Expenses!E$3:E$1002="INR")*(Expenses!A$3:A$1002=DATE(2026,1,22)),ROW(Expenses!A$3:A$1002)-2),2)),0)+IFERROR(INDEX(Income!C$3:C$502,SMALL(IF((Income!D$3:D$502="INR")*(Income!A$3:A$502=DATE(2026,1,22)),ROW(Income!A$3:A$502)-2),2)),0))</f>
        <v/>
      </c>
      <c r="J20" s="38" t="str">
        <f aca="false">IF(IFERROR(INDEX(Expenses!B$3:B$1002,SMALL(IF((Expenses!E$3:E$1002="INR")*(Expenses!A$3:A$1002=DATE(2026,1,22)),ROW(Expenses!A$3:A$1002)-2),2)),"")&lt;&gt;"",IFERROR(INDEX(Expenses!B$3:B$1002,SMALL(IF((Expenses!E$3:E$1002="INR")*(Expenses!A$3:A$1002=DATE(2026,1,22)),ROW(Expenses!A$3:A$1002)-2),2)),""),IF(IFERROR(INDEX(Income!B$3:B$502,SMALL(IF((Income!D$3:D$502="INR")*(Income!A$3:A$502=DATE(2026,1,22)),ROW(Income!A$3:A$502)-2),2)),"")&lt;&gt;"",IFERROR(INDEX(Income!B$3:B$502,SMALL(IF((Income!D$3:D$502="INR")*(Income!A$3:A$502=DATE(2026,1,22)),ROW(Income!A$3:A$502)-2),2)),""),""))</f>
        <v/>
      </c>
      <c r="K20" s="63" t="str">
        <f aca="false">IF(IFERROR(-INDEX(Expenses!D$3:D$1002,SMALL(IF((Expenses!E$3:E$1002="INR")*(Expenses!A$3:A$1002=DATE(2026,1,23)),ROW(Expenses!A$3:A$1002)-2),2)),0)+IFERROR(INDEX(Income!C$3:C$502,SMALL(IF((Income!D$3:D$502="INR")*(Income!A$3:A$502=DATE(2026,1,23)),ROW(Income!A$3:A$502)-2),2)),0)=0,"",IFERROR(-INDEX(Expenses!D$3:D$1002,SMALL(IF((Expenses!E$3:E$1002="INR")*(Expenses!A$3:A$1002=DATE(2026,1,23)),ROW(Expenses!A$3:A$1002)-2),2)),0)+IFERROR(INDEX(Income!C$3:C$502,SMALL(IF((Income!D$3:D$502="INR")*(Income!A$3:A$502=DATE(2026,1,23)),ROW(Income!A$3:A$502)-2),2)),0))</f>
        <v/>
      </c>
      <c r="L20" s="38" t="str">
        <f aca="false">IF(IFERROR(INDEX(Expenses!B$3:B$1002,SMALL(IF((Expenses!E$3:E$1002="INR")*(Expenses!A$3:A$1002=DATE(2026,1,23)),ROW(Expenses!A$3:A$1002)-2),2)),"")&lt;&gt;"",IFERROR(INDEX(Expenses!B$3:B$1002,SMALL(IF((Expenses!E$3:E$1002="INR")*(Expenses!A$3:A$1002=DATE(2026,1,23)),ROW(Expenses!A$3:A$1002)-2),2)),""),IF(IFERROR(INDEX(Income!B$3:B$502,SMALL(IF((Income!D$3:D$502="INR")*(Income!A$3:A$502=DATE(2026,1,23)),ROW(Income!A$3:A$502)-2),2)),"")&lt;&gt;"",IFERROR(INDEX(Income!B$3:B$502,SMALL(IF((Income!D$3:D$502="INR")*(Income!A$3:A$502=DATE(2026,1,23)),ROW(Income!A$3:A$502)-2),2)),""),""))</f>
        <v/>
      </c>
      <c r="M20" s="63" t="str">
        <f aca="false">IF(IFERROR(-INDEX(Expenses!D$3:D$1002,SMALL(IF((Expenses!E$3:E$1002="INR")*(Expenses!A$3:A$1002=DATE(2026,1,24)),ROW(Expenses!A$3:A$1002)-2),2)),0)+IFERROR(INDEX(Income!C$3:C$502,SMALL(IF((Income!D$3:D$502="INR")*(Income!A$3:A$502=DATE(2026,1,24)),ROW(Income!A$3:A$502)-2),2)),0)=0,"",IFERROR(-INDEX(Expenses!D$3:D$1002,SMALL(IF((Expenses!E$3:E$1002="INR")*(Expenses!A$3:A$1002=DATE(2026,1,24)),ROW(Expenses!A$3:A$1002)-2),2)),0)+IFERROR(INDEX(Income!C$3:C$502,SMALL(IF((Income!D$3:D$502="INR")*(Income!A$3:A$502=DATE(2026,1,24)),ROW(Income!A$3:A$502)-2),2)),0))</f>
        <v/>
      </c>
      <c r="N20" s="38" t="str">
        <f aca="false">IF(IFERROR(INDEX(Expenses!B$3:B$1002,SMALL(IF((Expenses!E$3:E$1002="INR")*(Expenses!A$3:A$1002=DATE(2026,1,24)),ROW(Expenses!A$3:A$1002)-2),2)),"")&lt;&gt;"",IFERROR(INDEX(Expenses!B$3:B$1002,SMALL(IF((Expenses!E$3:E$1002="INR")*(Expenses!A$3:A$1002=DATE(2026,1,24)),ROW(Expenses!A$3:A$1002)-2),2)),""),IF(IFERROR(INDEX(Income!B$3:B$502,SMALL(IF((Income!D$3:D$502="INR")*(Income!A$3:A$502=DATE(2026,1,24)),ROW(Income!A$3:A$502)-2),2)),"")&lt;&gt;"",IFERROR(INDEX(Income!B$3:B$502,SMALL(IF((Income!D$3:D$502="INR")*(Income!A$3:A$502=DATE(2026,1,24)),ROW(Income!A$3:A$502)-2),2)),""),""))</f>
        <v/>
      </c>
      <c r="O20" s="63" t="str">
        <f aca="false">IF(IFERROR(-INDEX(Expenses!D$3:D$1002,SMALL(IF((Expenses!E$3:E$1002="INR")*(Expenses!A$3:A$1002=DATE(2026,1,25)),ROW(Expenses!A$3:A$1002)-2),2)),0)+IFERROR(INDEX(Income!C$3:C$502,SMALL(IF((Income!D$3:D$502="INR")*(Income!A$3:A$502=DATE(2026,1,25)),ROW(Income!A$3:A$502)-2),2)),0)=0,"",IFERROR(-INDEX(Expenses!D$3:D$1002,SMALL(IF((Expenses!E$3:E$1002="INR")*(Expenses!A$3:A$1002=DATE(2026,1,25)),ROW(Expenses!A$3:A$1002)-2),2)),0)+IFERROR(INDEX(Income!C$3:C$502,SMALL(IF((Income!D$3:D$502="INR")*(Income!A$3:A$502=DATE(2026,1,25)),ROW(Income!A$3:A$502)-2),2)),0))</f>
        <v/>
      </c>
      <c r="P20" s="38" t="str">
        <f aca="false">IF(IFERROR(INDEX(Expenses!B$3:B$1002,SMALL(IF((Expenses!E$3:E$1002="INR")*(Expenses!A$3:A$1002=DATE(2026,1,25)),ROW(Expenses!A$3:A$1002)-2),2)),"")&lt;&gt;"",IFERROR(INDEX(Expenses!B$3:B$1002,SMALL(IF((Expenses!E$3:E$1002="INR")*(Expenses!A$3:A$1002=DATE(2026,1,25)),ROW(Expenses!A$3:A$1002)-2),2)),""),IF(IFERROR(INDEX(Income!B$3:B$502,SMALL(IF((Income!D$3:D$502="INR")*(Income!A$3:A$502=DATE(2026,1,25)),ROW(Income!A$3:A$502)-2),2)),"")&lt;&gt;"",IFERROR(INDEX(Income!B$3:B$502,SMALL(IF((Income!D$3:D$502="INR")*(Income!A$3:A$502=DATE(2026,1,25)),ROW(Income!A$3:A$502)-2),2)),""),""))</f>
        <v/>
      </c>
      <c r="Q20" s="16"/>
      <c r="R20" s="16"/>
    </row>
    <row r="21" customFormat="false" ht="15" hidden="false" customHeight="false" outlineLevel="0" collapsed="false">
      <c r="A21" s="16"/>
      <c r="B21" s="16"/>
      <c r="C21" s="63" t="str">
        <f aca="false">IF(IFERROR(-INDEX(Expenses!D$3:D$1002,SMALL(IF((Expenses!E$3:E$1002="INR")*(Expenses!A$3:A$1002=DATE(2026,1,19)),ROW(Expenses!A$3:A$1002)-2),3)),0)+IFERROR(INDEX(Income!C$3:C$502,SMALL(IF((Income!D$3:D$502="INR")*(Income!A$3:A$502=DATE(2026,1,19)),ROW(Income!A$3:A$502)-2),3)),0)=0,"",IFERROR(-INDEX(Expenses!D$3:D$1002,SMALL(IF((Expenses!E$3:E$1002="INR")*(Expenses!A$3:A$1002=DATE(2026,1,19)),ROW(Expenses!A$3:A$1002)-2),3)),0)+IFERROR(INDEX(Income!C$3:C$502,SMALL(IF((Income!D$3:D$502="INR")*(Income!A$3:A$502=DATE(2026,1,19)),ROW(Income!A$3:A$502)-2),3)),0))</f>
        <v/>
      </c>
      <c r="D21" s="38" t="str">
        <f aca="false">IF(IFERROR(INDEX(Expenses!B$3:B$1002,SMALL(IF((Expenses!E$3:E$1002="INR")*(Expenses!A$3:A$1002=DATE(2026,1,19)),ROW(Expenses!A$3:A$1002)-2),3)),"")&lt;&gt;"",IFERROR(INDEX(Expenses!B$3:B$1002,SMALL(IF((Expenses!E$3:E$1002="INR")*(Expenses!A$3:A$1002=DATE(2026,1,19)),ROW(Expenses!A$3:A$1002)-2),3)),""),IF(IFERROR(INDEX(Income!B$3:B$502,SMALL(IF((Income!D$3:D$502="INR")*(Income!A$3:A$502=DATE(2026,1,19)),ROW(Income!A$3:A$502)-2),3)),"")&lt;&gt;"",IFERROR(INDEX(Income!B$3:B$502,SMALL(IF((Income!D$3:D$502="INR")*(Income!A$3:A$502=DATE(2026,1,19)),ROW(Income!A$3:A$502)-2),3)),""),""))</f>
        <v/>
      </c>
      <c r="E21" s="63" t="str">
        <f aca="false">IF(IFERROR(-INDEX(Expenses!D$3:D$1002,SMALL(IF((Expenses!E$3:E$1002="INR")*(Expenses!A$3:A$1002=DATE(2026,1,20)),ROW(Expenses!A$3:A$1002)-2),3)),0)+IFERROR(INDEX(Income!C$3:C$502,SMALL(IF((Income!D$3:D$502="INR")*(Income!A$3:A$502=DATE(2026,1,20)),ROW(Income!A$3:A$502)-2),3)),0)=0,"",IFERROR(-INDEX(Expenses!D$3:D$1002,SMALL(IF((Expenses!E$3:E$1002="INR")*(Expenses!A$3:A$1002=DATE(2026,1,20)),ROW(Expenses!A$3:A$1002)-2),3)),0)+IFERROR(INDEX(Income!C$3:C$502,SMALL(IF((Income!D$3:D$502="INR")*(Income!A$3:A$502=DATE(2026,1,20)),ROW(Income!A$3:A$502)-2),3)),0))</f>
        <v/>
      </c>
      <c r="F21" s="38" t="str">
        <f aca="false">IF(IFERROR(INDEX(Expenses!B$3:B$1002,SMALL(IF((Expenses!E$3:E$1002="INR")*(Expenses!A$3:A$1002=DATE(2026,1,20)),ROW(Expenses!A$3:A$1002)-2),3)),"")&lt;&gt;"",IFERROR(INDEX(Expenses!B$3:B$1002,SMALL(IF((Expenses!E$3:E$1002="INR")*(Expenses!A$3:A$1002=DATE(2026,1,20)),ROW(Expenses!A$3:A$1002)-2),3)),""),IF(IFERROR(INDEX(Income!B$3:B$502,SMALL(IF((Income!D$3:D$502="INR")*(Income!A$3:A$502=DATE(2026,1,20)),ROW(Income!A$3:A$502)-2),3)),"")&lt;&gt;"",IFERROR(INDEX(Income!B$3:B$502,SMALL(IF((Income!D$3:D$502="INR")*(Income!A$3:A$502=DATE(2026,1,20)),ROW(Income!A$3:A$502)-2),3)),""),""))</f>
        <v/>
      </c>
      <c r="G21" s="63" t="str">
        <f aca="false">IF(IFERROR(-INDEX(Expenses!D$3:D$1002,SMALL(IF((Expenses!E$3:E$1002="INR")*(Expenses!A$3:A$1002=DATE(2026,1,21)),ROW(Expenses!A$3:A$1002)-2),3)),0)+IFERROR(INDEX(Income!C$3:C$502,SMALL(IF((Income!D$3:D$502="INR")*(Income!A$3:A$502=DATE(2026,1,21)),ROW(Income!A$3:A$502)-2),3)),0)=0,"",IFERROR(-INDEX(Expenses!D$3:D$1002,SMALL(IF((Expenses!E$3:E$1002="INR")*(Expenses!A$3:A$1002=DATE(2026,1,21)),ROW(Expenses!A$3:A$1002)-2),3)),0)+IFERROR(INDEX(Income!C$3:C$502,SMALL(IF((Income!D$3:D$502="INR")*(Income!A$3:A$502=DATE(2026,1,21)),ROW(Income!A$3:A$502)-2),3)),0))</f>
        <v/>
      </c>
      <c r="H21" s="38" t="str">
        <f aca="false">IF(IFERROR(INDEX(Expenses!B$3:B$1002,SMALL(IF((Expenses!E$3:E$1002="INR")*(Expenses!A$3:A$1002=DATE(2026,1,21)),ROW(Expenses!A$3:A$1002)-2),3)),"")&lt;&gt;"",IFERROR(INDEX(Expenses!B$3:B$1002,SMALL(IF((Expenses!E$3:E$1002="INR")*(Expenses!A$3:A$1002=DATE(2026,1,21)),ROW(Expenses!A$3:A$1002)-2),3)),""),IF(IFERROR(INDEX(Income!B$3:B$502,SMALL(IF((Income!D$3:D$502="INR")*(Income!A$3:A$502=DATE(2026,1,21)),ROW(Income!A$3:A$502)-2),3)),"")&lt;&gt;"",IFERROR(INDEX(Income!B$3:B$502,SMALL(IF((Income!D$3:D$502="INR")*(Income!A$3:A$502=DATE(2026,1,21)),ROW(Income!A$3:A$502)-2),3)),""),""))</f>
        <v/>
      </c>
      <c r="I21" s="63" t="str">
        <f aca="false">IF(IFERROR(-INDEX(Expenses!D$3:D$1002,SMALL(IF((Expenses!E$3:E$1002="INR")*(Expenses!A$3:A$1002=DATE(2026,1,22)),ROW(Expenses!A$3:A$1002)-2),3)),0)+IFERROR(INDEX(Income!C$3:C$502,SMALL(IF((Income!D$3:D$502="INR")*(Income!A$3:A$502=DATE(2026,1,22)),ROW(Income!A$3:A$502)-2),3)),0)=0,"",IFERROR(-INDEX(Expenses!D$3:D$1002,SMALL(IF((Expenses!E$3:E$1002="INR")*(Expenses!A$3:A$1002=DATE(2026,1,22)),ROW(Expenses!A$3:A$1002)-2),3)),0)+IFERROR(INDEX(Income!C$3:C$502,SMALL(IF((Income!D$3:D$502="INR")*(Income!A$3:A$502=DATE(2026,1,22)),ROW(Income!A$3:A$502)-2),3)),0))</f>
        <v/>
      </c>
      <c r="J21" s="38" t="str">
        <f aca="false">IF(IFERROR(INDEX(Expenses!B$3:B$1002,SMALL(IF((Expenses!E$3:E$1002="INR")*(Expenses!A$3:A$1002=DATE(2026,1,22)),ROW(Expenses!A$3:A$1002)-2),3)),"")&lt;&gt;"",IFERROR(INDEX(Expenses!B$3:B$1002,SMALL(IF((Expenses!E$3:E$1002="INR")*(Expenses!A$3:A$1002=DATE(2026,1,22)),ROW(Expenses!A$3:A$1002)-2),3)),""),IF(IFERROR(INDEX(Income!B$3:B$502,SMALL(IF((Income!D$3:D$502="INR")*(Income!A$3:A$502=DATE(2026,1,22)),ROW(Income!A$3:A$502)-2),3)),"")&lt;&gt;"",IFERROR(INDEX(Income!B$3:B$502,SMALL(IF((Income!D$3:D$502="INR")*(Income!A$3:A$502=DATE(2026,1,22)),ROW(Income!A$3:A$502)-2),3)),""),""))</f>
        <v/>
      </c>
      <c r="K21" s="63" t="str">
        <f aca="false">IF(IFERROR(-INDEX(Expenses!D$3:D$1002,SMALL(IF((Expenses!E$3:E$1002="INR")*(Expenses!A$3:A$1002=DATE(2026,1,23)),ROW(Expenses!A$3:A$1002)-2),3)),0)+IFERROR(INDEX(Income!C$3:C$502,SMALL(IF((Income!D$3:D$502="INR")*(Income!A$3:A$502=DATE(2026,1,23)),ROW(Income!A$3:A$502)-2),3)),0)=0,"",IFERROR(-INDEX(Expenses!D$3:D$1002,SMALL(IF((Expenses!E$3:E$1002="INR")*(Expenses!A$3:A$1002=DATE(2026,1,23)),ROW(Expenses!A$3:A$1002)-2),3)),0)+IFERROR(INDEX(Income!C$3:C$502,SMALL(IF((Income!D$3:D$502="INR")*(Income!A$3:A$502=DATE(2026,1,23)),ROW(Income!A$3:A$502)-2),3)),0))</f>
        <v/>
      </c>
      <c r="L21" s="38" t="str">
        <f aca="false">IF(IFERROR(INDEX(Expenses!B$3:B$1002,SMALL(IF((Expenses!E$3:E$1002="INR")*(Expenses!A$3:A$1002=DATE(2026,1,23)),ROW(Expenses!A$3:A$1002)-2),3)),"")&lt;&gt;"",IFERROR(INDEX(Expenses!B$3:B$1002,SMALL(IF((Expenses!E$3:E$1002="INR")*(Expenses!A$3:A$1002=DATE(2026,1,23)),ROW(Expenses!A$3:A$1002)-2),3)),""),IF(IFERROR(INDEX(Income!B$3:B$502,SMALL(IF((Income!D$3:D$502="INR")*(Income!A$3:A$502=DATE(2026,1,23)),ROW(Income!A$3:A$502)-2),3)),"")&lt;&gt;"",IFERROR(INDEX(Income!B$3:B$502,SMALL(IF((Income!D$3:D$502="INR")*(Income!A$3:A$502=DATE(2026,1,23)),ROW(Income!A$3:A$502)-2),3)),""),""))</f>
        <v/>
      </c>
      <c r="M21" s="63" t="str">
        <f aca="false">IF(IFERROR(-INDEX(Expenses!D$3:D$1002,SMALL(IF((Expenses!E$3:E$1002="INR")*(Expenses!A$3:A$1002=DATE(2026,1,24)),ROW(Expenses!A$3:A$1002)-2),3)),0)+IFERROR(INDEX(Income!C$3:C$502,SMALL(IF((Income!D$3:D$502="INR")*(Income!A$3:A$502=DATE(2026,1,24)),ROW(Income!A$3:A$502)-2),3)),0)=0,"",IFERROR(-INDEX(Expenses!D$3:D$1002,SMALL(IF((Expenses!E$3:E$1002="INR")*(Expenses!A$3:A$1002=DATE(2026,1,24)),ROW(Expenses!A$3:A$1002)-2),3)),0)+IFERROR(INDEX(Income!C$3:C$502,SMALL(IF((Income!D$3:D$502="INR")*(Income!A$3:A$502=DATE(2026,1,24)),ROW(Income!A$3:A$502)-2),3)),0))</f>
        <v/>
      </c>
      <c r="N21" s="38" t="str">
        <f aca="false">IF(IFERROR(INDEX(Expenses!B$3:B$1002,SMALL(IF((Expenses!E$3:E$1002="INR")*(Expenses!A$3:A$1002=DATE(2026,1,24)),ROW(Expenses!A$3:A$1002)-2),3)),"")&lt;&gt;"",IFERROR(INDEX(Expenses!B$3:B$1002,SMALL(IF((Expenses!E$3:E$1002="INR")*(Expenses!A$3:A$1002=DATE(2026,1,24)),ROW(Expenses!A$3:A$1002)-2),3)),""),IF(IFERROR(INDEX(Income!B$3:B$502,SMALL(IF((Income!D$3:D$502="INR")*(Income!A$3:A$502=DATE(2026,1,24)),ROW(Income!A$3:A$502)-2),3)),"")&lt;&gt;"",IFERROR(INDEX(Income!B$3:B$502,SMALL(IF((Income!D$3:D$502="INR")*(Income!A$3:A$502=DATE(2026,1,24)),ROW(Income!A$3:A$502)-2),3)),""),""))</f>
        <v/>
      </c>
      <c r="O21" s="63" t="str">
        <f aca="false">IF(IFERROR(-INDEX(Expenses!D$3:D$1002,SMALL(IF((Expenses!E$3:E$1002="INR")*(Expenses!A$3:A$1002=DATE(2026,1,25)),ROW(Expenses!A$3:A$1002)-2),3)),0)+IFERROR(INDEX(Income!C$3:C$502,SMALL(IF((Income!D$3:D$502="INR")*(Income!A$3:A$502=DATE(2026,1,25)),ROW(Income!A$3:A$502)-2),3)),0)=0,"",IFERROR(-INDEX(Expenses!D$3:D$1002,SMALL(IF((Expenses!E$3:E$1002="INR")*(Expenses!A$3:A$1002=DATE(2026,1,25)),ROW(Expenses!A$3:A$1002)-2),3)),0)+IFERROR(INDEX(Income!C$3:C$502,SMALL(IF((Income!D$3:D$502="INR")*(Income!A$3:A$502=DATE(2026,1,25)),ROW(Income!A$3:A$502)-2),3)),0))</f>
        <v/>
      </c>
      <c r="P21" s="38" t="str">
        <f aca="false">IF(IFERROR(INDEX(Expenses!B$3:B$1002,SMALL(IF((Expenses!E$3:E$1002="INR")*(Expenses!A$3:A$1002=DATE(2026,1,25)),ROW(Expenses!A$3:A$1002)-2),3)),"")&lt;&gt;"",IFERROR(INDEX(Expenses!B$3:B$1002,SMALL(IF((Expenses!E$3:E$1002="INR")*(Expenses!A$3:A$1002=DATE(2026,1,25)),ROW(Expenses!A$3:A$1002)-2),3)),""),IF(IFERROR(INDEX(Income!B$3:B$502,SMALL(IF((Income!D$3:D$502="INR")*(Income!A$3:A$502=DATE(2026,1,25)),ROW(Income!A$3:A$502)-2),3)),"")&lt;&gt;"",IFERROR(INDEX(Income!B$3:B$502,SMALL(IF((Income!D$3:D$502="INR")*(Income!A$3:A$502=DATE(2026,1,25)),ROW(Income!A$3:A$502)-2),3)),""),""))</f>
        <v/>
      </c>
      <c r="Q21" s="16"/>
      <c r="R21" s="16"/>
    </row>
    <row r="22" customFormat="false" ht="15" hidden="false" customHeight="false" outlineLevel="0" collapsed="false">
      <c r="A22" s="16"/>
      <c r="B22" s="16"/>
      <c r="C22" s="63" t="str">
        <f aca="false">IF(IFERROR(-INDEX(Expenses!D$3:D$1002,SMALL(IF((Expenses!E$3:E$1002="INR")*(Expenses!A$3:A$1002=DATE(2026,1,19)),ROW(Expenses!A$3:A$1002)-2),4)),0)+IFERROR(INDEX(Income!C$3:C$502,SMALL(IF((Income!D$3:D$502="INR")*(Income!A$3:A$502=DATE(2026,1,19)),ROW(Income!A$3:A$502)-2),4)),0)=0,"",IFERROR(-INDEX(Expenses!D$3:D$1002,SMALL(IF((Expenses!E$3:E$1002="INR")*(Expenses!A$3:A$1002=DATE(2026,1,19)),ROW(Expenses!A$3:A$1002)-2),4)),0)+IFERROR(INDEX(Income!C$3:C$502,SMALL(IF((Income!D$3:D$502="INR")*(Income!A$3:A$502=DATE(2026,1,19)),ROW(Income!A$3:A$502)-2),4)),0))</f>
        <v/>
      </c>
      <c r="D22" s="38" t="str">
        <f aca="false">IF(IFERROR(INDEX(Expenses!B$3:B$1002,SMALL(IF((Expenses!E$3:E$1002="INR")*(Expenses!A$3:A$1002=DATE(2026,1,19)),ROW(Expenses!A$3:A$1002)-2),4)),"")&lt;&gt;"",IFERROR(INDEX(Expenses!B$3:B$1002,SMALL(IF((Expenses!E$3:E$1002="INR")*(Expenses!A$3:A$1002=DATE(2026,1,19)),ROW(Expenses!A$3:A$1002)-2),4)),""),IF(IFERROR(INDEX(Income!B$3:B$502,SMALL(IF((Income!D$3:D$502="INR")*(Income!A$3:A$502=DATE(2026,1,19)),ROW(Income!A$3:A$502)-2),4)),"")&lt;&gt;"",IFERROR(INDEX(Income!B$3:B$502,SMALL(IF((Income!D$3:D$502="INR")*(Income!A$3:A$502=DATE(2026,1,19)),ROW(Income!A$3:A$502)-2),4)),""),""))</f>
        <v/>
      </c>
      <c r="E22" s="63" t="str">
        <f aca="false">IF(IFERROR(-INDEX(Expenses!D$3:D$1002,SMALL(IF((Expenses!E$3:E$1002="INR")*(Expenses!A$3:A$1002=DATE(2026,1,20)),ROW(Expenses!A$3:A$1002)-2),4)),0)+IFERROR(INDEX(Income!C$3:C$502,SMALL(IF((Income!D$3:D$502="INR")*(Income!A$3:A$502=DATE(2026,1,20)),ROW(Income!A$3:A$502)-2),4)),0)=0,"",IFERROR(-INDEX(Expenses!D$3:D$1002,SMALL(IF((Expenses!E$3:E$1002="INR")*(Expenses!A$3:A$1002=DATE(2026,1,20)),ROW(Expenses!A$3:A$1002)-2),4)),0)+IFERROR(INDEX(Income!C$3:C$502,SMALL(IF((Income!D$3:D$502="INR")*(Income!A$3:A$502=DATE(2026,1,20)),ROW(Income!A$3:A$502)-2),4)),0))</f>
        <v/>
      </c>
      <c r="F22" s="38" t="str">
        <f aca="false">IF(IFERROR(INDEX(Expenses!B$3:B$1002,SMALL(IF((Expenses!E$3:E$1002="INR")*(Expenses!A$3:A$1002=DATE(2026,1,20)),ROW(Expenses!A$3:A$1002)-2),4)),"")&lt;&gt;"",IFERROR(INDEX(Expenses!B$3:B$1002,SMALL(IF((Expenses!E$3:E$1002="INR")*(Expenses!A$3:A$1002=DATE(2026,1,20)),ROW(Expenses!A$3:A$1002)-2),4)),""),IF(IFERROR(INDEX(Income!B$3:B$502,SMALL(IF((Income!D$3:D$502="INR")*(Income!A$3:A$502=DATE(2026,1,20)),ROW(Income!A$3:A$502)-2),4)),"")&lt;&gt;"",IFERROR(INDEX(Income!B$3:B$502,SMALL(IF((Income!D$3:D$502="INR")*(Income!A$3:A$502=DATE(2026,1,20)),ROW(Income!A$3:A$502)-2),4)),""),""))</f>
        <v/>
      </c>
      <c r="G22" s="63" t="str">
        <f aca="false">IF(IFERROR(-INDEX(Expenses!D$3:D$1002,SMALL(IF((Expenses!E$3:E$1002="INR")*(Expenses!A$3:A$1002=DATE(2026,1,21)),ROW(Expenses!A$3:A$1002)-2),4)),0)+IFERROR(INDEX(Income!C$3:C$502,SMALL(IF((Income!D$3:D$502="INR")*(Income!A$3:A$502=DATE(2026,1,21)),ROW(Income!A$3:A$502)-2),4)),0)=0,"",IFERROR(-INDEX(Expenses!D$3:D$1002,SMALL(IF((Expenses!E$3:E$1002="INR")*(Expenses!A$3:A$1002=DATE(2026,1,21)),ROW(Expenses!A$3:A$1002)-2),4)),0)+IFERROR(INDEX(Income!C$3:C$502,SMALL(IF((Income!D$3:D$502="INR")*(Income!A$3:A$502=DATE(2026,1,21)),ROW(Income!A$3:A$502)-2),4)),0))</f>
        <v/>
      </c>
      <c r="H22" s="38" t="str">
        <f aca="false">IF(IFERROR(INDEX(Expenses!B$3:B$1002,SMALL(IF((Expenses!E$3:E$1002="INR")*(Expenses!A$3:A$1002=DATE(2026,1,21)),ROW(Expenses!A$3:A$1002)-2),4)),"")&lt;&gt;"",IFERROR(INDEX(Expenses!B$3:B$1002,SMALL(IF((Expenses!E$3:E$1002="INR")*(Expenses!A$3:A$1002=DATE(2026,1,21)),ROW(Expenses!A$3:A$1002)-2),4)),""),IF(IFERROR(INDEX(Income!B$3:B$502,SMALL(IF((Income!D$3:D$502="INR")*(Income!A$3:A$502=DATE(2026,1,21)),ROW(Income!A$3:A$502)-2),4)),"")&lt;&gt;"",IFERROR(INDEX(Income!B$3:B$502,SMALL(IF((Income!D$3:D$502="INR")*(Income!A$3:A$502=DATE(2026,1,21)),ROW(Income!A$3:A$502)-2),4)),""),""))</f>
        <v/>
      </c>
      <c r="I22" s="63" t="str">
        <f aca="false">IF(IFERROR(-INDEX(Expenses!D$3:D$1002,SMALL(IF((Expenses!E$3:E$1002="INR")*(Expenses!A$3:A$1002=DATE(2026,1,22)),ROW(Expenses!A$3:A$1002)-2),4)),0)+IFERROR(INDEX(Income!C$3:C$502,SMALL(IF((Income!D$3:D$502="INR")*(Income!A$3:A$502=DATE(2026,1,22)),ROW(Income!A$3:A$502)-2),4)),0)=0,"",IFERROR(-INDEX(Expenses!D$3:D$1002,SMALL(IF((Expenses!E$3:E$1002="INR")*(Expenses!A$3:A$1002=DATE(2026,1,22)),ROW(Expenses!A$3:A$1002)-2),4)),0)+IFERROR(INDEX(Income!C$3:C$502,SMALL(IF((Income!D$3:D$502="INR")*(Income!A$3:A$502=DATE(2026,1,22)),ROW(Income!A$3:A$502)-2),4)),0))</f>
        <v/>
      </c>
      <c r="J22" s="38" t="str">
        <f aca="false">IF(IFERROR(INDEX(Expenses!B$3:B$1002,SMALL(IF((Expenses!E$3:E$1002="INR")*(Expenses!A$3:A$1002=DATE(2026,1,22)),ROW(Expenses!A$3:A$1002)-2),4)),"")&lt;&gt;"",IFERROR(INDEX(Expenses!B$3:B$1002,SMALL(IF((Expenses!E$3:E$1002="INR")*(Expenses!A$3:A$1002=DATE(2026,1,22)),ROW(Expenses!A$3:A$1002)-2),4)),""),IF(IFERROR(INDEX(Income!B$3:B$502,SMALL(IF((Income!D$3:D$502="INR")*(Income!A$3:A$502=DATE(2026,1,22)),ROW(Income!A$3:A$502)-2),4)),"")&lt;&gt;"",IFERROR(INDEX(Income!B$3:B$502,SMALL(IF((Income!D$3:D$502="INR")*(Income!A$3:A$502=DATE(2026,1,22)),ROW(Income!A$3:A$502)-2),4)),""),""))</f>
        <v/>
      </c>
      <c r="K22" s="63" t="str">
        <f aca="false">IF(IFERROR(-INDEX(Expenses!D$3:D$1002,SMALL(IF((Expenses!E$3:E$1002="INR")*(Expenses!A$3:A$1002=DATE(2026,1,23)),ROW(Expenses!A$3:A$1002)-2),4)),0)+IFERROR(INDEX(Income!C$3:C$502,SMALL(IF((Income!D$3:D$502="INR")*(Income!A$3:A$502=DATE(2026,1,23)),ROW(Income!A$3:A$502)-2),4)),0)=0,"",IFERROR(-INDEX(Expenses!D$3:D$1002,SMALL(IF((Expenses!E$3:E$1002="INR")*(Expenses!A$3:A$1002=DATE(2026,1,23)),ROW(Expenses!A$3:A$1002)-2),4)),0)+IFERROR(INDEX(Income!C$3:C$502,SMALL(IF((Income!D$3:D$502="INR")*(Income!A$3:A$502=DATE(2026,1,23)),ROW(Income!A$3:A$502)-2),4)),0))</f>
        <v/>
      </c>
      <c r="L22" s="38" t="str">
        <f aca="false">IF(IFERROR(INDEX(Expenses!B$3:B$1002,SMALL(IF((Expenses!E$3:E$1002="INR")*(Expenses!A$3:A$1002=DATE(2026,1,23)),ROW(Expenses!A$3:A$1002)-2),4)),"")&lt;&gt;"",IFERROR(INDEX(Expenses!B$3:B$1002,SMALL(IF((Expenses!E$3:E$1002="INR")*(Expenses!A$3:A$1002=DATE(2026,1,23)),ROW(Expenses!A$3:A$1002)-2),4)),""),IF(IFERROR(INDEX(Income!B$3:B$502,SMALL(IF((Income!D$3:D$502="INR")*(Income!A$3:A$502=DATE(2026,1,23)),ROW(Income!A$3:A$502)-2),4)),"")&lt;&gt;"",IFERROR(INDEX(Income!B$3:B$502,SMALL(IF((Income!D$3:D$502="INR")*(Income!A$3:A$502=DATE(2026,1,23)),ROW(Income!A$3:A$502)-2),4)),""),""))</f>
        <v/>
      </c>
      <c r="M22" s="63" t="str">
        <f aca="false">IF(IFERROR(-INDEX(Expenses!D$3:D$1002,SMALL(IF((Expenses!E$3:E$1002="INR")*(Expenses!A$3:A$1002=DATE(2026,1,24)),ROW(Expenses!A$3:A$1002)-2),4)),0)+IFERROR(INDEX(Income!C$3:C$502,SMALL(IF((Income!D$3:D$502="INR")*(Income!A$3:A$502=DATE(2026,1,24)),ROW(Income!A$3:A$502)-2),4)),0)=0,"",IFERROR(-INDEX(Expenses!D$3:D$1002,SMALL(IF((Expenses!E$3:E$1002="INR")*(Expenses!A$3:A$1002=DATE(2026,1,24)),ROW(Expenses!A$3:A$1002)-2),4)),0)+IFERROR(INDEX(Income!C$3:C$502,SMALL(IF((Income!D$3:D$502="INR")*(Income!A$3:A$502=DATE(2026,1,24)),ROW(Income!A$3:A$502)-2),4)),0))</f>
        <v/>
      </c>
      <c r="N22" s="38" t="str">
        <f aca="false">IF(IFERROR(INDEX(Expenses!B$3:B$1002,SMALL(IF((Expenses!E$3:E$1002="INR")*(Expenses!A$3:A$1002=DATE(2026,1,24)),ROW(Expenses!A$3:A$1002)-2),4)),"")&lt;&gt;"",IFERROR(INDEX(Expenses!B$3:B$1002,SMALL(IF((Expenses!E$3:E$1002="INR")*(Expenses!A$3:A$1002=DATE(2026,1,24)),ROW(Expenses!A$3:A$1002)-2),4)),""),IF(IFERROR(INDEX(Income!B$3:B$502,SMALL(IF((Income!D$3:D$502="INR")*(Income!A$3:A$502=DATE(2026,1,24)),ROW(Income!A$3:A$502)-2),4)),"")&lt;&gt;"",IFERROR(INDEX(Income!B$3:B$502,SMALL(IF((Income!D$3:D$502="INR")*(Income!A$3:A$502=DATE(2026,1,24)),ROW(Income!A$3:A$502)-2),4)),""),""))</f>
        <v/>
      </c>
      <c r="O22" s="63" t="str">
        <f aca="false">IF(IFERROR(-INDEX(Expenses!D$3:D$1002,SMALL(IF((Expenses!E$3:E$1002="INR")*(Expenses!A$3:A$1002=DATE(2026,1,25)),ROW(Expenses!A$3:A$1002)-2),4)),0)+IFERROR(INDEX(Income!C$3:C$502,SMALL(IF((Income!D$3:D$502="INR")*(Income!A$3:A$502=DATE(2026,1,25)),ROW(Income!A$3:A$502)-2),4)),0)=0,"",IFERROR(-INDEX(Expenses!D$3:D$1002,SMALL(IF((Expenses!E$3:E$1002="INR")*(Expenses!A$3:A$1002=DATE(2026,1,25)),ROW(Expenses!A$3:A$1002)-2),4)),0)+IFERROR(INDEX(Income!C$3:C$502,SMALL(IF((Income!D$3:D$502="INR")*(Income!A$3:A$502=DATE(2026,1,25)),ROW(Income!A$3:A$502)-2),4)),0))</f>
        <v/>
      </c>
      <c r="P22" s="38" t="str">
        <f aca="false">IF(IFERROR(INDEX(Expenses!B$3:B$1002,SMALL(IF((Expenses!E$3:E$1002="INR")*(Expenses!A$3:A$1002=DATE(2026,1,25)),ROW(Expenses!A$3:A$1002)-2),4)),"")&lt;&gt;"",IFERROR(INDEX(Expenses!B$3:B$1002,SMALL(IF((Expenses!E$3:E$1002="INR")*(Expenses!A$3:A$1002=DATE(2026,1,25)),ROW(Expenses!A$3:A$1002)-2),4)),""),IF(IFERROR(INDEX(Income!B$3:B$502,SMALL(IF((Income!D$3:D$502="INR")*(Income!A$3:A$502=DATE(2026,1,25)),ROW(Income!A$3:A$502)-2),4)),"")&lt;&gt;"",IFERROR(INDEX(Income!B$3:B$502,SMALL(IF((Income!D$3:D$502="INR")*(Income!A$3:A$502=DATE(2026,1,25)),ROW(Income!A$3:A$502)-2),4)),""),""))</f>
        <v/>
      </c>
      <c r="Q22" s="16"/>
      <c r="R22" s="16"/>
    </row>
    <row r="23" customFormat="false" ht="15" hidden="false" customHeight="false" outlineLevel="0" collapsed="false">
      <c r="A23" s="16"/>
      <c r="B23" s="16"/>
      <c r="C23" s="63" t="str">
        <f aca="false">IF(IFERROR(-INDEX(Expenses!D$3:D$1002,SMALL(IF((Expenses!E$3:E$1002="INR")*(Expenses!A$3:A$1002=DATE(2026,1,19)),ROW(Expenses!A$3:A$1002)-2),5)),0)+IFERROR(INDEX(Income!C$3:C$502,SMALL(IF((Income!D$3:D$502="INR")*(Income!A$3:A$502=DATE(2026,1,19)),ROW(Income!A$3:A$502)-2),5)),0)=0,"",IFERROR(-INDEX(Expenses!D$3:D$1002,SMALL(IF((Expenses!E$3:E$1002="INR")*(Expenses!A$3:A$1002=DATE(2026,1,19)),ROW(Expenses!A$3:A$1002)-2),5)),0)+IFERROR(INDEX(Income!C$3:C$502,SMALL(IF((Income!D$3:D$502="INR")*(Income!A$3:A$502=DATE(2026,1,19)),ROW(Income!A$3:A$502)-2),5)),0))</f>
        <v/>
      </c>
      <c r="D23" s="38" t="str">
        <f aca="false">IF(IFERROR(INDEX(Expenses!B$3:B$1002,SMALL(IF((Expenses!E$3:E$1002="INR")*(Expenses!A$3:A$1002=DATE(2026,1,19)),ROW(Expenses!A$3:A$1002)-2),5)),"")&lt;&gt;"",IFERROR(INDEX(Expenses!B$3:B$1002,SMALL(IF((Expenses!E$3:E$1002="INR")*(Expenses!A$3:A$1002=DATE(2026,1,19)),ROW(Expenses!A$3:A$1002)-2),5)),""),IF(IFERROR(INDEX(Income!B$3:B$502,SMALL(IF((Income!D$3:D$502="INR")*(Income!A$3:A$502=DATE(2026,1,19)),ROW(Income!A$3:A$502)-2),5)),"")&lt;&gt;"",IFERROR(INDEX(Income!B$3:B$502,SMALL(IF((Income!D$3:D$502="INR")*(Income!A$3:A$502=DATE(2026,1,19)),ROW(Income!A$3:A$502)-2),5)),""),""))</f>
        <v/>
      </c>
      <c r="E23" s="63" t="str">
        <f aca="false">IF(IFERROR(-INDEX(Expenses!D$3:D$1002,SMALL(IF((Expenses!E$3:E$1002="INR")*(Expenses!A$3:A$1002=DATE(2026,1,20)),ROW(Expenses!A$3:A$1002)-2),5)),0)+IFERROR(INDEX(Income!C$3:C$502,SMALL(IF((Income!D$3:D$502="INR")*(Income!A$3:A$502=DATE(2026,1,20)),ROW(Income!A$3:A$502)-2),5)),0)=0,"",IFERROR(-INDEX(Expenses!D$3:D$1002,SMALL(IF((Expenses!E$3:E$1002="INR")*(Expenses!A$3:A$1002=DATE(2026,1,20)),ROW(Expenses!A$3:A$1002)-2),5)),0)+IFERROR(INDEX(Income!C$3:C$502,SMALL(IF((Income!D$3:D$502="INR")*(Income!A$3:A$502=DATE(2026,1,20)),ROW(Income!A$3:A$502)-2),5)),0))</f>
        <v/>
      </c>
      <c r="F23" s="38" t="str">
        <f aca="false">IF(IFERROR(INDEX(Expenses!B$3:B$1002,SMALL(IF((Expenses!E$3:E$1002="INR")*(Expenses!A$3:A$1002=DATE(2026,1,20)),ROW(Expenses!A$3:A$1002)-2),5)),"")&lt;&gt;"",IFERROR(INDEX(Expenses!B$3:B$1002,SMALL(IF((Expenses!E$3:E$1002="INR")*(Expenses!A$3:A$1002=DATE(2026,1,20)),ROW(Expenses!A$3:A$1002)-2),5)),""),IF(IFERROR(INDEX(Income!B$3:B$502,SMALL(IF((Income!D$3:D$502="INR")*(Income!A$3:A$502=DATE(2026,1,20)),ROW(Income!A$3:A$502)-2),5)),"")&lt;&gt;"",IFERROR(INDEX(Income!B$3:B$502,SMALL(IF((Income!D$3:D$502="INR")*(Income!A$3:A$502=DATE(2026,1,20)),ROW(Income!A$3:A$502)-2),5)),""),""))</f>
        <v/>
      </c>
      <c r="G23" s="63" t="str">
        <f aca="false">IF(IFERROR(-INDEX(Expenses!D$3:D$1002,SMALL(IF((Expenses!E$3:E$1002="INR")*(Expenses!A$3:A$1002=DATE(2026,1,21)),ROW(Expenses!A$3:A$1002)-2),5)),0)+IFERROR(INDEX(Income!C$3:C$502,SMALL(IF((Income!D$3:D$502="INR")*(Income!A$3:A$502=DATE(2026,1,21)),ROW(Income!A$3:A$502)-2),5)),0)=0,"",IFERROR(-INDEX(Expenses!D$3:D$1002,SMALL(IF((Expenses!E$3:E$1002="INR")*(Expenses!A$3:A$1002=DATE(2026,1,21)),ROW(Expenses!A$3:A$1002)-2),5)),0)+IFERROR(INDEX(Income!C$3:C$502,SMALL(IF((Income!D$3:D$502="INR")*(Income!A$3:A$502=DATE(2026,1,21)),ROW(Income!A$3:A$502)-2),5)),0))</f>
        <v/>
      </c>
      <c r="H23" s="38" t="str">
        <f aca="false">IF(IFERROR(INDEX(Expenses!B$3:B$1002,SMALL(IF((Expenses!E$3:E$1002="INR")*(Expenses!A$3:A$1002=DATE(2026,1,21)),ROW(Expenses!A$3:A$1002)-2),5)),"")&lt;&gt;"",IFERROR(INDEX(Expenses!B$3:B$1002,SMALL(IF((Expenses!E$3:E$1002="INR")*(Expenses!A$3:A$1002=DATE(2026,1,21)),ROW(Expenses!A$3:A$1002)-2),5)),""),IF(IFERROR(INDEX(Income!B$3:B$502,SMALL(IF((Income!D$3:D$502="INR")*(Income!A$3:A$502=DATE(2026,1,21)),ROW(Income!A$3:A$502)-2),5)),"")&lt;&gt;"",IFERROR(INDEX(Income!B$3:B$502,SMALL(IF((Income!D$3:D$502="INR")*(Income!A$3:A$502=DATE(2026,1,21)),ROW(Income!A$3:A$502)-2),5)),""),""))</f>
        <v/>
      </c>
      <c r="I23" s="63" t="str">
        <f aca="false">IF(IFERROR(-INDEX(Expenses!D$3:D$1002,SMALL(IF((Expenses!E$3:E$1002="INR")*(Expenses!A$3:A$1002=DATE(2026,1,22)),ROW(Expenses!A$3:A$1002)-2),5)),0)+IFERROR(INDEX(Income!C$3:C$502,SMALL(IF((Income!D$3:D$502="INR")*(Income!A$3:A$502=DATE(2026,1,22)),ROW(Income!A$3:A$502)-2),5)),0)=0,"",IFERROR(-INDEX(Expenses!D$3:D$1002,SMALL(IF((Expenses!E$3:E$1002="INR")*(Expenses!A$3:A$1002=DATE(2026,1,22)),ROW(Expenses!A$3:A$1002)-2),5)),0)+IFERROR(INDEX(Income!C$3:C$502,SMALL(IF((Income!D$3:D$502="INR")*(Income!A$3:A$502=DATE(2026,1,22)),ROW(Income!A$3:A$502)-2),5)),0))</f>
        <v/>
      </c>
      <c r="J23" s="38" t="str">
        <f aca="false">IF(IFERROR(INDEX(Expenses!B$3:B$1002,SMALL(IF((Expenses!E$3:E$1002="INR")*(Expenses!A$3:A$1002=DATE(2026,1,22)),ROW(Expenses!A$3:A$1002)-2),5)),"")&lt;&gt;"",IFERROR(INDEX(Expenses!B$3:B$1002,SMALL(IF((Expenses!E$3:E$1002="INR")*(Expenses!A$3:A$1002=DATE(2026,1,22)),ROW(Expenses!A$3:A$1002)-2),5)),""),IF(IFERROR(INDEX(Income!B$3:B$502,SMALL(IF((Income!D$3:D$502="INR")*(Income!A$3:A$502=DATE(2026,1,22)),ROW(Income!A$3:A$502)-2),5)),"")&lt;&gt;"",IFERROR(INDEX(Income!B$3:B$502,SMALL(IF((Income!D$3:D$502="INR")*(Income!A$3:A$502=DATE(2026,1,22)),ROW(Income!A$3:A$502)-2),5)),""),""))</f>
        <v/>
      </c>
      <c r="K23" s="63" t="str">
        <f aca="false">IF(IFERROR(-INDEX(Expenses!D$3:D$1002,SMALL(IF((Expenses!E$3:E$1002="INR")*(Expenses!A$3:A$1002=DATE(2026,1,23)),ROW(Expenses!A$3:A$1002)-2),5)),0)+IFERROR(INDEX(Income!C$3:C$502,SMALL(IF((Income!D$3:D$502="INR")*(Income!A$3:A$502=DATE(2026,1,23)),ROW(Income!A$3:A$502)-2),5)),0)=0,"",IFERROR(-INDEX(Expenses!D$3:D$1002,SMALL(IF((Expenses!E$3:E$1002="INR")*(Expenses!A$3:A$1002=DATE(2026,1,23)),ROW(Expenses!A$3:A$1002)-2),5)),0)+IFERROR(INDEX(Income!C$3:C$502,SMALL(IF((Income!D$3:D$502="INR")*(Income!A$3:A$502=DATE(2026,1,23)),ROW(Income!A$3:A$502)-2),5)),0))</f>
        <v/>
      </c>
      <c r="L23" s="38" t="str">
        <f aca="false">IF(IFERROR(INDEX(Expenses!B$3:B$1002,SMALL(IF((Expenses!E$3:E$1002="INR")*(Expenses!A$3:A$1002=DATE(2026,1,23)),ROW(Expenses!A$3:A$1002)-2),5)),"")&lt;&gt;"",IFERROR(INDEX(Expenses!B$3:B$1002,SMALL(IF((Expenses!E$3:E$1002="INR")*(Expenses!A$3:A$1002=DATE(2026,1,23)),ROW(Expenses!A$3:A$1002)-2),5)),""),IF(IFERROR(INDEX(Income!B$3:B$502,SMALL(IF((Income!D$3:D$502="INR")*(Income!A$3:A$502=DATE(2026,1,23)),ROW(Income!A$3:A$502)-2),5)),"")&lt;&gt;"",IFERROR(INDEX(Income!B$3:B$502,SMALL(IF((Income!D$3:D$502="INR")*(Income!A$3:A$502=DATE(2026,1,23)),ROW(Income!A$3:A$502)-2),5)),""),""))</f>
        <v/>
      </c>
      <c r="M23" s="63" t="str">
        <f aca="false">IF(IFERROR(-INDEX(Expenses!D$3:D$1002,SMALL(IF((Expenses!E$3:E$1002="INR")*(Expenses!A$3:A$1002=DATE(2026,1,24)),ROW(Expenses!A$3:A$1002)-2),5)),0)+IFERROR(INDEX(Income!C$3:C$502,SMALL(IF((Income!D$3:D$502="INR")*(Income!A$3:A$502=DATE(2026,1,24)),ROW(Income!A$3:A$502)-2),5)),0)=0,"",IFERROR(-INDEX(Expenses!D$3:D$1002,SMALL(IF((Expenses!E$3:E$1002="INR")*(Expenses!A$3:A$1002=DATE(2026,1,24)),ROW(Expenses!A$3:A$1002)-2),5)),0)+IFERROR(INDEX(Income!C$3:C$502,SMALL(IF((Income!D$3:D$502="INR")*(Income!A$3:A$502=DATE(2026,1,24)),ROW(Income!A$3:A$502)-2),5)),0))</f>
        <v/>
      </c>
      <c r="N23" s="38" t="str">
        <f aca="false">IF(IFERROR(INDEX(Expenses!B$3:B$1002,SMALL(IF((Expenses!E$3:E$1002="INR")*(Expenses!A$3:A$1002=DATE(2026,1,24)),ROW(Expenses!A$3:A$1002)-2),5)),"")&lt;&gt;"",IFERROR(INDEX(Expenses!B$3:B$1002,SMALL(IF((Expenses!E$3:E$1002="INR")*(Expenses!A$3:A$1002=DATE(2026,1,24)),ROW(Expenses!A$3:A$1002)-2),5)),""),IF(IFERROR(INDEX(Income!B$3:B$502,SMALL(IF((Income!D$3:D$502="INR")*(Income!A$3:A$502=DATE(2026,1,24)),ROW(Income!A$3:A$502)-2),5)),"")&lt;&gt;"",IFERROR(INDEX(Income!B$3:B$502,SMALL(IF((Income!D$3:D$502="INR")*(Income!A$3:A$502=DATE(2026,1,24)),ROW(Income!A$3:A$502)-2),5)),""),""))</f>
        <v/>
      </c>
      <c r="O23" s="63" t="str">
        <f aca="false">IF(IFERROR(-INDEX(Expenses!D$3:D$1002,SMALL(IF((Expenses!E$3:E$1002="INR")*(Expenses!A$3:A$1002=DATE(2026,1,25)),ROW(Expenses!A$3:A$1002)-2),5)),0)+IFERROR(INDEX(Income!C$3:C$502,SMALL(IF((Income!D$3:D$502="INR")*(Income!A$3:A$502=DATE(2026,1,25)),ROW(Income!A$3:A$502)-2),5)),0)=0,"",IFERROR(-INDEX(Expenses!D$3:D$1002,SMALL(IF((Expenses!E$3:E$1002="INR")*(Expenses!A$3:A$1002=DATE(2026,1,25)),ROW(Expenses!A$3:A$1002)-2),5)),0)+IFERROR(INDEX(Income!C$3:C$502,SMALL(IF((Income!D$3:D$502="INR")*(Income!A$3:A$502=DATE(2026,1,25)),ROW(Income!A$3:A$502)-2),5)),0))</f>
        <v/>
      </c>
      <c r="P23" s="38" t="str">
        <f aca="false">IF(IFERROR(INDEX(Expenses!B$3:B$1002,SMALL(IF((Expenses!E$3:E$1002="INR")*(Expenses!A$3:A$1002=DATE(2026,1,25)),ROW(Expenses!A$3:A$1002)-2),5)),"")&lt;&gt;"",IFERROR(INDEX(Expenses!B$3:B$1002,SMALL(IF((Expenses!E$3:E$1002="INR")*(Expenses!A$3:A$1002=DATE(2026,1,25)),ROW(Expenses!A$3:A$1002)-2),5)),""),IF(IFERROR(INDEX(Income!B$3:B$502,SMALL(IF((Income!D$3:D$502="INR")*(Income!A$3:A$502=DATE(2026,1,25)),ROW(Income!A$3:A$502)-2),5)),"")&lt;&gt;"",IFERROR(INDEX(Income!B$3:B$502,SMALL(IF((Income!D$3:D$502="INR")*(Income!A$3:A$502=DATE(2026,1,25)),ROW(Income!A$3:A$502)-2),5)),""),""))</f>
        <v/>
      </c>
      <c r="Q23" s="16"/>
      <c r="R23" s="16"/>
    </row>
    <row r="24" customFormat="false" ht="15" hidden="false" customHeight="false" outlineLevel="0" collapsed="false">
      <c r="A24" s="61" t="n">
        <v>46048</v>
      </c>
      <c r="B24" s="3" t="n">
        <v>5</v>
      </c>
      <c r="C24" s="63" t="str">
        <f aca="false">IF(IFERROR(-INDEX(Expenses!D$3:D$1002,SMALL(IF((Expenses!E$3:E$1002="INR")*(Expenses!A$3:A$1002=DATE(2026,1,26)),ROW(Expenses!A$3:A$1002)-2),1)),0)+IFERROR(INDEX(Income!C$3:C$502,SMALL(IF((Income!D$3:D$502="INR")*(Income!A$3:A$502=DATE(2026,1,26)),ROW(Income!A$3:A$502)-2),1)),0)=0,"",IFERROR(-INDEX(Expenses!D$3:D$1002,SMALL(IF((Expenses!E$3:E$1002="INR")*(Expenses!A$3:A$1002=DATE(2026,1,26)),ROW(Expenses!A$3:A$1002)-2),1)),0)+IFERROR(INDEX(Income!C$3:C$502,SMALL(IF((Income!D$3:D$502="INR")*(Income!A$3:A$502=DATE(2026,1,26)),ROW(Income!A$3:A$502)-2),1)),0))</f>
        <v/>
      </c>
      <c r="D24" s="38" t="str">
        <f aca="false">IF(IFERROR(INDEX(Expenses!B$3:B$1002,SMALL(IF((Expenses!E$3:E$1002="INR")*(Expenses!A$3:A$1002=DATE(2026,1,26)),ROW(Expenses!A$3:A$1002)-2),1)),"")&lt;&gt;"",IFERROR(INDEX(Expenses!B$3:B$1002,SMALL(IF((Expenses!E$3:E$1002="INR")*(Expenses!A$3:A$1002=DATE(2026,1,26)),ROW(Expenses!A$3:A$1002)-2),1)),""),IF(IFERROR(INDEX(Income!B$3:B$502,SMALL(IF((Income!D$3:D$502="INR")*(Income!A$3:A$502=DATE(2026,1,26)),ROW(Income!A$3:A$502)-2),1)),"")&lt;&gt;"",IFERROR(INDEX(Income!B$3:B$502,SMALL(IF((Income!D$3:D$502="INR")*(Income!A$3:A$502=DATE(2026,1,26)),ROW(Income!A$3:A$502)-2),1)),""),""))</f>
        <v/>
      </c>
      <c r="E24" s="63" t="str">
        <f aca="false">IF(IFERROR(-INDEX(Expenses!D$3:D$1002,SMALL(IF((Expenses!E$3:E$1002="INR")*(Expenses!A$3:A$1002=DATE(2026,1,27)),ROW(Expenses!A$3:A$1002)-2),1)),0)+IFERROR(INDEX(Income!C$3:C$502,SMALL(IF((Income!D$3:D$502="INR")*(Income!A$3:A$502=DATE(2026,1,27)),ROW(Income!A$3:A$502)-2),1)),0)=0,"",IFERROR(-INDEX(Expenses!D$3:D$1002,SMALL(IF((Expenses!E$3:E$1002="INR")*(Expenses!A$3:A$1002=DATE(2026,1,27)),ROW(Expenses!A$3:A$1002)-2),1)),0)+IFERROR(INDEX(Income!C$3:C$502,SMALL(IF((Income!D$3:D$502="INR")*(Income!A$3:A$502=DATE(2026,1,27)),ROW(Income!A$3:A$502)-2),1)),0))</f>
        <v/>
      </c>
      <c r="F24" s="38" t="str">
        <f aca="false">IF(IFERROR(INDEX(Expenses!B$3:B$1002,SMALL(IF((Expenses!E$3:E$1002="INR")*(Expenses!A$3:A$1002=DATE(2026,1,27)),ROW(Expenses!A$3:A$1002)-2),1)),"")&lt;&gt;"",IFERROR(INDEX(Expenses!B$3:B$1002,SMALL(IF((Expenses!E$3:E$1002="INR")*(Expenses!A$3:A$1002=DATE(2026,1,27)),ROW(Expenses!A$3:A$1002)-2),1)),""),IF(IFERROR(INDEX(Income!B$3:B$502,SMALL(IF((Income!D$3:D$502="INR")*(Income!A$3:A$502=DATE(2026,1,27)),ROW(Income!A$3:A$502)-2),1)),"")&lt;&gt;"",IFERROR(INDEX(Income!B$3:B$502,SMALL(IF((Income!D$3:D$502="INR")*(Income!A$3:A$502=DATE(2026,1,27)),ROW(Income!A$3:A$502)-2),1)),""),""))</f>
        <v/>
      </c>
      <c r="G24" s="63" t="str">
        <f aca="false">IF(IFERROR(-INDEX(Expenses!D$3:D$1002,SMALL(IF((Expenses!E$3:E$1002="INR")*(Expenses!A$3:A$1002=DATE(2026,1,28)),ROW(Expenses!A$3:A$1002)-2),1)),0)+IFERROR(INDEX(Income!C$3:C$502,SMALL(IF((Income!D$3:D$502="INR")*(Income!A$3:A$502=DATE(2026,1,28)),ROW(Income!A$3:A$502)-2),1)),0)=0,"",IFERROR(-INDEX(Expenses!D$3:D$1002,SMALL(IF((Expenses!E$3:E$1002="INR")*(Expenses!A$3:A$1002=DATE(2026,1,28)),ROW(Expenses!A$3:A$1002)-2),1)),0)+IFERROR(INDEX(Income!C$3:C$502,SMALL(IF((Income!D$3:D$502="INR")*(Income!A$3:A$502=DATE(2026,1,28)),ROW(Income!A$3:A$502)-2),1)),0))</f>
        <v/>
      </c>
      <c r="H24" s="38" t="str">
        <f aca="false">IF(IFERROR(INDEX(Expenses!B$3:B$1002,SMALL(IF((Expenses!E$3:E$1002="INR")*(Expenses!A$3:A$1002=DATE(2026,1,28)),ROW(Expenses!A$3:A$1002)-2),1)),"")&lt;&gt;"",IFERROR(INDEX(Expenses!B$3:B$1002,SMALL(IF((Expenses!E$3:E$1002="INR")*(Expenses!A$3:A$1002=DATE(2026,1,28)),ROW(Expenses!A$3:A$1002)-2),1)),""),IF(IFERROR(INDEX(Income!B$3:B$502,SMALL(IF((Income!D$3:D$502="INR")*(Income!A$3:A$502=DATE(2026,1,28)),ROW(Income!A$3:A$502)-2),1)),"")&lt;&gt;"",IFERROR(INDEX(Income!B$3:B$502,SMALL(IF((Income!D$3:D$502="INR")*(Income!A$3:A$502=DATE(2026,1,28)),ROW(Income!A$3:A$502)-2),1)),""),""))</f>
        <v/>
      </c>
      <c r="I24" s="63" t="str">
        <f aca="false">IF(IFERROR(-INDEX(Expenses!D$3:D$1002,SMALL(IF((Expenses!E$3:E$1002="INR")*(Expenses!A$3:A$1002=DATE(2026,1,29)),ROW(Expenses!A$3:A$1002)-2),1)),0)+IFERROR(INDEX(Income!C$3:C$502,SMALL(IF((Income!D$3:D$502="INR")*(Income!A$3:A$502=DATE(2026,1,29)),ROW(Income!A$3:A$502)-2),1)),0)=0,"",IFERROR(-INDEX(Expenses!D$3:D$1002,SMALL(IF((Expenses!E$3:E$1002="INR")*(Expenses!A$3:A$1002=DATE(2026,1,29)),ROW(Expenses!A$3:A$1002)-2),1)),0)+IFERROR(INDEX(Income!C$3:C$502,SMALL(IF((Income!D$3:D$502="INR")*(Income!A$3:A$502=DATE(2026,1,29)),ROW(Income!A$3:A$502)-2),1)),0))</f>
        <v/>
      </c>
      <c r="J24" s="38" t="str">
        <f aca="false">IF(IFERROR(INDEX(Expenses!B$3:B$1002,SMALL(IF((Expenses!E$3:E$1002="INR")*(Expenses!A$3:A$1002=DATE(2026,1,29)),ROW(Expenses!A$3:A$1002)-2),1)),"")&lt;&gt;"",IFERROR(INDEX(Expenses!B$3:B$1002,SMALL(IF((Expenses!E$3:E$1002="INR")*(Expenses!A$3:A$1002=DATE(2026,1,29)),ROW(Expenses!A$3:A$1002)-2),1)),""),IF(IFERROR(INDEX(Income!B$3:B$502,SMALL(IF((Income!D$3:D$502="INR")*(Income!A$3:A$502=DATE(2026,1,29)),ROW(Income!A$3:A$502)-2),1)),"")&lt;&gt;"",IFERROR(INDEX(Income!B$3:B$502,SMALL(IF((Income!D$3:D$502="INR")*(Income!A$3:A$502=DATE(2026,1,29)),ROW(Income!A$3:A$502)-2),1)),""),""))</f>
        <v/>
      </c>
      <c r="K24" s="63" t="str">
        <f aca="false">IF(IFERROR(-INDEX(Expenses!D$3:D$1002,SMALL(IF((Expenses!E$3:E$1002="INR")*(Expenses!A$3:A$1002=DATE(2026,1,30)),ROW(Expenses!A$3:A$1002)-2),1)),0)+IFERROR(INDEX(Income!C$3:C$502,SMALL(IF((Income!D$3:D$502="INR")*(Income!A$3:A$502=DATE(2026,1,30)),ROW(Income!A$3:A$502)-2),1)),0)=0,"",IFERROR(-INDEX(Expenses!D$3:D$1002,SMALL(IF((Expenses!E$3:E$1002="INR")*(Expenses!A$3:A$1002=DATE(2026,1,30)),ROW(Expenses!A$3:A$1002)-2),1)),0)+IFERROR(INDEX(Income!C$3:C$502,SMALL(IF((Income!D$3:D$502="INR")*(Income!A$3:A$502=DATE(2026,1,30)),ROW(Income!A$3:A$502)-2),1)),0))</f>
        <v/>
      </c>
      <c r="L24" s="38" t="str">
        <f aca="false">IF(IFERROR(INDEX(Expenses!B$3:B$1002,SMALL(IF((Expenses!E$3:E$1002="INR")*(Expenses!A$3:A$1002=DATE(2026,1,30)),ROW(Expenses!A$3:A$1002)-2),1)),"")&lt;&gt;"",IFERROR(INDEX(Expenses!B$3:B$1002,SMALL(IF((Expenses!E$3:E$1002="INR")*(Expenses!A$3:A$1002=DATE(2026,1,30)),ROW(Expenses!A$3:A$1002)-2),1)),""),IF(IFERROR(INDEX(Income!B$3:B$502,SMALL(IF((Income!D$3:D$502="INR")*(Income!A$3:A$502=DATE(2026,1,30)),ROW(Income!A$3:A$502)-2),1)),"")&lt;&gt;"",IFERROR(INDEX(Income!B$3:B$502,SMALL(IF((Income!D$3:D$502="INR")*(Income!A$3:A$502=DATE(2026,1,30)),ROW(Income!A$3:A$502)-2),1)),""),""))</f>
        <v/>
      </c>
      <c r="M24" s="63" t="str">
        <f aca="false">IF(IFERROR(-INDEX(Expenses!D$3:D$1002,SMALL(IF((Expenses!E$3:E$1002="INR")*(Expenses!A$3:A$1002=DATE(2026,1,31)),ROW(Expenses!A$3:A$1002)-2),1)),0)+IFERROR(INDEX(Income!C$3:C$502,SMALL(IF((Income!D$3:D$502="INR")*(Income!A$3:A$502=DATE(2026,1,31)),ROW(Income!A$3:A$502)-2),1)),0)=0,"",IFERROR(-INDEX(Expenses!D$3:D$1002,SMALL(IF((Expenses!E$3:E$1002="INR")*(Expenses!A$3:A$1002=DATE(2026,1,31)),ROW(Expenses!A$3:A$1002)-2),1)),0)+IFERROR(INDEX(Income!C$3:C$502,SMALL(IF((Income!D$3:D$502="INR")*(Income!A$3:A$502=DATE(2026,1,31)),ROW(Income!A$3:A$502)-2),1)),0))</f>
        <v/>
      </c>
      <c r="N24" s="38" t="str">
        <f aca="false">IF(IFERROR(INDEX(Expenses!B$3:B$1002,SMALL(IF((Expenses!E$3:E$1002="INR")*(Expenses!A$3:A$1002=DATE(2026,1,31)),ROW(Expenses!A$3:A$1002)-2),1)),"")&lt;&gt;"",IFERROR(INDEX(Expenses!B$3:B$1002,SMALL(IF((Expenses!E$3:E$1002="INR")*(Expenses!A$3:A$1002=DATE(2026,1,31)),ROW(Expenses!A$3:A$1002)-2),1)),""),IF(IFERROR(INDEX(Income!B$3:B$502,SMALL(IF((Income!D$3:D$502="INR")*(Income!A$3:A$502=DATE(2026,1,31)),ROW(Income!A$3:A$502)-2),1)),"")&lt;&gt;"",IFERROR(INDEX(Income!B$3:B$502,SMALL(IF((Income!D$3:D$502="INR")*(Income!A$3:A$502=DATE(2026,1,31)),ROW(Income!A$3:A$502)-2),1)),""),""))</f>
        <v/>
      </c>
      <c r="O24" s="63" t="str">
        <f aca="false">IF(IFERROR(-INDEX(Expenses!D$3:D$1002,SMALL(IF((Expenses!E$3:E$1002="INR")*(Expenses!A$3:A$1002=DATE(2026,2,1)),ROW(Expenses!A$3:A$1002)-2),1)),0)+IFERROR(INDEX(Income!C$3:C$502,SMALL(IF((Income!D$3:D$502="INR")*(Income!A$3:A$502=DATE(2026,2,1)),ROW(Income!A$3:A$502)-2),1)),0)=0,"",IFERROR(-INDEX(Expenses!D$3:D$1002,SMALL(IF((Expenses!E$3:E$1002="INR")*(Expenses!A$3:A$1002=DATE(2026,2,1)),ROW(Expenses!A$3:A$1002)-2),1)),0)+IFERROR(INDEX(Income!C$3:C$502,SMALL(IF((Income!D$3:D$502="INR")*(Income!A$3:A$502=DATE(2026,2,1)),ROW(Income!A$3:A$502)-2),1)),0))</f>
        <v/>
      </c>
      <c r="P24" s="38" t="str">
        <f aca="false">IF(IFERROR(INDEX(Expenses!B$3:B$1002,SMALL(IF((Expenses!E$3:E$1002="INR")*(Expenses!A$3:A$1002=DATE(2026,2,1)),ROW(Expenses!A$3:A$1002)-2),1)),"")&lt;&gt;"",IFERROR(INDEX(Expenses!B$3:B$1002,SMALL(IF((Expenses!E$3:E$1002="INR")*(Expenses!A$3:A$1002=DATE(2026,2,1)),ROW(Expenses!A$3:A$1002)-2),1)),""),IF(IFERROR(INDEX(Income!B$3:B$502,SMALL(IF((Income!D$3:D$502="INR")*(Income!A$3:A$502=DATE(2026,2,1)),ROW(Income!A$3:A$502)-2),1)),"")&lt;&gt;"",IFERROR(INDEX(Income!B$3:B$502,SMALL(IF((Income!D$3:D$502="INR")*(Income!A$3:A$502=DATE(2026,2,1)),ROW(Income!A$3:A$502)-2),1)),""),""))</f>
        <v/>
      </c>
      <c r="Q24" s="3" t="n">
        <v>5</v>
      </c>
      <c r="R24" s="53" t="n">
        <f aca="false">SUM(C24:C28)+SUM(E24:E28)+SUM(G24:G28)+SUM(I24:I28)+SUM(K24:K28)+SUM(M24:M28)+SUM(O24:O28)</f>
        <v>0</v>
      </c>
    </row>
    <row r="25" customFormat="false" ht="15" hidden="false" customHeight="false" outlineLevel="0" collapsed="false">
      <c r="A25" s="16"/>
      <c r="B25" s="16"/>
      <c r="C25" s="63" t="str">
        <f aca="false">IF(IFERROR(-INDEX(Expenses!D$3:D$1002,SMALL(IF((Expenses!E$3:E$1002="INR")*(Expenses!A$3:A$1002=DATE(2026,1,26)),ROW(Expenses!A$3:A$1002)-2),2)),0)+IFERROR(INDEX(Income!C$3:C$502,SMALL(IF((Income!D$3:D$502="INR")*(Income!A$3:A$502=DATE(2026,1,26)),ROW(Income!A$3:A$502)-2),2)),0)=0,"",IFERROR(-INDEX(Expenses!D$3:D$1002,SMALL(IF((Expenses!E$3:E$1002="INR")*(Expenses!A$3:A$1002=DATE(2026,1,26)),ROW(Expenses!A$3:A$1002)-2),2)),0)+IFERROR(INDEX(Income!C$3:C$502,SMALL(IF((Income!D$3:D$502="INR")*(Income!A$3:A$502=DATE(2026,1,26)),ROW(Income!A$3:A$502)-2),2)),0))</f>
        <v/>
      </c>
      <c r="D25" s="38" t="str">
        <f aca="false">IF(IFERROR(INDEX(Expenses!B$3:B$1002,SMALL(IF((Expenses!E$3:E$1002="INR")*(Expenses!A$3:A$1002=DATE(2026,1,26)),ROW(Expenses!A$3:A$1002)-2),2)),"")&lt;&gt;"",IFERROR(INDEX(Expenses!B$3:B$1002,SMALL(IF((Expenses!E$3:E$1002="INR")*(Expenses!A$3:A$1002=DATE(2026,1,26)),ROW(Expenses!A$3:A$1002)-2),2)),""),IF(IFERROR(INDEX(Income!B$3:B$502,SMALL(IF((Income!D$3:D$502="INR")*(Income!A$3:A$502=DATE(2026,1,26)),ROW(Income!A$3:A$502)-2),2)),"")&lt;&gt;"",IFERROR(INDEX(Income!B$3:B$502,SMALL(IF((Income!D$3:D$502="INR")*(Income!A$3:A$502=DATE(2026,1,26)),ROW(Income!A$3:A$502)-2),2)),""),""))</f>
        <v/>
      </c>
      <c r="E25" s="63" t="str">
        <f aca="false">IF(IFERROR(-INDEX(Expenses!D$3:D$1002,SMALL(IF((Expenses!E$3:E$1002="INR")*(Expenses!A$3:A$1002=DATE(2026,1,27)),ROW(Expenses!A$3:A$1002)-2),2)),0)+IFERROR(INDEX(Income!C$3:C$502,SMALL(IF((Income!D$3:D$502="INR")*(Income!A$3:A$502=DATE(2026,1,27)),ROW(Income!A$3:A$502)-2),2)),0)=0,"",IFERROR(-INDEX(Expenses!D$3:D$1002,SMALL(IF((Expenses!E$3:E$1002="INR")*(Expenses!A$3:A$1002=DATE(2026,1,27)),ROW(Expenses!A$3:A$1002)-2),2)),0)+IFERROR(INDEX(Income!C$3:C$502,SMALL(IF((Income!D$3:D$502="INR")*(Income!A$3:A$502=DATE(2026,1,27)),ROW(Income!A$3:A$502)-2),2)),0))</f>
        <v/>
      </c>
      <c r="F25" s="38" t="str">
        <f aca="false">IF(IFERROR(INDEX(Expenses!B$3:B$1002,SMALL(IF((Expenses!E$3:E$1002="INR")*(Expenses!A$3:A$1002=DATE(2026,1,27)),ROW(Expenses!A$3:A$1002)-2),2)),"")&lt;&gt;"",IFERROR(INDEX(Expenses!B$3:B$1002,SMALL(IF((Expenses!E$3:E$1002="INR")*(Expenses!A$3:A$1002=DATE(2026,1,27)),ROW(Expenses!A$3:A$1002)-2),2)),""),IF(IFERROR(INDEX(Income!B$3:B$502,SMALL(IF((Income!D$3:D$502="INR")*(Income!A$3:A$502=DATE(2026,1,27)),ROW(Income!A$3:A$502)-2),2)),"")&lt;&gt;"",IFERROR(INDEX(Income!B$3:B$502,SMALL(IF((Income!D$3:D$502="INR")*(Income!A$3:A$502=DATE(2026,1,27)),ROW(Income!A$3:A$502)-2),2)),""),""))</f>
        <v/>
      </c>
      <c r="G25" s="63" t="str">
        <f aca="false">IF(IFERROR(-INDEX(Expenses!D$3:D$1002,SMALL(IF((Expenses!E$3:E$1002="INR")*(Expenses!A$3:A$1002=DATE(2026,1,28)),ROW(Expenses!A$3:A$1002)-2),2)),0)+IFERROR(INDEX(Income!C$3:C$502,SMALL(IF((Income!D$3:D$502="INR")*(Income!A$3:A$502=DATE(2026,1,28)),ROW(Income!A$3:A$502)-2),2)),0)=0,"",IFERROR(-INDEX(Expenses!D$3:D$1002,SMALL(IF((Expenses!E$3:E$1002="INR")*(Expenses!A$3:A$1002=DATE(2026,1,28)),ROW(Expenses!A$3:A$1002)-2),2)),0)+IFERROR(INDEX(Income!C$3:C$502,SMALL(IF((Income!D$3:D$502="INR")*(Income!A$3:A$502=DATE(2026,1,28)),ROW(Income!A$3:A$502)-2),2)),0))</f>
        <v/>
      </c>
      <c r="H25" s="38" t="str">
        <f aca="false">IF(IFERROR(INDEX(Expenses!B$3:B$1002,SMALL(IF((Expenses!E$3:E$1002="INR")*(Expenses!A$3:A$1002=DATE(2026,1,28)),ROW(Expenses!A$3:A$1002)-2),2)),"")&lt;&gt;"",IFERROR(INDEX(Expenses!B$3:B$1002,SMALL(IF((Expenses!E$3:E$1002="INR")*(Expenses!A$3:A$1002=DATE(2026,1,28)),ROW(Expenses!A$3:A$1002)-2),2)),""),IF(IFERROR(INDEX(Income!B$3:B$502,SMALL(IF((Income!D$3:D$502="INR")*(Income!A$3:A$502=DATE(2026,1,28)),ROW(Income!A$3:A$502)-2),2)),"")&lt;&gt;"",IFERROR(INDEX(Income!B$3:B$502,SMALL(IF((Income!D$3:D$502="INR")*(Income!A$3:A$502=DATE(2026,1,28)),ROW(Income!A$3:A$502)-2),2)),""),""))</f>
        <v/>
      </c>
      <c r="I25" s="63" t="str">
        <f aca="false">IF(IFERROR(-INDEX(Expenses!D$3:D$1002,SMALL(IF((Expenses!E$3:E$1002="INR")*(Expenses!A$3:A$1002=DATE(2026,1,29)),ROW(Expenses!A$3:A$1002)-2),2)),0)+IFERROR(INDEX(Income!C$3:C$502,SMALL(IF((Income!D$3:D$502="INR")*(Income!A$3:A$502=DATE(2026,1,29)),ROW(Income!A$3:A$502)-2),2)),0)=0,"",IFERROR(-INDEX(Expenses!D$3:D$1002,SMALL(IF((Expenses!E$3:E$1002="INR")*(Expenses!A$3:A$1002=DATE(2026,1,29)),ROW(Expenses!A$3:A$1002)-2),2)),0)+IFERROR(INDEX(Income!C$3:C$502,SMALL(IF((Income!D$3:D$502="INR")*(Income!A$3:A$502=DATE(2026,1,29)),ROW(Income!A$3:A$502)-2),2)),0))</f>
        <v/>
      </c>
      <c r="J25" s="38" t="str">
        <f aca="false">IF(IFERROR(INDEX(Expenses!B$3:B$1002,SMALL(IF((Expenses!E$3:E$1002="INR")*(Expenses!A$3:A$1002=DATE(2026,1,29)),ROW(Expenses!A$3:A$1002)-2),2)),"")&lt;&gt;"",IFERROR(INDEX(Expenses!B$3:B$1002,SMALL(IF((Expenses!E$3:E$1002="INR")*(Expenses!A$3:A$1002=DATE(2026,1,29)),ROW(Expenses!A$3:A$1002)-2),2)),""),IF(IFERROR(INDEX(Income!B$3:B$502,SMALL(IF((Income!D$3:D$502="INR")*(Income!A$3:A$502=DATE(2026,1,29)),ROW(Income!A$3:A$502)-2),2)),"")&lt;&gt;"",IFERROR(INDEX(Income!B$3:B$502,SMALL(IF((Income!D$3:D$502="INR")*(Income!A$3:A$502=DATE(2026,1,29)),ROW(Income!A$3:A$502)-2),2)),""),""))</f>
        <v/>
      </c>
      <c r="K25" s="63" t="str">
        <f aca="false">IF(IFERROR(-INDEX(Expenses!D$3:D$1002,SMALL(IF((Expenses!E$3:E$1002="INR")*(Expenses!A$3:A$1002=DATE(2026,1,30)),ROW(Expenses!A$3:A$1002)-2),2)),0)+IFERROR(INDEX(Income!C$3:C$502,SMALL(IF((Income!D$3:D$502="INR")*(Income!A$3:A$502=DATE(2026,1,30)),ROW(Income!A$3:A$502)-2),2)),0)=0,"",IFERROR(-INDEX(Expenses!D$3:D$1002,SMALL(IF((Expenses!E$3:E$1002="INR")*(Expenses!A$3:A$1002=DATE(2026,1,30)),ROW(Expenses!A$3:A$1002)-2),2)),0)+IFERROR(INDEX(Income!C$3:C$502,SMALL(IF((Income!D$3:D$502="INR")*(Income!A$3:A$502=DATE(2026,1,30)),ROW(Income!A$3:A$502)-2),2)),0))</f>
        <v/>
      </c>
      <c r="L25" s="38" t="str">
        <f aca="false">IF(IFERROR(INDEX(Expenses!B$3:B$1002,SMALL(IF((Expenses!E$3:E$1002="INR")*(Expenses!A$3:A$1002=DATE(2026,1,30)),ROW(Expenses!A$3:A$1002)-2),2)),"")&lt;&gt;"",IFERROR(INDEX(Expenses!B$3:B$1002,SMALL(IF((Expenses!E$3:E$1002="INR")*(Expenses!A$3:A$1002=DATE(2026,1,30)),ROW(Expenses!A$3:A$1002)-2),2)),""),IF(IFERROR(INDEX(Income!B$3:B$502,SMALL(IF((Income!D$3:D$502="INR")*(Income!A$3:A$502=DATE(2026,1,30)),ROW(Income!A$3:A$502)-2),2)),"")&lt;&gt;"",IFERROR(INDEX(Income!B$3:B$502,SMALL(IF((Income!D$3:D$502="INR")*(Income!A$3:A$502=DATE(2026,1,30)),ROW(Income!A$3:A$502)-2),2)),""),""))</f>
        <v/>
      </c>
      <c r="M25" s="63" t="str">
        <f aca="false">IF(IFERROR(-INDEX(Expenses!D$3:D$1002,SMALL(IF((Expenses!E$3:E$1002="INR")*(Expenses!A$3:A$1002=DATE(2026,1,31)),ROW(Expenses!A$3:A$1002)-2),2)),0)+IFERROR(INDEX(Income!C$3:C$502,SMALL(IF((Income!D$3:D$502="INR")*(Income!A$3:A$502=DATE(2026,1,31)),ROW(Income!A$3:A$502)-2),2)),0)=0,"",IFERROR(-INDEX(Expenses!D$3:D$1002,SMALL(IF((Expenses!E$3:E$1002="INR")*(Expenses!A$3:A$1002=DATE(2026,1,31)),ROW(Expenses!A$3:A$1002)-2),2)),0)+IFERROR(INDEX(Income!C$3:C$502,SMALL(IF((Income!D$3:D$502="INR")*(Income!A$3:A$502=DATE(2026,1,31)),ROW(Income!A$3:A$502)-2),2)),0))</f>
        <v/>
      </c>
      <c r="N25" s="38" t="str">
        <f aca="false">IF(IFERROR(INDEX(Expenses!B$3:B$1002,SMALL(IF((Expenses!E$3:E$1002="INR")*(Expenses!A$3:A$1002=DATE(2026,1,31)),ROW(Expenses!A$3:A$1002)-2),2)),"")&lt;&gt;"",IFERROR(INDEX(Expenses!B$3:B$1002,SMALL(IF((Expenses!E$3:E$1002="INR")*(Expenses!A$3:A$1002=DATE(2026,1,31)),ROW(Expenses!A$3:A$1002)-2),2)),""),IF(IFERROR(INDEX(Income!B$3:B$502,SMALL(IF((Income!D$3:D$502="INR")*(Income!A$3:A$502=DATE(2026,1,31)),ROW(Income!A$3:A$502)-2),2)),"")&lt;&gt;"",IFERROR(INDEX(Income!B$3:B$502,SMALL(IF((Income!D$3:D$502="INR")*(Income!A$3:A$502=DATE(2026,1,31)),ROW(Income!A$3:A$502)-2),2)),""),""))</f>
        <v/>
      </c>
      <c r="O25" s="63" t="str">
        <f aca="false">IF(IFERROR(-INDEX(Expenses!D$3:D$1002,SMALL(IF((Expenses!E$3:E$1002="INR")*(Expenses!A$3:A$1002=DATE(2026,2,1)),ROW(Expenses!A$3:A$1002)-2),2)),0)+IFERROR(INDEX(Income!C$3:C$502,SMALL(IF((Income!D$3:D$502="INR")*(Income!A$3:A$502=DATE(2026,2,1)),ROW(Income!A$3:A$502)-2),2)),0)=0,"",IFERROR(-INDEX(Expenses!D$3:D$1002,SMALL(IF((Expenses!E$3:E$1002="INR")*(Expenses!A$3:A$1002=DATE(2026,2,1)),ROW(Expenses!A$3:A$1002)-2),2)),0)+IFERROR(INDEX(Income!C$3:C$502,SMALL(IF((Income!D$3:D$502="INR")*(Income!A$3:A$502=DATE(2026,2,1)),ROW(Income!A$3:A$502)-2),2)),0))</f>
        <v/>
      </c>
      <c r="P25" s="38" t="str">
        <f aca="false">IF(IFERROR(INDEX(Expenses!B$3:B$1002,SMALL(IF((Expenses!E$3:E$1002="INR")*(Expenses!A$3:A$1002=DATE(2026,2,1)),ROW(Expenses!A$3:A$1002)-2),2)),"")&lt;&gt;"",IFERROR(INDEX(Expenses!B$3:B$1002,SMALL(IF((Expenses!E$3:E$1002="INR")*(Expenses!A$3:A$1002=DATE(2026,2,1)),ROW(Expenses!A$3:A$1002)-2),2)),""),IF(IFERROR(INDEX(Income!B$3:B$502,SMALL(IF((Income!D$3:D$502="INR")*(Income!A$3:A$502=DATE(2026,2,1)),ROW(Income!A$3:A$502)-2),2)),"")&lt;&gt;"",IFERROR(INDEX(Income!B$3:B$502,SMALL(IF((Income!D$3:D$502="INR")*(Income!A$3:A$502=DATE(2026,2,1)),ROW(Income!A$3:A$502)-2),2)),""),""))</f>
        <v/>
      </c>
      <c r="Q25" s="16"/>
      <c r="R25" s="16"/>
    </row>
    <row r="26" customFormat="false" ht="15" hidden="false" customHeight="false" outlineLevel="0" collapsed="false">
      <c r="A26" s="16"/>
      <c r="B26" s="16"/>
      <c r="C26" s="63" t="str">
        <f aca="false">IF(IFERROR(-INDEX(Expenses!D$3:D$1002,SMALL(IF((Expenses!E$3:E$1002="INR")*(Expenses!A$3:A$1002=DATE(2026,1,26)),ROW(Expenses!A$3:A$1002)-2),3)),0)+IFERROR(INDEX(Income!C$3:C$502,SMALL(IF((Income!D$3:D$502="INR")*(Income!A$3:A$502=DATE(2026,1,26)),ROW(Income!A$3:A$502)-2),3)),0)=0,"",IFERROR(-INDEX(Expenses!D$3:D$1002,SMALL(IF((Expenses!E$3:E$1002="INR")*(Expenses!A$3:A$1002=DATE(2026,1,26)),ROW(Expenses!A$3:A$1002)-2),3)),0)+IFERROR(INDEX(Income!C$3:C$502,SMALL(IF((Income!D$3:D$502="INR")*(Income!A$3:A$502=DATE(2026,1,26)),ROW(Income!A$3:A$502)-2),3)),0))</f>
        <v/>
      </c>
      <c r="D26" s="38" t="str">
        <f aca="false">IF(IFERROR(INDEX(Expenses!B$3:B$1002,SMALL(IF((Expenses!E$3:E$1002="INR")*(Expenses!A$3:A$1002=DATE(2026,1,26)),ROW(Expenses!A$3:A$1002)-2),3)),"")&lt;&gt;"",IFERROR(INDEX(Expenses!B$3:B$1002,SMALL(IF((Expenses!E$3:E$1002="INR")*(Expenses!A$3:A$1002=DATE(2026,1,26)),ROW(Expenses!A$3:A$1002)-2),3)),""),IF(IFERROR(INDEX(Income!B$3:B$502,SMALL(IF((Income!D$3:D$502="INR")*(Income!A$3:A$502=DATE(2026,1,26)),ROW(Income!A$3:A$502)-2),3)),"")&lt;&gt;"",IFERROR(INDEX(Income!B$3:B$502,SMALL(IF((Income!D$3:D$502="INR")*(Income!A$3:A$502=DATE(2026,1,26)),ROW(Income!A$3:A$502)-2),3)),""),""))</f>
        <v/>
      </c>
      <c r="E26" s="63" t="str">
        <f aca="false">IF(IFERROR(-INDEX(Expenses!D$3:D$1002,SMALL(IF((Expenses!E$3:E$1002="INR")*(Expenses!A$3:A$1002=DATE(2026,1,27)),ROW(Expenses!A$3:A$1002)-2),3)),0)+IFERROR(INDEX(Income!C$3:C$502,SMALL(IF((Income!D$3:D$502="INR")*(Income!A$3:A$502=DATE(2026,1,27)),ROW(Income!A$3:A$502)-2),3)),0)=0,"",IFERROR(-INDEX(Expenses!D$3:D$1002,SMALL(IF((Expenses!E$3:E$1002="INR")*(Expenses!A$3:A$1002=DATE(2026,1,27)),ROW(Expenses!A$3:A$1002)-2),3)),0)+IFERROR(INDEX(Income!C$3:C$502,SMALL(IF((Income!D$3:D$502="INR")*(Income!A$3:A$502=DATE(2026,1,27)),ROW(Income!A$3:A$502)-2),3)),0))</f>
        <v/>
      </c>
      <c r="F26" s="38" t="str">
        <f aca="false">IF(IFERROR(INDEX(Expenses!B$3:B$1002,SMALL(IF((Expenses!E$3:E$1002="INR")*(Expenses!A$3:A$1002=DATE(2026,1,27)),ROW(Expenses!A$3:A$1002)-2),3)),"")&lt;&gt;"",IFERROR(INDEX(Expenses!B$3:B$1002,SMALL(IF((Expenses!E$3:E$1002="INR")*(Expenses!A$3:A$1002=DATE(2026,1,27)),ROW(Expenses!A$3:A$1002)-2),3)),""),IF(IFERROR(INDEX(Income!B$3:B$502,SMALL(IF((Income!D$3:D$502="INR")*(Income!A$3:A$502=DATE(2026,1,27)),ROW(Income!A$3:A$502)-2),3)),"")&lt;&gt;"",IFERROR(INDEX(Income!B$3:B$502,SMALL(IF((Income!D$3:D$502="INR")*(Income!A$3:A$502=DATE(2026,1,27)),ROW(Income!A$3:A$502)-2),3)),""),""))</f>
        <v/>
      </c>
      <c r="G26" s="63" t="str">
        <f aca="false">IF(IFERROR(-INDEX(Expenses!D$3:D$1002,SMALL(IF((Expenses!E$3:E$1002="INR")*(Expenses!A$3:A$1002=DATE(2026,1,28)),ROW(Expenses!A$3:A$1002)-2),3)),0)+IFERROR(INDEX(Income!C$3:C$502,SMALL(IF((Income!D$3:D$502="INR")*(Income!A$3:A$502=DATE(2026,1,28)),ROW(Income!A$3:A$502)-2),3)),0)=0,"",IFERROR(-INDEX(Expenses!D$3:D$1002,SMALL(IF((Expenses!E$3:E$1002="INR")*(Expenses!A$3:A$1002=DATE(2026,1,28)),ROW(Expenses!A$3:A$1002)-2),3)),0)+IFERROR(INDEX(Income!C$3:C$502,SMALL(IF((Income!D$3:D$502="INR")*(Income!A$3:A$502=DATE(2026,1,28)),ROW(Income!A$3:A$502)-2),3)),0))</f>
        <v/>
      </c>
      <c r="H26" s="38" t="str">
        <f aca="false">IF(IFERROR(INDEX(Expenses!B$3:B$1002,SMALL(IF((Expenses!E$3:E$1002="INR")*(Expenses!A$3:A$1002=DATE(2026,1,28)),ROW(Expenses!A$3:A$1002)-2),3)),"")&lt;&gt;"",IFERROR(INDEX(Expenses!B$3:B$1002,SMALL(IF((Expenses!E$3:E$1002="INR")*(Expenses!A$3:A$1002=DATE(2026,1,28)),ROW(Expenses!A$3:A$1002)-2),3)),""),IF(IFERROR(INDEX(Income!B$3:B$502,SMALL(IF((Income!D$3:D$502="INR")*(Income!A$3:A$502=DATE(2026,1,28)),ROW(Income!A$3:A$502)-2),3)),"")&lt;&gt;"",IFERROR(INDEX(Income!B$3:B$502,SMALL(IF((Income!D$3:D$502="INR")*(Income!A$3:A$502=DATE(2026,1,28)),ROW(Income!A$3:A$502)-2),3)),""),""))</f>
        <v/>
      </c>
      <c r="I26" s="63" t="str">
        <f aca="false">IF(IFERROR(-INDEX(Expenses!D$3:D$1002,SMALL(IF((Expenses!E$3:E$1002="INR")*(Expenses!A$3:A$1002=DATE(2026,1,29)),ROW(Expenses!A$3:A$1002)-2),3)),0)+IFERROR(INDEX(Income!C$3:C$502,SMALL(IF((Income!D$3:D$502="INR")*(Income!A$3:A$502=DATE(2026,1,29)),ROW(Income!A$3:A$502)-2),3)),0)=0,"",IFERROR(-INDEX(Expenses!D$3:D$1002,SMALL(IF((Expenses!E$3:E$1002="INR")*(Expenses!A$3:A$1002=DATE(2026,1,29)),ROW(Expenses!A$3:A$1002)-2),3)),0)+IFERROR(INDEX(Income!C$3:C$502,SMALL(IF((Income!D$3:D$502="INR")*(Income!A$3:A$502=DATE(2026,1,29)),ROW(Income!A$3:A$502)-2),3)),0))</f>
        <v/>
      </c>
      <c r="J26" s="38" t="str">
        <f aca="false">IF(IFERROR(INDEX(Expenses!B$3:B$1002,SMALL(IF((Expenses!E$3:E$1002="INR")*(Expenses!A$3:A$1002=DATE(2026,1,29)),ROW(Expenses!A$3:A$1002)-2),3)),"")&lt;&gt;"",IFERROR(INDEX(Expenses!B$3:B$1002,SMALL(IF((Expenses!E$3:E$1002="INR")*(Expenses!A$3:A$1002=DATE(2026,1,29)),ROW(Expenses!A$3:A$1002)-2),3)),""),IF(IFERROR(INDEX(Income!B$3:B$502,SMALL(IF((Income!D$3:D$502="INR")*(Income!A$3:A$502=DATE(2026,1,29)),ROW(Income!A$3:A$502)-2),3)),"")&lt;&gt;"",IFERROR(INDEX(Income!B$3:B$502,SMALL(IF((Income!D$3:D$502="INR")*(Income!A$3:A$502=DATE(2026,1,29)),ROW(Income!A$3:A$502)-2),3)),""),""))</f>
        <v/>
      </c>
      <c r="K26" s="63" t="str">
        <f aca="false">IF(IFERROR(-INDEX(Expenses!D$3:D$1002,SMALL(IF((Expenses!E$3:E$1002="INR")*(Expenses!A$3:A$1002=DATE(2026,1,30)),ROW(Expenses!A$3:A$1002)-2),3)),0)+IFERROR(INDEX(Income!C$3:C$502,SMALL(IF((Income!D$3:D$502="INR")*(Income!A$3:A$502=DATE(2026,1,30)),ROW(Income!A$3:A$502)-2),3)),0)=0,"",IFERROR(-INDEX(Expenses!D$3:D$1002,SMALL(IF((Expenses!E$3:E$1002="INR")*(Expenses!A$3:A$1002=DATE(2026,1,30)),ROW(Expenses!A$3:A$1002)-2),3)),0)+IFERROR(INDEX(Income!C$3:C$502,SMALL(IF((Income!D$3:D$502="INR")*(Income!A$3:A$502=DATE(2026,1,30)),ROW(Income!A$3:A$502)-2),3)),0))</f>
        <v/>
      </c>
      <c r="L26" s="38" t="str">
        <f aca="false">IF(IFERROR(INDEX(Expenses!B$3:B$1002,SMALL(IF((Expenses!E$3:E$1002="INR")*(Expenses!A$3:A$1002=DATE(2026,1,30)),ROW(Expenses!A$3:A$1002)-2),3)),"")&lt;&gt;"",IFERROR(INDEX(Expenses!B$3:B$1002,SMALL(IF((Expenses!E$3:E$1002="INR")*(Expenses!A$3:A$1002=DATE(2026,1,30)),ROW(Expenses!A$3:A$1002)-2),3)),""),IF(IFERROR(INDEX(Income!B$3:B$502,SMALL(IF((Income!D$3:D$502="INR")*(Income!A$3:A$502=DATE(2026,1,30)),ROW(Income!A$3:A$502)-2),3)),"")&lt;&gt;"",IFERROR(INDEX(Income!B$3:B$502,SMALL(IF((Income!D$3:D$502="INR")*(Income!A$3:A$502=DATE(2026,1,30)),ROW(Income!A$3:A$502)-2),3)),""),""))</f>
        <v/>
      </c>
      <c r="M26" s="63" t="str">
        <f aca="false">IF(IFERROR(-INDEX(Expenses!D$3:D$1002,SMALL(IF((Expenses!E$3:E$1002="INR")*(Expenses!A$3:A$1002=DATE(2026,1,31)),ROW(Expenses!A$3:A$1002)-2),3)),0)+IFERROR(INDEX(Income!C$3:C$502,SMALL(IF((Income!D$3:D$502="INR")*(Income!A$3:A$502=DATE(2026,1,31)),ROW(Income!A$3:A$502)-2),3)),0)=0,"",IFERROR(-INDEX(Expenses!D$3:D$1002,SMALL(IF((Expenses!E$3:E$1002="INR")*(Expenses!A$3:A$1002=DATE(2026,1,31)),ROW(Expenses!A$3:A$1002)-2),3)),0)+IFERROR(INDEX(Income!C$3:C$502,SMALL(IF((Income!D$3:D$502="INR")*(Income!A$3:A$502=DATE(2026,1,31)),ROW(Income!A$3:A$502)-2),3)),0))</f>
        <v/>
      </c>
      <c r="N26" s="38" t="str">
        <f aca="false">IF(IFERROR(INDEX(Expenses!B$3:B$1002,SMALL(IF((Expenses!E$3:E$1002="INR")*(Expenses!A$3:A$1002=DATE(2026,1,31)),ROW(Expenses!A$3:A$1002)-2),3)),"")&lt;&gt;"",IFERROR(INDEX(Expenses!B$3:B$1002,SMALL(IF((Expenses!E$3:E$1002="INR")*(Expenses!A$3:A$1002=DATE(2026,1,31)),ROW(Expenses!A$3:A$1002)-2),3)),""),IF(IFERROR(INDEX(Income!B$3:B$502,SMALL(IF((Income!D$3:D$502="INR")*(Income!A$3:A$502=DATE(2026,1,31)),ROW(Income!A$3:A$502)-2),3)),"")&lt;&gt;"",IFERROR(INDEX(Income!B$3:B$502,SMALL(IF((Income!D$3:D$502="INR")*(Income!A$3:A$502=DATE(2026,1,31)),ROW(Income!A$3:A$502)-2),3)),""),""))</f>
        <v/>
      </c>
      <c r="O26" s="63" t="str">
        <f aca="false">IF(IFERROR(-INDEX(Expenses!D$3:D$1002,SMALL(IF((Expenses!E$3:E$1002="INR")*(Expenses!A$3:A$1002=DATE(2026,2,1)),ROW(Expenses!A$3:A$1002)-2),3)),0)+IFERROR(INDEX(Income!C$3:C$502,SMALL(IF((Income!D$3:D$502="INR")*(Income!A$3:A$502=DATE(2026,2,1)),ROW(Income!A$3:A$502)-2),3)),0)=0,"",IFERROR(-INDEX(Expenses!D$3:D$1002,SMALL(IF((Expenses!E$3:E$1002="INR")*(Expenses!A$3:A$1002=DATE(2026,2,1)),ROW(Expenses!A$3:A$1002)-2),3)),0)+IFERROR(INDEX(Income!C$3:C$502,SMALL(IF((Income!D$3:D$502="INR")*(Income!A$3:A$502=DATE(2026,2,1)),ROW(Income!A$3:A$502)-2),3)),0))</f>
        <v/>
      </c>
      <c r="P26" s="38" t="str">
        <f aca="false">IF(IFERROR(INDEX(Expenses!B$3:B$1002,SMALL(IF((Expenses!E$3:E$1002="INR")*(Expenses!A$3:A$1002=DATE(2026,2,1)),ROW(Expenses!A$3:A$1002)-2),3)),"")&lt;&gt;"",IFERROR(INDEX(Expenses!B$3:B$1002,SMALL(IF((Expenses!E$3:E$1002="INR")*(Expenses!A$3:A$1002=DATE(2026,2,1)),ROW(Expenses!A$3:A$1002)-2),3)),""),IF(IFERROR(INDEX(Income!B$3:B$502,SMALL(IF((Income!D$3:D$502="INR")*(Income!A$3:A$502=DATE(2026,2,1)),ROW(Income!A$3:A$502)-2),3)),"")&lt;&gt;"",IFERROR(INDEX(Income!B$3:B$502,SMALL(IF((Income!D$3:D$502="INR")*(Income!A$3:A$502=DATE(2026,2,1)),ROW(Income!A$3:A$502)-2),3)),""),""))</f>
        <v/>
      </c>
      <c r="Q26" s="16"/>
      <c r="R26" s="16"/>
    </row>
    <row r="27" customFormat="false" ht="15" hidden="false" customHeight="false" outlineLevel="0" collapsed="false">
      <c r="A27" s="16"/>
      <c r="B27" s="16"/>
      <c r="C27" s="63" t="str">
        <f aca="false">IF(IFERROR(-INDEX(Expenses!D$3:D$1002,SMALL(IF((Expenses!E$3:E$1002="INR")*(Expenses!A$3:A$1002=DATE(2026,1,26)),ROW(Expenses!A$3:A$1002)-2),4)),0)+IFERROR(INDEX(Income!C$3:C$502,SMALL(IF((Income!D$3:D$502="INR")*(Income!A$3:A$502=DATE(2026,1,26)),ROW(Income!A$3:A$502)-2),4)),0)=0,"",IFERROR(-INDEX(Expenses!D$3:D$1002,SMALL(IF((Expenses!E$3:E$1002="INR")*(Expenses!A$3:A$1002=DATE(2026,1,26)),ROW(Expenses!A$3:A$1002)-2),4)),0)+IFERROR(INDEX(Income!C$3:C$502,SMALL(IF((Income!D$3:D$502="INR")*(Income!A$3:A$502=DATE(2026,1,26)),ROW(Income!A$3:A$502)-2),4)),0))</f>
        <v/>
      </c>
      <c r="D27" s="38" t="str">
        <f aca="false">IF(IFERROR(INDEX(Expenses!B$3:B$1002,SMALL(IF((Expenses!E$3:E$1002="INR")*(Expenses!A$3:A$1002=DATE(2026,1,26)),ROW(Expenses!A$3:A$1002)-2),4)),"")&lt;&gt;"",IFERROR(INDEX(Expenses!B$3:B$1002,SMALL(IF((Expenses!E$3:E$1002="INR")*(Expenses!A$3:A$1002=DATE(2026,1,26)),ROW(Expenses!A$3:A$1002)-2),4)),""),IF(IFERROR(INDEX(Income!B$3:B$502,SMALL(IF((Income!D$3:D$502="INR")*(Income!A$3:A$502=DATE(2026,1,26)),ROW(Income!A$3:A$502)-2),4)),"")&lt;&gt;"",IFERROR(INDEX(Income!B$3:B$502,SMALL(IF((Income!D$3:D$502="INR")*(Income!A$3:A$502=DATE(2026,1,26)),ROW(Income!A$3:A$502)-2),4)),""),""))</f>
        <v/>
      </c>
      <c r="E27" s="63" t="str">
        <f aca="false">IF(IFERROR(-INDEX(Expenses!D$3:D$1002,SMALL(IF((Expenses!E$3:E$1002="INR")*(Expenses!A$3:A$1002=DATE(2026,1,27)),ROW(Expenses!A$3:A$1002)-2),4)),0)+IFERROR(INDEX(Income!C$3:C$502,SMALL(IF((Income!D$3:D$502="INR")*(Income!A$3:A$502=DATE(2026,1,27)),ROW(Income!A$3:A$502)-2),4)),0)=0,"",IFERROR(-INDEX(Expenses!D$3:D$1002,SMALL(IF((Expenses!E$3:E$1002="INR")*(Expenses!A$3:A$1002=DATE(2026,1,27)),ROW(Expenses!A$3:A$1002)-2),4)),0)+IFERROR(INDEX(Income!C$3:C$502,SMALL(IF((Income!D$3:D$502="INR")*(Income!A$3:A$502=DATE(2026,1,27)),ROW(Income!A$3:A$502)-2),4)),0))</f>
        <v/>
      </c>
      <c r="F27" s="38" t="str">
        <f aca="false">IF(IFERROR(INDEX(Expenses!B$3:B$1002,SMALL(IF((Expenses!E$3:E$1002="INR")*(Expenses!A$3:A$1002=DATE(2026,1,27)),ROW(Expenses!A$3:A$1002)-2),4)),"")&lt;&gt;"",IFERROR(INDEX(Expenses!B$3:B$1002,SMALL(IF((Expenses!E$3:E$1002="INR")*(Expenses!A$3:A$1002=DATE(2026,1,27)),ROW(Expenses!A$3:A$1002)-2),4)),""),IF(IFERROR(INDEX(Income!B$3:B$502,SMALL(IF((Income!D$3:D$502="INR")*(Income!A$3:A$502=DATE(2026,1,27)),ROW(Income!A$3:A$502)-2),4)),"")&lt;&gt;"",IFERROR(INDEX(Income!B$3:B$502,SMALL(IF((Income!D$3:D$502="INR")*(Income!A$3:A$502=DATE(2026,1,27)),ROW(Income!A$3:A$502)-2),4)),""),""))</f>
        <v/>
      </c>
      <c r="G27" s="63" t="str">
        <f aca="false">IF(IFERROR(-INDEX(Expenses!D$3:D$1002,SMALL(IF((Expenses!E$3:E$1002="INR")*(Expenses!A$3:A$1002=DATE(2026,1,28)),ROW(Expenses!A$3:A$1002)-2),4)),0)+IFERROR(INDEX(Income!C$3:C$502,SMALL(IF((Income!D$3:D$502="INR")*(Income!A$3:A$502=DATE(2026,1,28)),ROW(Income!A$3:A$502)-2),4)),0)=0,"",IFERROR(-INDEX(Expenses!D$3:D$1002,SMALL(IF((Expenses!E$3:E$1002="INR")*(Expenses!A$3:A$1002=DATE(2026,1,28)),ROW(Expenses!A$3:A$1002)-2),4)),0)+IFERROR(INDEX(Income!C$3:C$502,SMALL(IF((Income!D$3:D$502="INR")*(Income!A$3:A$502=DATE(2026,1,28)),ROW(Income!A$3:A$502)-2),4)),0))</f>
        <v/>
      </c>
      <c r="H27" s="38" t="str">
        <f aca="false">IF(IFERROR(INDEX(Expenses!B$3:B$1002,SMALL(IF((Expenses!E$3:E$1002="INR")*(Expenses!A$3:A$1002=DATE(2026,1,28)),ROW(Expenses!A$3:A$1002)-2),4)),"")&lt;&gt;"",IFERROR(INDEX(Expenses!B$3:B$1002,SMALL(IF((Expenses!E$3:E$1002="INR")*(Expenses!A$3:A$1002=DATE(2026,1,28)),ROW(Expenses!A$3:A$1002)-2),4)),""),IF(IFERROR(INDEX(Income!B$3:B$502,SMALL(IF((Income!D$3:D$502="INR")*(Income!A$3:A$502=DATE(2026,1,28)),ROW(Income!A$3:A$502)-2),4)),"")&lt;&gt;"",IFERROR(INDEX(Income!B$3:B$502,SMALL(IF((Income!D$3:D$502="INR")*(Income!A$3:A$502=DATE(2026,1,28)),ROW(Income!A$3:A$502)-2),4)),""),""))</f>
        <v/>
      </c>
      <c r="I27" s="63" t="str">
        <f aca="false">IF(IFERROR(-INDEX(Expenses!D$3:D$1002,SMALL(IF((Expenses!E$3:E$1002="INR")*(Expenses!A$3:A$1002=DATE(2026,1,29)),ROW(Expenses!A$3:A$1002)-2),4)),0)+IFERROR(INDEX(Income!C$3:C$502,SMALL(IF((Income!D$3:D$502="INR")*(Income!A$3:A$502=DATE(2026,1,29)),ROW(Income!A$3:A$502)-2),4)),0)=0,"",IFERROR(-INDEX(Expenses!D$3:D$1002,SMALL(IF((Expenses!E$3:E$1002="INR")*(Expenses!A$3:A$1002=DATE(2026,1,29)),ROW(Expenses!A$3:A$1002)-2),4)),0)+IFERROR(INDEX(Income!C$3:C$502,SMALL(IF((Income!D$3:D$502="INR")*(Income!A$3:A$502=DATE(2026,1,29)),ROW(Income!A$3:A$502)-2),4)),0))</f>
        <v/>
      </c>
      <c r="J27" s="38" t="str">
        <f aca="false">IF(IFERROR(INDEX(Expenses!B$3:B$1002,SMALL(IF((Expenses!E$3:E$1002="INR")*(Expenses!A$3:A$1002=DATE(2026,1,29)),ROW(Expenses!A$3:A$1002)-2),4)),"")&lt;&gt;"",IFERROR(INDEX(Expenses!B$3:B$1002,SMALL(IF((Expenses!E$3:E$1002="INR")*(Expenses!A$3:A$1002=DATE(2026,1,29)),ROW(Expenses!A$3:A$1002)-2),4)),""),IF(IFERROR(INDEX(Income!B$3:B$502,SMALL(IF((Income!D$3:D$502="INR")*(Income!A$3:A$502=DATE(2026,1,29)),ROW(Income!A$3:A$502)-2),4)),"")&lt;&gt;"",IFERROR(INDEX(Income!B$3:B$502,SMALL(IF((Income!D$3:D$502="INR")*(Income!A$3:A$502=DATE(2026,1,29)),ROW(Income!A$3:A$502)-2),4)),""),""))</f>
        <v/>
      </c>
      <c r="K27" s="63" t="str">
        <f aca="false">IF(IFERROR(-INDEX(Expenses!D$3:D$1002,SMALL(IF((Expenses!E$3:E$1002="INR")*(Expenses!A$3:A$1002=DATE(2026,1,30)),ROW(Expenses!A$3:A$1002)-2),4)),0)+IFERROR(INDEX(Income!C$3:C$502,SMALL(IF((Income!D$3:D$502="INR")*(Income!A$3:A$502=DATE(2026,1,30)),ROW(Income!A$3:A$502)-2),4)),0)=0,"",IFERROR(-INDEX(Expenses!D$3:D$1002,SMALL(IF((Expenses!E$3:E$1002="INR")*(Expenses!A$3:A$1002=DATE(2026,1,30)),ROW(Expenses!A$3:A$1002)-2),4)),0)+IFERROR(INDEX(Income!C$3:C$502,SMALL(IF((Income!D$3:D$502="INR")*(Income!A$3:A$502=DATE(2026,1,30)),ROW(Income!A$3:A$502)-2),4)),0))</f>
        <v/>
      </c>
      <c r="L27" s="38" t="str">
        <f aca="false">IF(IFERROR(INDEX(Expenses!B$3:B$1002,SMALL(IF((Expenses!E$3:E$1002="INR")*(Expenses!A$3:A$1002=DATE(2026,1,30)),ROW(Expenses!A$3:A$1002)-2),4)),"")&lt;&gt;"",IFERROR(INDEX(Expenses!B$3:B$1002,SMALL(IF((Expenses!E$3:E$1002="INR")*(Expenses!A$3:A$1002=DATE(2026,1,30)),ROW(Expenses!A$3:A$1002)-2),4)),""),IF(IFERROR(INDEX(Income!B$3:B$502,SMALL(IF((Income!D$3:D$502="INR")*(Income!A$3:A$502=DATE(2026,1,30)),ROW(Income!A$3:A$502)-2),4)),"")&lt;&gt;"",IFERROR(INDEX(Income!B$3:B$502,SMALL(IF((Income!D$3:D$502="INR")*(Income!A$3:A$502=DATE(2026,1,30)),ROW(Income!A$3:A$502)-2),4)),""),""))</f>
        <v/>
      </c>
      <c r="M27" s="63" t="str">
        <f aca="false">IF(IFERROR(-INDEX(Expenses!D$3:D$1002,SMALL(IF((Expenses!E$3:E$1002="INR")*(Expenses!A$3:A$1002=DATE(2026,1,31)),ROW(Expenses!A$3:A$1002)-2),4)),0)+IFERROR(INDEX(Income!C$3:C$502,SMALL(IF((Income!D$3:D$502="INR")*(Income!A$3:A$502=DATE(2026,1,31)),ROW(Income!A$3:A$502)-2),4)),0)=0,"",IFERROR(-INDEX(Expenses!D$3:D$1002,SMALL(IF((Expenses!E$3:E$1002="INR")*(Expenses!A$3:A$1002=DATE(2026,1,31)),ROW(Expenses!A$3:A$1002)-2),4)),0)+IFERROR(INDEX(Income!C$3:C$502,SMALL(IF((Income!D$3:D$502="INR")*(Income!A$3:A$502=DATE(2026,1,31)),ROW(Income!A$3:A$502)-2),4)),0))</f>
        <v/>
      </c>
      <c r="N27" s="38" t="str">
        <f aca="false">IF(IFERROR(INDEX(Expenses!B$3:B$1002,SMALL(IF((Expenses!E$3:E$1002="INR")*(Expenses!A$3:A$1002=DATE(2026,1,31)),ROW(Expenses!A$3:A$1002)-2),4)),"")&lt;&gt;"",IFERROR(INDEX(Expenses!B$3:B$1002,SMALL(IF((Expenses!E$3:E$1002="INR")*(Expenses!A$3:A$1002=DATE(2026,1,31)),ROW(Expenses!A$3:A$1002)-2),4)),""),IF(IFERROR(INDEX(Income!B$3:B$502,SMALL(IF((Income!D$3:D$502="INR")*(Income!A$3:A$502=DATE(2026,1,31)),ROW(Income!A$3:A$502)-2),4)),"")&lt;&gt;"",IFERROR(INDEX(Income!B$3:B$502,SMALL(IF((Income!D$3:D$502="INR")*(Income!A$3:A$502=DATE(2026,1,31)),ROW(Income!A$3:A$502)-2),4)),""),""))</f>
        <v/>
      </c>
      <c r="O27" s="63" t="str">
        <f aca="false">IF(IFERROR(-INDEX(Expenses!D$3:D$1002,SMALL(IF((Expenses!E$3:E$1002="INR")*(Expenses!A$3:A$1002=DATE(2026,2,1)),ROW(Expenses!A$3:A$1002)-2),4)),0)+IFERROR(INDEX(Income!C$3:C$502,SMALL(IF((Income!D$3:D$502="INR")*(Income!A$3:A$502=DATE(2026,2,1)),ROW(Income!A$3:A$502)-2),4)),0)=0,"",IFERROR(-INDEX(Expenses!D$3:D$1002,SMALL(IF((Expenses!E$3:E$1002="INR")*(Expenses!A$3:A$1002=DATE(2026,2,1)),ROW(Expenses!A$3:A$1002)-2),4)),0)+IFERROR(INDEX(Income!C$3:C$502,SMALL(IF((Income!D$3:D$502="INR")*(Income!A$3:A$502=DATE(2026,2,1)),ROW(Income!A$3:A$502)-2),4)),0))</f>
        <v/>
      </c>
      <c r="P27" s="38" t="str">
        <f aca="false">IF(IFERROR(INDEX(Expenses!B$3:B$1002,SMALL(IF((Expenses!E$3:E$1002="INR")*(Expenses!A$3:A$1002=DATE(2026,2,1)),ROW(Expenses!A$3:A$1002)-2),4)),"")&lt;&gt;"",IFERROR(INDEX(Expenses!B$3:B$1002,SMALL(IF((Expenses!E$3:E$1002="INR")*(Expenses!A$3:A$1002=DATE(2026,2,1)),ROW(Expenses!A$3:A$1002)-2),4)),""),IF(IFERROR(INDEX(Income!B$3:B$502,SMALL(IF((Income!D$3:D$502="INR")*(Income!A$3:A$502=DATE(2026,2,1)),ROW(Income!A$3:A$502)-2),4)),"")&lt;&gt;"",IFERROR(INDEX(Income!B$3:B$502,SMALL(IF((Income!D$3:D$502="INR")*(Income!A$3:A$502=DATE(2026,2,1)),ROW(Income!A$3:A$502)-2),4)),""),""))</f>
        <v/>
      </c>
      <c r="Q27" s="16"/>
      <c r="R27" s="16"/>
    </row>
    <row r="28" customFormat="false" ht="15" hidden="false" customHeight="false" outlineLevel="0" collapsed="false">
      <c r="A28" s="16"/>
      <c r="B28" s="16"/>
      <c r="C28" s="63" t="str">
        <f aca="false">IF(IFERROR(-INDEX(Expenses!D$3:D$1002,SMALL(IF((Expenses!E$3:E$1002="INR")*(Expenses!A$3:A$1002=DATE(2026,1,26)),ROW(Expenses!A$3:A$1002)-2),5)),0)+IFERROR(INDEX(Income!C$3:C$502,SMALL(IF((Income!D$3:D$502="INR")*(Income!A$3:A$502=DATE(2026,1,26)),ROW(Income!A$3:A$502)-2),5)),0)=0,"",IFERROR(-INDEX(Expenses!D$3:D$1002,SMALL(IF((Expenses!E$3:E$1002="INR")*(Expenses!A$3:A$1002=DATE(2026,1,26)),ROW(Expenses!A$3:A$1002)-2),5)),0)+IFERROR(INDEX(Income!C$3:C$502,SMALL(IF((Income!D$3:D$502="INR")*(Income!A$3:A$502=DATE(2026,1,26)),ROW(Income!A$3:A$502)-2),5)),0))</f>
        <v/>
      </c>
      <c r="D28" s="38" t="str">
        <f aca="false">IF(IFERROR(INDEX(Expenses!B$3:B$1002,SMALL(IF((Expenses!E$3:E$1002="INR")*(Expenses!A$3:A$1002=DATE(2026,1,26)),ROW(Expenses!A$3:A$1002)-2),5)),"")&lt;&gt;"",IFERROR(INDEX(Expenses!B$3:B$1002,SMALL(IF((Expenses!E$3:E$1002="INR")*(Expenses!A$3:A$1002=DATE(2026,1,26)),ROW(Expenses!A$3:A$1002)-2),5)),""),IF(IFERROR(INDEX(Income!B$3:B$502,SMALL(IF((Income!D$3:D$502="INR")*(Income!A$3:A$502=DATE(2026,1,26)),ROW(Income!A$3:A$502)-2),5)),"")&lt;&gt;"",IFERROR(INDEX(Income!B$3:B$502,SMALL(IF((Income!D$3:D$502="INR")*(Income!A$3:A$502=DATE(2026,1,26)),ROW(Income!A$3:A$502)-2),5)),""),""))</f>
        <v/>
      </c>
      <c r="E28" s="63" t="str">
        <f aca="false">IF(IFERROR(-INDEX(Expenses!D$3:D$1002,SMALL(IF((Expenses!E$3:E$1002="INR")*(Expenses!A$3:A$1002=DATE(2026,1,27)),ROW(Expenses!A$3:A$1002)-2),5)),0)+IFERROR(INDEX(Income!C$3:C$502,SMALL(IF((Income!D$3:D$502="INR")*(Income!A$3:A$502=DATE(2026,1,27)),ROW(Income!A$3:A$502)-2),5)),0)=0,"",IFERROR(-INDEX(Expenses!D$3:D$1002,SMALL(IF((Expenses!E$3:E$1002="INR")*(Expenses!A$3:A$1002=DATE(2026,1,27)),ROW(Expenses!A$3:A$1002)-2),5)),0)+IFERROR(INDEX(Income!C$3:C$502,SMALL(IF((Income!D$3:D$502="INR")*(Income!A$3:A$502=DATE(2026,1,27)),ROW(Income!A$3:A$502)-2),5)),0))</f>
        <v/>
      </c>
      <c r="F28" s="38" t="str">
        <f aca="false">IF(IFERROR(INDEX(Expenses!B$3:B$1002,SMALL(IF((Expenses!E$3:E$1002="INR")*(Expenses!A$3:A$1002=DATE(2026,1,27)),ROW(Expenses!A$3:A$1002)-2),5)),"")&lt;&gt;"",IFERROR(INDEX(Expenses!B$3:B$1002,SMALL(IF((Expenses!E$3:E$1002="INR")*(Expenses!A$3:A$1002=DATE(2026,1,27)),ROW(Expenses!A$3:A$1002)-2),5)),""),IF(IFERROR(INDEX(Income!B$3:B$502,SMALL(IF((Income!D$3:D$502="INR")*(Income!A$3:A$502=DATE(2026,1,27)),ROW(Income!A$3:A$502)-2),5)),"")&lt;&gt;"",IFERROR(INDEX(Income!B$3:B$502,SMALL(IF((Income!D$3:D$502="INR")*(Income!A$3:A$502=DATE(2026,1,27)),ROW(Income!A$3:A$502)-2),5)),""),""))</f>
        <v/>
      </c>
      <c r="G28" s="63" t="str">
        <f aca="false">IF(IFERROR(-INDEX(Expenses!D$3:D$1002,SMALL(IF((Expenses!E$3:E$1002="INR")*(Expenses!A$3:A$1002=DATE(2026,1,28)),ROW(Expenses!A$3:A$1002)-2),5)),0)+IFERROR(INDEX(Income!C$3:C$502,SMALL(IF((Income!D$3:D$502="INR")*(Income!A$3:A$502=DATE(2026,1,28)),ROW(Income!A$3:A$502)-2),5)),0)=0,"",IFERROR(-INDEX(Expenses!D$3:D$1002,SMALL(IF((Expenses!E$3:E$1002="INR")*(Expenses!A$3:A$1002=DATE(2026,1,28)),ROW(Expenses!A$3:A$1002)-2),5)),0)+IFERROR(INDEX(Income!C$3:C$502,SMALL(IF((Income!D$3:D$502="INR")*(Income!A$3:A$502=DATE(2026,1,28)),ROW(Income!A$3:A$502)-2),5)),0))</f>
        <v/>
      </c>
      <c r="H28" s="38" t="str">
        <f aca="false">IF(IFERROR(INDEX(Expenses!B$3:B$1002,SMALL(IF((Expenses!E$3:E$1002="INR")*(Expenses!A$3:A$1002=DATE(2026,1,28)),ROW(Expenses!A$3:A$1002)-2),5)),"")&lt;&gt;"",IFERROR(INDEX(Expenses!B$3:B$1002,SMALL(IF((Expenses!E$3:E$1002="INR")*(Expenses!A$3:A$1002=DATE(2026,1,28)),ROW(Expenses!A$3:A$1002)-2),5)),""),IF(IFERROR(INDEX(Income!B$3:B$502,SMALL(IF((Income!D$3:D$502="INR")*(Income!A$3:A$502=DATE(2026,1,28)),ROW(Income!A$3:A$502)-2),5)),"")&lt;&gt;"",IFERROR(INDEX(Income!B$3:B$502,SMALL(IF((Income!D$3:D$502="INR")*(Income!A$3:A$502=DATE(2026,1,28)),ROW(Income!A$3:A$502)-2),5)),""),""))</f>
        <v/>
      </c>
      <c r="I28" s="63" t="str">
        <f aca="false">IF(IFERROR(-INDEX(Expenses!D$3:D$1002,SMALL(IF((Expenses!E$3:E$1002="INR")*(Expenses!A$3:A$1002=DATE(2026,1,29)),ROW(Expenses!A$3:A$1002)-2),5)),0)+IFERROR(INDEX(Income!C$3:C$502,SMALL(IF((Income!D$3:D$502="INR")*(Income!A$3:A$502=DATE(2026,1,29)),ROW(Income!A$3:A$502)-2),5)),0)=0,"",IFERROR(-INDEX(Expenses!D$3:D$1002,SMALL(IF((Expenses!E$3:E$1002="INR")*(Expenses!A$3:A$1002=DATE(2026,1,29)),ROW(Expenses!A$3:A$1002)-2),5)),0)+IFERROR(INDEX(Income!C$3:C$502,SMALL(IF((Income!D$3:D$502="INR")*(Income!A$3:A$502=DATE(2026,1,29)),ROW(Income!A$3:A$502)-2),5)),0))</f>
        <v/>
      </c>
      <c r="J28" s="38" t="str">
        <f aca="false">IF(IFERROR(INDEX(Expenses!B$3:B$1002,SMALL(IF((Expenses!E$3:E$1002="INR")*(Expenses!A$3:A$1002=DATE(2026,1,29)),ROW(Expenses!A$3:A$1002)-2),5)),"")&lt;&gt;"",IFERROR(INDEX(Expenses!B$3:B$1002,SMALL(IF((Expenses!E$3:E$1002="INR")*(Expenses!A$3:A$1002=DATE(2026,1,29)),ROW(Expenses!A$3:A$1002)-2),5)),""),IF(IFERROR(INDEX(Income!B$3:B$502,SMALL(IF((Income!D$3:D$502="INR")*(Income!A$3:A$502=DATE(2026,1,29)),ROW(Income!A$3:A$502)-2),5)),"")&lt;&gt;"",IFERROR(INDEX(Income!B$3:B$502,SMALL(IF((Income!D$3:D$502="INR")*(Income!A$3:A$502=DATE(2026,1,29)),ROW(Income!A$3:A$502)-2),5)),""),""))</f>
        <v/>
      </c>
      <c r="K28" s="63" t="str">
        <f aca="false">IF(IFERROR(-INDEX(Expenses!D$3:D$1002,SMALL(IF((Expenses!E$3:E$1002="INR")*(Expenses!A$3:A$1002=DATE(2026,1,30)),ROW(Expenses!A$3:A$1002)-2),5)),0)+IFERROR(INDEX(Income!C$3:C$502,SMALL(IF((Income!D$3:D$502="INR")*(Income!A$3:A$502=DATE(2026,1,30)),ROW(Income!A$3:A$502)-2),5)),0)=0,"",IFERROR(-INDEX(Expenses!D$3:D$1002,SMALL(IF((Expenses!E$3:E$1002="INR")*(Expenses!A$3:A$1002=DATE(2026,1,30)),ROW(Expenses!A$3:A$1002)-2),5)),0)+IFERROR(INDEX(Income!C$3:C$502,SMALL(IF((Income!D$3:D$502="INR")*(Income!A$3:A$502=DATE(2026,1,30)),ROW(Income!A$3:A$502)-2),5)),0))</f>
        <v/>
      </c>
      <c r="L28" s="38" t="str">
        <f aca="false">IF(IFERROR(INDEX(Expenses!B$3:B$1002,SMALL(IF((Expenses!E$3:E$1002="INR")*(Expenses!A$3:A$1002=DATE(2026,1,30)),ROW(Expenses!A$3:A$1002)-2),5)),"")&lt;&gt;"",IFERROR(INDEX(Expenses!B$3:B$1002,SMALL(IF((Expenses!E$3:E$1002="INR")*(Expenses!A$3:A$1002=DATE(2026,1,30)),ROW(Expenses!A$3:A$1002)-2),5)),""),IF(IFERROR(INDEX(Income!B$3:B$502,SMALL(IF((Income!D$3:D$502="INR")*(Income!A$3:A$502=DATE(2026,1,30)),ROW(Income!A$3:A$502)-2),5)),"")&lt;&gt;"",IFERROR(INDEX(Income!B$3:B$502,SMALL(IF((Income!D$3:D$502="INR")*(Income!A$3:A$502=DATE(2026,1,30)),ROW(Income!A$3:A$502)-2),5)),""),""))</f>
        <v/>
      </c>
      <c r="M28" s="63" t="str">
        <f aca="false">IF(IFERROR(-INDEX(Expenses!D$3:D$1002,SMALL(IF((Expenses!E$3:E$1002="INR")*(Expenses!A$3:A$1002=DATE(2026,1,31)),ROW(Expenses!A$3:A$1002)-2),5)),0)+IFERROR(INDEX(Income!C$3:C$502,SMALL(IF((Income!D$3:D$502="INR")*(Income!A$3:A$502=DATE(2026,1,31)),ROW(Income!A$3:A$502)-2),5)),0)=0,"",IFERROR(-INDEX(Expenses!D$3:D$1002,SMALL(IF((Expenses!E$3:E$1002="INR")*(Expenses!A$3:A$1002=DATE(2026,1,31)),ROW(Expenses!A$3:A$1002)-2),5)),0)+IFERROR(INDEX(Income!C$3:C$502,SMALL(IF((Income!D$3:D$502="INR")*(Income!A$3:A$502=DATE(2026,1,31)),ROW(Income!A$3:A$502)-2),5)),0))</f>
        <v/>
      </c>
      <c r="N28" s="38" t="str">
        <f aca="false">IF(IFERROR(INDEX(Expenses!B$3:B$1002,SMALL(IF((Expenses!E$3:E$1002="INR")*(Expenses!A$3:A$1002=DATE(2026,1,31)),ROW(Expenses!A$3:A$1002)-2),5)),"")&lt;&gt;"",IFERROR(INDEX(Expenses!B$3:B$1002,SMALL(IF((Expenses!E$3:E$1002="INR")*(Expenses!A$3:A$1002=DATE(2026,1,31)),ROW(Expenses!A$3:A$1002)-2),5)),""),IF(IFERROR(INDEX(Income!B$3:B$502,SMALL(IF((Income!D$3:D$502="INR")*(Income!A$3:A$502=DATE(2026,1,31)),ROW(Income!A$3:A$502)-2),5)),"")&lt;&gt;"",IFERROR(INDEX(Income!B$3:B$502,SMALL(IF((Income!D$3:D$502="INR")*(Income!A$3:A$502=DATE(2026,1,31)),ROW(Income!A$3:A$502)-2),5)),""),""))</f>
        <v/>
      </c>
      <c r="O28" s="63" t="str">
        <f aca="false">IF(IFERROR(-INDEX(Expenses!D$3:D$1002,SMALL(IF((Expenses!E$3:E$1002="INR")*(Expenses!A$3:A$1002=DATE(2026,2,1)),ROW(Expenses!A$3:A$1002)-2),5)),0)+IFERROR(INDEX(Income!C$3:C$502,SMALL(IF((Income!D$3:D$502="INR")*(Income!A$3:A$502=DATE(2026,2,1)),ROW(Income!A$3:A$502)-2),5)),0)=0,"",IFERROR(-INDEX(Expenses!D$3:D$1002,SMALL(IF((Expenses!E$3:E$1002="INR")*(Expenses!A$3:A$1002=DATE(2026,2,1)),ROW(Expenses!A$3:A$1002)-2),5)),0)+IFERROR(INDEX(Income!C$3:C$502,SMALL(IF((Income!D$3:D$502="INR")*(Income!A$3:A$502=DATE(2026,2,1)),ROW(Income!A$3:A$502)-2),5)),0))</f>
        <v/>
      </c>
      <c r="P28" s="38" t="str">
        <f aca="false">IF(IFERROR(INDEX(Expenses!B$3:B$1002,SMALL(IF((Expenses!E$3:E$1002="INR")*(Expenses!A$3:A$1002=DATE(2026,2,1)),ROW(Expenses!A$3:A$1002)-2),5)),"")&lt;&gt;"",IFERROR(INDEX(Expenses!B$3:B$1002,SMALL(IF((Expenses!E$3:E$1002="INR")*(Expenses!A$3:A$1002=DATE(2026,2,1)),ROW(Expenses!A$3:A$1002)-2),5)),""),IF(IFERROR(INDEX(Income!B$3:B$502,SMALL(IF((Income!D$3:D$502="INR")*(Income!A$3:A$502=DATE(2026,2,1)),ROW(Income!A$3:A$502)-2),5)),"")&lt;&gt;"",IFERROR(INDEX(Income!B$3:B$502,SMALL(IF((Income!D$3:D$502="INR")*(Income!A$3:A$502=DATE(2026,2,1)),ROW(Income!A$3:A$502)-2),5)),""),""))</f>
        <v/>
      </c>
      <c r="Q28" s="16"/>
      <c r="R28" s="16"/>
    </row>
    <row r="29" customFormat="false" ht="15" hidden="false" customHeight="false" outlineLevel="0" collapsed="false">
      <c r="A29" s="61" t="n">
        <v>46055</v>
      </c>
      <c r="B29" s="3" t="n">
        <v>6</v>
      </c>
      <c r="C29" s="63" t="str">
        <f aca="false">IF(IFERROR(-INDEX(Expenses!D$3:D$1002,SMALL(IF((Expenses!E$3:E$1002="INR")*(Expenses!A$3:A$1002=DATE(2026,2,2)),ROW(Expenses!A$3:A$1002)-2),1)),0)+IFERROR(INDEX(Income!C$3:C$502,SMALL(IF((Income!D$3:D$502="INR")*(Income!A$3:A$502=DATE(2026,2,2)),ROW(Income!A$3:A$502)-2),1)),0)=0,"",IFERROR(-INDEX(Expenses!D$3:D$1002,SMALL(IF((Expenses!E$3:E$1002="INR")*(Expenses!A$3:A$1002=DATE(2026,2,2)),ROW(Expenses!A$3:A$1002)-2),1)),0)+IFERROR(INDEX(Income!C$3:C$502,SMALL(IF((Income!D$3:D$502="INR")*(Income!A$3:A$502=DATE(2026,2,2)),ROW(Income!A$3:A$502)-2),1)),0))</f>
        <v/>
      </c>
      <c r="D29" s="38" t="str">
        <f aca="false">IF(IFERROR(INDEX(Expenses!B$3:B$1002,SMALL(IF((Expenses!E$3:E$1002="INR")*(Expenses!A$3:A$1002=DATE(2026,2,2)),ROW(Expenses!A$3:A$1002)-2),1)),"")&lt;&gt;"",IFERROR(INDEX(Expenses!B$3:B$1002,SMALL(IF((Expenses!E$3:E$1002="INR")*(Expenses!A$3:A$1002=DATE(2026,2,2)),ROW(Expenses!A$3:A$1002)-2),1)),""),IF(IFERROR(INDEX(Income!B$3:B$502,SMALL(IF((Income!D$3:D$502="INR")*(Income!A$3:A$502=DATE(2026,2,2)),ROW(Income!A$3:A$502)-2),1)),"")&lt;&gt;"",IFERROR(INDEX(Income!B$3:B$502,SMALL(IF((Income!D$3:D$502="INR")*(Income!A$3:A$502=DATE(2026,2,2)),ROW(Income!A$3:A$502)-2),1)),""),""))</f>
        <v/>
      </c>
      <c r="E29" s="63" t="str">
        <f aca="false">IF(IFERROR(-INDEX(Expenses!D$3:D$1002,SMALL(IF((Expenses!E$3:E$1002="INR")*(Expenses!A$3:A$1002=DATE(2026,2,3)),ROW(Expenses!A$3:A$1002)-2),1)),0)+IFERROR(INDEX(Income!C$3:C$502,SMALL(IF((Income!D$3:D$502="INR")*(Income!A$3:A$502=DATE(2026,2,3)),ROW(Income!A$3:A$502)-2),1)),0)=0,"",IFERROR(-INDEX(Expenses!D$3:D$1002,SMALL(IF((Expenses!E$3:E$1002="INR")*(Expenses!A$3:A$1002=DATE(2026,2,3)),ROW(Expenses!A$3:A$1002)-2),1)),0)+IFERROR(INDEX(Income!C$3:C$502,SMALL(IF((Income!D$3:D$502="INR")*(Income!A$3:A$502=DATE(2026,2,3)),ROW(Income!A$3:A$502)-2),1)),0))</f>
        <v/>
      </c>
      <c r="F29" s="38" t="str">
        <f aca="false">IF(IFERROR(INDEX(Expenses!B$3:B$1002,SMALL(IF((Expenses!E$3:E$1002="INR")*(Expenses!A$3:A$1002=DATE(2026,2,3)),ROW(Expenses!A$3:A$1002)-2),1)),"")&lt;&gt;"",IFERROR(INDEX(Expenses!B$3:B$1002,SMALL(IF((Expenses!E$3:E$1002="INR")*(Expenses!A$3:A$1002=DATE(2026,2,3)),ROW(Expenses!A$3:A$1002)-2),1)),""),IF(IFERROR(INDEX(Income!B$3:B$502,SMALL(IF((Income!D$3:D$502="INR")*(Income!A$3:A$502=DATE(2026,2,3)),ROW(Income!A$3:A$502)-2),1)),"")&lt;&gt;"",IFERROR(INDEX(Income!B$3:B$502,SMALL(IF((Income!D$3:D$502="INR")*(Income!A$3:A$502=DATE(2026,2,3)),ROW(Income!A$3:A$502)-2),1)),""),""))</f>
        <v/>
      </c>
      <c r="G29" s="63" t="str">
        <f aca="false">IF(IFERROR(-INDEX(Expenses!D$3:D$1002,SMALL(IF((Expenses!E$3:E$1002="INR")*(Expenses!A$3:A$1002=DATE(2026,2,4)),ROW(Expenses!A$3:A$1002)-2),1)),0)+IFERROR(INDEX(Income!C$3:C$502,SMALL(IF((Income!D$3:D$502="INR")*(Income!A$3:A$502=DATE(2026,2,4)),ROW(Income!A$3:A$502)-2),1)),0)=0,"",IFERROR(-INDEX(Expenses!D$3:D$1002,SMALL(IF((Expenses!E$3:E$1002="INR")*(Expenses!A$3:A$1002=DATE(2026,2,4)),ROW(Expenses!A$3:A$1002)-2),1)),0)+IFERROR(INDEX(Income!C$3:C$502,SMALL(IF((Income!D$3:D$502="INR")*(Income!A$3:A$502=DATE(2026,2,4)),ROW(Income!A$3:A$502)-2),1)),0))</f>
        <v/>
      </c>
      <c r="H29" s="38" t="str">
        <f aca="false">IF(IFERROR(INDEX(Expenses!B$3:B$1002,SMALL(IF((Expenses!E$3:E$1002="INR")*(Expenses!A$3:A$1002=DATE(2026,2,4)),ROW(Expenses!A$3:A$1002)-2),1)),"")&lt;&gt;"",IFERROR(INDEX(Expenses!B$3:B$1002,SMALL(IF((Expenses!E$3:E$1002="INR")*(Expenses!A$3:A$1002=DATE(2026,2,4)),ROW(Expenses!A$3:A$1002)-2),1)),""),IF(IFERROR(INDEX(Income!B$3:B$502,SMALL(IF((Income!D$3:D$502="INR")*(Income!A$3:A$502=DATE(2026,2,4)),ROW(Income!A$3:A$502)-2),1)),"")&lt;&gt;"",IFERROR(INDEX(Income!B$3:B$502,SMALL(IF((Income!D$3:D$502="INR")*(Income!A$3:A$502=DATE(2026,2,4)),ROW(Income!A$3:A$502)-2),1)),""),""))</f>
        <v/>
      </c>
      <c r="I29" s="63" t="str">
        <f aca="false">IF(IFERROR(-INDEX(Expenses!D$3:D$1002,SMALL(IF((Expenses!E$3:E$1002="INR")*(Expenses!A$3:A$1002=DATE(2026,2,5)),ROW(Expenses!A$3:A$1002)-2),1)),0)+IFERROR(INDEX(Income!C$3:C$502,SMALL(IF((Income!D$3:D$502="INR")*(Income!A$3:A$502=DATE(2026,2,5)),ROW(Income!A$3:A$502)-2),1)),0)=0,"",IFERROR(-INDEX(Expenses!D$3:D$1002,SMALL(IF((Expenses!E$3:E$1002="INR")*(Expenses!A$3:A$1002=DATE(2026,2,5)),ROW(Expenses!A$3:A$1002)-2),1)),0)+IFERROR(INDEX(Income!C$3:C$502,SMALL(IF((Income!D$3:D$502="INR")*(Income!A$3:A$502=DATE(2026,2,5)),ROW(Income!A$3:A$502)-2),1)),0))</f>
        <v/>
      </c>
      <c r="J29" s="38" t="str">
        <f aca="false">IF(IFERROR(INDEX(Expenses!B$3:B$1002,SMALL(IF((Expenses!E$3:E$1002="INR")*(Expenses!A$3:A$1002=DATE(2026,2,5)),ROW(Expenses!A$3:A$1002)-2),1)),"")&lt;&gt;"",IFERROR(INDEX(Expenses!B$3:B$1002,SMALL(IF((Expenses!E$3:E$1002="INR")*(Expenses!A$3:A$1002=DATE(2026,2,5)),ROW(Expenses!A$3:A$1002)-2),1)),""),IF(IFERROR(INDEX(Income!B$3:B$502,SMALL(IF((Income!D$3:D$502="INR")*(Income!A$3:A$502=DATE(2026,2,5)),ROW(Income!A$3:A$502)-2),1)),"")&lt;&gt;"",IFERROR(INDEX(Income!B$3:B$502,SMALL(IF((Income!D$3:D$502="INR")*(Income!A$3:A$502=DATE(2026,2,5)),ROW(Income!A$3:A$502)-2),1)),""),""))</f>
        <v/>
      </c>
      <c r="K29" s="63" t="str">
        <f aca="false">IF(IFERROR(-INDEX(Expenses!D$3:D$1002,SMALL(IF((Expenses!E$3:E$1002="INR")*(Expenses!A$3:A$1002=DATE(2026,2,6)),ROW(Expenses!A$3:A$1002)-2),1)),0)+IFERROR(INDEX(Income!C$3:C$502,SMALL(IF((Income!D$3:D$502="INR")*(Income!A$3:A$502=DATE(2026,2,6)),ROW(Income!A$3:A$502)-2),1)),0)=0,"",IFERROR(-INDEX(Expenses!D$3:D$1002,SMALL(IF((Expenses!E$3:E$1002="INR")*(Expenses!A$3:A$1002=DATE(2026,2,6)),ROW(Expenses!A$3:A$1002)-2),1)),0)+IFERROR(INDEX(Income!C$3:C$502,SMALL(IF((Income!D$3:D$502="INR")*(Income!A$3:A$502=DATE(2026,2,6)),ROW(Income!A$3:A$502)-2),1)),0))</f>
        <v/>
      </c>
      <c r="L29" s="38" t="str">
        <f aca="false">IF(IFERROR(INDEX(Expenses!B$3:B$1002,SMALL(IF((Expenses!E$3:E$1002="INR")*(Expenses!A$3:A$1002=DATE(2026,2,6)),ROW(Expenses!A$3:A$1002)-2),1)),"")&lt;&gt;"",IFERROR(INDEX(Expenses!B$3:B$1002,SMALL(IF((Expenses!E$3:E$1002="INR")*(Expenses!A$3:A$1002=DATE(2026,2,6)),ROW(Expenses!A$3:A$1002)-2),1)),""),IF(IFERROR(INDEX(Income!B$3:B$502,SMALL(IF((Income!D$3:D$502="INR")*(Income!A$3:A$502=DATE(2026,2,6)),ROW(Income!A$3:A$502)-2),1)),"")&lt;&gt;"",IFERROR(INDEX(Income!B$3:B$502,SMALL(IF((Income!D$3:D$502="INR")*(Income!A$3:A$502=DATE(2026,2,6)),ROW(Income!A$3:A$502)-2),1)),""),""))</f>
        <v/>
      </c>
      <c r="M29" s="63" t="str">
        <f aca="false">IF(IFERROR(-INDEX(Expenses!D$3:D$1002,SMALL(IF((Expenses!E$3:E$1002="INR")*(Expenses!A$3:A$1002=DATE(2026,2,7)),ROW(Expenses!A$3:A$1002)-2),1)),0)+IFERROR(INDEX(Income!C$3:C$502,SMALL(IF((Income!D$3:D$502="INR")*(Income!A$3:A$502=DATE(2026,2,7)),ROW(Income!A$3:A$502)-2),1)),0)=0,"",IFERROR(-INDEX(Expenses!D$3:D$1002,SMALL(IF((Expenses!E$3:E$1002="INR")*(Expenses!A$3:A$1002=DATE(2026,2,7)),ROW(Expenses!A$3:A$1002)-2),1)),0)+IFERROR(INDEX(Income!C$3:C$502,SMALL(IF((Income!D$3:D$502="INR")*(Income!A$3:A$502=DATE(2026,2,7)),ROW(Income!A$3:A$502)-2),1)),0))</f>
        <v/>
      </c>
      <c r="N29" s="38" t="str">
        <f aca="false">IF(IFERROR(INDEX(Expenses!B$3:B$1002,SMALL(IF((Expenses!E$3:E$1002="INR")*(Expenses!A$3:A$1002=DATE(2026,2,7)),ROW(Expenses!A$3:A$1002)-2),1)),"")&lt;&gt;"",IFERROR(INDEX(Expenses!B$3:B$1002,SMALL(IF((Expenses!E$3:E$1002="INR")*(Expenses!A$3:A$1002=DATE(2026,2,7)),ROW(Expenses!A$3:A$1002)-2),1)),""),IF(IFERROR(INDEX(Income!B$3:B$502,SMALL(IF((Income!D$3:D$502="INR")*(Income!A$3:A$502=DATE(2026,2,7)),ROW(Income!A$3:A$502)-2),1)),"")&lt;&gt;"",IFERROR(INDEX(Income!B$3:B$502,SMALL(IF((Income!D$3:D$502="INR")*(Income!A$3:A$502=DATE(2026,2,7)),ROW(Income!A$3:A$502)-2),1)),""),""))</f>
        <v/>
      </c>
      <c r="O29" s="63" t="str">
        <f aca="false">IF(IFERROR(-INDEX(Expenses!D$3:D$1002,SMALL(IF((Expenses!E$3:E$1002="INR")*(Expenses!A$3:A$1002=DATE(2026,2,8)),ROW(Expenses!A$3:A$1002)-2),1)),0)+IFERROR(INDEX(Income!C$3:C$502,SMALL(IF((Income!D$3:D$502="INR")*(Income!A$3:A$502=DATE(2026,2,8)),ROW(Income!A$3:A$502)-2),1)),0)=0,"",IFERROR(-INDEX(Expenses!D$3:D$1002,SMALL(IF((Expenses!E$3:E$1002="INR")*(Expenses!A$3:A$1002=DATE(2026,2,8)),ROW(Expenses!A$3:A$1002)-2),1)),0)+IFERROR(INDEX(Income!C$3:C$502,SMALL(IF((Income!D$3:D$502="INR")*(Income!A$3:A$502=DATE(2026,2,8)),ROW(Income!A$3:A$502)-2),1)),0))</f>
        <v/>
      </c>
      <c r="P29" s="38" t="str">
        <f aca="false">IF(IFERROR(INDEX(Expenses!B$3:B$1002,SMALL(IF((Expenses!E$3:E$1002="INR")*(Expenses!A$3:A$1002=DATE(2026,2,8)),ROW(Expenses!A$3:A$1002)-2),1)),"")&lt;&gt;"",IFERROR(INDEX(Expenses!B$3:B$1002,SMALL(IF((Expenses!E$3:E$1002="INR")*(Expenses!A$3:A$1002=DATE(2026,2,8)),ROW(Expenses!A$3:A$1002)-2),1)),""),IF(IFERROR(INDEX(Income!B$3:B$502,SMALL(IF((Income!D$3:D$502="INR")*(Income!A$3:A$502=DATE(2026,2,8)),ROW(Income!A$3:A$502)-2),1)),"")&lt;&gt;"",IFERROR(INDEX(Income!B$3:B$502,SMALL(IF((Income!D$3:D$502="INR")*(Income!A$3:A$502=DATE(2026,2,8)),ROW(Income!A$3:A$502)-2),1)),""),""))</f>
        <v/>
      </c>
      <c r="Q29" s="3" t="n">
        <v>6</v>
      </c>
      <c r="R29" s="53" t="n">
        <f aca="false">SUM(C29:C33)+SUM(E29:E33)+SUM(G29:G33)+SUM(I29:I33)+SUM(K29:K33)+SUM(M29:M33)+SUM(O29:O33)</f>
        <v>0</v>
      </c>
    </row>
    <row r="30" customFormat="false" ht="15" hidden="false" customHeight="false" outlineLevel="0" collapsed="false">
      <c r="A30" s="16"/>
      <c r="B30" s="16"/>
      <c r="C30" s="63" t="str">
        <f aca="false">IF(IFERROR(-INDEX(Expenses!D$3:D$1002,SMALL(IF((Expenses!E$3:E$1002="INR")*(Expenses!A$3:A$1002=DATE(2026,2,2)),ROW(Expenses!A$3:A$1002)-2),2)),0)+IFERROR(INDEX(Income!C$3:C$502,SMALL(IF((Income!D$3:D$502="INR")*(Income!A$3:A$502=DATE(2026,2,2)),ROW(Income!A$3:A$502)-2),2)),0)=0,"",IFERROR(-INDEX(Expenses!D$3:D$1002,SMALL(IF((Expenses!E$3:E$1002="INR")*(Expenses!A$3:A$1002=DATE(2026,2,2)),ROW(Expenses!A$3:A$1002)-2),2)),0)+IFERROR(INDEX(Income!C$3:C$502,SMALL(IF((Income!D$3:D$502="INR")*(Income!A$3:A$502=DATE(2026,2,2)),ROW(Income!A$3:A$502)-2),2)),0))</f>
        <v/>
      </c>
      <c r="D30" s="38" t="str">
        <f aca="false">IF(IFERROR(INDEX(Expenses!B$3:B$1002,SMALL(IF((Expenses!E$3:E$1002="INR")*(Expenses!A$3:A$1002=DATE(2026,2,2)),ROW(Expenses!A$3:A$1002)-2),2)),"")&lt;&gt;"",IFERROR(INDEX(Expenses!B$3:B$1002,SMALL(IF((Expenses!E$3:E$1002="INR")*(Expenses!A$3:A$1002=DATE(2026,2,2)),ROW(Expenses!A$3:A$1002)-2),2)),""),IF(IFERROR(INDEX(Income!B$3:B$502,SMALL(IF((Income!D$3:D$502="INR")*(Income!A$3:A$502=DATE(2026,2,2)),ROW(Income!A$3:A$502)-2),2)),"")&lt;&gt;"",IFERROR(INDEX(Income!B$3:B$502,SMALL(IF((Income!D$3:D$502="INR")*(Income!A$3:A$502=DATE(2026,2,2)),ROW(Income!A$3:A$502)-2),2)),""),""))</f>
        <v/>
      </c>
      <c r="E30" s="63" t="str">
        <f aca="false">IF(IFERROR(-INDEX(Expenses!D$3:D$1002,SMALL(IF((Expenses!E$3:E$1002="INR")*(Expenses!A$3:A$1002=DATE(2026,2,3)),ROW(Expenses!A$3:A$1002)-2),2)),0)+IFERROR(INDEX(Income!C$3:C$502,SMALL(IF((Income!D$3:D$502="INR")*(Income!A$3:A$502=DATE(2026,2,3)),ROW(Income!A$3:A$502)-2),2)),0)=0,"",IFERROR(-INDEX(Expenses!D$3:D$1002,SMALL(IF((Expenses!E$3:E$1002="INR")*(Expenses!A$3:A$1002=DATE(2026,2,3)),ROW(Expenses!A$3:A$1002)-2),2)),0)+IFERROR(INDEX(Income!C$3:C$502,SMALL(IF((Income!D$3:D$502="INR")*(Income!A$3:A$502=DATE(2026,2,3)),ROW(Income!A$3:A$502)-2),2)),0))</f>
        <v/>
      </c>
      <c r="F30" s="38" t="str">
        <f aca="false">IF(IFERROR(INDEX(Expenses!B$3:B$1002,SMALL(IF((Expenses!E$3:E$1002="INR")*(Expenses!A$3:A$1002=DATE(2026,2,3)),ROW(Expenses!A$3:A$1002)-2),2)),"")&lt;&gt;"",IFERROR(INDEX(Expenses!B$3:B$1002,SMALL(IF((Expenses!E$3:E$1002="INR")*(Expenses!A$3:A$1002=DATE(2026,2,3)),ROW(Expenses!A$3:A$1002)-2),2)),""),IF(IFERROR(INDEX(Income!B$3:B$502,SMALL(IF((Income!D$3:D$502="INR")*(Income!A$3:A$502=DATE(2026,2,3)),ROW(Income!A$3:A$502)-2),2)),"")&lt;&gt;"",IFERROR(INDEX(Income!B$3:B$502,SMALL(IF((Income!D$3:D$502="INR")*(Income!A$3:A$502=DATE(2026,2,3)),ROW(Income!A$3:A$502)-2),2)),""),""))</f>
        <v/>
      </c>
      <c r="G30" s="63" t="str">
        <f aca="false">IF(IFERROR(-INDEX(Expenses!D$3:D$1002,SMALL(IF((Expenses!E$3:E$1002="INR")*(Expenses!A$3:A$1002=DATE(2026,2,4)),ROW(Expenses!A$3:A$1002)-2),2)),0)+IFERROR(INDEX(Income!C$3:C$502,SMALL(IF((Income!D$3:D$502="INR")*(Income!A$3:A$502=DATE(2026,2,4)),ROW(Income!A$3:A$502)-2),2)),0)=0,"",IFERROR(-INDEX(Expenses!D$3:D$1002,SMALL(IF((Expenses!E$3:E$1002="INR")*(Expenses!A$3:A$1002=DATE(2026,2,4)),ROW(Expenses!A$3:A$1002)-2),2)),0)+IFERROR(INDEX(Income!C$3:C$502,SMALL(IF((Income!D$3:D$502="INR")*(Income!A$3:A$502=DATE(2026,2,4)),ROW(Income!A$3:A$502)-2),2)),0))</f>
        <v/>
      </c>
      <c r="H30" s="38" t="str">
        <f aca="false">IF(IFERROR(INDEX(Expenses!B$3:B$1002,SMALL(IF((Expenses!E$3:E$1002="INR")*(Expenses!A$3:A$1002=DATE(2026,2,4)),ROW(Expenses!A$3:A$1002)-2),2)),"")&lt;&gt;"",IFERROR(INDEX(Expenses!B$3:B$1002,SMALL(IF((Expenses!E$3:E$1002="INR")*(Expenses!A$3:A$1002=DATE(2026,2,4)),ROW(Expenses!A$3:A$1002)-2),2)),""),IF(IFERROR(INDEX(Income!B$3:B$502,SMALL(IF((Income!D$3:D$502="INR")*(Income!A$3:A$502=DATE(2026,2,4)),ROW(Income!A$3:A$502)-2),2)),"")&lt;&gt;"",IFERROR(INDEX(Income!B$3:B$502,SMALL(IF((Income!D$3:D$502="INR")*(Income!A$3:A$502=DATE(2026,2,4)),ROW(Income!A$3:A$502)-2),2)),""),""))</f>
        <v/>
      </c>
      <c r="I30" s="63" t="str">
        <f aca="false">IF(IFERROR(-INDEX(Expenses!D$3:D$1002,SMALL(IF((Expenses!E$3:E$1002="INR")*(Expenses!A$3:A$1002=DATE(2026,2,5)),ROW(Expenses!A$3:A$1002)-2),2)),0)+IFERROR(INDEX(Income!C$3:C$502,SMALL(IF((Income!D$3:D$502="INR")*(Income!A$3:A$502=DATE(2026,2,5)),ROW(Income!A$3:A$502)-2),2)),0)=0,"",IFERROR(-INDEX(Expenses!D$3:D$1002,SMALL(IF((Expenses!E$3:E$1002="INR")*(Expenses!A$3:A$1002=DATE(2026,2,5)),ROW(Expenses!A$3:A$1002)-2),2)),0)+IFERROR(INDEX(Income!C$3:C$502,SMALL(IF((Income!D$3:D$502="INR")*(Income!A$3:A$502=DATE(2026,2,5)),ROW(Income!A$3:A$502)-2),2)),0))</f>
        <v/>
      </c>
      <c r="J30" s="38" t="str">
        <f aca="false">IF(IFERROR(INDEX(Expenses!B$3:B$1002,SMALL(IF((Expenses!E$3:E$1002="INR")*(Expenses!A$3:A$1002=DATE(2026,2,5)),ROW(Expenses!A$3:A$1002)-2),2)),"")&lt;&gt;"",IFERROR(INDEX(Expenses!B$3:B$1002,SMALL(IF((Expenses!E$3:E$1002="INR")*(Expenses!A$3:A$1002=DATE(2026,2,5)),ROW(Expenses!A$3:A$1002)-2),2)),""),IF(IFERROR(INDEX(Income!B$3:B$502,SMALL(IF((Income!D$3:D$502="INR")*(Income!A$3:A$502=DATE(2026,2,5)),ROW(Income!A$3:A$502)-2),2)),"")&lt;&gt;"",IFERROR(INDEX(Income!B$3:B$502,SMALL(IF((Income!D$3:D$502="INR")*(Income!A$3:A$502=DATE(2026,2,5)),ROW(Income!A$3:A$502)-2),2)),""),""))</f>
        <v/>
      </c>
      <c r="K30" s="63" t="str">
        <f aca="false">IF(IFERROR(-INDEX(Expenses!D$3:D$1002,SMALL(IF((Expenses!E$3:E$1002="INR")*(Expenses!A$3:A$1002=DATE(2026,2,6)),ROW(Expenses!A$3:A$1002)-2),2)),0)+IFERROR(INDEX(Income!C$3:C$502,SMALL(IF((Income!D$3:D$502="INR")*(Income!A$3:A$502=DATE(2026,2,6)),ROW(Income!A$3:A$502)-2),2)),0)=0,"",IFERROR(-INDEX(Expenses!D$3:D$1002,SMALL(IF((Expenses!E$3:E$1002="INR")*(Expenses!A$3:A$1002=DATE(2026,2,6)),ROW(Expenses!A$3:A$1002)-2),2)),0)+IFERROR(INDEX(Income!C$3:C$502,SMALL(IF((Income!D$3:D$502="INR")*(Income!A$3:A$502=DATE(2026,2,6)),ROW(Income!A$3:A$502)-2),2)),0))</f>
        <v/>
      </c>
      <c r="L30" s="38" t="str">
        <f aca="false">IF(IFERROR(INDEX(Expenses!B$3:B$1002,SMALL(IF((Expenses!E$3:E$1002="INR")*(Expenses!A$3:A$1002=DATE(2026,2,6)),ROW(Expenses!A$3:A$1002)-2),2)),"")&lt;&gt;"",IFERROR(INDEX(Expenses!B$3:B$1002,SMALL(IF((Expenses!E$3:E$1002="INR")*(Expenses!A$3:A$1002=DATE(2026,2,6)),ROW(Expenses!A$3:A$1002)-2),2)),""),IF(IFERROR(INDEX(Income!B$3:B$502,SMALL(IF((Income!D$3:D$502="INR")*(Income!A$3:A$502=DATE(2026,2,6)),ROW(Income!A$3:A$502)-2),2)),"")&lt;&gt;"",IFERROR(INDEX(Income!B$3:B$502,SMALL(IF((Income!D$3:D$502="INR")*(Income!A$3:A$502=DATE(2026,2,6)),ROW(Income!A$3:A$502)-2),2)),""),""))</f>
        <v/>
      </c>
      <c r="M30" s="63" t="str">
        <f aca="false">IF(IFERROR(-INDEX(Expenses!D$3:D$1002,SMALL(IF((Expenses!E$3:E$1002="INR")*(Expenses!A$3:A$1002=DATE(2026,2,7)),ROW(Expenses!A$3:A$1002)-2),2)),0)+IFERROR(INDEX(Income!C$3:C$502,SMALL(IF((Income!D$3:D$502="INR")*(Income!A$3:A$502=DATE(2026,2,7)),ROW(Income!A$3:A$502)-2),2)),0)=0,"",IFERROR(-INDEX(Expenses!D$3:D$1002,SMALL(IF((Expenses!E$3:E$1002="INR")*(Expenses!A$3:A$1002=DATE(2026,2,7)),ROW(Expenses!A$3:A$1002)-2),2)),0)+IFERROR(INDEX(Income!C$3:C$502,SMALL(IF((Income!D$3:D$502="INR")*(Income!A$3:A$502=DATE(2026,2,7)),ROW(Income!A$3:A$502)-2),2)),0))</f>
        <v/>
      </c>
      <c r="N30" s="38" t="str">
        <f aca="false">IF(IFERROR(INDEX(Expenses!B$3:B$1002,SMALL(IF((Expenses!E$3:E$1002="INR")*(Expenses!A$3:A$1002=DATE(2026,2,7)),ROW(Expenses!A$3:A$1002)-2),2)),"")&lt;&gt;"",IFERROR(INDEX(Expenses!B$3:B$1002,SMALL(IF((Expenses!E$3:E$1002="INR")*(Expenses!A$3:A$1002=DATE(2026,2,7)),ROW(Expenses!A$3:A$1002)-2),2)),""),IF(IFERROR(INDEX(Income!B$3:B$502,SMALL(IF((Income!D$3:D$502="INR")*(Income!A$3:A$502=DATE(2026,2,7)),ROW(Income!A$3:A$502)-2),2)),"")&lt;&gt;"",IFERROR(INDEX(Income!B$3:B$502,SMALL(IF((Income!D$3:D$502="INR")*(Income!A$3:A$502=DATE(2026,2,7)),ROW(Income!A$3:A$502)-2),2)),""),""))</f>
        <v/>
      </c>
      <c r="O30" s="63" t="str">
        <f aca="false">IF(IFERROR(-INDEX(Expenses!D$3:D$1002,SMALL(IF((Expenses!E$3:E$1002="INR")*(Expenses!A$3:A$1002=DATE(2026,2,8)),ROW(Expenses!A$3:A$1002)-2),2)),0)+IFERROR(INDEX(Income!C$3:C$502,SMALL(IF((Income!D$3:D$502="INR")*(Income!A$3:A$502=DATE(2026,2,8)),ROW(Income!A$3:A$502)-2),2)),0)=0,"",IFERROR(-INDEX(Expenses!D$3:D$1002,SMALL(IF((Expenses!E$3:E$1002="INR")*(Expenses!A$3:A$1002=DATE(2026,2,8)),ROW(Expenses!A$3:A$1002)-2),2)),0)+IFERROR(INDEX(Income!C$3:C$502,SMALL(IF((Income!D$3:D$502="INR")*(Income!A$3:A$502=DATE(2026,2,8)),ROW(Income!A$3:A$502)-2),2)),0))</f>
        <v/>
      </c>
      <c r="P30" s="38" t="str">
        <f aca="false">IF(IFERROR(INDEX(Expenses!B$3:B$1002,SMALL(IF((Expenses!E$3:E$1002="INR")*(Expenses!A$3:A$1002=DATE(2026,2,8)),ROW(Expenses!A$3:A$1002)-2),2)),"")&lt;&gt;"",IFERROR(INDEX(Expenses!B$3:B$1002,SMALL(IF((Expenses!E$3:E$1002="INR")*(Expenses!A$3:A$1002=DATE(2026,2,8)),ROW(Expenses!A$3:A$1002)-2),2)),""),IF(IFERROR(INDEX(Income!B$3:B$502,SMALL(IF((Income!D$3:D$502="INR")*(Income!A$3:A$502=DATE(2026,2,8)),ROW(Income!A$3:A$502)-2),2)),"")&lt;&gt;"",IFERROR(INDEX(Income!B$3:B$502,SMALL(IF((Income!D$3:D$502="INR")*(Income!A$3:A$502=DATE(2026,2,8)),ROW(Income!A$3:A$502)-2),2)),""),""))</f>
        <v/>
      </c>
      <c r="Q30" s="16"/>
      <c r="R30" s="16"/>
    </row>
    <row r="31" customFormat="false" ht="15" hidden="false" customHeight="false" outlineLevel="0" collapsed="false">
      <c r="A31" s="16"/>
      <c r="B31" s="16"/>
      <c r="C31" s="63" t="str">
        <f aca="false">IF(IFERROR(-INDEX(Expenses!D$3:D$1002,SMALL(IF((Expenses!E$3:E$1002="INR")*(Expenses!A$3:A$1002=DATE(2026,2,2)),ROW(Expenses!A$3:A$1002)-2),3)),0)+IFERROR(INDEX(Income!C$3:C$502,SMALL(IF((Income!D$3:D$502="INR")*(Income!A$3:A$502=DATE(2026,2,2)),ROW(Income!A$3:A$502)-2),3)),0)=0,"",IFERROR(-INDEX(Expenses!D$3:D$1002,SMALL(IF((Expenses!E$3:E$1002="INR")*(Expenses!A$3:A$1002=DATE(2026,2,2)),ROW(Expenses!A$3:A$1002)-2),3)),0)+IFERROR(INDEX(Income!C$3:C$502,SMALL(IF((Income!D$3:D$502="INR")*(Income!A$3:A$502=DATE(2026,2,2)),ROW(Income!A$3:A$502)-2),3)),0))</f>
        <v/>
      </c>
      <c r="D31" s="38" t="str">
        <f aca="false">IF(IFERROR(INDEX(Expenses!B$3:B$1002,SMALL(IF((Expenses!E$3:E$1002="INR")*(Expenses!A$3:A$1002=DATE(2026,2,2)),ROW(Expenses!A$3:A$1002)-2),3)),"")&lt;&gt;"",IFERROR(INDEX(Expenses!B$3:B$1002,SMALL(IF((Expenses!E$3:E$1002="INR")*(Expenses!A$3:A$1002=DATE(2026,2,2)),ROW(Expenses!A$3:A$1002)-2),3)),""),IF(IFERROR(INDEX(Income!B$3:B$502,SMALL(IF((Income!D$3:D$502="INR")*(Income!A$3:A$502=DATE(2026,2,2)),ROW(Income!A$3:A$502)-2),3)),"")&lt;&gt;"",IFERROR(INDEX(Income!B$3:B$502,SMALL(IF((Income!D$3:D$502="INR")*(Income!A$3:A$502=DATE(2026,2,2)),ROW(Income!A$3:A$502)-2),3)),""),""))</f>
        <v/>
      </c>
      <c r="E31" s="63" t="str">
        <f aca="false">IF(IFERROR(-INDEX(Expenses!D$3:D$1002,SMALL(IF((Expenses!E$3:E$1002="INR")*(Expenses!A$3:A$1002=DATE(2026,2,3)),ROW(Expenses!A$3:A$1002)-2),3)),0)+IFERROR(INDEX(Income!C$3:C$502,SMALL(IF((Income!D$3:D$502="INR")*(Income!A$3:A$502=DATE(2026,2,3)),ROW(Income!A$3:A$502)-2),3)),0)=0,"",IFERROR(-INDEX(Expenses!D$3:D$1002,SMALL(IF((Expenses!E$3:E$1002="INR")*(Expenses!A$3:A$1002=DATE(2026,2,3)),ROW(Expenses!A$3:A$1002)-2),3)),0)+IFERROR(INDEX(Income!C$3:C$502,SMALL(IF((Income!D$3:D$502="INR")*(Income!A$3:A$502=DATE(2026,2,3)),ROW(Income!A$3:A$502)-2),3)),0))</f>
        <v/>
      </c>
      <c r="F31" s="38" t="str">
        <f aca="false">IF(IFERROR(INDEX(Expenses!B$3:B$1002,SMALL(IF((Expenses!E$3:E$1002="INR")*(Expenses!A$3:A$1002=DATE(2026,2,3)),ROW(Expenses!A$3:A$1002)-2),3)),"")&lt;&gt;"",IFERROR(INDEX(Expenses!B$3:B$1002,SMALL(IF((Expenses!E$3:E$1002="INR")*(Expenses!A$3:A$1002=DATE(2026,2,3)),ROW(Expenses!A$3:A$1002)-2),3)),""),IF(IFERROR(INDEX(Income!B$3:B$502,SMALL(IF((Income!D$3:D$502="INR")*(Income!A$3:A$502=DATE(2026,2,3)),ROW(Income!A$3:A$502)-2),3)),"")&lt;&gt;"",IFERROR(INDEX(Income!B$3:B$502,SMALL(IF((Income!D$3:D$502="INR")*(Income!A$3:A$502=DATE(2026,2,3)),ROW(Income!A$3:A$502)-2),3)),""),""))</f>
        <v/>
      </c>
      <c r="G31" s="63" t="str">
        <f aca="false">IF(IFERROR(-INDEX(Expenses!D$3:D$1002,SMALL(IF((Expenses!E$3:E$1002="INR")*(Expenses!A$3:A$1002=DATE(2026,2,4)),ROW(Expenses!A$3:A$1002)-2),3)),0)+IFERROR(INDEX(Income!C$3:C$502,SMALL(IF((Income!D$3:D$502="INR")*(Income!A$3:A$502=DATE(2026,2,4)),ROW(Income!A$3:A$502)-2),3)),0)=0,"",IFERROR(-INDEX(Expenses!D$3:D$1002,SMALL(IF((Expenses!E$3:E$1002="INR")*(Expenses!A$3:A$1002=DATE(2026,2,4)),ROW(Expenses!A$3:A$1002)-2),3)),0)+IFERROR(INDEX(Income!C$3:C$502,SMALL(IF((Income!D$3:D$502="INR")*(Income!A$3:A$502=DATE(2026,2,4)),ROW(Income!A$3:A$502)-2),3)),0))</f>
        <v/>
      </c>
      <c r="H31" s="38" t="str">
        <f aca="false">IF(IFERROR(INDEX(Expenses!B$3:B$1002,SMALL(IF((Expenses!E$3:E$1002="INR")*(Expenses!A$3:A$1002=DATE(2026,2,4)),ROW(Expenses!A$3:A$1002)-2),3)),"")&lt;&gt;"",IFERROR(INDEX(Expenses!B$3:B$1002,SMALL(IF((Expenses!E$3:E$1002="INR")*(Expenses!A$3:A$1002=DATE(2026,2,4)),ROW(Expenses!A$3:A$1002)-2),3)),""),IF(IFERROR(INDEX(Income!B$3:B$502,SMALL(IF((Income!D$3:D$502="INR")*(Income!A$3:A$502=DATE(2026,2,4)),ROW(Income!A$3:A$502)-2),3)),"")&lt;&gt;"",IFERROR(INDEX(Income!B$3:B$502,SMALL(IF((Income!D$3:D$502="INR")*(Income!A$3:A$502=DATE(2026,2,4)),ROW(Income!A$3:A$502)-2),3)),""),""))</f>
        <v/>
      </c>
      <c r="I31" s="63" t="str">
        <f aca="false">IF(IFERROR(-INDEX(Expenses!D$3:D$1002,SMALL(IF((Expenses!E$3:E$1002="INR")*(Expenses!A$3:A$1002=DATE(2026,2,5)),ROW(Expenses!A$3:A$1002)-2),3)),0)+IFERROR(INDEX(Income!C$3:C$502,SMALL(IF((Income!D$3:D$502="INR")*(Income!A$3:A$502=DATE(2026,2,5)),ROW(Income!A$3:A$502)-2),3)),0)=0,"",IFERROR(-INDEX(Expenses!D$3:D$1002,SMALL(IF((Expenses!E$3:E$1002="INR")*(Expenses!A$3:A$1002=DATE(2026,2,5)),ROW(Expenses!A$3:A$1002)-2),3)),0)+IFERROR(INDEX(Income!C$3:C$502,SMALL(IF((Income!D$3:D$502="INR")*(Income!A$3:A$502=DATE(2026,2,5)),ROW(Income!A$3:A$502)-2),3)),0))</f>
        <v/>
      </c>
      <c r="J31" s="38" t="str">
        <f aca="false">IF(IFERROR(INDEX(Expenses!B$3:B$1002,SMALL(IF((Expenses!E$3:E$1002="INR")*(Expenses!A$3:A$1002=DATE(2026,2,5)),ROW(Expenses!A$3:A$1002)-2),3)),"")&lt;&gt;"",IFERROR(INDEX(Expenses!B$3:B$1002,SMALL(IF((Expenses!E$3:E$1002="INR")*(Expenses!A$3:A$1002=DATE(2026,2,5)),ROW(Expenses!A$3:A$1002)-2),3)),""),IF(IFERROR(INDEX(Income!B$3:B$502,SMALL(IF((Income!D$3:D$502="INR")*(Income!A$3:A$502=DATE(2026,2,5)),ROW(Income!A$3:A$502)-2),3)),"")&lt;&gt;"",IFERROR(INDEX(Income!B$3:B$502,SMALL(IF((Income!D$3:D$502="INR")*(Income!A$3:A$502=DATE(2026,2,5)),ROW(Income!A$3:A$502)-2),3)),""),""))</f>
        <v/>
      </c>
      <c r="K31" s="63" t="str">
        <f aca="false">IF(IFERROR(-INDEX(Expenses!D$3:D$1002,SMALL(IF((Expenses!E$3:E$1002="INR")*(Expenses!A$3:A$1002=DATE(2026,2,6)),ROW(Expenses!A$3:A$1002)-2),3)),0)+IFERROR(INDEX(Income!C$3:C$502,SMALL(IF((Income!D$3:D$502="INR")*(Income!A$3:A$502=DATE(2026,2,6)),ROW(Income!A$3:A$502)-2),3)),0)=0,"",IFERROR(-INDEX(Expenses!D$3:D$1002,SMALL(IF((Expenses!E$3:E$1002="INR")*(Expenses!A$3:A$1002=DATE(2026,2,6)),ROW(Expenses!A$3:A$1002)-2),3)),0)+IFERROR(INDEX(Income!C$3:C$502,SMALL(IF((Income!D$3:D$502="INR")*(Income!A$3:A$502=DATE(2026,2,6)),ROW(Income!A$3:A$502)-2),3)),0))</f>
        <v/>
      </c>
      <c r="L31" s="38" t="str">
        <f aca="false">IF(IFERROR(INDEX(Expenses!B$3:B$1002,SMALL(IF((Expenses!E$3:E$1002="INR")*(Expenses!A$3:A$1002=DATE(2026,2,6)),ROW(Expenses!A$3:A$1002)-2),3)),"")&lt;&gt;"",IFERROR(INDEX(Expenses!B$3:B$1002,SMALL(IF((Expenses!E$3:E$1002="INR")*(Expenses!A$3:A$1002=DATE(2026,2,6)),ROW(Expenses!A$3:A$1002)-2),3)),""),IF(IFERROR(INDEX(Income!B$3:B$502,SMALL(IF((Income!D$3:D$502="INR")*(Income!A$3:A$502=DATE(2026,2,6)),ROW(Income!A$3:A$502)-2),3)),"")&lt;&gt;"",IFERROR(INDEX(Income!B$3:B$502,SMALL(IF((Income!D$3:D$502="INR")*(Income!A$3:A$502=DATE(2026,2,6)),ROW(Income!A$3:A$502)-2),3)),""),""))</f>
        <v/>
      </c>
      <c r="M31" s="63" t="str">
        <f aca="false">IF(IFERROR(-INDEX(Expenses!D$3:D$1002,SMALL(IF((Expenses!E$3:E$1002="INR")*(Expenses!A$3:A$1002=DATE(2026,2,7)),ROW(Expenses!A$3:A$1002)-2),3)),0)+IFERROR(INDEX(Income!C$3:C$502,SMALL(IF((Income!D$3:D$502="INR")*(Income!A$3:A$502=DATE(2026,2,7)),ROW(Income!A$3:A$502)-2),3)),0)=0,"",IFERROR(-INDEX(Expenses!D$3:D$1002,SMALL(IF((Expenses!E$3:E$1002="INR")*(Expenses!A$3:A$1002=DATE(2026,2,7)),ROW(Expenses!A$3:A$1002)-2),3)),0)+IFERROR(INDEX(Income!C$3:C$502,SMALL(IF((Income!D$3:D$502="INR")*(Income!A$3:A$502=DATE(2026,2,7)),ROW(Income!A$3:A$502)-2),3)),0))</f>
        <v/>
      </c>
      <c r="N31" s="38" t="str">
        <f aca="false">IF(IFERROR(INDEX(Expenses!B$3:B$1002,SMALL(IF((Expenses!E$3:E$1002="INR")*(Expenses!A$3:A$1002=DATE(2026,2,7)),ROW(Expenses!A$3:A$1002)-2),3)),"")&lt;&gt;"",IFERROR(INDEX(Expenses!B$3:B$1002,SMALL(IF((Expenses!E$3:E$1002="INR")*(Expenses!A$3:A$1002=DATE(2026,2,7)),ROW(Expenses!A$3:A$1002)-2),3)),""),IF(IFERROR(INDEX(Income!B$3:B$502,SMALL(IF((Income!D$3:D$502="INR")*(Income!A$3:A$502=DATE(2026,2,7)),ROW(Income!A$3:A$502)-2),3)),"")&lt;&gt;"",IFERROR(INDEX(Income!B$3:B$502,SMALL(IF((Income!D$3:D$502="INR")*(Income!A$3:A$502=DATE(2026,2,7)),ROW(Income!A$3:A$502)-2),3)),""),""))</f>
        <v/>
      </c>
      <c r="O31" s="63" t="str">
        <f aca="false">IF(IFERROR(-INDEX(Expenses!D$3:D$1002,SMALL(IF((Expenses!E$3:E$1002="INR")*(Expenses!A$3:A$1002=DATE(2026,2,8)),ROW(Expenses!A$3:A$1002)-2),3)),0)+IFERROR(INDEX(Income!C$3:C$502,SMALL(IF((Income!D$3:D$502="INR")*(Income!A$3:A$502=DATE(2026,2,8)),ROW(Income!A$3:A$502)-2),3)),0)=0,"",IFERROR(-INDEX(Expenses!D$3:D$1002,SMALL(IF((Expenses!E$3:E$1002="INR")*(Expenses!A$3:A$1002=DATE(2026,2,8)),ROW(Expenses!A$3:A$1002)-2),3)),0)+IFERROR(INDEX(Income!C$3:C$502,SMALL(IF((Income!D$3:D$502="INR")*(Income!A$3:A$502=DATE(2026,2,8)),ROW(Income!A$3:A$502)-2),3)),0))</f>
        <v/>
      </c>
      <c r="P31" s="38" t="str">
        <f aca="false">IF(IFERROR(INDEX(Expenses!B$3:B$1002,SMALL(IF((Expenses!E$3:E$1002="INR")*(Expenses!A$3:A$1002=DATE(2026,2,8)),ROW(Expenses!A$3:A$1002)-2),3)),"")&lt;&gt;"",IFERROR(INDEX(Expenses!B$3:B$1002,SMALL(IF((Expenses!E$3:E$1002="INR")*(Expenses!A$3:A$1002=DATE(2026,2,8)),ROW(Expenses!A$3:A$1002)-2),3)),""),IF(IFERROR(INDEX(Income!B$3:B$502,SMALL(IF((Income!D$3:D$502="INR")*(Income!A$3:A$502=DATE(2026,2,8)),ROW(Income!A$3:A$502)-2),3)),"")&lt;&gt;"",IFERROR(INDEX(Income!B$3:B$502,SMALL(IF((Income!D$3:D$502="INR")*(Income!A$3:A$502=DATE(2026,2,8)),ROW(Income!A$3:A$502)-2),3)),""),""))</f>
        <v/>
      </c>
      <c r="Q31" s="16"/>
      <c r="R31" s="16"/>
    </row>
    <row r="32" customFormat="false" ht="15" hidden="false" customHeight="false" outlineLevel="0" collapsed="false">
      <c r="A32" s="16"/>
      <c r="B32" s="16"/>
      <c r="C32" s="63" t="str">
        <f aca="false">IF(IFERROR(-INDEX(Expenses!D$3:D$1002,SMALL(IF((Expenses!E$3:E$1002="INR")*(Expenses!A$3:A$1002=DATE(2026,2,2)),ROW(Expenses!A$3:A$1002)-2),4)),0)+IFERROR(INDEX(Income!C$3:C$502,SMALL(IF((Income!D$3:D$502="INR")*(Income!A$3:A$502=DATE(2026,2,2)),ROW(Income!A$3:A$502)-2),4)),0)=0,"",IFERROR(-INDEX(Expenses!D$3:D$1002,SMALL(IF((Expenses!E$3:E$1002="INR")*(Expenses!A$3:A$1002=DATE(2026,2,2)),ROW(Expenses!A$3:A$1002)-2),4)),0)+IFERROR(INDEX(Income!C$3:C$502,SMALL(IF((Income!D$3:D$502="INR")*(Income!A$3:A$502=DATE(2026,2,2)),ROW(Income!A$3:A$502)-2),4)),0))</f>
        <v/>
      </c>
      <c r="D32" s="38" t="str">
        <f aca="false">IF(IFERROR(INDEX(Expenses!B$3:B$1002,SMALL(IF((Expenses!E$3:E$1002="INR")*(Expenses!A$3:A$1002=DATE(2026,2,2)),ROW(Expenses!A$3:A$1002)-2),4)),"")&lt;&gt;"",IFERROR(INDEX(Expenses!B$3:B$1002,SMALL(IF((Expenses!E$3:E$1002="INR")*(Expenses!A$3:A$1002=DATE(2026,2,2)),ROW(Expenses!A$3:A$1002)-2),4)),""),IF(IFERROR(INDEX(Income!B$3:B$502,SMALL(IF((Income!D$3:D$502="INR")*(Income!A$3:A$502=DATE(2026,2,2)),ROW(Income!A$3:A$502)-2),4)),"")&lt;&gt;"",IFERROR(INDEX(Income!B$3:B$502,SMALL(IF((Income!D$3:D$502="INR")*(Income!A$3:A$502=DATE(2026,2,2)),ROW(Income!A$3:A$502)-2),4)),""),""))</f>
        <v/>
      </c>
      <c r="E32" s="63" t="str">
        <f aca="false">IF(IFERROR(-INDEX(Expenses!D$3:D$1002,SMALL(IF((Expenses!E$3:E$1002="INR")*(Expenses!A$3:A$1002=DATE(2026,2,3)),ROW(Expenses!A$3:A$1002)-2),4)),0)+IFERROR(INDEX(Income!C$3:C$502,SMALL(IF((Income!D$3:D$502="INR")*(Income!A$3:A$502=DATE(2026,2,3)),ROW(Income!A$3:A$502)-2),4)),0)=0,"",IFERROR(-INDEX(Expenses!D$3:D$1002,SMALL(IF((Expenses!E$3:E$1002="INR")*(Expenses!A$3:A$1002=DATE(2026,2,3)),ROW(Expenses!A$3:A$1002)-2),4)),0)+IFERROR(INDEX(Income!C$3:C$502,SMALL(IF((Income!D$3:D$502="INR")*(Income!A$3:A$502=DATE(2026,2,3)),ROW(Income!A$3:A$502)-2),4)),0))</f>
        <v/>
      </c>
      <c r="F32" s="38" t="str">
        <f aca="false">IF(IFERROR(INDEX(Expenses!B$3:B$1002,SMALL(IF((Expenses!E$3:E$1002="INR")*(Expenses!A$3:A$1002=DATE(2026,2,3)),ROW(Expenses!A$3:A$1002)-2),4)),"")&lt;&gt;"",IFERROR(INDEX(Expenses!B$3:B$1002,SMALL(IF((Expenses!E$3:E$1002="INR")*(Expenses!A$3:A$1002=DATE(2026,2,3)),ROW(Expenses!A$3:A$1002)-2),4)),""),IF(IFERROR(INDEX(Income!B$3:B$502,SMALL(IF((Income!D$3:D$502="INR")*(Income!A$3:A$502=DATE(2026,2,3)),ROW(Income!A$3:A$502)-2),4)),"")&lt;&gt;"",IFERROR(INDEX(Income!B$3:B$502,SMALL(IF((Income!D$3:D$502="INR")*(Income!A$3:A$502=DATE(2026,2,3)),ROW(Income!A$3:A$502)-2),4)),""),""))</f>
        <v/>
      </c>
      <c r="G32" s="63" t="str">
        <f aca="false">IF(IFERROR(-INDEX(Expenses!D$3:D$1002,SMALL(IF((Expenses!E$3:E$1002="INR")*(Expenses!A$3:A$1002=DATE(2026,2,4)),ROW(Expenses!A$3:A$1002)-2),4)),0)+IFERROR(INDEX(Income!C$3:C$502,SMALL(IF((Income!D$3:D$502="INR")*(Income!A$3:A$502=DATE(2026,2,4)),ROW(Income!A$3:A$502)-2),4)),0)=0,"",IFERROR(-INDEX(Expenses!D$3:D$1002,SMALL(IF((Expenses!E$3:E$1002="INR")*(Expenses!A$3:A$1002=DATE(2026,2,4)),ROW(Expenses!A$3:A$1002)-2),4)),0)+IFERROR(INDEX(Income!C$3:C$502,SMALL(IF((Income!D$3:D$502="INR")*(Income!A$3:A$502=DATE(2026,2,4)),ROW(Income!A$3:A$502)-2),4)),0))</f>
        <v/>
      </c>
      <c r="H32" s="38" t="str">
        <f aca="false">IF(IFERROR(INDEX(Expenses!B$3:B$1002,SMALL(IF((Expenses!E$3:E$1002="INR")*(Expenses!A$3:A$1002=DATE(2026,2,4)),ROW(Expenses!A$3:A$1002)-2),4)),"")&lt;&gt;"",IFERROR(INDEX(Expenses!B$3:B$1002,SMALL(IF((Expenses!E$3:E$1002="INR")*(Expenses!A$3:A$1002=DATE(2026,2,4)),ROW(Expenses!A$3:A$1002)-2),4)),""),IF(IFERROR(INDEX(Income!B$3:B$502,SMALL(IF((Income!D$3:D$502="INR")*(Income!A$3:A$502=DATE(2026,2,4)),ROW(Income!A$3:A$502)-2),4)),"")&lt;&gt;"",IFERROR(INDEX(Income!B$3:B$502,SMALL(IF((Income!D$3:D$502="INR")*(Income!A$3:A$502=DATE(2026,2,4)),ROW(Income!A$3:A$502)-2),4)),""),""))</f>
        <v/>
      </c>
      <c r="I32" s="63" t="str">
        <f aca="false">IF(IFERROR(-INDEX(Expenses!D$3:D$1002,SMALL(IF((Expenses!E$3:E$1002="INR")*(Expenses!A$3:A$1002=DATE(2026,2,5)),ROW(Expenses!A$3:A$1002)-2),4)),0)+IFERROR(INDEX(Income!C$3:C$502,SMALL(IF((Income!D$3:D$502="INR")*(Income!A$3:A$502=DATE(2026,2,5)),ROW(Income!A$3:A$502)-2),4)),0)=0,"",IFERROR(-INDEX(Expenses!D$3:D$1002,SMALL(IF((Expenses!E$3:E$1002="INR")*(Expenses!A$3:A$1002=DATE(2026,2,5)),ROW(Expenses!A$3:A$1002)-2),4)),0)+IFERROR(INDEX(Income!C$3:C$502,SMALL(IF((Income!D$3:D$502="INR")*(Income!A$3:A$502=DATE(2026,2,5)),ROW(Income!A$3:A$502)-2),4)),0))</f>
        <v/>
      </c>
      <c r="J32" s="38" t="str">
        <f aca="false">IF(IFERROR(INDEX(Expenses!B$3:B$1002,SMALL(IF((Expenses!E$3:E$1002="INR")*(Expenses!A$3:A$1002=DATE(2026,2,5)),ROW(Expenses!A$3:A$1002)-2),4)),"")&lt;&gt;"",IFERROR(INDEX(Expenses!B$3:B$1002,SMALL(IF((Expenses!E$3:E$1002="INR")*(Expenses!A$3:A$1002=DATE(2026,2,5)),ROW(Expenses!A$3:A$1002)-2),4)),""),IF(IFERROR(INDEX(Income!B$3:B$502,SMALL(IF((Income!D$3:D$502="INR")*(Income!A$3:A$502=DATE(2026,2,5)),ROW(Income!A$3:A$502)-2),4)),"")&lt;&gt;"",IFERROR(INDEX(Income!B$3:B$502,SMALL(IF((Income!D$3:D$502="INR")*(Income!A$3:A$502=DATE(2026,2,5)),ROW(Income!A$3:A$502)-2),4)),""),""))</f>
        <v/>
      </c>
      <c r="K32" s="63" t="str">
        <f aca="false">IF(IFERROR(-INDEX(Expenses!D$3:D$1002,SMALL(IF((Expenses!E$3:E$1002="INR")*(Expenses!A$3:A$1002=DATE(2026,2,6)),ROW(Expenses!A$3:A$1002)-2),4)),0)+IFERROR(INDEX(Income!C$3:C$502,SMALL(IF((Income!D$3:D$502="INR")*(Income!A$3:A$502=DATE(2026,2,6)),ROW(Income!A$3:A$502)-2),4)),0)=0,"",IFERROR(-INDEX(Expenses!D$3:D$1002,SMALL(IF((Expenses!E$3:E$1002="INR")*(Expenses!A$3:A$1002=DATE(2026,2,6)),ROW(Expenses!A$3:A$1002)-2),4)),0)+IFERROR(INDEX(Income!C$3:C$502,SMALL(IF((Income!D$3:D$502="INR")*(Income!A$3:A$502=DATE(2026,2,6)),ROW(Income!A$3:A$502)-2),4)),0))</f>
        <v/>
      </c>
      <c r="L32" s="38" t="str">
        <f aca="false">IF(IFERROR(INDEX(Expenses!B$3:B$1002,SMALL(IF((Expenses!E$3:E$1002="INR")*(Expenses!A$3:A$1002=DATE(2026,2,6)),ROW(Expenses!A$3:A$1002)-2),4)),"")&lt;&gt;"",IFERROR(INDEX(Expenses!B$3:B$1002,SMALL(IF((Expenses!E$3:E$1002="INR")*(Expenses!A$3:A$1002=DATE(2026,2,6)),ROW(Expenses!A$3:A$1002)-2),4)),""),IF(IFERROR(INDEX(Income!B$3:B$502,SMALL(IF((Income!D$3:D$502="INR")*(Income!A$3:A$502=DATE(2026,2,6)),ROW(Income!A$3:A$502)-2),4)),"")&lt;&gt;"",IFERROR(INDEX(Income!B$3:B$502,SMALL(IF((Income!D$3:D$502="INR")*(Income!A$3:A$502=DATE(2026,2,6)),ROW(Income!A$3:A$502)-2),4)),""),""))</f>
        <v/>
      </c>
      <c r="M32" s="63" t="str">
        <f aca="false">IF(IFERROR(-INDEX(Expenses!D$3:D$1002,SMALL(IF((Expenses!E$3:E$1002="INR")*(Expenses!A$3:A$1002=DATE(2026,2,7)),ROW(Expenses!A$3:A$1002)-2),4)),0)+IFERROR(INDEX(Income!C$3:C$502,SMALL(IF((Income!D$3:D$502="INR")*(Income!A$3:A$502=DATE(2026,2,7)),ROW(Income!A$3:A$502)-2),4)),0)=0,"",IFERROR(-INDEX(Expenses!D$3:D$1002,SMALL(IF((Expenses!E$3:E$1002="INR")*(Expenses!A$3:A$1002=DATE(2026,2,7)),ROW(Expenses!A$3:A$1002)-2),4)),0)+IFERROR(INDEX(Income!C$3:C$502,SMALL(IF((Income!D$3:D$502="INR")*(Income!A$3:A$502=DATE(2026,2,7)),ROW(Income!A$3:A$502)-2),4)),0))</f>
        <v/>
      </c>
      <c r="N32" s="38" t="str">
        <f aca="false">IF(IFERROR(INDEX(Expenses!B$3:B$1002,SMALL(IF((Expenses!E$3:E$1002="INR")*(Expenses!A$3:A$1002=DATE(2026,2,7)),ROW(Expenses!A$3:A$1002)-2),4)),"")&lt;&gt;"",IFERROR(INDEX(Expenses!B$3:B$1002,SMALL(IF((Expenses!E$3:E$1002="INR")*(Expenses!A$3:A$1002=DATE(2026,2,7)),ROW(Expenses!A$3:A$1002)-2),4)),""),IF(IFERROR(INDEX(Income!B$3:B$502,SMALL(IF((Income!D$3:D$502="INR")*(Income!A$3:A$502=DATE(2026,2,7)),ROW(Income!A$3:A$502)-2),4)),"")&lt;&gt;"",IFERROR(INDEX(Income!B$3:B$502,SMALL(IF((Income!D$3:D$502="INR")*(Income!A$3:A$502=DATE(2026,2,7)),ROW(Income!A$3:A$502)-2),4)),""),""))</f>
        <v/>
      </c>
      <c r="O32" s="63" t="str">
        <f aca="false">IF(IFERROR(-INDEX(Expenses!D$3:D$1002,SMALL(IF((Expenses!E$3:E$1002="INR")*(Expenses!A$3:A$1002=DATE(2026,2,8)),ROW(Expenses!A$3:A$1002)-2),4)),0)+IFERROR(INDEX(Income!C$3:C$502,SMALL(IF((Income!D$3:D$502="INR")*(Income!A$3:A$502=DATE(2026,2,8)),ROW(Income!A$3:A$502)-2),4)),0)=0,"",IFERROR(-INDEX(Expenses!D$3:D$1002,SMALL(IF((Expenses!E$3:E$1002="INR")*(Expenses!A$3:A$1002=DATE(2026,2,8)),ROW(Expenses!A$3:A$1002)-2),4)),0)+IFERROR(INDEX(Income!C$3:C$502,SMALL(IF((Income!D$3:D$502="INR")*(Income!A$3:A$502=DATE(2026,2,8)),ROW(Income!A$3:A$502)-2),4)),0))</f>
        <v/>
      </c>
      <c r="P32" s="38" t="str">
        <f aca="false">IF(IFERROR(INDEX(Expenses!B$3:B$1002,SMALL(IF((Expenses!E$3:E$1002="INR")*(Expenses!A$3:A$1002=DATE(2026,2,8)),ROW(Expenses!A$3:A$1002)-2),4)),"")&lt;&gt;"",IFERROR(INDEX(Expenses!B$3:B$1002,SMALL(IF((Expenses!E$3:E$1002="INR")*(Expenses!A$3:A$1002=DATE(2026,2,8)),ROW(Expenses!A$3:A$1002)-2),4)),""),IF(IFERROR(INDEX(Income!B$3:B$502,SMALL(IF((Income!D$3:D$502="INR")*(Income!A$3:A$502=DATE(2026,2,8)),ROW(Income!A$3:A$502)-2),4)),"")&lt;&gt;"",IFERROR(INDEX(Income!B$3:B$502,SMALL(IF((Income!D$3:D$502="INR")*(Income!A$3:A$502=DATE(2026,2,8)),ROW(Income!A$3:A$502)-2),4)),""),""))</f>
        <v/>
      </c>
      <c r="Q32" s="16"/>
      <c r="R32" s="16"/>
    </row>
    <row r="33" customFormat="false" ht="15" hidden="false" customHeight="false" outlineLevel="0" collapsed="false">
      <c r="A33" s="16"/>
      <c r="B33" s="16"/>
      <c r="C33" s="63" t="str">
        <f aca="false">IF(IFERROR(-INDEX(Expenses!D$3:D$1002,SMALL(IF((Expenses!E$3:E$1002="INR")*(Expenses!A$3:A$1002=DATE(2026,2,2)),ROW(Expenses!A$3:A$1002)-2),5)),0)+IFERROR(INDEX(Income!C$3:C$502,SMALL(IF((Income!D$3:D$502="INR")*(Income!A$3:A$502=DATE(2026,2,2)),ROW(Income!A$3:A$502)-2),5)),0)=0,"",IFERROR(-INDEX(Expenses!D$3:D$1002,SMALL(IF((Expenses!E$3:E$1002="INR")*(Expenses!A$3:A$1002=DATE(2026,2,2)),ROW(Expenses!A$3:A$1002)-2),5)),0)+IFERROR(INDEX(Income!C$3:C$502,SMALL(IF((Income!D$3:D$502="INR")*(Income!A$3:A$502=DATE(2026,2,2)),ROW(Income!A$3:A$502)-2),5)),0))</f>
        <v/>
      </c>
      <c r="D33" s="38" t="str">
        <f aca="false">IF(IFERROR(INDEX(Expenses!B$3:B$1002,SMALL(IF((Expenses!E$3:E$1002="INR")*(Expenses!A$3:A$1002=DATE(2026,2,2)),ROW(Expenses!A$3:A$1002)-2),5)),"")&lt;&gt;"",IFERROR(INDEX(Expenses!B$3:B$1002,SMALL(IF((Expenses!E$3:E$1002="INR")*(Expenses!A$3:A$1002=DATE(2026,2,2)),ROW(Expenses!A$3:A$1002)-2),5)),""),IF(IFERROR(INDEX(Income!B$3:B$502,SMALL(IF((Income!D$3:D$502="INR")*(Income!A$3:A$502=DATE(2026,2,2)),ROW(Income!A$3:A$502)-2),5)),"")&lt;&gt;"",IFERROR(INDEX(Income!B$3:B$502,SMALL(IF((Income!D$3:D$502="INR")*(Income!A$3:A$502=DATE(2026,2,2)),ROW(Income!A$3:A$502)-2),5)),""),""))</f>
        <v/>
      </c>
      <c r="E33" s="63" t="str">
        <f aca="false">IF(IFERROR(-INDEX(Expenses!D$3:D$1002,SMALL(IF((Expenses!E$3:E$1002="INR")*(Expenses!A$3:A$1002=DATE(2026,2,3)),ROW(Expenses!A$3:A$1002)-2),5)),0)+IFERROR(INDEX(Income!C$3:C$502,SMALL(IF((Income!D$3:D$502="INR")*(Income!A$3:A$502=DATE(2026,2,3)),ROW(Income!A$3:A$502)-2),5)),0)=0,"",IFERROR(-INDEX(Expenses!D$3:D$1002,SMALL(IF((Expenses!E$3:E$1002="INR")*(Expenses!A$3:A$1002=DATE(2026,2,3)),ROW(Expenses!A$3:A$1002)-2),5)),0)+IFERROR(INDEX(Income!C$3:C$502,SMALL(IF((Income!D$3:D$502="INR")*(Income!A$3:A$502=DATE(2026,2,3)),ROW(Income!A$3:A$502)-2),5)),0))</f>
        <v/>
      </c>
      <c r="F33" s="38" t="str">
        <f aca="false">IF(IFERROR(INDEX(Expenses!B$3:B$1002,SMALL(IF((Expenses!E$3:E$1002="INR")*(Expenses!A$3:A$1002=DATE(2026,2,3)),ROW(Expenses!A$3:A$1002)-2),5)),"")&lt;&gt;"",IFERROR(INDEX(Expenses!B$3:B$1002,SMALL(IF((Expenses!E$3:E$1002="INR")*(Expenses!A$3:A$1002=DATE(2026,2,3)),ROW(Expenses!A$3:A$1002)-2),5)),""),IF(IFERROR(INDEX(Income!B$3:B$502,SMALL(IF((Income!D$3:D$502="INR")*(Income!A$3:A$502=DATE(2026,2,3)),ROW(Income!A$3:A$502)-2),5)),"")&lt;&gt;"",IFERROR(INDEX(Income!B$3:B$502,SMALL(IF((Income!D$3:D$502="INR")*(Income!A$3:A$502=DATE(2026,2,3)),ROW(Income!A$3:A$502)-2),5)),""),""))</f>
        <v/>
      </c>
      <c r="G33" s="63" t="str">
        <f aca="false">IF(IFERROR(-INDEX(Expenses!D$3:D$1002,SMALL(IF((Expenses!E$3:E$1002="INR")*(Expenses!A$3:A$1002=DATE(2026,2,4)),ROW(Expenses!A$3:A$1002)-2),5)),0)+IFERROR(INDEX(Income!C$3:C$502,SMALL(IF((Income!D$3:D$502="INR")*(Income!A$3:A$502=DATE(2026,2,4)),ROW(Income!A$3:A$502)-2),5)),0)=0,"",IFERROR(-INDEX(Expenses!D$3:D$1002,SMALL(IF((Expenses!E$3:E$1002="INR")*(Expenses!A$3:A$1002=DATE(2026,2,4)),ROW(Expenses!A$3:A$1002)-2),5)),0)+IFERROR(INDEX(Income!C$3:C$502,SMALL(IF((Income!D$3:D$502="INR")*(Income!A$3:A$502=DATE(2026,2,4)),ROW(Income!A$3:A$502)-2),5)),0))</f>
        <v/>
      </c>
      <c r="H33" s="38" t="str">
        <f aca="false">IF(IFERROR(INDEX(Expenses!B$3:B$1002,SMALL(IF((Expenses!E$3:E$1002="INR")*(Expenses!A$3:A$1002=DATE(2026,2,4)),ROW(Expenses!A$3:A$1002)-2),5)),"")&lt;&gt;"",IFERROR(INDEX(Expenses!B$3:B$1002,SMALL(IF((Expenses!E$3:E$1002="INR")*(Expenses!A$3:A$1002=DATE(2026,2,4)),ROW(Expenses!A$3:A$1002)-2),5)),""),IF(IFERROR(INDEX(Income!B$3:B$502,SMALL(IF((Income!D$3:D$502="INR")*(Income!A$3:A$502=DATE(2026,2,4)),ROW(Income!A$3:A$502)-2),5)),"")&lt;&gt;"",IFERROR(INDEX(Income!B$3:B$502,SMALL(IF((Income!D$3:D$502="INR")*(Income!A$3:A$502=DATE(2026,2,4)),ROW(Income!A$3:A$502)-2),5)),""),""))</f>
        <v/>
      </c>
      <c r="I33" s="63" t="str">
        <f aca="false">IF(IFERROR(-INDEX(Expenses!D$3:D$1002,SMALL(IF((Expenses!E$3:E$1002="INR")*(Expenses!A$3:A$1002=DATE(2026,2,5)),ROW(Expenses!A$3:A$1002)-2),5)),0)+IFERROR(INDEX(Income!C$3:C$502,SMALL(IF((Income!D$3:D$502="INR")*(Income!A$3:A$502=DATE(2026,2,5)),ROW(Income!A$3:A$502)-2),5)),0)=0,"",IFERROR(-INDEX(Expenses!D$3:D$1002,SMALL(IF((Expenses!E$3:E$1002="INR")*(Expenses!A$3:A$1002=DATE(2026,2,5)),ROW(Expenses!A$3:A$1002)-2),5)),0)+IFERROR(INDEX(Income!C$3:C$502,SMALL(IF((Income!D$3:D$502="INR")*(Income!A$3:A$502=DATE(2026,2,5)),ROW(Income!A$3:A$502)-2),5)),0))</f>
        <v/>
      </c>
      <c r="J33" s="38" t="str">
        <f aca="false">IF(IFERROR(INDEX(Expenses!B$3:B$1002,SMALL(IF((Expenses!E$3:E$1002="INR")*(Expenses!A$3:A$1002=DATE(2026,2,5)),ROW(Expenses!A$3:A$1002)-2),5)),"")&lt;&gt;"",IFERROR(INDEX(Expenses!B$3:B$1002,SMALL(IF((Expenses!E$3:E$1002="INR")*(Expenses!A$3:A$1002=DATE(2026,2,5)),ROW(Expenses!A$3:A$1002)-2),5)),""),IF(IFERROR(INDEX(Income!B$3:B$502,SMALL(IF((Income!D$3:D$502="INR")*(Income!A$3:A$502=DATE(2026,2,5)),ROW(Income!A$3:A$502)-2),5)),"")&lt;&gt;"",IFERROR(INDEX(Income!B$3:B$502,SMALL(IF((Income!D$3:D$502="INR")*(Income!A$3:A$502=DATE(2026,2,5)),ROW(Income!A$3:A$502)-2),5)),""),""))</f>
        <v/>
      </c>
      <c r="K33" s="63" t="str">
        <f aca="false">IF(IFERROR(-INDEX(Expenses!D$3:D$1002,SMALL(IF((Expenses!E$3:E$1002="INR")*(Expenses!A$3:A$1002=DATE(2026,2,6)),ROW(Expenses!A$3:A$1002)-2),5)),0)+IFERROR(INDEX(Income!C$3:C$502,SMALL(IF((Income!D$3:D$502="INR")*(Income!A$3:A$502=DATE(2026,2,6)),ROW(Income!A$3:A$502)-2),5)),0)=0,"",IFERROR(-INDEX(Expenses!D$3:D$1002,SMALL(IF((Expenses!E$3:E$1002="INR")*(Expenses!A$3:A$1002=DATE(2026,2,6)),ROW(Expenses!A$3:A$1002)-2),5)),0)+IFERROR(INDEX(Income!C$3:C$502,SMALL(IF((Income!D$3:D$502="INR")*(Income!A$3:A$502=DATE(2026,2,6)),ROW(Income!A$3:A$502)-2),5)),0))</f>
        <v/>
      </c>
      <c r="L33" s="38" t="str">
        <f aca="false">IF(IFERROR(INDEX(Expenses!B$3:B$1002,SMALL(IF((Expenses!E$3:E$1002="INR")*(Expenses!A$3:A$1002=DATE(2026,2,6)),ROW(Expenses!A$3:A$1002)-2),5)),"")&lt;&gt;"",IFERROR(INDEX(Expenses!B$3:B$1002,SMALL(IF((Expenses!E$3:E$1002="INR")*(Expenses!A$3:A$1002=DATE(2026,2,6)),ROW(Expenses!A$3:A$1002)-2),5)),""),IF(IFERROR(INDEX(Income!B$3:B$502,SMALL(IF((Income!D$3:D$502="INR")*(Income!A$3:A$502=DATE(2026,2,6)),ROW(Income!A$3:A$502)-2),5)),"")&lt;&gt;"",IFERROR(INDEX(Income!B$3:B$502,SMALL(IF((Income!D$3:D$502="INR")*(Income!A$3:A$502=DATE(2026,2,6)),ROW(Income!A$3:A$502)-2),5)),""),""))</f>
        <v/>
      </c>
      <c r="M33" s="63" t="str">
        <f aca="false">IF(IFERROR(-INDEX(Expenses!D$3:D$1002,SMALL(IF((Expenses!E$3:E$1002="INR")*(Expenses!A$3:A$1002=DATE(2026,2,7)),ROW(Expenses!A$3:A$1002)-2),5)),0)+IFERROR(INDEX(Income!C$3:C$502,SMALL(IF((Income!D$3:D$502="INR")*(Income!A$3:A$502=DATE(2026,2,7)),ROW(Income!A$3:A$502)-2),5)),0)=0,"",IFERROR(-INDEX(Expenses!D$3:D$1002,SMALL(IF((Expenses!E$3:E$1002="INR")*(Expenses!A$3:A$1002=DATE(2026,2,7)),ROW(Expenses!A$3:A$1002)-2),5)),0)+IFERROR(INDEX(Income!C$3:C$502,SMALL(IF((Income!D$3:D$502="INR")*(Income!A$3:A$502=DATE(2026,2,7)),ROW(Income!A$3:A$502)-2),5)),0))</f>
        <v/>
      </c>
      <c r="N33" s="38" t="str">
        <f aca="false">IF(IFERROR(INDEX(Expenses!B$3:B$1002,SMALL(IF((Expenses!E$3:E$1002="INR")*(Expenses!A$3:A$1002=DATE(2026,2,7)),ROW(Expenses!A$3:A$1002)-2),5)),"")&lt;&gt;"",IFERROR(INDEX(Expenses!B$3:B$1002,SMALL(IF((Expenses!E$3:E$1002="INR")*(Expenses!A$3:A$1002=DATE(2026,2,7)),ROW(Expenses!A$3:A$1002)-2),5)),""),IF(IFERROR(INDEX(Income!B$3:B$502,SMALL(IF((Income!D$3:D$502="INR")*(Income!A$3:A$502=DATE(2026,2,7)),ROW(Income!A$3:A$502)-2),5)),"")&lt;&gt;"",IFERROR(INDEX(Income!B$3:B$502,SMALL(IF((Income!D$3:D$502="INR")*(Income!A$3:A$502=DATE(2026,2,7)),ROW(Income!A$3:A$502)-2),5)),""),""))</f>
        <v/>
      </c>
      <c r="O33" s="63" t="str">
        <f aca="false">IF(IFERROR(-INDEX(Expenses!D$3:D$1002,SMALL(IF((Expenses!E$3:E$1002="INR")*(Expenses!A$3:A$1002=DATE(2026,2,8)),ROW(Expenses!A$3:A$1002)-2),5)),0)+IFERROR(INDEX(Income!C$3:C$502,SMALL(IF((Income!D$3:D$502="INR")*(Income!A$3:A$502=DATE(2026,2,8)),ROW(Income!A$3:A$502)-2),5)),0)=0,"",IFERROR(-INDEX(Expenses!D$3:D$1002,SMALL(IF((Expenses!E$3:E$1002="INR")*(Expenses!A$3:A$1002=DATE(2026,2,8)),ROW(Expenses!A$3:A$1002)-2),5)),0)+IFERROR(INDEX(Income!C$3:C$502,SMALL(IF((Income!D$3:D$502="INR")*(Income!A$3:A$502=DATE(2026,2,8)),ROW(Income!A$3:A$502)-2),5)),0))</f>
        <v/>
      </c>
      <c r="P33" s="38" t="str">
        <f aca="false">IF(IFERROR(INDEX(Expenses!B$3:B$1002,SMALL(IF((Expenses!E$3:E$1002="INR")*(Expenses!A$3:A$1002=DATE(2026,2,8)),ROW(Expenses!A$3:A$1002)-2),5)),"")&lt;&gt;"",IFERROR(INDEX(Expenses!B$3:B$1002,SMALL(IF((Expenses!E$3:E$1002="INR")*(Expenses!A$3:A$1002=DATE(2026,2,8)),ROW(Expenses!A$3:A$1002)-2),5)),""),IF(IFERROR(INDEX(Income!B$3:B$502,SMALL(IF((Income!D$3:D$502="INR")*(Income!A$3:A$502=DATE(2026,2,8)),ROW(Income!A$3:A$502)-2),5)),"")&lt;&gt;"",IFERROR(INDEX(Income!B$3:B$502,SMALL(IF((Income!D$3:D$502="INR")*(Income!A$3:A$502=DATE(2026,2,8)),ROW(Income!A$3:A$502)-2),5)),""),""))</f>
        <v/>
      </c>
      <c r="Q33" s="16"/>
      <c r="R33" s="16"/>
    </row>
    <row r="34" customFormat="false" ht="15" hidden="false" customHeight="false" outlineLevel="0" collapsed="false">
      <c r="A34" s="61" t="n">
        <v>46062</v>
      </c>
      <c r="B34" s="3" t="n">
        <v>7</v>
      </c>
      <c r="C34" s="63" t="str">
        <f aca="false">IF(IFERROR(-INDEX(Expenses!D$3:D$1002,SMALL(IF((Expenses!E$3:E$1002="INR")*(Expenses!A$3:A$1002=DATE(2026,2,9)),ROW(Expenses!A$3:A$1002)-2),1)),0)+IFERROR(INDEX(Income!C$3:C$502,SMALL(IF((Income!D$3:D$502="INR")*(Income!A$3:A$502=DATE(2026,2,9)),ROW(Income!A$3:A$502)-2),1)),0)=0,"",IFERROR(-INDEX(Expenses!D$3:D$1002,SMALL(IF((Expenses!E$3:E$1002="INR")*(Expenses!A$3:A$1002=DATE(2026,2,9)),ROW(Expenses!A$3:A$1002)-2),1)),0)+IFERROR(INDEX(Income!C$3:C$502,SMALL(IF((Income!D$3:D$502="INR")*(Income!A$3:A$502=DATE(2026,2,9)),ROW(Income!A$3:A$502)-2),1)),0))</f>
        <v/>
      </c>
      <c r="D34" s="38" t="str">
        <f aca="false">IF(IFERROR(INDEX(Expenses!B$3:B$1002,SMALL(IF((Expenses!E$3:E$1002="INR")*(Expenses!A$3:A$1002=DATE(2026,2,9)),ROW(Expenses!A$3:A$1002)-2),1)),"")&lt;&gt;"",IFERROR(INDEX(Expenses!B$3:B$1002,SMALL(IF((Expenses!E$3:E$1002="INR")*(Expenses!A$3:A$1002=DATE(2026,2,9)),ROW(Expenses!A$3:A$1002)-2),1)),""),IF(IFERROR(INDEX(Income!B$3:B$502,SMALL(IF((Income!D$3:D$502="INR")*(Income!A$3:A$502=DATE(2026,2,9)),ROW(Income!A$3:A$502)-2),1)),"")&lt;&gt;"",IFERROR(INDEX(Income!B$3:B$502,SMALL(IF((Income!D$3:D$502="INR")*(Income!A$3:A$502=DATE(2026,2,9)),ROW(Income!A$3:A$502)-2),1)),""),""))</f>
        <v/>
      </c>
      <c r="E34" s="63" t="str">
        <f aca="false">IF(IFERROR(-INDEX(Expenses!D$3:D$1002,SMALL(IF((Expenses!E$3:E$1002="INR")*(Expenses!A$3:A$1002=DATE(2026,2,10)),ROW(Expenses!A$3:A$1002)-2),1)),0)+IFERROR(INDEX(Income!C$3:C$502,SMALL(IF((Income!D$3:D$502="INR")*(Income!A$3:A$502=DATE(2026,2,10)),ROW(Income!A$3:A$502)-2),1)),0)=0,"",IFERROR(-INDEX(Expenses!D$3:D$1002,SMALL(IF((Expenses!E$3:E$1002="INR")*(Expenses!A$3:A$1002=DATE(2026,2,10)),ROW(Expenses!A$3:A$1002)-2),1)),0)+IFERROR(INDEX(Income!C$3:C$502,SMALL(IF((Income!D$3:D$502="INR")*(Income!A$3:A$502=DATE(2026,2,10)),ROW(Income!A$3:A$502)-2),1)),0))</f>
        <v/>
      </c>
      <c r="F34" s="38" t="str">
        <f aca="false">IF(IFERROR(INDEX(Expenses!B$3:B$1002,SMALL(IF((Expenses!E$3:E$1002="INR")*(Expenses!A$3:A$1002=DATE(2026,2,10)),ROW(Expenses!A$3:A$1002)-2),1)),"")&lt;&gt;"",IFERROR(INDEX(Expenses!B$3:B$1002,SMALL(IF((Expenses!E$3:E$1002="INR")*(Expenses!A$3:A$1002=DATE(2026,2,10)),ROW(Expenses!A$3:A$1002)-2),1)),""),IF(IFERROR(INDEX(Income!B$3:B$502,SMALL(IF((Income!D$3:D$502="INR")*(Income!A$3:A$502=DATE(2026,2,10)),ROW(Income!A$3:A$502)-2),1)),"")&lt;&gt;"",IFERROR(INDEX(Income!B$3:B$502,SMALL(IF((Income!D$3:D$502="INR")*(Income!A$3:A$502=DATE(2026,2,10)),ROW(Income!A$3:A$502)-2),1)),""),""))</f>
        <v/>
      </c>
      <c r="G34" s="63" t="str">
        <f aca="false">IF(IFERROR(-INDEX(Expenses!D$3:D$1002,SMALL(IF((Expenses!E$3:E$1002="INR")*(Expenses!A$3:A$1002=DATE(2026,2,11)),ROW(Expenses!A$3:A$1002)-2),1)),0)+IFERROR(INDEX(Income!C$3:C$502,SMALL(IF((Income!D$3:D$502="INR")*(Income!A$3:A$502=DATE(2026,2,11)),ROW(Income!A$3:A$502)-2),1)),0)=0,"",IFERROR(-INDEX(Expenses!D$3:D$1002,SMALL(IF((Expenses!E$3:E$1002="INR")*(Expenses!A$3:A$1002=DATE(2026,2,11)),ROW(Expenses!A$3:A$1002)-2),1)),0)+IFERROR(INDEX(Income!C$3:C$502,SMALL(IF((Income!D$3:D$502="INR")*(Income!A$3:A$502=DATE(2026,2,11)),ROW(Income!A$3:A$502)-2),1)),0))</f>
        <v/>
      </c>
      <c r="H34" s="38" t="str">
        <f aca="false">IF(IFERROR(INDEX(Expenses!B$3:B$1002,SMALL(IF((Expenses!E$3:E$1002="INR")*(Expenses!A$3:A$1002=DATE(2026,2,11)),ROW(Expenses!A$3:A$1002)-2),1)),"")&lt;&gt;"",IFERROR(INDEX(Expenses!B$3:B$1002,SMALL(IF((Expenses!E$3:E$1002="INR")*(Expenses!A$3:A$1002=DATE(2026,2,11)),ROW(Expenses!A$3:A$1002)-2),1)),""),IF(IFERROR(INDEX(Income!B$3:B$502,SMALL(IF((Income!D$3:D$502="INR")*(Income!A$3:A$502=DATE(2026,2,11)),ROW(Income!A$3:A$502)-2),1)),"")&lt;&gt;"",IFERROR(INDEX(Income!B$3:B$502,SMALL(IF((Income!D$3:D$502="INR")*(Income!A$3:A$502=DATE(2026,2,11)),ROW(Income!A$3:A$502)-2),1)),""),""))</f>
        <v/>
      </c>
      <c r="I34" s="63" t="str">
        <f aca="false">IF(IFERROR(-INDEX(Expenses!D$3:D$1002,SMALL(IF((Expenses!E$3:E$1002="INR")*(Expenses!A$3:A$1002=DATE(2026,2,12)),ROW(Expenses!A$3:A$1002)-2),1)),0)+IFERROR(INDEX(Income!C$3:C$502,SMALL(IF((Income!D$3:D$502="INR")*(Income!A$3:A$502=DATE(2026,2,12)),ROW(Income!A$3:A$502)-2),1)),0)=0,"",IFERROR(-INDEX(Expenses!D$3:D$1002,SMALL(IF((Expenses!E$3:E$1002="INR")*(Expenses!A$3:A$1002=DATE(2026,2,12)),ROW(Expenses!A$3:A$1002)-2),1)),0)+IFERROR(INDEX(Income!C$3:C$502,SMALL(IF((Income!D$3:D$502="INR")*(Income!A$3:A$502=DATE(2026,2,12)),ROW(Income!A$3:A$502)-2),1)),0))</f>
        <v/>
      </c>
      <c r="J34" s="38" t="str">
        <f aca="false">IF(IFERROR(INDEX(Expenses!B$3:B$1002,SMALL(IF((Expenses!E$3:E$1002="INR")*(Expenses!A$3:A$1002=DATE(2026,2,12)),ROW(Expenses!A$3:A$1002)-2),1)),"")&lt;&gt;"",IFERROR(INDEX(Expenses!B$3:B$1002,SMALL(IF((Expenses!E$3:E$1002="INR")*(Expenses!A$3:A$1002=DATE(2026,2,12)),ROW(Expenses!A$3:A$1002)-2),1)),""),IF(IFERROR(INDEX(Income!B$3:B$502,SMALL(IF((Income!D$3:D$502="INR")*(Income!A$3:A$502=DATE(2026,2,12)),ROW(Income!A$3:A$502)-2),1)),"")&lt;&gt;"",IFERROR(INDEX(Income!B$3:B$502,SMALL(IF((Income!D$3:D$502="INR")*(Income!A$3:A$502=DATE(2026,2,12)),ROW(Income!A$3:A$502)-2),1)),""),""))</f>
        <v/>
      </c>
      <c r="K34" s="63" t="str">
        <f aca="false">IF(IFERROR(-INDEX(Expenses!D$3:D$1002,SMALL(IF((Expenses!E$3:E$1002="INR")*(Expenses!A$3:A$1002=DATE(2026,2,13)),ROW(Expenses!A$3:A$1002)-2),1)),0)+IFERROR(INDEX(Income!C$3:C$502,SMALL(IF((Income!D$3:D$502="INR")*(Income!A$3:A$502=DATE(2026,2,13)),ROW(Income!A$3:A$502)-2),1)),0)=0,"",IFERROR(-INDEX(Expenses!D$3:D$1002,SMALL(IF((Expenses!E$3:E$1002="INR")*(Expenses!A$3:A$1002=DATE(2026,2,13)),ROW(Expenses!A$3:A$1002)-2),1)),0)+IFERROR(INDEX(Income!C$3:C$502,SMALL(IF((Income!D$3:D$502="INR")*(Income!A$3:A$502=DATE(2026,2,13)),ROW(Income!A$3:A$502)-2),1)),0))</f>
        <v/>
      </c>
      <c r="L34" s="38" t="str">
        <f aca="false">IF(IFERROR(INDEX(Expenses!B$3:B$1002,SMALL(IF((Expenses!E$3:E$1002="INR")*(Expenses!A$3:A$1002=DATE(2026,2,13)),ROW(Expenses!A$3:A$1002)-2),1)),"")&lt;&gt;"",IFERROR(INDEX(Expenses!B$3:B$1002,SMALL(IF((Expenses!E$3:E$1002="INR")*(Expenses!A$3:A$1002=DATE(2026,2,13)),ROW(Expenses!A$3:A$1002)-2),1)),""),IF(IFERROR(INDEX(Income!B$3:B$502,SMALL(IF((Income!D$3:D$502="INR")*(Income!A$3:A$502=DATE(2026,2,13)),ROW(Income!A$3:A$502)-2),1)),"")&lt;&gt;"",IFERROR(INDEX(Income!B$3:B$502,SMALL(IF((Income!D$3:D$502="INR")*(Income!A$3:A$502=DATE(2026,2,13)),ROW(Income!A$3:A$502)-2),1)),""),""))</f>
        <v/>
      </c>
      <c r="M34" s="63" t="str">
        <f aca="false">IF(IFERROR(-INDEX(Expenses!D$3:D$1002,SMALL(IF((Expenses!E$3:E$1002="INR")*(Expenses!A$3:A$1002=DATE(2026,2,14)),ROW(Expenses!A$3:A$1002)-2),1)),0)+IFERROR(INDEX(Income!C$3:C$502,SMALL(IF((Income!D$3:D$502="INR")*(Income!A$3:A$502=DATE(2026,2,14)),ROW(Income!A$3:A$502)-2),1)),0)=0,"",IFERROR(-INDEX(Expenses!D$3:D$1002,SMALL(IF((Expenses!E$3:E$1002="INR")*(Expenses!A$3:A$1002=DATE(2026,2,14)),ROW(Expenses!A$3:A$1002)-2),1)),0)+IFERROR(INDEX(Income!C$3:C$502,SMALL(IF((Income!D$3:D$502="INR")*(Income!A$3:A$502=DATE(2026,2,14)),ROW(Income!A$3:A$502)-2),1)),0))</f>
        <v/>
      </c>
      <c r="N34" s="38" t="str">
        <f aca="false">IF(IFERROR(INDEX(Expenses!B$3:B$1002,SMALL(IF((Expenses!E$3:E$1002="INR")*(Expenses!A$3:A$1002=DATE(2026,2,14)),ROW(Expenses!A$3:A$1002)-2),1)),"")&lt;&gt;"",IFERROR(INDEX(Expenses!B$3:B$1002,SMALL(IF((Expenses!E$3:E$1002="INR")*(Expenses!A$3:A$1002=DATE(2026,2,14)),ROW(Expenses!A$3:A$1002)-2),1)),""),IF(IFERROR(INDEX(Income!B$3:B$502,SMALL(IF((Income!D$3:D$502="INR")*(Income!A$3:A$502=DATE(2026,2,14)),ROW(Income!A$3:A$502)-2),1)),"")&lt;&gt;"",IFERROR(INDEX(Income!B$3:B$502,SMALL(IF((Income!D$3:D$502="INR")*(Income!A$3:A$502=DATE(2026,2,14)),ROW(Income!A$3:A$502)-2),1)),""),""))</f>
        <v/>
      </c>
      <c r="O34" s="63" t="str">
        <f aca="false">IF(IFERROR(-INDEX(Expenses!D$3:D$1002,SMALL(IF((Expenses!E$3:E$1002="INR")*(Expenses!A$3:A$1002=DATE(2026,2,15)),ROW(Expenses!A$3:A$1002)-2),1)),0)+IFERROR(INDEX(Income!C$3:C$502,SMALL(IF((Income!D$3:D$502="INR")*(Income!A$3:A$502=DATE(2026,2,15)),ROW(Income!A$3:A$502)-2),1)),0)=0,"",IFERROR(-INDEX(Expenses!D$3:D$1002,SMALL(IF((Expenses!E$3:E$1002="INR")*(Expenses!A$3:A$1002=DATE(2026,2,15)),ROW(Expenses!A$3:A$1002)-2),1)),0)+IFERROR(INDEX(Income!C$3:C$502,SMALL(IF((Income!D$3:D$502="INR")*(Income!A$3:A$502=DATE(2026,2,15)),ROW(Income!A$3:A$502)-2),1)),0))</f>
        <v/>
      </c>
      <c r="P34" s="38" t="str">
        <f aca="false">IF(IFERROR(INDEX(Expenses!B$3:B$1002,SMALL(IF((Expenses!E$3:E$1002="INR")*(Expenses!A$3:A$1002=DATE(2026,2,15)),ROW(Expenses!A$3:A$1002)-2),1)),"")&lt;&gt;"",IFERROR(INDEX(Expenses!B$3:B$1002,SMALL(IF((Expenses!E$3:E$1002="INR")*(Expenses!A$3:A$1002=DATE(2026,2,15)),ROW(Expenses!A$3:A$1002)-2),1)),""),IF(IFERROR(INDEX(Income!B$3:B$502,SMALL(IF((Income!D$3:D$502="INR")*(Income!A$3:A$502=DATE(2026,2,15)),ROW(Income!A$3:A$502)-2),1)),"")&lt;&gt;"",IFERROR(INDEX(Income!B$3:B$502,SMALL(IF((Income!D$3:D$502="INR")*(Income!A$3:A$502=DATE(2026,2,15)),ROW(Income!A$3:A$502)-2),1)),""),""))</f>
        <v/>
      </c>
      <c r="Q34" s="3" t="n">
        <v>7</v>
      </c>
      <c r="R34" s="53" t="n">
        <f aca="false">SUM(C34:C38)+SUM(E34:E38)+SUM(G34:G38)+SUM(I34:I38)+SUM(K34:K38)+SUM(M34:M38)+SUM(O34:O38)</f>
        <v>0</v>
      </c>
    </row>
    <row r="35" customFormat="false" ht="15" hidden="false" customHeight="false" outlineLevel="0" collapsed="false">
      <c r="A35" s="16"/>
      <c r="B35" s="16"/>
      <c r="C35" s="63" t="str">
        <f aca="false">IF(IFERROR(-INDEX(Expenses!D$3:D$1002,SMALL(IF((Expenses!E$3:E$1002="INR")*(Expenses!A$3:A$1002=DATE(2026,2,9)),ROW(Expenses!A$3:A$1002)-2),2)),0)+IFERROR(INDEX(Income!C$3:C$502,SMALL(IF((Income!D$3:D$502="INR")*(Income!A$3:A$502=DATE(2026,2,9)),ROW(Income!A$3:A$502)-2),2)),0)=0,"",IFERROR(-INDEX(Expenses!D$3:D$1002,SMALL(IF((Expenses!E$3:E$1002="INR")*(Expenses!A$3:A$1002=DATE(2026,2,9)),ROW(Expenses!A$3:A$1002)-2),2)),0)+IFERROR(INDEX(Income!C$3:C$502,SMALL(IF((Income!D$3:D$502="INR")*(Income!A$3:A$502=DATE(2026,2,9)),ROW(Income!A$3:A$502)-2),2)),0))</f>
        <v/>
      </c>
      <c r="D35" s="38" t="str">
        <f aca="false">IF(IFERROR(INDEX(Expenses!B$3:B$1002,SMALL(IF((Expenses!E$3:E$1002="INR")*(Expenses!A$3:A$1002=DATE(2026,2,9)),ROW(Expenses!A$3:A$1002)-2),2)),"")&lt;&gt;"",IFERROR(INDEX(Expenses!B$3:B$1002,SMALL(IF((Expenses!E$3:E$1002="INR")*(Expenses!A$3:A$1002=DATE(2026,2,9)),ROW(Expenses!A$3:A$1002)-2),2)),""),IF(IFERROR(INDEX(Income!B$3:B$502,SMALL(IF((Income!D$3:D$502="INR")*(Income!A$3:A$502=DATE(2026,2,9)),ROW(Income!A$3:A$502)-2),2)),"")&lt;&gt;"",IFERROR(INDEX(Income!B$3:B$502,SMALL(IF((Income!D$3:D$502="INR")*(Income!A$3:A$502=DATE(2026,2,9)),ROW(Income!A$3:A$502)-2),2)),""),""))</f>
        <v/>
      </c>
      <c r="E35" s="63" t="str">
        <f aca="false">IF(IFERROR(-INDEX(Expenses!D$3:D$1002,SMALL(IF((Expenses!E$3:E$1002="INR")*(Expenses!A$3:A$1002=DATE(2026,2,10)),ROW(Expenses!A$3:A$1002)-2),2)),0)+IFERROR(INDEX(Income!C$3:C$502,SMALL(IF((Income!D$3:D$502="INR")*(Income!A$3:A$502=DATE(2026,2,10)),ROW(Income!A$3:A$502)-2),2)),0)=0,"",IFERROR(-INDEX(Expenses!D$3:D$1002,SMALL(IF((Expenses!E$3:E$1002="INR")*(Expenses!A$3:A$1002=DATE(2026,2,10)),ROW(Expenses!A$3:A$1002)-2),2)),0)+IFERROR(INDEX(Income!C$3:C$502,SMALL(IF((Income!D$3:D$502="INR")*(Income!A$3:A$502=DATE(2026,2,10)),ROW(Income!A$3:A$502)-2),2)),0))</f>
        <v/>
      </c>
      <c r="F35" s="38" t="str">
        <f aca="false">IF(IFERROR(INDEX(Expenses!B$3:B$1002,SMALL(IF((Expenses!E$3:E$1002="INR")*(Expenses!A$3:A$1002=DATE(2026,2,10)),ROW(Expenses!A$3:A$1002)-2),2)),"")&lt;&gt;"",IFERROR(INDEX(Expenses!B$3:B$1002,SMALL(IF((Expenses!E$3:E$1002="INR")*(Expenses!A$3:A$1002=DATE(2026,2,10)),ROW(Expenses!A$3:A$1002)-2),2)),""),IF(IFERROR(INDEX(Income!B$3:B$502,SMALL(IF((Income!D$3:D$502="INR")*(Income!A$3:A$502=DATE(2026,2,10)),ROW(Income!A$3:A$502)-2),2)),"")&lt;&gt;"",IFERROR(INDEX(Income!B$3:B$502,SMALL(IF((Income!D$3:D$502="INR")*(Income!A$3:A$502=DATE(2026,2,10)),ROW(Income!A$3:A$502)-2),2)),""),""))</f>
        <v/>
      </c>
      <c r="G35" s="63" t="str">
        <f aca="false">IF(IFERROR(-INDEX(Expenses!D$3:D$1002,SMALL(IF((Expenses!E$3:E$1002="INR")*(Expenses!A$3:A$1002=DATE(2026,2,11)),ROW(Expenses!A$3:A$1002)-2),2)),0)+IFERROR(INDEX(Income!C$3:C$502,SMALL(IF((Income!D$3:D$502="INR")*(Income!A$3:A$502=DATE(2026,2,11)),ROW(Income!A$3:A$502)-2),2)),0)=0,"",IFERROR(-INDEX(Expenses!D$3:D$1002,SMALL(IF((Expenses!E$3:E$1002="INR")*(Expenses!A$3:A$1002=DATE(2026,2,11)),ROW(Expenses!A$3:A$1002)-2),2)),0)+IFERROR(INDEX(Income!C$3:C$502,SMALL(IF((Income!D$3:D$502="INR")*(Income!A$3:A$502=DATE(2026,2,11)),ROW(Income!A$3:A$502)-2),2)),0))</f>
        <v/>
      </c>
      <c r="H35" s="38" t="str">
        <f aca="false">IF(IFERROR(INDEX(Expenses!B$3:B$1002,SMALL(IF((Expenses!E$3:E$1002="INR")*(Expenses!A$3:A$1002=DATE(2026,2,11)),ROW(Expenses!A$3:A$1002)-2),2)),"")&lt;&gt;"",IFERROR(INDEX(Expenses!B$3:B$1002,SMALL(IF((Expenses!E$3:E$1002="INR")*(Expenses!A$3:A$1002=DATE(2026,2,11)),ROW(Expenses!A$3:A$1002)-2),2)),""),IF(IFERROR(INDEX(Income!B$3:B$502,SMALL(IF((Income!D$3:D$502="INR")*(Income!A$3:A$502=DATE(2026,2,11)),ROW(Income!A$3:A$502)-2),2)),"")&lt;&gt;"",IFERROR(INDEX(Income!B$3:B$502,SMALL(IF((Income!D$3:D$502="INR")*(Income!A$3:A$502=DATE(2026,2,11)),ROW(Income!A$3:A$502)-2),2)),""),""))</f>
        <v/>
      </c>
      <c r="I35" s="63" t="str">
        <f aca="false">IF(IFERROR(-INDEX(Expenses!D$3:D$1002,SMALL(IF((Expenses!E$3:E$1002="INR")*(Expenses!A$3:A$1002=DATE(2026,2,12)),ROW(Expenses!A$3:A$1002)-2),2)),0)+IFERROR(INDEX(Income!C$3:C$502,SMALL(IF((Income!D$3:D$502="INR")*(Income!A$3:A$502=DATE(2026,2,12)),ROW(Income!A$3:A$502)-2),2)),0)=0,"",IFERROR(-INDEX(Expenses!D$3:D$1002,SMALL(IF((Expenses!E$3:E$1002="INR")*(Expenses!A$3:A$1002=DATE(2026,2,12)),ROW(Expenses!A$3:A$1002)-2),2)),0)+IFERROR(INDEX(Income!C$3:C$502,SMALL(IF((Income!D$3:D$502="INR")*(Income!A$3:A$502=DATE(2026,2,12)),ROW(Income!A$3:A$502)-2),2)),0))</f>
        <v/>
      </c>
      <c r="J35" s="38" t="str">
        <f aca="false">IF(IFERROR(INDEX(Expenses!B$3:B$1002,SMALL(IF((Expenses!E$3:E$1002="INR")*(Expenses!A$3:A$1002=DATE(2026,2,12)),ROW(Expenses!A$3:A$1002)-2),2)),"")&lt;&gt;"",IFERROR(INDEX(Expenses!B$3:B$1002,SMALL(IF((Expenses!E$3:E$1002="INR")*(Expenses!A$3:A$1002=DATE(2026,2,12)),ROW(Expenses!A$3:A$1002)-2),2)),""),IF(IFERROR(INDEX(Income!B$3:B$502,SMALL(IF((Income!D$3:D$502="INR")*(Income!A$3:A$502=DATE(2026,2,12)),ROW(Income!A$3:A$502)-2),2)),"")&lt;&gt;"",IFERROR(INDEX(Income!B$3:B$502,SMALL(IF((Income!D$3:D$502="INR")*(Income!A$3:A$502=DATE(2026,2,12)),ROW(Income!A$3:A$502)-2),2)),""),""))</f>
        <v/>
      </c>
      <c r="K35" s="63" t="str">
        <f aca="false">IF(IFERROR(-INDEX(Expenses!D$3:D$1002,SMALL(IF((Expenses!E$3:E$1002="INR")*(Expenses!A$3:A$1002=DATE(2026,2,13)),ROW(Expenses!A$3:A$1002)-2),2)),0)+IFERROR(INDEX(Income!C$3:C$502,SMALL(IF((Income!D$3:D$502="INR")*(Income!A$3:A$502=DATE(2026,2,13)),ROW(Income!A$3:A$502)-2),2)),0)=0,"",IFERROR(-INDEX(Expenses!D$3:D$1002,SMALL(IF((Expenses!E$3:E$1002="INR")*(Expenses!A$3:A$1002=DATE(2026,2,13)),ROW(Expenses!A$3:A$1002)-2),2)),0)+IFERROR(INDEX(Income!C$3:C$502,SMALL(IF((Income!D$3:D$502="INR")*(Income!A$3:A$502=DATE(2026,2,13)),ROW(Income!A$3:A$502)-2),2)),0))</f>
        <v/>
      </c>
      <c r="L35" s="38" t="str">
        <f aca="false">IF(IFERROR(INDEX(Expenses!B$3:B$1002,SMALL(IF((Expenses!E$3:E$1002="INR")*(Expenses!A$3:A$1002=DATE(2026,2,13)),ROW(Expenses!A$3:A$1002)-2),2)),"")&lt;&gt;"",IFERROR(INDEX(Expenses!B$3:B$1002,SMALL(IF((Expenses!E$3:E$1002="INR")*(Expenses!A$3:A$1002=DATE(2026,2,13)),ROW(Expenses!A$3:A$1002)-2),2)),""),IF(IFERROR(INDEX(Income!B$3:B$502,SMALL(IF((Income!D$3:D$502="INR")*(Income!A$3:A$502=DATE(2026,2,13)),ROW(Income!A$3:A$502)-2),2)),"")&lt;&gt;"",IFERROR(INDEX(Income!B$3:B$502,SMALL(IF((Income!D$3:D$502="INR")*(Income!A$3:A$502=DATE(2026,2,13)),ROW(Income!A$3:A$502)-2),2)),""),""))</f>
        <v/>
      </c>
      <c r="M35" s="63" t="str">
        <f aca="false">IF(IFERROR(-INDEX(Expenses!D$3:D$1002,SMALL(IF((Expenses!E$3:E$1002="INR")*(Expenses!A$3:A$1002=DATE(2026,2,14)),ROW(Expenses!A$3:A$1002)-2),2)),0)+IFERROR(INDEX(Income!C$3:C$502,SMALL(IF((Income!D$3:D$502="INR")*(Income!A$3:A$502=DATE(2026,2,14)),ROW(Income!A$3:A$502)-2),2)),0)=0,"",IFERROR(-INDEX(Expenses!D$3:D$1002,SMALL(IF((Expenses!E$3:E$1002="INR")*(Expenses!A$3:A$1002=DATE(2026,2,14)),ROW(Expenses!A$3:A$1002)-2),2)),0)+IFERROR(INDEX(Income!C$3:C$502,SMALL(IF((Income!D$3:D$502="INR")*(Income!A$3:A$502=DATE(2026,2,14)),ROW(Income!A$3:A$502)-2),2)),0))</f>
        <v/>
      </c>
      <c r="N35" s="38" t="str">
        <f aca="false">IF(IFERROR(INDEX(Expenses!B$3:B$1002,SMALL(IF((Expenses!E$3:E$1002="INR")*(Expenses!A$3:A$1002=DATE(2026,2,14)),ROW(Expenses!A$3:A$1002)-2),2)),"")&lt;&gt;"",IFERROR(INDEX(Expenses!B$3:B$1002,SMALL(IF((Expenses!E$3:E$1002="INR")*(Expenses!A$3:A$1002=DATE(2026,2,14)),ROW(Expenses!A$3:A$1002)-2),2)),""),IF(IFERROR(INDEX(Income!B$3:B$502,SMALL(IF((Income!D$3:D$502="INR")*(Income!A$3:A$502=DATE(2026,2,14)),ROW(Income!A$3:A$502)-2),2)),"")&lt;&gt;"",IFERROR(INDEX(Income!B$3:B$502,SMALL(IF((Income!D$3:D$502="INR")*(Income!A$3:A$502=DATE(2026,2,14)),ROW(Income!A$3:A$502)-2),2)),""),""))</f>
        <v/>
      </c>
      <c r="O35" s="63" t="str">
        <f aca="false">IF(IFERROR(-INDEX(Expenses!D$3:D$1002,SMALL(IF((Expenses!E$3:E$1002="INR")*(Expenses!A$3:A$1002=DATE(2026,2,15)),ROW(Expenses!A$3:A$1002)-2),2)),0)+IFERROR(INDEX(Income!C$3:C$502,SMALL(IF((Income!D$3:D$502="INR")*(Income!A$3:A$502=DATE(2026,2,15)),ROW(Income!A$3:A$502)-2),2)),0)=0,"",IFERROR(-INDEX(Expenses!D$3:D$1002,SMALL(IF((Expenses!E$3:E$1002="INR")*(Expenses!A$3:A$1002=DATE(2026,2,15)),ROW(Expenses!A$3:A$1002)-2),2)),0)+IFERROR(INDEX(Income!C$3:C$502,SMALL(IF((Income!D$3:D$502="INR")*(Income!A$3:A$502=DATE(2026,2,15)),ROW(Income!A$3:A$502)-2),2)),0))</f>
        <v/>
      </c>
      <c r="P35" s="38" t="str">
        <f aca="false">IF(IFERROR(INDEX(Expenses!B$3:B$1002,SMALL(IF((Expenses!E$3:E$1002="INR")*(Expenses!A$3:A$1002=DATE(2026,2,15)),ROW(Expenses!A$3:A$1002)-2),2)),"")&lt;&gt;"",IFERROR(INDEX(Expenses!B$3:B$1002,SMALL(IF((Expenses!E$3:E$1002="INR")*(Expenses!A$3:A$1002=DATE(2026,2,15)),ROW(Expenses!A$3:A$1002)-2),2)),""),IF(IFERROR(INDEX(Income!B$3:B$502,SMALL(IF((Income!D$3:D$502="INR")*(Income!A$3:A$502=DATE(2026,2,15)),ROW(Income!A$3:A$502)-2),2)),"")&lt;&gt;"",IFERROR(INDEX(Income!B$3:B$502,SMALL(IF((Income!D$3:D$502="INR")*(Income!A$3:A$502=DATE(2026,2,15)),ROW(Income!A$3:A$502)-2),2)),""),""))</f>
        <v/>
      </c>
      <c r="Q35" s="16"/>
      <c r="R35" s="16"/>
    </row>
    <row r="36" customFormat="false" ht="15" hidden="false" customHeight="false" outlineLevel="0" collapsed="false">
      <c r="A36" s="16"/>
      <c r="B36" s="16"/>
      <c r="C36" s="63" t="str">
        <f aca="false">IF(IFERROR(-INDEX(Expenses!D$3:D$1002,SMALL(IF((Expenses!E$3:E$1002="INR")*(Expenses!A$3:A$1002=DATE(2026,2,9)),ROW(Expenses!A$3:A$1002)-2),3)),0)+IFERROR(INDEX(Income!C$3:C$502,SMALL(IF((Income!D$3:D$502="INR")*(Income!A$3:A$502=DATE(2026,2,9)),ROW(Income!A$3:A$502)-2),3)),0)=0,"",IFERROR(-INDEX(Expenses!D$3:D$1002,SMALL(IF((Expenses!E$3:E$1002="INR")*(Expenses!A$3:A$1002=DATE(2026,2,9)),ROW(Expenses!A$3:A$1002)-2),3)),0)+IFERROR(INDEX(Income!C$3:C$502,SMALL(IF((Income!D$3:D$502="INR")*(Income!A$3:A$502=DATE(2026,2,9)),ROW(Income!A$3:A$502)-2),3)),0))</f>
        <v/>
      </c>
      <c r="D36" s="38" t="str">
        <f aca="false">IF(IFERROR(INDEX(Expenses!B$3:B$1002,SMALL(IF((Expenses!E$3:E$1002="INR")*(Expenses!A$3:A$1002=DATE(2026,2,9)),ROW(Expenses!A$3:A$1002)-2),3)),"")&lt;&gt;"",IFERROR(INDEX(Expenses!B$3:B$1002,SMALL(IF((Expenses!E$3:E$1002="INR")*(Expenses!A$3:A$1002=DATE(2026,2,9)),ROW(Expenses!A$3:A$1002)-2),3)),""),IF(IFERROR(INDEX(Income!B$3:B$502,SMALL(IF((Income!D$3:D$502="INR")*(Income!A$3:A$502=DATE(2026,2,9)),ROW(Income!A$3:A$502)-2),3)),"")&lt;&gt;"",IFERROR(INDEX(Income!B$3:B$502,SMALL(IF((Income!D$3:D$502="INR")*(Income!A$3:A$502=DATE(2026,2,9)),ROW(Income!A$3:A$502)-2),3)),""),""))</f>
        <v/>
      </c>
      <c r="E36" s="63" t="str">
        <f aca="false">IF(IFERROR(-INDEX(Expenses!D$3:D$1002,SMALL(IF((Expenses!E$3:E$1002="INR")*(Expenses!A$3:A$1002=DATE(2026,2,10)),ROW(Expenses!A$3:A$1002)-2),3)),0)+IFERROR(INDEX(Income!C$3:C$502,SMALL(IF((Income!D$3:D$502="INR")*(Income!A$3:A$502=DATE(2026,2,10)),ROW(Income!A$3:A$502)-2),3)),0)=0,"",IFERROR(-INDEX(Expenses!D$3:D$1002,SMALL(IF((Expenses!E$3:E$1002="INR")*(Expenses!A$3:A$1002=DATE(2026,2,10)),ROW(Expenses!A$3:A$1002)-2),3)),0)+IFERROR(INDEX(Income!C$3:C$502,SMALL(IF((Income!D$3:D$502="INR")*(Income!A$3:A$502=DATE(2026,2,10)),ROW(Income!A$3:A$502)-2),3)),0))</f>
        <v/>
      </c>
      <c r="F36" s="38" t="str">
        <f aca="false">IF(IFERROR(INDEX(Expenses!B$3:B$1002,SMALL(IF((Expenses!E$3:E$1002="INR")*(Expenses!A$3:A$1002=DATE(2026,2,10)),ROW(Expenses!A$3:A$1002)-2),3)),"")&lt;&gt;"",IFERROR(INDEX(Expenses!B$3:B$1002,SMALL(IF((Expenses!E$3:E$1002="INR")*(Expenses!A$3:A$1002=DATE(2026,2,10)),ROW(Expenses!A$3:A$1002)-2),3)),""),IF(IFERROR(INDEX(Income!B$3:B$502,SMALL(IF((Income!D$3:D$502="INR")*(Income!A$3:A$502=DATE(2026,2,10)),ROW(Income!A$3:A$502)-2),3)),"")&lt;&gt;"",IFERROR(INDEX(Income!B$3:B$502,SMALL(IF((Income!D$3:D$502="INR")*(Income!A$3:A$502=DATE(2026,2,10)),ROW(Income!A$3:A$502)-2),3)),""),""))</f>
        <v/>
      </c>
      <c r="G36" s="63" t="str">
        <f aca="false">IF(IFERROR(-INDEX(Expenses!D$3:D$1002,SMALL(IF((Expenses!E$3:E$1002="INR")*(Expenses!A$3:A$1002=DATE(2026,2,11)),ROW(Expenses!A$3:A$1002)-2),3)),0)+IFERROR(INDEX(Income!C$3:C$502,SMALL(IF((Income!D$3:D$502="INR")*(Income!A$3:A$502=DATE(2026,2,11)),ROW(Income!A$3:A$502)-2),3)),0)=0,"",IFERROR(-INDEX(Expenses!D$3:D$1002,SMALL(IF((Expenses!E$3:E$1002="INR")*(Expenses!A$3:A$1002=DATE(2026,2,11)),ROW(Expenses!A$3:A$1002)-2),3)),0)+IFERROR(INDEX(Income!C$3:C$502,SMALL(IF((Income!D$3:D$502="INR")*(Income!A$3:A$502=DATE(2026,2,11)),ROW(Income!A$3:A$502)-2),3)),0))</f>
        <v/>
      </c>
      <c r="H36" s="38" t="str">
        <f aca="false">IF(IFERROR(INDEX(Expenses!B$3:B$1002,SMALL(IF((Expenses!E$3:E$1002="INR")*(Expenses!A$3:A$1002=DATE(2026,2,11)),ROW(Expenses!A$3:A$1002)-2),3)),"")&lt;&gt;"",IFERROR(INDEX(Expenses!B$3:B$1002,SMALL(IF((Expenses!E$3:E$1002="INR")*(Expenses!A$3:A$1002=DATE(2026,2,11)),ROW(Expenses!A$3:A$1002)-2),3)),""),IF(IFERROR(INDEX(Income!B$3:B$502,SMALL(IF((Income!D$3:D$502="INR")*(Income!A$3:A$502=DATE(2026,2,11)),ROW(Income!A$3:A$502)-2),3)),"")&lt;&gt;"",IFERROR(INDEX(Income!B$3:B$502,SMALL(IF((Income!D$3:D$502="INR")*(Income!A$3:A$502=DATE(2026,2,11)),ROW(Income!A$3:A$502)-2),3)),""),""))</f>
        <v/>
      </c>
      <c r="I36" s="63" t="str">
        <f aca="false">IF(IFERROR(-INDEX(Expenses!D$3:D$1002,SMALL(IF((Expenses!E$3:E$1002="INR")*(Expenses!A$3:A$1002=DATE(2026,2,12)),ROW(Expenses!A$3:A$1002)-2),3)),0)+IFERROR(INDEX(Income!C$3:C$502,SMALL(IF((Income!D$3:D$502="INR")*(Income!A$3:A$502=DATE(2026,2,12)),ROW(Income!A$3:A$502)-2),3)),0)=0,"",IFERROR(-INDEX(Expenses!D$3:D$1002,SMALL(IF((Expenses!E$3:E$1002="INR")*(Expenses!A$3:A$1002=DATE(2026,2,12)),ROW(Expenses!A$3:A$1002)-2),3)),0)+IFERROR(INDEX(Income!C$3:C$502,SMALL(IF((Income!D$3:D$502="INR")*(Income!A$3:A$502=DATE(2026,2,12)),ROW(Income!A$3:A$502)-2),3)),0))</f>
        <v/>
      </c>
      <c r="J36" s="38" t="str">
        <f aca="false">IF(IFERROR(INDEX(Expenses!B$3:B$1002,SMALL(IF((Expenses!E$3:E$1002="INR")*(Expenses!A$3:A$1002=DATE(2026,2,12)),ROW(Expenses!A$3:A$1002)-2),3)),"")&lt;&gt;"",IFERROR(INDEX(Expenses!B$3:B$1002,SMALL(IF((Expenses!E$3:E$1002="INR")*(Expenses!A$3:A$1002=DATE(2026,2,12)),ROW(Expenses!A$3:A$1002)-2),3)),""),IF(IFERROR(INDEX(Income!B$3:B$502,SMALL(IF((Income!D$3:D$502="INR")*(Income!A$3:A$502=DATE(2026,2,12)),ROW(Income!A$3:A$502)-2),3)),"")&lt;&gt;"",IFERROR(INDEX(Income!B$3:B$502,SMALL(IF((Income!D$3:D$502="INR")*(Income!A$3:A$502=DATE(2026,2,12)),ROW(Income!A$3:A$502)-2),3)),""),""))</f>
        <v/>
      </c>
      <c r="K36" s="63" t="str">
        <f aca="false">IF(IFERROR(-INDEX(Expenses!D$3:D$1002,SMALL(IF((Expenses!E$3:E$1002="INR")*(Expenses!A$3:A$1002=DATE(2026,2,13)),ROW(Expenses!A$3:A$1002)-2),3)),0)+IFERROR(INDEX(Income!C$3:C$502,SMALL(IF((Income!D$3:D$502="INR")*(Income!A$3:A$502=DATE(2026,2,13)),ROW(Income!A$3:A$502)-2),3)),0)=0,"",IFERROR(-INDEX(Expenses!D$3:D$1002,SMALL(IF((Expenses!E$3:E$1002="INR")*(Expenses!A$3:A$1002=DATE(2026,2,13)),ROW(Expenses!A$3:A$1002)-2),3)),0)+IFERROR(INDEX(Income!C$3:C$502,SMALL(IF((Income!D$3:D$502="INR")*(Income!A$3:A$502=DATE(2026,2,13)),ROW(Income!A$3:A$502)-2),3)),0))</f>
        <v/>
      </c>
      <c r="L36" s="38" t="str">
        <f aca="false">IF(IFERROR(INDEX(Expenses!B$3:B$1002,SMALL(IF((Expenses!E$3:E$1002="INR")*(Expenses!A$3:A$1002=DATE(2026,2,13)),ROW(Expenses!A$3:A$1002)-2),3)),"")&lt;&gt;"",IFERROR(INDEX(Expenses!B$3:B$1002,SMALL(IF((Expenses!E$3:E$1002="INR")*(Expenses!A$3:A$1002=DATE(2026,2,13)),ROW(Expenses!A$3:A$1002)-2),3)),""),IF(IFERROR(INDEX(Income!B$3:B$502,SMALL(IF((Income!D$3:D$502="INR")*(Income!A$3:A$502=DATE(2026,2,13)),ROW(Income!A$3:A$502)-2),3)),"")&lt;&gt;"",IFERROR(INDEX(Income!B$3:B$502,SMALL(IF((Income!D$3:D$502="INR")*(Income!A$3:A$502=DATE(2026,2,13)),ROW(Income!A$3:A$502)-2),3)),""),""))</f>
        <v/>
      </c>
      <c r="M36" s="63" t="str">
        <f aca="false">IF(IFERROR(-INDEX(Expenses!D$3:D$1002,SMALL(IF((Expenses!E$3:E$1002="INR")*(Expenses!A$3:A$1002=DATE(2026,2,14)),ROW(Expenses!A$3:A$1002)-2),3)),0)+IFERROR(INDEX(Income!C$3:C$502,SMALL(IF((Income!D$3:D$502="INR")*(Income!A$3:A$502=DATE(2026,2,14)),ROW(Income!A$3:A$502)-2),3)),0)=0,"",IFERROR(-INDEX(Expenses!D$3:D$1002,SMALL(IF((Expenses!E$3:E$1002="INR")*(Expenses!A$3:A$1002=DATE(2026,2,14)),ROW(Expenses!A$3:A$1002)-2),3)),0)+IFERROR(INDEX(Income!C$3:C$502,SMALL(IF((Income!D$3:D$502="INR")*(Income!A$3:A$502=DATE(2026,2,14)),ROW(Income!A$3:A$502)-2),3)),0))</f>
        <v/>
      </c>
      <c r="N36" s="38" t="str">
        <f aca="false">IF(IFERROR(INDEX(Expenses!B$3:B$1002,SMALL(IF((Expenses!E$3:E$1002="INR")*(Expenses!A$3:A$1002=DATE(2026,2,14)),ROW(Expenses!A$3:A$1002)-2),3)),"")&lt;&gt;"",IFERROR(INDEX(Expenses!B$3:B$1002,SMALL(IF((Expenses!E$3:E$1002="INR")*(Expenses!A$3:A$1002=DATE(2026,2,14)),ROW(Expenses!A$3:A$1002)-2),3)),""),IF(IFERROR(INDEX(Income!B$3:B$502,SMALL(IF((Income!D$3:D$502="INR")*(Income!A$3:A$502=DATE(2026,2,14)),ROW(Income!A$3:A$502)-2),3)),"")&lt;&gt;"",IFERROR(INDEX(Income!B$3:B$502,SMALL(IF((Income!D$3:D$502="INR")*(Income!A$3:A$502=DATE(2026,2,14)),ROW(Income!A$3:A$502)-2),3)),""),""))</f>
        <v/>
      </c>
      <c r="O36" s="63" t="str">
        <f aca="false">IF(IFERROR(-INDEX(Expenses!D$3:D$1002,SMALL(IF((Expenses!E$3:E$1002="INR")*(Expenses!A$3:A$1002=DATE(2026,2,15)),ROW(Expenses!A$3:A$1002)-2),3)),0)+IFERROR(INDEX(Income!C$3:C$502,SMALL(IF((Income!D$3:D$502="INR")*(Income!A$3:A$502=DATE(2026,2,15)),ROW(Income!A$3:A$502)-2),3)),0)=0,"",IFERROR(-INDEX(Expenses!D$3:D$1002,SMALL(IF((Expenses!E$3:E$1002="INR")*(Expenses!A$3:A$1002=DATE(2026,2,15)),ROW(Expenses!A$3:A$1002)-2),3)),0)+IFERROR(INDEX(Income!C$3:C$502,SMALL(IF((Income!D$3:D$502="INR")*(Income!A$3:A$502=DATE(2026,2,15)),ROW(Income!A$3:A$502)-2),3)),0))</f>
        <v/>
      </c>
      <c r="P36" s="38" t="str">
        <f aca="false">IF(IFERROR(INDEX(Expenses!B$3:B$1002,SMALL(IF((Expenses!E$3:E$1002="INR")*(Expenses!A$3:A$1002=DATE(2026,2,15)),ROW(Expenses!A$3:A$1002)-2),3)),"")&lt;&gt;"",IFERROR(INDEX(Expenses!B$3:B$1002,SMALL(IF((Expenses!E$3:E$1002="INR")*(Expenses!A$3:A$1002=DATE(2026,2,15)),ROW(Expenses!A$3:A$1002)-2),3)),""),IF(IFERROR(INDEX(Income!B$3:B$502,SMALL(IF((Income!D$3:D$502="INR")*(Income!A$3:A$502=DATE(2026,2,15)),ROW(Income!A$3:A$502)-2),3)),"")&lt;&gt;"",IFERROR(INDEX(Income!B$3:B$502,SMALL(IF((Income!D$3:D$502="INR")*(Income!A$3:A$502=DATE(2026,2,15)),ROW(Income!A$3:A$502)-2),3)),""),""))</f>
        <v/>
      </c>
      <c r="Q36" s="16"/>
      <c r="R36" s="16"/>
    </row>
    <row r="37" customFormat="false" ht="15" hidden="false" customHeight="false" outlineLevel="0" collapsed="false">
      <c r="A37" s="16"/>
      <c r="B37" s="16"/>
      <c r="C37" s="63" t="str">
        <f aca="false">IF(IFERROR(-INDEX(Expenses!D$3:D$1002,SMALL(IF((Expenses!E$3:E$1002="INR")*(Expenses!A$3:A$1002=DATE(2026,2,9)),ROW(Expenses!A$3:A$1002)-2),4)),0)+IFERROR(INDEX(Income!C$3:C$502,SMALL(IF((Income!D$3:D$502="INR")*(Income!A$3:A$502=DATE(2026,2,9)),ROW(Income!A$3:A$502)-2),4)),0)=0,"",IFERROR(-INDEX(Expenses!D$3:D$1002,SMALL(IF((Expenses!E$3:E$1002="INR")*(Expenses!A$3:A$1002=DATE(2026,2,9)),ROW(Expenses!A$3:A$1002)-2),4)),0)+IFERROR(INDEX(Income!C$3:C$502,SMALL(IF((Income!D$3:D$502="INR")*(Income!A$3:A$502=DATE(2026,2,9)),ROW(Income!A$3:A$502)-2),4)),0))</f>
        <v/>
      </c>
      <c r="D37" s="38" t="str">
        <f aca="false">IF(IFERROR(INDEX(Expenses!B$3:B$1002,SMALL(IF((Expenses!E$3:E$1002="INR")*(Expenses!A$3:A$1002=DATE(2026,2,9)),ROW(Expenses!A$3:A$1002)-2),4)),"")&lt;&gt;"",IFERROR(INDEX(Expenses!B$3:B$1002,SMALL(IF((Expenses!E$3:E$1002="INR")*(Expenses!A$3:A$1002=DATE(2026,2,9)),ROW(Expenses!A$3:A$1002)-2),4)),""),IF(IFERROR(INDEX(Income!B$3:B$502,SMALL(IF((Income!D$3:D$502="INR")*(Income!A$3:A$502=DATE(2026,2,9)),ROW(Income!A$3:A$502)-2),4)),"")&lt;&gt;"",IFERROR(INDEX(Income!B$3:B$502,SMALL(IF((Income!D$3:D$502="INR")*(Income!A$3:A$502=DATE(2026,2,9)),ROW(Income!A$3:A$502)-2),4)),""),""))</f>
        <v/>
      </c>
      <c r="E37" s="63" t="str">
        <f aca="false">IF(IFERROR(-INDEX(Expenses!D$3:D$1002,SMALL(IF((Expenses!E$3:E$1002="INR")*(Expenses!A$3:A$1002=DATE(2026,2,10)),ROW(Expenses!A$3:A$1002)-2),4)),0)+IFERROR(INDEX(Income!C$3:C$502,SMALL(IF((Income!D$3:D$502="INR")*(Income!A$3:A$502=DATE(2026,2,10)),ROW(Income!A$3:A$502)-2),4)),0)=0,"",IFERROR(-INDEX(Expenses!D$3:D$1002,SMALL(IF((Expenses!E$3:E$1002="INR")*(Expenses!A$3:A$1002=DATE(2026,2,10)),ROW(Expenses!A$3:A$1002)-2),4)),0)+IFERROR(INDEX(Income!C$3:C$502,SMALL(IF((Income!D$3:D$502="INR")*(Income!A$3:A$502=DATE(2026,2,10)),ROW(Income!A$3:A$502)-2),4)),0))</f>
        <v/>
      </c>
      <c r="F37" s="38" t="str">
        <f aca="false">IF(IFERROR(INDEX(Expenses!B$3:B$1002,SMALL(IF((Expenses!E$3:E$1002="INR")*(Expenses!A$3:A$1002=DATE(2026,2,10)),ROW(Expenses!A$3:A$1002)-2),4)),"")&lt;&gt;"",IFERROR(INDEX(Expenses!B$3:B$1002,SMALL(IF((Expenses!E$3:E$1002="INR")*(Expenses!A$3:A$1002=DATE(2026,2,10)),ROW(Expenses!A$3:A$1002)-2),4)),""),IF(IFERROR(INDEX(Income!B$3:B$502,SMALL(IF((Income!D$3:D$502="INR")*(Income!A$3:A$502=DATE(2026,2,10)),ROW(Income!A$3:A$502)-2),4)),"")&lt;&gt;"",IFERROR(INDEX(Income!B$3:B$502,SMALL(IF((Income!D$3:D$502="INR")*(Income!A$3:A$502=DATE(2026,2,10)),ROW(Income!A$3:A$502)-2),4)),""),""))</f>
        <v/>
      </c>
      <c r="G37" s="63" t="str">
        <f aca="false">IF(IFERROR(-INDEX(Expenses!D$3:D$1002,SMALL(IF((Expenses!E$3:E$1002="INR")*(Expenses!A$3:A$1002=DATE(2026,2,11)),ROW(Expenses!A$3:A$1002)-2),4)),0)+IFERROR(INDEX(Income!C$3:C$502,SMALL(IF((Income!D$3:D$502="INR")*(Income!A$3:A$502=DATE(2026,2,11)),ROW(Income!A$3:A$502)-2),4)),0)=0,"",IFERROR(-INDEX(Expenses!D$3:D$1002,SMALL(IF((Expenses!E$3:E$1002="INR")*(Expenses!A$3:A$1002=DATE(2026,2,11)),ROW(Expenses!A$3:A$1002)-2),4)),0)+IFERROR(INDEX(Income!C$3:C$502,SMALL(IF((Income!D$3:D$502="INR")*(Income!A$3:A$502=DATE(2026,2,11)),ROW(Income!A$3:A$502)-2),4)),0))</f>
        <v/>
      </c>
      <c r="H37" s="38" t="str">
        <f aca="false">IF(IFERROR(INDEX(Expenses!B$3:B$1002,SMALL(IF((Expenses!E$3:E$1002="INR")*(Expenses!A$3:A$1002=DATE(2026,2,11)),ROW(Expenses!A$3:A$1002)-2),4)),"")&lt;&gt;"",IFERROR(INDEX(Expenses!B$3:B$1002,SMALL(IF((Expenses!E$3:E$1002="INR")*(Expenses!A$3:A$1002=DATE(2026,2,11)),ROW(Expenses!A$3:A$1002)-2),4)),""),IF(IFERROR(INDEX(Income!B$3:B$502,SMALL(IF((Income!D$3:D$502="INR")*(Income!A$3:A$502=DATE(2026,2,11)),ROW(Income!A$3:A$502)-2),4)),"")&lt;&gt;"",IFERROR(INDEX(Income!B$3:B$502,SMALL(IF((Income!D$3:D$502="INR")*(Income!A$3:A$502=DATE(2026,2,11)),ROW(Income!A$3:A$502)-2),4)),""),""))</f>
        <v/>
      </c>
      <c r="I37" s="63" t="str">
        <f aca="false">IF(IFERROR(-INDEX(Expenses!D$3:D$1002,SMALL(IF((Expenses!E$3:E$1002="INR")*(Expenses!A$3:A$1002=DATE(2026,2,12)),ROW(Expenses!A$3:A$1002)-2),4)),0)+IFERROR(INDEX(Income!C$3:C$502,SMALL(IF((Income!D$3:D$502="INR")*(Income!A$3:A$502=DATE(2026,2,12)),ROW(Income!A$3:A$502)-2),4)),0)=0,"",IFERROR(-INDEX(Expenses!D$3:D$1002,SMALL(IF((Expenses!E$3:E$1002="INR")*(Expenses!A$3:A$1002=DATE(2026,2,12)),ROW(Expenses!A$3:A$1002)-2),4)),0)+IFERROR(INDEX(Income!C$3:C$502,SMALL(IF((Income!D$3:D$502="INR")*(Income!A$3:A$502=DATE(2026,2,12)),ROW(Income!A$3:A$502)-2),4)),0))</f>
        <v/>
      </c>
      <c r="J37" s="38" t="str">
        <f aca="false">IF(IFERROR(INDEX(Expenses!B$3:B$1002,SMALL(IF((Expenses!E$3:E$1002="INR")*(Expenses!A$3:A$1002=DATE(2026,2,12)),ROW(Expenses!A$3:A$1002)-2),4)),"")&lt;&gt;"",IFERROR(INDEX(Expenses!B$3:B$1002,SMALL(IF((Expenses!E$3:E$1002="INR")*(Expenses!A$3:A$1002=DATE(2026,2,12)),ROW(Expenses!A$3:A$1002)-2),4)),""),IF(IFERROR(INDEX(Income!B$3:B$502,SMALL(IF((Income!D$3:D$502="INR")*(Income!A$3:A$502=DATE(2026,2,12)),ROW(Income!A$3:A$502)-2),4)),"")&lt;&gt;"",IFERROR(INDEX(Income!B$3:B$502,SMALL(IF((Income!D$3:D$502="INR")*(Income!A$3:A$502=DATE(2026,2,12)),ROW(Income!A$3:A$502)-2),4)),""),""))</f>
        <v/>
      </c>
      <c r="K37" s="63" t="str">
        <f aca="false">IF(IFERROR(-INDEX(Expenses!D$3:D$1002,SMALL(IF((Expenses!E$3:E$1002="INR")*(Expenses!A$3:A$1002=DATE(2026,2,13)),ROW(Expenses!A$3:A$1002)-2),4)),0)+IFERROR(INDEX(Income!C$3:C$502,SMALL(IF((Income!D$3:D$502="INR")*(Income!A$3:A$502=DATE(2026,2,13)),ROW(Income!A$3:A$502)-2),4)),0)=0,"",IFERROR(-INDEX(Expenses!D$3:D$1002,SMALL(IF((Expenses!E$3:E$1002="INR")*(Expenses!A$3:A$1002=DATE(2026,2,13)),ROW(Expenses!A$3:A$1002)-2),4)),0)+IFERROR(INDEX(Income!C$3:C$502,SMALL(IF((Income!D$3:D$502="INR")*(Income!A$3:A$502=DATE(2026,2,13)),ROW(Income!A$3:A$502)-2),4)),0))</f>
        <v/>
      </c>
      <c r="L37" s="38" t="str">
        <f aca="false">IF(IFERROR(INDEX(Expenses!B$3:B$1002,SMALL(IF((Expenses!E$3:E$1002="INR")*(Expenses!A$3:A$1002=DATE(2026,2,13)),ROW(Expenses!A$3:A$1002)-2),4)),"")&lt;&gt;"",IFERROR(INDEX(Expenses!B$3:B$1002,SMALL(IF((Expenses!E$3:E$1002="INR")*(Expenses!A$3:A$1002=DATE(2026,2,13)),ROW(Expenses!A$3:A$1002)-2),4)),""),IF(IFERROR(INDEX(Income!B$3:B$502,SMALL(IF((Income!D$3:D$502="INR")*(Income!A$3:A$502=DATE(2026,2,13)),ROW(Income!A$3:A$502)-2),4)),"")&lt;&gt;"",IFERROR(INDEX(Income!B$3:B$502,SMALL(IF((Income!D$3:D$502="INR")*(Income!A$3:A$502=DATE(2026,2,13)),ROW(Income!A$3:A$502)-2),4)),""),""))</f>
        <v/>
      </c>
      <c r="M37" s="63" t="str">
        <f aca="false">IF(IFERROR(-INDEX(Expenses!D$3:D$1002,SMALL(IF((Expenses!E$3:E$1002="INR")*(Expenses!A$3:A$1002=DATE(2026,2,14)),ROW(Expenses!A$3:A$1002)-2),4)),0)+IFERROR(INDEX(Income!C$3:C$502,SMALL(IF((Income!D$3:D$502="INR")*(Income!A$3:A$502=DATE(2026,2,14)),ROW(Income!A$3:A$502)-2),4)),0)=0,"",IFERROR(-INDEX(Expenses!D$3:D$1002,SMALL(IF((Expenses!E$3:E$1002="INR")*(Expenses!A$3:A$1002=DATE(2026,2,14)),ROW(Expenses!A$3:A$1002)-2),4)),0)+IFERROR(INDEX(Income!C$3:C$502,SMALL(IF((Income!D$3:D$502="INR")*(Income!A$3:A$502=DATE(2026,2,14)),ROW(Income!A$3:A$502)-2),4)),0))</f>
        <v/>
      </c>
      <c r="N37" s="38" t="str">
        <f aca="false">IF(IFERROR(INDEX(Expenses!B$3:B$1002,SMALL(IF((Expenses!E$3:E$1002="INR")*(Expenses!A$3:A$1002=DATE(2026,2,14)),ROW(Expenses!A$3:A$1002)-2),4)),"")&lt;&gt;"",IFERROR(INDEX(Expenses!B$3:B$1002,SMALL(IF((Expenses!E$3:E$1002="INR")*(Expenses!A$3:A$1002=DATE(2026,2,14)),ROW(Expenses!A$3:A$1002)-2),4)),""),IF(IFERROR(INDEX(Income!B$3:B$502,SMALL(IF((Income!D$3:D$502="INR")*(Income!A$3:A$502=DATE(2026,2,14)),ROW(Income!A$3:A$502)-2),4)),"")&lt;&gt;"",IFERROR(INDEX(Income!B$3:B$502,SMALL(IF((Income!D$3:D$502="INR")*(Income!A$3:A$502=DATE(2026,2,14)),ROW(Income!A$3:A$502)-2),4)),""),""))</f>
        <v/>
      </c>
      <c r="O37" s="63" t="str">
        <f aca="false">IF(IFERROR(-INDEX(Expenses!D$3:D$1002,SMALL(IF((Expenses!E$3:E$1002="INR")*(Expenses!A$3:A$1002=DATE(2026,2,15)),ROW(Expenses!A$3:A$1002)-2),4)),0)+IFERROR(INDEX(Income!C$3:C$502,SMALL(IF((Income!D$3:D$502="INR")*(Income!A$3:A$502=DATE(2026,2,15)),ROW(Income!A$3:A$502)-2),4)),0)=0,"",IFERROR(-INDEX(Expenses!D$3:D$1002,SMALL(IF((Expenses!E$3:E$1002="INR")*(Expenses!A$3:A$1002=DATE(2026,2,15)),ROW(Expenses!A$3:A$1002)-2),4)),0)+IFERROR(INDEX(Income!C$3:C$502,SMALL(IF((Income!D$3:D$502="INR")*(Income!A$3:A$502=DATE(2026,2,15)),ROW(Income!A$3:A$502)-2),4)),0))</f>
        <v/>
      </c>
      <c r="P37" s="38" t="str">
        <f aca="false">IF(IFERROR(INDEX(Expenses!B$3:B$1002,SMALL(IF((Expenses!E$3:E$1002="INR")*(Expenses!A$3:A$1002=DATE(2026,2,15)),ROW(Expenses!A$3:A$1002)-2),4)),"")&lt;&gt;"",IFERROR(INDEX(Expenses!B$3:B$1002,SMALL(IF((Expenses!E$3:E$1002="INR")*(Expenses!A$3:A$1002=DATE(2026,2,15)),ROW(Expenses!A$3:A$1002)-2),4)),""),IF(IFERROR(INDEX(Income!B$3:B$502,SMALL(IF((Income!D$3:D$502="INR")*(Income!A$3:A$502=DATE(2026,2,15)),ROW(Income!A$3:A$502)-2),4)),"")&lt;&gt;"",IFERROR(INDEX(Income!B$3:B$502,SMALL(IF((Income!D$3:D$502="INR")*(Income!A$3:A$502=DATE(2026,2,15)),ROW(Income!A$3:A$502)-2),4)),""),""))</f>
        <v/>
      </c>
      <c r="Q37" s="16"/>
      <c r="R37" s="16"/>
    </row>
    <row r="38" customFormat="false" ht="15" hidden="false" customHeight="false" outlineLevel="0" collapsed="false">
      <c r="A38" s="16"/>
      <c r="B38" s="16"/>
      <c r="C38" s="63" t="str">
        <f aca="false">IF(IFERROR(-INDEX(Expenses!D$3:D$1002,SMALL(IF((Expenses!E$3:E$1002="INR")*(Expenses!A$3:A$1002=DATE(2026,2,9)),ROW(Expenses!A$3:A$1002)-2),5)),0)+IFERROR(INDEX(Income!C$3:C$502,SMALL(IF((Income!D$3:D$502="INR")*(Income!A$3:A$502=DATE(2026,2,9)),ROW(Income!A$3:A$502)-2),5)),0)=0,"",IFERROR(-INDEX(Expenses!D$3:D$1002,SMALL(IF((Expenses!E$3:E$1002="INR")*(Expenses!A$3:A$1002=DATE(2026,2,9)),ROW(Expenses!A$3:A$1002)-2),5)),0)+IFERROR(INDEX(Income!C$3:C$502,SMALL(IF((Income!D$3:D$502="INR")*(Income!A$3:A$502=DATE(2026,2,9)),ROW(Income!A$3:A$502)-2),5)),0))</f>
        <v/>
      </c>
      <c r="D38" s="38" t="str">
        <f aca="false">IF(IFERROR(INDEX(Expenses!B$3:B$1002,SMALL(IF((Expenses!E$3:E$1002="INR")*(Expenses!A$3:A$1002=DATE(2026,2,9)),ROW(Expenses!A$3:A$1002)-2),5)),"")&lt;&gt;"",IFERROR(INDEX(Expenses!B$3:B$1002,SMALL(IF((Expenses!E$3:E$1002="INR")*(Expenses!A$3:A$1002=DATE(2026,2,9)),ROW(Expenses!A$3:A$1002)-2),5)),""),IF(IFERROR(INDEX(Income!B$3:B$502,SMALL(IF((Income!D$3:D$502="INR")*(Income!A$3:A$502=DATE(2026,2,9)),ROW(Income!A$3:A$502)-2),5)),"")&lt;&gt;"",IFERROR(INDEX(Income!B$3:B$502,SMALL(IF((Income!D$3:D$502="INR")*(Income!A$3:A$502=DATE(2026,2,9)),ROW(Income!A$3:A$502)-2),5)),""),""))</f>
        <v/>
      </c>
      <c r="E38" s="63" t="str">
        <f aca="false">IF(IFERROR(-INDEX(Expenses!D$3:D$1002,SMALL(IF((Expenses!E$3:E$1002="INR")*(Expenses!A$3:A$1002=DATE(2026,2,10)),ROW(Expenses!A$3:A$1002)-2),5)),0)+IFERROR(INDEX(Income!C$3:C$502,SMALL(IF((Income!D$3:D$502="INR")*(Income!A$3:A$502=DATE(2026,2,10)),ROW(Income!A$3:A$502)-2),5)),0)=0,"",IFERROR(-INDEX(Expenses!D$3:D$1002,SMALL(IF((Expenses!E$3:E$1002="INR")*(Expenses!A$3:A$1002=DATE(2026,2,10)),ROW(Expenses!A$3:A$1002)-2),5)),0)+IFERROR(INDEX(Income!C$3:C$502,SMALL(IF((Income!D$3:D$502="INR")*(Income!A$3:A$502=DATE(2026,2,10)),ROW(Income!A$3:A$502)-2),5)),0))</f>
        <v/>
      </c>
      <c r="F38" s="38" t="str">
        <f aca="false">IF(IFERROR(INDEX(Expenses!B$3:B$1002,SMALL(IF((Expenses!E$3:E$1002="INR")*(Expenses!A$3:A$1002=DATE(2026,2,10)),ROW(Expenses!A$3:A$1002)-2),5)),"")&lt;&gt;"",IFERROR(INDEX(Expenses!B$3:B$1002,SMALL(IF((Expenses!E$3:E$1002="INR")*(Expenses!A$3:A$1002=DATE(2026,2,10)),ROW(Expenses!A$3:A$1002)-2),5)),""),IF(IFERROR(INDEX(Income!B$3:B$502,SMALL(IF((Income!D$3:D$502="INR")*(Income!A$3:A$502=DATE(2026,2,10)),ROW(Income!A$3:A$502)-2),5)),"")&lt;&gt;"",IFERROR(INDEX(Income!B$3:B$502,SMALL(IF((Income!D$3:D$502="INR")*(Income!A$3:A$502=DATE(2026,2,10)),ROW(Income!A$3:A$502)-2),5)),""),""))</f>
        <v/>
      </c>
      <c r="G38" s="63" t="str">
        <f aca="false">IF(IFERROR(-INDEX(Expenses!D$3:D$1002,SMALL(IF((Expenses!E$3:E$1002="INR")*(Expenses!A$3:A$1002=DATE(2026,2,11)),ROW(Expenses!A$3:A$1002)-2),5)),0)+IFERROR(INDEX(Income!C$3:C$502,SMALL(IF((Income!D$3:D$502="INR")*(Income!A$3:A$502=DATE(2026,2,11)),ROW(Income!A$3:A$502)-2),5)),0)=0,"",IFERROR(-INDEX(Expenses!D$3:D$1002,SMALL(IF((Expenses!E$3:E$1002="INR")*(Expenses!A$3:A$1002=DATE(2026,2,11)),ROW(Expenses!A$3:A$1002)-2),5)),0)+IFERROR(INDEX(Income!C$3:C$502,SMALL(IF((Income!D$3:D$502="INR")*(Income!A$3:A$502=DATE(2026,2,11)),ROW(Income!A$3:A$502)-2),5)),0))</f>
        <v/>
      </c>
      <c r="H38" s="38" t="str">
        <f aca="false">IF(IFERROR(INDEX(Expenses!B$3:B$1002,SMALL(IF((Expenses!E$3:E$1002="INR")*(Expenses!A$3:A$1002=DATE(2026,2,11)),ROW(Expenses!A$3:A$1002)-2),5)),"")&lt;&gt;"",IFERROR(INDEX(Expenses!B$3:B$1002,SMALL(IF((Expenses!E$3:E$1002="INR")*(Expenses!A$3:A$1002=DATE(2026,2,11)),ROW(Expenses!A$3:A$1002)-2),5)),""),IF(IFERROR(INDEX(Income!B$3:B$502,SMALL(IF((Income!D$3:D$502="INR")*(Income!A$3:A$502=DATE(2026,2,11)),ROW(Income!A$3:A$502)-2),5)),"")&lt;&gt;"",IFERROR(INDEX(Income!B$3:B$502,SMALL(IF((Income!D$3:D$502="INR")*(Income!A$3:A$502=DATE(2026,2,11)),ROW(Income!A$3:A$502)-2),5)),""),""))</f>
        <v/>
      </c>
      <c r="I38" s="63" t="str">
        <f aca="false">IF(IFERROR(-INDEX(Expenses!D$3:D$1002,SMALL(IF((Expenses!E$3:E$1002="INR")*(Expenses!A$3:A$1002=DATE(2026,2,12)),ROW(Expenses!A$3:A$1002)-2),5)),0)+IFERROR(INDEX(Income!C$3:C$502,SMALL(IF((Income!D$3:D$502="INR")*(Income!A$3:A$502=DATE(2026,2,12)),ROW(Income!A$3:A$502)-2),5)),0)=0,"",IFERROR(-INDEX(Expenses!D$3:D$1002,SMALL(IF((Expenses!E$3:E$1002="INR")*(Expenses!A$3:A$1002=DATE(2026,2,12)),ROW(Expenses!A$3:A$1002)-2),5)),0)+IFERROR(INDEX(Income!C$3:C$502,SMALL(IF((Income!D$3:D$502="INR")*(Income!A$3:A$502=DATE(2026,2,12)),ROW(Income!A$3:A$502)-2),5)),0))</f>
        <v/>
      </c>
      <c r="J38" s="38" t="str">
        <f aca="false">IF(IFERROR(INDEX(Expenses!B$3:B$1002,SMALL(IF((Expenses!E$3:E$1002="INR")*(Expenses!A$3:A$1002=DATE(2026,2,12)),ROW(Expenses!A$3:A$1002)-2),5)),"")&lt;&gt;"",IFERROR(INDEX(Expenses!B$3:B$1002,SMALL(IF((Expenses!E$3:E$1002="INR")*(Expenses!A$3:A$1002=DATE(2026,2,12)),ROW(Expenses!A$3:A$1002)-2),5)),""),IF(IFERROR(INDEX(Income!B$3:B$502,SMALL(IF((Income!D$3:D$502="INR")*(Income!A$3:A$502=DATE(2026,2,12)),ROW(Income!A$3:A$502)-2),5)),"")&lt;&gt;"",IFERROR(INDEX(Income!B$3:B$502,SMALL(IF((Income!D$3:D$502="INR")*(Income!A$3:A$502=DATE(2026,2,12)),ROW(Income!A$3:A$502)-2),5)),""),""))</f>
        <v/>
      </c>
      <c r="K38" s="63" t="str">
        <f aca="false">IF(IFERROR(-INDEX(Expenses!D$3:D$1002,SMALL(IF((Expenses!E$3:E$1002="INR")*(Expenses!A$3:A$1002=DATE(2026,2,13)),ROW(Expenses!A$3:A$1002)-2),5)),0)+IFERROR(INDEX(Income!C$3:C$502,SMALL(IF((Income!D$3:D$502="INR")*(Income!A$3:A$502=DATE(2026,2,13)),ROW(Income!A$3:A$502)-2),5)),0)=0,"",IFERROR(-INDEX(Expenses!D$3:D$1002,SMALL(IF((Expenses!E$3:E$1002="INR")*(Expenses!A$3:A$1002=DATE(2026,2,13)),ROW(Expenses!A$3:A$1002)-2),5)),0)+IFERROR(INDEX(Income!C$3:C$502,SMALL(IF((Income!D$3:D$502="INR")*(Income!A$3:A$502=DATE(2026,2,13)),ROW(Income!A$3:A$502)-2),5)),0))</f>
        <v/>
      </c>
      <c r="L38" s="38" t="str">
        <f aca="false">IF(IFERROR(INDEX(Expenses!B$3:B$1002,SMALL(IF((Expenses!E$3:E$1002="INR")*(Expenses!A$3:A$1002=DATE(2026,2,13)),ROW(Expenses!A$3:A$1002)-2),5)),"")&lt;&gt;"",IFERROR(INDEX(Expenses!B$3:B$1002,SMALL(IF((Expenses!E$3:E$1002="INR")*(Expenses!A$3:A$1002=DATE(2026,2,13)),ROW(Expenses!A$3:A$1002)-2),5)),""),IF(IFERROR(INDEX(Income!B$3:B$502,SMALL(IF((Income!D$3:D$502="INR")*(Income!A$3:A$502=DATE(2026,2,13)),ROW(Income!A$3:A$502)-2),5)),"")&lt;&gt;"",IFERROR(INDEX(Income!B$3:B$502,SMALL(IF((Income!D$3:D$502="INR")*(Income!A$3:A$502=DATE(2026,2,13)),ROW(Income!A$3:A$502)-2),5)),""),""))</f>
        <v/>
      </c>
      <c r="M38" s="63" t="str">
        <f aca="false">IF(IFERROR(-INDEX(Expenses!D$3:D$1002,SMALL(IF((Expenses!E$3:E$1002="INR")*(Expenses!A$3:A$1002=DATE(2026,2,14)),ROW(Expenses!A$3:A$1002)-2),5)),0)+IFERROR(INDEX(Income!C$3:C$502,SMALL(IF((Income!D$3:D$502="INR")*(Income!A$3:A$502=DATE(2026,2,14)),ROW(Income!A$3:A$502)-2),5)),0)=0,"",IFERROR(-INDEX(Expenses!D$3:D$1002,SMALL(IF((Expenses!E$3:E$1002="INR")*(Expenses!A$3:A$1002=DATE(2026,2,14)),ROW(Expenses!A$3:A$1002)-2),5)),0)+IFERROR(INDEX(Income!C$3:C$502,SMALL(IF((Income!D$3:D$502="INR")*(Income!A$3:A$502=DATE(2026,2,14)),ROW(Income!A$3:A$502)-2),5)),0))</f>
        <v/>
      </c>
      <c r="N38" s="38" t="str">
        <f aca="false">IF(IFERROR(INDEX(Expenses!B$3:B$1002,SMALL(IF((Expenses!E$3:E$1002="INR")*(Expenses!A$3:A$1002=DATE(2026,2,14)),ROW(Expenses!A$3:A$1002)-2),5)),"")&lt;&gt;"",IFERROR(INDEX(Expenses!B$3:B$1002,SMALL(IF((Expenses!E$3:E$1002="INR")*(Expenses!A$3:A$1002=DATE(2026,2,14)),ROW(Expenses!A$3:A$1002)-2),5)),""),IF(IFERROR(INDEX(Income!B$3:B$502,SMALL(IF((Income!D$3:D$502="INR")*(Income!A$3:A$502=DATE(2026,2,14)),ROW(Income!A$3:A$502)-2),5)),"")&lt;&gt;"",IFERROR(INDEX(Income!B$3:B$502,SMALL(IF((Income!D$3:D$502="INR")*(Income!A$3:A$502=DATE(2026,2,14)),ROW(Income!A$3:A$502)-2),5)),""),""))</f>
        <v/>
      </c>
      <c r="O38" s="63" t="str">
        <f aca="false">IF(IFERROR(-INDEX(Expenses!D$3:D$1002,SMALL(IF((Expenses!E$3:E$1002="INR")*(Expenses!A$3:A$1002=DATE(2026,2,15)),ROW(Expenses!A$3:A$1002)-2),5)),0)+IFERROR(INDEX(Income!C$3:C$502,SMALL(IF((Income!D$3:D$502="INR")*(Income!A$3:A$502=DATE(2026,2,15)),ROW(Income!A$3:A$502)-2),5)),0)=0,"",IFERROR(-INDEX(Expenses!D$3:D$1002,SMALL(IF((Expenses!E$3:E$1002="INR")*(Expenses!A$3:A$1002=DATE(2026,2,15)),ROW(Expenses!A$3:A$1002)-2),5)),0)+IFERROR(INDEX(Income!C$3:C$502,SMALL(IF((Income!D$3:D$502="INR")*(Income!A$3:A$502=DATE(2026,2,15)),ROW(Income!A$3:A$502)-2),5)),0))</f>
        <v/>
      </c>
      <c r="P38" s="38" t="str">
        <f aca="false">IF(IFERROR(INDEX(Expenses!B$3:B$1002,SMALL(IF((Expenses!E$3:E$1002="INR")*(Expenses!A$3:A$1002=DATE(2026,2,15)),ROW(Expenses!A$3:A$1002)-2),5)),"")&lt;&gt;"",IFERROR(INDEX(Expenses!B$3:B$1002,SMALL(IF((Expenses!E$3:E$1002="INR")*(Expenses!A$3:A$1002=DATE(2026,2,15)),ROW(Expenses!A$3:A$1002)-2),5)),""),IF(IFERROR(INDEX(Income!B$3:B$502,SMALL(IF((Income!D$3:D$502="INR")*(Income!A$3:A$502=DATE(2026,2,15)),ROW(Income!A$3:A$502)-2),5)),"")&lt;&gt;"",IFERROR(INDEX(Income!B$3:B$502,SMALL(IF((Income!D$3:D$502="INR")*(Income!A$3:A$502=DATE(2026,2,15)),ROW(Income!A$3:A$502)-2),5)),""),""))</f>
        <v/>
      </c>
      <c r="Q38" s="16"/>
      <c r="R38" s="16"/>
    </row>
    <row r="39" customFormat="false" ht="15" hidden="false" customHeight="false" outlineLevel="0" collapsed="false">
      <c r="A39" s="61" t="n">
        <v>46069</v>
      </c>
      <c r="B39" s="3" t="n">
        <v>8</v>
      </c>
      <c r="C39" s="63" t="str">
        <f aca="false">IF(IFERROR(-INDEX(Expenses!D$3:D$1002,SMALL(IF((Expenses!E$3:E$1002="INR")*(Expenses!A$3:A$1002=DATE(2026,2,16)),ROW(Expenses!A$3:A$1002)-2),1)),0)+IFERROR(INDEX(Income!C$3:C$502,SMALL(IF((Income!D$3:D$502="INR")*(Income!A$3:A$502=DATE(2026,2,16)),ROW(Income!A$3:A$502)-2),1)),0)=0,"",IFERROR(-INDEX(Expenses!D$3:D$1002,SMALL(IF((Expenses!E$3:E$1002="INR")*(Expenses!A$3:A$1002=DATE(2026,2,16)),ROW(Expenses!A$3:A$1002)-2),1)),0)+IFERROR(INDEX(Income!C$3:C$502,SMALL(IF((Income!D$3:D$502="INR")*(Income!A$3:A$502=DATE(2026,2,16)),ROW(Income!A$3:A$502)-2),1)),0))</f>
        <v/>
      </c>
      <c r="D39" s="38" t="str">
        <f aca="false">IF(IFERROR(INDEX(Expenses!B$3:B$1002,SMALL(IF((Expenses!E$3:E$1002="INR")*(Expenses!A$3:A$1002=DATE(2026,2,16)),ROW(Expenses!A$3:A$1002)-2),1)),"")&lt;&gt;"",IFERROR(INDEX(Expenses!B$3:B$1002,SMALL(IF((Expenses!E$3:E$1002="INR")*(Expenses!A$3:A$1002=DATE(2026,2,16)),ROW(Expenses!A$3:A$1002)-2),1)),""),IF(IFERROR(INDEX(Income!B$3:B$502,SMALL(IF((Income!D$3:D$502="INR")*(Income!A$3:A$502=DATE(2026,2,16)),ROW(Income!A$3:A$502)-2),1)),"")&lt;&gt;"",IFERROR(INDEX(Income!B$3:B$502,SMALL(IF((Income!D$3:D$502="INR")*(Income!A$3:A$502=DATE(2026,2,16)),ROW(Income!A$3:A$502)-2),1)),""),""))</f>
        <v/>
      </c>
      <c r="E39" s="63" t="str">
        <f aca="false">IF(IFERROR(-INDEX(Expenses!D$3:D$1002,SMALL(IF((Expenses!E$3:E$1002="INR")*(Expenses!A$3:A$1002=DATE(2026,2,17)),ROW(Expenses!A$3:A$1002)-2),1)),0)+IFERROR(INDEX(Income!C$3:C$502,SMALL(IF((Income!D$3:D$502="INR")*(Income!A$3:A$502=DATE(2026,2,17)),ROW(Income!A$3:A$502)-2),1)),0)=0,"",IFERROR(-INDEX(Expenses!D$3:D$1002,SMALL(IF((Expenses!E$3:E$1002="INR")*(Expenses!A$3:A$1002=DATE(2026,2,17)),ROW(Expenses!A$3:A$1002)-2),1)),0)+IFERROR(INDEX(Income!C$3:C$502,SMALL(IF((Income!D$3:D$502="INR")*(Income!A$3:A$502=DATE(2026,2,17)),ROW(Income!A$3:A$502)-2),1)),0))</f>
        <v/>
      </c>
      <c r="F39" s="38" t="str">
        <f aca="false">IF(IFERROR(INDEX(Expenses!B$3:B$1002,SMALL(IF((Expenses!E$3:E$1002="INR")*(Expenses!A$3:A$1002=DATE(2026,2,17)),ROW(Expenses!A$3:A$1002)-2),1)),"")&lt;&gt;"",IFERROR(INDEX(Expenses!B$3:B$1002,SMALL(IF((Expenses!E$3:E$1002="INR")*(Expenses!A$3:A$1002=DATE(2026,2,17)),ROW(Expenses!A$3:A$1002)-2),1)),""),IF(IFERROR(INDEX(Income!B$3:B$502,SMALL(IF((Income!D$3:D$502="INR")*(Income!A$3:A$502=DATE(2026,2,17)),ROW(Income!A$3:A$502)-2),1)),"")&lt;&gt;"",IFERROR(INDEX(Income!B$3:B$502,SMALL(IF((Income!D$3:D$502="INR")*(Income!A$3:A$502=DATE(2026,2,17)),ROW(Income!A$3:A$502)-2),1)),""),""))</f>
        <v/>
      </c>
      <c r="G39" s="63" t="str">
        <f aca="false">IF(IFERROR(-INDEX(Expenses!D$3:D$1002,SMALL(IF((Expenses!E$3:E$1002="INR")*(Expenses!A$3:A$1002=DATE(2026,2,18)),ROW(Expenses!A$3:A$1002)-2),1)),0)+IFERROR(INDEX(Income!C$3:C$502,SMALL(IF((Income!D$3:D$502="INR")*(Income!A$3:A$502=DATE(2026,2,18)),ROW(Income!A$3:A$502)-2),1)),0)=0,"",IFERROR(-INDEX(Expenses!D$3:D$1002,SMALL(IF((Expenses!E$3:E$1002="INR")*(Expenses!A$3:A$1002=DATE(2026,2,18)),ROW(Expenses!A$3:A$1002)-2),1)),0)+IFERROR(INDEX(Income!C$3:C$502,SMALL(IF((Income!D$3:D$502="INR")*(Income!A$3:A$502=DATE(2026,2,18)),ROW(Income!A$3:A$502)-2),1)),0))</f>
        <v/>
      </c>
      <c r="H39" s="38" t="str">
        <f aca="false">IF(IFERROR(INDEX(Expenses!B$3:B$1002,SMALL(IF((Expenses!E$3:E$1002="INR")*(Expenses!A$3:A$1002=DATE(2026,2,18)),ROW(Expenses!A$3:A$1002)-2),1)),"")&lt;&gt;"",IFERROR(INDEX(Expenses!B$3:B$1002,SMALL(IF((Expenses!E$3:E$1002="INR")*(Expenses!A$3:A$1002=DATE(2026,2,18)),ROW(Expenses!A$3:A$1002)-2),1)),""),IF(IFERROR(INDEX(Income!B$3:B$502,SMALL(IF((Income!D$3:D$502="INR")*(Income!A$3:A$502=DATE(2026,2,18)),ROW(Income!A$3:A$502)-2),1)),"")&lt;&gt;"",IFERROR(INDEX(Income!B$3:B$502,SMALL(IF((Income!D$3:D$502="INR")*(Income!A$3:A$502=DATE(2026,2,18)),ROW(Income!A$3:A$502)-2),1)),""),""))</f>
        <v/>
      </c>
      <c r="I39" s="63" t="str">
        <f aca="false">IF(IFERROR(-INDEX(Expenses!D$3:D$1002,SMALL(IF((Expenses!E$3:E$1002="INR")*(Expenses!A$3:A$1002=DATE(2026,2,19)),ROW(Expenses!A$3:A$1002)-2),1)),0)+IFERROR(INDEX(Income!C$3:C$502,SMALL(IF((Income!D$3:D$502="INR")*(Income!A$3:A$502=DATE(2026,2,19)),ROW(Income!A$3:A$502)-2),1)),0)=0,"",IFERROR(-INDEX(Expenses!D$3:D$1002,SMALL(IF((Expenses!E$3:E$1002="INR")*(Expenses!A$3:A$1002=DATE(2026,2,19)),ROW(Expenses!A$3:A$1002)-2),1)),0)+IFERROR(INDEX(Income!C$3:C$502,SMALL(IF((Income!D$3:D$502="INR")*(Income!A$3:A$502=DATE(2026,2,19)),ROW(Income!A$3:A$502)-2),1)),0))</f>
        <v/>
      </c>
      <c r="J39" s="38" t="str">
        <f aca="false">IF(IFERROR(INDEX(Expenses!B$3:B$1002,SMALL(IF((Expenses!E$3:E$1002="INR")*(Expenses!A$3:A$1002=DATE(2026,2,19)),ROW(Expenses!A$3:A$1002)-2),1)),"")&lt;&gt;"",IFERROR(INDEX(Expenses!B$3:B$1002,SMALL(IF((Expenses!E$3:E$1002="INR")*(Expenses!A$3:A$1002=DATE(2026,2,19)),ROW(Expenses!A$3:A$1002)-2),1)),""),IF(IFERROR(INDEX(Income!B$3:B$502,SMALL(IF((Income!D$3:D$502="INR")*(Income!A$3:A$502=DATE(2026,2,19)),ROW(Income!A$3:A$502)-2),1)),"")&lt;&gt;"",IFERROR(INDEX(Income!B$3:B$502,SMALL(IF((Income!D$3:D$502="INR")*(Income!A$3:A$502=DATE(2026,2,19)),ROW(Income!A$3:A$502)-2),1)),""),""))</f>
        <v/>
      </c>
      <c r="K39" s="63" t="str">
        <f aca="false">IF(IFERROR(-INDEX(Expenses!D$3:D$1002,SMALL(IF((Expenses!E$3:E$1002="INR")*(Expenses!A$3:A$1002=DATE(2026,2,20)),ROW(Expenses!A$3:A$1002)-2),1)),0)+IFERROR(INDEX(Income!C$3:C$502,SMALL(IF((Income!D$3:D$502="INR")*(Income!A$3:A$502=DATE(2026,2,20)),ROW(Income!A$3:A$502)-2),1)),0)=0,"",IFERROR(-INDEX(Expenses!D$3:D$1002,SMALL(IF((Expenses!E$3:E$1002="INR")*(Expenses!A$3:A$1002=DATE(2026,2,20)),ROW(Expenses!A$3:A$1002)-2),1)),0)+IFERROR(INDEX(Income!C$3:C$502,SMALL(IF((Income!D$3:D$502="INR")*(Income!A$3:A$502=DATE(2026,2,20)),ROW(Income!A$3:A$502)-2),1)),0))</f>
        <v/>
      </c>
      <c r="L39" s="38" t="str">
        <f aca="false">IF(IFERROR(INDEX(Expenses!B$3:B$1002,SMALL(IF((Expenses!E$3:E$1002="INR")*(Expenses!A$3:A$1002=DATE(2026,2,20)),ROW(Expenses!A$3:A$1002)-2),1)),"")&lt;&gt;"",IFERROR(INDEX(Expenses!B$3:B$1002,SMALL(IF((Expenses!E$3:E$1002="INR")*(Expenses!A$3:A$1002=DATE(2026,2,20)),ROW(Expenses!A$3:A$1002)-2),1)),""),IF(IFERROR(INDEX(Income!B$3:B$502,SMALL(IF((Income!D$3:D$502="INR")*(Income!A$3:A$502=DATE(2026,2,20)),ROW(Income!A$3:A$502)-2),1)),"")&lt;&gt;"",IFERROR(INDEX(Income!B$3:B$502,SMALL(IF((Income!D$3:D$502="INR")*(Income!A$3:A$502=DATE(2026,2,20)),ROW(Income!A$3:A$502)-2),1)),""),""))</f>
        <v/>
      </c>
      <c r="M39" s="63" t="str">
        <f aca="false">IF(IFERROR(-INDEX(Expenses!D$3:D$1002,SMALL(IF((Expenses!E$3:E$1002="INR")*(Expenses!A$3:A$1002=DATE(2026,2,21)),ROW(Expenses!A$3:A$1002)-2),1)),0)+IFERROR(INDEX(Income!C$3:C$502,SMALL(IF((Income!D$3:D$502="INR")*(Income!A$3:A$502=DATE(2026,2,21)),ROW(Income!A$3:A$502)-2),1)),0)=0,"",IFERROR(-INDEX(Expenses!D$3:D$1002,SMALL(IF((Expenses!E$3:E$1002="INR")*(Expenses!A$3:A$1002=DATE(2026,2,21)),ROW(Expenses!A$3:A$1002)-2),1)),0)+IFERROR(INDEX(Income!C$3:C$502,SMALL(IF((Income!D$3:D$502="INR")*(Income!A$3:A$502=DATE(2026,2,21)),ROW(Income!A$3:A$502)-2),1)),0))</f>
        <v/>
      </c>
      <c r="N39" s="38" t="str">
        <f aca="false">IF(IFERROR(INDEX(Expenses!B$3:B$1002,SMALL(IF((Expenses!E$3:E$1002="INR")*(Expenses!A$3:A$1002=DATE(2026,2,21)),ROW(Expenses!A$3:A$1002)-2),1)),"")&lt;&gt;"",IFERROR(INDEX(Expenses!B$3:B$1002,SMALL(IF((Expenses!E$3:E$1002="INR")*(Expenses!A$3:A$1002=DATE(2026,2,21)),ROW(Expenses!A$3:A$1002)-2),1)),""),IF(IFERROR(INDEX(Income!B$3:B$502,SMALL(IF((Income!D$3:D$502="INR")*(Income!A$3:A$502=DATE(2026,2,21)),ROW(Income!A$3:A$502)-2),1)),"")&lt;&gt;"",IFERROR(INDEX(Income!B$3:B$502,SMALL(IF((Income!D$3:D$502="INR")*(Income!A$3:A$502=DATE(2026,2,21)),ROW(Income!A$3:A$502)-2),1)),""),""))</f>
        <v/>
      </c>
      <c r="O39" s="63" t="str">
        <f aca="false">IF(IFERROR(-INDEX(Expenses!D$3:D$1002,SMALL(IF((Expenses!E$3:E$1002="INR")*(Expenses!A$3:A$1002=DATE(2026,2,22)),ROW(Expenses!A$3:A$1002)-2),1)),0)+IFERROR(INDEX(Income!C$3:C$502,SMALL(IF((Income!D$3:D$502="INR")*(Income!A$3:A$502=DATE(2026,2,22)),ROW(Income!A$3:A$502)-2),1)),0)=0,"",IFERROR(-INDEX(Expenses!D$3:D$1002,SMALL(IF((Expenses!E$3:E$1002="INR")*(Expenses!A$3:A$1002=DATE(2026,2,22)),ROW(Expenses!A$3:A$1002)-2),1)),0)+IFERROR(INDEX(Income!C$3:C$502,SMALL(IF((Income!D$3:D$502="INR")*(Income!A$3:A$502=DATE(2026,2,22)),ROW(Income!A$3:A$502)-2),1)),0))</f>
        <v/>
      </c>
      <c r="P39" s="38" t="str">
        <f aca="false">IF(IFERROR(INDEX(Expenses!B$3:B$1002,SMALL(IF((Expenses!E$3:E$1002="INR")*(Expenses!A$3:A$1002=DATE(2026,2,22)),ROW(Expenses!A$3:A$1002)-2),1)),"")&lt;&gt;"",IFERROR(INDEX(Expenses!B$3:B$1002,SMALL(IF((Expenses!E$3:E$1002="INR")*(Expenses!A$3:A$1002=DATE(2026,2,22)),ROW(Expenses!A$3:A$1002)-2),1)),""),IF(IFERROR(INDEX(Income!B$3:B$502,SMALL(IF((Income!D$3:D$502="INR")*(Income!A$3:A$502=DATE(2026,2,22)),ROW(Income!A$3:A$502)-2),1)),"")&lt;&gt;"",IFERROR(INDEX(Income!B$3:B$502,SMALL(IF((Income!D$3:D$502="INR")*(Income!A$3:A$502=DATE(2026,2,22)),ROW(Income!A$3:A$502)-2),1)),""),""))</f>
        <v/>
      </c>
      <c r="Q39" s="3" t="n">
        <v>8</v>
      </c>
      <c r="R39" s="53" t="n">
        <f aca="false">SUM(C39:C43)+SUM(E39:E43)+SUM(G39:G43)+SUM(I39:I43)+SUM(K39:K43)+SUM(M39:M43)+SUM(O39:O43)</f>
        <v>0</v>
      </c>
    </row>
    <row r="40" customFormat="false" ht="15" hidden="false" customHeight="false" outlineLevel="0" collapsed="false">
      <c r="A40" s="16"/>
      <c r="B40" s="16"/>
      <c r="C40" s="63" t="str">
        <f aca="false">IF(IFERROR(-INDEX(Expenses!D$3:D$1002,SMALL(IF((Expenses!E$3:E$1002="INR")*(Expenses!A$3:A$1002=DATE(2026,2,16)),ROW(Expenses!A$3:A$1002)-2),2)),0)+IFERROR(INDEX(Income!C$3:C$502,SMALL(IF((Income!D$3:D$502="INR")*(Income!A$3:A$502=DATE(2026,2,16)),ROW(Income!A$3:A$502)-2),2)),0)=0,"",IFERROR(-INDEX(Expenses!D$3:D$1002,SMALL(IF((Expenses!E$3:E$1002="INR")*(Expenses!A$3:A$1002=DATE(2026,2,16)),ROW(Expenses!A$3:A$1002)-2),2)),0)+IFERROR(INDEX(Income!C$3:C$502,SMALL(IF((Income!D$3:D$502="INR")*(Income!A$3:A$502=DATE(2026,2,16)),ROW(Income!A$3:A$502)-2),2)),0))</f>
        <v/>
      </c>
      <c r="D40" s="38" t="str">
        <f aca="false">IF(IFERROR(INDEX(Expenses!B$3:B$1002,SMALL(IF((Expenses!E$3:E$1002="INR")*(Expenses!A$3:A$1002=DATE(2026,2,16)),ROW(Expenses!A$3:A$1002)-2),2)),"")&lt;&gt;"",IFERROR(INDEX(Expenses!B$3:B$1002,SMALL(IF((Expenses!E$3:E$1002="INR")*(Expenses!A$3:A$1002=DATE(2026,2,16)),ROW(Expenses!A$3:A$1002)-2),2)),""),IF(IFERROR(INDEX(Income!B$3:B$502,SMALL(IF((Income!D$3:D$502="INR")*(Income!A$3:A$502=DATE(2026,2,16)),ROW(Income!A$3:A$502)-2),2)),"")&lt;&gt;"",IFERROR(INDEX(Income!B$3:B$502,SMALL(IF((Income!D$3:D$502="INR")*(Income!A$3:A$502=DATE(2026,2,16)),ROW(Income!A$3:A$502)-2),2)),""),""))</f>
        <v/>
      </c>
      <c r="E40" s="63" t="str">
        <f aca="false">IF(IFERROR(-INDEX(Expenses!D$3:D$1002,SMALL(IF((Expenses!E$3:E$1002="INR")*(Expenses!A$3:A$1002=DATE(2026,2,17)),ROW(Expenses!A$3:A$1002)-2),2)),0)+IFERROR(INDEX(Income!C$3:C$502,SMALL(IF((Income!D$3:D$502="INR")*(Income!A$3:A$502=DATE(2026,2,17)),ROW(Income!A$3:A$502)-2),2)),0)=0,"",IFERROR(-INDEX(Expenses!D$3:D$1002,SMALL(IF((Expenses!E$3:E$1002="INR")*(Expenses!A$3:A$1002=DATE(2026,2,17)),ROW(Expenses!A$3:A$1002)-2),2)),0)+IFERROR(INDEX(Income!C$3:C$502,SMALL(IF((Income!D$3:D$502="INR")*(Income!A$3:A$502=DATE(2026,2,17)),ROW(Income!A$3:A$502)-2),2)),0))</f>
        <v/>
      </c>
      <c r="F40" s="38" t="str">
        <f aca="false">IF(IFERROR(INDEX(Expenses!B$3:B$1002,SMALL(IF((Expenses!E$3:E$1002="INR")*(Expenses!A$3:A$1002=DATE(2026,2,17)),ROW(Expenses!A$3:A$1002)-2),2)),"")&lt;&gt;"",IFERROR(INDEX(Expenses!B$3:B$1002,SMALL(IF((Expenses!E$3:E$1002="INR")*(Expenses!A$3:A$1002=DATE(2026,2,17)),ROW(Expenses!A$3:A$1002)-2),2)),""),IF(IFERROR(INDEX(Income!B$3:B$502,SMALL(IF((Income!D$3:D$502="INR")*(Income!A$3:A$502=DATE(2026,2,17)),ROW(Income!A$3:A$502)-2),2)),"")&lt;&gt;"",IFERROR(INDEX(Income!B$3:B$502,SMALL(IF((Income!D$3:D$502="INR")*(Income!A$3:A$502=DATE(2026,2,17)),ROW(Income!A$3:A$502)-2),2)),""),""))</f>
        <v/>
      </c>
      <c r="G40" s="63" t="str">
        <f aca="false">IF(IFERROR(-INDEX(Expenses!D$3:D$1002,SMALL(IF((Expenses!E$3:E$1002="INR")*(Expenses!A$3:A$1002=DATE(2026,2,18)),ROW(Expenses!A$3:A$1002)-2),2)),0)+IFERROR(INDEX(Income!C$3:C$502,SMALL(IF((Income!D$3:D$502="INR")*(Income!A$3:A$502=DATE(2026,2,18)),ROW(Income!A$3:A$502)-2),2)),0)=0,"",IFERROR(-INDEX(Expenses!D$3:D$1002,SMALL(IF((Expenses!E$3:E$1002="INR")*(Expenses!A$3:A$1002=DATE(2026,2,18)),ROW(Expenses!A$3:A$1002)-2),2)),0)+IFERROR(INDEX(Income!C$3:C$502,SMALL(IF((Income!D$3:D$502="INR")*(Income!A$3:A$502=DATE(2026,2,18)),ROW(Income!A$3:A$502)-2),2)),0))</f>
        <v/>
      </c>
      <c r="H40" s="38" t="str">
        <f aca="false">IF(IFERROR(INDEX(Expenses!B$3:B$1002,SMALL(IF((Expenses!E$3:E$1002="INR")*(Expenses!A$3:A$1002=DATE(2026,2,18)),ROW(Expenses!A$3:A$1002)-2),2)),"")&lt;&gt;"",IFERROR(INDEX(Expenses!B$3:B$1002,SMALL(IF((Expenses!E$3:E$1002="INR")*(Expenses!A$3:A$1002=DATE(2026,2,18)),ROW(Expenses!A$3:A$1002)-2),2)),""),IF(IFERROR(INDEX(Income!B$3:B$502,SMALL(IF((Income!D$3:D$502="INR")*(Income!A$3:A$502=DATE(2026,2,18)),ROW(Income!A$3:A$502)-2),2)),"")&lt;&gt;"",IFERROR(INDEX(Income!B$3:B$502,SMALL(IF((Income!D$3:D$502="INR")*(Income!A$3:A$502=DATE(2026,2,18)),ROW(Income!A$3:A$502)-2),2)),""),""))</f>
        <v/>
      </c>
      <c r="I40" s="63" t="str">
        <f aca="false">IF(IFERROR(-INDEX(Expenses!D$3:D$1002,SMALL(IF((Expenses!E$3:E$1002="INR")*(Expenses!A$3:A$1002=DATE(2026,2,19)),ROW(Expenses!A$3:A$1002)-2),2)),0)+IFERROR(INDEX(Income!C$3:C$502,SMALL(IF((Income!D$3:D$502="INR")*(Income!A$3:A$502=DATE(2026,2,19)),ROW(Income!A$3:A$502)-2),2)),0)=0,"",IFERROR(-INDEX(Expenses!D$3:D$1002,SMALL(IF((Expenses!E$3:E$1002="INR")*(Expenses!A$3:A$1002=DATE(2026,2,19)),ROW(Expenses!A$3:A$1002)-2),2)),0)+IFERROR(INDEX(Income!C$3:C$502,SMALL(IF((Income!D$3:D$502="INR")*(Income!A$3:A$502=DATE(2026,2,19)),ROW(Income!A$3:A$502)-2),2)),0))</f>
        <v/>
      </c>
      <c r="J40" s="38" t="str">
        <f aca="false">IF(IFERROR(INDEX(Expenses!B$3:B$1002,SMALL(IF((Expenses!E$3:E$1002="INR")*(Expenses!A$3:A$1002=DATE(2026,2,19)),ROW(Expenses!A$3:A$1002)-2),2)),"")&lt;&gt;"",IFERROR(INDEX(Expenses!B$3:B$1002,SMALL(IF((Expenses!E$3:E$1002="INR")*(Expenses!A$3:A$1002=DATE(2026,2,19)),ROW(Expenses!A$3:A$1002)-2),2)),""),IF(IFERROR(INDEX(Income!B$3:B$502,SMALL(IF((Income!D$3:D$502="INR")*(Income!A$3:A$502=DATE(2026,2,19)),ROW(Income!A$3:A$502)-2),2)),"")&lt;&gt;"",IFERROR(INDEX(Income!B$3:B$502,SMALL(IF((Income!D$3:D$502="INR")*(Income!A$3:A$502=DATE(2026,2,19)),ROW(Income!A$3:A$502)-2),2)),""),""))</f>
        <v/>
      </c>
      <c r="K40" s="63" t="str">
        <f aca="false">IF(IFERROR(-INDEX(Expenses!D$3:D$1002,SMALL(IF((Expenses!E$3:E$1002="INR")*(Expenses!A$3:A$1002=DATE(2026,2,20)),ROW(Expenses!A$3:A$1002)-2),2)),0)+IFERROR(INDEX(Income!C$3:C$502,SMALL(IF((Income!D$3:D$502="INR")*(Income!A$3:A$502=DATE(2026,2,20)),ROW(Income!A$3:A$502)-2),2)),0)=0,"",IFERROR(-INDEX(Expenses!D$3:D$1002,SMALL(IF((Expenses!E$3:E$1002="INR")*(Expenses!A$3:A$1002=DATE(2026,2,20)),ROW(Expenses!A$3:A$1002)-2),2)),0)+IFERROR(INDEX(Income!C$3:C$502,SMALL(IF((Income!D$3:D$502="INR")*(Income!A$3:A$502=DATE(2026,2,20)),ROW(Income!A$3:A$502)-2),2)),0))</f>
        <v/>
      </c>
      <c r="L40" s="38" t="str">
        <f aca="false">IF(IFERROR(INDEX(Expenses!B$3:B$1002,SMALL(IF((Expenses!E$3:E$1002="INR")*(Expenses!A$3:A$1002=DATE(2026,2,20)),ROW(Expenses!A$3:A$1002)-2),2)),"")&lt;&gt;"",IFERROR(INDEX(Expenses!B$3:B$1002,SMALL(IF((Expenses!E$3:E$1002="INR")*(Expenses!A$3:A$1002=DATE(2026,2,20)),ROW(Expenses!A$3:A$1002)-2),2)),""),IF(IFERROR(INDEX(Income!B$3:B$502,SMALL(IF((Income!D$3:D$502="INR")*(Income!A$3:A$502=DATE(2026,2,20)),ROW(Income!A$3:A$502)-2),2)),"")&lt;&gt;"",IFERROR(INDEX(Income!B$3:B$502,SMALL(IF((Income!D$3:D$502="INR")*(Income!A$3:A$502=DATE(2026,2,20)),ROW(Income!A$3:A$502)-2),2)),""),""))</f>
        <v/>
      </c>
      <c r="M40" s="63" t="str">
        <f aca="false">IF(IFERROR(-INDEX(Expenses!D$3:D$1002,SMALL(IF((Expenses!E$3:E$1002="INR")*(Expenses!A$3:A$1002=DATE(2026,2,21)),ROW(Expenses!A$3:A$1002)-2),2)),0)+IFERROR(INDEX(Income!C$3:C$502,SMALL(IF((Income!D$3:D$502="INR")*(Income!A$3:A$502=DATE(2026,2,21)),ROW(Income!A$3:A$502)-2),2)),0)=0,"",IFERROR(-INDEX(Expenses!D$3:D$1002,SMALL(IF((Expenses!E$3:E$1002="INR")*(Expenses!A$3:A$1002=DATE(2026,2,21)),ROW(Expenses!A$3:A$1002)-2),2)),0)+IFERROR(INDEX(Income!C$3:C$502,SMALL(IF((Income!D$3:D$502="INR")*(Income!A$3:A$502=DATE(2026,2,21)),ROW(Income!A$3:A$502)-2),2)),0))</f>
        <v/>
      </c>
      <c r="N40" s="38" t="str">
        <f aca="false">IF(IFERROR(INDEX(Expenses!B$3:B$1002,SMALL(IF((Expenses!E$3:E$1002="INR")*(Expenses!A$3:A$1002=DATE(2026,2,21)),ROW(Expenses!A$3:A$1002)-2),2)),"")&lt;&gt;"",IFERROR(INDEX(Expenses!B$3:B$1002,SMALL(IF((Expenses!E$3:E$1002="INR")*(Expenses!A$3:A$1002=DATE(2026,2,21)),ROW(Expenses!A$3:A$1002)-2),2)),""),IF(IFERROR(INDEX(Income!B$3:B$502,SMALL(IF((Income!D$3:D$502="INR")*(Income!A$3:A$502=DATE(2026,2,21)),ROW(Income!A$3:A$502)-2),2)),"")&lt;&gt;"",IFERROR(INDEX(Income!B$3:B$502,SMALL(IF((Income!D$3:D$502="INR")*(Income!A$3:A$502=DATE(2026,2,21)),ROW(Income!A$3:A$502)-2),2)),""),""))</f>
        <v/>
      </c>
      <c r="O40" s="63" t="str">
        <f aca="false">IF(IFERROR(-INDEX(Expenses!D$3:D$1002,SMALL(IF((Expenses!E$3:E$1002="INR")*(Expenses!A$3:A$1002=DATE(2026,2,22)),ROW(Expenses!A$3:A$1002)-2),2)),0)+IFERROR(INDEX(Income!C$3:C$502,SMALL(IF((Income!D$3:D$502="INR")*(Income!A$3:A$502=DATE(2026,2,22)),ROW(Income!A$3:A$502)-2),2)),0)=0,"",IFERROR(-INDEX(Expenses!D$3:D$1002,SMALL(IF((Expenses!E$3:E$1002="INR")*(Expenses!A$3:A$1002=DATE(2026,2,22)),ROW(Expenses!A$3:A$1002)-2),2)),0)+IFERROR(INDEX(Income!C$3:C$502,SMALL(IF((Income!D$3:D$502="INR")*(Income!A$3:A$502=DATE(2026,2,22)),ROW(Income!A$3:A$502)-2),2)),0))</f>
        <v/>
      </c>
      <c r="P40" s="38" t="str">
        <f aca="false">IF(IFERROR(INDEX(Expenses!B$3:B$1002,SMALL(IF((Expenses!E$3:E$1002="INR")*(Expenses!A$3:A$1002=DATE(2026,2,22)),ROW(Expenses!A$3:A$1002)-2),2)),"")&lt;&gt;"",IFERROR(INDEX(Expenses!B$3:B$1002,SMALL(IF((Expenses!E$3:E$1002="INR")*(Expenses!A$3:A$1002=DATE(2026,2,22)),ROW(Expenses!A$3:A$1002)-2),2)),""),IF(IFERROR(INDEX(Income!B$3:B$502,SMALL(IF((Income!D$3:D$502="INR")*(Income!A$3:A$502=DATE(2026,2,22)),ROW(Income!A$3:A$502)-2),2)),"")&lt;&gt;"",IFERROR(INDEX(Income!B$3:B$502,SMALL(IF((Income!D$3:D$502="INR")*(Income!A$3:A$502=DATE(2026,2,22)),ROW(Income!A$3:A$502)-2),2)),""),""))</f>
        <v/>
      </c>
      <c r="Q40" s="16"/>
      <c r="R40" s="16"/>
    </row>
    <row r="41" customFormat="false" ht="15" hidden="false" customHeight="false" outlineLevel="0" collapsed="false">
      <c r="A41" s="16"/>
      <c r="B41" s="16"/>
      <c r="C41" s="63" t="str">
        <f aca="false">IF(IFERROR(-INDEX(Expenses!D$3:D$1002,SMALL(IF((Expenses!E$3:E$1002="INR")*(Expenses!A$3:A$1002=DATE(2026,2,16)),ROW(Expenses!A$3:A$1002)-2),3)),0)+IFERROR(INDEX(Income!C$3:C$502,SMALL(IF((Income!D$3:D$502="INR")*(Income!A$3:A$502=DATE(2026,2,16)),ROW(Income!A$3:A$502)-2),3)),0)=0,"",IFERROR(-INDEX(Expenses!D$3:D$1002,SMALL(IF((Expenses!E$3:E$1002="INR")*(Expenses!A$3:A$1002=DATE(2026,2,16)),ROW(Expenses!A$3:A$1002)-2),3)),0)+IFERROR(INDEX(Income!C$3:C$502,SMALL(IF((Income!D$3:D$502="INR")*(Income!A$3:A$502=DATE(2026,2,16)),ROW(Income!A$3:A$502)-2),3)),0))</f>
        <v/>
      </c>
      <c r="D41" s="38" t="str">
        <f aca="false">IF(IFERROR(INDEX(Expenses!B$3:B$1002,SMALL(IF((Expenses!E$3:E$1002="INR")*(Expenses!A$3:A$1002=DATE(2026,2,16)),ROW(Expenses!A$3:A$1002)-2),3)),"")&lt;&gt;"",IFERROR(INDEX(Expenses!B$3:B$1002,SMALL(IF((Expenses!E$3:E$1002="INR")*(Expenses!A$3:A$1002=DATE(2026,2,16)),ROW(Expenses!A$3:A$1002)-2),3)),""),IF(IFERROR(INDEX(Income!B$3:B$502,SMALL(IF((Income!D$3:D$502="INR")*(Income!A$3:A$502=DATE(2026,2,16)),ROW(Income!A$3:A$502)-2),3)),"")&lt;&gt;"",IFERROR(INDEX(Income!B$3:B$502,SMALL(IF((Income!D$3:D$502="INR")*(Income!A$3:A$502=DATE(2026,2,16)),ROW(Income!A$3:A$502)-2),3)),""),""))</f>
        <v/>
      </c>
      <c r="E41" s="63" t="str">
        <f aca="false">IF(IFERROR(-INDEX(Expenses!D$3:D$1002,SMALL(IF((Expenses!E$3:E$1002="INR")*(Expenses!A$3:A$1002=DATE(2026,2,17)),ROW(Expenses!A$3:A$1002)-2),3)),0)+IFERROR(INDEX(Income!C$3:C$502,SMALL(IF((Income!D$3:D$502="INR")*(Income!A$3:A$502=DATE(2026,2,17)),ROW(Income!A$3:A$502)-2),3)),0)=0,"",IFERROR(-INDEX(Expenses!D$3:D$1002,SMALL(IF((Expenses!E$3:E$1002="INR")*(Expenses!A$3:A$1002=DATE(2026,2,17)),ROW(Expenses!A$3:A$1002)-2),3)),0)+IFERROR(INDEX(Income!C$3:C$502,SMALL(IF((Income!D$3:D$502="INR")*(Income!A$3:A$502=DATE(2026,2,17)),ROW(Income!A$3:A$502)-2),3)),0))</f>
        <v/>
      </c>
      <c r="F41" s="38" t="str">
        <f aca="false">IF(IFERROR(INDEX(Expenses!B$3:B$1002,SMALL(IF((Expenses!E$3:E$1002="INR")*(Expenses!A$3:A$1002=DATE(2026,2,17)),ROW(Expenses!A$3:A$1002)-2),3)),"")&lt;&gt;"",IFERROR(INDEX(Expenses!B$3:B$1002,SMALL(IF((Expenses!E$3:E$1002="INR")*(Expenses!A$3:A$1002=DATE(2026,2,17)),ROW(Expenses!A$3:A$1002)-2),3)),""),IF(IFERROR(INDEX(Income!B$3:B$502,SMALL(IF((Income!D$3:D$502="INR")*(Income!A$3:A$502=DATE(2026,2,17)),ROW(Income!A$3:A$502)-2),3)),"")&lt;&gt;"",IFERROR(INDEX(Income!B$3:B$502,SMALL(IF((Income!D$3:D$502="INR")*(Income!A$3:A$502=DATE(2026,2,17)),ROW(Income!A$3:A$502)-2),3)),""),""))</f>
        <v/>
      </c>
      <c r="G41" s="63" t="str">
        <f aca="false">IF(IFERROR(-INDEX(Expenses!D$3:D$1002,SMALL(IF((Expenses!E$3:E$1002="INR")*(Expenses!A$3:A$1002=DATE(2026,2,18)),ROW(Expenses!A$3:A$1002)-2),3)),0)+IFERROR(INDEX(Income!C$3:C$502,SMALL(IF((Income!D$3:D$502="INR")*(Income!A$3:A$502=DATE(2026,2,18)),ROW(Income!A$3:A$502)-2),3)),0)=0,"",IFERROR(-INDEX(Expenses!D$3:D$1002,SMALL(IF((Expenses!E$3:E$1002="INR")*(Expenses!A$3:A$1002=DATE(2026,2,18)),ROW(Expenses!A$3:A$1002)-2),3)),0)+IFERROR(INDEX(Income!C$3:C$502,SMALL(IF((Income!D$3:D$502="INR")*(Income!A$3:A$502=DATE(2026,2,18)),ROW(Income!A$3:A$502)-2),3)),0))</f>
        <v/>
      </c>
      <c r="H41" s="38" t="str">
        <f aca="false">IF(IFERROR(INDEX(Expenses!B$3:B$1002,SMALL(IF((Expenses!E$3:E$1002="INR")*(Expenses!A$3:A$1002=DATE(2026,2,18)),ROW(Expenses!A$3:A$1002)-2),3)),"")&lt;&gt;"",IFERROR(INDEX(Expenses!B$3:B$1002,SMALL(IF((Expenses!E$3:E$1002="INR")*(Expenses!A$3:A$1002=DATE(2026,2,18)),ROW(Expenses!A$3:A$1002)-2),3)),""),IF(IFERROR(INDEX(Income!B$3:B$502,SMALL(IF((Income!D$3:D$502="INR")*(Income!A$3:A$502=DATE(2026,2,18)),ROW(Income!A$3:A$502)-2),3)),"")&lt;&gt;"",IFERROR(INDEX(Income!B$3:B$502,SMALL(IF((Income!D$3:D$502="INR")*(Income!A$3:A$502=DATE(2026,2,18)),ROW(Income!A$3:A$502)-2),3)),""),""))</f>
        <v/>
      </c>
      <c r="I41" s="63" t="str">
        <f aca="false">IF(IFERROR(-INDEX(Expenses!D$3:D$1002,SMALL(IF((Expenses!E$3:E$1002="INR")*(Expenses!A$3:A$1002=DATE(2026,2,19)),ROW(Expenses!A$3:A$1002)-2),3)),0)+IFERROR(INDEX(Income!C$3:C$502,SMALL(IF((Income!D$3:D$502="INR")*(Income!A$3:A$502=DATE(2026,2,19)),ROW(Income!A$3:A$502)-2),3)),0)=0,"",IFERROR(-INDEX(Expenses!D$3:D$1002,SMALL(IF((Expenses!E$3:E$1002="INR")*(Expenses!A$3:A$1002=DATE(2026,2,19)),ROW(Expenses!A$3:A$1002)-2),3)),0)+IFERROR(INDEX(Income!C$3:C$502,SMALL(IF((Income!D$3:D$502="INR")*(Income!A$3:A$502=DATE(2026,2,19)),ROW(Income!A$3:A$502)-2),3)),0))</f>
        <v/>
      </c>
      <c r="J41" s="38" t="str">
        <f aca="false">IF(IFERROR(INDEX(Expenses!B$3:B$1002,SMALL(IF((Expenses!E$3:E$1002="INR")*(Expenses!A$3:A$1002=DATE(2026,2,19)),ROW(Expenses!A$3:A$1002)-2),3)),"")&lt;&gt;"",IFERROR(INDEX(Expenses!B$3:B$1002,SMALL(IF((Expenses!E$3:E$1002="INR")*(Expenses!A$3:A$1002=DATE(2026,2,19)),ROW(Expenses!A$3:A$1002)-2),3)),""),IF(IFERROR(INDEX(Income!B$3:B$502,SMALL(IF((Income!D$3:D$502="INR")*(Income!A$3:A$502=DATE(2026,2,19)),ROW(Income!A$3:A$502)-2),3)),"")&lt;&gt;"",IFERROR(INDEX(Income!B$3:B$502,SMALL(IF((Income!D$3:D$502="INR")*(Income!A$3:A$502=DATE(2026,2,19)),ROW(Income!A$3:A$502)-2),3)),""),""))</f>
        <v/>
      </c>
      <c r="K41" s="63" t="str">
        <f aca="false">IF(IFERROR(-INDEX(Expenses!D$3:D$1002,SMALL(IF((Expenses!E$3:E$1002="INR")*(Expenses!A$3:A$1002=DATE(2026,2,20)),ROW(Expenses!A$3:A$1002)-2),3)),0)+IFERROR(INDEX(Income!C$3:C$502,SMALL(IF((Income!D$3:D$502="INR")*(Income!A$3:A$502=DATE(2026,2,20)),ROW(Income!A$3:A$502)-2),3)),0)=0,"",IFERROR(-INDEX(Expenses!D$3:D$1002,SMALL(IF((Expenses!E$3:E$1002="INR")*(Expenses!A$3:A$1002=DATE(2026,2,20)),ROW(Expenses!A$3:A$1002)-2),3)),0)+IFERROR(INDEX(Income!C$3:C$502,SMALL(IF((Income!D$3:D$502="INR")*(Income!A$3:A$502=DATE(2026,2,20)),ROW(Income!A$3:A$502)-2),3)),0))</f>
        <v/>
      </c>
      <c r="L41" s="38" t="str">
        <f aca="false">IF(IFERROR(INDEX(Expenses!B$3:B$1002,SMALL(IF((Expenses!E$3:E$1002="INR")*(Expenses!A$3:A$1002=DATE(2026,2,20)),ROW(Expenses!A$3:A$1002)-2),3)),"")&lt;&gt;"",IFERROR(INDEX(Expenses!B$3:B$1002,SMALL(IF((Expenses!E$3:E$1002="INR")*(Expenses!A$3:A$1002=DATE(2026,2,20)),ROW(Expenses!A$3:A$1002)-2),3)),""),IF(IFERROR(INDEX(Income!B$3:B$502,SMALL(IF((Income!D$3:D$502="INR")*(Income!A$3:A$502=DATE(2026,2,20)),ROW(Income!A$3:A$502)-2),3)),"")&lt;&gt;"",IFERROR(INDEX(Income!B$3:B$502,SMALL(IF((Income!D$3:D$502="INR")*(Income!A$3:A$502=DATE(2026,2,20)),ROW(Income!A$3:A$502)-2),3)),""),""))</f>
        <v/>
      </c>
      <c r="M41" s="63" t="str">
        <f aca="false">IF(IFERROR(-INDEX(Expenses!D$3:D$1002,SMALL(IF((Expenses!E$3:E$1002="INR")*(Expenses!A$3:A$1002=DATE(2026,2,21)),ROW(Expenses!A$3:A$1002)-2),3)),0)+IFERROR(INDEX(Income!C$3:C$502,SMALL(IF((Income!D$3:D$502="INR")*(Income!A$3:A$502=DATE(2026,2,21)),ROW(Income!A$3:A$502)-2),3)),0)=0,"",IFERROR(-INDEX(Expenses!D$3:D$1002,SMALL(IF((Expenses!E$3:E$1002="INR")*(Expenses!A$3:A$1002=DATE(2026,2,21)),ROW(Expenses!A$3:A$1002)-2),3)),0)+IFERROR(INDEX(Income!C$3:C$502,SMALL(IF((Income!D$3:D$502="INR")*(Income!A$3:A$502=DATE(2026,2,21)),ROW(Income!A$3:A$502)-2),3)),0))</f>
        <v/>
      </c>
      <c r="N41" s="38" t="str">
        <f aca="false">IF(IFERROR(INDEX(Expenses!B$3:B$1002,SMALL(IF((Expenses!E$3:E$1002="INR")*(Expenses!A$3:A$1002=DATE(2026,2,21)),ROW(Expenses!A$3:A$1002)-2),3)),"")&lt;&gt;"",IFERROR(INDEX(Expenses!B$3:B$1002,SMALL(IF((Expenses!E$3:E$1002="INR")*(Expenses!A$3:A$1002=DATE(2026,2,21)),ROW(Expenses!A$3:A$1002)-2),3)),""),IF(IFERROR(INDEX(Income!B$3:B$502,SMALL(IF((Income!D$3:D$502="INR")*(Income!A$3:A$502=DATE(2026,2,21)),ROW(Income!A$3:A$502)-2),3)),"")&lt;&gt;"",IFERROR(INDEX(Income!B$3:B$502,SMALL(IF((Income!D$3:D$502="INR")*(Income!A$3:A$502=DATE(2026,2,21)),ROW(Income!A$3:A$502)-2),3)),""),""))</f>
        <v/>
      </c>
      <c r="O41" s="63" t="str">
        <f aca="false">IF(IFERROR(-INDEX(Expenses!D$3:D$1002,SMALL(IF((Expenses!E$3:E$1002="INR")*(Expenses!A$3:A$1002=DATE(2026,2,22)),ROW(Expenses!A$3:A$1002)-2),3)),0)+IFERROR(INDEX(Income!C$3:C$502,SMALL(IF((Income!D$3:D$502="INR")*(Income!A$3:A$502=DATE(2026,2,22)),ROW(Income!A$3:A$502)-2),3)),0)=0,"",IFERROR(-INDEX(Expenses!D$3:D$1002,SMALL(IF((Expenses!E$3:E$1002="INR")*(Expenses!A$3:A$1002=DATE(2026,2,22)),ROW(Expenses!A$3:A$1002)-2),3)),0)+IFERROR(INDEX(Income!C$3:C$502,SMALL(IF((Income!D$3:D$502="INR")*(Income!A$3:A$502=DATE(2026,2,22)),ROW(Income!A$3:A$502)-2),3)),0))</f>
        <v/>
      </c>
      <c r="P41" s="38" t="str">
        <f aca="false">IF(IFERROR(INDEX(Expenses!B$3:B$1002,SMALL(IF((Expenses!E$3:E$1002="INR")*(Expenses!A$3:A$1002=DATE(2026,2,22)),ROW(Expenses!A$3:A$1002)-2),3)),"")&lt;&gt;"",IFERROR(INDEX(Expenses!B$3:B$1002,SMALL(IF((Expenses!E$3:E$1002="INR")*(Expenses!A$3:A$1002=DATE(2026,2,22)),ROW(Expenses!A$3:A$1002)-2),3)),""),IF(IFERROR(INDEX(Income!B$3:B$502,SMALL(IF((Income!D$3:D$502="INR")*(Income!A$3:A$502=DATE(2026,2,22)),ROW(Income!A$3:A$502)-2),3)),"")&lt;&gt;"",IFERROR(INDEX(Income!B$3:B$502,SMALL(IF((Income!D$3:D$502="INR")*(Income!A$3:A$502=DATE(2026,2,22)),ROW(Income!A$3:A$502)-2),3)),""),""))</f>
        <v/>
      </c>
      <c r="Q41" s="16"/>
      <c r="R41" s="16"/>
    </row>
    <row r="42" customFormat="false" ht="15" hidden="false" customHeight="false" outlineLevel="0" collapsed="false">
      <c r="A42" s="16"/>
      <c r="B42" s="16"/>
      <c r="C42" s="63" t="str">
        <f aca="false">IF(IFERROR(-INDEX(Expenses!D$3:D$1002,SMALL(IF((Expenses!E$3:E$1002="INR")*(Expenses!A$3:A$1002=DATE(2026,2,16)),ROW(Expenses!A$3:A$1002)-2),4)),0)+IFERROR(INDEX(Income!C$3:C$502,SMALL(IF((Income!D$3:D$502="INR")*(Income!A$3:A$502=DATE(2026,2,16)),ROW(Income!A$3:A$502)-2),4)),0)=0,"",IFERROR(-INDEX(Expenses!D$3:D$1002,SMALL(IF((Expenses!E$3:E$1002="INR")*(Expenses!A$3:A$1002=DATE(2026,2,16)),ROW(Expenses!A$3:A$1002)-2),4)),0)+IFERROR(INDEX(Income!C$3:C$502,SMALL(IF((Income!D$3:D$502="INR")*(Income!A$3:A$502=DATE(2026,2,16)),ROW(Income!A$3:A$502)-2),4)),0))</f>
        <v/>
      </c>
      <c r="D42" s="38" t="str">
        <f aca="false">IF(IFERROR(INDEX(Expenses!B$3:B$1002,SMALL(IF((Expenses!E$3:E$1002="INR")*(Expenses!A$3:A$1002=DATE(2026,2,16)),ROW(Expenses!A$3:A$1002)-2),4)),"")&lt;&gt;"",IFERROR(INDEX(Expenses!B$3:B$1002,SMALL(IF((Expenses!E$3:E$1002="INR")*(Expenses!A$3:A$1002=DATE(2026,2,16)),ROW(Expenses!A$3:A$1002)-2),4)),""),IF(IFERROR(INDEX(Income!B$3:B$502,SMALL(IF((Income!D$3:D$502="INR")*(Income!A$3:A$502=DATE(2026,2,16)),ROW(Income!A$3:A$502)-2),4)),"")&lt;&gt;"",IFERROR(INDEX(Income!B$3:B$502,SMALL(IF((Income!D$3:D$502="INR")*(Income!A$3:A$502=DATE(2026,2,16)),ROW(Income!A$3:A$502)-2),4)),""),""))</f>
        <v/>
      </c>
      <c r="E42" s="63" t="str">
        <f aca="false">IF(IFERROR(-INDEX(Expenses!D$3:D$1002,SMALL(IF((Expenses!E$3:E$1002="INR")*(Expenses!A$3:A$1002=DATE(2026,2,17)),ROW(Expenses!A$3:A$1002)-2),4)),0)+IFERROR(INDEX(Income!C$3:C$502,SMALL(IF((Income!D$3:D$502="INR")*(Income!A$3:A$502=DATE(2026,2,17)),ROW(Income!A$3:A$502)-2),4)),0)=0,"",IFERROR(-INDEX(Expenses!D$3:D$1002,SMALL(IF((Expenses!E$3:E$1002="INR")*(Expenses!A$3:A$1002=DATE(2026,2,17)),ROW(Expenses!A$3:A$1002)-2),4)),0)+IFERROR(INDEX(Income!C$3:C$502,SMALL(IF((Income!D$3:D$502="INR")*(Income!A$3:A$502=DATE(2026,2,17)),ROW(Income!A$3:A$502)-2),4)),0))</f>
        <v/>
      </c>
      <c r="F42" s="38" t="str">
        <f aca="false">IF(IFERROR(INDEX(Expenses!B$3:B$1002,SMALL(IF((Expenses!E$3:E$1002="INR")*(Expenses!A$3:A$1002=DATE(2026,2,17)),ROW(Expenses!A$3:A$1002)-2),4)),"")&lt;&gt;"",IFERROR(INDEX(Expenses!B$3:B$1002,SMALL(IF((Expenses!E$3:E$1002="INR")*(Expenses!A$3:A$1002=DATE(2026,2,17)),ROW(Expenses!A$3:A$1002)-2),4)),""),IF(IFERROR(INDEX(Income!B$3:B$502,SMALL(IF((Income!D$3:D$502="INR")*(Income!A$3:A$502=DATE(2026,2,17)),ROW(Income!A$3:A$502)-2),4)),"")&lt;&gt;"",IFERROR(INDEX(Income!B$3:B$502,SMALL(IF((Income!D$3:D$502="INR")*(Income!A$3:A$502=DATE(2026,2,17)),ROW(Income!A$3:A$502)-2),4)),""),""))</f>
        <v/>
      </c>
      <c r="G42" s="63" t="str">
        <f aca="false">IF(IFERROR(-INDEX(Expenses!D$3:D$1002,SMALL(IF((Expenses!E$3:E$1002="INR")*(Expenses!A$3:A$1002=DATE(2026,2,18)),ROW(Expenses!A$3:A$1002)-2),4)),0)+IFERROR(INDEX(Income!C$3:C$502,SMALL(IF((Income!D$3:D$502="INR")*(Income!A$3:A$502=DATE(2026,2,18)),ROW(Income!A$3:A$502)-2),4)),0)=0,"",IFERROR(-INDEX(Expenses!D$3:D$1002,SMALL(IF((Expenses!E$3:E$1002="INR")*(Expenses!A$3:A$1002=DATE(2026,2,18)),ROW(Expenses!A$3:A$1002)-2),4)),0)+IFERROR(INDEX(Income!C$3:C$502,SMALL(IF((Income!D$3:D$502="INR")*(Income!A$3:A$502=DATE(2026,2,18)),ROW(Income!A$3:A$502)-2),4)),0))</f>
        <v/>
      </c>
      <c r="H42" s="38" t="str">
        <f aca="false">IF(IFERROR(INDEX(Expenses!B$3:B$1002,SMALL(IF((Expenses!E$3:E$1002="INR")*(Expenses!A$3:A$1002=DATE(2026,2,18)),ROW(Expenses!A$3:A$1002)-2),4)),"")&lt;&gt;"",IFERROR(INDEX(Expenses!B$3:B$1002,SMALL(IF((Expenses!E$3:E$1002="INR")*(Expenses!A$3:A$1002=DATE(2026,2,18)),ROW(Expenses!A$3:A$1002)-2),4)),""),IF(IFERROR(INDEX(Income!B$3:B$502,SMALL(IF((Income!D$3:D$502="INR")*(Income!A$3:A$502=DATE(2026,2,18)),ROW(Income!A$3:A$502)-2),4)),"")&lt;&gt;"",IFERROR(INDEX(Income!B$3:B$502,SMALL(IF((Income!D$3:D$502="INR")*(Income!A$3:A$502=DATE(2026,2,18)),ROW(Income!A$3:A$502)-2),4)),""),""))</f>
        <v/>
      </c>
      <c r="I42" s="63" t="str">
        <f aca="false">IF(IFERROR(-INDEX(Expenses!D$3:D$1002,SMALL(IF((Expenses!E$3:E$1002="INR")*(Expenses!A$3:A$1002=DATE(2026,2,19)),ROW(Expenses!A$3:A$1002)-2),4)),0)+IFERROR(INDEX(Income!C$3:C$502,SMALL(IF((Income!D$3:D$502="INR")*(Income!A$3:A$502=DATE(2026,2,19)),ROW(Income!A$3:A$502)-2),4)),0)=0,"",IFERROR(-INDEX(Expenses!D$3:D$1002,SMALL(IF((Expenses!E$3:E$1002="INR")*(Expenses!A$3:A$1002=DATE(2026,2,19)),ROW(Expenses!A$3:A$1002)-2),4)),0)+IFERROR(INDEX(Income!C$3:C$502,SMALL(IF((Income!D$3:D$502="INR")*(Income!A$3:A$502=DATE(2026,2,19)),ROW(Income!A$3:A$502)-2),4)),0))</f>
        <v/>
      </c>
      <c r="J42" s="38" t="str">
        <f aca="false">IF(IFERROR(INDEX(Expenses!B$3:B$1002,SMALL(IF((Expenses!E$3:E$1002="INR")*(Expenses!A$3:A$1002=DATE(2026,2,19)),ROW(Expenses!A$3:A$1002)-2),4)),"")&lt;&gt;"",IFERROR(INDEX(Expenses!B$3:B$1002,SMALL(IF((Expenses!E$3:E$1002="INR")*(Expenses!A$3:A$1002=DATE(2026,2,19)),ROW(Expenses!A$3:A$1002)-2),4)),""),IF(IFERROR(INDEX(Income!B$3:B$502,SMALL(IF((Income!D$3:D$502="INR")*(Income!A$3:A$502=DATE(2026,2,19)),ROW(Income!A$3:A$502)-2),4)),"")&lt;&gt;"",IFERROR(INDEX(Income!B$3:B$502,SMALL(IF((Income!D$3:D$502="INR")*(Income!A$3:A$502=DATE(2026,2,19)),ROW(Income!A$3:A$502)-2),4)),""),""))</f>
        <v/>
      </c>
      <c r="K42" s="63" t="str">
        <f aca="false">IF(IFERROR(-INDEX(Expenses!D$3:D$1002,SMALL(IF((Expenses!E$3:E$1002="INR")*(Expenses!A$3:A$1002=DATE(2026,2,20)),ROW(Expenses!A$3:A$1002)-2),4)),0)+IFERROR(INDEX(Income!C$3:C$502,SMALL(IF((Income!D$3:D$502="INR")*(Income!A$3:A$502=DATE(2026,2,20)),ROW(Income!A$3:A$502)-2),4)),0)=0,"",IFERROR(-INDEX(Expenses!D$3:D$1002,SMALL(IF((Expenses!E$3:E$1002="INR")*(Expenses!A$3:A$1002=DATE(2026,2,20)),ROW(Expenses!A$3:A$1002)-2),4)),0)+IFERROR(INDEX(Income!C$3:C$502,SMALL(IF((Income!D$3:D$502="INR")*(Income!A$3:A$502=DATE(2026,2,20)),ROW(Income!A$3:A$502)-2),4)),0))</f>
        <v/>
      </c>
      <c r="L42" s="38" t="str">
        <f aca="false">IF(IFERROR(INDEX(Expenses!B$3:B$1002,SMALL(IF((Expenses!E$3:E$1002="INR")*(Expenses!A$3:A$1002=DATE(2026,2,20)),ROW(Expenses!A$3:A$1002)-2),4)),"")&lt;&gt;"",IFERROR(INDEX(Expenses!B$3:B$1002,SMALL(IF((Expenses!E$3:E$1002="INR")*(Expenses!A$3:A$1002=DATE(2026,2,20)),ROW(Expenses!A$3:A$1002)-2),4)),""),IF(IFERROR(INDEX(Income!B$3:B$502,SMALL(IF((Income!D$3:D$502="INR")*(Income!A$3:A$502=DATE(2026,2,20)),ROW(Income!A$3:A$502)-2),4)),"")&lt;&gt;"",IFERROR(INDEX(Income!B$3:B$502,SMALL(IF((Income!D$3:D$502="INR")*(Income!A$3:A$502=DATE(2026,2,20)),ROW(Income!A$3:A$502)-2),4)),""),""))</f>
        <v/>
      </c>
      <c r="M42" s="63" t="str">
        <f aca="false">IF(IFERROR(-INDEX(Expenses!D$3:D$1002,SMALL(IF((Expenses!E$3:E$1002="INR")*(Expenses!A$3:A$1002=DATE(2026,2,21)),ROW(Expenses!A$3:A$1002)-2),4)),0)+IFERROR(INDEX(Income!C$3:C$502,SMALL(IF((Income!D$3:D$502="INR")*(Income!A$3:A$502=DATE(2026,2,21)),ROW(Income!A$3:A$502)-2),4)),0)=0,"",IFERROR(-INDEX(Expenses!D$3:D$1002,SMALL(IF((Expenses!E$3:E$1002="INR")*(Expenses!A$3:A$1002=DATE(2026,2,21)),ROW(Expenses!A$3:A$1002)-2),4)),0)+IFERROR(INDEX(Income!C$3:C$502,SMALL(IF((Income!D$3:D$502="INR")*(Income!A$3:A$502=DATE(2026,2,21)),ROW(Income!A$3:A$502)-2),4)),0))</f>
        <v/>
      </c>
      <c r="N42" s="38" t="str">
        <f aca="false">IF(IFERROR(INDEX(Expenses!B$3:B$1002,SMALL(IF((Expenses!E$3:E$1002="INR")*(Expenses!A$3:A$1002=DATE(2026,2,21)),ROW(Expenses!A$3:A$1002)-2),4)),"")&lt;&gt;"",IFERROR(INDEX(Expenses!B$3:B$1002,SMALL(IF((Expenses!E$3:E$1002="INR")*(Expenses!A$3:A$1002=DATE(2026,2,21)),ROW(Expenses!A$3:A$1002)-2),4)),""),IF(IFERROR(INDEX(Income!B$3:B$502,SMALL(IF((Income!D$3:D$502="INR")*(Income!A$3:A$502=DATE(2026,2,21)),ROW(Income!A$3:A$502)-2),4)),"")&lt;&gt;"",IFERROR(INDEX(Income!B$3:B$502,SMALL(IF((Income!D$3:D$502="INR")*(Income!A$3:A$502=DATE(2026,2,21)),ROW(Income!A$3:A$502)-2),4)),""),""))</f>
        <v/>
      </c>
      <c r="O42" s="63" t="str">
        <f aca="false">IF(IFERROR(-INDEX(Expenses!D$3:D$1002,SMALL(IF((Expenses!E$3:E$1002="INR")*(Expenses!A$3:A$1002=DATE(2026,2,22)),ROW(Expenses!A$3:A$1002)-2),4)),0)+IFERROR(INDEX(Income!C$3:C$502,SMALL(IF((Income!D$3:D$502="INR")*(Income!A$3:A$502=DATE(2026,2,22)),ROW(Income!A$3:A$502)-2),4)),0)=0,"",IFERROR(-INDEX(Expenses!D$3:D$1002,SMALL(IF((Expenses!E$3:E$1002="INR")*(Expenses!A$3:A$1002=DATE(2026,2,22)),ROW(Expenses!A$3:A$1002)-2),4)),0)+IFERROR(INDEX(Income!C$3:C$502,SMALL(IF((Income!D$3:D$502="INR")*(Income!A$3:A$502=DATE(2026,2,22)),ROW(Income!A$3:A$502)-2),4)),0))</f>
        <v/>
      </c>
      <c r="P42" s="38" t="str">
        <f aca="false">IF(IFERROR(INDEX(Expenses!B$3:B$1002,SMALL(IF((Expenses!E$3:E$1002="INR")*(Expenses!A$3:A$1002=DATE(2026,2,22)),ROW(Expenses!A$3:A$1002)-2),4)),"")&lt;&gt;"",IFERROR(INDEX(Expenses!B$3:B$1002,SMALL(IF((Expenses!E$3:E$1002="INR")*(Expenses!A$3:A$1002=DATE(2026,2,22)),ROW(Expenses!A$3:A$1002)-2),4)),""),IF(IFERROR(INDEX(Income!B$3:B$502,SMALL(IF((Income!D$3:D$502="INR")*(Income!A$3:A$502=DATE(2026,2,22)),ROW(Income!A$3:A$502)-2),4)),"")&lt;&gt;"",IFERROR(INDEX(Income!B$3:B$502,SMALL(IF((Income!D$3:D$502="INR")*(Income!A$3:A$502=DATE(2026,2,22)),ROW(Income!A$3:A$502)-2),4)),""),""))</f>
        <v/>
      </c>
      <c r="Q42" s="16"/>
      <c r="R42" s="16"/>
    </row>
    <row r="43" customFormat="false" ht="15" hidden="false" customHeight="false" outlineLevel="0" collapsed="false">
      <c r="A43" s="16"/>
      <c r="B43" s="16"/>
      <c r="C43" s="63" t="str">
        <f aca="false">IF(IFERROR(-INDEX(Expenses!D$3:D$1002,SMALL(IF((Expenses!E$3:E$1002="INR")*(Expenses!A$3:A$1002=DATE(2026,2,16)),ROW(Expenses!A$3:A$1002)-2),5)),0)+IFERROR(INDEX(Income!C$3:C$502,SMALL(IF((Income!D$3:D$502="INR")*(Income!A$3:A$502=DATE(2026,2,16)),ROW(Income!A$3:A$502)-2),5)),0)=0,"",IFERROR(-INDEX(Expenses!D$3:D$1002,SMALL(IF((Expenses!E$3:E$1002="INR")*(Expenses!A$3:A$1002=DATE(2026,2,16)),ROW(Expenses!A$3:A$1002)-2),5)),0)+IFERROR(INDEX(Income!C$3:C$502,SMALL(IF((Income!D$3:D$502="INR")*(Income!A$3:A$502=DATE(2026,2,16)),ROW(Income!A$3:A$502)-2),5)),0))</f>
        <v/>
      </c>
      <c r="D43" s="38" t="str">
        <f aca="false">IF(IFERROR(INDEX(Expenses!B$3:B$1002,SMALL(IF((Expenses!E$3:E$1002="INR")*(Expenses!A$3:A$1002=DATE(2026,2,16)),ROW(Expenses!A$3:A$1002)-2),5)),"")&lt;&gt;"",IFERROR(INDEX(Expenses!B$3:B$1002,SMALL(IF((Expenses!E$3:E$1002="INR")*(Expenses!A$3:A$1002=DATE(2026,2,16)),ROW(Expenses!A$3:A$1002)-2),5)),""),IF(IFERROR(INDEX(Income!B$3:B$502,SMALL(IF((Income!D$3:D$502="INR")*(Income!A$3:A$502=DATE(2026,2,16)),ROW(Income!A$3:A$502)-2),5)),"")&lt;&gt;"",IFERROR(INDEX(Income!B$3:B$502,SMALL(IF((Income!D$3:D$502="INR")*(Income!A$3:A$502=DATE(2026,2,16)),ROW(Income!A$3:A$502)-2),5)),""),""))</f>
        <v/>
      </c>
      <c r="E43" s="63" t="str">
        <f aca="false">IF(IFERROR(-INDEX(Expenses!D$3:D$1002,SMALL(IF((Expenses!E$3:E$1002="INR")*(Expenses!A$3:A$1002=DATE(2026,2,17)),ROW(Expenses!A$3:A$1002)-2),5)),0)+IFERROR(INDEX(Income!C$3:C$502,SMALL(IF((Income!D$3:D$502="INR")*(Income!A$3:A$502=DATE(2026,2,17)),ROW(Income!A$3:A$502)-2),5)),0)=0,"",IFERROR(-INDEX(Expenses!D$3:D$1002,SMALL(IF((Expenses!E$3:E$1002="INR")*(Expenses!A$3:A$1002=DATE(2026,2,17)),ROW(Expenses!A$3:A$1002)-2),5)),0)+IFERROR(INDEX(Income!C$3:C$502,SMALL(IF((Income!D$3:D$502="INR")*(Income!A$3:A$502=DATE(2026,2,17)),ROW(Income!A$3:A$502)-2),5)),0))</f>
        <v/>
      </c>
      <c r="F43" s="38" t="str">
        <f aca="false">IF(IFERROR(INDEX(Expenses!B$3:B$1002,SMALL(IF((Expenses!E$3:E$1002="INR")*(Expenses!A$3:A$1002=DATE(2026,2,17)),ROW(Expenses!A$3:A$1002)-2),5)),"")&lt;&gt;"",IFERROR(INDEX(Expenses!B$3:B$1002,SMALL(IF((Expenses!E$3:E$1002="INR")*(Expenses!A$3:A$1002=DATE(2026,2,17)),ROW(Expenses!A$3:A$1002)-2),5)),""),IF(IFERROR(INDEX(Income!B$3:B$502,SMALL(IF((Income!D$3:D$502="INR")*(Income!A$3:A$502=DATE(2026,2,17)),ROW(Income!A$3:A$502)-2),5)),"")&lt;&gt;"",IFERROR(INDEX(Income!B$3:B$502,SMALL(IF((Income!D$3:D$502="INR")*(Income!A$3:A$502=DATE(2026,2,17)),ROW(Income!A$3:A$502)-2),5)),""),""))</f>
        <v/>
      </c>
      <c r="G43" s="63" t="str">
        <f aca="false">IF(IFERROR(-INDEX(Expenses!D$3:D$1002,SMALL(IF((Expenses!E$3:E$1002="INR")*(Expenses!A$3:A$1002=DATE(2026,2,18)),ROW(Expenses!A$3:A$1002)-2),5)),0)+IFERROR(INDEX(Income!C$3:C$502,SMALL(IF((Income!D$3:D$502="INR")*(Income!A$3:A$502=DATE(2026,2,18)),ROW(Income!A$3:A$502)-2),5)),0)=0,"",IFERROR(-INDEX(Expenses!D$3:D$1002,SMALL(IF((Expenses!E$3:E$1002="INR")*(Expenses!A$3:A$1002=DATE(2026,2,18)),ROW(Expenses!A$3:A$1002)-2),5)),0)+IFERROR(INDEX(Income!C$3:C$502,SMALL(IF((Income!D$3:D$502="INR")*(Income!A$3:A$502=DATE(2026,2,18)),ROW(Income!A$3:A$502)-2),5)),0))</f>
        <v/>
      </c>
      <c r="H43" s="38" t="str">
        <f aca="false">IF(IFERROR(INDEX(Expenses!B$3:B$1002,SMALL(IF((Expenses!E$3:E$1002="INR")*(Expenses!A$3:A$1002=DATE(2026,2,18)),ROW(Expenses!A$3:A$1002)-2),5)),"")&lt;&gt;"",IFERROR(INDEX(Expenses!B$3:B$1002,SMALL(IF((Expenses!E$3:E$1002="INR")*(Expenses!A$3:A$1002=DATE(2026,2,18)),ROW(Expenses!A$3:A$1002)-2),5)),""),IF(IFERROR(INDEX(Income!B$3:B$502,SMALL(IF((Income!D$3:D$502="INR")*(Income!A$3:A$502=DATE(2026,2,18)),ROW(Income!A$3:A$502)-2),5)),"")&lt;&gt;"",IFERROR(INDEX(Income!B$3:B$502,SMALL(IF((Income!D$3:D$502="INR")*(Income!A$3:A$502=DATE(2026,2,18)),ROW(Income!A$3:A$502)-2),5)),""),""))</f>
        <v/>
      </c>
      <c r="I43" s="63" t="str">
        <f aca="false">IF(IFERROR(-INDEX(Expenses!D$3:D$1002,SMALL(IF((Expenses!E$3:E$1002="INR")*(Expenses!A$3:A$1002=DATE(2026,2,19)),ROW(Expenses!A$3:A$1002)-2),5)),0)+IFERROR(INDEX(Income!C$3:C$502,SMALL(IF((Income!D$3:D$502="INR")*(Income!A$3:A$502=DATE(2026,2,19)),ROW(Income!A$3:A$502)-2),5)),0)=0,"",IFERROR(-INDEX(Expenses!D$3:D$1002,SMALL(IF((Expenses!E$3:E$1002="INR")*(Expenses!A$3:A$1002=DATE(2026,2,19)),ROW(Expenses!A$3:A$1002)-2),5)),0)+IFERROR(INDEX(Income!C$3:C$502,SMALL(IF((Income!D$3:D$502="INR")*(Income!A$3:A$502=DATE(2026,2,19)),ROW(Income!A$3:A$502)-2),5)),0))</f>
        <v/>
      </c>
      <c r="J43" s="38" t="str">
        <f aca="false">IF(IFERROR(INDEX(Expenses!B$3:B$1002,SMALL(IF((Expenses!E$3:E$1002="INR")*(Expenses!A$3:A$1002=DATE(2026,2,19)),ROW(Expenses!A$3:A$1002)-2),5)),"")&lt;&gt;"",IFERROR(INDEX(Expenses!B$3:B$1002,SMALL(IF((Expenses!E$3:E$1002="INR")*(Expenses!A$3:A$1002=DATE(2026,2,19)),ROW(Expenses!A$3:A$1002)-2),5)),""),IF(IFERROR(INDEX(Income!B$3:B$502,SMALL(IF((Income!D$3:D$502="INR")*(Income!A$3:A$502=DATE(2026,2,19)),ROW(Income!A$3:A$502)-2),5)),"")&lt;&gt;"",IFERROR(INDEX(Income!B$3:B$502,SMALL(IF((Income!D$3:D$502="INR")*(Income!A$3:A$502=DATE(2026,2,19)),ROW(Income!A$3:A$502)-2),5)),""),""))</f>
        <v/>
      </c>
      <c r="K43" s="63" t="str">
        <f aca="false">IF(IFERROR(-INDEX(Expenses!D$3:D$1002,SMALL(IF((Expenses!E$3:E$1002="INR")*(Expenses!A$3:A$1002=DATE(2026,2,20)),ROW(Expenses!A$3:A$1002)-2),5)),0)+IFERROR(INDEX(Income!C$3:C$502,SMALL(IF((Income!D$3:D$502="INR")*(Income!A$3:A$502=DATE(2026,2,20)),ROW(Income!A$3:A$502)-2),5)),0)=0,"",IFERROR(-INDEX(Expenses!D$3:D$1002,SMALL(IF((Expenses!E$3:E$1002="INR")*(Expenses!A$3:A$1002=DATE(2026,2,20)),ROW(Expenses!A$3:A$1002)-2),5)),0)+IFERROR(INDEX(Income!C$3:C$502,SMALL(IF((Income!D$3:D$502="INR")*(Income!A$3:A$502=DATE(2026,2,20)),ROW(Income!A$3:A$502)-2),5)),0))</f>
        <v/>
      </c>
      <c r="L43" s="38" t="str">
        <f aca="false">IF(IFERROR(INDEX(Expenses!B$3:B$1002,SMALL(IF((Expenses!E$3:E$1002="INR")*(Expenses!A$3:A$1002=DATE(2026,2,20)),ROW(Expenses!A$3:A$1002)-2),5)),"")&lt;&gt;"",IFERROR(INDEX(Expenses!B$3:B$1002,SMALL(IF((Expenses!E$3:E$1002="INR")*(Expenses!A$3:A$1002=DATE(2026,2,20)),ROW(Expenses!A$3:A$1002)-2),5)),""),IF(IFERROR(INDEX(Income!B$3:B$502,SMALL(IF((Income!D$3:D$502="INR")*(Income!A$3:A$502=DATE(2026,2,20)),ROW(Income!A$3:A$502)-2),5)),"")&lt;&gt;"",IFERROR(INDEX(Income!B$3:B$502,SMALL(IF((Income!D$3:D$502="INR")*(Income!A$3:A$502=DATE(2026,2,20)),ROW(Income!A$3:A$502)-2),5)),""),""))</f>
        <v/>
      </c>
      <c r="M43" s="63" t="str">
        <f aca="false">IF(IFERROR(-INDEX(Expenses!D$3:D$1002,SMALL(IF((Expenses!E$3:E$1002="INR")*(Expenses!A$3:A$1002=DATE(2026,2,21)),ROW(Expenses!A$3:A$1002)-2),5)),0)+IFERROR(INDEX(Income!C$3:C$502,SMALL(IF((Income!D$3:D$502="INR")*(Income!A$3:A$502=DATE(2026,2,21)),ROW(Income!A$3:A$502)-2),5)),0)=0,"",IFERROR(-INDEX(Expenses!D$3:D$1002,SMALL(IF((Expenses!E$3:E$1002="INR")*(Expenses!A$3:A$1002=DATE(2026,2,21)),ROW(Expenses!A$3:A$1002)-2),5)),0)+IFERROR(INDEX(Income!C$3:C$502,SMALL(IF((Income!D$3:D$502="INR")*(Income!A$3:A$502=DATE(2026,2,21)),ROW(Income!A$3:A$502)-2),5)),0))</f>
        <v/>
      </c>
      <c r="N43" s="38" t="str">
        <f aca="false">IF(IFERROR(INDEX(Expenses!B$3:B$1002,SMALL(IF((Expenses!E$3:E$1002="INR")*(Expenses!A$3:A$1002=DATE(2026,2,21)),ROW(Expenses!A$3:A$1002)-2),5)),"")&lt;&gt;"",IFERROR(INDEX(Expenses!B$3:B$1002,SMALL(IF((Expenses!E$3:E$1002="INR")*(Expenses!A$3:A$1002=DATE(2026,2,21)),ROW(Expenses!A$3:A$1002)-2),5)),""),IF(IFERROR(INDEX(Income!B$3:B$502,SMALL(IF((Income!D$3:D$502="INR")*(Income!A$3:A$502=DATE(2026,2,21)),ROW(Income!A$3:A$502)-2),5)),"")&lt;&gt;"",IFERROR(INDEX(Income!B$3:B$502,SMALL(IF((Income!D$3:D$502="INR")*(Income!A$3:A$502=DATE(2026,2,21)),ROW(Income!A$3:A$502)-2),5)),""),""))</f>
        <v/>
      </c>
      <c r="O43" s="63" t="str">
        <f aca="false">IF(IFERROR(-INDEX(Expenses!D$3:D$1002,SMALL(IF((Expenses!E$3:E$1002="INR")*(Expenses!A$3:A$1002=DATE(2026,2,22)),ROW(Expenses!A$3:A$1002)-2),5)),0)+IFERROR(INDEX(Income!C$3:C$502,SMALL(IF((Income!D$3:D$502="INR")*(Income!A$3:A$502=DATE(2026,2,22)),ROW(Income!A$3:A$502)-2),5)),0)=0,"",IFERROR(-INDEX(Expenses!D$3:D$1002,SMALL(IF((Expenses!E$3:E$1002="INR")*(Expenses!A$3:A$1002=DATE(2026,2,22)),ROW(Expenses!A$3:A$1002)-2),5)),0)+IFERROR(INDEX(Income!C$3:C$502,SMALL(IF((Income!D$3:D$502="INR")*(Income!A$3:A$502=DATE(2026,2,22)),ROW(Income!A$3:A$502)-2),5)),0))</f>
        <v/>
      </c>
      <c r="P43" s="38" t="str">
        <f aca="false">IF(IFERROR(INDEX(Expenses!B$3:B$1002,SMALL(IF((Expenses!E$3:E$1002="INR")*(Expenses!A$3:A$1002=DATE(2026,2,22)),ROW(Expenses!A$3:A$1002)-2),5)),"")&lt;&gt;"",IFERROR(INDEX(Expenses!B$3:B$1002,SMALL(IF((Expenses!E$3:E$1002="INR")*(Expenses!A$3:A$1002=DATE(2026,2,22)),ROW(Expenses!A$3:A$1002)-2),5)),""),IF(IFERROR(INDEX(Income!B$3:B$502,SMALL(IF((Income!D$3:D$502="INR")*(Income!A$3:A$502=DATE(2026,2,22)),ROW(Income!A$3:A$502)-2),5)),"")&lt;&gt;"",IFERROR(INDEX(Income!B$3:B$502,SMALL(IF((Income!D$3:D$502="INR")*(Income!A$3:A$502=DATE(2026,2,22)),ROW(Income!A$3:A$502)-2),5)),""),""))</f>
        <v/>
      </c>
      <c r="Q43" s="16"/>
      <c r="R43" s="16"/>
    </row>
    <row r="44" customFormat="false" ht="15" hidden="false" customHeight="false" outlineLevel="0" collapsed="false">
      <c r="A44" s="61" t="n">
        <v>46076</v>
      </c>
      <c r="B44" s="3" t="n">
        <v>9</v>
      </c>
      <c r="C44" s="63" t="str">
        <f aca="false">IF(IFERROR(-INDEX(Expenses!D$3:D$1002,SMALL(IF((Expenses!E$3:E$1002="INR")*(Expenses!A$3:A$1002=DATE(2026,2,23)),ROW(Expenses!A$3:A$1002)-2),1)),0)+IFERROR(INDEX(Income!C$3:C$502,SMALL(IF((Income!D$3:D$502="INR")*(Income!A$3:A$502=DATE(2026,2,23)),ROW(Income!A$3:A$502)-2),1)),0)=0,"",IFERROR(-INDEX(Expenses!D$3:D$1002,SMALL(IF((Expenses!E$3:E$1002="INR")*(Expenses!A$3:A$1002=DATE(2026,2,23)),ROW(Expenses!A$3:A$1002)-2),1)),0)+IFERROR(INDEX(Income!C$3:C$502,SMALL(IF((Income!D$3:D$502="INR")*(Income!A$3:A$502=DATE(2026,2,23)),ROW(Income!A$3:A$502)-2),1)),0))</f>
        <v/>
      </c>
      <c r="D44" s="38" t="str">
        <f aca="false">IF(IFERROR(INDEX(Expenses!B$3:B$1002,SMALL(IF((Expenses!E$3:E$1002="INR")*(Expenses!A$3:A$1002=DATE(2026,2,23)),ROW(Expenses!A$3:A$1002)-2),1)),"")&lt;&gt;"",IFERROR(INDEX(Expenses!B$3:B$1002,SMALL(IF((Expenses!E$3:E$1002="INR")*(Expenses!A$3:A$1002=DATE(2026,2,23)),ROW(Expenses!A$3:A$1002)-2),1)),""),IF(IFERROR(INDEX(Income!B$3:B$502,SMALL(IF((Income!D$3:D$502="INR")*(Income!A$3:A$502=DATE(2026,2,23)),ROW(Income!A$3:A$502)-2),1)),"")&lt;&gt;"",IFERROR(INDEX(Income!B$3:B$502,SMALL(IF((Income!D$3:D$502="INR")*(Income!A$3:A$502=DATE(2026,2,23)),ROW(Income!A$3:A$502)-2),1)),""),""))</f>
        <v/>
      </c>
      <c r="E44" s="63" t="str">
        <f aca="false">IF(IFERROR(-INDEX(Expenses!D$3:D$1002,SMALL(IF((Expenses!E$3:E$1002="INR")*(Expenses!A$3:A$1002=DATE(2026,2,24)),ROW(Expenses!A$3:A$1002)-2),1)),0)+IFERROR(INDEX(Income!C$3:C$502,SMALL(IF((Income!D$3:D$502="INR")*(Income!A$3:A$502=DATE(2026,2,24)),ROW(Income!A$3:A$502)-2),1)),0)=0,"",IFERROR(-INDEX(Expenses!D$3:D$1002,SMALL(IF((Expenses!E$3:E$1002="INR")*(Expenses!A$3:A$1002=DATE(2026,2,24)),ROW(Expenses!A$3:A$1002)-2),1)),0)+IFERROR(INDEX(Income!C$3:C$502,SMALL(IF((Income!D$3:D$502="INR")*(Income!A$3:A$502=DATE(2026,2,24)),ROW(Income!A$3:A$502)-2),1)),0))</f>
        <v/>
      </c>
      <c r="F44" s="38" t="str">
        <f aca="false">IF(IFERROR(INDEX(Expenses!B$3:B$1002,SMALL(IF((Expenses!E$3:E$1002="INR")*(Expenses!A$3:A$1002=DATE(2026,2,24)),ROW(Expenses!A$3:A$1002)-2),1)),"")&lt;&gt;"",IFERROR(INDEX(Expenses!B$3:B$1002,SMALL(IF((Expenses!E$3:E$1002="INR")*(Expenses!A$3:A$1002=DATE(2026,2,24)),ROW(Expenses!A$3:A$1002)-2),1)),""),IF(IFERROR(INDEX(Income!B$3:B$502,SMALL(IF((Income!D$3:D$502="INR")*(Income!A$3:A$502=DATE(2026,2,24)),ROW(Income!A$3:A$502)-2),1)),"")&lt;&gt;"",IFERROR(INDEX(Income!B$3:B$502,SMALL(IF((Income!D$3:D$502="INR")*(Income!A$3:A$502=DATE(2026,2,24)),ROW(Income!A$3:A$502)-2),1)),""),""))</f>
        <v/>
      </c>
      <c r="G44" s="63" t="str">
        <f aca="false">IF(IFERROR(-INDEX(Expenses!D$3:D$1002,SMALL(IF((Expenses!E$3:E$1002="INR")*(Expenses!A$3:A$1002=DATE(2026,2,25)),ROW(Expenses!A$3:A$1002)-2),1)),0)+IFERROR(INDEX(Income!C$3:C$502,SMALL(IF((Income!D$3:D$502="INR")*(Income!A$3:A$502=DATE(2026,2,25)),ROW(Income!A$3:A$502)-2),1)),0)=0,"",IFERROR(-INDEX(Expenses!D$3:D$1002,SMALL(IF((Expenses!E$3:E$1002="INR")*(Expenses!A$3:A$1002=DATE(2026,2,25)),ROW(Expenses!A$3:A$1002)-2),1)),0)+IFERROR(INDEX(Income!C$3:C$502,SMALL(IF((Income!D$3:D$502="INR")*(Income!A$3:A$502=DATE(2026,2,25)),ROW(Income!A$3:A$502)-2),1)),0))</f>
        <v/>
      </c>
      <c r="H44" s="38" t="str">
        <f aca="false">IF(IFERROR(INDEX(Expenses!B$3:B$1002,SMALL(IF((Expenses!E$3:E$1002="INR")*(Expenses!A$3:A$1002=DATE(2026,2,25)),ROW(Expenses!A$3:A$1002)-2),1)),"")&lt;&gt;"",IFERROR(INDEX(Expenses!B$3:B$1002,SMALL(IF((Expenses!E$3:E$1002="INR")*(Expenses!A$3:A$1002=DATE(2026,2,25)),ROW(Expenses!A$3:A$1002)-2),1)),""),IF(IFERROR(INDEX(Income!B$3:B$502,SMALL(IF((Income!D$3:D$502="INR")*(Income!A$3:A$502=DATE(2026,2,25)),ROW(Income!A$3:A$502)-2),1)),"")&lt;&gt;"",IFERROR(INDEX(Income!B$3:B$502,SMALL(IF((Income!D$3:D$502="INR")*(Income!A$3:A$502=DATE(2026,2,25)),ROW(Income!A$3:A$502)-2),1)),""),""))</f>
        <v/>
      </c>
      <c r="I44" s="63" t="str">
        <f aca="false">IF(IFERROR(-INDEX(Expenses!D$3:D$1002,SMALL(IF((Expenses!E$3:E$1002="INR")*(Expenses!A$3:A$1002=DATE(2026,2,26)),ROW(Expenses!A$3:A$1002)-2),1)),0)+IFERROR(INDEX(Income!C$3:C$502,SMALL(IF((Income!D$3:D$502="INR")*(Income!A$3:A$502=DATE(2026,2,26)),ROW(Income!A$3:A$502)-2),1)),0)=0,"",IFERROR(-INDEX(Expenses!D$3:D$1002,SMALL(IF((Expenses!E$3:E$1002="INR")*(Expenses!A$3:A$1002=DATE(2026,2,26)),ROW(Expenses!A$3:A$1002)-2),1)),0)+IFERROR(INDEX(Income!C$3:C$502,SMALL(IF((Income!D$3:D$502="INR")*(Income!A$3:A$502=DATE(2026,2,26)),ROW(Income!A$3:A$502)-2),1)),0))</f>
        <v/>
      </c>
      <c r="J44" s="38" t="str">
        <f aca="false">IF(IFERROR(INDEX(Expenses!B$3:B$1002,SMALL(IF((Expenses!E$3:E$1002="INR")*(Expenses!A$3:A$1002=DATE(2026,2,26)),ROW(Expenses!A$3:A$1002)-2),1)),"")&lt;&gt;"",IFERROR(INDEX(Expenses!B$3:B$1002,SMALL(IF((Expenses!E$3:E$1002="INR")*(Expenses!A$3:A$1002=DATE(2026,2,26)),ROW(Expenses!A$3:A$1002)-2),1)),""),IF(IFERROR(INDEX(Income!B$3:B$502,SMALL(IF((Income!D$3:D$502="INR")*(Income!A$3:A$502=DATE(2026,2,26)),ROW(Income!A$3:A$502)-2),1)),"")&lt;&gt;"",IFERROR(INDEX(Income!B$3:B$502,SMALL(IF((Income!D$3:D$502="INR")*(Income!A$3:A$502=DATE(2026,2,26)),ROW(Income!A$3:A$502)-2),1)),""),""))</f>
        <v/>
      </c>
      <c r="K44" s="63" t="str">
        <f aca="false">IF(IFERROR(-INDEX(Expenses!D$3:D$1002,SMALL(IF((Expenses!E$3:E$1002="INR")*(Expenses!A$3:A$1002=DATE(2026,2,27)),ROW(Expenses!A$3:A$1002)-2),1)),0)+IFERROR(INDEX(Income!C$3:C$502,SMALL(IF((Income!D$3:D$502="INR")*(Income!A$3:A$502=DATE(2026,2,27)),ROW(Income!A$3:A$502)-2),1)),0)=0,"",IFERROR(-INDEX(Expenses!D$3:D$1002,SMALL(IF((Expenses!E$3:E$1002="INR")*(Expenses!A$3:A$1002=DATE(2026,2,27)),ROW(Expenses!A$3:A$1002)-2),1)),0)+IFERROR(INDEX(Income!C$3:C$502,SMALL(IF((Income!D$3:D$502="INR")*(Income!A$3:A$502=DATE(2026,2,27)),ROW(Income!A$3:A$502)-2),1)),0))</f>
        <v/>
      </c>
      <c r="L44" s="38" t="str">
        <f aca="false">IF(IFERROR(INDEX(Expenses!B$3:B$1002,SMALL(IF((Expenses!E$3:E$1002="INR")*(Expenses!A$3:A$1002=DATE(2026,2,27)),ROW(Expenses!A$3:A$1002)-2),1)),"")&lt;&gt;"",IFERROR(INDEX(Expenses!B$3:B$1002,SMALL(IF((Expenses!E$3:E$1002="INR")*(Expenses!A$3:A$1002=DATE(2026,2,27)),ROW(Expenses!A$3:A$1002)-2),1)),""),IF(IFERROR(INDEX(Income!B$3:B$502,SMALL(IF((Income!D$3:D$502="INR")*(Income!A$3:A$502=DATE(2026,2,27)),ROW(Income!A$3:A$502)-2),1)),"")&lt;&gt;"",IFERROR(INDEX(Income!B$3:B$502,SMALL(IF((Income!D$3:D$502="INR")*(Income!A$3:A$502=DATE(2026,2,27)),ROW(Income!A$3:A$502)-2),1)),""),""))</f>
        <v/>
      </c>
      <c r="M44" s="63" t="str">
        <f aca="false">IF(IFERROR(-INDEX(Expenses!D$3:D$1002,SMALL(IF((Expenses!E$3:E$1002="INR")*(Expenses!A$3:A$1002=DATE(2026,2,28)),ROW(Expenses!A$3:A$1002)-2),1)),0)+IFERROR(INDEX(Income!C$3:C$502,SMALL(IF((Income!D$3:D$502="INR")*(Income!A$3:A$502=DATE(2026,2,28)),ROW(Income!A$3:A$502)-2),1)),0)=0,"",IFERROR(-INDEX(Expenses!D$3:D$1002,SMALL(IF((Expenses!E$3:E$1002="INR")*(Expenses!A$3:A$1002=DATE(2026,2,28)),ROW(Expenses!A$3:A$1002)-2),1)),0)+IFERROR(INDEX(Income!C$3:C$502,SMALL(IF((Income!D$3:D$502="INR")*(Income!A$3:A$502=DATE(2026,2,28)),ROW(Income!A$3:A$502)-2),1)),0))</f>
        <v/>
      </c>
      <c r="N44" s="38" t="str">
        <f aca="false">IF(IFERROR(INDEX(Expenses!B$3:B$1002,SMALL(IF((Expenses!E$3:E$1002="INR")*(Expenses!A$3:A$1002=DATE(2026,2,28)),ROW(Expenses!A$3:A$1002)-2),1)),"")&lt;&gt;"",IFERROR(INDEX(Expenses!B$3:B$1002,SMALL(IF((Expenses!E$3:E$1002="INR")*(Expenses!A$3:A$1002=DATE(2026,2,28)),ROW(Expenses!A$3:A$1002)-2),1)),""),IF(IFERROR(INDEX(Income!B$3:B$502,SMALL(IF((Income!D$3:D$502="INR")*(Income!A$3:A$502=DATE(2026,2,28)),ROW(Income!A$3:A$502)-2),1)),"")&lt;&gt;"",IFERROR(INDEX(Income!B$3:B$502,SMALL(IF((Income!D$3:D$502="INR")*(Income!A$3:A$502=DATE(2026,2,28)),ROW(Income!A$3:A$502)-2),1)),""),""))</f>
        <v/>
      </c>
      <c r="O44" s="63" t="str">
        <f aca="false">IF(IFERROR(-INDEX(Expenses!D$3:D$1002,SMALL(IF((Expenses!E$3:E$1002="INR")*(Expenses!A$3:A$1002=DATE(2026,3,1)),ROW(Expenses!A$3:A$1002)-2),1)),0)+IFERROR(INDEX(Income!C$3:C$502,SMALL(IF((Income!D$3:D$502="INR")*(Income!A$3:A$502=DATE(2026,3,1)),ROW(Income!A$3:A$502)-2),1)),0)=0,"",IFERROR(-INDEX(Expenses!D$3:D$1002,SMALL(IF((Expenses!E$3:E$1002="INR")*(Expenses!A$3:A$1002=DATE(2026,3,1)),ROW(Expenses!A$3:A$1002)-2),1)),0)+IFERROR(INDEX(Income!C$3:C$502,SMALL(IF((Income!D$3:D$502="INR")*(Income!A$3:A$502=DATE(2026,3,1)),ROW(Income!A$3:A$502)-2),1)),0))</f>
        <v/>
      </c>
      <c r="P44" s="38" t="str">
        <f aca="false">IF(IFERROR(INDEX(Expenses!B$3:B$1002,SMALL(IF((Expenses!E$3:E$1002="INR")*(Expenses!A$3:A$1002=DATE(2026,3,1)),ROW(Expenses!A$3:A$1002)-2),1)),"")&lt;&gt;"",IFERROR(INDEX(Expenses!B$3:B$1002,SMALL(IF((Expenses!E$3:E$1002="INR")*(Expenses!A$3:A$1002=DATE(2026,3,1)),ROW(Expenses!A$3:A$1002)-2),1)),""),IF(IFERROR(INDEX(Income!B$3:B$502,SMALL(IF((Income!D$3:D$502="INR")*(Income!A$3:A$502=DATE(2026,3,1)),ROW(Income!A$3:A$502)-2),1)),"")&lt;&gt;"",IFERROR(INDEX(Income!B$3:B$502,SMALL(IF((Income!D$3:D$502="INR")*(Income!A$3:A$502=DATE(2026,3,1)),ROW(Income!A$3:A$502)-2),1)),""),""))</f>
        <v/>
      </c>
      <c r="Q44" s="3" t="n">
        <v>9</v>
      </c>
      <c r="R44" s="53" t="n">
        <f aca="false">SUM(C44:C48)+SUM(E44:E48)+SUM(G44:G48)+SUM(I44:I48)+SUM(K44:K48)+SUM(M44:M48)+SUM(O44:O48)</f>
        <v>0</v>
      </c>
    </row>
    <row r="45" customFormat="false" ht="15" hidden="false" customHeight="false" outlineLevel="0" collapsed="false">
      <c r="A45" s="16"/>
      <c r="B45" s="16"/>
      <c r="C45" s="63" t="str">
        <f aca="false">IF(IFERROR(-INDEX(Expenses!D$3:D$1002,SMALL(IF((Expenses!E$3:E$1002="INR")*(Expenses!A$3:A$1002=DATE(2026,2,23)),ROW(Expenses!A$3:A$1002)-2),2)),0)+IFERROR(INDEX(Income!C$3:C$502,SMALL(IF((Income!D$3:D$502="INR")*(Income!A$3:A$502=DATE(2026,2,23)),ROW(Income!A$3:A$502)-2),2)),0)=0,"",IFERROR(-INDEX(Expenses!D$3:D$1002,SMALL(IF((Expenses!E$3:E$1002="INR")*(Expenses!A$3:A$1002=DATE(2026,2,23)),ROW(Expenses!A$3:A$1002)-2),2)),0)+IFERROR(INDEX(Income!C$3:C$502,SMALL(IF((Income!D$3:D$502="INR")*(Income!A$3:A$502=DATE(2026,2,23)),ROW(Income!A$3:A$502)-2),2)),0))</f>
        <v/>
      </c>
      <c r="D45" s="38" t="str">
        <f aca="false">IF(IFERROR(INDEX(Expenses!B$3:B$1002,SMALL(IF((Expenses!E$3:E$1002="INR")*(Expenses!A$3:A$1002=DATE(2026,2,23)),ROW(Expenses!A$3:A$1002)-2),2)),"")&lt;&gt;"",IFERROR(INDEX(Expenses!B$3:B$1002,SMALL(IF((Expenses!E$3:E$1002="INR")*(Expenses!A$3:A$1002=DATE(2026,2,23)),ROW(Expenses!A$3:A$1002)-2),2)),""),IF(IFERROR(INDEX(Income!B$3:B$502,SMALL(IF((Income!D$3:D$502="INR")*(Income!A$3:A$502=DATE(2026,2,23)),ROW(Income!A$3:A$502)-2),2)),"")&lt;&gt;"",IFERROR(INDEX(Income!B$3:B$502,SMALL(IF((Income!D$3:D$502="INR")*(Income!A$3:A$502=DATE(2026,2,23)),ROW(Income!A$3:A$502)-2),2)),""),""))</f>
        <v/>
      </c>
      <c r="E45" s="63" t="str">
        <f aca="false">IF(IFERROR(-INDEX(Expenses!D$3:D$1002,SMALL(IF((Expenses!E$3:E$1002="INR")*(Expenses!A$3:A$1002=DATE(2026,2,24)),ROW(Expenses!A$3:A$1002)-2),2)),0)+IFERROR(INDEX(Income!C$3:C$502,SMALL(IF((Income!D$3:D$502="INR")*(Income!A$3:A$502=DATE(2026,2,24)),ROW(Income!A$3:A$502)-2),2)),0)=0,"",IFERROR(-INDEX(Expenses!D$3:D$1002,SMALL(IF((Expenses!E$3:E$1002="INR")*(Expenses!A$3:A$1002=DATE(2026,2,24)),ROW(Expenses!A$3:A$1002)-2),2)),0)+IFERROR(INDEX(Income!C$3:C$502,SMALL(IF((Income!D$3:D$502="INR")*(Income!A$3:A$502=DATE(2026,2,24)),ROW(Income!A$3:A$502)-2),2)),0))</f>
        <v/>
      </c>
      <c r="F45" s="38" t="str">
        <f aca="false">IF(IFERROR(INDEX(Expenses!B$3:B$1002,SMALL(IF((Expenses!E$3:E$1002="INR")*(Expenses!A$3:A$1002=DATE(2026,2,24)),ROW(Expenses!A$3:A$1002)-2),2)),"")&lt;&gt;"",IFERROR(INDEX(Expenses!B$3:B$1002,SMALL(IF((Expenses!E$3:E$1002="INR")*(Expenses!A$3:A$1002=DATE(2026,2,24)),ROW(Expenses!A$3:A$1002)-2),2)),""),IF(IFERROR(INDEX(Income!B$3:B$502,SMALL(IF((Income!D$3:D$502="INR")*(Income!A$3:A$502=DATE(2026,2,24)),ROW(Income!A$3:A$502)-2),2)),"")&lt;&gt;"",IFERROR(INDEX(Income!B$3:B$502,SMALL(IF((Income!D$3:D$502="INR")*(Income!A$3:A$502=DATE(2026,2,24)),ROW(Income!A$3:A$502)-2),2)),""),""))</f>
        <v/>
      </c>
      <c r="G45" s="63" t="str">
        <f aca="false">IF(IFERROR(-INDEX(Expenses!D$3:D$1002,SMALL(IF((Expenses!E$3:E$1002="INR")*(Expenses!A$3:A$1002=DATE(2026,2,25)),ROW(Expenses!A$3:A$1002)-2),2)),0)+IFERROR(INDEX(Income!C$3:C$502,SMALL(IF((Income!D$3:D$502="INR")*(Income!A$3:A$502=DATE(2026,2,25)),ROW(Income!A$3:A$502)-2),2)),0)=0,"",IFERROR(-INDEX(Expenses!D$3:D$1002,SMALL(IF((Expenses!E$3:E$1002="INR")*(Expenses!A$3:A$1002=DATE(2026,2,25)),ROW(Expenses!A$3:A$1002)-2),2)),0)+IFERROR(INDEX(Income!C$3:C$502,SMALL(IF((Income!D$3:D$502="INR")*(Income!A$3:A$502=DATE(2026,2,25)),ROW(Income!A$3:A$502)-2),2)),0))</f>
        <v/>
      </c>
      <c r="H45" s="38" t="str">
        <f aca="false">IF(IFERROR(INDEX(Expenses!B$3:B$1002,SMALL(IF((Expenses!E$3:E$1002="INR")*(Expenses!A$3:A$1002=DATE(2026,2,25)),ROW(Expenses!A$3:A$1002)-2),2)),"")&lt;&gt;"",IFERROR(INDEX(Expenses!B$3:B$1002,SMALL(IF((Expenses!E$3:E$1002="INR")*(Expenses!A$3:A$1002=DATE(2026,2,25)),ROW(Expenses!A$3:A$1002)-2),2)),""),IF(IFERROR(INDEX(Income!B$3:B$502,SMALL(IF((Income!D$3:D$502="INR")*(Income!A$3:A$502=DATE(2026,2,25)),ROW(Income!A$3:A$502)-2),2)),"")&lt;&gt;"",IFERROR(INDEX(Income!B$3:B$502,SMALL(IF((Income!D$3:D$502="INR")*(Income!A$3:A$502=DATE(2026,2,25)),ROW(Income!A$3:A$502)-2),2)),""),""))</f>
        <v/>
      </c>
      <c r="I45" s="63" t="str">
        <f aca="false">IF(IFERROR(-INDEX(Expenses!D$3:D$1002,SMALL(IF((Expenses!E$3:E$1002="INR")*(Expenses!A$3:A$1002=DATE(2026,2,26)),ROW(Expenses!A$3:A$1002)-2),2)),0)+IFERROR(INDEX(Income!C$3:C$502,SMALL(IF((Income!D$3:D$502="INR")*(Income!A$3:A$502=DATE(2026,2,26)),ROW(Income!A$3:A$502)-2),2)),0)=0,"",IFERROR(-INDEX(Expenses!D$3:D$1002,SMALL(IF((Expenses!E$3:E$1002="INR")*(Expenses!A$3:A$1002=DATE(2026,2,26)),ROW(Expenses!A$3:A$1002)-2),2)),0)+IFERROR(INDEX(Income!C$3:C$502,SMALL(IF((Income!D$3:D$502="INR")*(Income!A$3:A$502=DATE(2026,2,26)),ROW(Income!A$3:A$502)-2),2)),0))</f>
        <v/>
      </c>
      <c r="J45" s="38" t="str">
        <f aca="false">IF(IFERROR(INDEX(Expenses!B$3:B$1002,SMALL(IF((Expenses!E$3:E$1002="INR")*(Expenses!A$3:A$1002=DATE(2026,2,26)),ROW(Expenses!A$3:A$1002)-2),2)),"")&lt;&gt;"",IFERROR(INDEX(Expenses!B$3:B$1002,SMALL(IF((Expenses!E$3:E$1002="INR")*(Expenses!A$3:A$1002=DATE(2026,2,26)),ROW(Expenses!A$3:A$1002)-2),2)),""),IF(IFERROR(INDEX(Income!B$3:B$502,SMALL(IF((Income!D$3:D$502="INR")*(Income!A$3:A$502=DATE(2026,2,26)),ROW(Income!A$3:A$502)-2),2)),"")&lt;&gt;"",IFERROR(INDEX(Income!B$3:B$502,SMALL(IF((Income!D$3:D$502="INR")*(Income!A$3:A$502=DATE(2026,2,26)),ROW(Income!A$3:A$502)-2),2)),""),""))</f>
        <v/>
      </c>
      <c r="K45" s="63" t="str">
        <f aca="false">IF(IFERROR(-INDEX(Expenses!D$3:D$1002,SMALL(IF((Expenses!E$3:E$1002="INR")*(Expenses!A$3:A$1002=DATE(2026,2,27)),ROW(Expenses!A$3:A$1002)-2),2)),0)+IFERROR(INDEX(Income!C$3:C$502,SMALL(IF((Income!D$3:D$502="INR")*(Income!A$3:A$502=DATE(2026,2,27)),ROW(Income!A$3:A$502)-2),2)),0)=0,"",IFERROR(-INDEX(Expenses!D$3:D$1002,SMALL(IF((Expenses!E$3:E$1002="INR")*(Expenses!A$3:A$1002=DATE(2026,2,27)),ROW(Expenses!A$3:A$1002)-2),2)),0)+IFERROR(INDEX(Income!C$3:C$502,SMALL(IF((Income!D$3:D$502="INR")*(Income!A$3:A$502=DATE(2026,2,27)),ROW(Income!A$3:A$502)-2),2)),0))</f>
        <v/>
      </c>
      <c r="L45" s="38" t="str">
        <f aca="false">IF(IFERROR(INDEX(Expenses!B$3:B$1002,SMALL(IF((Expenses!E$3:E$1002="INR")*(Expenses!A$3:A$1002=DATE(2026,2,27)),ROW(Expenses!A$3:A$1002)-2),2)),"")&lt;&gt;"",IFERROR(INDEX(Expenses!B$3:B$1002,SMALL(IF((Expenses!E$3:E$1002="INR")*(Expenses!A$3:A$1002=DATE(2026,2,27)),ROW(Expenses!A$3:A$1002)-2),2)),""),IF(IFERROR(INDEX(Income!B$3:B$502,SMALL(IF((Income!D$3:D$502="INR")*(Income!A$3:A$502=DATE(2026,2,27)),ROW(Income!A$3:A$502)-2),2)),"")&lt;&gt;"",IFERROR(INDEX(Income!B$3:B$502,SMALL(IF((Income!D$3:D$502="INR")*(Income!A$3:A$502=DATE(2026,2,27)),ROW(Income!A$3:A$502)-2),2)),""),""))</f>
        <v/>
      </c>
      <c r="M45" s="63" t="str">
        <f aca="false">IF(IFERROR(-INDEX(Expenses!D$3:D$1002,SMALL(IF((Expenses!E$3:E$1002="INR")*(Expenses!A$3:A$1002=DATE(2026,2,28)),ROW(Expenses!A$3:A$1002)-2),2)),0)+IFERROR(INDEX(Income!C$3:C$502,SMALL(IF((Income!D$3:D$502="INR")*(Income!A$3:A$502=DATE(2026,2,28)),ROW(Income!A$3:A$502)-2),2)),0)=0,"",IFERROR(-INDEX(Expenses!D$3:D$1002,SMALL(IF((Expenses!E$3:E$1002="INR")*(Expenses!A$3:A$1002=DATE(2026,2,28)),ROW(Expenses!A$3:A$1002)-2),2)),0)+IFERROR(INDEX(Income!C$3:C$502,SMALL(IF((Income!D$3:D$502="INR")*(Income!A$3:A$502=DATE(2026,2,28)),ROW(Income!A$3:A$502)-2),2)),0))</f>
        <v/>
      </c>
      <c r="N45" s="38" t="str">
        <f aca="false">IF(IFERROR(INDEX(Expenses!B$3:B$1002,SMALL(IF((Expenses!E$3:E$1002="INR")*(Expenses!A$3:A$1002=DATE(2026,2,28)),ROW(Expenses!A$3:A$1002)-2),2)),"")&lt;&gt;"",IFERROR(INDEX(Expenses!B$3:B$1002,SMALL(IF((Expenses!E$3:E$1002="INR")*(Expenses!A$3:A$1002=DATE(2026,2,28)),ROW(Expenses!A$3:A$1002)-2),2)),""),IF(IFERROR(INDEX(Income!B$3:B$502,SMALL(IF((Income!D$3:D$502="INR")*(Income!A$3:A$502=DATE(2026,2,28)),ROW(Income!A$3:A$502)-2),2)),"")&lt;&gt;"",IFERROR(INDEX(Income!B$3:B$502,SMALL(IF((Income!D$3:D$502="INR")*(Income!A$3:A$502=DATE(2026,2,28)),ROW(Income!A$3:A$502)-2),2)),""),""))</f>
        <v/>
      </c>
      <c r="O45" s="63" t="str">
        <f aca="false">IF(IFERROR(-INDEX(Expenses!D$3:D$1002,SMALL(IF((Expenses!E$3:E$1002="INR")*(Expenses!A$3:A$1002=DATE(2026,3,1)),ROW(Expenses!A$3:A$1002)-2),2)),0)+IFERROR(INDEX(Income!C$3:C$502,SMALL(IF((Income!D$3:D$502="INR")*(Income!A$3:A$502=DATE(2026,3,1)),ROW(Income!A$3:A$502)-2),2)),0)=0,"",IFERROR(-INDEX(Expenses!D$3:D$1002,SMALL(IF((Expenses!E$3:E$1002="INR")*(Expenses!A$3:A$1002=DATE(2026,3,1)),ROW(Expenses!A$3:A$1002)-2),2)),0)+IFERROR(INDEX(Income!C$3:C$502,SMALL(IF((Income!D$3:D$502="INR")*(Income!A$3:A$502=DATE(2026,3,1)),ROW(Income!A$3:A$502)-2),2)),0))</f>
        <v/>
      </c>
      <c r="P45" s="38" t="str">
        <f aca="false">IF(IFERROR(INDEX(Expenses!B$3:B$1002,SMALL(IF((Expenses!E$3:E$1002="INR")*(Expenses!A$3:A$1002=DATE(2026,3,1)),ROW(Expenses!A$3:A$1002)-2),2)),"")&lt;&gt;"",IFERROR(INDEX(Expenses!B$3:B$1002,SMALL(IF((Expenses!E$3:E$1002="INR")*(Expenses!A$3:A$1002=DATE(2026,3,1)),ROW(Expenses!A$3:A$1002)-2),2)),""),IF(IFERROR(INDEX(Income!B$3:B$502,SMALL(IF((Income!D$3:D$502="INR")*(Income!A$3:A$502=DATE(2026,3,1)),ROW(Income!A$3:A$502)-2),2)),"")&lt;&gt;"",IFERROR(INDEX(Income!B$3:B$502,SMALL(IF((Income!D$3:D$502="INR")*(Income!A$3:A$502=DATE(2026,3,1)),ROW(Income!A$3:A$502)-2),2)),""),""))</f>
        <v/>
      </c>
      <c r="Q45" s="16"/>
      <c r="R45" s="16"/>
    </row>
    <row r="46" customFormat="false" ht="15" hidden="false" customHeight="false" outlineLevel="0" collapsed="false">
      <c r="A46" s="16"/>
      <c r="B46" s="16"/>
      <c r="C46" s="63" t="str">
        <f aca="false">IF(IFERROR(-INDEX(Expenses!D$3:D$1002,SMALL(IF((Expenses!E$3:E$1002="INR")*(Expenses!A$3:A$1002=DATE(2026,2,23)),ROW(Expenses!A$3:A$1002)-2),3)),0)+IFERROR(INDEX(Income!C$3:C$502,SMALL(IF((Income!D$3:D$502="INR")*(Income!A$3:A$502=DATE(2026,2,23)),ROW(Income!A$3:A$502)-2),3)),0)=0,"",IFERROR(-INDEX(Expenses!D$3:D$1002,SMALL(IF((Expenses!E$3:E$1002="INR")*(Expenses!A$3:A$1002=DATE(2026,2,23)),ROW(Expenses!A$3:A$1002)-2),3)),0)+IFERROR(INDEX(Income!C$3:C$502,SMALL(IF((Income!D$3:D$502="INR")*(Income!A$3:A$502=DATE(2026,2,23)),ROW(Income!A$3:A$502)-2),3)),0))</f>
        <v/>
      </c>
      <c r="D46" s="38" t="str">
        <f aca="false">IF(IFERROR(INDEX(Expenses!B$3:B$1002,SMALL(IF((Expenses!E$3:E$1002="INR")*(Expenses!A$3:A$1002=DATE(2026,2,23)),ROW(Expenses!A$3:A$1002)-2),3)),"")&lt;&gt;"",IFERROR(INDEX(Expenses!B$3:B$1002,SMALL(IF((Expenses!E$3:E$1002="INR")*(Expenses!A$3:A$1002=DATE(2026,2,23)),ROW(Expenses!A$3:A$1002)-2),3)),""),IF(IFERROR(INDEX(Income!B$3:B$502,SMALL(IF((Income!D$3:D$502="INR")*(Income!A$3:A$502=DATE(2026,2,23)),ROW(Income!A$3:A$502)-2),3)),"")&lt;&gt;"",IFERROR(INDEX(Income!B$3:B$502,SMALL(IF((Income!D$3:D$502="INR")*(Income!A$3:A$502=DATE(2026,2,23)),ROW(Income!A$3:A$502)-2),3)),""),""))</f>
        <v/>
      </c>
      <c r="E46" s="63" t="str">
        <f aca="false">IF(IFERROR(-INDEX(Expenses!D$3:D$1002,SMALL(IF((Expenses!E$3:E$1002="INR")*(Expenses!A$3:A$1002=DATE(2026,2,24)),ROW(Expenses!A$3:A$1002)-2),3)),0)+IFERROR(INDEX(Income!C$3:C$502,SMALL(IF((Income!D$3:D$502="INR")*(Income!A$3:A$502=DATE(2026,2,24)),ROW(Income!A$3:A$502)-2),3)),0)=0,"",IFERROR(-INDEX(Expenses!D$3:D$1002,SMALL(IF((Expenses!E$3:E$1002="INR")*(Expenses!A$3:A$1002=DATE(2026,2,24)),ROW(Expenses!A$3:A$1002)-2),3)),0)+IFERROR(INDEX(Income!C$3:C$502,SMALL(IF((Income!D$3:D$502="INR")*(Income!A$3:A$502=DATE(2026,2,24)),ROW(Income!A$3:A$502)-2),3)),0))</f>
        <v/>
      </c>
      <c r="F46" s="38" t="str">
        <f aca="false">IF(IFERROR(INDEX(Expenses!B$3:B$1002,SMALL(IF((Expenses!E$3:E$1002="INR")*(Expenses!A$3:A$1002=DATE(2026,2,24)),ROW(Expenses!A$3:A$1002)-2),3)),"")&lt;&gt;"",IFERROR(INDEX(Expenses!B$3:B$1002,SMALL(IF((Expenses!E$3:E$1002="INR")*(Expenses!A$3:A$1002=DATE(2026,2,24)),ROW(Expenses!A$3:A$1002)-2),3)),""),IF(IFERROR(INDEX(Income!B$3:B$502,SMALL(IF((Income!D$3:D$502="INR")*(Income!A$3:A$502=DATE(2026,2,24)),ROW(Income!A$3:A$502)-2),3)),"")&lt;&gt;"",IFERROR(INDEX(Income!B$3:B$502,SMALL(IF((Income!D$3:D$502="INR")*(Income!A$3:A$502=DATE(2026,2,24)),ROW(Income!A$3:A$502)-2),3)),""),""))</f>
        <v/>
      </c>
      <c r="G46" s="63" t="str">
        <f aca="false">IF(IFERROR(-INDEX(Expenses!D$3:D$1002,SMALL(IF((Expenses!E$3:E$1002="INR")*(Expenses!A$3:A$1002=DATE(2026,2,25)),ROW(Expenses!A$3:A$1002)-2),3)),0)+IFERROR(INDEX(Income!C$3:C$502,SMALL(IF((Income!D$3:D$502="INR")*(Income!A$3:A$502=DATE(2026,2,25)),ROW(Income!A$3:A$502)-2),3)),0)=0,"",IFERROR(-INDEX(Expenses!D$3:D$1002,SMALL(IF((Expenses!E$3:E$1002="INR")*(Expenses!A$3:A$1002=DATE(2026,2,25)),ROW(Expenses!A$3:A$1002)-2),3)),0)+IFERROR(INDEX(Income!C$3:C$502,SMALL(IF((Income!D$3:D$502="INR")*(Income!A$3:A$502=DATE(2026,2,25)),ROW(Income!A$3:A$502)-2),3)),0))</f>
        <v/>
      </c>
      <c r="H46" s="38" t="str">
        <f aca="false">IF(IFERROR(INDEX(Expenses!B$3:B$1002,SMALL(IF((Expenses!E$3:E$1002="INR")*(Expenses!A$3:A$1002=DATE(2026,2,25)),ROW(Expenses!A$3:A$1002)-2),3)),"")&lt;&gt;"",IFERROR(INDEX(Expenses!B$3:B$1002,SMALL(IF((Expenses!E$3:E$1002="INR")*(Expenses!A$3:A$1002=DATE(2026,2,25)),ROW(Expenses!A$3:A$1002)-2),3)),""),IF(IFERROR(INDEX(Income!B$3:B$502,SMALL(IF((Income!D$3:D$502="INR")*(Income!A$3:A$502=DATE(2026,2,25)),ROW(Income!A$3:A$502)-2),3)),"")&lt;&gt;"",IFERROR(INDEX(Income!B$3:B$502,SMALL(IF((Income!D$3:D$502="INR")*(Income!A$3:A$502=DATE(2026,2,25)),ROW(Income!A$3:A$502)-2),3)),""),""))</f>
        <v/>
      </c>
      <c r="I46" s="63" t="str">
        <f aca="false">IF(IFERROR(-INDEX(Expenses!D$3:D$1002,SMALL(IF((Expenses!E$3:E$1002="INR")*(Expenses!A$3:A$1002=DATE(2026,2,26)),ROW(Expenses!A$3:A$1002)-2),3)),0)+IFERROR(INDEX(Income!C$3:C$502,SMALL(IF((Income!D$3:D$502="INR")*(Income!A$3:A$502=DATE(2026,2,26)),ROW(Income!A$3:A$502)-2),3)),0)=0,"",IFERROR(-INDEX(Expenses!D$3:D$1002,SMALL(IF((Expenses!E$3:E$1002="INR")*(Expenses!A$3:A$1002=DATE(2026,2,26)),ROW(Expenses!A$3:A$1002)-2),3)),0)+IFERROR(INDEX(Income!C$3:C$502,SMALL(IF((Income!D$3:D$502="INR")*(Income!A$3:A$502=DATE(2026,2,26)),ROW(Income!A$3:A$502)-2),3)),0))</f>
        <v/>
      </c>
      <c r="J46" s="38" t="str">
        <f aca="false">IF(IFERROR(INDEX(Expenses!B$3:B$1002,SMALL(IF((Expenses!E$3:E$1002="INR")*(Expenses!A$3:A$1002=DATE(2026,2,26)),ROW(Expenses!A$3:A$1002)-2),3)),"")&lt;&gt;"",IFERROR(INDEX(Expenses!B$3:B$1002,SMALL(IF((Expenses!E$3:E$1002="INR")*(Expenses!A$3:A$1002=DATE(2026,2,26)),ROW(Expenses!A$3:A$1002)-2),3)),""),IF(IFERROR(INDEX(Income!B$3:B$502,SMALL(IF((Income!D$3:D$502="INR")*(Income!A$3:A$502=DATE(2026,2,26)),ROW(Income!A$3:A$502)-2),3)),"")&lt;&gt;"",IFERROR(INDEX(Income!B$3:B$502,SMALL(IF((Income!D$3:D$502="INR")*(Income!A$3:A$502=DATE(2026,2,26)),ROW(Income!A$3:A$502)-2),3)),""),""))</f>
        <v/>
      </c>
      <c r="K46" s="63" t="str">
        <f aca="false">IF(IFERROR(-INDEX(Expenses!D$3:D$1002,SMALL(IF((Expenses!E$3:E$1002="INR")*(Expenses!A$3:A$1002=DATE(2026,2,27)),ROW(Expenses!A$3:A$1002)-2),3)),0)+IFERROR(INDEX(Income!C$3:C$502,SMALL(IF((Income!D$3:D$502="INR")*(Income!A$3:A$502=DATE(2026,2,27)),ROW(Income!A$3:A$502)-2),3)),0)=0,"",IFERROR(-INDEX(Expenses!D$3:D$1002,SMALL(IF((Expenses!E$3:E$1002="INR")*(Expenses!A$3:A$1002=DATE(2026,2,27)),ROW(Expenses!A$3:A$1002)-2),3)),0)+IFERROR(INDEX(Income!C$3:C$502,SMALL(IF((Income!D$3:D$502="INR")*(Income!A$3:A$502=DATE(2026,2,27)),ROW(Income!A$3:A$502)-2),3)),0))</f>
        <v/>
      </c>
      <c r="L46" s="38" t="str">
        <f aca="false">IF(IFERROR(INDEX(Expenses!B$3:B$1002,SMALL(IF((Expenses!E$3:E$1002="INR")*(Expenses!A$3:A$1002=DATE(2026,2,27)),ROW(Expenses!A$3:A$1002)-2),3)),"")&lt;&gt;"",IFERROR(INDEX(Expenses!B$3:B$1002,SMALL(IF((Expenses!E$3:E$1002="INR")*(Expenses!A$3:A$1002=DATE(2026,2,27)),ROW(Expenses!A$3:A$1002)-2),3)),""),IF(IFERROR(INDEX(Income!B$3:B$502,SMALL(IF((Income!D$3:D$502="INR")*(Income!A$3:A$502=DATE(2026,2,27)),ROW(Income!A$3:A$502)-2),3)),"")&lt;&gt;"",IFERROR(INDEX(Income!B$3:B$502,SMALL(IF((Income!D$3:D$502="INR")*(Income!A$3:A$502=DATE(2026,2,27)),ROW(Income!A$3:A$502)-2),3)),""),""))</f>
        <v/>
      </c>
      <c r="M46" s="63" t="str">
        <f aca="false">IF(IFERROR(-INDEX(Expenses!D$3:D$1002,SMALL(IF((Expenses!E$3:E$1002="INR")*(Expenses!A$3:A$1002=DATE(2026,2,28)),ROW(Expenses!A$3:A$1002)-2),3)),0)+IFERROR(INDEX(Income!C$3:C$502,SMALL(IF((Income!D$3:D$502="INR")*(Income!A$3:A$502=DATE(2026,2,28)),ROW(Income!A$3:A$502)-2),3)),0)=0,"",IFERROR(-INDEX(Expenses!D$3:D$1002,SMALL(IF((Expenses!E$3:E$1002="INR")*(Expenses!A$3:A$1002=DATE(2026,2,28)),ROW(Expenses!A$3:A$1002)-2),3)),0)+IFERROR(INDEX(Income!C$3:C$502,SMALL(IF((Income!D$3:D$502="INR")*(Income!A$3:A$502=DATE(2026,2,28)),ROW(Income!A$3:A$502)-2),3)),0))</f>
        <v/>
      </c>
      <c r="N46" s="38" t="str">
        <f aca="false">IF(IFERROR(INDEX(Expenses!B$3:B$1002,SMALL(IF((Expenses!E$3:E$1002="INR")*(Expenses!A$3:A$1002=DATE(2026,2,28)),ROW(Expenses!A$3:A$1002)-2),3)),"")&lt;&gt;"",IFERROR(INDEX(Expenses!B$3:B$1002,SMALL(IF((Expenses!E$3:E$1002="INR")*(Expenses!A$3:A$1002=DATE(2026,2,28)),ROW(Expenses!A$3:A$1002)-2),3)),""),IF(IFERROR(INDEX(Income!B$3:B$502,SMALL(IF((Income!D$3:D$502="INR")*(Income!A$3:A$502=DATE(2026,2,28)),ROW(Income!A$3:A$502)-2),3)),"")&lt;&gt;"",IFERROR(INDEX(Income!B$3:B$502,SMALL(IF((Income!D$3:D$502="INR")*(Income!A$3:A$502=DATE(2026,2,28)),ROW(Income!A$3:A$502)-2),3)),""),""))</f>
        <v/>
      </c>
      <c r="O46" s="63" t="str">
        <f aca="false">IF(IFERROR(-INDEX(Expenses!D$3:D$1002,SMALL(IF((Expenses!E$3:E$1002="INR")*(Expenses!A$3:A$1002=DATE(2026,3,1)),ROW(Expenses!A$3:A$1002)-2),3)),0)+IFERROR(INDEX(Income!C$3:C$502,SMALL(IF((Income!D$3:D$502="INR")*(Income!A$3:A$502=DATE(2026,3,1)),ROW(Income!A$3:A$502)-2),3)),0)=0,"",IFERROR(-INDEX(Expenses!D$3:D$1002,SMALL(IF((Expenses!E$3:E$1002="INR")*(Expenses!A$3:A$1002=DATE(2026,3,1)),ROW(Expenses!A$3:A$1002)-2),3)),0)+IFERROR(INDEX(Income!C$3:C$502,SMALL(IF((Income!D$3:D$502="INR")*(Income!A$3:A$502=DATE(2026,3,1)),ROW(Income!A$3:A$502)-2),3)),0))</f>
        <v/>
      </c>
      <c r="P46" s="38" t="str">
        <f aca="false">IF(IFERROR(INDEX(Expenses!B$3:B$1002,SMALL(IF((Expenses!E$3:E$1002="INR")*(Expenses!A$3:A$1002=DATE(2026,3,1)),ROW(Expenses!A$3:A$1002)-2),3)),"")&lt;&gt;"",IFERROR(INDEX(Expenses!B$3:B$1002,SMALL(IF((Expenses!E$3:E$1002="INR")*(Expenses!A$3:A$1002=DATE(2026,3,1)),ROW(Expenses!A$3:A$1002)-2),3)),""),IF(IFERROR(INDEX(Income!B$3:B$502,SMALL(IF((Income!D$3:D$502="INR")*(Income!A$3:A$502=DATE(2026,3,1)),ROW(Income!A$3:A$502)-2),3)),"")&lt;&gt;"",IFERROR(INDEX(Income!B$3:B$502,SMALL(IF((Income!D$3:D$502="INR")*(Income!A$3:A$502=DATE(2026,3,1)),ROW(Income!A$3:A$502)-2),3)),""),""))</f>
        <v/>
      </c>
      <c r="Q46" s="16"/>
      <c r="R46" s="16"/>
    </row>
    <row r="47" customFormat="false" ht="15" hidden="false" customHeight="false" outlineLevel="0" collapsed="false">
      <c r="A47" s="16"/>
      <c r="B47" s="16"/>
      <c r="C47" s="63" t="str">
        <f aca="false">IF(IFERROR(-INDEX(Expenses!D$3:D$1002,SMALL(IF((Expenses!E$3:E$1002="INR")*(Expenses!A$3:A$1002=DATE(2026,2,23)),ROW(Expenses!A$3:A$1002)-2),4)),0)+IFERROR(INDEX(Income!C$3:C$502,SMALL(IF((Income!D$3:D$502="INR")*(Income!A$3:A$502=DATE(2026,2,23)),ROW(Income!A$3:A$502)-2),4)),0)=0,"",IFERROR(-INDEX(Expenses!D$3:D$1002,SMALL(IF((Expenses!E$3:E$1002="INR")*(Expenses!A$3:A$1002=DATE(2026,2,23)),ROW(Expenses!A$3:A$1002)-2),4)),0)+IFERROR(INDEX(Income!C$3:C$502,SMALL(IF((Income!D$3:D$502="INR")*(Income!A$3:A$502=DATE(2026,2,23)),ROW(Income!A$3:A$502)-2),4)),0))</f>
        <v/>
      </c>
      <c r="D47" s="38" t="str">
        <f aca="false">IF(IFERROR(INDEX(Expenses!B$3:B$1002,SMALL(IF((Expenses!E$3:E$1002="INR")*(Expenses!A$3:A$1002=DATE(2026,2,23)),ROW(Expenses!A$3:A$1002)-2),4)),"")&lt;&gt;"",IFERROR(INDEX(Expenses!B$3:B$1002,SMALL(IF((Expenses!E$3:E$1002="INR")*(Expenses!A$3:A$1002=DATE(2026,2,23)),ROW(Expenses!A$3:A$1002)-2),4)),""),IF(IFERROR(INDEX(Income!B$3:B$502,SMALL(IF((Income!D$3:D$502="INR")*(Income!A$3:A$502=DATE(2026,2,23)),ROW(Income!A$3:A$502)-2),4)),"")&lt;&gt;"",IFERROR(INDEX(Income!B$3:B$502,SMALL(IF((Income!D$3:D$502="INR")*(Income!A$3:A$502=DATE(2026,2,23)),ROW(Income!A$3:A$502)-2),4)),""),""))</f>
        <v/>
      </c>
      <c r="E47" s="63" t="str">
        <f aca="false">IF(IFERROR(-INDEX(Expenses!D$3:D$1002,SMALL(IF((Expenses!E$3:E$1002="INR")*(Expenses!A$3:A$1002=DATE(2026,2,24)),ROW(Expenses!A$3:A$1002)-2),4)),0)+IFERROR(INDEX(Income!C$3:C$502,SMALL(IF((Income!D$3:D$502="INR")*(Income!A$3:A$502=DATE(2026,2,24)),ROW(Income!A$3:A$502)-2),4)),0)=0,"",IFERROR(-INDEX(Expenses!D$3:D$1002,SMALL(IF((Expenses!E$3:E$1002="INR")*(Expenses!A$3:A$1002=DATE(2026,2,24)),ROW(Expenses!A$3:A$1002)-2),4)),0)+IFERROR(INDEX(Income!C$3:C$502,SMALL(IF((Income!D$3:D$502="INR")*(Income!A$3:A$502=DATE(2026,2,24)),ROW(Income!A$3:A$502)-2),4)),0))</f>
        <v/>
      </c>
      <c r="F47" s="38" t="str">
        <f aca="false">IF(IFERROR(INDEX(Expenses!B$3:B$1002,SMALL(IF((Expenses!E$3:E$1002="INR")*(Expenses!A$3:A$1002=DATE(2026,2,24)),ROW(Expenses!A$3:A$1002)-2),4)),"")&lt;&gt;"",IFERROR(INDEX(Expenses!B$3:B$1002,SMALL(IF((Expenses!E$3:E$1002="INR")*(Expenses!A$3:A$1002=DATE(2026,2,24)),ROW(Expenses!A$3:A$1002)-2),4)),""),IF(IFERROR(INDEX(Income!B$3:B$502,SMALL(IF((Income!D$3:D$502="INR")*(Income!A$3:A$502=DATE(2026,2,24)),ROW(Income!A$3:A$502)-2),4)),"")&lt;&gt;"",IFERROR(INDEX(Income!B$3:B$502,SMALL(IF((Income!D$3:D$502="INR")*(Income!A$3:A$502=DATE(2026,2,24)),ROW(Income!A$3:A$502)-2),4)),""),""))</f>
        <v/>
      </c>
      <c r="G47" s="63" t="str">
        <f aca="false">IF(IFERROR(-INDEX(Expenses!D$3:D$1002,SMALL(IF((Expenses!E$3:E$1002="INR")*(Expenses!A$3:A$1002=DATE(2026,2,25)),ROW(Expenses!A$3:A$1002)-2),4)),0)+IFERROR(INDEX(Income!C$3:C$502,SMALL(IF((Income!D$3:D$502="INR")*(Income!A$3:A$502=DATE(2026,2,25)),ROW(Income!A$3:A$502)-2),4)),0)=0,"",IFERROR(-INDEX(Expenses!D$3:D$1002,SMALL(IF((Expenses!E$3:E$1002="INR")*(Expenses!A$3:A$1002=DATE(2026,2,25)),ROW(Expenses!A$3:A$1002)-2),4)),0)+IFERROR(INDEX(Income!C$3:C$502,SMALL(IF((Income!D$3:D$502="INR")*(Income!A$3:A$502=DATE(2026,2,25)),ROW(Income!A$3:A$502)-2),4)),0))</f>
        <v/>
      </c>
      <c r="H47" s="38" t="str">
        <f aca="false">IF(IFERROR(INDEX(Expenses!B$3:B$1002,SMALL(IF((Expenses!E$3:E$1002="INR")*(Expenses!A$3:A$1002=DATE(2026,2,25)),ROW(Expenses!A$3:A$1002)-2),4)),"")&lt;&gt;"",IFERROR(INDEX(Expenses!B$3:B$1002,SMALL(IF((Expenses!E$3:E$1002="INR")*(Expenses!A$3:A$1002=DATE(2026,2,25)),ROW(Expenses!A$3:A$1002)-2),4)),""),IF(IFERROR(INDEX(Income!B$3:B$502,SMALL(IF((Income!D$3:D$502="INR")*(Income!A$3:A$502=DATE(2026,2,25)),ROW(Income!A$3:A$502)-2),4)),"")&lt;&gt;"",IFERROR(INDEX(Income!B$3:B$502,SMALL(IF((Income!D$3:D$502="INR")*(Income!A$3:A$502=DATE(2026,2,25)),ROW(Income!A$3:A$502)-2),4)),""),""))</f>
        <v/>
      </c>
      <c r="I47" s="63" t="str">
        <f aca="false">IF(IFERROR(-INDEX(Expenses!D$3:D$1002,SMALL(IF((Expenses!E$3:E$1002="INR")*(Expenses!A$3:A$1002=DATE(2026,2,26)),ROW(Expenses!A$3:A$1002)-2),4)),0)+IFERROR(INDEX(Income!C$3:C$502,SMALL(IF((Income!D$3:D$502="INR")*(Income!A$3:A$502=DATE(2026,2,26)),ROW(Income!A$3:A$502)-2),4)),0)=0,"",IFERROR(-INDEX(Expenses!D$3:D$1002,SMALL(IF((Expenses!E$3:E$1002="INR")*(Expenses!A$3:A$1002=DATE(2026,2,26)),ROW(Expenses!A$3:A$1002)-2),4)),0)+IFERROR(INDEX(Income!C$3:C$502,SMALL(IF((Income!D$3:D$502="INR")*(Income!A$3:A$502=DATE(2026,2,26)),ROW(Income!A$3:A$502)-2),4)),0))</f>
        <v/>
      </c>
      <c r="J47" s="38" t="str">
        <f aca="false">IF(IFERROR(INDEX(Expenses!B$3:B$1002,SMALL(IF((Expenses!E$3:E$1002="INR")*(Expenses!A$3:A$1002=DATE(2026,2,26)),ROW(Expenses!A$3:A$1002)-2),4)),"")&lt;&gt;"",IFERROR(INDEX(Expenses!B$3:B$1002,SMALL(IF((Expenses!E$3:E$1002="INR")*(Expenses!A$3:A$1002=DATE(2026,2,26)),ROW(Expenses!A$3:A$1002)-2),4)),""),IF(IFERROR(INDEX(Income!B$3:B$502,SMALL(IF((Income!D$3:D$502="INR")*(Income!A$3:A$502=DATE(2026,2,26)),ROW(Income!A$3:A$502)-2),4)),"")&lt;&gt;"",IFERROR(INDEX(Income!B$3:B$502,SMALL(IF((Income!D$3:D$502="INR")*(Income!A$3:A$502=DATE(2026,2,26)),ROW(Income!A$3:A$502)-2),4)),""),""))</f>
        <v/>
      </c>
      <c r="K47" s="63" t="str">
        <f aca="false">IF(IFERROR(-INDEX(Expenses!D$3:D$1002,SMALL(IF((Expenses!E$3:E$1002="INR")*(Expenses!A$3:A$1002=DATE(2026,2,27)),ROW(Expenses!A$3:A$1002)-2),4)),0)+IFERROR(INDEX(Income!C$3:C$502,SMALL(IF((Income!D$3:D$502="INR")*(Income!A$3:A$502=DATE(2026,2,27)),ROW(Income!A$3:A$502)-2),4)),0)=0,"",IFERROR(-INDEX(Expenses!D$3:D$1002,SMALL(IF((Expenses!E$3:E$1002="INR")*(Expenses!A$3:A$1002=DATE(2026,2,27)),ROW(Expenses!A$3:A$1002)-2),4)),0)+IFERROR(INDEX(Income!C$3:C$502,SMALL(IF((Income!D$3:D$502="INR")*(Income!A$3:A$502=DATE(2026,2,27)),ROW(Income!A$3:A$502)-2),4)),0))</f>
        <v/>
      </c>
      <c r="L47" s="38" t="str">
        <f aca="false">IF(IFERROR(INDEX(Expenses!B$3:B$1002,SMALL(IF((Expenses!E$3:E$1002="INR")*(Expenses!A$3:A$1002=DATE(2026,2,27)),ROW(Expenses!A$3:A$1002)-2),4)),"")&lt;&gt;"",IFERROR(INDEX(Expenses!B$3:B$1002,SMALL(IF((Expenses!E$3:E$1002="INR")*(Expenses!A$3:A$1002=DATE(2026,2,27)),ROW(Expenses!A$3:A$1002)-2),4)),""),IF(IFERROR(INDEX(Income!B$3:B$502,SMALL(IF((Income!D$3:D$502="INR")*(Income!A$3:A$502=DATE(2026,2,27)),ROW(Income!A$3:A$502)-2),4)),"")&lt;&gt;"",IFERROR(INDEX(Income!B$3:B$502,SMALL(IF((Income!D$3:D$502="INR")*(Income!A$3:A$502=DATE(2026,2,27)),ROW(Income!A$3:A$502)-2),4)),""),""))</f>
        <v/>
      </c>
      <c r="M47" s="63" t="str">
        <f aca="false">IF(IFERROR(-INDEX(Expenses!D$3:D$1002,SMALL(IF((Expenses!E$3:E$1002="INR")*(Expenses!A$3:A$1002=DATE(2026,2,28)),ROW(Expenses!A$3:A$1002)-2),4)),0)+IFERROR(INDEX(Income!C$3:C$502,SMALL(IF((Income!D$3:D$502="INR")*(Income!A$3:A$502=DATE(2026,2,28)),ROW(Income!A$3:A$502)-2),4)),0)=0,"",IFERROR(-INDEX(Expenses!D$3:D$1002,SMALL(IF((Expenses!E$3:E$1002="INR")*(Expenses!A$3:A$1002=DATE(2026,2,28)),ROW(Expenses!A$3:A$1002)-2),4)),0)+IFERROR(INDEX(Income!C$3:C$502,SMALL(IF((Income!D$3:D$502="INR")*(Income!A$3:A$502=DATE(2026,2,28)),ROW(Income!A$3:A$502)-2),4)),0))</f>
        <v/>
      </c>
      <c r="N47" s="38" t="str">
        <f aca="false">IF(IFERROR(INDEX(Expenses!B$3:B$1002,SMALL(IF((Expenses!E$3:E$1002="INR")*(Expenses!A$3:A$1002=DATE(2026,2,28)),ROW(Expenses!A$3:A$1002)-2),4)),"")&lt;&gt;"",IFERROR(INDEX(Expenses!B$3:B$1002,SMALL(IF((Expenses!E$3:E$1002="INR")*(Expenses!A$3:A$1002=DATE(2026,2,28)),ROW(Expenses!A$3:A$1002)-2),4)),""),IF(IFERROR(INDEX(Income!B$3:B$502,SMALL(IF((Income!D$3:D$502="INR")*(Income!A$3:A$502=DATE(2026,2,28)),ROW(Income!A$3:A$502)-2),4)),"")&lt;&gt;"",IFERROR(INDEX(Income!B$3:B$502,SMALL(IF((Income!D$3:D$502="INR")*(Income!A$3:A$502=DATE(2026,2,28)),ROW(Income!A$3:A$502)-2),4)),""),""))</f>
        <v/>
      </c>
      <c r="O47" s="63" t="str">
        <f aca="false">IF(IFERROR(-INDEX(Expenses!D$3:D$1002,SMALL(IF((Expenses!E$3:E$1002="INR")*(Expenses!A$3:A$1002=DATE(2026,3,1)),ROW(Expenses!A$3:A$1002)-2),4)),0)+IFERROR(INDEX(Income!C$3:C$502,SMALL(IF((Income!D$3:D$502="INR")*(Income!A$3:A$502=DATE(2026,3,1)),ROW(Income!A$3:A$502)-2),4)),0)=0,"",IFERROR(-INDEX(Expenses!D$3:D$1002,SMALL(IF((Expenses!E$3:E$1002="INR")*(Expenses!A$3:A$1002=DATE(2026,3,1)),ROW(Expenses!A$3:A$1002)-2),4)),0)+IFERROR(INDEX(Income!C$3:C$502,SMALL(IF((Income!D$3:D$502="INR")*(Income!A$3:A$502=DATE(2026,3,1)),ROW(Income!A$3:A$502)-2),4)),0))</f>
        <v/>
      </c>
      <c r="P47" s="38" t="str">
        <f aca="false">IF(IFERROR(INDEX(Expenses!B$3:B$1002,SMALL(IF((Expenses!E$3:E$1002="INR")*(Expenses!A$3:A$1002=DATE(2026,3,1)),ROW(Expenses!A$3:A$1002)-2),4)),"")&lt;&gt;"",IFERROR(INDEX(Expenses!B$3:B$1002,SMALL(IF((Expenses!E$3:E$1002="INR")*(Expenses!A$3:A$1002=DATE(2026,3,1)),ROW(Expenses!A$3:A$1002)-2),4)),""),IF(IFERROR(INDEX(Income!B$3:B$502,SMALL(IF((Income!D$3:D$502="INR")*(Income!A$3:A$502=DATE(2026,3,1)),ROW(Income!A$3:A$502)-2),4)),"")&lt;&gt;"",IFERROR(INDEX(Income!B$3:B$502,SMALL(IF((Income!D$3:D$502="INR")*(Income!A$3:A$502=DATE(2026,3,1)),ROW(Income!A$3:A$502)-2),4)),""),""))</f>
        <v/>
      </c>
      <c r="Q47" s="16"/>
      <c r="R47" s="16"/>
    </row>
    <row r="48" customFormat="false" ht="15" hidden="false" customHeight="false" outlineLevel="0" collapsed="false">
      <c r="A48" s="16"/>
      <c r="B48" s="16"/>
      <c r="C48" s="63" t="str">
        <f aca="false">IF(IFERROR(-INDEX(Expenses!D$3:D$1002,SMALL(IF((Expenses!E$3:E$1002="INR")*(Expenses!A$3:A$1002=DATE(2026,2,23)),ROW(Expenses!A$3:A$1002)-2),5)),0)+IFERROR(INDEX(Income!C$3:C$502,SMALL(IF((Income!D$3:D$502="INR")*(Income!A$3:A$502=DATE(2026,2,23)),ROW(Income!A$3:A$502)-2),5)),0)=0,"",IFERROR(-INDEX(Expenses!D$3:D$1002,SMALL(IF((Expenses!E$3:E$1002="INR")*(Expenses!A$3:A$1002=DATE(2026,2,23)),ROW(Expenses!A$3:A$1002)-2),5)),0)+IFERROR(INDEX(Income!C$3:C$502,SMALL(IF((Income!D$3:D$502="INR")*(Income!A$3:A$502=DATE(2026,2,23)),ROW(Income!A$3:A$502)-2),5)),0))</f>
        <v/>
      </c>
      <c r="D48" s="38" t="str">
        <f aca="false">IF(IFERROR(INDEX(Expenses!B$3:B$1002,SMALL(IF((Expenses!E$3:E$1002="INR")*(Expenses!A$3:A$1002=DATE(2026,2,23)),ROW(Expenses!A$3:A$1002)-2),5)),"")&lt;&gt;"",IFERROR(INDEX(Expenses!B$3:B$1002,SMALL(IF((Expenses!E$3:E$1002="INR")*(Expenses!A$3:A$1002=DATE(2026,2,23)),ROW(Expenses!A$3:A$1002)-2),5)),""),IF(IFERROR(INDEX(Income!B$3:B$502,SMALL(IF((Income!D$3:D$502="INR")*(Income!A$3:A$502=DATE(2026,2,23)),ROW(Income!A$3:A$502)-2),5)),"")&lt;&gt;"",IFERROR(INDEX(Income!B$3:B$502,SMALL(IF((Income!D$3:D$502="INR")*(Income!A$3:A$502=DATE(2026,2,23)),ROW(Income!A$3:A$502)-2),5)),""),""))</f>
        <v/>
      </c>
      <c r="E48" s="63" t="str">
        <f aca="false">IF(IFERROR(-INDEX(Expenses!D$3:D$1002,SMALL(IF((Expenses!E$3:E$1002="INR")*(Expenses!A$3:A$1002=DATE(2026,2,24)),ROW(Expenses!A$3:A$1002)-2),5)),0)+IFERROR(INDEX(Income!C$3:C$502,SMALL(IF((Income!D$3:D$502="INR")*(Income!A$3:A$502=DATE(2026,2,24)),ROW(Income!A$3:A$502)-2),5)),0)=0,"",IFERROR(-INDEX(Expenses!D$3:D$1002,SMALL(IF((Expenses!E$3:E$1002="INR")*(Expenses!A$3:A$1002=DATE(2026,2,24)),ROW(Expenses!A$3:A$1002)-2),5)),0)+IFERROR(INDEX(Income!C$3:C$502,SMALL(IF((Income!D$3:D$502="INR")*(Income!A$3:A$502=DATE(2026,2,24)),ROW(Income!A$3:A$502)-2),5)),0))</f>
        <v/>
      </c>
      <c r="F48" s="38" t="str">
        <f aca="false">IF(IFERROR(INDEX(Expenses!B$3:B$1002,SMALL(IF((Expenses!E$3:E$1002="INR")*(Expenses!A$3:A$1002=DATE(2026,2,24)),ROW(Expenses!A$3:A$1002)-2),5)),"")&lt;&gt;"",IFERROR(INDEX(Expenses!B$3:B$1002,SMALL(IF((Expenses!E$3:E$1002="INR")*(Expenses!A$3:A$1002=DATE(2026,2,24)),ROW(Expenses!A$3:A$1002)-2),5)),""),IF(IFERROR(INDEX(Income!B$3:B$502,SMALL(IF((Income!D$3:D$502="INR")*(Income!A$3:A$502=DATE(2026,2,24)),ROW(Income!A$3:A$502)-2),5)),"")&lt;&gt;"",IFERROR(INDEX(Income!B$3:B$502,SMALL(IF((Income!D$3:D$502="INR")*(Income!A$3:A$502=DATE(2026,2,24)),ROW(Income!A$3:A$502)-2),5)),""),""))</f>
        <v/>
      </c>
      <c r="G48" s="63" t="str">
        <f aca="false">IF(IFERROR(-INDEX(Expenses!D$3:D$1002,SMALL(IF((Expenses!E$3:E$1002="INR")*(Expenses!A$3:A$1002=DATE(2026,2,25)),ROW(Expenses!A$3:A$1002)-2),5)),0)+IFERROR(INDEX(Income!C$3:C$502,SMALL(IF((Income!D$3:D$502="INR")*(Income!A$3:A$502=DATE(2026,2,25)),ROW(Income!A$3:A$502)-2),5)),0)=0,"",IFERROR(-INDEX(Expenses!D$3:D$1002,SMALL(IF((Expenses!E$3:E$1002="INR")*(Expenses!A$3:A$1002=DATE(2026,2,25)),ROW(Expenses!A$3:A$1002)-2),5)),0)+IFERROR(INDEX(Income!C$3:C$502,SMALL(IF((Income!D$3:D$502="INR")*(Income!A$3:A$502=DATE(2026,2,25)),ROW(Income!A$3:A$502)-2),5)),0))</f>
        <v/>
      </c>
      <c r="H48" s="38" t="str">
        <f aca="false">IF(IFERROR(INDEX(Expenses!B$3:B$1002,SMALL(IF((Expenses!E$3:E$1002="INR")*(Expenses!A$3:A$1002=DATE(2026,2,25)),ROW(Expenses!A$3:A$1002)-2),5)),"")&lt;&gt;"",IFERROR(INDEX(Expenses!B$3:B$1002,SMALL(IF((Expenses!E$3:E$1002="INR")*(Expenses!A$3:A$1002=DATE(2026,2,25)),ROW(Expenses!A$3:A$1002)-2),5)),""),IF(IFERROR(INDEX(Income!B$3:B$502,SMALL(IF((Income!D$3:D$502="INR")*(Income!A$3:A$502=DATE(2026,2,25)),ROW(Income!A$3:A$502)-2),5)),"")&lt;&gt;"",IFERROR(INDEX(Income!B$3:B$502,SMALL(IF((Income!D$3:D$502="INR")*(Income!A$3:A$502=DATE(2026,2,25)),ROW(Income!A$3:A$502)-2),5)),""),""))</f>
        <v/>
      </c>
      <c r="I48" s="63" t="str">
        <f aca="false">IF(IFERROR(-INDEX(Expenses!D$3:D$1002,SMALL(IF((Expenses!E$3:E$1002="INR")*(Expenses!A$3:A$1002=DATE(2026,2,26)),ROW(Expenses!A$3:A$1002)-2),5)),0)+IFERROR(INDEX(Income!C$3:C$502,SMALL(IF((Income!D$3:D$502="INR")*(Income!A$3:A$502=DATE(2026,2,26)),ROW(Income!A$3:A$502)-2),5)),0)=0,"",IFERROR(-INDEX(Expenses!D$3:D$1002,SMALL(IF((Expenses!E$3:E$1002="INR")*(Expenses!A$3:A$1002=DATE(2026,2,26)),ROW(Expenses!A$3:A$1002)-2),5)),0)+IFERROR(INDEX(Income!C$3:C$502,SMALL(IF((Income!D$3:D$502="INR")*(Income!A$3:A$502=DATE(2026,2,26)),ROW(Income!A$3:A$502)-2),5)),0))</f>
        <v/>
      </c>
      <c r="J48" s="38" t="str">
        <f aca="false">IF(IFERROR(INDEX(Expenses!B$3:B$1002,SMALL(IF((Expenses!E$3:E$1002="INR")*(Expenses!A$3:A$1002=DATE(2026,2,26)),ROW(Expenses!A$3:A$1002)-2),5)),"")&lt;&gt;"",IFERROR(INDEX(Expenses!B$3:B$1002,SMALL(IF((Expenses!E$3:E$1002="INR")*(Expenses!A$3:A$1002=DATE(2026,2,26)),ROW(Expenses!A$3:A$1002)-2),5)),""),IF(IFERROR(INDEX(Income!B$3:B$502,SMALL(IF((Income!D$3:D$502="INR")*(Income!A$3:A$502=DATE(2026,2,26)),ROW(Income!A$3:A$502)-2),5)),"")&lt;&gt;"",IFERROR(INDEX(Income!B$3:B$502,SMALL(IF((Income!D$3:D$502="INR")*(Income!A$3:A$502=DATE(2026,2,26)),ROW(Income!A$3:A$502)-2),5)),""),""))</f>
        <v/>
      </c>
      <c r="K48" s="63" t="str">
        <f aca="false">IF(IFERROR(-INDEX(Expenses!D$3:D$1002,SMALL(IF((Expenses!E$3:E$1002="INR")*(Expenses!A$3:A$1002=DATE(2026,2,27)),ROW(Expenses!A$3:A$1002)-2),5)),0)+IFERROR(INDEX(Income!C$3:C$502,SMALL(IF((Income!D$3:D$502="INR")*(Income!A$3:A$502=DATE(2026,2,27)),ROW(Income!A$3:A$502)-2),5)),0)=0,"",IFERROR(-INDEX(Expenses!D$3:D$1002,SMALL(IF((Expenses!E$3:E$1002="INR")*(Expenses!A$3:A$1002=DATE(2026,2,27)),ROW(Expenses!A$3:A$1002)-2),5)),0)+IFERROR(INDEX(Income!C$3:C$502,SMALL(IF((Income!D$3:D$502="INR")*(Income!A$3:A$502=DATE(2026,2,27)),ROW(Income!A$3:A$502)-2),5)),0))</f>
        <v/>
      </c>
      <c r="L48" s="38" t="str">
        <f aca="false">IF(IFERROR(INDEX(Expenses!B$3:B$1002,SMALL(IF((Expenses!E$3:E$1002="INR")*(Expenses!A$3:A$1002=DATE(2026,2,27)),ROW(Expenses!A$3:A$1002)-2),5)),"")&lt;&gt;"",IFERROR(INDEX(Expenses!B$3:B$1002,SMALL(IF((Expenses!E$3:E$1002="INR")*(Expenses!A$3:A$1002=DATE(2026,2,27)),ROW(Expenses!A$3:A$1002)-2),5)),""),IF(IFERROR(INDEX(Income!B$3:B$502,SMALL(IF((Income!D$3:D$502="INR")*(Income!A$3:A$502=DATE(2026,2,27)),ROW(Income!A$3:A$502)-2),5)),"")&lt;&gt;"",IFERROR(INDEX(Income!B$3:B$502,SMALL(IF((Income!D$3:D$502="INR")*(Income!A$3:A$502=DATE(2026,2,27)),ROW(Income!A$3:A$502)-2),5)),""),""))</f>
        <v/>
      </c>
      <c r="M48" s="63" t="str">
        <f aca="false">IF(IFERROR(-INDEX(Expenses!D$3:D$1002,SMALL(IF((Expenses!E$3:E$1002="INR")*(Expenses!A$3:A$1002=DATE(2026,2,28)),ROW(Expenses!A$3:A$1002)-2),5)),0)+IFERROR(INDEX(Income!C$3:C$502,SMALL(IF((Income!D$3:D$502="INR")*(Income!A$3:A$502=DATE(2026,2,28)),ROW(Income!A$3:A$502)-2),5)),0)=0,"",IFERROR(-INDEX(Expenses!D$3:D$1002,SMALL(IF((Expenses!E$3:E$1002="INR")*(Expenses!A$3:A$1002=DATE(2026,2,28)),ROW(Expenses!A$3:A$1002)-2),5)),0)+IFERROR(INDEX(Income!C$3:C$502,SMALL(IF((Income!D$3:D$502="INR")*(Income!A$3:A$502=DATE(2026,2,28)),ROW(Income!A$3:A$502)-2),5)),0))</f>
        <v/>
      </c>
      <c r="N48" s="38" t="str">
        <f aca="false">IF(IFERROR(INDEX(Expenses!B$3:B$1002,SMALL(IF((Expenses!E$3:E$1002="INR")*(Expenses!A$3:A$1002=DATE(2026,2,28)),ROW(Expenses!A$3:A$1002)-2),5)),"")&lt;&gt;"",IFERROR(INDEX(Expenses!B$3:B$1002,SMALL(IF((Expenses!E$3:E$1002="INR")*(Expenses!A$3:A$1002=DATE(2026,2,28)),ROW(Expenses!A$3:A$1002)-2),5)),""),IF(IFERROR(INDEX(Income!B$3:B$502,SMALL(IF((Income!D$3:D$502="INR")*(Income!A$3:A$502=DATE(2026,2,28)),ROW(Income!A$3:A$502)-2),5)),"")&lt;&gt;"",IFERROR(INDEX(Income!B$3:B$502,SMALL(IF((Income!D$3:D$502="INR")*(Income!A$3:A$502=DATE(2026,2,28)),ROW(Income!A$3:A$502)-2),5)),""),""))</f>
        <v/>
      </c>
      <c r="O48" s="63" t="str">
        <f aca="false">IF(IFERROR(-INDEX(Expenses!D$3:D$1002,SMALL(IF((Expenses!E$3:E$1002="INR")*(Expenses!A$3:A$1002=DATE(2026,3,1)),ROW(Expenses!A$3:A$1002)-2),5)),0)+IFERROR(INDEX(Income!C$3:C$502,SMALL(IF((Income!D$3:D$502="INR")*(Income!A$3:A$502=DATE(2026,3,1)),ROW(Income!A$3:A$502)-2),5)),0)=0,"",IFERROR(-INDEX(Expenses!D$3:D$1002,SMALL(IF((Expenses!E$3:E$1002="INR")*(Expenses!A$3:A$1002=DATE(2026,3,1)),ROW(Expenses!A$3:A$1002)-2),5)),0)+IFERROR(INDEX(Income!C$3:C$502,SMALL(IF((Income!D$3:D$502="INR")*(Income!A$3:A$502=DATE(2026,3,1)),ROW(Income!A$3:A$502)-2),5)),0))</f>
        <v/>
      </c>
      <c r="P48" s="38" t="str">
        <f aca="false">IF(IFERROR(INDEX(Expenses!B$3:B$1002,SMALL(IF((Expenses!E$3:E$1002="INR")*(Expenses!A$3:A$1002=DATE(2026,3,1)),ROW(Expenses!A$3:A$1002)-2),5)),"")&lt;&gt;"",IFERROR(INDEX(Expenses!B$3:B$1002,SMALL(IF((Expenses!E$3:E$1002="INR")*(Expenses!A$3:A$1002=DATE(2026,3,1)),ROW(Expenses!A$3:A$1002)-2),5)),""),IF(IFERROR(INDEX(Income!B$3:B$502,SMALL(IF((Income!D$3:D$502="INR")*(Income!A$3:A$502=DATE(2026,3,1)),ROW(Income!A$3:A$502)-2),5)),"")&lt;&gt;"",IFERROR(INDEX(Income!B$3:B$502,SMALL(IF((Income!D$3:D$502="INR")*(Income!A$3:A$502=DATE(2026,3,1)),ROW(Income!A$3:A$502)-2),5)),""),""))</f>
        <v/>
      </c>
      <c r="Q48" s="16"/>
      <c r="R48" s="16"/>
    </row>
    <row r="49" customFormat="false" ht="15" hidden="false" customHeight="false" outlineLevel="0" collapsed="false">
      <c r="A49" s="61" t="n">
        <v>46083</v>
      </c>
      <c r="B49" s="3" t="n">
        <v>10</v>
      </c>
      <c r="C49" s="63" t="str">
        <f aca="false">IF(IFERROR(-INDEX(Expenses!D$3:D$1002,SMALL(IF((Expenses!E$3:E$1002="INR")*(Expenses!A$3:A$1002=DATE(2026,3,2)),ROW(Expenses!A$3:A$1002)-2),1)),0)+IFERROR(INDEX(Income!C$3:C$502,SMALL(IF((Income!D$3:D$502="INR")*(Income!A$3:A$502=DATE(2026,3,2)),ROW(Income!A$3:A$502)-2),1)),0)=0,"",IFERROR(-INDEX(Expenses!D$3:D$1002,SMALL(IF((Expenses!E$3:E$1002="INR")*(Expenses!A$3:A$1002=DATE(2026,3,2)),ROW(Expenses!A$3:A$1002)-2),1)),0)+IFERROR(INDEX(Income!C$3:C$502,SMALL(IF((Income!D$3:D$502="INR")*(Income!A$3:A$502=DATE(2026,3,2)),ROW(Income!A$3:A$502)-2),1)),0))</f>
        <v/>
      </c>
      <c r="D49" s="38" t="str">
        <f aca="false">IF(IFERROR(INDEX(Expenses!B$3:B$1002,SMALL(IF((Expenses!E$3:E$1002="INR")*(Expenses!A$3:A$1002=DATE(2026,3,2)),ROW(Expenses!A$3:A$1002)-2),1)),"")&lt;&gt;"",IFERROR(INDEX(Expenses!B$3:B$1002,SMALL(IF((Expenses!E$3:E$1002="INR")*(Expenses!A$3:A$1002=DATE(2026,3,2)),ROW(Expenses!A$3:A$1002)-2),1)),""),IF(IFERROR(INDEX(Income!B$3:B$502,SMALL(IF((Income!D$3:D$502="INR")*(Income!A$3:A$502=DATE(2026,3,2)),ROW(Income!A$3:A$502)-2),1)),"")&lt;&gt;"",IFERROR(INDEX(Income!B$3:B$502,SMALL(IF((Income!D$3:D$502="INR")*(Income!A$3:A$502=DATE(2026,3,2)),ROW(Income!A$3:A$502)-2),1)),""),""))</f>
        <v/>
      </c>
      <c r="E49" s="63" t="str">
        <f aca="false">IF(IFERROR(-INDEX(Expenses!D$3:D$1002,SMALL(IF((Expenses!E$3:E$1002="INR")*(Expenses!A$3:A$1002=DATE(2026,3,3)),ROW(Expenses!A$3:A$1002)-2),1)),0)+IFERROR(INDEX(Income!C$3:C$502,SMALL(IF((Income!D$3:D$502="INR")*(Income!A$3:A$502=DATE(2026,3,3)),ROW(Income!A$3:A$502)-2),1)),0)=0,"",IFERROR(-INDEX(Expenses!D$3:D$1002,SMALL(IF((Expenses!E$3:E$1002="INR")*(Expenses!A$3:A$1002=DATE(2026,3,3)),ROW(Expenses!A$3:A$1002)-2),1)),0)+IFERROR(INDEX(Income!C$3:C$502,SMALL(IF((Income!D$3:D$502="INR")*(Income!A$3:A$502=DATE(2026,3,3)),ROW(Income!A$3:A$502)-2),1)),0))</f>
        <v/>
      </c>
      <c r="F49" s="38" t="str">
        <f aca="false">IF(IFERROR(INDEX(Expenses!B$3:B$1002,SMALL(IF((Expenses!E$3:E$1002="INR")*(Expenses!A$3:A$1002=DATE(2026,3,3)),ROW(Expenses!A$3:A$1002)-2),1)),"")&lt;&gt;"",IFERROR(INDEX(Expenses!B$3:B$1002,SMALL(IF((Expenses!E$3:E$1002="INR")*(Expenses!A$3:A$1002=DATE(2026,3,3)),ROW(Expenses!A$3:A$1002)-2),1)),""),IF(IFERROR(INDEX(Income!B$3:B$502,SMALL(IF((Income!D$3:D$502="INR")*(Income!A$3:A$502=DATE(2026,3,3)),ROW(Income!A$3:A$502)-2),1)),"")&lt;&gt;"",IFERROR(INDEX(Income!B$3:B$502,SMALL(IF((Income!D$3:D$502="INR")*(Income!A$3:A$502=DATE(2026,3,3)),ROW(Income!A$3:A$502)-2),1)),""),""))</f>
        <v/>
      </c>
      <c r="G49" s="63" t="str">
        <f aca="false">IF(IFERROR(-INDEX(Expenses!D$3:D$1002,SMALL(IF((Expenses!E$3:E$1002="INR")*(Expenses!A$3:A$1002=DATE(2026,3,4)),ROW(Expenses!A$3:A$1002)-2),1)),0)+IFERROR(INDEX(Income!C$3:C$502,SMALL(IF((Income!D$3:D$502="INR")*(Income!A$3:A$502=DATE(2026,3,4)),ROW(Income!A$3:A$502)-2),1)),0)=0,"",IFERROR(-INDEX(Expenses!D$3:D$1002,SMALL(IF((Expenses!E$3:E$1002="INR")*(Expenses!A$3:A$1002=DATE(2026,3,4)),ROW(Expenses!A$3:A$1002)-2),1)),0)+IFERROR(INDEX(Income!C$3:C$502,SMALL(IF((Income!D$3:D$502="INR")*(Income!A$3:A$502=DATE(2026,3,4)),ROW(Income!A$3:A$502)-2),1)),0))</f>
        <v/>
      </c>
      <c r="H49" s="38" t="str">
        <f aca="false">IF(IFERROR(INDEX(Expenses!B$3:B$1002,SMALL(IF((Expenses!E$3:E$1002="INR")*(Expenses!A$3:A$1002=DATE(2026,3,4)),ROW(Expenses!A$3:A$1002)-2),1)),"")&lt;&gt;"",IFERROR(INDEX(Expenses!B$3:B$1002,SMALL(IF((Expenses!E$3:E$1002="INR")*(Expenses!A$3:A$1002=DATE(2026,3,4)),ROW(Expenses!A$3:A$1002)-2),1)),""),IF(IFERROR(INDEX(Income!B$3:B$502,SMALL(IF((Income!D$3:D$502="INR")*(Income!A$3:A$502=DATE(2026,3,4)),ROW(Income!A$3:A$502)-2),1)),"")&lt;&gt;"",IFERROR(INDEX(Income!B$3:B$502,SMALL(IF((Income!D$3:D$502="INR")*(Income!A$3:A$502=DATE(2026,3,4)),ROW(Income!A$3:A$502)-2),1)),""),""))</f>
        <v/>
      </c>
      <c r="I49" s="63" t="str">
        <f aca="false">IF(IFERROR(-INDEX(Expenses!D$3:D$1002,SMALL(IF((Expenses!E$3:E$1002="INR")*(Expenses!A$3:A$1002=DATE(2026,3,5)),ROW(Expenses!A$3:A$1002)-2),1)),0)+IFERROR(INDEX(Income!C$3:C$502,SMALL(IF((Income!D$3:D$502="INR")*(Income!A$3:A$502=DATE(2026,3,5)),ROW(Income!A$3:A$502)-2),1)),0)=0,"",IFERROR(-INDEX(Expenses!D$3:D$1002,SMALL(IF((Expenses!E$3:E$1002="INR")*(Expenses!A$3:A$1002=DATE(2026,3,5)),ROW(Expenses!A$3:A$1002)-2),1)),0)+IFERROR(INDEX(Income!C$3:C$502,SMALL(IF((Income!D$3:D$502="INR")*(Income!A$3:A$502=DATE(2026,3,5)),ROW(Income!A$3:A$502)-2),1)),0))</f>
        <v/>
      </c>
      <c r="J49" s="38" t="str">
        <f aca="false">IF(IFERROR(INDEX(Expenses!B$3:B$1002,SMALL(IF((Expenses!E$3:E$1002="INR")*(Expenses!A$3:A$1002=DATE(2026,3,5)),ROW(Expenses!A$3:A$1002)-2),1)),"")&lt;&gt;"",IFERROR(INDEX(Expenses!B$3:B$1002,SMALL(IF((Expenses!E$3:E$1002="INR")*(Expenses!A$3:A$1002=DATE(2026,3,5)),ROW(Expenses!A$3:A$1002)-2),1)),""),IF(IFERROR(INDEX(Income!B$3:B$502,SMALL(IF((Income!D$3:D$502="INR")*(Income!A$3:A$502=DATE(2026,3,5)),ROW(Income!A$3:A$502)-2),1)),"")&lt;&gt;"",IFERROR(INDEX(Income!B$3:B$502,SMALL(IF((Income!D$3:D$502="INR")*(Income!A$3:A$502=DATE(2026,3,5)),ROW(Income!A$3:A$502)-2),1)),""),""))</f>
        <v/>
      </c>
      <c r="K49" s="63" t="str">
        <f aca="false">IF(IFERROR(-INDEX(Expenses!D$3:D$1002,SMALL(IF((Expenses!E$3:E$1002="INR")*(Expenses!A$3:A$1002=DATE(2026,3,6)),ROW(Expenses!A$3:A$1002)-2),1)),0)+IFERROR(INDEX(Income!C$3:C$502,SMALL(IF((Income!D$3:D$502="INR")*(Income!A$3:A$502=DATE(2026,3,6)),ROW(Income!A$3:A$502)-2),1)),0)=0,"",IFERROR(-INDEX(Expenses!D$3:D$1002,SMALL(IF((Expenses!E$3:E$1002="INR")*(Expenses!A$3:A$1002=DATE(2026,3,6)),ROW(Expenses!A$3:A$1002)-2),1)),0)+IFERROR(INDEX(Income!C$3:C$502,SMALL(IF((Income!D$3:D$502="INR")*(Income!A$3:A$502=DATE(2026,3,6)),ROW(Income!A$3:A$502)-2),1)),0))</f>
        <v/>
      </c>
      <c r="L49" s="38" t="str">
        <f aca="false">IF(IFERROR(INDEX(Expenses!B$3:B$1002,SMALL(IF((Expenses!E$3:E$1002="INR")*(Expenses!A$3:A$1002=DATE(2026,3,6)),ROW(Expenses!A$3:A$1002)-2),1)),"")&lt;&gt;"",IFERROR(INDEX(Expenses!B$3:B$1002,SMALL(IF((Expenses!E$3:E$1002="INR")*(Expenses!A$3:A$1002=DATE(2026,3,6)),ROW(Expenses!A$3:A$1002)-2),1)),""),IF(IFERROR(INDEX(Income!B$3:B$502,SMALL(IF((Income!D$3:D$502="INR")*(Income!A$3:A$502=DATE(2026,3,6)),ROW(Income!A$3:A$502)-2),1)),"")&lt;&gt;"",IFERROR(INDEX(Income!B$3:B$502,SMALL(IF((Income!D$3:D$502="INR")*(Income!A$3:A$502=DATE(2026,3,6)),ROW(Income!A$3:A$502)-2),1)),""),""))</f>
        <v/>
      </c>
      <c r="M49" s="63" t="str">
        <f aca="false">IF(IFERROR(-INDEX(Expenses!D$3:D$1002,SMALL(IF((Expenses!E$3:E$1002="INR")*(Expenses!A$3:A$1002=DATE(2026,3,7)),ROW(Expenses!A$3:A$1002)-2),1)),0)+IFERROR(INDEX(Income!C$3:C$502,SMALL(IF((Income!D$3:D$502="INR")*(Income!A$3:A$502=DATE(2026,3,7)),ROW(Income!A$3:A$502)-2),1)),0)=0,"",IFERROR(-INDEX(Expenses!D$3:D$1002,SMALL(IF((Expenses!E$3:E$1002="INR")*(Expenses!A$3:A$1002=DATE(2026,3,7)),ROW(Expenses!A$3:A$1002)-2),1)),0)+IFERROR(INDEX(Income!C$3:C$502,SMALL(IF((Income!D$3:D$502="INR")*(Income!A$3:A$502=DATE(2026,3,7)),ROW(Income!A$3:A$502)-2),1)),0))</f>
        <v/>
      </c>
      <c r="N49" s="38" t="str">
        <f aca="false">IF(IFERROR(INDEX(Expenses!B$3:B$1002,SMALL(IF((Expenses!E$3:E$1002="INR")*(Expenses!A$3:A$1002=DATE(2026,3,7)),ROW(Expenses!A$3:A$1002)-2),1)),"")&lt;&gt;"",IFERROR(INDEX(Expenses!B$3:B$1002,SMALL(IF((Expenses!E$3:E$1002="INR")*(Expenses!A$3:A$1002=DATE(2026,3,7)),ROW(Expenses!A$3:A$1002)-2),1)),""),IF(IFERROR(INDEX(Income!B$3:B$502,SMALL(IF((Income!D$3:D$502="INR")*(Income!A$3:A$502=DATE(2026,3,7)),ROW(Income!A$3:A$502)-2),1)),"")&lt;&gt;"",IFERROR(INDEX(Income!B$3:B$502,SMALL(IF((Income!D$3:D$502="INR")*(Income!A$3:A$502=DATE(2026,3,7)),ROW(Income!A$3:A$502)-2),1)),""),""))</f>
        <v/>
      </c>
      <c r="O49" s="63" t="str">
        <f aca="false">IF(IFERROR(-INDEX(Expenses!D$3:D$1002,SMALL(IF((Expenses!E$3:E$1002="INR")*(Expenses!A$3:A$1002=DATE(2026,3,8)),ROW(Expenses!A$3:A$1002)-2),1)),0)+IFERROR(INDEX(Income!C$3:C$502,SMALL(IF((Income!D$3:D$502="INR")*(Income!A$3:A$502=DATE(2026,3,8)),ROW(Income!A$3:A$502)-2),1)),0)=0,"",IFERROR(-INDEX(Expenses!D$3:D$1002,SMALL(IF((Expenses!E$3:E$1002="INR")*(Expenses!A$3:A$1002=DATE(2026,3,8)),ROW(Expenses!A$3:A$1002)-2),1)),0)+IFERROR(INDEX(Income!C$3:C$502,SMALL(IF((Income!D$3:D$502="INR")*(Income!A$3:A$502=DATE(2026,3,8)),ROW(Income!A$3:A$502)-2),1)),0))</f>
        <v/>
      </c>
      <c r="P49" s="38" t="str">
        <f aca="false">IF(IFERROR(INDEX(Expenses!B$3:B$1002,SMALL(IF((Expenses!E$3:E$1002="INR")*(Expenses!A$3:A$1002=DATE(2026,3,8)),ROW(Expenses!A$3:A$1002)-2),1)),"")&lt;&gt;"",IFERROR(INDEX(Expenses!B$3:B$1002,SMALL(IF((Expenses!E$3:E$1002="INR")*(Expenses!A$3:A$1002=DATE(2026,3,8)),ROW(Expenses!A$3:A$1002)-2),1)),""),IF(IFERROR(INDEX(Income!B$3:B$502,SMALL(IF((Income!D$3:D$502="INR")*(Income!A$3:A$502=DATE(2026,3,8)),ROW(Income!A$3:A$502)-2),1)),"")&lt;&gt;"",IFERROR(INDEX(Income!B$3:B$502,SMALL(IF((Income!D$3:D$502="INR")*(Income!A$3:A$502=DATE(2026,3,8)),ROW(Income!A$3:A$502)-2),1)),""),""))</f>
        <v/>
      </c>
      <c r="Q49" s="3" t="n">
        <v>10</v>
      </c>
      <c r="R49" s="53" t="n">
        <f aca="false">SUM(C49:C53)+SUM(E49:E53)+SUM(G49:G53)+SUM(I49:I53)+SUM(K49:K53)+SUM(M49:M53)+SUM(O49:O53)</f>
        <v>0</v>
      </c>
    </row>
    <row r="50" customFormat="false" ht="15" hidden="false" customHeight="false" outlineLevel="0" collapsed="false">
      <c r="A50" s="16"/>
      <c r="B50" s="16"/>
      <c r="C50" s="63" t="str">
        <f aca="false">IF(IFERROR(-INDEX(Expenses!D$3:D$1002,SMALL(IF((Expenses!E$3:E$1002="INR")*(Expenses!A$3:A$1002=DATE(2026,3,2)),ROW(Expenses!A$3:A$1002)-2),2)),0)+IFERROR(INDEX(Income!C$3:C$502,SMALL(IF((Income!D$3:D$502="INR")*(Income!A$3:A$502=DATE(2026,3,2)),ROW(Income!A$3:A$502)-2),2)),0)=0,"",IFERROR(-INDEX(Expenses!D$3:D$1002,SMALL(IF((Expenses!E$3:E$1002="INR")*(Expenses!A$3:A$1002=DATE(2026,3,2)),ROW(Expenses!A$3:A$1002)-2),2)),0)+IFERROR(INDEX(Income!C$3:C$502,SMALL(IF((Income!D$3:D$502="INR")*(Income!A$3:A$502=DATE(2026,3,2)),ROW(Income!A$3:A$502)-2),2)),0))</f>
        <v/>
      </c>
      <c r="D50" s="38" t="str">
        <f aca="false">IF(IFERROR(INDEX(Expenses!B$3:B$1002,SMALL(IF((Expenses!E$3:E$1002="INR")*(Expenses!A$3:A$1002=DATE(2026,3,2)),ROW(Expenses!A$3:A$1002)-2),2)),"")&lt;&gt;"",IFERROR(INDEX(Expenses!B$3:B$1002,SMALL(IF((Expenses!E$3:E$1002="INR")*(Expenses!A$3:A$1002=DATE(2026,3,2)),ROW(Expenses!A$3:A$1002)-2),2)),""),IF(IFERROR(INDEX(Income!B$3:B$502,SMALL(IF((Income!D$3:D$502="INR")*(Income!A$3:A$502=DATE(2026,3,2)),ROW(Income!A$3:A$502)-2),2)),"")&lt;&gt;"",IFERROR(INDEX(Income!B$3:B$502,SMALL(IF((Income!D$3:D$502="INR")*(Income!A$3:A$502=DATE(2026,3,2)),ROW(Income!A$3:A$502)-2),2)),""),""))</f>
        <v/>
      </c>
      <c r="E50" s="63" t="str">
        <f aca="false">IF(IFERROR(-INDEX(Expenses!D$3:D$1002,SMALL(IF((Expenses!E$3:E$1002="INR")*(Expenses!A$3:A$1002=DATE(2026,3,3)),ROW(Expenses!A$3:A$1002)-2),2)),0)+IFERROR(INDEX(Income!C$3:C$502,SMALL(IF((Income!D$3:D$502="INR")*(Income!A$3:A$502=DATE(2026,3,3)),ROW(Income!A$3:A$502)-2),2)),0)=0,"",IFERROR(-INDEX(Expenses!D$3:D$1002,SMALL(IF((Expenses!E$3:E$1002="INR")*(Expenses!A$3:A$1002=DATE(2026,3,3)),ROW(Expenses!A$3:A$1002)-2),2)),0)+IFERROR(INDEX(Income!C$3:C$502,SMALL(IF((Income!D$3:D$502="INR")*(Income!A$3:A$502=DATE(2026,3,3)),ROW(Income!A$3:A$502)-2),2)),0))</f>
        <v/>
      </c>
      <c r="F50" s="38" t="str">
        <f aca="false">IF(IFERROR(INDEX(Expenses!B$3:B$1002,SMALL(IF((Expenses!E$3:E$1002="INR")*(Expenses!A$3:A$1002=DATE(2026,3,3)),ROW(Expenses!A$3:A$1002)-2),2)),"")&lt;&gt;"",IFERROR(INDEX(Expenses!B$3:B$1002,SMALL(IF((Expenses!E$3:E$1002="INR")*(Expenses!A$3:A$1002=DATE(2026,3,3)),ROW(Expenses!A$3:A$1002)-2),2)),""),IF(IFERROR(INDEX(Income!B$3:B$502,SMALL(IF((Income!D$3:D$502="INR")*(Income!A$3:A$502=DATE(2026,3,3)),ROW(Income!A$3:A$502)-2),2)),"")&lt;&gt;"",IFERROR(INDEX(Income!B$3:B$502,SMALL(IF((Income!D$3:D$502="INR")*(Income!A$3:A$502=DATE(2026,3,3)),ROW(Income!A$3:A$502)-2),2)),""),""))</f>
        <v/>
      </c>
      <c r="G50" s="63" t="str">
        <f aca="false">IF(IFERROR(-INDEX(Expenses!D$3:D$1002,SMALL(IF((Expenses!E$3:E$1002="INR")*(Expenses!A$3:A$1002=DATE(2026,3,4)),ROW(Expenses!A$3:A$1002)-2),2)),0)+IFERROR(INDEX(Income!C$3:C$502,SMALL(IF((Income!D$3:D$502="INR")*(Income!A$3:A$502=DATE(2026,3,4)),ROW(Income!A$3:A$502)-2),2)),0)=0,"",IFERROR(-INDEX(Expenses!D$3:D$1002,SMALL(IF((Expenses!E$3:E$1002="INR")*(Expenses!A$3:A$1002=DATE(2026,3,4)),ROW(Expenses!A$3:A$1002)-2),2)),0)+IFERROR(INDEX(Income!C$3:C$502,SMALL(IF((Income!D$3:D$502="INR")*(Income!A$3:A$502=DATE(2026,3,4)),ROW(Income!A$3:A$502)-2),2)),0))</f>
        <v/>
      </c>
      <c r="H50" s="38" t="str">
        <f aca="false">IF(IFERROR(INDEX(Expenses!B$3:B$1002,SMALL(IF((Expenses!E$3:E$1002="INR")*(Expenses!A$3:A$1002=DATE(2026,3,4)),ROW(Expenses!A$3:A$1002)-2),2)),"")&lt;&gt;"",IFERROR(INDEX(Expenses!B$3:B$1002,SMALL(IF((Expenses!E$3:E$1002="INR")*(Expenses!A$3:A$1002=DATE(2026,3,4)),ROW(Expenses!A$3:A$1002)-2),2)),""),IF(IFERROR(INDEX(Income!B$3:B$502,SMALL(IF((Income!D$3:D$502="INR")*(Income!A$3:A$502=DATE(2026,3,4)),ROW(Income!A$3:A$502)-2),2)),"")&lt;&gt;"",IFERROR(INDEX(Income!B$3:B$502,SMALL(IF((Income!D$3:D$502="INR")*(Income!A$3:A$502=DATE(2026,3,4)),ROW(Income!A$3:A$502)-2),2)),""),""))</f>
        <v/>
      </c>
      <c r="I50" s="63" t="str">
        <f aca="false">IF(IFERROR(-INDEX(Expenses!D$3:D$1002,SMALL(IF((Expenses!E$3:E$1002="INR")*(Expenses!A$3:A$1002=DATE(2026,3,5)),ROW(Expenses!A$3:A$1002)-2),2)),0)+IFERROR(INDEX(Income!C$3:C$502,SMALL(IF((Income!D$3:D$502="INR")*(Income!A$3:A$502=DATE(2026,3,5)),ROW(Income!A$3:A$502)-2),2)),0)=0,"",IFERROR(-INDEX(Expenses!D$3:D$1002,SMALL(IF((Expenses!E$3:E$1002="INR")*(Expenses!A$3:A$1002=DATE(2026,3,5)),ROW(Expenses!A$3:A$1002)-2),2)),0)+IFERROR(INDEX(Income!C$3:C$502,SMALL(IF((Income!D$3:D$502="INR")*(Income!A$3:A$502=DATE(2026,3,5)),ROW(Income!A$3:A$502)-2),2)),0))</f>
        <v/>
      </c>
      <c r="J50" s="38" t="str">
        <f aca="false">IF(IFERROR(INDEX(Expenses!B$3:B$1002,SMALL(IF((Expenses!E$3:E$1002="INR")*(Expenses!A$3:A$1002=DATE(2026,3,5)),ROW(Expenses!A$3:A$1002)-2),2)),"")&lt;&gt;"",IFERROR(INDEX(Expenses!B$3:B$1002,SMALL(IF((Expenses!E$3:E$1002="INR")*(Expenses!A$3:A$1002=DATE(2026,3,5)),ROW(Expenses!A$3:A$1002)-2),2)),""),IF(IFERROR(INDEX(Income!B$3:B$502,SMALL(IF((Income!D$3:D$502="INR")*(Income!A$3:A$502=DATE(2026,3,5)),ROW(Income!A$3:A$502)-2),2)),"")&lt;&gt;"",IFERROR(INDEX(Income!B$3:B$502,SMALL(IF((Income!D$3:D$502="INR")*(Income!A$3:A$502=DATE(2026,3,5)),ROW(Income!A$3:A$502)-2),2)),""),""))</f>
        <v/>
      </c>
      <c r="K50" s="63" t="str">
        <f aca="false">IF(IFERROR(-INDEX(Expenses!D$3:D$1002,SMALL(IF((Expenses!E$3:E$1002="INR")*(Expenses!A$3:A$1002=DATE(2026,3,6)),ROW(Expenses!A$3:A$1002)-2),2)),0)+IFERROR(INDEX(Income!C$3:C$502,SMALL(IF((Income!D$3:D$502="INR")*(Income!A$3:A$502=DATE(2026,3,6)),ROW(Income!A$3:A$502)-2),2)),0)=0,"",IFERROR(-INDEX(Expenses!D$3:D$1002,SMALL(IF((Expenses!E$3:E$1002="INR")*(Expenses!A$3:A$1002=DATE(2026,3,6)),ROW(Expenses!A$3:A$1002)-2),2)),0)+IFERROR(INDEX(Income!C$3:C$502,SMALL(IF((Income!D$3:D$502="INR")*(Income!A$3:A$502=DATE(2026,3,6)),ROW(Income!A$3:A$502)-2),2)),0))</f>
        <v/>
      </c>
      <c r="L50" s="38" t="str">
        <f aca="false">IF(IFERROR(INDEX(Expenses!B$3:B$1002,SMALL(IF((Expenses!E$3:E$1002="INR")*(Expenses!A$3:A$1002=DATE(2026,3,6)),ROW(Expenses!A$3:A$1002)-2),2)),"")&lt;&gt;"",IFERROR(INDEX(Expenses!B$3:B$1002,SMALL(IF((Expenses!E$3:E$1002="INR")*(Expenses!A$3:A$1002=DATE(2026,3,6)),ROW(Expenses!A$3:A$1002)-2),2)),""),IF(IFERROR(INDEX(Income!B$3:B$502,SMALL(IF((Income!D$3:D$502="INR")*(Income!A$3:A$502=DATE(2026,3,6)),ROW(Income!A$3:A$502)-2),2)),"")&lt;&gt;"",IFERROR(INDEX(Income!B$3:B$502,SMALL(IF((Income!D$3:D$502="INR")*(Income!A$3:A$502=DATE(2026,3,6)),ROW(Income!A$3:A$502)-2),2)),""),""))</f>
        <v/>
      </c>
      <c r="M50" s="63" t="str">
        <f aca="false">IF(IFERROR(-INDEX(Expenses!D$3:D$1002,SMALL(IF((Expenses!E$3:E$1002="INR")*(Expenses!A$3:A$1002=DATE(2026,3,7)),ROW(Expenses!A$3:A$1002)-2),2)),0)+IFERROR(INDEX(Income!C$3:C$502,SMALL(IF((Income!D$3:D$502="INR")*(Income!A$3:A$502=DATE(2026,3,7)),ROW(Income!A$3:A$502)-2),2)),0)=0,"",IFERROR(-INDEX(Expenses!D$3:D$1002,SMALL(IF((Expenses!E$3:E$1002="INR")*(Expenses!A$3:A$1002=DATE(2026,3,7)),ROW(Expenses!A$3:A$1002)-2),2)),0)+IFERROR(INDEX(Income!C$3:C$502,SMALL(IF((Income!D$3:D$502="INR")*(Income!A$3:A$502=DATE(2026,3,7)),ROW(Income!A$3:A$502)-2),2)),0))</f>
        <v/>
      </c>
      <c r="N50" s="38" t="str">
        <f aca="false">IF(IFERROR(INDEX(Expenses!B$3:B$1002,SMALL(IF((Expenses!E$3:E$1002="INR")*(Expenses!A$3:A$1002=DATE(2026,3,7)),ROW(Expenses!A$3:A$1002)-2),2)),"")&lt;&gt;"",IFERROR(INDEX(Expenses!B$3:B$1002,SMALL(IF((Expenses!E$3:E$1002="INR")*(Expenses!A$3:A$1002=DATE(2026,3,7)),ROW(Expenses!A$3:A$1002)-2),2)),""),IF(IFERROR(INDEX(Income!B$3:B$502,SMALL(IF((Income!D$3:D$502="INR")*(Income!A$3:A$502=DATE(2026,3,7)),ROW(Income!A$3:A$502)-2),2)),"")&lt;&gt;"",IFERROR(INDEX(Income!B$3:B$502,SMALL(IF((Income!D$3:D$502="INR")*(Income!A$3:A$502=DATE(2026,3,7)),ROW(Income!A$3:A$502)-2),2)),""),""))</f>
        <v/>
      </c>
      <c r="O50" s="63" t="str">
        <f aca="false">IF(IFERROR(-INDEX(Expenses!D$3:D$1002,SMALL(IF((Expenses!E$3:E$1002="INR")*(Expenses!A$3:A$1002=DATE(2026,3,8)),ROW(Expenses!A$3:A$1002)-2),2)),0)+IFERROR(INDEX(Income!C$3:C$502,SMALL(IF((Income!D$3:D$502="INR")*(Income!A$3:A$502=DATE(2026,3,8)),ROW(Income!A$3:A$502)-2),2)),0)=0,"",IFERROR(-INDEX(Expenses!D$3:D$1002,SMALL(IF((Expenses!E$3:E$1002="INR")*(Expenses!A$3:A$1002=DATE(2026,3,8)),ROW(Expenses!A$3:A$1002)-2),2)),0)+IFERROR(INDEX(Income!C$3:C$502,SMALL(IF((Income!D$3:D$502="INR")*(Income!A$3:A$502=DATE(2026,3,8)),ROW(Income!A$3:A$502)-2),2)),0))</f>
        <v/>
      </c>
      <c r="P50" s="38" t="str">
        <f aca="false">IF(IFERROR(INDEX(Expenses!B$3:B$1002,SMALL(IF((Expenses!E$3:E$1002="INR")*(Expenses!A$3:A$1002=DATE(2026,3,8)),ROW(Expenses!A$3:A$1002)-2),2)),"")&lt;&gt;"",IFERROR(INDEX(Expenses!B$3:B$1002,SMALL(IF((Expenses!E$3:E$1002="INR")*(Expenses!A$3:A$1002=DATE(2026,3,8)),ROW(Expenses!A$3:A$1002)-2),2)),""),IF(IFERROR(INDEX(Income!B$3:B$502,SMALL(IF((Income!D$3:D$502="INR")*(Income!A$3:A$502=DATE(2026,3,8)),ROW(Income!A$3:A$502)-2),2)),"")&lt;&gt;"",IFERROR(INDEX(Income!B$3:B$502,SMALL(IF((Income!D$3:D$502="INR")*(Income!A$3:A$502=DATE(2026,3,8)),ROW(Income!A$3:A$502)-2),2)),""),""))</f>
        <v/>
      </c>
      <c r="Q50" s="16"/>
      <c r="R50" s="16"/>
    </row>
    <row r="51" customFormat="false" ht="15" hidden="false" customHeight="false" outlineLevel="0" collapsed="false">
      <c r="A51" s="16"/>
      <c r="B51" s="16"/>
      <c r="C51" s="63" t="str">
        <f aca="false">IF(IFERROR(-INDEX(Expenses!D$3:D$1002,SMALL(IF((Expenses!E$3:E$1002="INR")*(Expenses!A$3:A$1002=DATE(2026,3,2)),ROW(Expenses!A$3:A$1002)-2),3)),0)+IFERROR(INDEX(Income!C$3:C$502,SMALL(IF((Income!D$3:D$502="INR")*(Income!A$3:A$502=DATE(2026,3,2)),ROW(Income!A$3:A$502)-2),3)),0)=0,"",IFERROR(-INDEX(Expenses!D$3:D$1002,SMALL(IF((Expenses!E$3:E$1002="INR")*(Expenses!A$3:A$1002=DATE(2026,3,2)),ROW(Expenses!A$3:A$1002)-2),3)),0)+IFERROR(INDEX(Income!C$3:C$502,SMALL(IF((Income!D$3:D$502="INR")*(Income!A$3:A$502=DATE(2026,3,2)),ROW(Income!A$3:A$502)-2),3)),0))</f>
        <v/>
      </c>
      <c r="D51" s="38" t="str">
        <f aca="false">IF(IFERROR(INDEX(Expenses!B$3:B$1002,SMALL(IF((Expenses!E$3:E$1002="INR")*(Expenses!A$3:A$1002=DATE(2026,3,2)),ROW(Expenses!A$3:A$1002)-2),3)),"")&lt;&gt;"",IFERROR(INDEX(Expenses!B$3:B$1002,SMALL(IF((Expenses!E$3:E$1002="INR")*(Expenses!A$3:A$1002=DATE(2026,3,2)),ROW(Expenses!A$3:A$1002)-2),3)),""),IF(IFERROR(INDEX(Income!B$3:B$502,SMALL(IF((Income!D$3:D$502="INR")*(Income!A$3:A$502=DATE(2026,3,2)),ROW(Income!A$3:A$502)-2),3)),"")&lt;&gt;"",IFERROR(INDEX(Income!B$3:B$502,SMALL(IF((Income!D$3:D$502="INR")*(Income!A$3:A$502=DATE(2026,3,2)),ROW(Income!A$3:A$502)-2),3)),""),""))</f>
        <v/>
      </c>
      <c r="E51" s="63" t="str">
        <f aca="false">IF(IFERROR(-INDEX(Expenses!D$3:D$1002,SMALL(IF((Expenses!E$3:E$1002="INR")*(Expenses!A$3:A$1002=DATE(2026,3,3)),ROW(Expenses!A$3:A$1002)-2),3)),0)+IFERROR(INDEX(Income!C$3:C$502,SMALL(IF((Income!D$3:D$502="INR")*(Income!A$3:A$502=DATE(2026,3,3)),ROW(Income!A$3:A$502)-2),3)),0)=0,"",IFERROR(-INDEX(Expenses!D$3:D$1002,SMALL(IF((Expenses!E$3:E$1002="INR")*(Expenses!A$3:A$1002=DATE(2026,3,3)),ROW(Expenses!A$3:A$1002)-2),3)),0)+IFERROR(INDEX(Income!C$3:C$502,SMALL(IF((Income!D$3:D$502="INR")*(Income!A$3:A$502=DATE(2026,3,3)),ROW(Income!A$3:A$502)-2),3)),0))</f>
        <v/>
      </c>
      <c r="F51" s="38" t="str">
        <f aca="false">IF(IFERROR(INDEX(Expenses!B$3:B$1002,SMALL(IF((Expenses!E$3:E$1002="INR")*(Expenses!A$3:A$1002=DATE(2026,3,3)),ROW(Expenses!A$3:A$1002)-2),3)),"")&lt;&gt;"",IFERROR(INDEX(Expenses!B$3:B$1002,SMALL(IF((Expenses!E$3:E$1002="INR")*(Expenses!A$3:A$1002=DATE(2026,3,3)),ROW(Expenses!A$3:A$1002)-2),3)),""),IF(IFERROR(INDEX(Income!B$3:B$502,SMALL(IF((Income!D$3:D$502="INR")*(Income!A$3:A$502=DATE(2026,3,3)),ROW(Income!A$3:A$502)-2),3)),"")&lt;&gt;"",IFERROR(INDEX(Income!B$3:B$502,SMALL(IF((Income!D$3:D$502="INR")*(Income!A$3:A$502=DATE(2026,3,3)),ROW(Income!A$3:A$502)-2),3)),""),""))</f>
        <v/>
      </c>
      <c r="G51" s="63" t="str">
        <f aca="false">IF(IFERROR(-INDEX(Expenses!D$3:D$1002,SMALL(IF((Expenses!E$3:E$1002="INR")*(Expenses!A$3:A$1002=DATE(2026,3,4)),ROW(Expenses!A$3:A$1002)-2),3)),0)+IFERROR(INDEX(Income!C$3:C$502,SMALL(IF((Income!D$3:D$502="INR")*(Income!A$3:A$502=DATE(2026,3,4)),ROW(Income!A$3:A$502)-2),3)),0)=0,"",IFERROR(-INDEX(Expenses!D$3:D$1002,SMALL(IF((Expenses!E$3:E$1002="INR")*(Expenses!A$3:A$1002=DATE(2026,3,4)),ROW(Expenses!A$3:A$1002)-2),3)),0)+IFERROR(INDEX(Income!C$3:C$502,SMALL(IF((Income!D$3:D$502="INR")*(Income!A$3:A$502=DATE(2026,3,4)),ROW(Income!A$3:A$502)-2),3)),0))</f>
        <v/>
      </c>
      <c r="H51" s="38" t="str">
        <f aca="false">IF(IFERROR(INDEX(Expenses!B$3:B$1002,SMALL(IF((Expenses!E$3:E$1002="INR")*(Expenses!A$3:A$1002=DATE(2026,3,4)),ROW(Expenses!A$3:A$1002)-2),3)),"")&lt;&gt;"",IFERROR(INDEX(Expenses!B$3:B$1002,SMALL(IF((Expenses!E$3:E$1002="INR")*(Expenses!A$3:A$1002=DATE(2026,3,4)),ROW(Expenses!A$3:A$1002)-2),3)),""),IF(IFERROR(INDEX(Income!B$3:B$502,SMALL(IF((Income!D$3:D$502="INR")*(Income!A$3:A$502=DATE(2026,3,4)),ROW(Income!A$3:A$502)-2),3)),"")&lt;&gt;"",IFERROR(INDEX(Income!B$3:B$502,SMALL(IF((Income!D$3:D$502="INR")*(Income!A$3:A$502=DATE(2026,3,4)),ROW(Income!A$3:A$502)-2),3)),""),""))</f>
        <v/>
      </c>
      <c r="I51" s="63" t="str">
        <f aca="false">IF(IFERROR(-INDEX(Expenses!D$3:D$1002,SMALL(IF((Expenses!E$3:E$1002="INR")*(Expenses!A$3:A$1002=DATE(2026,3,5)),ROW(Expenses!A$3:A$1002)-2),3)),0)+IFERROR(INDEX(Income!C$3:C$502,SMALL(IF((Income!D$3:D$502="INR")*(Income!A$3:A$502=DATE(2026,3,5)),ROW(Income!A$3:A$502)-2),3)),0)=0,"",IFERROR(-INDEX(Expenses!D$3:D$1002,SMALL(IF((Expenses!E$3:E$1002="INR")*(Expenses!A$3:A$1002=DATE(2026,3,5)),ROW(Expenses!A$3:A$1002)-2),3)),0)+IFERROR(INDEX(Income!C$3:C$502,SMALL(IF((Income!D$3:D$502="INR")*(Income!A$3:A$502=DATE(2026,3,5)),ROW(Income!A$3:A$502)-2),3)),0))</f>
        <v/>
      </c>
      <c r="J51" s="38" t="str">
        <f aca="false">IF(IFERROR(INDEX(Expenses!B$3:B$1002,SMALL(IF((Expenses!E$3:E$1002="INR")*(Expenses!A$3:A$1002=DATE(2026,3,5)),ROW(Expenses!A$3:A$1002)-2),3)),"")&lt;&gt;"",IFERROR(INDEX(Expenses!B$3:B$1002,SMALL(IF((Expenses!E$3:E$1002="INR")*(Expenses!A$3:A$1002=DATE(2026,3,5)),ROW(Expenses!A$3:A$1002)-2),3)),""),IF(IFERROR(INDEX(Income!B$3:B$502,SMALL(IF((Income!D$3:D$502="INR")*(Income!A$3:A$502=DATE(2026,3,5)),ROW(Income!A$3:A$502)-2),3)),"")&lt;&gt;"",IFERROR(INDEX(Income!B$3:B$502,SMALL(IF((Income!D$3:D$502="INR")*(Income!A$3:A$502=DATE(2026,3,5)),ROW(Income!A$3:A$502)-2),3)),""),""))</f>
        <v/>
      </c>
      <c r="K51" s="63" t="str">
        <f aca="false">IF(IFERROR(-INDEX(Expenses!D$3:D$1002,SMALL(IF((Expenses!E$3:E$1002="INR")*(Expenses!A$3:A$1002=DATE(2026,3,6)),ROW(Expenses!A$3:A$1002)-2),3)),0)+IFERROR(INDEX(Income!C$3:C$502,SMALL(IF((Income!D$3:D$502="INR")*(Income!A$3:A$502=DATE(2026,3,6)),ROW(Income!A$3:A$502)-2),3)),0)=0,"",IFERROR(-INDEX(Expenses!D$3:D$1002,SMALL(IF((Expenses!E$3:E$1002="INR")*(Expenses!A$3:A$1002=DATE(2026,3,6)),ROW(Expenses!A$3:A$1002)-2),3)),0)+IFERROR(INDEX(Income!C$3:C$502,SMALL(IF((Income!D$3:D$502="INR")*(Income!A$3:A$502=DATE(2026,3,6)),ROW(Income!A$3:A$502)-2),3)),0))</f>
        <v/>
      </c>
      <c r="L51" s="38" t="str">
        <f aca="false">IF(IFERROR(INDEX(Expenses!B$3:B$1002,SMALL(IF((Expenses!E$3:E$1002="INR")*(Expenses!A$3:A$1002=DATE(2026,3,6)),ROW(Expenses!A$3:A$1002)-2),3)),"")&lt;&gt;"",IFERROR(INDEX(Expenses!B$3:B$1002,SMALL(IF((Expenses!E$3:E$1002="INR")*(Expenses!A$3:A$1002=DATE(2026,3,6)),ROW(Expenses!A$3:A$1002)-2),3)),""),IF(IFERROR(INDEX(Income!B$3:B$502,SMALL(IF((Income!D$3:D$502="INR")*(Income!A$3:A$502=DATE(2026,3,6)),ROW(Income!A$3:A$502)-2),3)),"")&lt;&gt;"",IFERROR(INDEX(Income!B$3:B$502,SMALL(IF((Income!D$3:D$502="INR")*(Income!A$3:A$502=DATE(2026,3,6)),ROW(Income!A$3:A$502)-2),3)),""),""))</f>
        <v/>
      </c>
      <c r="M51" s="63" t="str">
        <f aca="false">IF(IFERROR(-INDEX(Expenses!D$3:D$1002,SMALL(IF((Expenses!E$3:E$1002="INR")*(Expenses!A$3:A$1002=DATE(2026,3,7)),ROW(Expenses!A$3:A$1002)-2),3)),0)+IFERROR(INDEX(Income!C$3:C$502,SMALL(IF((Income!D$3:D$502="INR")*(Income!A$3:A$502=DATE(2026,3,7)),ROW(Income!A$3:A$502)-2),3)),0)=0,"",IFERROR(-INDEX(Expenses!D$3:D$1002,SMALL(IF((Expenses!E$3:E$1002="INR")*(Expenses!A$3:A$1002=DATE(2026,3,7)),ROW(Expenses!A$3:A$1002)-2),3)),0)+IFERROR(INDEX(Income!C$3:C$502,SMALL(IF((Income!D$3:D$502="INR")*(Income!A$3:A$502=DATE(2026,3,7)),ROW(Income!A$3:A$502)-2),3)),0))</f>
        <v/>
      </c>
      <c r="N51" s="38" t="str">
        <f aca="false">IF(IFERROR(INDEX(Expenses!B$3:B$1002,SMALL(IF((Expenses!E$3:E$1002="INR")*(Expenses!A$3:A$1002=DATE(2026,3,7)),ROW(Expenses!A$3:A$1002)-2),3)),"")&lt;&gt;"",IFERROR(INDEX(Expenses!B$3:B$1002,SMALL(IF((Expenses!E$3:E$1002="INR")*(Expenses!A$3:A$1002=DATE(2026,3,7)),ROW(Expenses!A$3:A$1002)-2),3)),""),IF(IFERROR(INDEX(Income!B$3:B$502,SMALL(IF((Income!D$3:D$502="INR")*(Income!A$3:A$502=DATE(2026,3,7)),ROW(Income!A$3:A$502)-2),3)),"")&lt;&gt;"",IFERROR(INDEX(Income!B$3:B$502,SMALL(IF((Income!D$3:D$502="INR")*(Income!A$3:A$502=DATE(2026,3,7)),ROW(Income!A$3:A$502)-2),3)),""),""))</f>
        <v/>
      </c>
      <c r="O51" s="63" t="str">
        <f aca="false">IF(IFERROR(-INDEX(Expenses!D$3:D$1002,SMALL(IF((Expenses!E$3:E$1002="INR")*(Expenses!A$3:A$1002=DATE(2026,3,8)),ROW(Expenses!A$3:A$1002)-2),3)),0)+IFERROR(INDEX(Income!C$3:C$502,SMALL(IF((Income!D$3:D$502="INR")*(Income!A$3:A$502=DATE(2026,3,8)),ROW(Income!A$3:A$502)-2),3)),0)=0,"",IFERROR(-INDEX(Expenses!D$3:D$1002,SMALL(IF((Expenses!E$3:E$1002="INR")*(Expenses!A$3:A$1002=DATE(2026,3,8)),ROW(Expenses!A$3:A$1002)-2),3)),0)+IFERROR(INDEX(Income!C$3:C$502,SMALL(IF((Income!D$3:D$502="INR")*(Income!A$3:A$502=DATE(2026,3,8)),ROW(Income!A$3:A$502)-2),3)),0))</f>
        <v/>
      </c>
      <c r="P51" s="38" t="str">
        <f aca="false">IF(IFERROR(INDEX(Expenses!B$3:B$1002,SMALL(IF((Expenses!E$3:E$1002="INR")*(Expenses!A$3:A$1002=DATE(2026,3,8)),ROW(Expenses!A$3:A$1002)-2),3)),"")&lt;&gt;"",IFERROR(INDEX(Expenses!B$3:B$1002,SMALL(IF((Expenses!E$3:E$1002="INR")*(Expenses!A$3:A$1002=DATE(2026,3,8)),ROW(Expenses!A$3:A$1002)-2),3)),""),IF(IFERROR(INDEX(Income!B$3:B$502,SMALL(IF((Income!D$3:D$502="INR")*(Income!A$3:A$502=DATE(2026,3,8)),ROW(Income!A$3:A$502)-2),3)),"")&lt;&gt;"",IFERROR(INDEX(Income!B$3:B$502,SMALL(IF((Income!D$3:D$502="INR")*(Income!A$3:A$502=DATE(2026,3,8)),ROW(Income!A$3:A$502)-2),3)),""),""))</f>
        <v/>
      </c>
      <c r="Q51" s="16"/>
      <c r="R51" s="16"/>
    </row>
    <row r="52" customFormat="false" ht="15" hidden="false" customHeight="false" outlineLevel="0" collapsed="false">
      <c r="A52" s="16"/>
      <c r="B52" s="16"/>
      <c r="C52" s="63" t="str">
        <f aca="false">IF(IFERROR(-INDEX(Expenses!D$3:D$1002,SMALL(IF((Expenses!E$3:E$1002="INR")*(Expenses!A$3:A$1002=DATE(2026,3,2)),ROW(Expenses!A$3:A$1002)-2),4)),0)+IFERROR(INDEX(Income!C$3:C$502,SMALL(IF((Income!D$3:D$502="INR")*(Income!A$3:A$502=DATE(2026,3,2)),ROW(Income!A$3:A$502)-2),4)),0)=0,"",IFERROR(-INDEX(Expenses!D$3:D$1002,SMALL(IF((Expenses!E$3:E$1002="INR")*(Expenses!A$3:A$1002=DATE(2026,3,2)),ROW(Expenses!A$3:A$1002)-2),4)),0)+IFERROR(INDEX(Income!C$3:C$502,SMALL(IF((Income!D$3:D$502="INR")*(Income!A$3:A$502=DATE(2026,3,2)),ROW(Income!A$3:A$502)-2),4)),0))</f>
        <v/>
      </c>
      <c r="D52" s="38" t="str">
        <f aca="false">IF(IFERROR(INDEX(Expenses!B$3:B$1002,SMALL(IF((Expenses!E$3:E$1002="INR")*(Expenses!A$3:A$1002=DATE(2026,3,2)),ROW(Expenses!A$3:A$1002)-2),4)),"")&lt;&gt;"",IFERROR(INDEX(Expenses!B$3:B$1002,SMALL(IF((Expenses!E$3:E$1002="INR")*(Expenses!A$3:A$1002=DATE(2026,3,2)),ROW(Expenses!A$3:A$1002)-2),4)),""),IF(IFERROR(INDEX(Income!B$3:B$502,SMALL(IF((Income!D$3:D$502="INR")*(Income!A$3:A$502=DATE(2026,3,2)),ROW(Income!A$3:A$502)-2),4)),"")&lt;&gt;"",IFERROR(INDEX(Income!B$3:B$502,SMALL(IF((Income!D$3:D$502="INR")*(Income!A$3:A$502=DATE(2026,3,2)),ROW(Income!A$3:A$502)-2),4)),""),""))</f>
        <v/>
      </c>
      <c r="E52" s="63" t="str">
        <f aca="false">IF(IFERROR(-INDEX(Expenses!D$3:D$1002,SMALL(IF((Expenses!E$3:E$1002="INR")*(Expenses!A$3:A$1002=DATE(2026,3,3)),ROW(Expenses!A$3:A$1002)-2),4)),0)+IFERROR(INDEX(Income!C$3:C$502,SMALL(IF((Income!D$3:D$502="INR")*(Income!A$3:A$502=DATE(2026,3,3)),ROW(Income!A$3:A$502)-2),4)),0)=0,"",IFERROR(-INDEX(Expenses!D$3:D$1002,SMALL(IF((Expenses!E$3:E$1002="INR")*(Expenses!A$3:A$1002=DATE(2026,3,3)),ROW(Expenses!A$3:A$1002)-2),4)),0)+IFERROR(INDEX(Income!C$3:C$502,SMALL(IF((Income!D$3:D$502="INR")*(Income!A$3:A$502=DATE(2026,3,3)),ROW(Income!A$3:A$502)-2),4)),0))</f>
        <v/>
      </c>
      <c r="F52" s="38" t="str">
        <f aca="false">IF(IFERROR(INDEX(Expenses!B$3:B$1002,SMALL(IF((Expenses!E$3:E$1002="INR")*(Expenses!A$3:A$1002=DATE(2026,3,3)),ROW(Expenses!A$3:A$1002)-2),4)),"")&lt;&gt;"",IFERROR(INDEX(Expenses!B$3:B$1002,SMALL(IF((Expenses!E$3:E$1002="INR")*(Expenses!A$3:A$1002=DATE(2026,3,3)),ROW(Expenses!A$3:A$1002)-2),4)),""),IF(IFERROR(INDEX(Income!B$3:B$502,SMALL(IF((Income!D$3:D$502="INR")*(Income!A$3:A$502=DATE(2026,3,3)),ROW(Income!A$3:A$502)-2),4)),"")&lt;&gt;"",IFERROR(INDEX(Income!B$3:B$502,SMALL(IF((Income!D$3:D$502="INR")*(Income!A$3:A$502=DATE(2026,3,3)),ROW(Income!A$3:A$502)-2),4)),""),""))</f>
        <v/>
      </c>
      <c r="G52" s="63" t="str">
        <f aca="false">IF(IFERROR(-INDEX(Expenses!D$3:D$1002,SMALL(IF((Expenses!E$3:E$1002="INR")*(Expenses!A$3:A$1002=DATE(2026,3,4)),ROW(Expenses!A$3:A$1002)-2),4)),0)+IFERROR(INDEX(Income!C$3:C$502,SMALL(IF((Income!D$3:D$502="INR")*(Income!A$3:A$502=DATE(2026,3,4)),ROW(Income!A$3:A$502)-2),4)),0)=0,"",IFERROR(-INDEX(Expenses!D$3:D$1002,SMALL(IF((Expenses!E$3:E$1002="INR")*(Expenses!A$3:A$1002=DATE(2026,3,4)),ROW(Expenses!A$3:A$1002)-2),4)),0)+IFERROR(INDEX(Income!C$3:C$502,SMALL(IF((Income!D$3:D$502="INR")*(Income!A$3:A$502=DATE(2026,3,4)),ROW(Income!A$3:A$502)-2),4)),0))</f>
        <v/>
      </c>
      <c r="H52" s="38" t="str">
        <f aca="false">IF(IFERROR(INDEX(Expenses!B$3:B$1002,SMALL(IF((Expenses!E$3:E$1002="INR")*(Expenses!A$3:A$1002=DATE(2026,3,4)),ROW(Expenses!A$3:A$1002)-2),4)),"")&lt;&gt;"",IFERROR(INDEX(Expenses!B$3:B$1002,SMALL(IF((Expenses!E$3:E$1002="INR")*(Expenses!A$3:A$1002=DATE(2026,3,4)),ROW(Expenses!A$3:A$1002)-2),4)),""),IF(IFERROR(INDEX(Income!B$3:B$502,SMALL(IF((Income!D$3:D$502="INR")*(Income!A$3:A$502=DATE(2026,3,4)),ROW(Income!A$3:A$502)-2),4)),"")&lt;&gt;"",IFERROR(INDEX(Income!B$3:B$502,SMALL(IF((Income!D$3:D$502="INR")*(Income!A$3:A$502=DATE(2026,3,4)),ROW(Income!A$3:A$502)-2),4)),""),""))</f>
        <v/>
      </c>
      <c r="I52" s="63" t="str">
        <f aca="false">IF(IFERROR(-INDEX(Expenses!D$3:D$1002,SMALL(IF((Expenses!E$3:E$1002="INR")*(Expenses!A$3:A$1002=DATE(2026,3,5)),ROW(Expenses!A$3:A$1002)-2),4)),0)+IFERROR(INDEX(Income!C$3:C$502,SMALL(IF((Income!D$3:D$502="INR")*(Income!A$3:A$502=DATE(2026,3,5)),ROW(Income!A$3:A$502)-2),4)),0)=0,"",IFERROR(-INDEX(Expenses!D$3:D$1002,SMALL(IF((Expenses!E$3:E$1002="INR")*(Expenses!A$3:A$1002=DATE(2026,3,5)),ROW(Expenses!A$3:A$1002)-2),4)),0)+IFERROR(INDEX(Income!C$3:C$502,SMALL(IF((Income!D$3:D$502="INR")*(Income!A$3:A$502=DATE(2026,3,5)),ROW(Income!A$3:A$502)-2),4)),0))</f>
        <v/>
      </c>
      <c r="J52" s="38" t="str">
        <f aca="false">IF(IFERROR(INDEX(Expenses!B$3:B$1002,SMALL(IF((Expenses!E$3:E$1002="INR")*(Expenses!A$3:A$1002=DATE(2026,3,5)),ROW(Expenses!A$3:A$1002)-2),4)),"")&lt;&gt;"",IFERROR(INDEX(Expenses!B$3:B$1002,SMALL(IF((Expenses!E$3:E$1002="INR")*(Expenses!A$3:A$1002=DATE(2026,3,5)),ROW(Expenses!A$3:A$1002)-2),4)),""),IF(IFERROR(INDEX(Income!B$3:B$502,SMALL(IF((Income!D$3:D$502="INR")*(Income!A$3:A$502=DATE(2026,3,5)),ROW(Income!A$3:A$502)-2),4)),"")&lt;&gt;"",IFERROR(INDEX(Income!B$3:B$502,SMALL(IF((Income!D$3:D$502="INR")*(Income!A$3:A$502=DATE(2026,3,5)),ROW(Income!A$3:A$502)-2),4)),""),""))</f>
        <v/>
      </c>
      <c r="K52" s="63" t="str">
        <f aca="false">IF(IFERROR(-INDEX(Expenses!D$3:D$1002,SMALL(IF((Expenses!E$3:E$1002="INR")*(Expenses!A$3:A$1002=DATE(2026,3,6)),ROW(Expenses!A$3:A$1002)-2),4)),0)+IFERROR(INDEX(Income!C$3:C$502,SMALL(IF((Income!D$3:D$502="INR")*(Income!A$3:A$502=DATE(2026,3,6)),ROW(Income!A$3:A$502)-2),4)),0)=0,"",IFERROR(-INDEX(Expenses!D$3:D$1002,SMALL(IF((Expenses!E$3:E$1002="INR")*(Expenses!A$3:A$1002=DATE(2026,3,6)),ROW(Expenses!A$3:A$1002)-2),4)),0)+IFERROR(INDEX(Income!C$3:C$502,SMALL(IF((Income!D$3:D$502="INR")*(Income!A$3:A$502=DATE(2026,3,6)),ROW(Income!A$3:A$502)-2),4)),0))</f>
        <v/>
      </c>
      <c r="L52" s="38" t="str">
        <f aca="false">IF(IFERROR(INDEX(Expenses!B$3:B$1002,SMALL(IF((Expenses!E$3:E$1002="INR")*(Expenses!A$3:A$1002=DATE(2026,3,6)),ROW(Expenses!A$3:A$1002)-2),4)),"")&lt;&gt;"",IFERROR(INDEX(Expenses!B$3:B$1002,SMALL(IF((Expenses!E$3:E$1002="INR")*(Expenses!A$3:A$1002=DATE(2026,3,6)),ROW(Expenses!A$3:A$1002)-2),4)),""),IF(IFERROR(INDEX(Income!B$3:B$502,SMALL(IF((Income!D$3:D$502="INR")*(Income!A$3:A$502=DATE(2026,3,6)),ROW(Income!A$3:A$502)-2),4)),"")&lt;&gt;"",IFERROR(INDEX(Income!B$3:B$502,SMALL(IF((Income!D$3:D$502="INR")*(Income!A$3:A$502=DATE(2026,3,6)),ROW(Income!A$3:A$502)-2),4)),""),""))</f>
        <v/>
      </c>
      <c r="M52" s="63" t="str">
        <f aca="false">IF(IFERROR(-INDEX(Expenses!D$3:D$1002,SMALL(IF((Expenses!E$3:E$1002="INR")*(Expenses!A$3:A$1002=DATE(2026,3,7)),ROW(Expenses!A$3:A$1002)-2),4)),0)+IFERROR(INDEX(Income!C$3:C$502,SMALL(IF((Income!D$3:D$502="INR")*(Income!A$3:A$502=DATE(2026,3,7)),ROW(Income!A$3:A$502)-2),4)),0)=0,"",IFERROR(-INDEX(Expenses!D$3:D$1002,SMALL(IF((Expenses!E$3:E$1002="INR")*(Expenses!A$3:A$1002=DATE(2026,3,7)),ROW(Expenses!A$3:A$1002)-2),4)),0)+IFERROR(INDEX(Income!C$3:C$502,SMALL(IF((Income!D$3:D$502="INR")*(Income!A$3:A$502=DATE(2026,3,7)),ROW(Income!A$3:A$502)-2),4)),0))</f>
        <v/>
      </c>
      <c r="N52" s="38" t="str">
        <f aca="false">IF(IFERROR(INDEX(Expenses!B$3:B$1002,SMALL(IF((Expenses!E$3:E$1002="INR")*(Expenses!A$3:A$1002=DATE(2026,3,7)),ROW(Expenses!A$3:A$1002)-2),4)),"")&lt;&gt;"",IFERROR(INDEX(Expenses!B$3:B$1002,SMALL(IF((Expenses!E$3:E$1002="INR")*(Expenses!A$3:A$1002=DATE(2026,3,7)),ROW(Expenses!A$3:A$1002)-2),4)),""),IF(IFERROR(INDEX(Income!B$3:B$502,SMALL(IF((Income!D$3:D$502="INR")*(Income!A$3:A$502=DATE(2026,3,7)),ROW(Income!A$3:A$502)-2),4)),"")&lt;&gt;"",IFERROR(INDEX(Income!B$3:B$502,SMALL(IF((Income!D$3:D$502="INR")*(Income!A$3:A$502=DATE(2026,3,7)),ROW(Income!A$3:A$502)-2),4)),""),""))</f>
        <v/>
      </c>
      <c r="O52" s="63" t="str">
        <f aca="false">IF(IFERROR(-INDEX(Expenses!D$3:D$1002,SMALL(IF((Expenses!E$3:E$1002="INR")*(Expenses!A$3:A$1002=DATE(2026,3,8)),ROW(Expenses!A$3:A$1002)-2),4)),0)+IFERROR(INDEX(Income!C$3:C$502,SMALL(IF((Income!D$3:D$502="INR")*(Income!A$3:A$502=DATE(2026,3,8)),ROW(Income!A$3:A$502)-2),4)),0)=0,"",IFERROR(-INDEX(Expenses!D$3:D$1002,SMALL(IF((Expenses!E$3:E$1002="INR")*(Expenses!A$3:A$1002=DATE(2026,3,8)),ROW(Expenses!A$3:A$1002)-2),4)),0)+IFERROR(INDEX(Income!C$3:C$502,SMALL(IF((Income!D$3:D$502="INR")*(Income!A$3:A$502=DATE(2026,3,8)),ROW(Income!A$3:A$502)-2),4)),0))</f>
        <v/>
      </c>
      <c r="P52" s="38" t="str">
        <f aca="false">IF(IFERROR(INDEX(Expenses!B$3:B$1002,SMALL(IF((Expenses!E$3:E$1002="INR")*(Expenses!A$3:A$1002=DATE(2026,3,8)),ROW(Expenses!A$3:A$1002)-2),4)),"")&lt;&gt;"",IFERROR(INDEX(Expenses!B$3:B$1002,SMALL(IF((Expenses!E$3:E$1002="INR")*(Expenses!A$3:A$1002=DATE(2026,3,8)),ROW(Expenses!A$3:A$1002)-2),4)),""),IF(IFERROR(INDEX(Income!B$3:B$502,SMALL(IF((Income!D$3:D$502="INR")*(Income!A$3:A$502=DATE(2026,3,8)),ROW(Income!A$3:A$502)-2),4)),"")&lt;&gt;"",IFERROR(INDEX(Income!B$3:B$502,SMALL(IF((Income!D$3:D$502="INR")*(Income!A$3:A$502=DATE(2026,3,8)),ROW(Income!A$3:A$502)-2),4)),""),""))</f>
        <v/>
      </c>
      <c r="Q52" s="16"/>
      <c r="R52" s="16"/>
    </row>
    <row r="53" customFormat="false" ht="15" hidden="false" customHeight="false" outlineLevel="0" collapsed="false">
      <c r="A53" s="16"/>
      <c r="B53" s="16"/>
      <c r="C53" s="63" t="str">
        <f aca="false">IF(IFERROR(-INDEX(Expenses!D$3:D$1002,SMALL(IF((Expenses!E$3:E$1002="INR")*(Expenses!A$3:A$1002=DATE(2026,3,2)),ROW(Expenses!A$3:A$1002)-2),5)),0)+IFERROR(INDEX(Income!C$3:C$502,SMALL(IF((Income!D$3:D$502="INR")*(Income!A$3:A$502=DATE(2026,3,2)),ROW(Income!A$3:A$502)-2),5)),0)=0,"",IFERROR(-INDEX(Expenses!D$3:D$1002,SMALL(IF((Expenses!E$3:E$1002="INR")*(Expenses!A$3:A$1002=DATE(2026,3,2)),ROW(Expenses!A$3:A$1002)-2),5)),0)+IFERROR(INDEX(Income!C$3:C$502,SMALL(IF((Income!D$3:D$502="INR")*(Income!A$3:A$502=DATE(2026,3,2)),ROW(Income!A$3:A$502)-2),5)),0))</f>
        <v/>
      </c>
      <c r="D53" s="38" t="str">
        <f aca="false">IF(IFERROR(INDEX(Expenses!B$3:B$1002,SMALL(IF((Expenses!E$3:E$1002="INR")*(Expenses!A$3:A$1002=DATE(2026,3,2)),ROW(Expenses!A$3:A$1002)-2),5)),"")&lt;&gt;"",IFERROR(INDEX(Expenses!B$3:B$1002,SMALL(IF((Expenses!E$3:E$1002="INR")*(Expenses!A$3:A$1002=DATE(2026,3,2)),ROW(Expenses!A$3:A$1002)-2),5)),""),IF(IFERROR(INDEX(Income!B$3:B$502,SMALL(IF((Income!D$3:D$502="INR")*(Income!A$3:A$502=DATE(2026,3,2)),ROW(Income!A$3:A$502)-2),5)),"")&lt;&gt;"",IFERROR(INDEX(Income!B$3:B$502,SMALL(IF((Income!D$3:D$502="INR")*(Income!A$3:A$502=DATE(2026,3,2)),ROW(Income!A$3:A$502)-2),5)),""),""))</f>
        <v/>
      </c>
      <c r="E53" s="63" t="str">
        <f aca="false">IF(IFERROR(-INDEX(Expenses!D$3:D$1002,SMALL(IF((Expenses!E$3:E$1002="INR")*(Expenses!A$3:A$1002=DATE(2026,3,3)),ROW(Expenses!A$3:A$1002)-2),5)),0)+IFERROR(INDEX(Income!C$3:C$502,SMALL(IF((Income!D$3:D$502="INR")*(Income!A$3:A$502=DATE(2026,3,3)),ROW(Income!A$3:A$502)-2),5)),0)=0,"",IFERROR(-INDEX(Expenses!D$3:D$1002,SMALL(IF((Expenses!E$3:E$1002="INR")*(Expenses!A$3:A$1002=DATE(2026,3,3)),ROW(Expenses!A$3:A$1002)-2),5)),0)+IFERROR(INDEX(Income!C$3:C$502,SMALL(IF((Income!D$3:D$502="INR")*(Income!A$3:A$502=DATE(2026,3,3)),ROW(Income!A$3:A$502)-2),5)),0))</f>
        <v/>
      </c>
      <c r="F53" s="38" t="str">
        <f aca="false">IF(IFERROR(INDEX(Expenses!B$3:B$1002,SMALL(IF((Expenses!E$3:E$1002="INR")*(Expenses!A$3:A$1002=DATE(2026,3,3)),ROW(Expenses!A$3:A$1002)-2),5)),"")&lt;&gt;"",IFERROR(INDEX(Expenses!B$3:B$1002,SMALL(IF((Expenses!E$3:E$1002="INR")*(Expenses!A$3:A$1002=DATE(2026,3,3)),ROW(Expenses!A$3:A$1002)-2),5)),""),IF(IFERROR(INDEX(Income!B$3:B$502,SMALL(IF((Income!D$3:D$502="INR")*(Income!A$3:A$502=DATE(2026,3,3)),ROW(Income!A$3:A$502)-2),5)),"")&lt;&gt;"",IFERROR(INDEX(Income!B$3:B$502,SMALL(IF((Income!D$3:D$502="INR")*(Income!A$3:A$502=DATE(2026,3,3)),ROW(Income!A$3:A$502)-2),5)),""),""))</f>
        <v/>
      </c>
      <c r="G53" s="63" t="str">
        <f aca="false">IF(IFERROR(-INDEX(Expenses!D$3:D$1002,SMALL(IF((Expenses!E$3:E$1002="INR")*(Expenses!A$3:A$1002=DATE(2026,3,4)),ROW(Expenses!A$3:A$1002)-2),5)),0)+IFERROR(INDEX(Income!C$3:C$502,SMALL(IF((Income!D$3:D$502="INR")*(Income!A$3:A$502=DATE(2026,3,4)),ROW(Income!A$3:A$502)-2),5)),0)=0,"",IFERROR(-INDEX(Expenses!D$3:D$1002,SMALL(IF((Expenses!E$3:E$1002="INR")*(Expenses!A$3:A$1002=DATE(2026,3,4)),ROW(Expenses!A$3:A$1002)-2),5)),0)+IFERROR(INDEX(Income!C$3:C$502,SMALL(IF((Income!D$3:D$502="INR")*(Income!A$3:A$502=DATE(2026,3,4)),ROW(Income!A$3:A$502)-2),5)),0))</f>
        <v/>
      </c>
      <c r="H53" s="38" t="str">
        <f aca="false">IF(IFERROR(INDEX(Expenses!B$3:B$1002,SMALL(IF((Expenses!E$3:E$1002="INR")*(Expenses!A$3:A$1002=DATE(2026,3,4)),ROW(Expenses!A$3:A$1002)-2),5)),"")&lt;&gt;"",IFERROR(INDEX(Expenses!B$3:B$1002,SMALL(IF((Expenses!E$3:E$1002="INR")*(Expenses!A$3:A$1002=DATE(2026,3,4)),ROW(Expenses!A$3:A$1002)-2),5)),""),IF(IFERROR(INDEX(Income!B$3:B$502,SMALL(IF((Income!D$3:D$502="INR")*(Income!A$3:A$502=DATE(2026,3,4)),ROW(Income!A$3:A$502)-2),5)),"")&lt;&gt;"",IFERROR(INDEX(Income!B$3:B$502,SMALL(IF((Income!D$3:D$502="INR")*(Income!A$3:A$502=DATE(2026,3,4)),ROW(Income!A$3:A$502)-2),5)),""),""))</f>
        <v/>
      </c>
      <c r="I53" s="63" t="str">
        <f aca="false">IF(IFERROR(-INDEX(Expenses!D$3:D$1002,SMALL(IF((Expenses!E$3:E$1002="INR")*(Expenses!A$3:A$1002=DATE(2026,3,5)),ROW(Expenses!A$3:A$1002)-2),5)),0)+IFERROR(INDEX(Income!C$3:C$502,SMALL(IF((Income!D$3:D$502="INR")*(Income!A$3:A$502=DATE(2026,3,5)),ROW(Income!A$3:A$502)-2),5)),0)=0,"",IFERROR(-INDEX(Expenses!D$3:D$1002,SMALL(IF((Expenses!E$3:E$1002="INR")*(Expenses!A$3:A$1002=DATE(2026,3,5)),ROW(Expenses!A$3:A$1002)-2),5)),0)+IFERROR(INDEX(Income!C$3:C$502,SMALL(IF((Income!D$3:D$502="INR")*(Income!A$3:A$502=DATE(2026,3,5)),ROW(Income!A$3:A$502)-2),5)),0))</f>
        <v/>
      </c>
      <c r="J53" s="38" t="str">
        <f aca="false">IF(IFERROR(INDEX(Expenses!B$3:B$1002,SMALL(IF((Expenses!E$3:E$1002="INR")*(Expenses!A$3:A$1002=DATE(2026,3,5)),ROW(Expenses!A$3:A$1002)-2),5)),"")&lt;&gt;"",IFERROR(INDEX(Expenses!B$3:B$1002,SMALL(IF((Expenses!E$3:E$1002="INR")*(Expenses!A$3:A$1002=DATE(2026,3,5)),ROW(Expenses!A$3:A$1002)-2),5)),""),IF(IFERROR(INDEX(Income!B$3:B$502,SMALL(IF((Income!D$3:D$502="INR")*(Income!A$3:A$502=DATE(2026,3,5)),ROW(Income!A$3:A$502)-2),5)),"")&lt;&gt;"",IFERROR(INDEX(Income!B$3:B$502,SMALL(IF((Income!D$3:D$502="INR")*(Income!A$3:A$502=DATE(2026,3,5)),ROW(Income!A$3:A$502)-2),5)),""),""))</f>
        <v/>
      </c>
      <c r="K53" s="63" t="str">
        <f aca="false">IF(IFERROR(-INDEX(Expenses!D$3:D$1002,SMALL(IF((Expenses!E$3:E$1002="INR")*(Expenses!A$3:A$1002=DATE(2026,3,6)),ROW(Expenses!A$3:A$1002)-2),5)),0)+IFERROR(INDEX(Income!C$3:C$502,SMALL(IF((Income!D$3:D$502="INR")*(Income!A$3:A$502=DATE(2026,3,6)),ROW(Income!A$3:A$502)-2),5)),0)=0,"",IFERROR(-INDEX(Expenses!D$3:D$1002,SMALL(IF((Expenses!E$3:E$1002="INR")*(Expenses!A$3:A$1002=DATE(2026,3,6)),ROW(Expenses!A$3:A$1002)-2),5)),0)+IFERROR(INDEX(Income!C$3:C$502,SMALL(IF((Income!D$3:D$502="INR")*(Income!A$3:A$502=DATE(2026,3,6)),ROW(Income!A$3:A$502)-2),5)),0))</f>
        <v/>
      </c>
      <c r="L53" s="38" t="str">
        <f aca="false">IF(IFERROR(INDEX(Expenses!B$3:B$1002,SMALL(IF((Expenses!E$3:E$1002="INR")*(Expenses!A$3:A$1002=DATE(2026,3,6)),ROW(Expenses!A$3:A$1002)-2),5)),"")&lt;&gt;"",IFERROR(INDEX(Expenses!B$3:B$1002,SMALL(IF((Expenses!E$3:E$1002="INR")*(Expenses!A$3:A$1002=DATE(2026,3,6)),ROW(Expenses!A$3:A$1002)-2),5)),""),IF(IFERROR(INDEX(Income!B$3:B$502,SMALL(IF((Income!D$3:D$502="INR")*(Income!A$3:A$502=DATE(2026,3,6)),ROW(Income!A$3:A$502)-2),5)),"")&lt;&gt;"",IFERROR(INDEX(Income!B$3:B$502,SMALL(IF((Income!D$3:D$502="INR")*(Income!A$3:A$502=DATE(2026,3,6)),ROW(Income!A$3:A$502)-2),5)),""),""))</f>
        <v/>
      </c>
      <c r="M53" s="63" t="str">
        <f aca="false">IF(IFERROR(-INDEX(Expenses!D$3:D$1002,SMALL(IF((Expenses!E$3:E$1002="INR")*(Expenses!A$3:A$1002=DATE(2026,3,7)),ROW(Expenses!A$3:A$1002)-2),5)),0)+IFERROR(INDEX(Income!C$3:C$502,SMALL(IF((Income!D$3:D$502="INR")*(Income!A$3:A$502=DATE(2026,3,7)),ROW(Income!A$3:A$502)-2),5)),0)=0,"",IFERROR(-INDEX(Expenses!D$3:D$1002,SMALL(IF((Expenses!E$3:E$1002="INR")*(Expenses!A$3:A$1002=DATE(2026,3,7)),ROW(Expenses!A$3:A$1002)-2),5)),0)+IFERROR(INDEX(Income!C$3:C$502,SMALL(IF((Income!D$3:D$502="INR")*(Income!A$3:A$502=DATE(2026,3,7)),ROW(Income!A$3:A$502)-2),5)),0))</f>
        <v/>
      </c>
      <c r="N53" s="38" t="str">
        <f aca="false">IF(IFERROR(INDEX(Expenses!B$3:B$1002,SMALL(IF((Expenses!E$3:E$1002="INR")*(Expenses!A$3:A$1002=DATE(2026,3,7)),ROW(Expenses!A$3:A$1002)-2),5)),"")&lt;&gt;"",IFERROR(INDEX(Expenses!B$3:B$1002,SMALL(IF((Expenses!E$3:E$1002="INR")*(Expenses!A$3:A$1002=DATE(2026,3,7)),ROW(Expenses!A$3:A$1002)-2),5)),""),IF(IFERROR(INDEX(Income!B$3:B$502,SMALL(IF((Income!D$3:D$502="INR")*(Income!A$3:A$502=DATE(2026,3,7)),ROW(Income!A$3:A$502)-2),5)),"")&lt;&gt;"",IFERROR(INDEX(Income!B$3:B$502,SMALL(IF((Income!D$3:D$502="INR")*(Income!A$3:A$502=DATE(2026,3,7)),ROW(Income!A$3:A$502)-2),5)),""),""))</f>
        <v/>
      </c>
      <c r="O53" s="63" t="str">
        <f aca="false">IF(IFERROR(-INDEX(Expenses!D$3:D$1002,SMALL(IF((Expenses!E$3:E$1002="INR")*(Expenses!A$3:A$1002=DATE(2026,3,8)),ROW(Expenses!A$3:A$1002)-2),5)),0)+IFERROR(INDEX(Income!C$3:C$502,SMALL(IF((Income!D$3:D$502="INR")*(Income!A$3:A$502=DATE(2026,3,8)),ROW(Income!A$3:A$502)-2),5)),0)=0,"",IFERROR(-INDEX(Expenses!D$3:D$1002,SMALL(IF((Expenses!E$3:E$1002="INR")*(Expenses!A$3:A$1002=DATE(2026,3,8)),ROW(Expenses!A$3:A$1002)-2),5)),0)+IFERROR(INDEX(Income!C$3:C$502,SMALL(IF((Income!D$3:D$502="INR")*(Income!A$3:A$502=DATE(2026,3,8)),ROW(Income!A$3:A$502)-2),5)),0))</f>
        <v/>
      </c>
      <c r="P53" s="38" t="str">
        <f aca="false">IF(IFERROR(INDEX(Expenses!B$3:B$1002,SMALL(IF((Expenses!E$3:E$1002="INR")*(Expenses!A$3:A$1002=DATE(2026,3,8)),ROW(Expenses!A$3:A$1002)-2),5)),"")&lt;&gt;"",IFERROR(INDEX(Expenses!B$3:B$1002,SMALL(IF((Expenses!E$3:E$1002="INR")*(Expenses!A$3:A$1002=DATE(2026,3,8)),ROW(Expenses!A$3:A$1002)-2),5)),""),IF(IFERROR(INDEX(Income!B$3:B$502,SMALL(IF((Income!D$3:D$502="INR")*(Income!A$3:A$502=DATE(2026,3,8)),ROW(Income!A$3:A$502)-2),5)),"")&lt;&gt;"",IFERROR(INDEX(Income!B$3:B$502,SMALL(IF((Income!D$3:D$502="INR")*(Income!A$3:A$502=DATE(2026,3,8)),ROW(Income!A$3:A$502)-2),5)),""),""))</f>
        <v/>
      </c>
      <c r="Q53" s="16"/>
      <c r="R53" s="16"/>
    </row>
    <row r="54" customFormat="false" ht="15" hidden="false" customHeight="false" outlineLevel="0" collapsed="false">
      <c r="A54" s="61" t="n">
        <v>46090</v>
      </c>
      <c r="B54" s="3" t="n">
        <v>11</v>
      </c>
      <c r="C54" s="63" t="str">
        <f aca="false">IF(IFERROR(-INDEX(Expenses!D$3:D$1002,SMALL(IF((Expenses!E$3:E$1002="INR")*(Expenses!A$3:A$1002=DATE(2026,3,9)),ROW(Expenses!A$3:A$1002)-2),1)),0)+IFERROR(INDEX(Income!C$3:C$502,SMALL(IF((Income!D$3:D$502="INR")*(Income!A$3:A$502=DATE(2026,3,9)),ROW(Income!A$3:A$502)-2),1)),0)=0,"",IFERROR(-INDEX(Expenses!D$3:D$1002,SMALL(IF((Expenses!E$3:E$1002="INR")*(Expenses!A$3:A$1002=DATE(2026,3,9)),ROW(Expenses!A$3:A$1002)-2),1)),0)+IFERROR(INDEX(Income!C$3:C$502,SMALL(IF((Income!D$3:D$502="INR")*(Income!A$3:A$502=DATE(2026,3,9)),ROW(Income!A$3:A$502)-2),1)),0))</f>
        <v/>
      </c>
      <c r="D54" s="38" t="str">
        <f aca="false">IF(IFERROR(INDEX(Expenses!B$3:B$1002,SMALL(IF((Expenses!E$3:E$1002="INR")*(Expenses!A$3:A$1002=DATE(2026,3,9)),ROW(Expenses!A$3:A$1002)-2),1)),"")&lt;&gt;"",IFERROR(INDEX(Expenses!B$3:B$1002,SMALL(IF((Expenses!E$3:E$1002="INR")*(Expenses!A$3:A$1002=DATE(2026,3,9)),ROW(Expenses!A$3:A$1002)-2),1)),""),IF(IFERROR(INDEX(Income!B$3:B$502,SMALL(IF((Income!D$3:D$502="INR")*(Income!A$3:A$502=DATE(2026,3,9)),ROW(Income!A$3:A$502)-2),1)),"")&lt;&gt;"",IFERROR(INDEX(Income!B$3:B$502,SMALL(IF((Income!D$3:D$502="INR")*(Income!A$3:A$502=DATE(2026,3,9)),ROW(Income!A$3:A$502)-2),1)),""),""))</f>
        <v/>
      </c>
      <c r="E54" s="63" t="str">
        <f aca="false">IF(IFERROR(-INDEX(Expenses!D$3:D$1002,SMALL(IF((Expenses!E$3:E$1002="INR")*(Expenses!A$3:A$1002=DATE(2026,3,10)),ROW(Expenses!A$3:A$1002)-2),1)),0)+IFERROR(INDEX(Income!C$3:C$502,SMALL(IF((Income!D$3:D$502="INR")*(Income!A$3:A$502=DATE(2026,3,10)),ROW(Income!A$3:A$502)-2),1)),0)=0,"",IFERROR(-INDEX(Expenses!D$3:D$1002,SMALL(IF((Expenses!E$3:E$1002="INR")*(Expenses!A$3:A$1002=DATE(2026,3,10)),ROW(Expenses!A$3:A$1002)-2),1)),0)+IFERROR(INDEX(Income!C$3:C$502,SMALL(IF((Income!D$3:D$502="INR")*(Income!A$3:A$502=DATE(2026,3,10)),ROW(Income!A$3:A$502)-2),1)),0))</f>
        <v/>
      </c>
      <c r="F54" s="38" t="str">
        <f aca="false">IF(IFERROR(INDEX(Expenses!B$3:B$1002,SMALL(IF((Expenses!E$3:E$1002="INR")*(Expenses!A$3:A$1002=DATE(2026,3,10)),ROW(Expenses!A$3:A$1002)-2),1)),"")&lt;&gt;"",IFERROR(INDEX(Expenses!B$3:B$1002,SMALL(IF((Expenses!E$3:E$1002="INR")*(Expenses!A$3:A$1002=DATE(2026,3,10)),ROW(Expenses!A$3:A$1002)-2),1)),""),IF(IFERROR(INDEX(Income!B$3:B$502,SMALL(IF((Income!D$3:D$502="INR")*(Income!A$3:A$502=DATE(2026,3,10)),ROW(Income!A$3:A$502)-2),1)),"")&lt;&gt;"",IFERROR(INDEX(Income!B$3:B$502,SMALL(IF((Income!D$3:D$502="INR")*(Income!A$3:A$502=DATE(2026,3,10)),ROW(Income!A$3:A$502)-2),1)),""),""))</f>
        <v/>
      </c>
      <c r="G54" s="63" t="str">
        <f aca="false">IF(IFERROR(-INDEX(Expenses!D$3:D$1002,SMALL(IF((Expenses!E$3:E$1002="INR")*(Expenses!A$3:A$1002=DATE(2026,3,11)),ROW(Expenses!A$3:A$1002)-2),1)),0)+IFERROR(INDEX(Income!C$3:C$502,SMALL(IF((Income!D$3:D$502="INR")*(Income!A$3:A$502=DATE(2026,3,11)),ROW(Income!A$3:A$502)-2),1)),0)=0,"",IFERROR(-INDEX(Expenses!D$3:D$1002,SMALL(IF((Expenses!E$3:E$1002="INR")*(Expenses!A$3:A$1002=DATE(2026,3,11)),ROW(Expenses!A$3:A$1002)-2),1)),0)+IFERROR(INDEX(Income!C$3:C$502,SMALL(IF((Income!D$3:D$502="INR")*(Income!A$3:A$502=DATE(2026,3,11)),ROW(Income!A$3:A$502)-2),1)),0))</f>
        <v/>
      </c>
      <c r="H54" s="38" t="str">
        <f aca="false">IF(IFERROR(INDEX(Expenses!B$3:B$1002,SMALL(IF((Expenses!E$3:E$1002="INR")*(Expenses!A$3:A$1002=DATE(2026,3,11)),ROW(Expenses!A$3:A$1002)-2),1)),"")&lt;&gt;"",IFERROR(INDEX(Expenses!B$3:B$1002,SMALL(IF((Expenses!E$3:E$1002="INR")*(Expenses!A$3:A$1002=DATE(2026,3,11)),ROW(Expenses!A$3:A$1002)-2),1)),""),IF(IFERROR(INDEX(Income!B$3:B$502,SMALL(IF((Income!D$3:D$502="INR")*(Income!A$3:A$502=DATE(2026,3,11)),ROW(Income!A$3:A$502)-2),1)),"")&lt;&gt;"",IFERROR(INDEX(Income!B$3:B$502,SMALL(IF((Income!D$3:D$502="INR")*(Income!A$3:A$502=DATE(2026,3,11)),ROW(Income!A$3:A$502)-2),1)),""),""))</f>
        <v/>
      </c>
      <c r="I54" s="63" t="str">
        <f aca="false">IF(IFERROR(-INDEX(Expenses!D$3:D$1002,SMALL(IF((Expenses!E$3:E$1002="INR")*(Expenses!A$3:A$1002=DATE(2026,3,12)),ROW(Expenses!A$3:A$1002)-2),1)),0)+IFERROR(INDEX(Income!C$3:C$502,SMALL(IF((Income!D$3:D$502="INR")*(Income!A$3:A$502=DATE(2026,3,12)),ROW(Income!A$3:A$502)-2),1)),0)=0,"",IFERROR(-INDEX(Expenses!D$3:D$1002,SMALL(IF((Expenses!E$3:E$1002="INR")*(Expenses!A$3:A$1002=DATE(2026,3,12)),ROW(Expenses!A$3:A$1002)-2),1)),0)+IFERROR(INDEX(Income!C$3:C$502,SMALL(IF((Income!D$3:D$502="INR")*(Income!A$3:A$502=DATE(2026,3,12)),ROW(Income!A$3:A$502)-2),1)),0))</f>
        <v/>
      </c>
      <c r="J54" s="38" t="str">
        <f aca="false">IF(IFERROR(INDEX(Expenses!B$3:B$1002,SMALL(IF((Expenses!E$3:E$1002="INR")*(Expenses!A$3:A$1002=DATE(2026,3,12)),ROW(Expenses!A$3:A$1002)-2),1)),"")&lt;&gt;"",IFERROR(INDEX(Expenses!B$3:B$1002,SMALL(IF((Expenses!E$3:E$1002="INR")*(Expenses!A$3:A$1002=DATE(2026,3,12)),ROW(Expenses!A$3:A$1002)-2),1)),""),IF(IFERROR(INDEX(Income!B$3:B$502,SMALL(IF((Income!D$3:D$502="INR")*(Income!A$3:A$502=DATE(2026,3,12)),ROW(Income!A$3:A$502)-2),1)),"")&lt;&gt;"",IFERROR(INDEX(Income!B$3:B$502,SMALL(IF((Income!D$3:D$502="INR")*(Income!A$3:A$502=DATE(2026,3,12)),ROW(Income!A$3:A$502)-2),1)),""),""))</f>
        <v/>
      </c>
      <c r="K54" s="63" t="str">
        <f aca="false">IF(IFERROR(-INDEX(Expenses!D$3:D$1002,SMALL(IF((Expenses!E$3:E$1002="INR")*(Expenses!A$3:A$1002=DATE(2026,3,13)),ROW(Expenses!A$3:A$1002)-2),1)),0)+IFERROR(INDEX(Income!C$3:C$502,SMALL(IF((Income!D$3:D$502="INR")*(Income!A$3:A$502=DATE(2026,3,13)),ROW(Income!A$3:A$502)-2),1)),0)=0,"",IFERROR(-INDEX(Expenses!D$3:D$1002,SMALL(IF((Expenses!E$3:E$1002="INR")*(Expenses!A$3:A$1002=DATE(2026,3,13)),ROW(Expenses!A$3:A$1002)-2),1)),0)+IFERROR(INDEX(Income!C$3:C$502,SMALL(IF((Income!D$3:D$502="INR")*(Income!A$3:A$502=DATE(2026,3,13)),ROW(Income!A$3:A$502)-2),1)),0))</f>
        <v/>
      </c>
      <c r="L54" s="38" t="str">
        <f aca="false">IF(IFERROR(INDEX(Expenses!B$3:B$1002,SMALL(IF((Expenses!E$3:E$1002="INR")*(Expenses!A$3:A$1002=DATE(2026,3,13)),ROW(Expenses!A$3:A$1002)-2),1)),"")&lt;&gt;"",IFERROR(INDEX(Expenses!B$3:B$1002,SMALL(IF((Expenses!E$3:E$1002="INR")*(Expenses!A$3:A$1002=DATE(2026,3,13)),ROW(Expenses!A$3:A$1002)-2),1)),""),IF(IFERROR(INDEX(Income!B$3:B$502,SMALL(IF((Income!D$3:D$502="INR")*(Income!A$3:A$502=DATE(2026,3,13)),ROW(Income!A$3:A$502)-2),1)),"")&lt;&gt;"",IFERROR(INDEX(Income!B$3:B$502,SMALL(IF((Income!D$3:D$502="INR")*(Income!A$3:A$502=DATE(2026,3,13)),ROW(Income!A$3:A$502)-2),1)),""),""))</f>
        <v/>
      </c>
      <c r="M54" s="63" t="str">
        <f aca="false">IF(IFERROR(-INDEX(Expenses!D$3:D$1002,SMALL(IF((Expenses!E$3:E$1002="INR")*(Expenses!A$3:A$1002=DATE(2026,3,14)),ROW(Expenses!A$3:A$1002)-2),1)),0)+IFERROR(INDEX(Income!C$3:C$502,SMALL(IF((Income!D$3:D$502="INR")*(Income!A$3:A$502=DATE(2026,3,14)),ROW(Income!A$3:A$502)-2),1)),0)=0,"",IFERROR(-INDEX(Expenses!D$3:D$1002,SMALL(IF((Expenses!E$3:E$1002="INR")*(Expenses!A$3:A$1002=DATE(2026,3,14)),ROW(Expenses!A$3:A$1002)-2),1)),0)+IFERROR(INDEX(Income!C$3:C$502,SMALL(IF((Income!D$3:D$502="INR")*(Income!A$3:A$502=DATE(2026,3,14)),ROW(Income!A$3:A$502)-2),1)),0))</f>
        <v/>
      </c>
      <c r="N54" s="38" t="str">
        <f aca="false">IF(IFERROR(INDEX(Expenses!B$3:B$1002,SMALL(IF((Expenses!E$3:E$1002="INR")*(Expenses!A$3:A$1002=DATE(2026,3,14)),ROW(Expenses!A$3:A$1002)-2),1)),"")&lt;&gt;"",IFERROR(INDEX(Expenses!B$3:B$1002,SMALL(IF((Expenses!E$3:E$1002="INR")*(Expenses!A$3:A$1002=DATE(2026,3,14)),ROW(Expenses!A$3:A$1002)-2),1)),""),IF(IFERROR(INDEX(Income!B$3:B$502,SMALL(IF((Income!D$3:D$502="INR")*(Income!A$3:A$502=DATE(2026,3,14)),ROW(Income!A$3:A$502)-2),1)),"")&lt;&gt;"",IFERROR(INDEX(Income!B$3:B$502,SMALL(IF((Income!D$3:D$502="INR")*(Income!A$3:A$502=DATE(2026,3,14)),ROW(Income!A$3:A$502)-2),1)),""),""))</f>
        <v/>
      </c>
      <c r="O54" s="63" t="str">
        <f aca="false">IF(IFERROR(-INDEX(Expenses!D$3:D$1002,SMALL(IF((Expenses!E$3:E$1002="INR")*(Expenses!A$3:A$1002=DATE(2026,3,15)),ROW(Expenses!A$3:A$1002)-2),1)),0)+IFERROR(INDEX(Income!C$3:C$502,SMALL(IF((Income!D$3:D$502="INR")*(Income!A$3:A$502=DATE(2026,3,15)),ROW(Income!A$3:A$502)-2),1)),0)=0,"",IFERROR(-INDEX(Expenses!D$3:D$1002,SMALL(IF((Expenses!E$3:E$1002="INR")*(Expenses!A$3:A$1002=DATE(2026,3,15)),ROW(Expenses!A$3:A$1002)-2),1)),0)+IFERROR(INDEX(Income!C$3:C$502,SMALL(IF((Income!D$3:D$502="INR")*(Income!A$3:A$502=DATE(2026,3,15)),ROW(Income!A$3:A$502)-2),1)),0))</f>
        <v/>
      </c>
      <c r="P54" s="38" t="str">
        <f aca="false">IF(IFERROR(INDEX(Expenses!B$3:B$1002,SMALL(IF((Expenses!E$3:E$1002="INR")*(Expenses!A$3:A$1002=DATE(2026,3,15)),ROW(Expenses!A$3:A$1002)-2),1)),"")&lt;&gt;"",IFERROR(INDEX(Expenses!B$3:B$1002,SMALL(IF((Expenses!E$3:E$1002="INR")*(Expenses!A$3:A$1002=DATE(2026,3,15)),ROW(Expenses!A$3:A$1002)-2),1)),""),IF(IFERROR(INDEX(Income!B$3:B$502,SMALL(IF((Income!D$3:D$502="INR")*(Income!A$3:A$502=DATE(2026,3,15)),ROW(Income!A$3:A$502)-2),1)),"")&lt;&gt;"",IFERROR(INDEX(Income!B$3:B$502,SMALL(IF((Income!D$3:D$502="INR")*(Income!A$3:A$502=DATE(2026,3,15)),ROW(Income!A$3:A$502)-2),1)),""),""))</f>
        <v/>
      </c>
      <c r="Q54" s="3" t="n">
        <v>11</v>
      </c>
      <c r="R54" s="53" t="n">
        <f aca="false">SUM(C54:C58)+SUM(E54:E58)+SUM(G54:G58)+SUM(I54:I58)+SUM(K54:K58)+SUM(M54:M58)+SUM(O54:O58)</f>
        <v>0</v>
      </c>
    </row>
    <row r="55" customFormat="false" ht="15" hidden="false" customHeight="false" outlineLevel="0" collapsed="false">
      <c r="A55" s="16"/>
      <c r="B55" s="16"/>
      <c r="C55" s="63" t="str">
        <f aca="false">IF(IFERROR(-INDEX(Expenses!D$3:D$1002,SMALL(IF((Expenses!E$3:E$1002="INR")*(Expenses!A$3:A$1002=DATE(2026,3,9)),ROW(Expenses!A$3:A$1002)-2),2)),0)+IFERROR(INDEX(Income!C$3:C$502,SMALL(IF((Income!D$3:D$502="INR")*(Income!A$3:A$502=DATE(2026,3,9)),ROW(Income!A$3:A$502)-2),2)),0)=0,"",IFERROR(-INDEX(Expenses!D$3:D$1002,SMALL(IF((Expenses!E$3:E$1002="INR")*(Expenses!A$3:A$1002=DATE(2026,3,9)),ROW(Expenses!A$3:A$1002)-2),2)),0)+IFERROR(INDEX(Income!C$3:C$502,SMALL(IF((Income!D$3:D$502="INR")*(Income!A$3:A$502=DATE(2026,3,9)),ROW(Income!A$3:A$502)-2),2)),0))</f>
        <v/>
      </c>
      <c r="D55" s="38" t="str">
        <f aca="false">IF(IFERROR(INDEX(Expenses!B$3:B$1002,SMALL(IF((Expenses!E$3:E$1002="INR")*(Expenses!A$3:A$1002=DATE(2026,3,9)),ROW(Expenses!A$3:A$1002)-2),2)),"")&lt;&gt;"",IFERROR(INDEX(Expenses!B$3:B$1002,SMALL(IF((Expenses!E$3:E$1002="INR")*(Expenses!A$3:A$1002=DATE(2026,3,9)),ROW(Expenses!A$3:A$1002)-2),2)),""),IF(IFERROR(INDEX(Income!B$3:B$502,SMALL(IF((Income!D$3:D$502="INR")*(Income!A$3:A$502=DATE(2026,3,9)),ROW(Income!A$3:A$502)-2),2)),"")&lt;&gt;"",IFERROR(INDEX(Income!B$3:B$502,SMALL(IF((Income!D$3:D$502="INR")*(Income!A$3:A$502=DATE(2026,3,9)),ROW(Income!A$3:A$502)-2),2)),""),""))</f>
        <v/>
      </c>
      <c r="E55" s="63" t="str">
        <f aca="false">IF(IFERROR(-INDEX(Expenses!D$3:D$1002,SMALL(IF((Expenses!E$3:E$1002="INR")*(Expenses!A$3:A$1002=DATE(2026,3,10)),ROW(Expenses!A$3:A$1002)-2),2)),0)+IFERROR(INDEX(Income!C$3:C$502,SMALL(IF((Income!D$3:D$502="INR")*(Income!A$3:A$502=DATE(2026,3,10)),ROW(Income!A$3:A$502)-2),2)),0)=0,"",IFERROR(-INDEX(Expenses!D$3:D$1002,SMALL(IF((Expenses!E$3:E$1002="INR")*(Expenses!A$3:A$1002=DATE(2026,3,10)),ROW(Expenses!A$3:A$1002)-2),2)),0)+IFERROR(INDEX(Income!C$3:C$502,SMALL(IF((Income!D$3:D$502="INR")*(Income!A$3:A$502=DATE(2026,3,10)),ROW(Income!A$3:A$502)-2),2)),0))</f>
        <v/>
      </c>
      <c r="F55" s="38" t="str">
        <f aca="false">IF(IFERROR(INDEX(Expenses!B$3:B$1002,SMALL(IF((Expenses!E$3:E$1002="INR")*(Expenses!A$3:A$1002=DATE(2026,3,10)),ROW(Expenses!A$3:A$1002)-2),2)),"")&lt;&gt;"",IFERROR(INDEX(Expenses!B$3:B$1002,SMALL(IF((Expenses!E$3:E$1002="INR")*(Expenses!A$3:A$1002=DATE(2026,3,10)),ROW(Expenses!A$3:A$1002)-2),2)),""),IF(IFERROR(INDEX(Income!B$3:B$502,SMALL(IF((Income!D$3:D$502="INR")*(Income!A$3:A$502=DATE(2026,3,10)),ROW(Income!A$3:A$502)-2),2)),"")&lt;&gt;"",IFERROR(INDEX(Income!B$3:B$502,SMALL(IF((Income!D$3:D$502="INR")*(Income!A$3:A$502=DATE(2026,3,10)),ROW(Income!A$3:A$502)-2),2)),""),""))</f>
        <v/>
      </c>
      <c r="G55" s="63" t="str">
        <f aca="false">IF(IFERROR(-INDEX(Expenses!D$3:D$1002,SMALL(IF((Expenses!E$3:E$1002="INR")*(Expenses!A$3:A$1002=DATE(2026,3,11)),ROW(Expenses!A$3:A$1002)-2),2)),0)+IFERROR(INDEX(Income!C$3:C$502,SMALL(IF((Income!D$3:D$502="INR")*(Income!A$3:A$502=DATE(2026,3,11)),ROW(Income!A$3:A$502)-2),2)),0)=0,"",IFERROR(-INDEX(Expenses!D$3:D$1002,SMALL(IF((Expenses!E$3:E$1002="INR")*(Expenses!A$3:A$1002=DATE(2026,3,11)),ROW(Expenses!A$3:A$1002)-2),2)),0)+IFERROR(INDEX(Income!C$3:C$502,SMALL(IF((Income!D$3:D$502="INR")*(Income!A$3:A$502=DATE(2026,3,11)),ROW(Income!A$3:A$502)-2),2)),0))</f>
        <v/>
      </c>
      <c r="H55" s="38" t="str">
        <f aca="false">IF(IFERROR(INDEX(Expenses!B$3:B$1002,SMALL(IF((Expenses!E$3:E$1002="INR")*(Expenses!A$3:A$1002=DATE(2026,3,11)),ROW(Expenses!A$3:A$1002)-2),2)),"")&lt;&gt;"",IFERROR(INDEX(Expenses!B$3:B$1002,SMALL(IF((Expenses!E$3:E$1002="INR")*(Expenses!A$3:A$1002=DATE(2026,3,11)),ROW(Expenses!A$3:A$1002)-2),2)),""),IF(IFERROR(INDEX(Income!B$3:B$502,SMALL(IF((Income!D$3:D$502="INR")*(Income!A$3:A$502=DATE(2026,3,11)),ROW(Income!A$3:A$502)-2),2)),"")&lt;&gt;"",IFERROR(INDEX(Income!B$3:B$502,SMALL(IF((Income!D$3:D$502="INR")*(Income!A$3:A$502=DATE(2026,3,11)),ROW(Income!A$3:A$502)-2),2)),""),""))</f>
        <v/>
      </c>
      <c r="I55" s="63" t="str">
        <f aca="false">IF(IFERROR(-INDEX(Expenses!D$3:D$1002,SMALL(IF((Expenses!E$3:E$1002="INR")*(Expenses!A$3:A$1002=DATE(2026,3,12)),ROW(Expenses!A$3:A$1002)-2),2)),0)+IFERROR(INDEX(Income!C$3:C$502,SMALL(IF((Income!D$3:D$502="INR")*(Income!A$3:A$502=DATE(2026,3,12)),ROW(Income!A$3:A$502)-2),2)),0)=0,"",IFERROR(-INDEX(Expenses!D$3:D$1002,SMALL(IF((Expenses!E$3:E$1002="INR")*(Expenses!A$3:A$1002=DATE(2026,3,12)),ROW(Expenses!A$3:A$1002)-2),2)),0)+IFERROR(INDEX(Income!C$3:C$502,SMALL(IF((Income!D$3:D$502="INR")*(Income!A$3:A$502=DATE(2026,3,12)),ROW(Income!A$3:A$502)-2),2)),0))</f>
        <v/>
      </c>
      <c r="J55" s="38" t="str">
        <f aca="false">IF(IFERROR(INDEX(Expenses!B$3:B$1002,SMALL(IF((Expenses!E$3:E$1002="INR")*(Expenses!A$3:A$1002=DATE(2026,3,12)),ROW(Expenses!A$3:A$1002)-2),2)),"")&lt;&gt;"",IFERROR(INDEX(Expenses!B$3:B$1002,SMALL(IF((Expenses!E$3:E$1002="INR")*(Expenses!A$3:A$1002=DATE(2026,3,12)),ROW(Expenses!A$3:A$1002)-2),2)),""),IF(IFERROR(INDEX(Income!B$3:B$502,SMALL(IF((Income!D$3:D$502="INR")*(Income!A$3:A$502=DATE(2026,3,12)),ROW(Income!A$3:A$502)-2),2)),"")&lt;&gt;"",IFERROR(INDEX(Income!B$3:B$502,SMALL(IF((Income!D$3:D$502="INR")*(Income!A$3:A$502=DATE(2026,3,12)),ROW(Income!A$3:A$502)-2),2)),""),""))</f>
        <v/>
      </c>
      <c r="K55" s="63" t="str">
        <f aca="false">IF(IFERROR(-INDEX(Expenses!D$3:D$1002,SMALL(IF((Expenses!E$3:E$1002="INR")*(Expenses!A$3:A$1002=DATE(2026,3,13)),ROW(Expenses!A$3:A$1002)-2),2)),0)+IFERROR(INDEX(Income!C$3:C$502,SMALL(IF((Income!D$3:D$502="INR")*(Income!A$3:A$502=DATE(2026,3,13)),ROW(Income!A$3:A$502)-2),2)),0)=0,"",IFERROR(-INDEX(Expenses!D$3:D$1002,SMALL(IF((Expenses!E$3:E$1002="INR")*(Expenses!A$3:A$1002=DATE(2026,3,13)),ROW(Expenses!A$3:A$1002)-2),2)),0)+IFERROR(INDEX(Income!C$3:C$502,SMALL(IF((Income!D$3:D$502="INR")*(Income!A$3:A$502=DATE(2026,3,13)),ROW(Income!A$3:A$502)-2),2)),0))</f>
        <v/>
      </c>
      <c r="L55" s="38" t="str">
        <f aca="false">IF(IFERROR(INDEX(Expenses!B$3:B$1002,SMALL(IF((Expenses!E$3:E$1002="INR")*(Expenses!A$3:A$1002=DATE(2026,3,13)),ROW(Expenses!A$3:A$1002)-2),2)),"")&lt;&gt;"",IFERROR(INDEX(Expenses!B$3:B$1002,SMALL(IF((Expenses!E$3:E$1002="INR")*(Expenses!A$3:A$1002=DATE(2026,3,13)),ROW(Expenses!A$3:A$1002)-2),2)),""),IF(IFERROR(INDEX(Income!B$3:B$502,SMALL(IF((Income!D$3:D$502="INR")*(Income!A$3:A$502=DATE(2026,3,13)),ROW(Income!A$3:A$502)-2),2)),"")&lt;&gt;"",IFERROR(INDEX(Income!B$3:B$502,SMALL(IF((Income!D$3:D$502="INR")*(Income!A$3:A$502=DATE(2026,3,13)),ROW(Income!A$3:A$502)-2),2)),""),""))</f>
        <v/>
      </c>
      <c r="M55" s="63" t="str">
        <f aca="false">IF(IFERROR(-INDEX(Expenses!D$3:D$1002,SMALL(IF((Expenses!E$3:E$1002="INR")*(Expenses!A$3:A$1002=DATE(2026,3,14)),ROW(Expenses!A$3:A$1002)-2),2)),0)+IFERROR(INDEX(Income!C$3:C$502,SMALL(IF((Income!D$3:D$502="INR")*(Income!A$3:A$502=DATE(2026,3,14)),ROW(Income!A$3:A$502)-2),2)),0)=0,"",IFERROR(-INDEX(Expenses!D$3:D$1002,SMALL(IF((Expenses!E$3:E$1002="INR")*(Expenses!A$3:A$1002=DATE(2026,3,14)),ROW(Expenses!A$3:A$1002)-2),2)),0)+IFERROR(INDEX(Income!C$3:C$502,SMALL(IF((Income!D$3:D$502="INR")*(Income!A$3:A$502=DATE(2026,3,14)),ROW(Income!A$3:A$502)-2),2)),0))</f>
        <v/>
      </c>
      <c r="N55" s="38" t="str">
        <f aca="false">IF(IFERROR(INDEX(Expenses!B$3:B$1002,SMALL(IF((Expenses!E$3:E$1002="INR")*(Expenses!A$3:A$1002=DATE(2026,3,14)),ROW(Expenses!A$3:A$1002)-2),2)),"")&lt;&gt;"",IFERROR(INDEX(Expenses!B$3:B$1002,SMALL(IF((Expenses!E$3:E$1002="INR")*(Expenses!A$3:A$1002=DATE(2026,3,14)),ROW(Expenses!A$3:A$1002)-2),2)),""),IF(IFERROR(INDEX(Income!B$3:B$502,SMALL(IF((Income!D$3:D$502="INR")*(Income!A$3:A$502=DATE(2026,3,14)),ROW(Income!A$3:A$502)-2),2)),"")&lt;&gt;"",IFERROR(INDEX(Income!B$3:B$502,SMALL(IF((Income!D$3:D$502="INR")*(Income!A$3:A$502=DATE(2026,3,14)),ROW(Income!A$3:A$502)-2),2)),""),""))</f>
        <v/>
      </c>
      <c r="O55" s="63" t="str">
        <f aca="false">IF(IFERROR(-INDEX(Expenses!D$3:D$1002,SMALL(IF((Expenses!E$3:E$1002="INR")*(Expenses!A$3:A$1002=DATE(2026,3,15)),ROW(Expenses!A$3:A$1002)-2),2)),0)+IFERROR(INDEX(Income!C$3:C$502,SMALL(IF((Income!D$3:D$502="INR")*(Income!A$3:A$502=DATE(2026,3,15)),ROW(Income!A$3:A$502)-2),2)),0)=0,"",IFERROR(-INDEX(Expenses!D$3:D$1002,SMALL(IF((Expenses!E$3:E$1002="INR")*(Expenses!A$3:A$1002=DATE(2026,3,15)),ROW(Expenses!A$3:A$1002)-2),2)),0)+IFERROR(INDEX(Income!C$3:C$502,SMALL(IF((Income!D$3:D$502="INR")*(Income!A$3:A$502=DATE(2026,3,15)),ROW(Income!A$3:A$502)-2),2)),0))</f>
        <v/>
      </c>
      <c r="P55" s="38" t="str">
        <f aca="false">IF(IFERROR(INDEX(Expenses!B$3:B$1002,SMALL(IF((Expenses!E$3:E$1002="INR")*(Expenses!A$3:A$1002=DATE(2026,3,15)),ROW(Expenses!A$3:A$1002)-2),2)),"")&lt;&gt;"",IFERROR(INDEX(Expenses!B$3:B$1002,SMALL(IF((Expenses!E$3:E$1002="INR")*(Expenses!A$3:A$1002=DATE(2026,3,15)),ROW(Expenses!A$3:A$1002)-2),2)),""),IF(IFERROR(INDEX(Income!B$3:B$502,SMALL(IF((Income!D$3:D$502="INR")*(Income!A$3:A$502=DATE(2026,3,15)),ROW(Income!A$3:A$502)-2),2)),"")&lt;&gt;"",IFERROR(INDEX(Income!B$3:B$502,SMALL(IF((Income!D$3:D$502="INR")*(Income!A$3:A$502=DATE(2026,3,15)),ROW(Income!A$3:A$502)-2),2)),""),""))</f>
        <v/>
      </c>
      <c r="Q55" s="16"/>
      <c r="R55" s="16"/>
    </row>
    <row r="56" customFormat="false" ht="15" hidden="false" customHeight="false" outlineLevel="0" collapsed="false">
      <c r="A56" s="16"/>
      <c r="B56" s="16"/>
      <c r="C56" s="63" t="str">
        <f aca="false">IF(IFERROR(-INDEX(Expenses!D$3:D$1002,SMALL(IF((Expenses!E$3:E$1002="INR")*(Expenses!A$3:A$1002=DATE(2026,3,9)),ROW(Expenses!A$3:A$1002)-2),3)),0)+IFERROR(INDEX(Income!C$3:C$502,SMALL(IF((Income!D$3:D$502="INR")*(Income!A$3:A$502=DATE(2026,3,9)),ROW(Income!A$3:A$502)-2),3)),0)=0,"",IFERROR(-INDEX(Expenses!D$3:D$1002,SMALL(IF((Expenses!E$3:E$1002="INR")*(Expenses!A$3:A$1002=DATE(2026,3,9)),ROW(Expenses!A$3:A$1002)-2),3)),0)+IFERROR(INDEX(Income!C$3:C$502,SMALL(IF((Income!D$3:D$502="INR")*(Income!A$3:A$502=DATE(2026,3,9)),ROW(Income!A$3:A$502)-2),3)),0))</f>
        <v/>
      </c>
      <c r="D56" s="38" t="str">
        <f aca="false">IF(IFERROR(INDEX(Expenses!B$3:B$1002,SMALL(IF((Expenses!E$3:E$1002="INR")*(Expenses!A$3:A$1002=DATE(2026,3,9)),ROW(Expenses!A$3:A$1002)-2),3)),"")&lt;&gt;"",IFERROR(INDEX(Expenses!B$3:B$1002,SMALL(IF((Expenses!E$3:E$1002="INR")*(Expenses!A$3:A$1002=DATE(2026,3,9)),ROW(Expenses!A$3:A$1002)-2),3)),""),IF(IFERROR(INDEX(Income!B$3:B$502,SMALL(IF((Income!D$3:D$502="INR")*(Income!A$3:A$502=DATE(2026,3,9)),ROW(Income!A$3:A$502)-2),3)),"")&lt;&gt;"",IFERROR(INDEX(Income!B$3:B$502,SMALL(IF((Income!D$3:D$502="INR")*(Income!A$3:A$502=DATE(2026,3,9)),ROW(Income!A$3:A$502)-2),3)),""),""))</f>
        <v/>
      </c>
      <c r="E56" s="63" t="str">
        <f aca="false">IF(IFERROR(-INDEX(Expenses!D$3:D$1002,SMALL(IF((Expenses!E$3:E$1002="INR")*(Expenses!A$3:A$1002=DATE(2026,3,10)),ROW(Expenses!A$3:A$1002)-2),3)),0)+IFERROR(INDEX(Income!C$3:C$502,SMALL(IF((Income!D$3:D$502="INR")*(Income!A$3:A$502=DATE(2026,3,10)),ROW(Income!A$3:A$502)-2),3)),0)=0,"",IFERROR(-INDEX(Expenses!D$3:D$1002,SMALL(IF((Expenses!E$3:E$1002="INR")*(Expenses!A$3:A$1002=DATE(2026,3,10)),ROW(Expenses!A$3:A$1002)-2),3)),0)+IFERROR(INDEX(Income!C$3:C$502,SMALL(IF((Income!D$3:D$502="INR")*(Income!A$3:A$502=DATE(2026,3,10)),ROW(Income!A$3:A$502)-2),3)),0))</f>
        <v/>
      </c>
      <c r="F56" s="38" t="str">
        <f aca="false">IF(IFERROR(INDEX(Expenses!B$3:B$1002,SMALL(IF((Expenses!E$3:E$1002="INR")*(Expenses!A$3:A$1002=DATE(2026,3,10)),ROW(Expenses!A$3:A$1002)-2),3)),"")&lt;&gt;"",IFERROR(INDEX(Expenses!B$3:B$1002,SMALL(IF((Expenses!E$3:E$1002="INR")*(Expenses!A$3:A$1002=DATE(2026,3,10)),ROW(Expenses!A$3:A$1002)-2),3)),""),IF(IFERROR(INDEX(Income!B$3:B$502,SMALL(IF((Income!D$3:D$502="INR")*(Income!A$3:A$502=DATE(2026,3,10)),ROW(Income!A$3:A$502)-2),3)),"")&lt;&gt;"",IFERROR(INDEX(Income!B$3:B$502,SMALL(IF((Income!D$3:D$502="INR")*(Income!A$3:A$502=DATE(2026,3,10)),ROW(Income!A$3:A$502)-2),3)),""),""))</f>
        <v/>
      </c>
      <c r="G56" s="63" t="str">
        <f aca="false">IF(IFERROR(-INDEX(Expenses!D$3:D$1002,SMALL(IF((Expenses!E$3:E$1002="INR")*(Expenses!A$3:A$1002=DATE(2026,3,11)),ROW(Expenses!A$3:A$1002)-2),3)),0)+IFERROR(INDEX(Income!C$3:C$502,SMALL(IF((Income!D$3:D$502="INR")*(Income!A$3:A$502=DATE(2026,3,11)),ROW(Income!A$3:A$502)-2),3)),0)=0,"",IFERROR(-INDEX(Expenses!D$3:D$1002,SMALL(IF((Expenses!E$3:E$1002="INR")*(Expenses!A$3:A$1002=DATE(2026,3,11)),ROW(Expenses!A$3:A$1002)-2),3)),0)+IFERROR(INDEX(Income!C$3:C$502,SMALL(IF((Income!D$3:D$502="INR")*(Income!A$3:A$502=DATE(2026,3,11)),ROW(Income!A$3:A$502)-2),3)),0))</f>
        <v/>
      </c>
      <c r="H56" s="38" t="str">
        <f aca="false">IF(IFERROR(INDEX(Expenses!B$3:B$1002,SMALL(IF((Expenses!E$3:E$1002="INR")*(Expenses!A$3:A$1002=DATE(2026,3,11)),ROW(Expenses!A$3:A$1002)-2),3)),"")&lt;&gt;"",IFERROR(INDEX(Expenses!B$3:B$1002,SMALL(IF((Expenses!E$3:E$1002="INR")*(Expenses!A$3:A$1002=DATE(2026,3,11)),ROW(Expenses!A$3:A$1002)-2),3)),""),IF(IFERROR(INDEX(Income!B$3:B$502,SMALL(IF((Income!D$3:D$502="INR")*(Income!A$3:A$502=DATE(2026,3,11)),ROW(Income!A$3:A$502)-2),3)),"")&lt;&gt;"",IFERROR(INDEX(Income!B$3:B$502,SMALL(IF((Income!D$3:D$502="INR")*(Income!A$3:A$502=DATE(2026,3,11)),ROW(Income!A$3:A$502)-2),3)),""),""))</f>
        <v/>
      </c>
      <c r="I56" s="63" t="str">
        <f aca="false">IF(IFERROR(-INDEX(Expenses!D$3:D$1002,SMALL(IF((Expenses!E$3:E$1002="INR")*(Expenses!A$3:A$1002=DATE(2026,3,12)),ROW(Expenses!A$3:A$1002)-2),3)),0)+IFERROR(INDEX(Income!C$3:C$502,SMALL(IF((Income!D$3:D$502="INR")*(Income!A$3:A$502=DATE(2026,3,12)),ROW(Income!A$3:A$502)-2),3)),0)=0,"",IFERROR(-INDEX(Expenses!D$3:D$1002,SMALL(IF((Expenses!E$3:E$1002="INR")*(Expenses!A$3:A$1002=DATE(2026,3,12)),ROW(Expenses!A$3:A$1002)-2),3)),0)+IFERROR(INDEX(Income!C$3:C$502,SMALL(IF((Income!D$3:D$502="INR")*(Income!A$3:A$502=DATE(2026,3,12)),ROW(Income!A$3:A$502)-2),3)),0))</f>
        <v/>
      </c>
      <c r="J56" s="38" t="str">
        <f aca="false">IF(IFERROR(INDEX(Expenses!B$3:B$1002,SMALL(IF((Expenses!E$3:E$1002="INR")*(Expenses!A$3:A$1002=DATE(2026,3,12)),ROW(Expenses!A$3:A$1002)-2),3)),"")&lt;&gt;"",IFERROR(INDEX(Expenses!B$3:B$1002,SMALL(IF((Expenses!E$3:E$1002="INR")*(Expenses!A$3:A$1002=DATE(2026,3,12)),ROW(Expenses!A$3:A$1002)-2),3)),""),IF(IFERROR(INDEX(Income!B$3:B$502,SMALL(IF((Income!D$3:D$502="INR")*(Income!A$3:A$502=DATE(2026,3,12)),ROW(Income!A$3:A$502)-2),3)),"")&lt;&gt;"",IFERROR(INDEX(Income!B$3:B$502,SMALL(IF((Income!D$3:D$502="INR")*(Income!A$3:A$502=DATE(2026,3,12)),ROW(Income!A$3:A$502)-2),3)),""),""))</f>
        <v/>
      </c>
      <c r="K56" s="63" t="str">
        <f aca="false">IF(IFERROR(-INDEX(Expenses!D$3:D$1002,SMALL(IF((Expenses!E$3:E$1002="INR")*(Expenses!A$3:A$1002=DATE(2026,3,13)),ROW(Expenses!A$3:A$1002)-2),3)),0)+IFERROR(INDEX(Income!C$3:C$502,SMALL(IF((Income!D$3:D$502="INR")*(Income!A$3:A$502=DATE(2026,3,13)),ROW(Income!A$3:A$502)-2),3)),0)=0,"",IFERROR(-INDEX(Expenses!D$3:D$1002,SMALL(IF((Expenses!E$3:E$1002="INR")*(Expenses!A$3:A$1002=DATE(2026,3,13)),ROW(Expenses!A$3:A$1002)-2),3)),0)+IFERROR(INDEX(Income!C$3:C$502,SMALL(IF((Income!D$3:D$502="INR")*(Income!A$3:A$502=DATE(2026,3,13)),ROW(Income!A$3:A$502)-2),3)),0))</f>
        <v/>
      </c>
      <c r="L56" s="38" t="str">
        <f aca="false">IF(IFERROR(INDEX(Expenses!B$3:B$1002,SMALL(IF((Expenses!E$3:E$1002="INR")*(Expenses!A$3:A$1002=DATE(2026,3,13)),ROW(Expenses!A$3:A$1002)-2),3)),"")&lt;&gt;"",IFERROR(INDEX(Expenses!B$3:B$1002,SMALL(IF((Expenses!E$3:E$1002="INR")*(Expenses!A$3:A$1002=DATE(2026,3,13)),ROW(Expenses!A$3:A$1002)-2),3)),""),IF(IFERROR(INDEX(Income!B$3:B$502,SMALL(IF((Income!D$3:D$502="INR")*(Income!A$3:A$502=DATE(2026,3,13)),ROW(Income!A$3:A$502)-2),3)),"")&lt;&gt;"",IFERROR(INDEX(Income!B$3:B$502,SMALL(IF((Income!D$3:D$502="INR")*(Income!A$3:A$502=DATE(2026,3,13)),ROW(Income!A$3:A$502)-2),3)),""),""))</f>
        <v/>
      </c>
      <c r="M56" s="63" t="str">
        <f aca="false">IF(IFERROR(-INDEX(Expenses!D$3:D$1002,SMALL(IF((Expenses!E$3:E$1002="INR")*(Expenses!A$3:A$1002=DATE(2026,3,14)),ROW(Expenses!A$3:A$1002)-2),3)),0)+IFERROR(INDEX(Income!C$3:C$502,SMALL(IF((Income!D$3:D$502="INR")*(Income!A$3:A$502=DATE(2026,3,14)),ROW(Income!A$3:A$502)-2),3)),0)=0,"",IFERROR(-INDEX(Expenses!D$3:D$1002,SMALL(IF((Expenses!E$3:E$1002="INR")*(Expenses!A$3:A$1002=DATE(2026,3,14)),ROW(Expenses!A$3:A$1002)-2),3)),0)+IFERROR(INDEX(Income!C$3:C$502,SMALL(IF((Income!D$3:D$502="INR")*(Income!A$3:A$502=DATE(2026,3,14)),ROW(Income!A$3:A$502)-2),3)),0))</f>
        <v/>
      </c>
      <c r="N56" s="38" t="str">
        <f aca="false">IF(IFERROR(INDEX(Expenses!B$3:B$1002,SMALL(IF((Expenses!E$3:E$1002="INR")*(Expenses!A$3:A$1002=DATE(2026,3,14)),ROW(Expenses!A$3:A$1002)-2),3)),"")&lt;&gt;"",IFERROR(INDEX(Expenses!B$3:B$1002,SMALL(IF((Expenses!E$3:E$1002="INR")*(Expenses!A$3:A$1002=DATE(2026,3,14)),ROW(Expenses!A$3:A$1002)-2),3)),""),IF(IFERROR(INDEX(Income!B$3:B$502,SMALL(IF((Income!D$3:D$502="INR")*(Income!A$3:A$502=DATE(2026,3,14)),ROW(Income!A$3:A$502)-2),3)),"")&lt;&gt;"",IFERROR(INDEX(Income!B$3:B$502,SMALL(IF((Income!D$3:D$502="INR")*(Income!A$3:A$502=DATE(2026,3,14)),ROW(Income!A$3:A$502)-2),3)),""),""))</f>
        <v/>
      </c>
      <c r="O56" s="63" t="str">
        <f aca="false">IF(IFERROR(-INDEX(Expenses!D$3:D$1002,SMALL(IF((Expenses!E$3:E$1002="INR")*(Expenses!A$3:A$1002=DATE(2026,3,15)),ROW(Expenses!A$3:A$1002)-2),3)),0)+IFERROR(INDEX(Income!C$3:C$502,SMALL(IF((Income!D$3:D$502="INR")*(Income!A$3:A$502=DATE(2026,3,15)),ROW(Income!A$3:A$502)-2),3)),0)=0,"",IFERROR(-INDEX(Expenses!D$3:D$1002,SMALL(IF((Expenses!E$3:E$1002="INR")*(Expenses!A$3:A$1002=DATE(2026,3,15)),ROW(Expenses!A$3:A$1002)-2),3)),0)+IFERROR(INDEX(Income!C$3:C$502,SMALL(IF((Income!D$3:D$502="INR")*(Income!A$3:A$502=DATE(2026,3,15)),ROW(Income!A$3:A$502)-2),3)),0))</f>
        <v/>
      </c>
      <c r="P56" s="38" t="str">
        <f aca="false">IF(IFERROR(INDEX(Expenses!B$3:B$1002,SMALL(IF((Expenses!E$3:E$1002="INR")*(Expenses!A$3:A$1002=DATE(2026,3,15)),ROW(Expenses!A$3:A$1002)-2),3)),"")&lt;&gt;"",IFERROR(INDEX(Expenses!B$3:B$1002,SMALL(IF((Expenses!E$3:E$1002="INR")*(Expenses!A$3:A$1002=DATE(2026,3,15)),ROW(Expenses!A$3:A$1002)-2),3)),""),IF(IFERROR(INDEX(Income!B$3:B$502,SMALL(IF((Income!D$3:D$502="INR")*(Income!A$3:A$502=DATE(2026,3,15)),ROW(Income!A$3:A$502)-2),3)),"")&lt;&gt;"",IFERROR(INDEX(Income!B$3:B$502,SMALL(IF((Income!D$3:D$502="INR")*(Income!A$3:A$502=DATE(2026,3,15)),ROW(Income!A$3:A$502)-2),3)),""),""))</f>
        <v/>
      </c>
      <c r="Q56" s="16"/>
      <c r="R56" s="16"/>
    </row>
    <row r="57" customFormat="false" ht="15" hidden="false" customHeight="false" outlineLevel="0" collapsed="false">
      <c r="A57" s="16"/>
      <c r="B57" s="16"/>
      <c r="C57" s="63" t="str">
        <f aca="false">IF(IFERROR(-INDEX(Expenses!D$3:D$1002,SMALL(IF((Expenses!E$3:E$1002="INR")*(Expenses!A$3:A$1002=DATE(2026,3,9)),ROW(Expenses!A$3:A$1002)-2),4)),0)+IFERROR(INDEX(Income!C$3:C$502,SMALL(IF((Income!D$3:D$502="INR")*(Income!A$3:A$502=DATE(2026,3,9)),ROW(Income!A$3:A$502)-2),4)),0)=0,"",IFERROR(-INDEX(Expenses!D$3:D$1002,SMALL(IF((Expenses!E$3:E$1002="INR")*(Expenses!A$3:A$1002=DATE(2026,3,9)),ROW(Expenses!A$3:A$1002)-2),4)),0)+IFERROR(INDEX(Income!C$3:C$502,SMALL(IF((Income!D$3:D$502="INR")*(Income!A$3:A$502=DATE(2026,3,9)),ROW(Income!A$3:A$502)-2),4)),0))</f>
        <v/>
      </c>
      <c r="D57" s="38" t="str">
        <f aca="false">IF(IFERROR(INDEX(Expenses!B$3:B$1002,SMALL(IF((Expenses!E$3:E$1002="INR")*(Expenses!A$3:A$1002=DATE(2026,3,9)),ROW(Expenses!A$3:A$1002)-2),4)),"")&lt;&gt;"",IFERROR(INDEX(Expenses!B$3:B$1002,SMALL(IF((Expenses!E$3:E$1002="INR")*(Expenses!A$3:A$1002=DATE(2026,3,9)),ROW(Expenses!A$3:A$1002)-2),4)),""),IF(IFERROR(INDEX(Income!B$3:B$502,SMALL(IF((Income!D$3:D$502="INR")*(Income!A$3:A$502=DATE(2026,3,9)),ROW(Income!A$3:A$502)-2),4)),"")&lt;&gt;"",IFERROR(INDEX(Income!B$3:B$502,SMALL(IF((Income!D$3:D$502="INR")*(Income!A$3:A$502=DATE(2026,3,9)),ROW(Income!A$3:A$502)-2),4)),""),""))</f>
        <v/>
      </c>
      <c r="E57" s="63" t="str">
        <f aca="false">IF(IFERROR(-INDEX(Expenses!D$3:D$1002,SMALL(IF((Expenses!E$3:E$1002="INR")*(Expenses!A$3:A$1002=DATE(2026,3,10)),ROW(Expenses!A$3:A$1002)-2),4)),0)+IFERROR(INDEX(Income!C$3:C$502,SMALL(IF((Income!D$3:D$502="INR")*(Income!A$3:A$502=DATE(2026,3,10)),ROW(Income!A$3:A$502)-2),4)),0)=0,"",IFERROR(-INDEX(Expenses!D$3:D$1002,SMALL(IF((Expenses!E$3:E$1002="INR")*(Expenses!A$3:A$1002=DATE(2026,3,10)),ROW(Expenses!A$3:A$1002)-2),4)),0)+IFERROR(INDEX(Income!C$3:C$502,SMALL(IF((Income!D$3:D$502="INR")*(Income!A$3:A$502=DATE(2026,3,10)),ROW(Income!A$3:A$502)-2),4)),0))</f>
        <v/>
      </c>
      <c r="F57" s="38" t="str">
        <f aca="false">IF(IFERROR(INDEX(Expenses!B$3:B$1002,SMALL(IF((Expenses!E$3:E$1002="INR")*(Expenses!A$3:A$1002=DATE(2026,3,10)),ROW(Expenses!A$3:A$1002)-2),4)),"")&lt;&gt;"",IFERROR(INDEX(Expenses!B$3:B$1002,SMALL(IF((Expenses!E$3:E$1002="INR")*(Expenses!A$3:A$1002=DATE(2026,3,10)),ROW(Expenses!A$3:A$1002)-2),4)),""),IF(IFERROR(INDEX(Income!B$3:B$502,SMALL(IF((Income!D$3:D$502="INR")*(Income!A$3:A$502=DATE(2026,3,10)),ROW(Income!A$3:A$502)-2),4)),"")&lt;&gt;"",IFERROR(INDEX(Income!B$3:B$502,SMALL(IF((Income!D$3:D$502="INR")*(Income!A$3:A$502=DATE(2026,3,10)),ROW(Income!A$3:A$502)-2),4)),""),""))</f>
        <v/>
      </c>
      <c r="G57" s="63" t="str">
        <f aca="false">IF(IFERROR(-INDEX(Expenses!D$3:D$1002,SMALL(IF((Expenses!E$3:E$1002="INR")*(Expenses!A$3:A$1002=DATE(2026,3,11)),ROW(Expenses!A$3:A$1002)-2),4)),0)+IFERROR(INDEX(Income!C$3:C$502,SMALL(IF((Income!D$3:D$502="INR")*(Income!A$3:A$502=DATE(2026,3,11)),ROW(Income!A$3:A$502)-2),4)),0)=0,"",IFERROR(-INDEX(Expenses!D$3:D$1002,SMALL(IF((Expenses!E$3:E$1002="INR")*(Expenses!A$3:A$1002=DATE(2026,3,11)),ROW(Expenses!A$3:A$1002)-2),4)),0)+IFERROR(INDEX(Income!C$3:C$502,SMALL(IF((Income!D$3:D$502="INR")*(Income!A$3:A$502=DATE(2026,3,11)),ROW(Income!A$3:A$502)-2),4)),0))</f>
        <v/>
      </c>
      <c r="H57" s="38" t="str">
        <f aca="false">IF(IFERROR(INDEX(Expenses!B$3:B$1002,SMALL(IF((Expenses!E$3:E$1002="INR")*(Expenses!A$3:A$1002=DATE(2026,3,11)),ROW(Expenses!A$3:A$1002)-2),4)),"")&lt;&gt;"",IFERROR(INDEX(Expenses!B$3:B$1002,SMALL(IF((Expenses!E$3:E$1002="INR")*(Expenses!A$3:A$1002=DATE(2026,3,11)),ROW(Expenses!A$3:A$1002)-2),4)),""),IF(IFERROR(INDEX(Income!B$3:B$502,SMALL(IF((Income!D$3:D$502="INR")*(Income!A$3:A$502=DATE(2026,3,11)),ROW(Income!A$3:A$502)-2),4)),"")&lt;&gt;"",IFERROR(INDEX(Income!B$3:B$502,SMALL(IF((Income!D$3:D$502="INR")*(Income!A$3:A$502=DATE(2026,3,11)),ROW(Income!A$3:A$502)-2),4)),""),""))</f>
        <v/>
      </c>
      <c r="I57" s="63" t="str">
        <f aca="false">IF(IFERROR(-INDEX(Expenses!D$3:D$1002,SMALL(IF((Expenses!E$3:E$1002="INR")*(Expenses!A$3:A$1002=DATE(2026,3,12)),ROW(Expenses!A$3:A$1002)-2),4)),0)+IFERROR(INDEX(Income!C$3:C$502,SMALL(IF((Income!D$3:D$502="INR")*(Income!A$3:A$502=DATE(2026,3,12)),ROW(Income!A$3:A$502)-2),4)),0)=0,"",IFERROR(-INDEX(Expenses!D$3:D$1002,SMALL(IF((Expenses!E$3:E$1002="INR")*(Expenses!A$3:A$1002=DATE(2026,3,12)),ROW(Expenses!A$3:A$1002)-2),4)),0)+IFERROR(INDEX(Income!C$3:C$502,SMALL(IF((Income!D$3:D$502="INR")*(Income!A$3:A$502=DATE(2026,3,12)),ROW(Income!A$3:A$502)-2),4)),0))</f>
        <v/>
      </c>
      <c r="J57" s="38" t="str">
        <f aca="false">IF(IFERROR(INDEX(Expenses!B$3:B$1002,SMALL(IF((Expenses!E$3:E$1002="INR")*(Expenses!A$3:A$1002=DATE(2026,3,12)),ROW(Expenses!A$3:A$1002)-2),4)),"")&lt;&gt;"",IFERROR(INDEX(Expenses!B$3:B$1002,SMALL(IF((Expenses!E$3:E$1002="INR")*(Expenses!A$3:A$1002=DATE(2026,3,12)),ROW(Expenses!A$3:A$1002)-2),4)),""),IF(IFERROR(INDEX(Income!B$3:B$502,SMALL(IF((Income!D$3:D$502="INR")*(Income!A$3:A$502=DATE(2026,3,12)),ROW(Income!A$3:A$502)-2),4)),"")&lt;&gt;"",IFERROR(INDEX(Income!B$3:B$502,SMALL(IF((Income!D$3:D$502="INR")*(Income!A$3:A$502=DATE(2026,3,12)),ROW(Income!A$3:A$502)-2),4)),""),""))</f>
        <v/>
      </c>
      <c r="K57" s="63" t="str">
        <f aca="false">IF(IFERROR(-INDEX(Expenses!D$3:D$1002,SMALL(IF((Expenses!E$3:E$1002="INR")*(Expenses!A$3:A$1002=DATE(2026,3,13)),ROW(Expenses!A$3:A$1002)-2),4)),0)+IFERROR(INDEX(Income!C$3:C$502,SMALL(IF((Income!D$3:D$502="INR")*(Income!A$3:A$502=DATE(2026,3,13)),ROW(Income!A$3:A$502)-2),4)),0)=0,"",IFERROR(-INDEX(Expenses!D$3:D$1002,SMALL(IF((Expenses!E$3:E$1002="INR")*(Expenses!A$3:A$1002=DATE(2026,3,13)),ROW(Expenses!A$3:A$1002)-2),4)),0)+IFERROR(INDEX(Income!C$3:C$502,SMALL(IF((Income!D$3:D$502="INR")*(Income!A$3:A$502=DATE(2026,3,13)),ROW(Income!A$3:A$502)-2),4)),0))</f>
        <v/>
      </c>
      <c r="L57" s="38" t="str">
        <f aca="false">IF(IFERROR(INDEX(Expenses!B$3:B$1002,SMALL(IF((Expenses!E$3:E$1002="INR")*(Expenses!A$3:A$1002=DATE(2026,3,13)),ROW(Expenses!A$3:A$1002)-2),4)),"")&lt;&gt;"",IFERROR(INDEX(Expenses!B$3:B$1002,SMALL(IF((Expenses!E$3:E$1002="INR")*(Expenses!A$3:A$1002=DATE(2026,3,13)),ROW(Expenses!A$3:A$1002)-2),4)),""),IF(IFERROR(INDEX(Income!B$3:B$502,SMALL(IF((Income!D$3:D$502="INR")*(Income!A$3:A$502=DATE(2026,3,13)),ROW(Income!A$3:A$502)-2),4)),"")&lt;&gt;"",IFERROR(INDEX(Income!B$3:B$502,SMALL(IF((Income!D$3:D$502="INR")*(Income!A$3:A$502=DATE(2026,3,13)),ROW(Income!A$3:A$502)-2),4)),""),""))</f>
        <v/>
      </c>
      <c r="M57" s="63" t="str">
        <f aca="false">IF(IFERROR(-INDEX(Expenses!D$3:D$1002,SMALL(IF((Expenses!E$3:E$1002="INR")*(Expenses!A$3:A$1002=DATE(2026,3,14)),ROW(Expenses!A$3:A$1002)-2),4)),0)+IFERROR(INDEX(Income!C$3:C$502,SMALL(IF((Income!D$3:D$502="INR")*(Income!A$3:A$502=DATE(2026,3,14)),ROW(Income!A$3:A$502)-2),4)),0)=0,"",IFERROR(-INDEX(Expenses!D$3:D$1002,SMALL(IF((Expenses!E$3:E$1002="INR")*(Expenses!A$3:A$1002=DATE(2026,3,14)),ROW(Expenses!A$3:A$1002)-2),4)),0)+IFERROR(INDEX(Income!C$3:C$502,SMALL(IF((Income!D$3:D$502="INR")*(Income!A$3:A$502=DATE(2026,3,14)),ROW(Income!A$3:A$502)-2),4)),0))</f>
        <v/>
      </c>
      <c r="N57" s="38" t="str">
        <f aca="false">IF(IFERROR(INDEX(Expenses!B$3:B$1002,SMALL(IF((Expenses!E$3:E$1002="INR")*(Expenses!A$3:A$1002=DATE(2026,3,14)),ROW(Expenses!A$3:A$1002)-2),4)),"")&lt;&gt;"",IFERROR(INDEX(Expenses!B$3:B$1002,SMALL(IF((Expenses!E$3:E$1002="INR")*(Expenses!A$3:A$1002=DATE(2026,3,14)),ROW(Expenses!A$3:A$1002)-2),4)),""),IF(IFERROR(INDEX(Income!B$3:B$502,SMALL(IF((Income!D$3:D$502="INR")*(Income!A$3:A$502=DATE(2026,3,14)),ROW(Income!A$3:A$502)-2),4)),"")&lt;&gt;"",IFERROR(INDEX(Income!B$3:B$502,SMALL(IF((Income!D$3:D$502="INR")*(Income!A$3:A$502=DATE(2026,3,14)),ROW(Income!A$3:A$502)-2),4)),""),""))</f>
        <v/>
      </c>
      <c r="O57" s="63" t="str">
        <f aca="false">IF(IFERROR(-INDEX(Expenses!D$3:D$1002,SMALL(IF((Expenses!E$3:E$1002="INR")*(Expenses!A$3:A$1002=DATE(2026,3,15)),ROW(Expenses!A$3:A$1002)-2),4)),0)+IFERROR(INDEX(Income!C$3:C$502,SMALL(IF((Income!D$3:D$502="INR")*(Income!A$3:A$502=DATE(2026,3,15)),ROW(Income!A$3:A$502)-2),4)),0)=0,"",IFERROR(-INDEX(Expenses!D$3:D$1002,SMALL(IF((Expenses!E$3:E$1002="INR")*(Expenses!A$3:A$1002=DATE(2026,3,15)),ROW(Expenses!A$3:A$1002)-2),4)),0)+IFERROR(INDEX(Income!C$3:C$502,SMALL(IF((Income!D$3:D$502="INR")*(Income!A$3:A$502=DATE(2026,3,15)),ROW(Income!A$3:A$502)-2),4)),0))</f>
        <v/>
      </c>
      <c r="P57" s="38" t="str">
        <f aca="false">IF(IFERROR(INDEX(Expenses!B$3:B$1002,SMALL(IF((Expenses!E$3:E$1002="INR")*(Expenses!A$3:A$1002=DATE(2026,3,15)),ROW(Expenses!A$3:A$1002)-2),4)),"")&lt;&gt;"",IFERROR(INDEX(Expenses!B$3:B$1002,SMALL(IF((Expenses!E$3:E$1002="INR")*(Expenses!A$3:A$1002=DATE(2026,3,15)),ROW(Expenses!A$3:A$1002)-2),4)),""),IF(IFERROR(INDEX(Income!B$3:B$502,SMALL(IF((Income!D$3:D$502="INR")*(Income!A$3:A$502=DATE(2026,3,15)),ROW(Income!A$3:A$502)-2),4)),"")&lt;&gt;"",IFERROR(INDEX(Income!B$3:B$502,SMALL(IF((Income!D$3:D$502="INR")*(Income!A$3:A$502=DATE(2026,3,15)),ROW(Income!A$3:A$502)-2),4)),""),""))</f>
        <v/>
      </c>
      <c r="Q57" s="16"/>
      <c r="R57" s="16"/>
    </row>
    <row r="58" customFormat="false" ht="15" hidden="false" customHeight="false" outlineLevel="0" collapsed="false">
      <c r="A58" s="16"/>
      <c r="B58" s="16"/>
      <c r="C58" s="63" t="str">
        <f aca="false">IF(IFERROR(-INDEX(Expenses!D$3:D$1002,SMALL(IF((Expenses!E$3:E$1002="INR")*(Expenses!A$3:A$1002=DATE(2026,3,9)),ROW(Expenses!A$3:A$1002)-2),5)),0)+IFERROR(INDEX(Income!C$3:C$502,SMALL(IF((Income!D$3:D$502="INR")*(Income!A$3:A$502=DATE(2026,3,9)),ROW(Income!A$3:A$502)-2),5)),0)=0,"",IFERROR(-INDEX(Expenses!D$3:D$1002,SMALL(IF((Expenses!E$3:E$1002="INR")*(Expenses!A$3:A$1002=DATE(2026,3,9)),ROW(Expenses!A$3:A$1002)-2),5)),0)+IFERROR(INDEX(Income!C$3:C$502,SMALL(IF((Income!D$3:D$502="INR")*(Income!A$3:A$502=DATE(2026,3,9)),ROW(Income!A$3:A$502)-2),5)),0))</f>
        <v/>
      </c>
      <c r="D58" s="38" t="str">
        <f aca="false">IF(IFERROR(INDEX(Expenses!B$3:B$1002,SMALL(IF((Expenses!E$3:E$1002="INR")*(Expenses!A$3:A$1002=DATE(2026,3,9)),ROW(Expenses!A$3:A$1002)-2),5)),"")&lt;&gt;"",IFERROR(INDEX(Expenses!B$3:B$1002,SMALL(IF((Expenses!E$3:E$1002="INR")*(Expenses!A$3:A$1002=DATE(2026,3,9)),ROW(Expenses!A$3:A$1002)-2),5)),""),IF(IFERROR(INDEX(Income!B$3:B$502,SMALL(IF((Income!D$3:D$502="INR")*(Income!A$3:A$502=DATE(2026,3,9)),ROW(Income!A$3:A$502)-2),5)),"")&lt;&gt;"",IFERROR(INDEX(Income!B$3:B$502,SMALL(IF((Income!D$3:D$502="INR")*(Income!A$3:A$502=DATE(2026,3,9)),ROW(Income!A$3:A$502)-2),5)),""),""))</f>
        <v/>
      </c>
      <c r="E58" s="63" t="str">
        <f aca="false">IF(IFERROR(-INDEX(Expenses!D$3:D$1002,SMALL(IF((Expenses!E$3:E$1002="INR")*(Expenses!A$3:A$1002=DATE(2026,3,10)),ROW(Expenses!A$3:A$1002)-2),5)),0)+IFERROR(INDEX(Income!C$3:C$502,SMALL(IF((Income!D$3:D$502="INR")*(Income!A$3:A$502=DATE(2026,3,10)),ROW(Income!A$3:A$502)-2),5)),0)=0,"",IFERROR(-INDEX(Expenses!D$3:D$1002,SMALL(IF((Expenses!E$3:E$1002="INR")*(Expenses!A$3:A$1002=DATE(2026,3,10)),ROW(Expenses!A$3:A$1002)-2),5)),0)+IFERROR(INDEX(Income!C$3:C$502,SMALL(IF((Income!D$3:D$502="INR")*(Income!A$3:A$502=DATE(2026,3,10)),ROW(Income!A$3:A$502)-2),5)),0))</f>
        <v/>
      </c>
      <c r="F58" s="38" t="str">
        <f aca="false">IF(IFERROR(INDEX(Expenses!B$3:B$1002,SMALL(IF((Expenses!E$3:E$1002="INR")*(Expenses!A$3:A$1002=DATE(2026,3,10)),ROW(Expenses!A$3:A$1002)-2),5)),"")&lt;&gt;"",IFERROR(INDEX(Expenses!B$3:B$1002,SMALL(IF((Expenses!E$3:E$1002="INR")*(Expenses!A$3:A$1002=DATE(2026,3,10)),ROW(Expenses!A$3:A$1002)-2),5)),""),IF(IFERROR(INDEX(Income!B$3:B$502,SMALL(IF((Income!D$3:D$502="INR")*(Income!A$3:A$502=DATE(2026,3,10)),ROW(Income!A$3:A$502)-2),5)),"")&lt;&gt;"",IFERROR(INDEX(Income!B$3:B$502,SMALL(IF((Income!D$3:D$502="INR")*(Income!A$3:A$502=DATE(2026,3,10)),ROW(Income!A$3:A$502)-2),5)),""),""))</f>
        <v/>
      </c>
      <c r="G58" s="63" t="str">
        <f aca="false">IF(IFERROR(-INDEX(Expenses!D$3:D$1002,SMALL(IF((Expenses!E$3:E$1002="INR")*(Expenses!A$3:A$1002=DATE(2026,3,11)),ROW(Expenses!A$3:A$1002)-2),5)),0)+IFERROR(INDEX(Income!C$3:C$502,SMALL(IF((Income!D$3:D$502="INR")*(Income!A$3:A$502=DATE(2026,3,11)),ROW(Income!A$3:A$502)-2),5)),0)=0,"",IFERROR(-INDEX(Expenses!D$3:D$1002,SMALL(IF((Expenses!E$3:E$1002="INR")*(Expenses!A$3:A$1002=DATE(2026,3,11)),ROW(Expenses!A$3:A$1002)-2),5)),0)+IFERROR(INDEX(Income!C$3:C$502,SMALL(IF((Income!D$3:D$502="INR")*(Income!A$3:A$502=DATE(2026,3,11)),ROW(Income!A$3:A$502)-2),5)),0))</f>
        <v/>
      </c>
      <c r="H58" s="38" t="str">
        <f aca="false">IF(IFERROR(INDEX(Expenses!B$3:B$1002,SMALL(IF((Expenses!E$3:E$1002="INR")*(Expenses!A$3:A$1002=DATE(2026,3,11)),ROW(Expenses!A$3:A$1002)-2),5)),"")&lt;&gt;"",IFERROR(INDEX(Expenses!B$3:B$1002,SMALL(IF((Expenses!E$3:E$1002="INR")*(Expenses!A$3:A$1002=DATE(2026,3,11)),ROW(Expenses!A$3:A$1002)-2),5)),""),IF(IFERROR(INDEX(Income!B$3:B$502,SMALL(IF((Income!D$3:D$502="INR")*(Income!A$3:A$502=DATE(2026,3,11)),ROW(Income!A$3:A$502)-2),5)),"")&lt;&gt;"",IFERROR(INDEX(Income!B$3:B$502,SMALL(IF((Income!D$3:D$502="INR")*(Income!A$3:A$502=DATE(2026,3,11)),ROW(Income!A$3:A$502)-2),5)),""),""))</f>
        <v/>
      </c>
      <c r="I58" s="63" t="str">
        <f aca="false">IF(IFERROR(-INDEX(Expenses!D$3:D$1002,SMALL(IF((Expenses!E$3:E$1002="INR")*(Expenses!A$3:A$1002=DATE(2026,3,12)),ROW(Expenses!A$3:A$1002)-2),5)),0)+IFERROR(INDEX(Income!C$3:C$502,SMALL(IF((Income!D$3:D$502="INR")*(Income!A$3:A$502=DATE(2026,3,12)),ROW(Income!A$3:A$502)-2),5)),0)=0,"",IFERROR(-INDEX(Expenses!D$3:D$1002,SMALL(IF((Expenses!E$3:E$1002="INR")*(Expenses!A$3:A$1002=DATE(2026,3,12)),ROW(Expenses!A$3:A$1002)-2),5)),0)+IFERROR(INDEX(Income!C$3:C$502,SMALL(IF((Income!D$3:D$502="INR")*(Income!A$3:A$502=DATE(2026,3,12)),ROW(Income!A$3:A$502)-2),5)),0))</f>
        <v/>
      </c>
      <c r="J58" s="38" t="str">
        <f aca="false">IF(IFERROR(INDEX(Expenses!B$3:B$1002,SMALL(IF((Expenses!E$3:E$1002="INR")*(Expenses!A$3:A$1002=DATE(2026,3,12)),ROW(Expenses!A$3:A$1002)-2),5)),"")&lt;&gt;"",IFERROR(INDEX(Expenses!B$3:B$1002,SMALL(IF((Expenses!E$3:E$1002="INR")*(Expenses!A$3:A$1002=DATE(2026,3,12)),ROW(Expenses!A$3:A$1002)-2),5)),""),IF(IFERROR(INDEX(Income!B$3:B$502,SMALL(IF((Income!D$3:D$502="INR")*(Income!A$3:A$502=DATE(2026,3,12)),ROW(Income!A$3:A$502)-2),5)),"")&lt;&gt;"",IFERROR(INDEX(Income!B$3:B$502,SMALL(IF((Income!D$3:D$502="INR")*(Income!A$3:A$502=DATE(2026,3,12)),ROW(Income!A$3:A$502)-2),5)),""),""))</f>
        <v/>
      </c>
      <c r="K58" s="63" t="str">
        <f aca="false">IF(IFERROR(-INDEX(Expenses!D$3:D$1002,SMALL(IF((Expenses!E$3:E$1002="INR")*(Expenses!A$3:A$1002=DATE(2026,3,13)),ROW(Expenses!A$3:A$1002)-2),5)),0)+IFERROR(INDEX(Income!C$3:C$502,SMALL(IF((Income!D$3:D$502="INR")*(Income!A$3:A$502=DATE(2026,3,13)),ROW(Income!A$3:A$502)-2),5)),0)=0,"",IFERROR(-INDEX(Expenses!D$3:D$1002,SMALL(IF((Expenses!E$3:E$1002="INR")*(Expenses!A$3:A$1002=DATE(2026,3,13)),ROW(Expenses!A$3:A$1002)-2),5)),0)+IFERROR(INDEX(Income!C$3:C$502,SMALL(IF((Income!D$3:D$502="INR")*(Income!A$3:A$502=DATE(2026,3,13)),ROW(Income!A$3:A$502)-2),5)),0))</f>
        <v/>
      </c>
      <c r="L58" s="38" t="str">
        <f aca="false">IF(IFERROR(INDEX(Expenses!B$3:B$1002,SMALL(IF((Expenses!E$3:E$1002="INR")*(Expenses!A$3:A$1002=DATE(2026,3,13)),ROW(Expenses!A$3:A$1002)-2),5)),"")&lt;&gt;"",IFERROR(INDEX(Expenses!B$3:B$1002,SMALL(IF((Expenses!E$3:E$1002="INR")*(Expenses!A$3:A$1002=DATE(2026,3,13)),ROW(Expenses!A$3:A$1002)-2),5)),""),IF(IFERROR(INDEX(Income!B$3:B$502,SMALL(IF((Income!D$3:D$502="INR")*(Income!A$3:A$502=DATE(2026,3,13)),ROW(Income!A$3:A$502)-2),5)),"")&lt;&gt;"",IFERROR(INDEX(Income!B$3:B$502,SMALL(IF((Income!D$3:D$502="INR")*(Income!A$3:A$502=DATE(2026,3,13)),ROW(Income!A$3:A$502)-2),5)),""),""))</f>
        <v/>
      </c>
      <c r="M58" s="63" t="str">
        <f aca="false">IF(IFERROR(-INDEX(Expenses!D$3:D$1002,SMALL(IF((Expenses!E$3:E$1002="INR")*(Expenses!A$3:A$1002=DATE(2026,3,14)),ROW(Expenses!A$3:A$1002)-2),5)),0)+IFERROR(INDEX(Income!C$3:C$502,SMALL(IF((Income!D$3:D$502="INR")*(Income!A$3:A$502=DATE(2026,3,14)),ROW(Income!A$3:A$502)-2),5)),0)=0,"",IFERROR(-INDEX(Expenses!D$3:D$1002,SMALL(IF((Expenses!E$3:E$1002="INR")*(Expenses!A$3:A$1002=DATE(2026,3,14)),ROW(Expenses!A$3:A$1002)-2),5)),0)+IFERROR(INDEX(Income!C$3:C$502,SMALL(IF((Income!D$3:D$502="INR")*(Income!A$3:A$502=DATE(2026,3,14)),ROW(Income!A$3:A$502)-2),5)),0))</f>
        <v/>
      </c>
      <c r="N58" s="38" t="str">
        <f aca="false">IF(IFERROR(INDEX(Expenses!B$3:B$1002,SMALL(IF((Expenses!E$3:E$1002="INR")*(Expenses!A$3:A$1002=DATE(2026,3,14)),ROW(Expenses!A$3:A$1002)-2),5)),"")&lt;&gt;"",IFERROR(INDEX(Expenses!B$3:B$1002,SMALL(IF((Expenses!E$3:E$1002="INR")*(Expenses!A$3:A$1002=DATE(2026,3,14)),ROW(Expenses!A$3:A$1002)-2),5)),""),IF(IFERROR(INDEX(Income!B$3:B$502,SMALL(IF((Income!D$3:D$502="INR")*(Income!A$3:A$502=DATE(2026,3,14)),ROW(Income!A$3:A$502)-2),5)),"")&lt;&gt;"",IFERROR(INDEX(Income!B$3:B$502,SMALL(IF((Income!D$3:D$502="INR")*(Income!A$3:A$502=DATE(2026,3,14)),ROW(Income!A$3:A$502)-2),5)),""),""))</f>
        <v/>
      </c>
      <c r="O58" s="63" t="str">
        <f aca="false">IF(IFERROR(-INDEX(Expenses!D$3:D$1002,SMALL(IF((Expenses!E$3:E$1002="INR")*(Expenses!A$3:A$1002=DATE(2026,3,15)),ROW(Expenses!A$3:A$1002)-2),5)),0)+IFERROR(INDEX(Income!C$3:C$502,SMALL(IF((Income!D$3:D$502="INR")*(Income!A$3:A$502=DATE(2026,3,15)),ROW(Income!A$3:A$502)-2),5)),0)=0,"",IFERROR(-INDEX(Expenses!D$3:D$1002,SMALL(IF((Expenses!E$3:E$1002="INR")*(Expenses!A$3:A$1002=DATE(2026,3,15)),ROW(Expenses!A$3:A$1002)-2),5)),0)+IFERROR(INDEX(Income!C$3:C$502,SMALL(IF((Income!D$3:D$502="INR")*(Income!A$3:A$502=DATE(2026,3,15)),ROW(Income!A$3:A$502)-2),5)),0))</f>
        <v/>
      </c>
      <c r="P58" s="38" t="str">
        <f aca="false">IF(IFERROR(INDEX(Expenses!B$3:B$1002,SMALL(IF((Expenses!E$3:E$1002="INR")*(Expenses!A$3:A$1002=DATE(2026,3,15)),ROW(Expenses!A$3:A$1002)-2),5)),"")&lt;&gt;"",IFERROR(INDEX(Expenses!B$3:B$1002,SMALL(IF((Expenses!E$3:E$1002="INR")*(Expenses!A$3:A$1002=DATE(2026,3,15)),ROW(Expenses!A$3:A$1002)-2),5)),""),IF(IFERROR(INDEX(Income!B$3:B$502,SMALL(IF((Income!D$3:D$502="INR")*(Income!A$3:A$502=DATE(2026,3,15)),ROW(Income!A$3:A$502)-2),5)),"")&lt;&gt;"",IFERROR(INDEX(Income!B$3:B$502,SMALL(IF((Income!D$3:D$502="INR")*(Income!A$3:A$502=DATE(2026,3,15)),ROW(Income!A$3:A$502)-2),5)),""),""))</f>
        <v/>
      </c>
      <c r="Q58" s="16"/>
      <c r="R58" s="16"/>
    </row>
    <row r="59" customFormat="false" ht="15" hidden="false" customHeight="false" outlineLevel="0" collapsed="false">
      <c r="A59" s="61" t="n">
        <v>46097</v>
      </c>
      <c r="B59" s="3" t="n">
        <v>12</v>
      </c>
      <c r="C59" s="63" t="str">
        <f aca="false">IF(IFERROR(-INDEX(Expenses!D$3:D$1002,SMALL(IF((Expenses!E$3:E$1002="INR")*(Expenses!A$3:A$1002=DATE(2026,3,16)),ROW(Expenses!A$3:A$1002)-2),1)),0)+IFERROR(INDEX(Income!C$3:C$502,SMALL(IF((Income!D$3:D$502="INR")*(Income!A$3:A$502=DATE(2026,3,16)),ROW(Income!A$3:A$502)-2),1)),0)=0,"",IFERROR(-INDEX(Expenses!D$3:D$1002,SMALL(IF((Expenses!E$3:E$1002="INR")*(Expenses!A$3:A$1002=DATE(2026,3,16)),ROW(Expenses!A$3:A$1002)-2),1)),0)+IFERROR(INDEX(Income!C$3:C$502,SMALL(IF((Income!D$3:D$502="INR")*(Income!A$3:A$502=DATE(2026,3,16)),ROW(Income!A$3:A$502)-2),1)),0))</f>
        <v/>
      </c>
      <c r="D59" s="38" t="str">
        <f aca="false">IF(IFERROR(INDEX(Expenses!B$3:B$1002,SMALL(IF((Expenses!E$3:E$1002="INR")*(Expenses!A$3:A$1002=DATE(2026,3,16)),ROW(Expenses!A$3:A$1002)-2),1)),"")&lt;&gt;"",IFERROR(INDEX(Expenses!B$3:B$1002,SMALL(IF((Expenses!E$3:E$1002="INR")*(Expenses!A$3:A$1002=DATE(2026,3,16)),ROW(Expenses!A$3:A$1002)-2),1)),""),IF(IFERROR(INDEX(Income!B$3:B$502,SMALL(IF((Income!D$3:D$502="INR")*(Income!A$3:A$502=DATE(2026,3,16)),ROW(Income!A$3:A$502)-2),1)),"")&lt;&gt;"",IFERROR(INDEX(Income!B$3:B$502,SMALL(IF((Income!D$3:D$502="INR")*(Income!A$3:A$502=DATE(2026,3,16)),ROW(Income!A$3:A$502)-2),1)),""),""))</f>
        <v/>
      </c>
      <c r="E59" s="63" t="str">
        <f aca="false">IF(IFERROR(-INDEX(Expenses!D$3:D$1002,SMALL(IF((Expenses!E$3:E$1002="INR")*(Expenses!A$3:A$1002=DATE(2026,3,17)),ROW(Expenses!A$3:A$1002)-2),1)),0)+IFERROR(INDEX(Income!C$3:C$502,SMALL(IF((Income!D$3:D$502="INR")*(Income!A$3:A$502=DATE(2026,3,17)),ROW(Income!A$3:A$502)-2),1)),0)=0,"",IFERROR(-INDEX(Expenses!D$3:D$1002,SMALL(IF((Expenses!E$3:E$1002="INR")*(Expenses!A$3:A$1002=DATE(2026,3,17)),ROW(Expenses!A$3:A$1002)-2),1)),0)+IFERROR(INDEX(Income!C$3:C$502,SMALL(IF((Income!D$3:D$502="INR")*(Income!A$3:A$502=DATE(2026,3,17)),ROW(Income!A$3:A$502)-2),1)),0))</f>
        <v/>
      </c>
      <c r="F59" s="38" t="str">
        <f aca="false">IF(IFERROR(INDEX(Expenses!B$3:B$1002,SMALL(IF((Expenses!E$3:E$1002="INR")*(Expenses!A$3:A$1002=DATE(2026,3,17)),ROW(Expenses!A$3:A$1002)-2),1)),"")&lt;&gt;"",IFERROR(INDEX(Expenses!B$3:B$1002,SMALL(IF((Expenses!E$3:E$1002="INR")*(Expenses!A$3:A$1002=DATE(2026,3,17)),ROW(Expenses!A$3:A$1002)-2),1)),""),IF(IFERROR(INDEX(Income!B$3:B$502,SMALL(IF((Income!D$3:D$502="INR")*(Income!A$3:A$502=DATE(2026,3,17)),ROW(Income!A$3:A$502)-2),1)),"")&lt;&gt;"",IFERROR(INDEX(Income!B$3:B$502,SMALL(IF((Income!D$3:D$502="INR")*(Income!A$3:A$502=DATE(2026,3,17)),ROW(Income!A$3:A$502)-2),1)),""),""))</f>
        <v/>
      </c>
      <c r="G59" s="63" t="str">
        <f aca="false">IF(IFERROR(-INDEX(Expenses!D$3:D$1002,SMALL(IF((Expenses!E$3:E$1002="INR")*(Expenses!A$3:A$1002=DATE(2026,3,18)),ROW(Expenses!A$3:A$1002)-2),1)),0)+IFERROR(INDEX(Income!C$3:C$502,SMALL(IF((Income!D$3:D$502="INR")*(Income!A$3:A$502=DATE(2026,3,18)),ROW(Income!A$3:A$502)-2),1)),0)=0,"",IFERROR(-INDEX(Expenses!D$3:D$1002,SMALL(IF((Expenses!E$3:E$1002="INR")*(Expenses!A$3:A$1002=DATE(2026,3,18)),ROW(Expenses!A$3:A$1002)-2),1)),0)+IFERROR(INDEX(Income!C$3:C$502,SMALL(IF((Income!D$3:D$502="INR")*(Income!A$3:A$502=DATE(2026,3,18)),ROW(Income!A$3:A$502)-2),1)),0))</f>
        <v/>
      </c>
      <c r="H59" s="38" t="str">
        <f aca="false">IF(IFERROR(INDEX(Expenses!B$3:B$1002,SMALL(IF((Expenses!E$3:E$1002="INR")*(Expenses!A$3:A$1002=DATE(2026,3,18)),ROW(Expenses!A$3:A$1002)-2),1)),"")&lt;&gt;"",IFERROR(INDEX(Expenses!B$3:B$1002,SMALL(IF((Expenses!E$3:E$1002="INR")*(Expenses!A$3:A$1002=DATE(2026,3,18)),ROW(Expenses!A$3:A$1002)-2),1)),""),IF(IFERROR(INDEX(Income!B$3:B$502,SMALL(IF((Income!D$3:D$502="INR")*(Income!A$3:A$502=DATE(2026,3,18)),ROW(Income!A$3:A$502)-2),1)),"")&lt;&gt;"",IFERROR(INDEX(Income!B$3:B$502,SMALL(IF((Income!D$3:D$502="INR")*(Income!A$3:A$502=DATE(2026,3,18)),ROW(Income!A$3:A$502)-2),1)),""),""))</f>
        <v/>
      </c>
      <c r="I59" s="63" t="str">
        <f aca="false">IF(IFERROR(-INDEX(Expenses!D$3:D$1002,SMALL(IF((Expenses!E$3:E$1002="INR")*(Expenses!A$3:A$1002=DATE(2026,3,19)),ROW(Expenses!A$3:A$1002)-2),1)),0)+IFERROR(INDEX(Income!C$3:C$502,SMALL(IF((Income!D$3:D$502="INR")*(Income!A$3:A$502=DATE(2026,3,19)),ROW(Income!A$3:A$502)-2),1)),0)=0,"",IFERROR(-INDEX(Expenses!D$3:D$1002,SMALL(IF((Expenses!E$3:E$1002="INR")*(Expenses!A$3:A$1002=DATE(2026,3,19)),ROW(Expenses!A$3:A$1002)-2),1)),0)+IFERROR(INDEX(Income!C$3:C$502,SMALL(IF((Income!D$3:D$502="INR")*(Income!A$3:A$502=DATE(2026,3,19)),ROW(Income!A$3:A$502)-2),1)),0))</f>
        <v/>
      </c>
      <c r="J59" s="38" t="str">
        <f aca="false">IF(IFERROR(INDEX(Expenses!B$3:B$1002,SMALL(IF((Expenses!E$3:E$1002="INR")*(Expenses!A$3:A$1002=DATE(2026,3,19)),ROW(Expenses!A$3:A$1002)-2),1)),"")&lt;&gt;"",IFERROR(INDEX(Expenses!B$3:B$1002,SMALL(IF((Expenses!E$3:E$1002="INR")*(Expenses!A$3:A$1002=DATE(2026,3,19)),ROW(Expenses!A$3:A$1002)-2),1)),""),IF(IFERROR(INDEX(Income!B$3:B$502,SMALL(IF((Income!D$3:D$502="INR")*(Income!A$3:A$502=DATE(2026,3,19)),ROW(Income!A$3:A$502)-2),1)),"")&lt;&gt;"",IFERROR(INDEX(Income!B$3:B$502,SMALL(IF((Income!D$3:D$502="INR")*(Income!A$3:A$502=DATE(2026,3,19)),ROW(Income!A$3:A$502)-2),1)),""),""))</f>
        <v/>
      </c>
      <c r="K59" s="63" t="str">
        <f aca="false">IF(IFERROR(-INDEX(Expenses!D$3:D$1002,SMALL(IF((Expenses!E$3:E$1002="INR")*(Expenses!A$3:A$1002=DATE(2026,3,20)),ROW(Expenses!A$3:A$1002)-2),1)),0)+IFERROR(INDEX(Income!C$3:C$502,SMALL(IF((Income!D$3:D$502="INR")*(Income!A$3:A$502=DATE(2026,3,20)),ROW(Income!A$3:A$502)-2),1)),0)=0,"",IFERROR(-INDEX(Expenses!D$3:D$1002,SMALL(IF((Expenses!E$3:E$1002="INR")*(Expenses!A$3:A$1002=DATE(2026,3,20)),ROW(Expenses!A$3:A$1002)-2),1)),0)+IFERROR(INDEX(Income!C$3:C$502,SMALL(IF((Income!D$3:D$502="INR")*(Income!A$3:A$502=DATE(2026,3,20)),ROW(Income!A$3:A$502)-2),1)),0))</f>
        <v/>
      </c>
      <c r="L59" s="38" t="str">
        <f aca="false">IF(IFERROR(INDEX(Expenses!B$3:B$1002,SMALL(IF((Expenses!E$3:E$1002="INR")*(Expenses!A$3:A$1002=DATE(2026,3,20)),ROW(Expenses!A$3:A$1002)-2),1)),"")&lt;&gt;"",IFERROR(INDEX(Expenses!B$3:B$1002,SMALL(IF((Expenses!E$3:E$1002="INR")*(Expenses!A$3:A$1002=DATE(2026,3,20)),ROW(Expenses!A$3:A$1002)-2),1)),""),IF(IFERROR(INDEX(Income!B$3:B$502,SMALL(IF((Income!D$3:D$502="INR")*(Income!A$3:A$502=DATE(2026,3,20)),ROW(Income!A$3:A$502)-2),1)),"")&lt;&gt;"",IFERROR(INDEX(Income!B$3:B$502,SMALL(IF((Income!D$3:D$502="INR")*(Income!A$3:A$502=DATE(2026,3,20)),ROW(Income!A$3:A$502)-2),1)),""),""))</f>
        <v/>
      </c>
      <c r="M59" s="63" t="str">
        <f aca="false">IF(IFERROR(-INDEX(Expenses!D$3:D$1002,SMALL(IF((Expenses!E$3:E$1002="INR")*(Expenses!A$3:A$1002=DATE(2026,3,21)),ROW(Expenses!A$3:A$1002)-2),1)),0)+IFERROR(INDEX(Income!C$3:C$502,SMALL(IF((Income!D$3:D$502="INR")*(Income!A$3:A$502=DATE(2026,3,21)),ROW(Income!A$3:A$502)-2),1)),0)=0,"",IFERROR(-INDEX(Expenses!D$3:D$1002,SMALL(IF((Expenses!E$3:E$1002="INR")*(Expenses!A$3:A$1002=DATE(2026,3,21)),ROW(Expenses!A$3:A$1002)-2),1)),0)+IFERROR(INDEX(Income!C$3:C$502,SMALL(IF((Income!D$3:D$502="INR")*(Income!A$3:A$502=DATE(2026,3,21)),ROW(Income!A$3:A$502)-2),1)),0))</f>
        <v/>
      </c>
      <c r="N59" s="38" t="str">
        <f aca="false">IF(IFERROR(INDEX(Expenses!B$3:B$1002,SMALL(IF((Expenses!E$3:E$1002="INR")*(Expenses!A$3:A$1002=DATE(2026,3,21)),ROW(Expenses!A$3:A$1002)-2),1)),"")&lt;&gt;"",IFERROR(INDEX(Expenses!B$3:B$1002,SMALL(IF((Expenses!E$3:E$1002="INR")*(Expenses!A$3:A$1002=DATE(2026,3,21)),ROW(Expenses!A$3:A$1002)-2),1)),""),IF(IFERROR(INDEX(Income!B$3:B$502,SMALL(IF((Income!D$3:D$502="INR")*(Income!A$3:A$502=DATE(2026,3,21)),ROW(Income!A$3:A$502)-2),1)),"")&lt;&gt;"",IFERROR(INDEX(Income!B$3:B$502,SMALL(IF((Income!D$3:D$502="INR")*(Income!A$3:A$502=DATE(2026,3,21)),ROW(Income!A$3:A$502)-2),1)),""),""))</f>
        <v/>
      </c>
      <c r="O59" s="63" t="str">
        <f aca="false">IF(IFERROR(-INDEX(Expenses!D$3:D$1002,SMALL(IF((Expenses!E$3:E$1002="INR")*(Expenses!A$3:A$1002=DATE(2026,3,22)),ROW(Expenses!A$3:A$1002)-2),1)),0)+IFERROR(INDEX(Income!C$3:C$502,SMALL(IF((Income!D$3:D$502="INR")*(Income!A$3:A$502=DATE(2026,3,22)),ROW(Income!A$3:A$502)-2),1)),0)=0,"",IFERROR(-INDEX(Expenses!D$3:D$1002,SMALL(IF((Expenses!E$3:E$1002="INR")*(Expenses!A$3:A$1002=DATE(2026,3,22)),ROW(Expenses!A$3:A$1002)-2),1)),0)+IFERROR(INDEX(Income!C$3:C$502,SMALL(IF((Income!D$3:D$502="INR")*(Income!A$3:A$502=DATE(2026,3,22)),ROW(Income!A$3:A$502)-2),1)),0))</f>
        <v/>
      </c>
      <c r="P59" s="38" t="str">
        <f aca="false">IF(IFERROR(INDEX(Expenses!B$3:B$1002,SMALL(IF((Expenses!E$3:E$1002="INR")*(Expenses!A$3:A$1002=DATE(2026,3,22)),ROW(Expenses!A$3:A$1002)-2),1)),"")&lt;&gt;"",IFERROR(INDEX(Expenses!B$3:B$1002,SMALL(IF((Expenses!E$3:E$1002="INR")*(Expenses!A$3:A$1002=DATE(2026,3,22)),ROW(Expenses!A$3:A$1002)-2),1)),""),IF(IFERROR(INDEX(Income!B$3:B$502,SMALL(IF((Income!D$3:D$502="INR")*(Income!A$3:A$502=DATE(2026,3,22)),ROW(Income!A$3:A$502)-2),1)),"")&lt;&gt;"",IFERROR(INDEX(Income!B$3:B$502,SMALL(IF((Income!D$3:D$502="INR")*(Income!A$3:A$502=DATE(2026,3,22)),ROW(Income!A$3:A$502)-2),1)),""),""))</f>
        <v/>
      </c>
      <c r="Q59" s="3" t="n">
        <v>12</v>
      </c>
      <c r="R59" s="53" t="n">
        <f aca="false">SUM(C59:C63)+SUM(E59:E63)+SUM(G59:G63)+SUM(I59:I63)+SUM(K59:K63)+SUM(M59:M63)+SUM(O59:O63)</f>
        <v>0</v>
      </c>
    </row>
    <row r="60" customFormat="false" ht="15" hidden="false" customHeight="false" outlineLevel="0" collapsed="false">
      <c r="A60" s="16"/>
      <c r="B60" s="16"/>
      <c r="C60" s="63" t="str">
        <f aca="false">IF(IFERROR(-INDEX(Expenses!D$3:D$1002,SMALL(IF((Expenses!E$3:E$1002="INR")*(Expenses!A$3:A$1002=DATE(2026,3,16)),ROW(Expenses!A$3:A$1002)-2),2)),0)+IFERROR(INDEX(Income!C$3:C$502,SMALL(IF((Income!D$3:D$502="INR")*(Income!A$3:A$502=DATE(2026,3,16)),ROW(Income!A$3:A$502)-2),2)),0)=0,"",IFERROR(-INDEX(Expenses!D$3:D$1002,SMALL(IF((Expenses!E$3:E$1002="INR")*(Expenses!A$3:A$1002=DATE(2026,3,16)),ROW(Expenses!A$3:A$1002)-2),2)),0)+IFERROR(INDEX(Income!C$3:C$502,SMALL(IF((Income!D$3:D$502="INR")*(Income!A$3:A$502=DATE(2026,3,16)),ROW(Income!A$3:A$502)-2),2)),0))</f>
        <v/>
      </c>
      <c r="D60" s="38" t="str">
        <f aca="false">IF(IFERROR(INDEX(Expenses!B$3:B$1002,SMALL(IF((Expenses!E$3:E$1002="INR")*(Expenses!A$3:A$1002=DATE(2026,3,16)),ROW(Expenses!A$3:A$1002)-2),2)),"")&lt;&gt;"",IFERROR(INDEX(Expenses!B$3:B$1002,SMALL(IF((Expenses!E$3:E$1002="INR")*(Expenses!A$3:A$1002=DATE(2026,3,16)),ROW(Expenses!A$3:A$1002)-2),2)),""),IF(IFERROR(INDEX(Income!B$3:B$502,SMALL(IF((Income!D$3:D$502="INR")*(Income!A$3:A$502=DATE(2026,3,16)),ROW(Income!A$3:A$502)-2),2)),"")&lt;&gt;"",IFERROR(INDEX(Income!B$3:B$502,SMALL(IF((Income!D$3:D$502="INR")*(Income!A$3:A$502=DATE(2026,3,16)),ROW(Income!A$3:A$502)-2),2)),""),""))</f>
        <v/>
      </c>
      <c r="E60" s="63" t="str">
        <f aca="false">IF(IFERROR(-INDEX(Expenses!D$3:D$1002,SMALL(IF((Expenses!E$3:E$1002="INR")*(Expenses!A$3:A$1002=DATE(2026,3,17)),ROW(Expenses!A$3:A$1002)-2),2)),0)+IFERROR(INDEX(Income!C$3:C$502,SMALL(IF((Income!D$3:D$502="INR")*(Income!A$3:A$502=DATE(2026,3,17)),ROW(Income!A$3:A$502)-2),2)),0)=0,"",IFERROR(-INDEX(Expenses!D$3:D$1002,SMALL(IF((Expenses!E$3:E$1002="INR")*(Expenses!A$3:A$1002=DATE(2026,3,17)),ROW(Expenses!A$3:A$1002)-2),2)),0)+IFERROR(INDEX(Income!C$3:C$502,SMALL(IF((Income!D$3:D$502="INR")*(Income!A$3:A$502=DATE(2026,3,17)),ROW(Income!A$3:A$502)-2),2)),0))</f>
        <v/>
      </c>
      <c r="F60" s="38" t="str">
        <f aca="false">IF(IFERROR(INDEX(Expenses!B$3:B$1002,SMALL(IF((Expenses!E$3:E$1002="INR")*(Expenses!A$3:A$1002=DATE(2026,3,17)),ROW(Expenses!A$3:A$1002)-2),2)),"")&lt;&gt;"",IFERROR(INDEX(Expenses!B$3:B$1002,SMALL(IF((Expenses!E$3:E$1002="INR")*(Expenses!A$3:A$1002=DATE(2026,3,17)),ROW(Expenses!A$3:A$1002)-2),2)),""),IF(IFERROR(INDEX(Income!B$3:B$502,SMALL(IF((Income!D$3:D$502="INR")*(Income!A$3:A$502=DATE(2026,3,17)),ROW(Income!A$3:A$502)-2),2)),"")&lt;&gt;"",IFERROR(INDEX(Income!B$3:B$502,SMALL(IF((Income!D$3:D$502="INR")*(Income!A$3:A$502=DATE(2026,3,17)),ROW(Income!A$3:A$502)-2),2)),""),""))</f>
        <v/>
      </c>
      <c r="G60" s="63" t="str">
        <f aca="false">IF(IFERROR(-INDEX(Expenses!D$3:D$1002,SMALL(IF((Expenses!E$3:E$1002="INR")*(Expenses!A$3:A$1002=DATE(2026,3,18)),ROW(Expenses!A$3:A$1002)-2),2)),0)+IFERROR(INDEX(Income!C$3:C$502,SMALL(IF((Income!D$3:D$502="INR")*(Income!A$3:A$502=DATE(2026,3,18)),ROW(Income!A$3:A$502)-2),2)),0)=0,"",IFERROR(-INDEX(Expenses!D$3:D$1002,SMALL(IF((Expenses!E$3:E$1002="INR")*(Expenses!A$3:A$1002=DATE(2026,3,18)),ROW(Expenses!A$3:A$1002)-2),2)),0)+IFERROR(INDEX(Income!C$3:C$502,SMALL(IF((Income!D$3:D$502="INR")*(Income!A$3:A$502=DATE(2026,3,18)),ROW(Income!A$3:A$502)-2),2)),0))</f>
        <v/>
      </c>
      <c r="H60" s="38" t="str">
        <f aca="false">IF(IFERROR(INDEX(Expenses!B$3:B$1002,SMALL(IF((Expenses!E$3:E$1002="INR")*(Expenses!A$3:A$1002=DATE(2026,3,18)),ROW(Expenses!A$3:A$1002)-2),2)),"")&lt;&gt;"",IFERROR(INDEX(Expenses!B$3:B$1002,SMALL(IF((Expenses!E$3:E$1002="INR")*(Expenses!A$3:A$1002=DATE(2026,3,18)),ROW(Expenses!A$3:A$1002)-2),2)),""),IF(IFERROR(INDEX(Income!B$3:B$502,SMALL(IF((Income!D$3:D$502="INR")*(Income!A$3:A$502=DATE(2026,3,18)),ROW(Income!A$3:A$502)-2),2)),"")&lt;&gt;"",IFERROR(INDEX(Income!B$3:B$502,SMALL(IF((Income!D$3:D$502="INR")*(Income!A$3:A$502=DATE(2026,3,18)),ROW(Income!A$3:A$502)-2),2)),""),""))</f>
        <v/>
      </c>
      <c r="I60" s="63" t="str">
        <f aca="false">IF(IFERROR(-INDEX(Expenses!D$3:D$1002,SMALL(IF((Expenses!E$3:E$1002="INR")*(Expenses!A$3:A$1002=DATE(2026,3,19)),ROW(Expenses!A$3:A$1002)-2),2)),0)+IFERROR(INDEX(Income!C$3:C$502,SMALL(IF((Income!D$3:D$502="INR")*(Income!A$3:A$502=DATE(2026,3,19)),ROW(Income!A$3:A$502)-2),2)),0)=0,"",IFERROR(-INDEX(Expenses!D$3:D$1002,SMALL(IF((Expenses!E$3:E$1002="INR")*(Expenses!A$3:A$1002=DATE(2026,3,19)),ROW(Expenses!A$3:A$1002)-2),2)),0)+IFERROR(INDEX(Income!C$3:C$502,SMALL(IF((Income!D$3:D$502="INR")*(Income!A$3:A$502=DATE(2026,3,19)),ROW(Income!A$3:A$502)-2),2)),0))</f>
        <v/>
      </c>
      <c r="J60" s="38" t="str">
        <f aca="false">IF(IFERROR(INDEX(Expenses!B$3:B$1002,SMALL(IF((Expenses!E$3:E$1002="INR")*(Expenses!A$3:A$1002=DATE(2026,3,19)),ROW(Expenses!A$3:A$1002)-2),2)),"")&lt;&gt;"",IFERROR(INDEX(Expenses!B$3:B$1002,SMALL(IF((Expenses!E$3:E$1002="INR")*(Expenses!A$3:A$1002=DATE(2026,3,19)),ROW(Expenses!A$3:A$1002)-2),2)),""),IF(IFERROR(INDEX(Income!B$3:B$502,SMALL(IF((Income!D$3:D$502="INR")*(Income!A$3:A$502=DATE(2026,3,19)),ROW(Income!A$3:A$502)-2),2)),"")&lt;&gt;"",IFERROR(INDEX(Income!B$3:B$502,SMALL(IF((Income!D$3:D$502="INR")*(Income!A$3:A$502=DATE(2026,3,19)),ROW(Income!A$3:A$502)-2),2)),""),""))</f>
        <v/>
      </c>
      <c r="K60" s="63" t="str">
        <f aca="false">IF(IFERROR(-INDEX(Expenses!D$3:D$1002,SMALL(IF((Expenses!E$3:E$1002="INR")*(Expenses!A$3:A$1002=DATE(2026,3,20)),ROW(Expenses!A$3:A$1002)-2),2)),0)+IFERROR(INDEX(Income!C$3:C$502,SMALL(IF((Income!D$3:D$502="INR")*(Income!A$3:A$502=DATE(2026,3,20)),ROW(Income!A$3:A$502)-2),2)),0)=0,"",IFERROR(-INDEX(Expenses!D$3:D$1002,SMALL(IF((Expenses!E$3:E$1002="INR")*(Expenses!A$3:A$1002=DATE(2026,3,20)),ROW(Expenses!A$3:A$1002)-2),2)),0)+IFERROR(INDEX(Income!C$3:C$502,SMALL(IF((Income!D$3:D$502="INR")*(Income!A$3:A$502=DATE(2026,3,20)),ROW(Income!A$3:A$502)-2),2)),0))</f>
        <v/>
      </c>
      <c r="L60" s="38" t="str">
        <f aca="false">IF(IFERROR(INDEX(Expenses!B$3:B$1002,SMALL(IF((Expenses!E$3:E$1002="INR")*(Expenses!A$3:A$1002=DATE(2026,3,20)),ROW(Expenses!A$3:A$1002)-2),2)),"")&lt;&gt;"",IFERROR(INDEX(Expenses!B$3:B$1002,SMALL(IF((Expenses!E$3:E$1002="INR")*(Expenses!A$3:A$1002=DATE(2026,3,20)),ROW(Expenses!A$3:A$1002)-2),2)),""),IF(IFERROR(INDEX(Income!B$3:B$502,SMALL(IF((Income!D$3:D$502="INR")*(Income!A$3:A$502=DATE(2026,3,20)),ROW(Income!A$3:A$502)-2),2)),"")&lt;&gt;"",IFERROR(INDEX(Income!B$3:B$502,SMALL(IF((Income!D$3:D$502="INR")*(Income!A$3:A$502=DATE(2026,3,20)),ROW(Income!A$3:A$502)-2),2)),""),""))</f>
        <v/>
      </c>
      <c r="M60" s="63" t="str">
        <f aca="false">IF(IFERROR(-INDEX(Expenses!D$3:D$1002,SMALL(IF((Expenses!E$3:E$1002="INR")*(Expenses!A$3:A$1002=DATE(2026,3,21)),ROW(Expenses!A$3:A$1002)-2),2)),0)+IFERROR(INDEX(Income!C$3:C$502,SMALL(IF((Income!D$3:D$502="INR")*(Income!A$3:A$502=DATE(2026,3,21)),ROW(Income!A$3:A$502)-2),2)),0)=0,"",IFERROR(-INDEX(Expenses!D$3:D$1002,SMALL(IF((Expenses!E$3:E$1002="INR")*(Expenses!A$3:A$1002=DATE(2026,3,21)),ROW(Expenses!A$3:A$1002)-2),2)),0)+IFERROR(INDEX(Income!C$3:C$502,SMALL(IF((Income!D$3:D$502="INR")*(Income!A$3:A$502=DATE(2026,3,21)),ROW(Income!A$3:A$502)-2),2)),0))</f>
        <v/>
      </c>
      <c r="N60" s="38" t="str">
        <f aca="false">IF(IFERROR(INDEX(Expenses!B$3:B$1002,SMALL(IF((Expenses!E$3:E$1002="INR")*(Expenses!A$3:A$1002=DATE(2026,3,21)),ROW(Expenses!A$3:A$1002)-2),2)),"")&lt;&gt;"",IFERROR(INDEX(Expenses!B$3:B$1002,SMALL(IF((Expenses!E$3:E$1002="INR")*(Expenses!A$3:A$1002=DATE(2026,3,21)),ROW(Expenses!A$3:A$1002)-2),2)),""),IF(IFERROR(INDEX(Income!B$3:B$502,SMALL(IF((Income!D$3:D$502="INR")*(Income!A$3:A$502=DATE(2026,3,21)),ROW(Income!A$3:A$502)-2),2)),"")&lt;&gt;"",IFERROR(INDEX(Income!B$3:B$502,SMALL(IF((Income!D$3:D$502="INR")*(Income!A$3:A$502=DATE(2026,3,21)),ROW(Income!A$3:A$502)-2),2)),""),""))</f>
        <v/>
      </c>
      <c r="O60" s="63" t="str">
        <f aca="false">IF(IFERROR(-INDEX(Expenses!D$3:D$1002,SMALL(IF((Expenses!E$3:E$1002="INR")*(Expenses!A$3:A$1002=DATE(2026,3,22)),ROW(Expenses!A$3:A$1002)-2),2)),0)+IFERROR(INDEX(Income!C$3:C$502,SMALL(IF((Income!D$3:D$502="INR")*(Income!A$3:A$502=DATE(2026,3,22)),ROW(Income!A$3:A$502)-2),2)),0)=0,"",IFERROR(-INDEX(Expenses!D$3:D$1002,SMALL(IF((Expenses!E$3:E$1002="INR")*(Expenses!A$3:A$1002=DATE(2026,3,22)),ROW(Expenses!A$3:A$1002)-2),2)),0)+IFERROR(INDEX(Income!C$3:C$502,SMALL(IF((Income!D$3:D$502="INR")*(Income!A$3:A$502=DATE(2026,3,22)),ROW(Income!A$3:A$502)-2),2)),0))</f>
        <v/>
      </c>
      <c r="P60" s="38" t="str">
        <f aca="false">IF(IFERROR(INDEX(Expenses!B$3:B$1002,SMALL(IF((Expenses!E$3:E$1002="INR")*(Expenses!A$3:A$1002=DATE(2026,3,22)),ROW(Expenses!A$3:A$1002)-2),2)),"")&lt;&gt;"",IFERROR(INDEX(Expenses!B$3:B$1002,SMALL(IF((Expenses!E$3:E$1002="INR")*(Expenses!A$3:A$1002=DATE(2026,3,22)),ROW(Expenses!A$3:A$1002)-2),2)),""),IF(IFERROR(INDEX(Income!B$3:B$502,SMALL(IF((Income!D$3:D$502="INR")*(Income!A$3:A$502=DATE(2026,3,22)),ROW(Income!A$3:A$502)-2),2)),"")&lt;&gt;"",IFERROR(INDEX(Income!B$3:B$502,SMALL(IF((Income!D$3:D$502="INR")*(Income!A$3:A$502=DATE(2026,3,22)),ROW(Income!A$3:A$502)-2),2)),""),""))</f>
        <v/>
      </c>
      <c r="Q60" s="16"/>
      <c r="R60" s="16"/>
    </row>
    <row r="61" customFormat="false" ht="15" hidden="false" customHeight="false" outlineLevel="0" collapsed="false">
      <c r="A61" s="16"/>
      <c r="B61" s="16"/>
      <c r="C61" s="63" t="str">
        <f aca="false">IF(IFERROR(-INDEX(Expenses!D$3:D$1002,SMALL(IF((Expenses!E$3:E$1002="INR")*(Expenses!A$3:A$1002=DATE(2026,3,16)),ROW(Expenses!A$3:A$1002)-2),3)),0)+IFERROR(INDEX(Income!C$3:C$502,SMALL(IF((Income!D$3:D$502="INR")*(Income!A$3:A$502=DATE(2026,3,16)),ROW(Income!A$3:A$502)-2),3)),0)=0,"",IFERROR(-INDEX(Expenses!D$3:D$1002,SMALL(IF((Expenses!E$3:E$1002="INR")*(Expenses!A$3:A$1002=DATE(2026,3,16)),ROW(Expenses!A$3:A$1002)-2),3)),0)+IFERROR(INDEX(Income!C$3:C$502,SMALL(IF((Income!D$3:D$502="INR")*(Income!A$3:A$502=DATE(2026,3,16)),ROW(Income!A$3:A$502)-2),3)),0))</f>
        <v/>
      </c>
      <c r="D61" s="38" t="str">
        <f aca="false">IF(IFERROR(INDEX(Expenses!B$3:B$1002,SMALL(IF((Expenses!E$3:E$1002="INR")*(Expenses!A$3:A$1002=DATE(2026,3,16)),ROW(Expenses!A$3:A$1002)-2),3)),"")&lt;&gt;"",IFERROR(INDEX(Expenses!B$3:B$1002,SMALL(IF((Expenses!E$3:E$1002="INR")*(Expenses!A$3:A$1002=DATE(2026,3,16)),ROW(Expenses!A$3:A$1002)-2),3)),""),IF(IFERROR(INDEX(Income!B$3:B$502,SMALL(IF((Income!D$3:D$502="INR")*(Income!A$3:A$502=DATE(2026,3,16)),ROW(Income!A$3:A$502)-2),3)),"")&lt;&gt;"",IFERROR(INDEX(Income!B$3:B$502,SMALL(IF((Income!D$3:D$502="INR")*(Income!A$3:A$502=DATE(2026,3,16)),ROW(Income!A$3:A$502)-2),3)),""),""))</f>
        <v/>
      </c>
      <c r="E61" s="63" t="str">
        <f aca="false">IF(IFERROR(-INDEX(Expenses!D$3:D$1002,SMALL(IF((Expenses!E$3:E$1002="INR")*(Expenses!A$3:A$1002=DATE(2026,3,17)),ROW(Expenses!A$3:A$1002)-2),3)),0)+IFERROR(INDEX(Income!C$3:C$502,SMALL(IF((Income!D$3:D$502="INR")*(Income!A$3:A$502=DATE(2026,3,17)),ROW(Income!A$3:A$502)-2),3)),0)=0,"",IFERROR(-INDEX(Expenses!D$3:D$1002,SMALL(IF((Expenses!E$3:E$1002="INR")*(Expenses!A$3:A$1002=DATE(2026,3,17)),ROW(Expenses!A$3:A$1002)-2),3)),0)+IFERROR(INDEX(Income!C$3:C$502,SMALL(IF((Income!D$3:D$502="INR")*(Income!A$3:A$502=DATE(2026,3,17)),ROW(Income!A$3:A$502)-2),3)),0))</f>
        <v/>
      </c>
      <c r="F61" s="38" t="str">
        <f aca="false">IF(IFERROR(INDEX(Expenses!B$3:B$1002,SMALL(IF((Expenses!E$3:E$1002="INR")*(Expenses!A$3:A$1002=DATE(2026,3,17)),ROW(Expenses!A$3:A$1002)-2),3)),"")&lt;&gt;"",IFERROR(INDEX(Expenses!B$3:B$1002,SMALL(IF((Expenses!E$3:E$1002="INR")*(Expenses!A$3:A$1002=DATE(2026,3,17)),ROW(Expenses!A$3:A$1002)-2),3)),""),IF(IFERROR(INDEX(Income!B$3:B$502,SMALL(IF((Income!D$3:D$502="INR")*(Income!A$3:A$502=DATE(2026,3,17)),ROW(Income!A$3:A$502)-2),3)),"")&lt;&gt;"",IFERROR(INDEX(Income!B$3:B$502,SMALL(IF((Income!D$3:D$502="INR")*(Income!A$3:A$502=DATE(2026,3,17)),ROW(Income!A$3:A$502)-2),3)),""),""))</f>
        <v/>
      </c>
      <c r="G61" s="63" t="str">
        <f aca="false">IF(IFERROR(-INDEX(Expenses!D$3:D$1002,SMALL(IF((Expenses!E$3:E$1002="INR")*(Expenses!A$3:A$1002=DATE(2026,3,18)),ROW(Expenses!A$3:A$1002)-2),3)),0)+IFERROR(INDEX(Income!C$3:C$502,SMALL(IF((Income!D$3:D$502="INR")*(Income!A$3:A$502=DATE(2026,3,18)),ROW(Income!A$3:A$502)-2),3)),0)=0,"",IFERROR(-INDEX(Expenses!D$3:D$1002,SMALL(IF((Expenses!E$3:E$1002="INR")*(Expenses!A$3:A$1002=DATE(2026,3,18)),ROW(Expenses!A$3:A$1002)-2),3)),0)+IFERROR(INDEX(Income!C$3:C$502,SMALL(IF((Income!D$3:D$502="INR")*(Income!A$3:A$502=DATE(2026,3,18)),ROW(Income!A$3:A$502)-2),3)),0))</f>
        <v/>
      </c>
      <c r="H61" s="38" t="str">
        <f aca="false">IF(IFERROR(INDEX(Expenses!B$3:B$1002,SMALL(IF((Expenses!E$3:E$1002="INR")*(Expenses!A$3:A$1002=DATE(2026,3,18)),ROW(Expenses!A$3:A$1002)-2),3)),"")&lt;&gt;"",IFERROR(INDEX(Expenses!B$3:B$1002,SMALL(IF((Expenses!E$3:E$1002="INR")*(Expenses!A$3:A$1002=DATE(2026,3,18)),ROW(Expenses!A$3:A$1002)-2),3)),""),IF(IFERROR(INDEX(Income!B$3:B$502,SMALL(IF((Income!D$3:D$502="INR")*(Income!A$3:A$502=DATE(2026,3,18)),ROW(Income!A$3:A$502)-2),3)),"")&lt;&gt;"",IFERROR(INDEX(Income!B$3:B$502,SMALL(IF((Income!D$3:D$502="INR")*(Income!A$3:A$502=DATE(2026,3,18)),ROW(Income!A$3:A$502)-2),3)),""),""))</f>
        <v/>
      </c>
      <c r="I61" s="63" t="str">
        <f aca="false">IF(IFERROR(-INDEX(Expenses!D$3:D$1002,SMALL(IF((Expenses!E$3:E$1002="INR")*(Expenses!A$3:A$1002=DATE(2026,3,19)),ROW(Expenses!A$3:A$1002)-2),3)),0)+IFERROR(INDEX(Income!C$3:C$502,SMALL(IF((Income!D$3:D$502="INR")*(Income!A$3:A$502=DATE(2026,3,19)),ROW(Income!A$3:A$502)-2),3)),0)=0,"",IFERROR(-INDEX(Expenses!D$3:D$1002,SMALL(IF((Expenses!E$3:E$1002="INR")*(Expenses!A$3:A$1002=DATE(2026,3,19)),ROW(Expenses!A$3:A$1002)-2),3)),0)+IFERROR(INDEX(Income!C$3:C$502,SMALL(IF((Income!D$3:D$502="INR")*(Income!A$3:A$502=DATE(2026,3,19)),ROW(Income!A$3:A$502)-2),3)),0))</f>
        <v/>
      </c>
      <c r="J61" s="38" t="str">
        <f aca="false">IF(IFERROR(INDEX(Expenses!B$3:B$1002,SMALL(IF((Expenses!E$3:E$1002="INR")*(Expenses!A$3:A$1002=DATE(2026,3,19)),ROW(Expenses!A$3:A$1002)-2),3)),"")&lt;&gt;"",IFERROR(INDEX(Expenses!B$3:B$1002,SMALL(IF((Expenses!E$3:E$1002="INR")*(Expenses!A$3:A$1002=DATE(2026,3,19)),ROW(Expenses!A$3:A$1002)-2),3)),""),IF(IFERROR(INDEX(Income!B$3:B$502,SMALL(IF((Income!D$3:D$502="INR")*(Income!A$3:A$502=DATE(2026,3,19)),ROW(Income!A$3:A$502)-2),3)),"")&lt;&gt;"",IFERROR(INDEX(Income!B$3:B$502,SMALL(IF((Income!D$3:D$502="INR")*(Income!A$3:A$502=DATE(2026,3,19)),ROW(Income!A$3:A$502)-2),3)),""),""))</f>
        <v/>
      </c>
      <c r="K61" s="63" t="str">
        <f aca="false">IF(IFERROR(-INDEX(Expenses!D$3:D$1002,SMALL(IF((Expenses!E$3:E$1002="INR")*(Expenses!A$3:A$1002=DATE(2026,3,20)),ROW(Expenses!A$3:A$1002)-2),3)),0)+IFERROR(INDEX(Income!C$3:C$502,SMALL(IF((Income!D$3:D$502="INR")*(Income!A$3:A$502=DATE(2026,3,20)),ROW(Income!A$3:A$502)-2),3)),0)=0,"",IFERROR(-INDEX(Expenses!D$3:D$1002,SMALL(IF((Expenses!E$3:E$1002="INR")*(Expenses!A$3:A$1002=DATE(2026,3,20)),ROW(Expenses!A$3:A$1002)-2),3)),0)+IFERROR(INDEX(Income!C$3:C$502,SMALL(IF((Income!D$3:D$502="INR")*(Income!A$3:A$502=DATE(2026,3,20)),ROW(Income!A$3:A$502)-2),3)),0))</f>
        <v/>
      </c>
      <c r="L61" s="38" t="str">
        <f aca="false">IF(IFERROR(INDEX(Expenses!B$3:B$1002,SMALL(IF((Expenses!E$3:E$1002="INR")*(Expenses!A$3:A$1002=DATE(2026,3,20)),ROW(Expenses!A$3:A$1002)-2),3)),"")&lt;&gt;"",IFERROR(INDEX(Expenses!B$3:B$1002,SMALL(IF((Expenses!E$3:E$1002="INR")*(Expenses!A$3:A$1002=DATE(2026,3,20)),ROW(Expenses!A$3:A$1002)-2),3)),""),IF(IFERROR(INDEX(Income!B$3:B$502,SMALL(IF((Income!D$3:D$502="INR")*(Income!A$3:A$502=DATE(2026,3,20)),ROW(Income!A$3:A$502)-2),3)),"")&lt;&gt;"",IFERROR(INDEX(Income!B$3:B$502,SMALL(IF((Income!D$3:D$502="INR")*(Income!A$3:A$502=DATE(2026,3,20)),ROW(Income!A$3:A$502)-2),3)),""),""))</f>
        <v/>
      </c>
      <c r="M61" s="63" t="str">
        <f aca="false">IF(IFERROR(-INDEX(Expenses!D$3:D$1002,SMALL(IF((Expenses!E$3:E$1002="INR")*(Expenses!A$3:A$1002=DATE(2026,3,21)),ROW(Expenses!A$3:A$1002)-2),3)),0)+IFERROR(INDEX(Income!C$3:C$502,SMALL(IF((Income!D$3:D$502="INR")*(Income!A$3:A$502=DATE(2026,3,21)),ROW(Income!A$3:A$502)-2),3)),0)=0,"",IFERROR(-INDEX(Expenses!D$3:D$1002,SMALL(IF((Expenses!E$3:E$1002="INR")*(Expenses!A$3:A$1002=DATE(2026,3,21)),ROW(Expenses!A$3:A$1002)-2),3)),0)+IFERROR(INDEX(Income!C$3:C$502,SMALL(IF((Income!D$3:D$502="INR")*(Income!A$3:A$502=DATE(2026,3,21)),ROW(Income!A$3:A$502)-2),3)),0))</f>
        <v/>
      </c>
      <c r="N61" s="38" t="str">
        <f aca="false">IF(IFERROR(INDEX(Expenses!B$3:B$1002,SMALL(IF((Expenses!E$3:E$1002="INR")*(Expenses!A$3:A$1002=DATE(2026,3,21)),ROW(Expenses!A$3:A$1002)-2),3)),"")&lt;&gt;"",IFERROR(INDEX(Expenses!B$3:B$1002,SMALL(IF((Expenses!E$3:E$1002="INR")*(Expenses!A$3:A$1002=DATE(2026,3,21)),ROW(Expenses!A$3:A$1002)-2),3)),""),IF(IFERROR(INDEX(Income!B$3:B$502,SMALL(IF((Income!D$3:D$502="INR")*(Income!A$3:A$502=DATE(2026,3,21)),ROW(Income!A$3:A$502)-2),3)),"")&lt;&gt;"",IFERROR(INDEX(Income!B$3:B$502,SMALL(IF((Income!D$3:D$502="INR")*(Income!A$3:A$502=DATE(2026,3,21)),ROW(Income!A$3:A$502)-2),3)),""),""))</f>
        <v/>
      </c>
      <c r="O61" s="63" t="str">
        <f aca="false">IF(IFERROR(-INDEX(Expenses!D$3:D$1002,SMALL(IF((Expenses!E$3:E$1002="INR")*(Expenses!A$3:A$1002=DATE(2026,3,22)),ROW(Expenses!A$3:A$1002)-2),3)),0)+IFERROR(INDEX(Income!C$3:C$502,SMALL(IF((Income!D$3:D$502="INR")*(Income!A$3:A$502=DATE(2026,3,22)),ROW(Income!A$3:A$502)-2),3)),0)=0,"",IFERROR(-INDEX(Expenses!D$3:D$1002,SMALL(IF((Expenses!E$3:E$1002="INR")*(Expenses!A$3:A$1002=DATE(2026,3,22)),ROW(Expenses!A$3:A$1002)-2),3)),0)+IFERROR(INDEX(Income!C$3:C$502,SMALL(IF((Income!D$3:D$502="INR")*(Income!A$3:A$502=DATE(2026,3,22)),ROW(Income!A$3:A$502)-2),3)),0))</f>
        <v/>
      </c>
      <c r="P61" s="38" t="str">
        <f aca="false">IF(IFERROR(INDEX(Expenses!B$3:B$1002,SMALL(IF((Expenses!E$3:E$1002="INR")*(Expenses!A$3:A$1002=DATE(2026,3,22)),ROW(Expenses!A$3:A$1002)-2),3)),"")&lt;&gt;"",IFERROR(INDEX(Expenses!B$3:B$1002,SMALL(IF((Expenses!E$3:E$1002="INR")*(Expenses!A$3:A$1002=DATE(2026,3,22)),ROW(Expenses!A$3:A$1002)-2),3)),""),IF(IFERROR(INDEX(Income!B$3:B$502,SMALL(IF((Income!D$3:D$502="INR")*(Income!A$3:A$502=DATE(2026,3,22)),ROW(Income!A$3:A$502)-2),3)),"")&lt;&gt;"",IFERROR(INDEX(Income!B$3:B$502,SMALL(IF((Income!D$3:D$502="INR")*(Income!A$3:A$502=DATE(2026,3,22)),ROW(Income!A$3:A$502)-2),3)),""),""))</f>
        <v/>
      </c>
      <c r="Q61" s="16"/>
      <c r="R61" s="16"/>
    </row>
    <row r="62" customFormat="false" ht="15" hidden="false" customHeight="false" outlineLevel="0" collapsed="false">
      <c r="A62" s="16"/>
      <c r="B62" s="16"/>
      <c r="C62" s="63" t="str">
        <f aca="false">IF(IFERROR(-INDEX(Expenses!D$3:D$1002,SMALL(IF((Expenses!E$3:E$1002="INR")*(Expenses!A$3:A$1002=DATE(2026,3,16)),ROW(Expenses!A$3:A$1002)-2),4)),0)+IFERROR(INDEX(Income!C$3:C$502,SMALL(IF((Income!D$3:D$502="INR")*(Income!A$3:A$502=DATE(2026,3,16)),ROW(Income!A$3:A$502)-2),4)),0)=0,"",IFERROR(-INDEX(Expenses!D$3:D$1002,SMALL(IF((Expenses!E$3:E$1002="INR")*(Expenses!A$3:A$1002=DATE(2026,3,16)),ROW(Expenses!A$3:A$1002)-2),4)),0)+IFERROR(INDEX(Income!C$3:C$502,SMALL(IF((Income!D$3:D$502="INR")*(Income!A$3:A$502=DATE(2026,3,16)),ROW(Income!A$3:A$502)-2),4)),0))</f>
        <v/>
      </c>
      <c r="D62" s="38" t="str">
        <f aca="false">IF(IFERROR(INDEX(Expenses!B$3:B$1002,SMALL(IF((Expenses!E$3:E$1002="INR")*(Expenses!A$3:A$1002=DATE(2026,3,16)),ROW(Expenses!A$3:A$1002)-2),4)),"")&lt;&gt;"",IFERROR(INDEX(Expenses!B$3:B$1002,SMALL(IF((Expenses!E$3:E$1002="INR")*(Expenses!A$3:A$1002=DATE(2026,3,16)),ROW(Expenses!A$3:A$1002)-2),4)),""),IF(IFERROR(INDEX(Income!B$3:B$502,SMALL(IF((Income!D$3:D$502="INR")*(Income!A$3:A$502=DATE(2026,3,16)),ROW(Income!A$3:A$502)-2),4)),"")&lt;&gt;"",IFERROR(INDEX(Income!B$3:B$502,SMALL(IF((Income!D$3:D$502="INR")*(Income!A$3:A$502=DATE(2026,3,16)),ROW(Income!A$3:A$502)-2),4)),""),""))</f>
        <v/>
      </c>
      <c r="E62" s="63" t="str">
        <f aca="false">IF(IFERROR(-INDEX(Expenses!D$3:D$1002,SMALL(IF((Expenses!E$3:E$1002="INR")*(Expenses!A$3:A$1002=DATE(2026,3,17)),ROW(Expenses!A$3:A$1002)-2),4)),0)+IFERROR(INDEX(Income!C$3:C$502,SMALL(IF((Income!D$3:D$502="INR")*(Income!A$3:A$502=DATE(2026,3,17)),ROW(Income!A$3:A$502)-2),4)),0)=0,"",IFERROR(-INDEX(Expenses!D$3:D$1002,SMALL(IF((Expenses!E$3:E$1002="INR")*(Expenses!A$3:A$1002=DATE(2026,3,17)),ROW(Expenses!A$3:A$1002)-2),4)),0)+IFERROR(INDEX(Income!C$3:C$502,SMALL(IF((Income!D$3:D$502="INR")*(Income!A$3:A$502=DATE(2026,3,17)),ROW(Income!A$3:A$502)-2),4)),0))</f>
        <v/>
      </c>
      <c r="F62" s="38" t="str">
        <f aca="false">IF(IFERROR(INDEX(Expenses!B$3:B$1002,SMALL(IF((Expenses!E$3:E$1002="INR")*(Expenses!A$3:A$1002=DATE(2026,3,17)),ROW(Expenses!A$3:A$1002)-2),4)),"")&lt;&gt;"",IFERROR(INDEX(Expenses!B$3:B$1002,SMALL(IF((Expenses!E$3:E$1002="INR")*(Expenses!A$3:A$1002=DATE(2026,3,17)),ROW(Expenses!A$3:A$1002)-2),4)),""),IF(IFERROR(INDEX(Income!B$3:B$502,SMALL(IF((Income!D$3:D$502="INR")*(Income!A$3:A$502=DATE(2026,3,17)),ROW(Income!A$3:A$502)-2),4)),"")&lt;&gt;"",IFERROR(INDEX(Income!B$3:B$502,SMALL(IF((Income!D$3:D$502="INR")*(Income!A$3:A$502=DATE(2026,3,17)),ROW(Income!A$3:A$502)-2),4)),""),""))</f>
        <v/>
      </c>
      <c r="G62" s="63" t="str">
        <f aca="false">IF(IFERROR(-INDEX(Expenses!D$3:D$1002,SMALL(IF((Expenses!E$3:E$1002="INR")*(Expenses!A$3:A$1002=DATE(2026,3,18)),ROW(Expenses!A$3:A$1002)-2),4)),0)+IFERROR(INDEX(Income!C$3:C$502,SMALL(IF((Income!D$3:D$502="INR")*(Income!A$3:A$502=DATE(2026,3,18)),ROW(Income!A$3:A$502)-2),4)),0)=0,"",IFERROR(-INDEX(Expenses!D$3:D$1002,SMALL(IF((Expenses!E$3:E$1002="INR")*(Expenses!A$3:A$1002=DATE(2026,3,18)),ROW(Expenses!A$3:A$1002)-2),4)),0)+IFERROR(INDEX(Income!C$3:C$502,SMALL(IF((Income!D$3:D$502="INR")*(Income!A$3:A$502=DATE(2026,3,18)),ROW(Income!A$3:A$502)-2),4)),0))</f>
        <v/>
      </c>
      <c r="H62" s="38" t="str">
        <f aca="false">IF(IFERROR(INDEX(Expenses!B$3:B$1002,SMALL(IF((Expenses!E$3:E$1002="INR")*(Expenses!A$3:A$1002=DATE(2026,3,18)),ROW(Expenses!A$3:A$1002)-2),4)),"")&lt;&gt;"",IFERROR(INDEX(Expenses!B$3:B$1002,SMALL(IF((Expenses!E$3:E$1002="INR")*(Expenses!A$3:A$1002=DATE(2026,3,18)),ROW(Expenses!A$3:A$1002)-2),4)),""),IF(IFERROR(INDEX(Income!B$3:B$502,SMALL(IF((Income!D$3:D$502="INR")*(Income!A$3:A$502=DATE(2026,3,18)),ROW(Income!A$3:A$502)-2),4)),"")&lt;&gt;"",IFERROR(INDEX(Income!B$3:B$502,SMALL(IF((Income!D$3:D$502="INR")*(Income!A$3:A$502=DATE(2026,3,18)),ROW(Income!A$3:A$502)-2),4)),""),""))</f>
        <v/>
      </c>
      <c r="I62" s="63" t="str">
        <f aca="false">IF(IFERROR(-INDEX(Expenses!D$3:D$1002,SMALL(IF((Expenses!E$3:E$1002="INR")*(Expenses!A$3:A$1002=DATE(2026,3,19)),ROW(Expenses!A$3:A$1002)-2),4)),0)+IFERROR(INDEX(Income!C$3:C$502,SMALL(IF((Income!D$3:D$502="INR")*(Income!A$3:A$502=DATE(2026,3,19)),ROW(Income!A$3:A$502)-2),4)),0)=0,"",IFERROR(-INDEX(Expenses!D$3:D$1002,SMALL(IF((Expenses!E$3:E$1002="INR")*(Expenses!A$3:A$1002=DATE(2026,3,19)),ROW(Expenses!A$3:A$1002)-2),4)),0)+IFERROR(INDEX(Income!C$3:C$502,SMALL(IF((Income!D$3:D$502="INR")*(Income!A$3:A$502=DATE(2026,3,19)),ROW(Income!A$3:A$502)-2),4)),0))</f>
        <v/>
      </c>
      <c r="J62" s="38" t="str">
        <f aca="false">IF(IFERROR(INDEX(Expenses!B$3:B$1002,SMALL(IF((Expenses!E$3:E$1002="INR")*(Expenses!A$3:A$1002=DATE(2026,3,19)),ROW(Expenses!A$3:A$1002)-2),4)),"")&lt;&gt;"",IFERROR(INDEX(Expenses!B$3:B$1002,SMALL(IF((Expenses!E$3:E$1002="INR")*(Expenses!A$3:A$1002=DATE(2026,3,19)),ROW(Expenses!A$3:A$1002)-2),4)),""),IF(IFERROR(INDEX(Income!B$3:B$502,SMALL(IF((Income!D$3:D$502="INR")*(Income!A$3:A$502=DATE(2026,3,19)),ROW(Income!A$3:A$502)-2),4)),"")&lt;&gt;"",IFERROR(INDEX(Income!B$3:B$502,SMALL(IF((Income!D$3:D$502="INR")*(Income!A$3:A$502=DATE(2026,3,19)),ROW(Income!A$3:A$502)-2),4)),""),""))</f>
        <v/>
      </c>
      <c r="K62" s="63" t="str">
        <f aca="false">IF(IFERROR(-INDEX(Expenses!D$3:D$1002,SMALL(IF((Expenses!E$3:E$1002="INR")*(Expenses!A$3:A$1002=DATE(2026,3,20)),ROW(Expenses!A$3:A$1002)-2),4)),0)+IFERROR(INDEX(Income!C$3:C$502,SMALL(IF((Income!D$3:D$502="INR")*(Income!A$3:A$502=DATE(2026,3,20)),ROW(Income!A$3:A$502)-2),4)),0)=0,"",IFERROR(-INDEX(Expenses!D$3:D$1002,SMALL(IF((Expenses!E$3:E$1002="INR")*(Expenses!A$3:A$1002=DATE(2026,3,20)),ROW(Expenses!A$3:A$1002)-2),4)),0)+IFERROR(INDEX(Income!C$3:C$502,SMALL(IF((Income!D$3:D$502="INR")*(Income!A$3:A$502=DATE(2026,3,20)),ROW(Income!A$3:A$502)-2),4)),0))</f>
        <v/>
      </c>
      <c r="L62" s="38" t="str">
        <f aca="false">IF(IFERROR(INDEX(Expenses!B$3:B$1002,SMALL(IF((Expenses!E$3:E$1002="INR")*(Expenses!A$3:A$1002=DATE(2026,3,20)),ROW(Expenses!A$3:A$1002)-2),4)),"")&lt;&gt;"",IFERROR(INDEX(Expenses!B$3:B$1002,SMALL(IF((Expenses!E$3:E$1002="INR")*(Expenses!A$3:A$1002=DATE(2026,3,20)),ROW(Expenses!A$3:A$1002)-2),4)),""),IF(IFERROR(INDEX(Income!B$3:B$502,SMALL(IF((Income!D$3:D$502="INR")*(Income!A$3:A$502=DATE(2026,3,20)),ROW(Income!A$3:A$502)-2),4)),"")&lt;&gt;"",IFERROR(INDEX(Income!B$3:B$502,SMALL(IF((Income!D$3:D$502="INR")*(Income!A$3:A$502=DATE(2026,3,20)),ROW(Income!A$3:A$502)-2),4)),""),""))</f>
        <v/>
      </c>
      <c r="M62" s="63" t="str">
        <f aca="false">IF(IFERROR(-INDEX(Expenses!D$3:D$1002,SMALL(IF((Expenses!E$3:E$1002="INR")*(Expenses!A$3:A$1002=DATE(2026,3,21)),ROW(Expenses!A$3:A$1002)-2),4)),0)+IFERROR(INDEX(Income!C$3:C$502,SMALL(IF((Income!D$3:D$502="INR")*(Income!A$3:A$502=DATE(2026,3,21)),ROW(Income!A$3:A$502)-2),4)),0)=0,"",IFERROR(-INDEX(Expenses!D$3:D$1002,SMALL(IF((Expenses!E$3:E$1002="INR")*(Expenses!A$3:A$1002=DATE(2026,3,21)),ROW(Expenses!A$3:A$1002)-2),4)),0)+IFERROR(INDEX(Income!C$3:C$502,SMALL(IF((Income!D$3:D$502="INR")*(Income!A$3:A$502=DATE(2026,3,21)),ROW(Income!A$3:A$502)-2),4)),0))</f>
        <v/>
      </c>
      <c r="N62" s="38" t="str">
        <f aca="false">IF(IFERROR(INDEX(Expenses!B$3:B$1002,SMALL(IF((Expenses!E$3:E$1002="INR")*(Expenses!A$3:A$1002=DATE(2026,3,21)),ROW(Expenses!A$3:A$1002)-2),4)),"")&lt;&gt;"",IFERROR(INDEX(Expenses!B$3:B$1002,SMALL(IF((Expenses!E$3:E$1002="INR")*(Expenses!A$3:A$1002=DATE(2026,3,21)),ROW(Expenses!A$3:A$1002)-2),4)),""),IF(IFERROR(INDEX(Income!B$3:B$502,SMALL(IF((Income!D$3:D$502="INR")*(Income!A$3:A$502=DATE(2026,3,21)),ROW(Income!A$3:A$502)-2),4)),"")&lt;&gt;"",IFERROR(INDEX(Income!B$3:B$502,SMALL(IF((Income!D$3:D$502="INR")*(Income!A$3:A$502=DATE(2026,3,21)),ROW(Income!A$3:A$502)-2),4)),""),""))</f>
        <v/>
      </c>
      <c r="O62" s="63" t="str">
        <f aca="false">IF(IFERROR(-INDEX(Expenses!D$3:D$1002,SMALL(IF((Expenses!E$3:E$1002="INR")*(Expenses!A$3:A$1002=DATE(2026,3,22)),ROW(Expenses!A$3:A$1002)-2),4)),0)+IFERROR(INDEX(Income!C$3:C$502,SMALL(IF((Income!D$3:D$502="INR")*(Income!A$3:A$502=DATE(2026,3,22)),ROW(Income!A$3:A$502)-2),4)),0)=0,"",IFERROR(-INDEX(Expenses!D$3:D$1002,SMALL(IF((Expenses!E$3:E$1002="INR")*(Expenses!A$3:A$1002=DATE(2026,3,22)),ROW(Expenses!A$3:A$1002)-2),4)),0)+IFERROR(INDEX(Income!C$3:C$502,SMALL(IF((Income!D$3:D$502="INR")*(Income!A$3:A$502=DATE(2026,3,22)),ROW(Income!A$3:A$502)-2),4)),0))</f>
        <v/>
      </c>
      <c r="P62" s="38" t="str">
        <f aca="false">IF(IFERROR(INDEX(Expenses!B$3:B$1002,SMALL(IF((Expenses!E$3:E$1002="INR")*(Expenses!A$3:A$1002=DATE(2026,3,22)),ROW(Expenses!A$3:A$1002)-2),4)),"")&lt;&gt;"",IFERROR(INDEX(Expenses!B$3:B$1002,SMALL(IF((Expenses!E$3:E$1002="INR")*(Expenses!A$3:A$1002=DATE(2026,3,22)),ROW(Expenses!A$3:A$1002)-2),4)),""),IF(IFERROR(INDEX(Income!B$3:B$502,SMALL(IF((Income!D$3:D$502="INR")*(Income!A$3:A$502=DATE(2026,3,22)),ROW(Income!A$3:A$502)-2),4)),"")&lt;&gt;"",IFERROR(INDEX(Income!B$3:B$502,SMALL(IF((Income!D$3:D$502="INR")*(Income!A$3:A$502=DATE(2026,3,22)),ROW(Income!A$3:A$502)-2),4)),""),""))</f>
        <v/>
      </c>
      <c r="Q62" s="16"/>
      <c r="R62" s="16"/>
    </row>
    <row r="63" customFormat="false" ht="15" hidden="false" customHeight="false" outlineLevel="0" collapsed="false">
      <c r="A63" s="16"/>
      <c r="B63" s="16"/>
      <c r="C63" s="63" t="str">
        <f aca="false">IF(IFERROR(-INDEX(Expenses!D$3:D$1002,SMALL(IF((Expenses!E$3:E$1002="INR")*(Expenses!A$3:A$1002=DATE(2026,3,16)),ROW(Expenses!A$3:A$1002)-2),5)),0)+IFERROR(INDEX(Income!C$3:C$502,SMALL(IF((Income!D$3:D$502="INR")*(Income!A$3:A$502=DATE(2026,3,16)),ROW(Income!A$3:A$502)-2),5)),0)=0,"",IFERROR(-INDEX(Expenses!D$3:D$1002,SMALL(IF((Expenses!E$3:E$1002="INR")*(Expenses!A$3:A$1002=DATE(2026,3,16)),ROW(Expenses!A$3:A$1002)-2),5)),0)+IFERROR(INDEX(Income!C$3:C$502,SMALL(IF((Income!D$3:D$502="INR")*(Income!A$3:A$502=DATE(2026,3,16)),ROW(Income!A$3:A$502)-2),5)),0))</f>
        <v/>
      </c>
      <c r="D63" s="38" t="str">
        <f aca="false">IF(IFERROR(INDEX(Expenses!B$3:B$1002,SMALL(IF((Expenses!E$3:E$1002="INR")*(Expenses!A$3:A$1002=DATE(2026,3,16)),ROW(Expenses!A$3:A$1002)-2),5)),"")&lt;&gt;"",IFERROR(INDEX(Expenses!B$3:B$1002,SMALL(IF((Expenses!E$3:E$1002="INR")*(Expenses!A$3:A$1002=DATE(2026,3,16)),ROW(Expenses!A$3:A$1002)-2),5)),""),IF(IFERROR(INDEX(Income!B$3:B$502,SMALL(IF((Income!D$3:D$502="INR")*(Income!A$3:A$502=DATE(2026,3,16)),ROW(Income!A$3:A$502)-2),5)),"")&lt;&gt;"",IFERROR(INDEX(Income!B$3:B$502,SMALL(IF((Income!D$3:D$502="INR")*(Income!A$3:A$502=DATE(2026,3,16)),ROW(Income!A$3:A$502)-2),5)),""),""))</f>
        <v/>
      </c>
      <c r="E63" s="63" t="str">
        <f aca="false">IF(IFERROR(-INDEX(Expenses!D$3:D$1002,SMALL(IF((Expenses!E$3:E$1002="INR")*(Expenses!A$3:A$1002=DATE(2026,3,17)),ROW(Expenses!A$3:A$1002)-2),5)),0)+IFERROR(INDEX(Income!C$3:C$502,SMALL(IF((Income!D$3:D$502="INR")*(Income!A$3:A$502=DATE(2026,3,17)),ROW(Income!A$3:A$502)-2),5)),0)=0,"",IFERROR(-INDEX(Expenses!D$3:D$1002,SMALL(IF((Expenses!E$3:E$1002="INR")*(Expenses!A$3:A$1002=DATE(2026,3,17)),ROW(Expenses!A$3:A$1002)-2),5)),0)+IFERROR(INDEX(Income!C$3:C$502,SMALL(IF((Income!D$3:D$502="INR")*(Income!A$3:A$502=DATE(2026,3,17)),ROW(Income!A$3:A$502)-2),5)),0))</f>
        <v/>
      </c>
      <c r="F63" s="38" t="str">
        <f aca="false">IF(IFERROR(INDEX(Expenses!B$3:B$1002,SMALL(IF((Expenses!E$3:E$1002="INR")*(Expenses!A$3:A$1002=DATE(2026,3,17)),ROW(Expenses!A$3:A$1002)-2),5)),"")&lt;&gt;"",IFERROR(INDEX(Expenses!B$3:B$1002,SMALL(IF((Expenses!E$3:E$1002="INR")*(Expenses!A$3:A$1002=DATE(2026,3,17)),ROW(Expenses!A$3:A$1002)-2),5)),""),IF(IFERROR(INDEX(Income!B$3:B$502,SMALL(IF((Income!D$3:D$502="INR")*(Income!A$3:A$502=DATE(2026,3,17)),ROW(Income!A$3:A$502)-2),5)),"")&lt;&gt;"",IFERROR(INDEX(Income!B$3:B$502,SMALL(IF((Income!D$3:D$502="INR")*(Income!A$3:A$502=DATE(2026,3,17)),ROW(Income!A$3:A$502)-2),5)),""),""))</f>
        <v/>
      </c>
      <c r="G63" s="63" t="str">
        <f aca="false">IF(IFERROR(-INDEX(Expenses!D$3:D$1002,SMALL(IF((Expenses!E$3:E$1002="INR")*(Expenses!A$3:A$1002=DATE(2026,3,18)),ROW(Expenses!A$3:A$1002)-2),5)),0)+IFERROR(INDEX(Income!C$3:C$502,SMALL(IF((Income!D$3:D$502="INR")*(Income!A$3:A$502=DATE(2026,3,18)),ROW(Income!A$3:A$502)-2),5)),0)=0,"",IFERROR(-INDEX(Expenses!D$3:D$1002,SMALL(IF((Expenses!E$3:E$1002="INR")*(Expenses!A$3:A$1002=DATE(2026,3,18)),ROW(Expenses!A$3:A$1002)-2),5)),0)+IFERROR(INDEX(Income!C$3:C$502,SMALL(IF((Income!D$3:D$502="INR")*(Income!A$3:A$502=DATE(2026,3,18)),ROW(Income!A$3:A$502)-2),5)),0))</f>
        <v/>
      </c>
      <c r="H63" s="38" t="str">
        <f aca="false">IF(IFERROR(INDEX(Expenses!B$3:B$1002,SMALL(IF((Expenses!E$3:E$1002="INR")*(Expenses!A$3:A$1002=DATE(2026,3,18)),ROW(Expenses!A$3:A$1002)-2),5)),"")&lt;&gt;"",IFERROR(INDEX(Expenses!B$3:B$1002,SMALL(IF((Expenses!E$3:E$1002="INR")*(Expenses!A$3:A$1002=DATE(2026,3,18)),ROW(Expenses!A$3:A$1002)-2),5)),""),IF(IFERROR(INDEX(Income!B$3:B$502,SMALL(IF((Income!D$3:D$502="INR")*(Income!A$3:A$502=DATE(2026,3,18)),ROW(Income!A$3:A$502)-2),5)),"")&lt;&gt;"",IFERROR(INDEX(Income!B$3:B$502,SMALL(IF((Income!D$3:D$502="INR")*(Income!A$3:A$502=DATE(2026,3,18)),ROW(Income!A$3:A$502)-2),5)),""),""))</f>
        <v/>
      </c>
      <c r="I63" s="63" t="str">
        <f aca="false">IF(IFERROR(-INDEX(Expenses!D$3:D$1002,SMALL(IF((Expenses!E$3:E$1002="INR")*(Expenses!A$3:A$1002=DATE(2026,3,19)),ROW(Expenses!A$3:A$1002)-2),5)),0)+IFERROR(INDEX(Income!C$3:C$502,SMALL(IF((Income!D$3:D$502="INR")*(Income!A$3:A$502=DATE(2026,3,19)),ROW(Income!A$3:A$502)-2),5)),0)=0,"",IFERROR(-INDEX(Expenses!D$3:D$1002,SMALL(IF((Expenses!E$3:E$1002="INR")*(Expenses!A$3:A$1002=DATE(2026,3,19)),ROW(Expenses!A$3:A$1002)-2),5)),0)+IFERROR(INDEX(Income!C$3:C$502,SMALL(IF((Income!D$3:D$502="INR")*(Income!A$3:A$502=DATE(2026,3,19)),ROW(Income!A$3:A$502)-2),5)),0))</f>
        <v/>
      </c>
      <c r="J63" s="38" t="str">
        <f aca="false">IF(IFERROR(INDEX(Expenses!B$3:B$1002,SMALL(IF((Expenses!E$3:E$1002="INR")*(Expenses!A$3:A$1002=DATE(2026,3,19)),ROW(Expenses!A$3:A$1002)-2),5)),"")&lt;&gt;"",IFERROR(INDEX(Expenses!B$3:B$1002,SMALL(IF((Expenses!E$3:E$1002="INR")*(Expenses!A$3:A$1002=DATE(2026,3,19)),ROW(Expenses!A$3:A$1002)-2),5)),""),IF(IFERROR(INDEX(Income!B$3:B$502,SMALL(IF((Income!D$3:D$502="INR")*(Income!A$3:A$502=DATE(2026,3,19)),ROW(Income!A$3:A$502)-2),5)),"")&lt;&gt;"",IFERROR(INDEX(Income!B$3:B$502,SMALL(IF((Income!D$3:D$502="INR")*(Income!A$3:A$502=DATE(2026,3,19)),ROW(Income!A$3:A$502)-2),5)),""),""))</f>
        <v/>
      </c>
      <c r="K63" s="63" t="str">
        <f aca="false">IF(IFERROR(-INDEX(Expenses!D$3:D$1002,SMALL(IF((Expenses!E$3:E$1002="INR")*(Expenses!A$3:A$1002=DATE(2026,3,20)),ROW(Expenses!A$3:A$1002)-2),5)),0)+IFERROR(INDEX(Income!C$3:C$502,SMALL(IF((Income!D$3:D$502="INR")*(Income!A$3:A$502=DATE(2026,3,20)),ROW(Income!A$3:A$502)-2),5)),0)=0,"",IFERROR(-INDEX(Expenses!D$3:D$1002,SMALL(IF((Expenses!E$3:E$1002="INR")*(Expenses!A$3:A$1002=DATE(2026,3,20)),ROW(Expenses!A$3:A$1002)-2),5)),0)+IFERROR(INDEX(Income!C$3:C$502,SMALL(IF((Income!D$3:D$502="INR")*(Income!A$3:A$502=DATE(2026,3,20)),ROW(Income!A$3:A$502)-2),5)),0))</f>
        <v/>
      </c>
      <c r="L63" s="38" t="str">
        <f aca="false">IF(IFERROR(INDEX(Expenses!B$3:B$1002,SMALL(IF((Expenses!E$3:E$1002="INR")*(Expenses!A$3:A$1002=DATE(2026,3,20)),ROW(Expenses!A$3:A$1002)-2),5)),"")&lt;&gt;"",IFERROR(INDEX(Expenses!B$3:B$1002,SMALL(IF((Expenses!E$3:E$1002="INR")*(Expenses!A$3:A$1002=DATE(2026,3,20)),ROW(Expenses!A$3:A$1002)-2),5)),""),IF(IFERROR(INDEX(Income!B$3:B$502,SMALL(IF((Income!D$3:D$502="INR")*(Income!A$3:A$502=DATE(2026,3,20)),ROW(Income!A$3:A$502)-2),5)),"")&lt;&gt;"",IFERROR(INDEX(Income!B$3:B$502,SMALL(IF((Income!D$3:D$502="INR")*(Income!A$3:A$502=DATE(2026,3,20)),ROW(Income!A$3:A$502)-2),5)),""),""))</f>
        <v/>
      </c>
      <c r="M63" s="63" t="str">
        <f aca="false">IF(IFERROR(-INDEX(Expenses!D$3:D$1002,SMALL(IF((Expenses!E$3:E$1002="INR")*(Expenses!A$3:A$1002=DATE(2026,3,21)),ROW(Expenses!A$3:A$1002)-2),5)),0)+IFERROR(INDEX(Income!C$3:C$502,SMALL(IF((Income!D$3:D$502="INR")*(Income!A$3:A$502=DATE(2026,3,21)),ROW(Income!A$3:A$502)-2),5)),0)=0,"",IFERROR(-INDEX(Expenses!D$3:D$1002,SMALL(IF((Expenses!E$3:E$1002="INR")*(Expenses!A$3:A$1002=DATE(2026,3,21)),ROW(Expenses!A$3:A$1002)-2),5)),0)+IFERROR(INDEX(Income!C$3:C$502,SMALL(IF((Income!D$3:D$502="INR")*(Income!A$3:A$502=DATE(2026,3,21)),ROW(Income!A$3:A$502)-2),5)),0))</f>
        <v/>
      </c>
      <c r="N63" s="38" t="str">
        <f aca="false">IF(IFERROR(INDEX(Expenses!B$3:B$1002,SMALL(IF((Expenses!E$3:E$1002="INR")*(Expenses!A$3:A$1002=DATE(2026,3,21)),ROW(Expenses!A$3:A$1002)-2),5)),"")&lt;&gt;"",IFERROR(INDEX(Expenses!B$3:B$1002,SMALL(IF((Expenses!E$3:E$1002="INR")*(Expenses!A$3:A$1002=DATE(2026,3,21)),ROW(Expenses!A$3:A$1002)-2),5)),""),IF(IFERROR(INDEX(Income!B$3:B$502,SMALL(IF((Income!D$3:D$502="INR")*(Income!A$3:A$502=DATE(2026,3,21)),ROW(Income!A$3:A$502)-2),5)),"")&lt;&gt;"",IFERROR(INDEX(Income!B$3:B$502,SMALL(IF((Income!D$3:D$502="INR")*(Income!A$3:A$502=DATE(2026,3,21)),ROW(Income!A$3:A$502)-2),5)),""),""))</f>
        <v/>
      </c>
      <c r="O63" s="63" t="str">
        <f aca="false">IF(IFERROR(-INDEX(Expenses!D$3:D$1002,SMALL(IF((Expenses!E$3:E$1002="INR")*(Expenses!A$3:A$1002=DATE(2026,3,22)),ROW(Expenses!A$3:A$1002)-2),5)),0)+IFERROR(INDEX(Income!C$3:C$502,SMALL(IF((Income!D$3:D$502="INR")*(Income!A$3:A$502=DATE(2026,3,22)),ROW(Income!A$3:A$502)-2),5)),0)=0,"",IFERROR(-INDEX(Expenses!D$3:D$1002,SMALL(IF((Expenses!E$3:E$1002="INR")*(Expenses!A$3:A$1002=DATE(2026,3,22)),ROW(Expenses!A$3:A$1002)-2),5)),0)+IFERROR(INDEX(Income!C$3:C$502,SMALL(IF((Income!D$3:D$502="INR")*(Income!A$3:A$502=DATE(2026,3,22)),ROW(Income!A$3:A$502)-2),5)),0))</f>
        <v/>
      </c>
      <c r="P63" s="38" t="str">
        <f aca="false">IF(IFERROR(INDEX(Expenses!B$3:B$1002,SMALL(IF((Expenses!E$3:E$1002="INR")*(Expenses!A$3:A$1002=DATE(2026,3,22)),ROW(Expenses!A$3:A$1002)-2),5)),"")&lt;&gt;"",IFERROR(INDEX(Expenses!B$3:B$1002,SMALL(IF((Expenses!E$3:E$1002="INR")*(Expenses!A$3:A$1002=DATE(2026,3,22)),ROW(Expenses!A$3:A$1002)-2),5)),""),IF(IFERROR(INDEX(Income!B$3:B$502,SMALL(IF((Income!D$3:D$502="INR")*(Income!A$3:A$502=DATE(2026,3,22)),ROW(Income!A$3:A$502)-2),5)),"")&lt;&gt;"",IFERROR(INDEX(Income!B$3:B$502,SMALL(IF((Income!D$3:D$502="INR")*(Income!A$3:A$502=DATE(2026,3,22)),ROW(Income!A$3:A$502)-2),5)),""),""))</f>
        <v/>
      </c>
      <c r="Q63" s="16"/>
      <c r="R63" s="16"/>
    </row>
    <row r="64" customFormat="false" ht="15" hidden="false" customHeight="false" outlineLevel="0" collapsed="false">
      <c r="A64" s="61" t="n">
        <v>46104</v>
      </c>
      <c r="B64" s="3" t="n">
        <v>13</v>
      </c>
      <c r="C64" s="63" t="str">
        <f aca="false">IF(IFERROR(-INDEX(Expenses!D$3:D$1002,SMALL(IF((Expenses!E$3:E$1002="INR")*(Expenses!A$3:A$1002=DATE(2026,3,23)),ROW(Expenses!A$3:A$1002)-2),1)),0)+IFERROR(INDEX(Income!C$3:C$502,SMALL(IF((Income!D$3:D$502="INR")*(Income!A$3:A$502=DATE(2026,3,23)),ROW(Income!A$3:A$502)-2),1)),0)=0,"",IFERROR(-INDEX(Expenses!D$3:D$1002,SMALL(IF((Expenses!E$3:E$1002="INR")*(Expenses!A$3:A$1002=DATE(2026,3,23)),ROW(Expenses!A$3:A$1002)-2),1)),0)+IFERROR(INDEX(Income!C$3:C$502,SMALL(IF((Income!D$3:D$502="INR")*(Income!A$3:A$502=DATE(2026,3,23)),ROW(Income!A$3:A$502)-2),1)),0))</f>
        <v/>
      </c>
      <c r="D64" s="38" t="str">
        <f aca="false">IF(IFERROR(INDEX(Expenses!B$3:B$1002,SMALL(IF((Expenses!E$3:E$1002="INR")*(Expenses!A$3:A$1002=DATE(2026,3,23)),ROW(Expenses!A$3:A$1002)-2),1)),"")&lt;&gt;"",IFERROR(INDEX(Expenses!B$3:B$1002,SMALL(IF((Expenses!E$3:E$1002="INR")*(Expenses!A$3:A$1002=DATE(2026,3,23)),ROW(Expenses!A$3:A$1002)-2),1)),""),IF(IFERROR(INDEX(Income!B$3:B$502,SMALL(IF((Income!D$3:D$502="INR")*(Income!A$3:A$502=DATE(2026,3,23)),ROW(Income!A$3:A$502)-2),1)),"")&lt;&gt;"",IFERROR(INDEX(Income!B$3:B$502,SMALL(IF((Income!D$3:D$502="INR")*(Income!A$3:A$502=DATE(2026,3,23)),ROW(Income!A$3:A$502)-2),1)),""),""))</f>
        <v/>
      </c>
      <c r="E64" s="63" t="str">
        <f aca="false">IF(IFERROR(-INDEX(Expenses!D$3:D$1002,SMALL(IF((Expenses!E$3:E$1002="INR")*(Expenses!A$3:A$1002=DATE(2026,3,24)),ROW(Expenses!A$3:A$1002)-2),1)),0)+IFERROR(INDEX(Income!C$3:C$502,SMALL(IF((Income!D$3:D$502="INR")*(Income!A$3:A$502=DATE(2026,3,24)),ROW(Income!A$3:A$502)-2),1)),0)=0,"",IFERROR(-INDEX(Expenses!D$3:D$1002,SMALL(IF((Expenses!E$3:E$1002="INR")*(Expenses!A$3:A$1002=DATE(2026,3,24)),ROW(Expenses!A$3:A$1002)-2),1)),0)+IFERROR(INDEX(Income!C$3:C$502,SMALL(IF((Income!D$3:D$502="INR")*(Income!A$3:A$502=DATE(2026,3,24)),ROW(Income!A$3:A$502)-2),1)),0))</f>
        <v/>
      </c>
      <c r="F64" s="38" t="str">
        <f aca="false">IF(IFERROR(INDEX(Expenses!B$3:B$1002,SMALL(IF((Expenses!E$3:E$1002="INR")*(Expenses!A$3:A$1002=DATE(2026,3,24)),ROW(Expenses!A$3:A$1002)-2),1)),"")&lt;&gt;"",IFERROR(INDEX(Expenses!B$3:B$1002,SMALL(IF((Expenses!E$3:E$1002="INR")*(Expenses!A$3:A$1002=DATE(2026,3,24)),ROW(Expenses!A$3:A$1002)-2),1)),""),IF(IFERROR(INDEX(Income!B$3:B$502,SMALL(IF((Income!D$3:D$502="INR")*(Income!A$3:A$502=DATE(2026,3,24)),ROW(Income!A$3:A$502)-2),1)),"")&lt;&gt;"",IFERROR(INDEX(Income!B$3:B$502,SMALL(IF((Income!D$3:D$502="INR")*(Income!A$3:A$502=DATE(2026,3,24)),ROW(Income!A$3:A$502)-2),1)),""),""))</f>
        <v/>
      </c>
      <c r="G64" s="63" t="str">
        <f aca="false">IF(IFERROR(-INDEX(Expenses!D$3:D$1002,SMALL(IF((Expenses!E$3:E$1002="INR")*(Expenses!A$3:A$1002=DATE(2026,3,25)),ROW(Expenses!A$3:A$1002)-2),1)),0)+IFERROR(INDEX(Income!C$3:C$502,SMALL(IF((Income!D$3:D$502="INR")*(Income!A$3:A$502=DATE(2026,3,25)),ROW(Income!A$3:A$502)-2),1)),0)=0,"",IFERROR(-INDEX(Expenses!D$3:D$1002,SMALL(IF((Expenses!E$3:E$1002="INR")*(Expenses!A$3:A$1002=DATE(2026,3,25)),ROW(Expenses!A$3:A$1002)-2),1)),0)+IFERROR(INDEX(Income!C$3:C$502,SMALL(IF((Income!D$3:D$502="INR")*(Income!A$3:A$502=DATE(2026,3,25)),ROW(Income!A$3:A$502)-2),1)),0))</f>
        <v/>
      </c>
      <c r="H64" s="38" t="str">
        <f aca="false">IF(IFERROR(INDEX(Expenses!B$3:B$1002,SMALL(IF((Expenses!E$3:E$1002="INR")*(Expenses!A$3:A$1002=DATE(2026,3,25)),ROW(Expenses!A$3:A$1002)-2),1)),"")&lt;&gt;"",IFERROR(INDEX(Expenses!B$3:B$1002,SMALL(IF((Expenses!E$3:E$1002="INR")*(Expenses!A$3:A$1002=DATE(2026,3,25)),ROW(Expenses!A$3:A$1002)-2),1)),""),IF(IFERROR(INDEX(Income!B$3:B$502,SMALL(IF((Income!D$3:D$502="INR")*(Income!A$3:A$502=DATE(2026,3,25)),ROW(Income!A$3:A$502)-2),1)),"")&lt;&gt;"",IFERROR(INDEX(Income!B$3:B$502,SMALL(IF((Income!D$3:D$502="INR")*(Income!A$3:A$502=DATE(2026,3,25)),ROW(Income!A$3:A$502)-2),1)),""),""))</f>
        <v/>
      </c>
      <c r="I64" s="63" t="str">
        <f aca="false">IF(IFERROR(-INDEX(Expenses!D$3:D$1002,SMALL(IF((Expenses!E$3:E$1002="INR")*(Expenses!A$3:A$1002=DATE(2026,3,26)),ROW(Expenses!A$3:A$1002)-2),1)),0)+IFERROR(INDEX(Income!C$3:C$502,SMALL(IF((Income!D$3:D$502="INR")*(Income!A$3:A$502=DATE(2026,3,26)),ROW(Income!A$3:A$502)-2),1)),0)=0,"",IFERROR(-INDEX(Expenses!D$3:D$1002,SMALL(IF((Expenses!E$3:E$1002="INR")*(Expenses!A$3:A$1002=DATE(2026,3,26)),ROW(Expenses!A$3:A$1002)-2),1)),0)+IFERROR(INDEX(Income!C$3:C$502,SMALL(IF((Income!D$3:D$502="INR")*(Income!A$3:A$502=DATE(2026,3,26)),ROW(Income!A$3:A$502)-2),1)),0))</f>
        <v/>
      </c>
      <c r="J64" s="38" t="str">
        <f aca="false">IF(IFERROR(INDEX(Expenses!B$3:B$1002,SMALL(IF((Expenses!E$3:E$1002="INR")*(Expenses!A$3:A$1002=DATE(2026,3,26)),ROW(Expenses!A$3:A$1002)-2),1)),"")&lt;&gt;"",IFERROR(INDEX(Expenses!B$3:B$1002,SMALL(IF((Expenses!E$3:E$1002="INR")*(Expenses!A$3:A$1002=DATE(2026,3,26)),ROW(Expenses!A$3:A$1002)-2),1)),""),IF(IFERROR(INDEX(Income!B$3:B$502,SMALL(IF((Income!D$3:D$502="INR")*(Income!A$3:A$502=DATE(2026,3,26)),ROW(Income!A$3:A$502)-2),1)),"")&lt;&gt;"",IFERROR(INDEX(Income!B$3:B$502,SMALL(IF((Income!D$3:D$502="INR")*(Income!A$3:A$502=DATE(2026,3,26)),ROW(Income!A$3:A$502)-2),1)),""),""))</f>
        <v/>
      </c>
      <c r="K64" s="63" t="str">
        <f aca="false">IF(IFERROR(-INDEX(Expenses!D$3:D$1002,SMALL(IF((Expenses!E$3:E$1002="INR")*(Expenses!A$3:A$1002=DATE(2026,3,27)),ROW(Expenses!A$3:A$1002)-2),1)),0)+IFERROR(INDEX(Income!C$3:C$502,SMALL(IF((Income!D$3:D$502="INR")*(Income!A$3:A$502=DATE(2026,3,27)),ROW(Income!A$3:A$502)-2),1)),0)=0,"",IFERROR(-INDEX(Expenses!D$3:D$1002,SMALL(IF((Expenses!E$3:E$1002="INR")*(Expenses!A$3:A$1002=DATE(2026,3,27)),ROW(Expenses!A$3:A$1002)-2),1)),0)+IFERROR(INDEX(Income!C$3:C$502,SMALL(IF((Income!D$3:D$502="INR")*(Income!A$3:A$502=DATE(2026,3,27)),ROW(Income!A$3:A$502)-2),1)),0))</f>
        <v/>
      </c>
      <c r="L64" s="38" t="str">
        <f aca="false">IF(IFERROR(INDEX(Expenses!B$3:B$1002,SMALL(IF((Expenses!E$3:E$1002="INR")*(Expenses!A$3:A$1002=DATE(2026,3,27)),ROW(Expenses!A$3:A$1002)-2),1)),"")&lt;&gt;"",IFERROR(INDEX(Expenses!B$3:B$1002,SMALL(IF((Expenses!E$3:E$1002="INR")*(Expenses!A$3:A$1002=DATE(2026,3,27)),ROW(Expenses!A$3:A$1002)-2),1)),""),IF(IFERROR(INDEX(Income!B$3:B$502,SMALL(IF((Income!D$3:D$502="INR")*(Income!A$3:A$502=DATE(2026,3,27)),ROW(Income!A$3:A$502)-2),1)),"")&lt;&gt;"",IFERROR(INDEX(Income!B$3:B$502,SMALL(IF((Income!D$3:D$502="INR")*(Income!A$3:A$502=DATE(2026,3,27)),ROW(Income!A$3:A$502)-2),1)),""),""))</f>
        <v/>
      </c>
      <c r="M64" s="63" t="str">
        <f aca="false">IF(IFERROR(-INDEX(Expenses!D$3:D$1002,SMALL(IF((Expenses!E$3:E$1002="INR")*(Expenses!A$3:A$1002=DATE(2026,3,28)),ROW(Expenses!A$3:A$1002)-2),1)),0)+IFERROR(INDEX(Income!C$3:C$502,SMALL(IF((Income!D$3:D$502="INR")*(Income!A$3:A$502=DATE(2026,3,28)),ROW(Income!A$3:A$502)-2),1)),0)=0,"",IFERROR(-INDEX(Expenses!D$3:D$1002,SMALL(IF((Expenses!E$3:E$1002="INR")*(Expenses!A$3:A$1002=DATE(2026,3,28)),ROW(Expenses!A$3:A$1002)-2),1)),0)+IFERROR(INDEX(Income!C$3:C$502,SMALL(IF((Income!D$3:D$502="INR")*(Income!A$3:A$502=DATE(2026,3,28)),ROW(Income!A$3:A$502)-2),1)),0))</f>
        <v/>
      </c>
      <c r="N64" s="38" t="str">
        <f aca="false">IF(IFERROR(INDEX(Expenses!B$3:B$1002,SMALL(IF((Expenses!E$3:E$1002="INR")*(Expenses!A$3:A$1002=DATE(2026,3,28)),ROW(Expenses!A$3:A$1002)-2),1)),"")&lt;&gt;"",IFERROR(INDEX(Expenses!B$3:B$1002,SMALL(IF((Expenses!E$3:E$1002="INR")*(Expenses!A$3:A$1002=DATE(2026,3,28)),ROW(Expenses!A$3:A$1002)-2),1)),""),IF(IFERROR(INDEX(Income!B$3:B$502,SMALL(IF((Income!D$3:D$502="INR")*(Income!A$3:A$502=DATE(2026,3,28)),ROW(Income!A$3:A$502)-2),1)),"")&lt;&gt;"",IFERROR(INDEX(Income!B$3:B$502,SMALL(IF((Income!D$3:D$502="INR")*(Income!A$3:A$502=DATE(2026,3,28)),ROW(Income!A$3:A$502)-2),1)),""),""))</f>
        <v/>
      </c>
      <c r="O64" s="63" t="str">
        <f aca="false">IF(IFERROR(-INDEX(Expenses!D$3:D$1002,SMALL(IF((Expenses!E$3:E$1002="INR")*(Expenses!A$3:A$1002=DATE(2026,3,29)),ROW(Expenses!A$3:A$1002)-2),1)),0)+IFERROR(INDEX(Income!C$3:C$502,SMALL(IF((Income!D$3:D$502="INR")*(Income!A$3:A$502=DATE(2026,3,29)),ROW(Income!A$3:A$502)-2),1)),0)=0,"",IFERROR(-INDEX(Expenses!D$3:D$1002,SMALL(IF((Expenses!E$3:E$1002="INR")*(Expenses!A$3:A$1002=DATE(2026,3,29)),ROW(Expenses!A$3:A$1002)-2),1)),0)+IFERROR(INDEX(Income!C$3:C$502,SMALL(IF((Income!D$3:D$502="INR")*(Income!A$3:A$502=DATE(2026,3,29)),ROW(Income!A$3:A$502)-2),1)),0))</f>
        <v/>
      </c>
      <c r="P64" s="38" t="str">
        <f aca="false">IF(IFERROR(INDEX(Expenses!B$3:B$1002,SMALL(IF((Expenses!E$3:E$1002="INR")*(Expenses!A$3:A$1002=DATE(2026,3,29)),ROW(Expenses!A$3:A$1002)-2),1)),"")&lt;&gt;"",IFERROR(INDEX(Expenses!B$3:B$1002,SMALL(IF((Expenses!E$3:E$1002="INR")*(Expenses!A$3:A$1002=DATE(2026,3,29)),ROW(Expenses!A$3:A$1002)-2),1)),""),IF(IFERROR(INDEX(Income!B$3:B$502,SMALL(IF((Income!D$3:D$502="INR")*(Income!A$3:A$502=DATE(2026,3,29)),ROW(Income!A$3:A$502)-2),1)),"")&lt;&gt;"",IFERROR(INDEX(Income!B$3:B$502,SMALL(IF((Income!D$3:D$502="INR")*(Income!A$3:A$502=DATE(2026,3,29)),ROW(Income!A$3:A$502)-2),1)),""),""))</f>
        <v/>
      </c>
      <c r="Q64" s="3" t="n">
        <v>13</v>
      </c>
      <c r="R64" s="53" t="n">
        <f aca="false">SUM(C64:C68)+SUM(E64:E68)+SUM(G64:G68)+SUM(I64:I68)+SUM(K64:K68)+SUM(M64:M68)+SUM(O64:O68)</f>
        <v>0</v>
      </c>
    </row>
    <row r="65" customFormat="false" ht="15" hidden="false" customHeight="false" outlineLevel="0" collapsed="false">
      <c r="A65" s="16"/>
      <c r="B65" s="16"/>
      <c r="C65" s="63" t="str">
        <f aca="false">IF(IFERROR(-INDEX(Expenses!D$3:D$1002,SMALL(IF((Expenses!E$3:E$1002="INR")*(Expenses!A$3:A$1002=DATE(2026,3,23)),ROW(Expenses!A$3:A$1002)-2),2)),0)+IFERROR(INDEX(Income!C$3:C$502,SMALL(IF((Income!D$3:D$502="INR")*(Income!A$3:A$502=DATE(2026,3,23)),ROW(Income!A$3:A$502)-2),2)),0)=0,"",IFERROR(-INDEX(Expenses!D$3:D$1002,SMALL(IF((Expenses!E$3:E$1002="INR")*(Expenses!A$3:A$1002=DATE(2026,3,23)),ROW(Expenses!A$3:A$1002)-2),2)),0)+IFERROR(INDEX(Income!C$3:C$502,SMALL(IF((Income!D$3:D$502="INR")*(Income!A$3:A$502=DATE(2026,3,23)),ROW(Income!A$3:A$502)-2),2)),0))</f>
        <v/>
      </c>
      <c r="D65" s="38" t="str">
        <f aca="false">IF(IFERROR(INDEX(Expenses!B$3:B$1002,SMALL(IF((Expenses!E$3:E$1002="INR")*(Expenses!A$3:A$1002=DATE(2026,3,23)),ROW(Expenses!A$3:A$1002)-2),2)),"")&lt;&gt;"",IFERROR(INDEX(Expenses!B$3:B$1002,SMALL(IF((Expenses!E$3:E$1002="INR")*(Expenses!A$3:A$1002=DATE(2026,3,23)),ROW(Expenses!A$3:A$1002)-2),2)),""),IF(IFERROR(INDEX(Income!B$3:B$502,SMALL(IF((Income!D$3:D$502="INR")*(Income!A$3:A$502=DATE(2026,3,23)),ROW(Income!A$3:A$502)-2),2)),"")&lt;&gt;"",IFERROR(INDEX(Income!B$3:B$502,SMALL(IF((Income!D$3:D$502="INR")*(Income!A$3:A$502=DATE(2026,3,23)),ROW(Income!A$3:A$502)-2),2)),""),""))</f>
        <v/>
      </c>
      <c r="E65" s="63" t="str">
        <f aca="false">IF(IFERROR(-INDEX(Expenses!D$3:D$1002,SMALL(IF((Expenses!E$3:E$1002="INR")*(Expenses!A$3:A$1002=DATE(2026,3,24)),ROW(Expenses!A$3:A$1002)-2),2)),0)+IFERROR(INDEX(Income!C$3:C$502,SMALL(IF((Income!D$3:D$502="INR")*(Income!A$3:A$502=DATE(2026,3,24)),ROW(Income!A$3:A$502)-2),2)),0)=0,"",IFERROR(-INDEX(Expenses!D$3:D$1002,SMALL(IF((Expenses!E$3:E$1002="INR")*(Expenses!A$3:A$1002=DATE(2026,3,24)),ROW(Expenses!A$3:A$1002)-2),2)),0)+IFERROR(INDEX(Income!C$3:C$502,SMALL(IF((Income!D$3:D$502="INR")*(Income!A$3:A$502=DATE(2026,3,24)),ROW(Income!A$3:A$502)-2),2)),0))</f>
        <v/>
      </c>
      <c r="F65" s="38" t="str">
        <f aca="false">IF(IFERROR(INDEX(Expenses!B$3:B$1002,SMALL(IF((Expenses!E$3:E$1002="INR")*(Expenses!A$3:A$1002=DATE(2026,3,24)),ROW(Expenses!A$3:A$1002)-2),2)),"")&lt;&gt;"",IFERROR(INDEX(Expenses!B$3:B$1002,SMALL(IF((Expenses!E$3:E$1002="INR")*(Expenses!A$3:A$1002=DATE(2026,3,24)),ROW(Expenses!A$3:A$1002)-2),2)),""),IF(IFERROR(INDEX(Income!B$3:B$502,SMALL(IF((Income!D$3:D$502="INR")*(Income!A$3:A$502=DATE(2026,3,24)),ROW(Income!A$3:A$502)-2),2)),"")&lt;&gt;"",IFERROR(INDEX(Income!B$3:B$502,SMALL(IF((Income!D$3:D$502="INR")*(Income!A$3:A$502=DATE(2026,3,24)),ROW(Income!A$3:A$502)-2),2)),""),""))</f>
        <v/>
      </c>
      <c r="G65" s="63" t="str">
        <f aca="false">IF(IFERROR(-INDEX(Expenses!D$3:D$1002,SMALL(IF((Expenses!E$3:E$1002="INR")*(Expenses!A$3:A$1002=DATE(2026,3,25)),ROW(Expenses!A$3:A$1002)-2),2)),0)+IFERROR(INDEX(Income!C$3:C$502,SMALL(IF((Income!D$3:D$502="INR")*(Income!A$3:A$502=DATE(2026,3,25)),ROW(Income!A$3:A$502)-2),2)),0)=0,"",IFERROR(-INDEX(Expenses!D$3:D$1002,SMALL(IF((Expenses!E$3:E$1002="INR")*(Expenses!A$3:A$1002=DATE(2026,3,25)),ROW(Expenses!A$3:A$1002)-2),2)),0)+IFERROR(INDEX(Income!C$3:C$502,SMALL(IF((Income!D$3:D$502="INR")*(Income!A$3:A$502=DATE(2026,3,25)),ROW(Income!A$3:A$502)-2),2)),0))</f>
        <v/>
      </c>
      <c r="H65" s="38" t="str">
        <f aca="false">IF(IFERROR(INDEX(Expenses!B$3:B$1002,SMALL(IF((Expenses!E$3:E$1002="INR")*(Expenses!A$3:A$1002=DATE(2026,3,25)),ROW(Expenses!A$3:A$1002)-2),2)),"")&lt;&gt;"",IFERROR(INDEX(Expenses!B$3:B$1002,SMALL(IF((Expenses!E$3:E$1002="INR")*(Expenses!A$3:A$1002=DATE(2026,3,25)),ROW(Expenses!A$3:A$1002)-2),2)),""),IF(IFERROR(INDEX(Income!B$3:B$502,SMALL(IF((Income!D$3:D$502="INR")*(Income!A$3:A$502=DATE(2026,3,25)),ROW(Income!A$3:A$502)-2),2)),"")&lt;&gt;"",IFERROR(INDEX(Income!B$3:B$502,SMALL(IF((Income!D$3:D$502="INR")*(Income!A$3:A$502=DATE(2026,3,25)),ROW(Income!A$3:A$502)-2),2)),""),""))</f>
        <v/>
      </c>
      <c r="I65" s="63" t="str">
        <f aca="false">IF(IFERROR(-INDEX(Expenses!D$3:D$1002,SMALL(IF((Expenses!E$3:E$1002="INR")*(Expenses!A$3:A$1002=DATE(2026,3,26)),ROW(Expenses!A$3:A$1002)-2),2)),0)+IFERROR(INDEX(Income!C$3:C$502,SMALL(IF((Income!D$3:D$502="INR")*(Income!A$3:A$502=DATE(2026,3,26)),ROW(Income!A$3:A$502)-2),2)),0)=0,"",IFERROR(-INDEX(Expenses!D$3:D$1002,SMALL(IF((Expenses!E$3:E$1002="INR")*(Expenses!A$3:A$1002=DATE(2026,3,26)),ROW(Expenses!A$3:A$1002)-2),2)),0)+IFERROR(INDEX(Income!C$3:C$502,SMALL(IF((Income!D$3:D$502="INR")*(Income!A$3:A$502=DATE(2026,3,26)),ROW(Income!A$3:A$502)-2),2)),0))</f>
        <v/>
      </c>
      <c r="J65" s="38" t="str">
        <f aca="false">IF(IFERROR(INDEX(Expenses!B$3:B$1002,SMALL(IF((Expenses!E$3:E$1002="INR")*(Expenses!A$3:A$1002=DATE(2026,3,26)),ROW(Expenses!A$3:A$1002)-2),2)),"")&lt;&gt;"",IFERROR(INDEX(Expenses!B$3:B$1002,SMALL(IF((Expenses!E$3:E$1002="INR")*(Expenses!A$3:A$1002=DATE(2026,3,26)),ROW(Expenses!A$3:A$1002)-2),2)),""),IF(IFERROR(INDEX(Income!B$3:B$502,SMALL(IF((Income!D$3:D$502="INR")*(Income!A$3:A$502=DATE(2026,3,26)),ROW(Income!A$3:A$502)-2),2)),"")&lt;&gt;"",IFERROR(INDEX(Income!B$3:B$502,SMALL(IF((Income!D$3:D$502="INR")*(Income!A$3:A$502=DATE(2026,3,26)),ROW(Income!A$3:A$502)-2),2)),""),""))</f>
        <v/>
      </c>
      <c r="K65" s="63" t="str">
        <f aca="false">IF(IFERROR(-INDEX(Expenses!D$3:D$1002,SMALL(IF((Expenses!E$3:E$1002="INR")*(Expenses!A$3:A$1002=DATE(2026,3,27)),ROW(Expenses!A$3:A$1002)-2),2)),0)+IFERROR(INDEX(Income!C$3:C$502,SMALL(IF((Income!D$3:D$502="INR")*(Income!A$3:A$502=DATE(2026,3,27)),ROW(Income!A$3:A$502)-2),2)),0)=0,"",IFERROR(-INDEX(Expenses!D$3:D$1002,SMALL(IF((Expenses!E$3:E$1002="INR")*(Expenses!A$3:A$1002=DATE(2026,3,27)),ROW(Expenses!A$3:A$1002)-2),2)),0)+IFERROR(INDEX(Income!C$3:C$502,SMALL(IF((Income!D$3:D$502="INR")*(Income!A$3:A$502=DATE(2026,3,27)),ROW(Income!A$3:A$502)-2),2)),0))</f>
        <v/>
      </c>
      <c r="L65" s="38" t="str">
        <f aca="false">IF(IFERROR(INDEX(Expenses!B$3:B$1002,SMALL(IF((Expenses!E$3:E$1002="INR")*(Expenses!A$3:A$1002=DATE(2026,3,27)),ROW(Expenses!A$3:A$1002)-2),2)),"")&lt;&gt;"",IFERROR(INDEX(Expenses!B$3:B$1002,SMALL(IF((Expenses!E$3:E$1002="INR")*(Expenses!A$3:A$1002=DATE(2026,3,27)),ROW(Expenses!A$3:A$1002)-2),2)),""),IF(IFERROR(INDEX(Income!B$3:B$502,SMALL(IF((Income!D$3:D$502="INR")*(Income!A$3:A$502=DATE(2026,3,27)),ROW(Income!A$3:A$502)-2),2)),"")&lt;&gt;"",IFERROR(INDEX(Income!B$3:B$502,SMALL(IF((Income!D$3:D$502="INR")*(Income!A$3:A$502=DATE(2026,3,27)),ROW(Income!A$3:A$502)-2),2)),""),""))</f>
        <v/>
      </c>
      <c r="M65" s="63" t="str">
        <f aca="false">IF(IFERROR(-INDEX(Expenses!D$3:D$1002,SMALL(IF((Expenses!E$3:E$1002="INR")*(Expenses!A$3:A$1002=DATE(2026,3,28)),ROW(Expenses!A$3:A$1002)-2),2)),0)+IFERROR(INDEX(Income!C$3:C$502,SMALL(IF((Income!D$3:D$502="INR")*(Income!A$3:A$502=DATE(2026,3,28)),ROW(Income!A$3:A$502)-2),2)),0)=0,"",IFERROR(-INDEX(Expenses!D$3:D$1002,SMALL(IF((Expenses!E$3:E$1002="INR")*(Expenses!A$3:A$1002=DATE(2026,3,28)),ROW(Expenses!A$3:A$1002)-2),2)),0)+IFERROR(INDEX(Income!C$3:C$502,SMALL(IF((Income!D$3:D$502="INR")*(Income!A$3:A$502=DATE(2026,3,28)),ROW(Income!A$3:A$502)-2),2)),0))</f>
        <v/>
      </c>
      <c r="N65" s="38" t="str">
        <f aca="false">IF(IFERROR(INDEX(Expenses!B$3:B$1002,SMALL(IF((Expenses!E$3:E$1002="INR")*(Expenses!A$3:A$1002=DATE(2026,3,28)),ROW(Expenses!A$3:A$1002)-2),2)),"")&lt;&gt;"",IFERROR(INDEX(Expenses!B$3:B$1002,SMALL(IF((Expenses!E$3:E$1002="INR")*(Expenses!A$3:A$1002=DATE(2026,3,28)),ROW(Expenses!A$3:A$1002)-2),2)),""),IF(IFERROR(INDEX(Income!B$3:B$502,SMALL(IF((Income!D$3:D$502="INR")*(Income!A$3:A$502=DATE(2026,3,28)),ROW(Income!A$3:A$502)-2),2)),"")&lt;&gt;"",IFERROR(INDEX(Income!B$3:B$502,SMALL(IF((Income!D$3:D$502="INR")*(Income!A$3:A$502=DATE(2026,3,28)),ROW(Income!A$3:A$502)-2),2)),""),""))</f>
        <v/>
      </c>
      <c r="O65" s="63" t="str">
        <f aca="false">IF(IFERROR(-INDEX(Expenses!D$3:D$1002,SMALL(IF((Expenses!E$3:E$1002="INR")*(Expenses!A$3:A$1002=DATE(2026,3,29)),ROW(Expenses!A$3:A$1002)-2),2)),0)+IFERROR(INDEX(Income!C$3:C$502,SMALL(IF((Income!D$3:D$502="INR")*(Income!A$3:A$502=DATE(2026,3,29)),ROW(Income!A$3:A$502)-2),2)),0)=0,"",IFERROR(-INDEX(Expenses!D$3:D$1002,SMALL(IF((Expenses!E$3:E$1002="INR")*(Expenses!A$3:A$1002=DATE(2026,3,29)),ROW(Expenses!A$3:A$1002)-2),2)),0)+IFERROR(INDEX(Income!C$3:C$502,SMALL(IF((Income!D$3:D$502="INR")*(Income!A$3:A$502=DATE(2026,3,29)),ROW(Income!A$3:A$502)-2),2)),0))</f>
        <v/>
      </c>
      <c r="P65" s="38" t="str">
        <f aca="false">IF(IFERROR(INDEX(Expenses!B$3:B$1002,SMALL(IF((Expenses!E$3:E$1002="INR")*(Expenses!A$3:A$1002=DATE(2026,3,29)),ROW(Expenses!A$3:A$1002)-2),2)),"")&lt;&gt;"",IFERROR(INDEX(Expenses!B$3:B$1002,SMALL(IF((Expenses!E$3:E$1002="INR")*(Expenses!A$3:A$1002=DATE(2026,3,29)),ROW(Expenses!A$3:A$1002)-2),2)),""),IF(IFERROR(INDEX(Income!B$3:B$502,SMALL(IF((Income!D$3:D$502="INR")*(Income!A$3:A$502=DATE(2026,3,29)),ROW(Income!A$3:A$502)-2),2)),"")&lt;&gt;"",IFERROR(INDEX(Income!B$3:B$502,SMALL(IF((Income!D$3:D$502="INR")*(Income!A$3:A$502=DATE(2026,3,29)),ROW(Income!A$3:A$502)-2),2)),""),""))</f>
        <v/>
      </c>
      <c r="Q65" s="16"/>
      <c r="R65" s="16"/>
    </row>
    <row r="66" customFormat="false" ht="15" hidden="false" customHeight="false" outlineLevel="0" collapsed="false">
      <c r="A66" s="16"/>
      <c r="B66" s="16"/>
      <c r="C66" s="63" t="str">
        <f aca="false">IF(IFERROR(-INDEX(Expenses!D$3:D$1002,SMALL(IF((Expenses!E$3:E$1002="INR")*(Expenses!A$3:A$1002=DATE(2026,3,23)),ROW(Expenses!A$3:A$1002)-2),3)),0)+IFERROR(INDEX(Income!C$3:C$502,SMALL(IF((Income!D$3:D$502="INR")*(Income!A$3:A$502=DATE(2026,3,23)),ROW(Income!A$3:A$502)-2),3)),0)=0,"",IFERROR(-INDEX(Expenses!D$3:D$1002,SMALL(IF((Expenses!E$3:E$1002="INR")*(Expenses!A$3:A$1002=DATE(2026,3,23)),ROW(Expenses!A$3:A$1002)-2),3)),0)+IFERROR(INDEX(Income!C$3:C$502,SMALL(IF((Income!D$3:D$502="INR")*(Income!A$3:A$502=DATE(2026,3,23)),ROW(Income!A$3:A$502)-2),3)),0))</f>
        <v/>
      </c>
      <c r="D66" s="38" t="str">
        <f aca="false">IF(IFERROR(INDEX(Expenses!B$3:B$1002,SMALL(IF((Expenses!E$3:E$1002="INR")*(Expenses!A$3:A$1002=DATE(2026,3,23)),ROW(Expenses!A$3:A$1002)-2),3)),"")&lt;&gt;"",IFERROR(INDEX(Expenses!B$3:B$1002,SMALL(IF((Expenses!E$3:E$1002="INR")*(Expenses!A$3:A$1002=DATE(2026,3,23)),ROW(Expenses!A$3:A$1002)-2),3)),""),IF(IFERROR(INDEX(Income!B$3:B$502,SMALL(IF((Income!D$3:D$502="INR")*(Income!A$3:A$502=DATE(2026,3,23)),ROW(Income!A$3:A$502)-2),3)),"")&lt;&gt;"",IFERROR(INDEX(Income!B$3:B$502,SMALL(IF((Income!D$3:D$502="INR")*(Income!A$3:A$502=DATE(2026,3,23)),ROW(Income!A$3:A$502)-2),3)),""),""))</f>
        <v/>
      </c>
      <c r="E66" s="63" t="str">
        <f aca="false">IF(IFERROR(-INDEX(Expenses!D$3:D$1002,SMALL(IF((Expenses!E$3:E$1002="INR")*(Expenses!A$3:A$1002=DATE(2026,3,24)),ROW(Expenses!A$3:A$1002)-2),3)),0)+IFERROR(INDEX(Income!C$3:C$502,SMALL(IF((Income!D$3:D$502="INR")*(Income!A$3:A$502=DATE(2026,3,24)),ROW(Income!A$3:A$502)-2),3)),0)=0,"",IFERROR(-INDEX(Expenses!D$3:D$1002,SMALL(IF((Expenses!E$3:E$1002="INR")*(Expenses!A$3:A$1002=DATE(2026,3,24)),ROW(Expenses!A$3:A$1002)-2),3)),0)+IFERROR(INDEX(Income!C$3:C$502,SMALL(IF((Income!D$3:D$502="INR")*(Income!A$3:A$502=DATE(2026,3,24)),ROW(Income!A$3:A$502)-2),3)),0))</f>
        <v/>
      </c>
      <c r="F66" s="38" t="str">
        <f aca="false">IF(IFERROR(INDEX(Expenses!B$3:B$1002,SMALL(IF((Expenses!E$3:E$1002="INR")*(Expenses!A$3:A$1002=DATE(2026,3,24)),ROW(Expenses!A$3:A$1002)-2),3)),"")&lt;&gt;"",IFERROR(INDEX(Expenses!B$3:B$1002,SMALL(IF((Expenses!E$3:E$1002="INR")*(Expenses!A$3:A$1002=DATE(2026,3,24)),ROW(Expenses!A$3:A$1002)-2),3)),""),IF(IFERROR(INDEX(Income!B$3:B$502,SMALL(IF((Income!D$3:D$502="INR")*(Income!A$3:A$502=DATE(2026,3,24)),ROW(Income!A$3:A$502)-2),3)),"")&lt;&gt;"",IFERROR(INDEX(Income!B$3:B$502,SMALL(IF((Income!D$3:D$502="INR")*(Income!A$3:A$502=DATE(2026,3,24)),ROW(Income!A$3:A$502)-2),3)),""),""))</f>
        <v/>
      </c>
      <c r="G66" s="63" t="str">
        <f aca="false">IF(IFERROR(-INDEX(Expenses!D$3:D$1002,SMALL(IF((Expenses!E$3:E$1002="INR")*(Expenses!A$3:A$1002=DATE(2026,3,25)),ROW(Expenses!A$3:A$1002)-2),3)),0)+IFERROR(INDEX(Income!C$3:C$502,SMALL(IF((Income!D$3:D$502="INR")*(Income!A$3:A$502=DATE(2026,3,25)),ROW(Income!A$3:A$502)-2),3)),0)=0,"",IFERROR(-INDEX(Expenses!D$3:D$1002,SMALL(IF((Expenses!E$3:E$1002="INR")*(Expenses!A$3:A$1002=DATE(2026,3,25)),ROW(Expenses!A$3:A$1002)-2),3)),0)+IFERROR(INDEX(Income!C$3:C$502,SMALL(IF((Income!D$3:D$502="INR")*(Income!A$3:A$502=DATE(2026,3,25)),ROW(Income!A$3:A$502)-2),3)),0))</f>
        <v/>
      </c>
      <c r="H66" s="38" t="str">
        <f aca="false">IF(IFERROR(INDEX(Expenses!B$3:B$1002,SMALL(IF((Expenses!E$3:E$1002="INR")*(Expenses!A$3:A$1002=DATE(2026,3,25)),ROW(Expenses!A$3:A$1002)-2),3)),"")&lt;&gt;"",IFERROR(INDEX(Expenses!B$3:B$1002,SMALL(IF((Expenses!E$3:E$1002="INR")*(Expenses!A$3:A$1002=DATE(2026,3,25)),ROW(Expenses!A$3:A$1002)-2),3)),""),IF(IFERROR(INDEX(Income!B$3:B$502,SMALL(IF((Income!D$3:D$502="INR")*(Income!A$3:A$502=DATE(2026,3,25)),ROW(Income!A$3:A$502)-2),3)),"")&lt;&gt;"",IFERROR(INDEX(Income!B$3:B$502,SMALL(IF((Income!D$3:D$502="INR")*(Income!A$3:A$502=DATE(2026,3,25)),ROW(Income!A$3:A$502)-2),3)),""),""))</f>
        <v/>
      </c>
      <c r="I66" s="63" t="str">
        <f aca="false">IF(IFERROR(-INDEX(Expenses!D$3:D$1002,SMALL(IF((Expenses!E$3:E$1002="INR")*(Expenses!A$3:A$1002=DATE(2026,3,26)),ROW(Expenses!A$3:A$1002)-2),3)),0)+IFERROR(INDEX(Income!C$3:C$502,SMALL(IF((Income!D$3:D$502="INR")*(Income!A$3:A$502=DATE(2026,3,26)),ROW(Income!A$3:A$502)-2),3)),0)=0,"",IFERROR(-INDEX(Expenses!D$3:D$1002,SMALL(IF((Expenses!E$3:E$1002="INR")*(Expenses!A$3:A$1002=DATE(2026,3,26)),ROW(Expenses!A$3:A$1002)-2),3)),0)+IFERROR(INDEX(Income!C$3:C$502,SMALL(IF((Income!D$3:D$502="INR")*(Income!A$3:A$502=DATE(2026,3,26)),ROW(Income!A$3:A$502)-2),3)),0))</f>
        <v/>
      </c>
      <c r="J66" s="38" t="str">
        <f aca="false">IF(IFERROR(INDEX(Expenses!B$3:B$1002,SMALL(IF((Expenses!E$3:E$1002="INR")*(Expenses!A$3:A$1002=DATE(2026,3,26)),ROW(Expenses!A$3:A$1002)-2),3)),"")&lt;&gt;"",IFERROR(INDEX(Expenses!B$3:B$1002,SMALL(IF((Expenses!E$3:E$1002="INR")*(Expenses!A$3:A$1002=DATE(2026,3,26)),ROW(Expenses!A$3:A$1002)-2),3)),""),IF(IFERROR(INDEX(Income!B$3:B$502,SMALL(IF((Income!D$3:D$502="INR")*(Income!A$3:A$502=DATE(2026,3,26)),ROW(Income!A$3:A$502)-2),3)),"")&lt;&gt;"",IFERROR(INDEX(Income!B$3:B$502,SMALL(IF((Income!D$3:D$502="INR")*(Income!A$3:A$502=DATE(2026,3,26)),ROW(Income!A$3:A$502)-2),3)),""),""))</f>
        <v/>
      </c>
      <c r="K66" s="63" t="str">
        <f aca="false">IF(IFERROR(-INDEX(Expenses!D$3:D$1002,SMALL(IF((Expenses!E$3:E$1002="INR")*(Expenses!A$3:A$1002=DATE(2026,3,27)),ROW(Expenses!A$3:A$1002)-2),3)),0)+IFERROR(INDEX(Income!C$3:C$502,SMALL(IF((Income!D$3:D$502="INR")*(Income!A$3:A$502=DATE(2026,3,27)),ROW(Income!A$3:A$502)-2),3)),0)=0,"",IFERROR(-INDEX(Expenses!D$3:D$1002,SMALL(IF((Expenses!E$3:E$1002="INR")*(Expenses!A$3:A$1002=DATE(2026,3,27)),ROW(Expenses!A$3:A$1002)-2),3)),0)+IFERROR(INDEX(Income!C$3:C$502,SMALL(IF((Income!D$3:D$502="INR")*(Income!A$3:A$502=DATE(2026,3,27)),ROW(Income!A$3:A$502)-2),3)),0))</f>
        <v/>
      </c>
      <c r="L66" s="38" t="str">
        <f aca="false">IF(IFERROR(INDEX(Expenses!B$3:B$1002,SMALL(IF((Expenses!E$3:E$1002="INR")*(Expenses!A$3:A$1002=DATE(2026,3,27)),ROW(Expenses!A$3:A$1002)-2),3)),"")&lt;&gt;"",IFERROR(INDEX(Expenses!B$3:B$1002,SMALL(IF((Expenses!E$3:E$1002="INR")*(Expenses!A$3:A$1002=DATE(2026,3,27)),ROW(Expenses!A$3:A$1002)-2),3)),""),IF(IFERROR(INDEX(Income!B$3:B$502,SMALL(IF((Income!D$3:D$502="INR")*(Income!A$3:A$502=DATE(2026,3,27)),ROW(Income!A$3:A$502)-2),3)),"")&lt;&gt;"",IFERROR(INDEX(Income!B$3:B$502,SMALL(IF((Income!D$3:D$502="INR")*(Income!A$3:A$502=DATE(2026,3,27)),ROW(Income!A$3:A$502)-2),3)),""),""))</f>
        <v/>
      </c>
      <c r="M66" s="63" t="str">
        <f aca="false">IF(IFERROR(-INDEX(Expenses!D$3:D$1002,SMALL(IF((Expenses!E$3:E$1002="INR")*(Expenses!A$3:A$1002=DATE(2026,3,28)),ROW(Expenses!A$3:A$1002)-2),3)),0)+IFERROR(INDEX(Income!C$3:C$502,SMALL(IF((Income!D$3:D$502="INR")*(Income!A$3:A$502=DATE(2026,3,28)),ROW(Income!A$3:A$502)-2),3)),0)=0,"",IFERROR(-INDEX(Expenses!D$3:D$1002,SMALL(IF((Expenses!E$3:E$1002="INR")*(Expenses!A$3:A$1002=DATE(2026,3,28)),ROW(Expenses!A$3:A$1002)-2),3)),0)+IFERROR(INDEX(Income!C$3:C$502,SMALL(IF((Income!D$3:D$502="INR")*(Income!A$3:A$502=DATE(2026,3,28)),ROW(Income!A$3:A$502)-2),3)),0))</f>
        <v/>
      </c>
      <c r="N66" s="38" t="str">
        <f aca="false">IF(IFERROR(INDEX(Expenses!B$3:B$1002,SMALL(IF((Expenses!E$3:E$1002="INR")*(Expenses!A$3:A$1002=DATE(2026,3,28)),ROW(Expenses!A$3:A$1002)-2),3)),"")&lt;&gt;"",IFERROR(INDEX(Expenses!B$3:B$1002,SMALL(IF((Expenses!E$3:E$1002="INR")*(Expenses!A$3:A$1002=DATE(2026,3,28)),ROW(Expenses!A$3:A$1002)-2),3)),""),IF(IFERROR(INDEX(Income!B$3:B$502,SMALL(IF((Income!D$3:D$502="INR")*(Income!A$3:A$502=DATE(2026,3,28)),ROW(Income!A$3:A$502)-2),3)),"")&lt;&gt;"",IFERROR(INDEX(Income!B$3:B$502,SMALL(IF((Income!D$3:D$502="INR")*(Income!A$3:A$502=DATE(2026,3,28)),ROW(Income!A$3:A$502)-2),3)),""),""))</f>
        <v/>
      </c>
      <c r="O66" s="63" t="str">
        <f aca="false">IF(IFERROR(-INDEX(Expenses!D$3:D$1002,SMALL(IF((Expenses!E$3:E$1002="INR")*(Expenses!A$3:A$1002=DATE(2026,3,29)),ROW(Expenses!A$3:A$1002)-2),3)),0)+IFERROR(INDEX(Income!C$3:C$502,SMALL(IF((Income!D$3:D$502="INR")*(Income!A$3:A$502=DATE(2026,3,29)),ROW(Income!A$3:A$502)-2),3)),0)=0,"",IFERROR(-INDEX(Expenses!D$3:D$1002,SMALL(IF((Expenses!E$3:E$1002="INR")*(Expenses!A$3:A$1002=DATE(2026,3,29)),ROW(Expenses!A$3:A$1002)-2),3)),0)+IFERROR(INDEX(Income!C$3:C$502,SMALL(IF((Income!D$3:D$502="INR")*(Income!A$3:A$502=DATE(2026,3,29)),ROW(Income!A$3:A$502)-2),3)),0))</f>
        <v/>
      </c>
      <c r="P66" s="38" t="str">
        <f aca="false">IF(IFERROR(INDEX(Expenses!B$3:B$1002,SMALL(IF((Expenses!E$3:E$1002="INR")*(Expenses!A$3:A$1002=DATE(2026,3,29)),ROW(Expenses!A$3:A$1002)-2),3)),"")&lt;&gt;"",IFERROR(INDEX(Expenses!B$3:B$1002,SMALL(IF((Expenses!E$3:E$1002="INR")*(Expenses!A$3:A$1002=DATE(2026,3,29)),ROW(Expenses!A$3:A$1002)-2),3)),""),IF(IFERROR(INDEX(Income!B$3:B$502,SMALL(IF((Income!D$3:D$502="INR")*(Income!A$3:A$502=DATE(2026,3,29)),ROW(Income!A$3:A$502)-2),3)),"")&lt;&gt;"",IFERROR(INDEX(Income!B$3:B$502,SMALL(IF((Income!D$3:D$502="INR")*(Income!A$3:A$502=DATE(2026,3,29)),ROW(Income!A$3:A$502)-2),3)),""),""))</f>
        <v/>
      </c>
      <c r="Q66" s="16"/>
      <c r="R66" s="16"/>
    </row>
    <row r="67" customFormat="false" ht="15" hidden="false" customHeight="false" outlineLevel="0" collapsed="false">
      <c r="A67" s="16"/>
      <c r="B67" s="16"/>
      <c r="C67" s="63" t="str">
        <f aca="false">IF(IFERROR(-INDEX(Expenses!D$3:D$1002,SMALL(IF((Expenses!E$3:E$1002="INR")*(Expenses!A$3:A$1002=DATE(2026,3,23)),ROW(Expenses!A$3:A$1002)-2),4)),0)+IFERROR(INDEX(Income!C$3:C$502,SMALL(IF((Income!D$3:D$502="INR")*(Income!A$3:A$502=DATE(2026,3,23)),ROW(Income!A$3:A$502)-2),4)),0)=0,"",IFERROR(-INDEX(Expenses!D$3:D$1002,SMALL(IF((Expenses!E$3:E$1002="INR")*(Expenses!A$3:A$1002=DATE(2026,3,23)),ROW(Expenses!A$3:A$1002)-2),4)),0)+IFERROR(INDEX(Income!C$3:C$502,SMALL(IF((Income!D$3:D$502="INR")*(Income!A$3:A$502=DATE(2026,3,23)),ROW(Income!A$3:A$502)-2),4)),0))</f>
        <v/>
      </c>
      <c r="D67" s="38" t="str">
        <f aca="false">IF(IFERROR(INDEX(Expenses!B$3:B$1002,SMALL(IF((Expenses!E$3:E$1002="INR")*(Expenses!A$3:A$1002=DATE(2026,3,23)),ROW(Expenses!A$3:A$1002)-2),4)),"")&lt;&gt;"",IFERROR(INDEX(Expenses!B$3:B$1002,SMALL(IF((Expenses!E$3:E$1002="INR")*(Expenses!A$3:A$1002=DATE(2026,3,23)),ROW(Expenses!A$3:A$1002)-2),4)),""),IF(IFERROR(INDEX(Income!B$3:B$502,SMALL(IF((Income!D$3:D$502="INR")*(Income!A$3:A$502=DATE(2026,3,23)),ROW(Income!A$3:A$502)-2),4)),"")&lt;&gt;"",IFERROR(INDEX(Income!B$3:B$502,SMALL(IF((Income!D$3:D$502="INR")*(Income!A$3:A$502=DATE(2026,3,23)),ROW(Income!A$3:A$502)-2),4)),""),""))</f>
        <v/>
      </c>
      <c r="E67" s="63" t="str">
        <f aca="false">IF(IFERROR(-INDEX(Expenses!D$3:D$1002,SMALL(IF((Expenses!E$3:E$1002="INR")*(Expenses!A$3:A$1002=DATE(2026,3,24)),ROW(Expenses!A$3:A$1002)-2),4)),0)+IFERROR(INDEX(Income!C$3:C$502,SMALL(IF((Income!D$3:D$502="INR")*(Income!A$3:A$502=DATE(2026,3,24)),ROW(Income!A$3:A$502)-2),4)),0)=0,"",IFERROR(-INDEX(Expenses!D$3:D$1002,SMALL(IF((Expenses!E$3:E$1002="INR")*(Expenses!A$3:A$1002=DATE(2026,3,24)),ROW(Expenses!A$3:A$1002)-2),4)),0)+IFERROR(INDEX(Income!C$3:C$502,SMALL(IF((Income!D$3:D$502="INR")*(Income!A$3:A$502=DATE(2026,3,24)),ROW(Income!A$3:A$502)-2),4)),0))</f>
        <v/>
      </c>
      <c r="F67" s="38" t="str">
        <f aca="false">IF(IFERROR(INDEX(Expenses!B$3:B$1002,SMALL(IF((Expenses!E$3:E$1002="INR")*(Expenses!A$3:A$1002=DATE(2026,3,24)),ROW(Expenses!A$3:A$1002)-2),4)),"")&lt;&gt;"",IFERROR(INDEX(Expenses!B$3:B$1002,SMALL(IF((Expenses!E$3:E$1002="INR")*(Expenses!A$3:A$1002=DATE(2026,3,24)),ROW(Expenses!A$3:A$1002)-2),4)),""),IF(IFERROR(INDEX(Income!B$3:B$502,SMALL(IF((Income!D$3:D$502="INR")*(Income!A$3:A$502=DATE(2026,3,24)),ROW(Income!A$3:A$502)-2),4)),"")&lt;&gt;"",IFERROR(INDEX(Income!B$3:B$502,SMALL(IF((Income!D$3:D$502="INR")*(Income!A$3:A$502=DATE(2026,3,24)),ROW(Income!A$3:A$502)-2),4)),""),""))</f>
        <v/>
      </c>
      <c r="G67" s="63" t="str">
        <f aca="false">IF(IFERROR(-INDEX(Expenses!D$3:D$1002,SMALL(IF((Expenses!E$3:E$1002="INR")*(Expenses!A$3:A$1002=DATE(2026,3,25)),ROW(Expenses!A$3:A$1002)-2),4)),0)+IFERROR(INDEX(Income!C$3:C$502,SMALL(IF((Income!D$3:D$502="INR")*(Income!A$3:A$502=DATE(2026,3,25)),ROW(Income!A$3:A$502)-2),4)),0)=0,"",IFERROR(-INDEX(Expenses!D$3:D$1002,SMALL(IF((Expenses!E$3:E$1002="INR")*(Expenses!A$3:A$1002=DATE(2026,3,25)),ROW(Expenses!A$3:A$1002)-2),4)),0)+IFERROR(INDEX(Income!C$3:C$502,SMALL(IF((Income!D$3:D$502="INR")*(Income!A$3:A$502=DATE(2026,3,25)),ROW(Income!A$3:A$502)-2),4)),0))</f>
        <v/>
      </c>
      <c r="H67" s="38" t="str">
        <f aca="false">IF(IFERROR(INDEX(Expenses!B$3:B$1002,SMALL(IF((Expenses!E$3:E$1002="INR")*(Expenses!A$3:A$1002=DATE(2026,3,25)),ROW(Expenses!A$3:A$1002)-2),4)),"")&lt;&gt;"",IFERROR(INDEX(Expenses!B$3:B$1002,SMALL(IF((Expenses!E$3:E$1002="INR")*(Expenses!A$3:A$1002=DATE(2026,3,25)),ROW(Expenses!A$3:A$1002)-2),4)),""),IF(IFERROR(INDEX(Income!B$3:B$502,SMALL(IF((Income!D$3:D$502="INR")*(Income!A$3:A$502=DATE(2026,3,25)),ROW(Income!A$3:A$502)-2),4)),"")&lt;&gt;"",IFERROR(INDEX(Income!B$3:B$502,SMALL(IF((Income!D$3:D$502="INR")*(Income!A$3:A$502=DATE(2026,3,25)),ROW(Income!A$3:A$502)-2),4)),""),""))</f>
        <v/>
      </c>
      <c r="I67" s="63" t="str">
        <f aca="false">IF(IFERROR(-INDEX(Expenses!D$3:D$1002,SMALL(IF((Expenses!E$3:E$1002="INR")*(Expenses!A$3:A$1002=DATE(2026,3,26)),ROW(Expenses!A$3:A$1002)-2),4)),0)+IFERROR(INDEX(Income!C$3:C$502,SMALL(IF((Income!D$3:D$502="INR")*(Income!A$3:A$502=DATE(2026,3,26)),ROW(Income!A$3:A$502)-2),4)),0)=0,"",IFERROR(-INDEX(Expenses!D$3:D$1002,SMALL(IF((Expenses!E$3:E$1002="INR")*(Expenses!A$3:A$1002=DATE(2026,3,26)),ROW(Expenses!A$3:A$1002)-2),4)),0)+IFERROR(INDEX(Income!C$3:C$502,SMALL(IF((Income!D$3:D$502="INR")*(Income!A$3:A$502=DATE(2026,3,26)),ROW(Income!A$3:A$502)-2),4)),0))</f>
        <v/>
      </c>
      <c r="J67" s="38" t="str">
        <f aca="false">IF(IFERROR(INDEX(Expenses!B$3:B$1002,SMALL(IF((Expenses!E$3:E$1002="INR")*(Expenses!A$3:A$1002=DATE(2026,3,26)),ROW(Expenses!A$3:A$1002)-2),4)),"")&lt;&gt;"",IFERROR(INDEX(Expenses!B$3:B$1002,SMALL(IF((Expenses!E$3:E$1002="INR")*(Expenses!A$3:A$1002=DATE(2026,3,26)),ROW(Expenses!A$3:A$1002)-2),4)),""),IF(IFERROR(INDEX(Income!B$3:B$502,SMALL(IF((Income!D$3:D$502="INR")*(Income!A$3:A$502=DATE(2026,3,26)),ROW(Income!A$3:A$502)-2),4)),"")&lt;&gt;"",IFERROR(INDEX(Income!B$3:B$502,SMALL(IF((Income!D$3:D$502="INR")*(Income!A$3:A$502=DATE(2026,3,26)),ROW(Income!A$3:A$502)-2),4)),""),""))</f>
        <v/>
      </c>
      <c r="K67" s="63" t="str">
        <f aca="false">IF(IFERROR(-INDEX(Expenses!D$3:D$1002,SMALL(IF((Expenses!E$3:E$1002="INR")*(Expenses!A$3:A$1002=DATE(2026,3,27)),ROW(Expenses!A$3:A$1002)-2),4)),0)+IFERROR(INDEX(Income!C$3:C$502,SMALL(IF((Income!D$3:D$502="INR")*(Income!A$3:A$502=DATE(2026,3,27)),ROW(Income!A$3:A$502)-2),4)),0)=0,"",IFERROR(-INDEX(Expenses!D$3:D$1002,SMALL(IF((Expenses!E$3:E$1002="INR")*(Expenses!A$3:A$1002=DATE(2026,3,27)),ROW(Expenses!A$3:A$1002)-2),4)),0)+IFERROR(INDEX(Income!C$3:C$502,SMALL(IF((Income!D$3:D$502="INR")*(Income!A$3:A$502=DATE(2026,3,27)),ROW(Income!A$3:A$502)-2),4)),0))</f>
        <v/>
      </c>
      <c r="L67" s="38" t="str">
        <f aca="false">IF(IFERROR(INDEX(Expenses!B$3:B$1002,SMALL(IF((Expenses!E$3:E$1002="INR")*(Expenses!A$3:A$1002=DATE(2026,3,27)),ROW(Expenses!A$3:A$1002)-2),4)),"")&lt;&gt;"",IFERROR(INDEX(Expenses!B$3:B$1002,SMALL(IF((Expenses!E$3:E$1002="INR")*(Expenses!A$3:A$1002=DATE(2026,3,27)),ROW(Expenses!A$3:A$1002)-2),4)),""),IF(IFERROR(INDEX(Income!B$3:B$502,SMALL(IF((Income!D$3:D$502="INR")*(Income!A$3:A$502=DATE(2026,3,27)),ROW(Income!A$3:A$502)-2),4)),"")&lt;&gt;"",IFERROR(INDEX(Income!B$3:B$502,SMALL(IF((Income!D$3:D$502="INR")*(Income!A$3:A$502=DATE(2026,3,27)),ROW(Income!A$3:A$502)-2),4)),""),""))</f>
        <v/>
      </c>
      <c r="M67" s="63" t="str">
        <f aca="false">IF(IFERROR(-INDEX(Expenses!D$3:D$1002,SMALL(IF((Expenses!E$3:E$1002="INR")*(Expenses!A$3:A$1002=DATE(2026,3,28)),ROW(Expenses!A$3:A$1002)-2),4)),0)+IFERROR(INDEX(Income!C$3:C$502,SMALL(IF((Income!D$3:D$502="INR")*(Income!A$3:A$502=DATE(2026,3,28)),ROW(Income!A$3:A$502)-2),4)),0)=0,"",IFERROR(-INDEX(Expenses!D$3:D$1002,SMALL(IF((Expenses!E$3:E$1002="INR")*(Expenses!A$3:A$1002=DATE(2026,3,28)),ROW(Expenses!A$3:A$1002)-2),4)),0)+IFERROR(INDEX(Income!C$3:C$502,SMALL(IF((Income!D$3:D$502="INR")*(Income!A$3:A$502=DATE(2026,3,28)),ROW(Income!A$3:A$502)-2),4)),0))</f>
        <v/>
      </c>
      <c r="N67" s="38" t="str">
        <f aca="false">IF(IFERROR(INDEX(Expenses!B$3:B$1002,SMALL(IF((Expenses!E$3:E$1002="INR")*(Expenses!A$3:A$1002=DATE(2026,3,28)),ROW(Expenses!A$3:A$1002)-2),4)),"")&lt;&gt;"",IFERROR(INDEX(Expenses!B$3:B$1002,SMALL(IF((Expenses!E$3:E$1002="INR")*(Expenses!A$3:A$1002=DATE(2026,3,28)),ROW(Expenses!A$3:A$1002)-2),4)),""),IF(IFERROR(INDEX(Income!B$3:B$502,SMALL(IF((Income!D$3:D$502="INR")*(Income!A$3:A$502=DATE(2026,3,28)),ROW(Income!A$3:A$502)-2),4)),"")&lt;&gt;"",IFERROR(INDEX(Income!B$3:B$502,SMALL(IF((Income!D$3:D$502="INR")*(Income!A$3:A$502=DATE(2026,3,28)),ROW(Income!A$3:A$502)-2),4)),""),""))</f>
        <v/>
      </c>
      <c r="O67" s="63" t="str">
        <f aca="false">IF(IFERROR(-INDEX(Expenses!D$3:D$1002,SMALL(IF((Expenses!E$3:E$1002="INR")*(Expenses!A$3:A$1002=DATE(2026,3,29)),ROW(Expenses!A$3:A$1002)-2),4)),0)+IFERROR(INDEX(Income!C$3:C$502,SMALL(IF((Income!D$3:D$502="INR")*(Income!A$3:A$502=DATE(2026,3,29)),ROW(Income!A$3:A$502)-2),4)),0)=0,"",IFERROR(-INDEX(Expenses!D$3:D$1002,SMALL(IF((Expenses!E$3:E$1002="INR")*(Expenses!A$3:A$1002=DATE(2026,3,29)),ROW(Expenses!A$3:A$1002)-2),4)),0)+IFERROR(INDEX(Income!C$3:C$502,SMALL(IF((Income!D$3:D$502="INR")*(Income!A$3:A$502=DATE(2026,3,29)),ROW(Income!A$3:A$502)-2),4)),0))</f>
        <v/>
      </c>
      <c r="P67" s="38" t="str">
        <f aca="false">IF(IFERROR(INDEX(Expenses!B$3:B$1002,SMALL(IF((Expenses!E$3:E$1002="INR")*(Expenses!A$3:A$1002=DATE(2026,3,29)),ROW(Expenses!A$3:A$1002)-2),4)),"")&lt;&gt;"",IFERROR(INDEX(Expenses!B$3:B$1002,SMALL(IF((Expenses!E$3:E$1002="INR")*(Expenses!A$3:A$1002=DATE(2026,3,29)),ROW(Expenses!A$3:A$1002)-2),4)),""),IF(IFERROR(INDEX(Income!B$3:B$502,SMALL(IF((Income!D$3:D$502="INR")*(Income!A$3:A$502=DATE(2026,3,29)),ROW(Income!A$3:A$502)-2),4)),"")&lt;&gt;"",IFERROR(INDEX(Income!B$3:B$502,SMALL(IF((Income!D$3:D$502="INR")*(Income!A$3:A$502=DATE(2026,3,29)),ROW(Income!A$3:A$502)-2),4)),""),""))</f>
        <v/>
      </c>
      <c r="Q67" s="16"/>
      <c r="R67" s="16"/>
    </row>
    <row r="68" customFormat="false" ht="15" hidden="false" customHeight="false" outlineLevel="0" collapsed="false">
      <c r="A68" s="16"/>
      <c r="B68" s="16"/>
      <c r="C68" s="63" t="str">
        <f aca="false">IF(IFERROR(-INDEX(Expenses!D$3:D$1002,SMALL(IF((Expenses!E$3:E$1002="INR")*(Expenses!A$3:A$1002=DATE(2026,3,23)),ROW(Expenses!A$3:A$1002)-2),5)),0)+IFERROR(INDEX(Income!C$3:C$502,SMALL(IF((Income!D$3:D$502="INR")*(Income!A$3:A$502=DATE(2026,3,23)),ROW(Income!A$3:A$502)-2),5)),0)=0,"",IFERROR(-INDEX(Expenses!D$3:D$1002,SMALL(IF((Expenses!E$3:E$1002="INR")*(Expenses!A$3:A$1002=DATE(2026,3,23)),ROW(Expenses!A$3:A$1002)-2),5)),0)+IFERROR(INDEX(Income!C$3:C$502,SMALL(IF((Income!D$3:D$502="INR")*(Income!A$3:A$502=DATE(2026,3,23)),ROW(Income!A$3:A$502)-2),5)),0))</f>
        <v/>
      </c>
      <c r="D68" s="38" t="str">
        <f aca="false">IF(IFERROR(INDEX(Expenses!B$3:B$1002,SMALL(IF((Expenses!E$3:E$1002="INR")*(Expenses!A$3:A$1002=DATE(2026,3,23)),ROW(Expenses!A$3:A$1002)-2),5)),"")&lt;&gt;"",IFERROR(INDEX(Expenses!B$3:B$1002,SMALL(IF((Expenses!E$3:E$1002="INR")*(Expenses!A$3:A$1002=DATE(2026,3,23)),ROW(Expenses!A$3:A$1002)-2),5)),""),IF(IFERROR(INDEX(Income!B$3:B$502,SMALL(IF((Income!D$3:D$502="INR")*(Income!A$3:A$502=DATE(2026,3,23)),ROW(Income!A$3:A$502)-2),5)),"")&lt;&gt;"",IFERROR(INDEX(Income!B$3:B$502,SMALL(IF((Income!D$3:D$502="INR")*(Income!A$3:A$502=DATE(2026,3,23)),ROW(Income!A$3:A$502)-2),5)),""),""))</f>
        <v/>
      </c>
      <c r="E68" s="63" t="str">
        <f aca="false">IF(IFERROR(-INDEX(Expenses!D$3:D$1002,SMALL(IF((Expenses!E$3:E$1002="INR")*(Expenses!A$3:A$1002=DATE(2026,3,24)),ROW(Expenses!A$3:A$1002)-2),5)),0)+IFERROR(INDEX(Income!C$3:C$502,SMALL(IF((Income!D$3:D$502="INR")*(Income!A$3:A$502=DATE(2026,3,24)),ROW(Income!A$3:A$502)-2),5)),0)=0,"",IFERROR(-INDEX(Expenses!D$3:D$1002,SMALL(IF((Expenses!E$3:E$1002="INR")*(Expenses!A$3:A$1002=DATE(2026,3,24)),ROW(Expenses!A$3:A$1002)-2),5)),0)+IFERROR(INDEX(Income!C$3:C$502,SMALL(IF((Income!D$3:D$502="INR")*(Income!A$3:A$502=DATE(2026,3,24)),ROW(Income!A$3:A$502)-2),5)),0))</f>
        <v/>
      </c>
      <c r="F68" s="38" t="str">
        <f aca="false">IF(IFERROR(INDEX(Expenses!B$3:B$1002,SMALL(IF((Expenses!E$3:E$1002="INR")*(Expenses!A$3:A$1002=DATE(2026,3,24)),ROW(Expenses!A$3:A$1002)-2),5)),"")&lt;&gt;"",IFERROR(INDEX(Expenses!B$3:B$1002,SMALL(IF((Expenses!E$3:E$1002="INR")*(Expenses!A$3:A$1002=DATE(2026,3,24)),ROW(Expenses!A$3:A$1002)-2),5)),""),IF(IFERROR(INDEX(Income!B$3:B$502,SMALL(IF((Income!D$3:D$502="INR")*(Income!A$3:A$502=DATE(2026,3,24)),ROW(Income!A$3:A$502)-2),5)),"")&lt;&gt;"",IFERROR(INDEX(Income!B$3:B$502,SMALL(IF((Income!D$3:D$502="INR")*(Income!A$3:A$502=DATE(2026,3,24)),ROW(Income!A$3:A$502)-2),5)),""),""))</f>
        <v/>
      </c>
      <c r="G68" s="63" t="str">
        <f aca="false">IF(IFERROR(-INDEX(Expenses!D$3:D$1002,SMALL(IF((Expenses!E$3:E$1002="INR")*(Expenses!A$3:A$1002=DATE(2026,3,25)),ROW(Expenses!A$3:A$1002)-2),5)),0)+IFERROR(INDEX(Income!C$3:C$502,SMALL(IF((Income!D$3:D$502="INR")*(Income!A$3:A$502=DATE(2026,3,25)),ROW(Income!A$3:A$502)-2),5)),0)=0,"",IFERROR(-INDEX(Expenses!D$3:D$1002,SMALL(IF((Expenses!E$3:E$1002="INR")*(Expenses!A$3:A$1002=DATE(2026,3,25)),ROW(Expenses!A$3:A$1002)-2),5)),0)+IFERROR(INDEX(Income!C$3:C$502,SMALL(IF((Income!D$3:D$502="INR")*(Income!A$3:A$502=DATE(2026,3,25)),ROW(Income!A$3:A$502)-2),5)),0))</f>
        <v/>
      </c>
      <c r="H68" s="38" t="str">
        <f aca="false">IF(IFERROR(INDEX(Expenses!B$3:B$1002,SMALL(IF((Expenses!E$3:E$1002="INR")*(Expenses!A$3:A$1002=DATE(2026,3,25)),ROW(Expenses!A$3:A$1002)-2),5)),"")&lt;&gt;"",IFERROR(INDEX(Expenses!B$3:B$1002,SMALL(IF((Expenses!E$3:E$1002="INR")*(Expenses!A$3:A$1002=DATE(2026,3,25)),ROW(Expenses!A$3:A$1002)-2),5)),""),IF(IFERROR(INDEX(Income!B$3:B$502,SMALL(IF((Income!D$3:D$502="INR")*(Income!A$3:A$502=DATE(2026,3,25)),ROW(Income!A$3:A$502)-2),5)),"")&lt;&gt;"",IFERROR(INDEX(Income!B$3:B$502,SMALL(IF((Income!D$3:D$502="INR")*(Income!A$3:A$502=DATE(2026,3,25)),ROW(Income!A$3:A$502)-2),5)),""),""))</f>
        <v/>
      </c>
      <c r="I68" s="63" t="str">
        <f aca="false">IF(IFERROR(-INDEX(Expenses!D$3:D$1002,SMALL(IF((Expenses!E$3:E$1002="INR")*(Expenses!A$3:A$1002=DATE(2026,3,26)),ROW(Expenses!A$3:A$1002)-2),5)),0)+IFERROR(INDEX(Income!C$3:C$502,SMALL(IF((Income!D$3:D$502="INR")*(Income!A$3:A$502=DATE(2026,3,26)),ROW(Income!A$3:A$502)-2),5)),0)=0,"",IFERROR(-INDEX(Expenses!D$3:D$1002,SMALL(IF((Expenses!E$3:E$1002="INR")*(Expenses!A$3:A$1002=DATE(2026,3,26)),ROW(Expenses!A$3:A$1002)-2),5)),0)+IFERROR(INDEX(Income!C$3:C$502,SMALL(IF((Income!D$3:D$502="INR")*(Income!A$3:A$502=DATE(2026,3,26)),ROW(Income!A$3:A$502)-2),5)),0))</f>
        <v/>
      </c>
      <c r="J68" s="38" t="str">
        <f aca="false">IF(IFERROR(INDEX(Expenses!B$3:B$1002,SMALL(IF((Expenses!E$3:E$1002="INR")*(Expenses!A$3:A$1002=DATE(2026,3,26)),ROW(Expenses!A$3:A$1002)-2),5)),"")&lt;&gt;"",IFERROR(INDEX(Expenses!B$3:B$1002,SMALL(IF((Expenses!E$3:E$1002="INR")*(Expenses!A$3:A$1002=DATE(2026,3,26)),ROW(Expenses!A$3:A$1002)-2),5)),""),IF(IFERROR(INDEX(Income!B$3:B$502,SMALL(IF((Income!D$3:D$502="INR")*(Income!A$3:A$502=DATE(2026,3,26)),ROW(Income!A$3:A$502)-2),5)),"")&lt;&gt;"",IFERROR(INDEX(Income!B$3:B$502,SMALL(IF((Income!D$3:D$502="INR")*(Income!A$3:A$502=DATE(2026,3,26)),ROW(Income!A$3:A$502)-2),5)),""),""))</f>
        <v/>
      </c>
      <c r="K68" s="63" t="str">
        <f aca="false">IF(IFERROR(-INDEX(Expenses!D$3:D$1002,SMALL(IF((Expenses!E$3:E$1002="INR")*(Expenses!A$3:A$1002=DATE(2026,3,27)),ROW(Expenses!A$3:A$1002)-2),5)),0)+IFERROR(INDEX(Income!C$3:C$502,SMALL(IF((Income!D$3:D$502="INR")*(Income!A$3:A$502=DATE(2026,3,27)),ROW(Income!A$3:A$502)-2),5)),0)=0,"",IFERROR(-INDEX(Expenses!D$3:D$1002,SMALL(IF((Expenses!E$3:E$1002="INR")*(Expenses!A$3:A$1002=DATE(2026,3,27)),ROW(Expenses!A$3:A$1002)-2),5)),0)+IFERROR(INDEX(Income!C$3:C$502,SMALL(IF((Income!D$3:D$502="INR")*(Income!A$3:A$502=DATE(2026,3,27)),ROW(Income!A$3:A$502)-2),5)),0))</f>
        <v/>
      </c>
      <c r="L68" s="38" t="str">
        <f aca="false">IF(IFERROR(INDEX(Expenses!B$3:B$1002,SMALL(IF((Expenses!E$3:E$1002="INR")*(Expenses!A$3:A$1002=DATE(2026,3,27)),ROW(Expenses!A$3:A$1002)-2),5)),"")&lt;&gt;"",IFERROR(INDEX(Expenses!B$3:B$1002,SMALL(IF((Expenses!E$3:E$1002="INR")*(Expenses!A$3:A$1002=DATE(2026,3,27)),ROW(Expenses!A$3:A$1002)-2),5)),""),IF(IFERROR(INDEX(Income!B$3:B$502,SMALL(IF((Income!D$3:D$502="INR")*(Income!A$3:A$502=DATE(2026,3,27)),ROW(Income!A$3:A$502)-2),5)),"")&lt;&gt;"",IFERROR(INDEX(Income!B$3:B$502,SMALL(IF((Income!D$3:D$502="INR")*(Income!A$3:A$502=DATE(2026,3,27)),ROW(Income!A$3:A$502)-2),5)),""),""))</f>
        <v/>
      </c>
      <c r="M68" s="63" t="str">
        <f aca="false">IF(IFERROR(-INDEX(Expenses!D$3:D$1002,SMALL(IF((Expenses!E$3:E$1002="INR")*(Expenses!A$3:A$1002=DATE(2026,3,28)),ROW(Expenses!A$3:A$1002)-2),5)),0)+IFERROR(INDEX(Income!C$3:C$502,SMALL(IF((Income!D$3:D$502="INR")*(Income!A$3:A$502=DATE(2026,3,28)),ROW(Income!A$3:A$502)-2),5)),0)=0,"",IFERROR(-INDEX(Expenses!D$3:D$1002,SMALL(IF((Expenses!E$3:E$1002="INR")*(Expenses!A$3:A$1002=DATE(2026,3,28)),ROW(Expenses!A$3:A$1002)-2),5)),0)+IFERROR(INDEX(Income!C$3:C$502,SMALL(IF((Income!D$3:D$502="INR")*(Income!A$3:A$502=DATE(2026,3,28)),ROW(Income!A$3:A$502)-2),5)),0))</f>
        <v/>
      </c>
      <c r="N68" s="38" t="str">
        <f aca="false">IF(IFERROR(INDEX(Expenses!B$3:B$1002,SMALL(IF((Expenses!E$3:E$1002="INR")*(Expenses!A$3:A$1002=DATE(2026,3,28)),ROW(Expenses!A$3:A$1002)-2),5)),"")&lt;&gt;"",IFERROR(INDEX(Expenses!B$3:B$1002,SMALL(IF((Expenses!E$3:E$1002="INR")*(Expenses!A$3:A$1002=DATE(2026,3,28)),ROW(Expenses!A$3:A$1002)-2),5)),""),IF(IFERROR(INDEX(Income!B$3:B$502,SMALL(IF((Income!D$3:D$502="INR")*(Income!A$3:A$502=DATE(2026,3,28)),ROW(Income!A$3:A$502)-2),5)),"")&lt;&gt;"",IFERROR(INDEX(Income!B$3:B$502,SMALL(IF((Income!D$3:D$502="INR")*(Income!A$3:A$502=DATE(2026,3,28)),ROW(Income!A$3:A$502)-2),5)),""),""))</f>
        <v/>
      </c>
      <c r="O68" s="63" t="str">
        <f aca="false">IF(IFERROR(-INDEX(Expenses!D$3:D$1002,SMALL(IF((Expenses!E$3:E$1002="INR")*(Expenses!A$3:A$1002=DATE(2026,3,29)),ROW(Expenses!A$3:A$1002)-2),5)),0)+IFERROR(INDEX(Income!C$3:C$502,SMALL(IF((Income!D$3:D$502="INR")*(Income!A$3:A$502=DATE(2026,3,29)),ROW(Income!A$3:A$502)-2),5)),0)=0,"",IFERROR(-INDEX(Expenses!D$3:D$1002,SMALL(IF((Expenses!E$3:E$1002="INR")*(Expenses!A$3:A$1002=DATE(2026,3,29)),ROW(Expenses!A$3:A$1002)-2),5)),0)+IFERROR(INDEX(Income!C$3:C$502,SMALL(IF((Income!D$3:D$502="INR")*(Income!A$3:A$502=DATE(2026,3,29)),ROW(Income!A$3:A$502)-2),5)),0))</f>
        <v/>
      </c>
      <c r="P68" s="38" t="str">
        <f aca="false">IF(IFERROR(INDEX(Expenses!B$3:B$1002,SMALL(IF((Expenses!E$3:E$1002="INR")*(Expenses!A$3:A$1002=DATE(2026,3,29)),ROW(Expenses!A$3:A$1002)-2),5)),"")&lt;&gt;"",IFERROR(INDEX(Expenses!B$3:B$1002,SMALL(IF((Expenses!E$3:E$1002="INR")*(Expenses!A$3:A$1002=DATE(2026,3,29)),ROW(Expenses!A$3:A$1002)-2),5)),""),IF(IFERROR(INDEX(Income!B$3:B$502,SMALL(IF((Income!D$3:D$502="INR")*(Income!A$3:A$502=DATE(2026,3,29)),ROW(Income!A$3:A$502)-2),5)),"")&lt;&gt;"",IFERROR(INDEX(Income!B$3:B$502,SMALL(IF((Income!D$3:D$502="INR")*(Income!A$3:A$502=DATE(2026,3,29)),ROW(Income!A$3:A$502)-2),5)),""),""))</f>
        <v/>
      </c>
      <c r="Q68" s="16"/>
      <c r="R68" s="16"/>
    </row>
    <row r="69" customFormat="false" ht="15" hidden="false" customHeight="false" outlineLevel="0" collapsed="false">
      <c r="A69" s="61" t="n">
        <v>46111</v>
      </c>
      <c r="B69" s="3" t="n">
        <v>14</v>
      </c>
      <c r="C69" s="63" t="str">
        <f aca="false">IF(IFERROR(-INDEX(Expenses!D$3:D$1002,SMALL(IF((Expenses!E$3:E$1002="INR")*(Expenses!A$3:A$1002=DATE(2026,3,30)),ROW(Expenses!A$3:A$1002)-2),1)),0)+IFERROR(INDEX(Income!C$3:C$502,SMALL(IF((Income!D$3:D$502="INR")*(Income!A$3:A$502=DATE(2026,3,30)),ROW(Income!A$3:A$502)-2),1)),0)=0,"",IFERROR(-INDEX(Expenses!D$3:D$1002,SMALL(IF((Expenses!E$3:E$1002="INR")*(Expenses!A$3:A$1002=DATE(2026,3,30)),ROW(Expenses!A$3:A$1002)-2),1)),0)+IFERROR(INDEX(Income!C$3:C$502,SMALL(IF((Income!D$3:D$502="INR")*(Income!A$3:A$502=DATE(2026,3,30)),ROW(Income!A$3:A$502)-2),1)),0))</f>
        <v/>
      </c>
      <c r="D69" s="38" t="str">
        <f aca="false">IF(IFERROR(INDEX(Expenses!B$3:B$1002,SMALL(IF((Expenses!E$3:E$1002="INR")*(Expenses!A$3:A$1002=DATE(2026,3,30)),ROW(Expenses!A$3:A$1002)-2),1)),"")&lt;&gt;"",IFERROR(INDEX(Expenses!B$3:B$1002,SMALL(IF((Expenses!E$3:E$1002="INR")*(Expenses!A$3:A$1002=DATE(2026,3,30)),ROW(Expenses!A$3:A$1002)-2),1)),""),IF(IFERROR(INDEX(Income!B$3:B$502,SMALL(IF((Income!D$3:D$502="INR")*(Income!A$3:A$502=DATE(2026,3,30)),ROW(Income!A$3:A$502)-2),1)),"")&lt;&gt;"",IFERROR(INDEX(Income!B$3:B$502,SMALL(IF((Income!D$3:D$502="INR")*(Income!A$3:A$502=DATE(2026,3,30)),ROW(Income!A$3:A$502)-2),1)),""),""))</f>
        <v/>
      </c>
      <c r="E69" s="63" t="str">
        <f aca="false">IF(IFERROR(-INDEX(Expenses!D$3:D$1002,SMALL(IF((Expenses!E$3:E$1002="INR")*(Expenses!A$3:A$1002=DATE(2026,3,31)),ROW(Expenses!A$3:A$1002)-2),1)),0)+IFERROR(INDEX(Income!C$3:C$502,SMALL(IF((Income!D$3:D$502="INR")*(Income!A$3:A$502=DATE(2026,3,31)),ROW(Income!A$3:A$502)-2),1)),0)=0,"",IFERROR(-INDEX(Expenses!D$3:D$1002,SMALL(IF((Expenses!E$3:E$1002="INR")*(Expenses!A$3:A$1002=DATE(2026,3,31)),ROW(Expenses!A$3:A$1002)-2),1)),0)+IFERROR(INDEX(Income!C$3:C$502,SMALL(IF((Income!D$3:D$502="INR")*(Income!A$3:A$502=DATE(2026,3,31)),ROW(Income!A$3:A$502)-2),1)),0))</f>
        <v/>
      </c>
      <c r="F69" s="38" t="str">
        <f aca="false">IF(IFERROR(INDEX(Expenses!B$3:B$1002,SMALL(IF((Expenses!E$3:E$1002="INR")*(Expenses!A$3:A$1002=DATE(2026,3,31)),ROW(Expenses!A$3:A$1002)-2),1)),"")&lt;&gt;"",IFERROR(INDEX(Expenses!B$3:B$1002,SMALL(IF((Expenses!E$3:E$1002="INR")*(Expenses!A$3:A$1002=DATE(2026,3,31)),ROW(Expenses!A$3:A$1002)-2),1)),""),IF(IFERROR(INDEX(Income!B$3:B$502,SMALL(IF((Income!D$3:D$502="INR")*(Income!A$3:A$502=DATE(2026,3,31)),ROW(Income!A$3:A$502)-2),1)),"")&lt;&gt;"",IFERROR(INDEX(Income!B$3:B$502,SMALL(IF((Income!D$3:D$502="INR")*(Income!A$3:A$502=DATE(2026,3,31)),ROW(Income!A$3:A$502)-2),1)),""),""))</f>
        <v/>
      </c>
      <c r="G69" s="63" t="str">
        <f aca="false">IF(IFERROR(-INDEX(Expenses!D$3:D$1002,SMALL(IF((Expenses!E$3:E$1002="INR")*(Expenses!A$3:A$1002=DATE(2026,4,1)),ROW(Expenses!A$3:A$1002)-2),1)),0)+IFERROR(INDEX(Income!C$3:C$502,SMALL(IF((Income!D$3:D$502="INR")*(Income!A$3:A$502=DATE(2026,4,1)),ROW(Income!A$3:A$502)-2),1)),0)=0,"",IFERROR(-INDEX(Expenses!D$3:D$1002,SMALL(IF((Expenses!E$3:E$1002="INR")*(Expenses!A$3:A$1002=DATE(2026,4,1)),ROW(Expenses!A$3:A$1002)-2),1)),0)+IFERROR(INDEX(Income!C$3:C$502,SMALL(IF((Income!D$3:D$502="INR")*(Income!A$3:A$502=DATE(2026,4,1)),ROW(Income!A$3:A$502)-2),1)),0))</f>
        <v/>
      </c>
      <c r="H69" s="38" t="str">
        <f aca="false">IF(IFERROR(INDEX(Expenses!B$3:B$1002,SMALL(IF((Expenses!E$3:E$1002="INR")*(Expenses!A$3:A$1002=DATE(2026,4,1)),ROW(Expenses!A$3:A$1002)-2),1)),"")&lt;&gt;"",IFERROR(INDEX(Expenses!B$3:B$1002,SMALL(IF((Expenses!E$3:E$1002="INR")*(Expenses!A$3:A$1002=DATE(2026,4,1)),ROW(Expenses!A$3:A$1002)-2),1)),""),IF(IFERROR(INDEX(Income!B$3:B$502,SMALL(IF((Income!D$3:D$502="INR")*(Income!A$3:A$502=DATE(2026,4,1)),ROW(Income!A$3:A$502)-2),1)),"")&lt;&gt;"",IFERROR(INDEX(Income!B$3:B$502,SMALL(IF((Income!D$3:D$502="INR")*(Income!A$3:A$502=DATE(2026,4,1)),ROW(Income!A$3:A$502)-2),1)),""),""))</f>
        <v/>
      </c>
      <c r="I69" s="63" t="str">
        <f aca="false">IF(IFERROR(-INDEX(Expenses!D$3:D$1002,SMALL(IF((Expenses!E$3:E$1002="INR")*(Expenses!A$3:A$1002=DATE(2026,4,2)),ROW(Expenses!A$3:A$1002)-2),1)),0)+IFERROR(INDEX(Income!C$3:C$502,SMALL(IF((Income!D$3:D$502="INR")*(Income!A$3:A$502=DATE(2026,4,2)),ROW(Income!A$3:A$502)-2),1)),0)=0,"",IFERROR(-INDEX(Expenses!D$3:D$1002,SMALL(IF((Expenses!E$3:E$1002="INR")*(Expenses!A$3:A$1002=DATE(2026,4,2)),ROW(Expenses!A$3:A$1002)-2),1)),0)+IFERROR(INDEX(Income!C$3:C$502,SMALL(IF((Income!D$3:D$502="INR")*(Income!A$3:A$502=DATE(2026,4,2)),ROW(Income!A$3:A$502)-2),1)),0))</f>
        <v/>
      </c>
      <c r="J69" s="38" t="str">
        <f aca="false">IF(IFERROR(INDEX(Expenses!B$3:B$1002,SMALL(IF((Expenses!E$3:E$1002="INR")*(Expenses!A$3:A$1002=DATE(2026,4,2)),ROW(Expenses!A$3:A$1002)-2),1)),"")&lt;&gt;"",IFERROR(INDEX(Expenses!B$3:B$1002,SMALL(IF((Expenses!E$3:E$1002="INR")*(Expenses!A$3:A$1002=DATE(2026,4,2)),ROW(Expenses!A$3:A$1002)-2),1)),""),IF(IFERROR(INDEX(Income!B$3:B$502,SMALL(IF((Income!D$3:D$502="INR")*(Income!A$3:A$502=DATE(2026,4,2)),ROW(Income!A$3:A$502)-2),1)),"")&lt;&gt;"",IFERROR(INDEX(Income!B$3:B$502,SMALL(IF((Income!D$3:D$502="INR")*(Income!A$3:A$502=DATE(2026,4,2)),ROW(Income!A$3:A$502)-2),1)),""),""))</f>
        <v/>
      </c>
      <c r="K69" s="63" t="str">
        <f aca="false">IF(IFERROR(-INDEX(Expenses!D$3:D$1002,SMALL(IF((Expenses!E$3:E$1002="INR")*(Expenses!A$3:A$1002=DATE(2026,4,3)),ROW(Expenses!A$3:A$1002)-2),1)),0)+IFERROR(INDEX(Income!C$3:C$502,SMALL(IF((Income!D$3:D$502="INR")*(Income!A$3:A$502=DATE(2026,4,3)),ROW(Income!A$3:A$502)-2),1)),0)=0,"",IFERROR(-INDEX(Expenses!D$3:D$1002,SMALL(IF((Expenses!E$3:E$1002="INR")*(Expenses!A$3:A$1002=DATE(2026,4,3)),ROW(Expenses!A$3:A$1002)-2),1)),0)+IFERROR(INDEX(Income!C$3:C$502,SMALL(IF((Income!D$3:D$502="INR")*(Income!A$3:A$502=DATE(2026,4,3)),ROW(Income!A$3:A$502)-2),1)),0))</f>
        <v/>
      </c>
      <c r="L69" s="38" t="str">
        <f aca="false">IF(IFERROR(INDEX(Expenses!B$3:B$1002,SMALL(IF((Expenses!E$3:E$1002="INR")*(Expenses!A$3:A$1002=DATE(2026,4,3)),ROW(Expenses!A$3:A$1002)-2),1)),"")&lt;&gt;"",IFERROR(INDEX(Expenses!B$3:B$1002,SMALL(IF((Expenses!E$3:E$1002="INR")*(Expenses!A$3:A$1002=DATE(2026,4,3)),ROW(Expenses!A$3:A$1002)-2),1)),""),IF(IFERROR(INDEX(Income!B$3:B$502,SMALL(IF((Income!D$3:D$502="INR")*(Income!A$3:A$502=DATE(2026,4,3)),ROW(Income!A$3:A$502)-2),1)),"")&lt;&gt;"",IFERROR(INDEX(Income!B$3:B$502,SMALL(IF((Income!D$3:D$502="INR")*(Income!A$3:A$502=DATE(2026,4,3)),ROW(Income!A$3:A$502)-2),1)),""),""))</f>
        <v/>
      </c>
      <c r="M69" s="63" t="str">
        <f aca="false">IF(IFERROR(-INDEX(Expenses!D$3:D$1002,SMALL(IF((Expenses!E$3:E$1002="INR")*(Expenses!A$3:A$1002=DATE(2026,4,4)),ROW(Expenses!A$3:A$1002)-2),1)),0)+IFERROR(INDEX(Income!C$3:C$502,SMALL(IF((Income!D$3:D$502="INR")*(Income!A$3:A$502=DATE(2026,4,4)),ROW(Income!A$3:A$502)-2),1)),0)=0,"",IFERROR(-INDEX(Expenses!D$3:D$1002,SMALL(IF((Expenses!E$3:E$1002="INR")*(Expenses!A$3:A$1002=DATE(2026,4,4)),ROW(Expenses!A$3:A$1002)-2),1)),0)+IFERROR(INDEX(Income!C$3:C$502,SMALL(IF((Income!D$3:D$502="INR")*(Income!A$3:A$502=DATE(2026,4,4)),ROW(Income!A$3:A$502)-2),1)),0))</f>
        <v/>
      </c>
      <c r="N69" s="38" t="str">
        <f aca="false">IF(IFERROR(INDEX(Expenses!B$3:B$1002,SMALL(IF((Expenses!E$3:E$1002="INR")*(Expenses!A$3:A$1002=DATE(2026,4,4)),ROW(Expenses!A$3:A$1002)-2),1)),"")&lt;&gt;"",IFERROR(INDEX(Expenses!B$3:B$1002,SMALL(IF((Expenses!E$3:E$1002="INR")*(Expenses!A$3:A$1002=DATE(2026,4,4)),ROW(Expenses!A$3:A$1002)-2),1)),""),IF(IFERROR(INDEX(Income!B$3:B$502,SMALL(IF((Income!D$3:D$502="INR")*(Income!A$3:A$502=DATE(2026,4,4)),ROW(Income!A$3:A$502)-2),1)),"")&lt;&gt;"",IFERROR(INDEX(Income!B$3:B$502,SMALL(IF((Income!D$3:D$502="INR")*(Income!A$3:A$502=DATE(2026,4,4)),ROW(Income!A$3:A$502)-2),1)),""),""))</f>
        <v/>
      </c>
      <c r="O69" s="63" t="str">
        <f aca="false">IF(IFERROR(-INDEX(Expenses!D$3:D$1002,SMALL(IF((Expenses!E$3:E$1002="INR")*(Expenses!A$3:A$1002=DATE(2026,4,5)),ROW(Expenses!A$3:A$1002)-2),1)),0)+IFERROR(INDEX(Income!C$3:C$502,SMALL(IF((Income!D$3:D$502="INR")*(Income!A$3:A$502=DATE(2026,4,5)),ROW(Income!A$3:A$502)-2),1)),0)=0,"",IFERROR(-INDEX(Expenses!D$3:D$1002,SMALL(IF((Expenses!E$3:E$1002="INR")*(Expenses!A$3:A$1002=DATE(2026,4,5)),ROW(Expenses!A$3:A$1002)-2),1)),0)+IFERROR(INDEX(Income!C$3:C$502,SMALL(IF((Income!D$3:D$502="INR")*(Income!A$3:A$502=DATE(2026,4,5)),ROW(Income!A$3:A$502)-2),1)),0))</f>
        <v/>
      </c>
      <c r="P69" s="38" t="str">
        <f aca="false">IF(IFERROR(INDEX(Expenses!B$3:B$1002,SMALL(IF((Expenses!E$3:E$1002="INR")*(Expenses!A$3:A$1002=DATE(2026,4,5)),ROW(Expenses!A$3:A$1002)-2),1)),"")&lt;&gt;"",IFERROR(INDEX(Expenses!B$3:B$1002,SMALL(IF((Expenses!E$3:E$1002="INR")*(Expenses!A$3:A$1002=DATE(2026,4,5)),ROW(Expenses!A$3:A$1002)-2),1)),""),IF(IFERROR(INDEX(Income!B$3:B$502,SMALL(IF((Income!D$3:D$502="INR")*(Income!A$3:A$502=DATE(2026,4,5)),ROW(Income!A$3:A$502)-2),1)),"")&lt;&gt;"",IFERROR(INDEX(Income!B$3:B$502,SMALL(IF((Income!D$3:D$502="INR")*(Income!A$3:A$502=DATE(2026,4,5)),ROW(Income!A$3:A$502)-2),1)),""),""))</f>
        <v/>
      </c>
      <c r="Q69" s="3" t="n">
        <v>14</v>
      </c>
      <c r="R69" s="53" t="n">
        <f aca="false">SUM(C69:C73)+SUM(E69:E73)+SUM(G69:G73)+SUM(I69:I73)+SUM(K69:K73)+SUM(M69:M73)+SUM(O69:O73)</f>
        <v>0</v>
      </c>
    </row>
    <row r="70" customFormat="false" ht="15" hidden="false" customHeight="false" outlineLevel="0" collapsed="false">
      <c r="A70" s="16"/>
      <c r="B70" s="16"/>
      <c r="C70" s="63" t="str">
        <f aca="false">IF(IFERROR(-INDEX(Expenses!D$3:D$1002,SMALL(IF((Expenses!E$3:E$1002="INR")*(Expenses!A$3:A$1002=DATE(2026,3,30)),ROW(Expenses!A$3:A$1002)-2),2)),0)+IFERROR(INDEX(Income!C$3:C$502,SMALL(IF((Income!D$3:D$502="INR")*(Income!A$3:A$502=DATE(2026,3,30)),ROW(Income!A$3:A$502)-2),2)),0)=0,"",IFERROR(-INDEX(Expenses!D$3:D$1002,SMALL(IF((Expenses!E$3:E$1002="INR")*(Expenses!A$3:A$1002=DATE(2026,3,30)),ROW(Expenses!A$3:A$1002)-2),2)),0)+IFERROR(INDEX(Income!C$3:C$502,SMALL(IF((Income!D$3:D$502="INR")*(Income!A$3:A$502=DATE(2026,3,30)),ROW(Income!A$3:A$502)-2),2)),0))</f>
        <v/>
      </c>
      <c r="D70" s="38" t="str">
        <f aca="false">IF(IFERROR(INDEX(Expenses!B$3:B$1002,SMALL(IF((Expenses!E$3:E$1002="INR")*(Expenses!A$3:A$1002=DATE(2026,3,30)),ROW(Expenses!A$3:A$1002)-2),2)),"")&lt;&gt;"",IFERROR(INDEX(Expenses!B$3:B$1002,SMALL(IF((Expenses!E$3:E$1002="INR")*(Expenses!A$3:A$1002=DATE(2026,3,30)),ROW(Expenses!A$3:A$1002)-2),2)),""),IF(IFERROR(INDEX(Income!B$3:B$502,SMALL(IF((Income!D$3:D$502="INR")*(Income!A$3:A$502=DATE(2026,3,30)),ROW(Income!A$3:A$502)-2),2)),"")&lt;&gt;"",IFERROR(INDEX(Income!B$3:B$502,SMALL(IF((Income!D$3:D$502="INR")*(Income!A$3:A$502=DATE(2026,3,30)),ROW(Income!A$3:A$502)-2),2)),""),""))</f>
        <v/>
      </c>
      <c r="E70" s="63" t="str">
        <f aca="false">IF(IFERROR(-INDEX(Expenses!D$3:D$1002,SMALL(IF((Expenses!E$3:E$1002="INR")*(Expenses!A$3:A$1002=DATE(2026,3,31)),ROW(Expenses!A$3:A$1002)-2),2)),0)+IFERROR(INDEX(Income!C$3:C$502,SMALL(IF((Income!D$3:D$502="INR")*(Income!A$3:A$502=DATE(2026,3,31)),ROW(Income!A$3:A$502)-2),2)),0)=0,"",IFERROR(-INDEX(Expenses!D$3:D$1002,SMALL(IF((Expenses!E$3:E$1002="INR")*(Expenses!A$3:A$1002=DATE(2026,3,31)),ROW(Expenses!A$3:A$1002)-2),2)),0)+IFERROR(INDEX(Income!C$3:C$502,SMALL(IF((Income!D$3:D$502="INR")*(Income!A$3:A$502=DATE(2026,3,31)),ROW(Income!A$3:A$502)-2),2)),0))</f>
        <v/>
      </c>
      <c r="F70" s="38" t="str">
        <f aca="false">IF(IFERROR(INDEX(Expenses!B$3:B$1002,SMALL(IF((Expenses!E$3:E$1002="INR")*(Expenses!A$3:A$1002=DATE(2026,3,31)),ROW(Expenses!A$3:A$1002)-2),2)),"")&lt;&gt;"",IFERROR(INDEX(Expenses!B$3:B$1002,SMALL(IF((Expenses!E$3:E$1002="INR")*(Expenses!A$3:A$1002=DATE(2026,3,31)),ROW(Expenses!A$3:A$1002)-2),2)),""),IF(IFERROR(INDEX(Income!B$3:B$502,SMALL(IF((Income!D$3:D$502="INR")*(Income!A$3:A$502=DATE(2026,3,31)),ROW(Income!A$3:A$502)-2),2)),"")&lt;&gt;"",IFERROR(INDEX(Income!B$3:B$502,SMALL(IF((Income!D$3:D$502="INR")*(Income!A$3:A$502=DATE(2026,3,31)),ROW(Income!A$3:A$502)-2),2)),""),""))</f>
        <v/>
      </c>
      <c r="G70" s="63" t="str">
        <f aca="false">IF(IFERROR(-INDEX(Expenses!D$3:D$1002,SMALL(IF((Expenses!E$3:E$1002="INR")*(Expenses!A$3:A$1002=DATE(2026,4,1)),ROW(Expenses!A$3:A$1002)-2),2)),0)+IFERROR(INDEX(Income!C$3:C$502,SMALL(IF((Income!D$3:D$502="INR")*(Income!A$3:A$502=DATE(2026,4,1)),ROW(Income!A$3:A$502)-2),2)),0)=0,"",IFERROR(-INDEX(Expenses!D$3:D$1002,SMALL(IF((Expenses!E$3:E$1002="INR")*(Expenses!A$3:A$1002=DATE(2026,4,1)),ROW(Expenses!A$3:A$1002)-2),2)),0)+IFERROR(INDEX(Income!C$3:C$502,SMALL(IF((Income!D$3:D$502="INR")*(Income!A$3:A$502=DATE(2026,4,1)),ROW(Income!A$3:A$502)-2),2)),0))</f>
        <v/>
      </c>
      <c r="H70" s="38" t="str">
        <f aca="false">IF(IFERROR(INDEX(Expenses!B$3:B$1002,SMALL(IF((Expenses!E$3:E$1002="INR")*(Expenses!A$3:A$1002=DATE(2026,4,1)),ROW(Expenses!A$3:A$1002)-2),2)),"")&lt;&gt;"",IFERROR(INDEX(Expenses!B$3:B$1002,SMALL(IF((Expenses!E$3:E$1002="INR")*(Expenses!A$3:A$1002=DATE(2026,4,1)),ROW(Expenses!A$3:A$1002)-2),2)),""),IF(IFERROR(INDEX(Income!B$3:B$502,SMALL(IF((Income!D$3:D$502="INR")*(Income!A$3:A$502=DATE(2026,4,1)),ROW(Income!A$3:A$502)-2),2)),"")&lt;&gt;"",IFERROR(INDEX(Income!B$3:B$502,SMALL(IF((Income!D$3:D$502="INR")*(Income!A$3:A$502=DATE(2026,4,1)),ROW(Income!A$3:A$502)-2),2)),""),""))</f>
        <v/>
      </c>
      <c r="I70" s="63" t="str">
        <f aca="false">IF(IFERROR(-INDEX(Expenses!D$3:D$1002,SMALL(IF((Expenses!E$3:E$1002="INR")*(Expenses!A$3:A$1002=DATE(2026,4,2)),ROW(Expenses!A$3:A$1002)-2),2)),0)+IFERROR(INDEX(Income!C$3:C$502,SMALL(IF((Income!D$3:D$502="INR")*(Income!A$3:A$502=DATE(2026,4,2)),ROW(Income!A$3:A$502)-2),2)),0)=0,"",IFERROR(-INDEX(Expenses!D$3:D$1002,SMALL(IF((Expenses!E$3:E$1002="INR")*(Expenses!A$3:A$1002=DATE(2026,4,2)),ROW(Expenses!A$3:A$1002)-2),2)),0)+IFERROR(INDEX(Income!C$3:C$502,SMALL(IF((Income!D$3:D$502="INR")*(Income!A$3:A$502=DATE(2026,4,2)),ROW(Income!A$3:A$502)-2),2)),0))</f>
        <v/>
      </c>
      <c r="J70" s="38" t="str">
        <f aca="false">IF(IFERROR(INDEX(Expenses!B$3:B$1002,SMALL(IF((Expenses!E$3:E$1002="INR")*(Expenses!A$3:A$1002=DATE(2026,4,2)),ROW(Expenses!A$3:A$1002)-2),2)),"")&lt;&gt;"",IFERROR(INDEX(Expenses!B$3:B$1002,SMALL(IF((Expenses!E$3:E$1002="INR")*(Expenses!A$3:A$1002=DATE(2026,4,2)),ROW(Expenses!A$3:A$1002)-2),2)),""),IF(IFERROR(INDEX(Income!B$3:B$502,SMALL(IF((Income!D$3:D$502="INR")*(Income!A$3:A$502=DATE(2026,4,2)),ROW(Income!A$3:A$502)-2),2)),"")&lt;&gt;"",IFERROR(INDEX(Income!B$3:B$502,SMALL(IF((Income!D$3:D$502="INR")*(Income!A$3:A$502=DATE(2026,4,2)),ROW(Income!A$3:A$502)-2),2)),""),""))</f>
        <v/>
      </c>
      <c r="K70" s="63" t="str">
        <f aca="false">IF(IFERROR(-INDEX(Expenses!D$3:D$1002,SMALL(IF((Expenses!E$3:E$1002="INR")*(Expenses!A$3:A$1002=DATE(2026,4,3)),ROW(Expenses!A$3:A$1002)-2),2)),0)+IFERROR(INDEX(Income!C$3:C$502,SMALL(IF((Income!D$3:D$502="INR")*(Income!A$3:A$502=DATE(2026,4,3)),ROW(Income!A$3:A$502)-2),2)),0)=0,"",IFERROR(-INDEX(Expenses!D$3:D$1002,SMALL(IF((Expenses!E$3:E$1002="INR")*(Expenses!A$3:A$1002=DATE(2026,4,3)),ROW(Expenses!A$3:A$1002)-2),2)),0)+IFERROR(INDEX(Income!C$3:C$502,SMALL(IF((Income!D$3:D$502="INR")*(Income!A$3:A$502=DATE(2026,4,3)),ROW(Income!A$3:A$502)-2),2)),0))</f>
        <v/>
      </c>
      <c r="L70" s="38" t="str">
        <f aca="false">IF(IFERROR(INDEX(Expenses!B$3:B$1002,SMALL(IF((Expenses!E$3:E$1002="INR")*(Expenses!A$3:A$1002=DATE(2026,4,3)),ROW(Expenses!A$3:A$1002)-2),2)),"")&lt;&gt;"",IFERROR(INDEX(Expenses!B$3:B$1002,SMALL(IF((Expenses!E$3:E$1002="INR")*(Expenses!A$3:A$1002=DATE(2026,4,3)),ROW(Expenses!A$3:A$1002)-2),2)),""),IF(IFERROR(INDEX(Income!B$3:B$502,SMALL(IF((Income!D$3:D$502="INR")*(Income!A$3:A$502=DATE(2026,4,3)),ROW(Income!A$3:A$502)-2),2)),"")&lt;&gt;"",IFERROR(INDEX(Income!B$3:B$502,SMALL(IF((Income!D$3:D$502="INR")*(Income!A$3:A$502=DATE(2026,4,3)),ROW(Income!A$3:A$502)-2),2)),""),""))</f>
        <v/>
      </c>
      <c r="M70" s="63" t="str">
        <f aca="false">IF(IFERROR(-INDEX(Expenses!D$3:D$1002,SMALL(IF((Expenses!E$3:E$1002="INR")*(Expenses!A$3:A$1002=DATE(2026,4,4)),ROW(Expenses!A$3:A$1002)-2),2)),0)+IFERROR(INDEX(Income!C$3:C$502,SMALL(IF((Income!D$3:D$502="INR")*(Income!A$3:A$502=DATE(2026,4,4)),ROW(Income!A$3:A$502)-2),2)),0)=0,"",IFERROR(-INDEX(Expenses!D$3:D$1002,SMALL(IF((Expenses!E$3:E$1002="INR")*(Expenses!A$3:A$1002=DATE(2026,4,4)),ROW(Expenses!A$3:A$1002)-2),2)),0)+IFERROR(INDEX(Income!C$3:C$502,SMALL(IF((Income!D$3:D$502="INR")*(Income!A$3:A$502=DATE(2026,4,4)),ROW(Income!A$3:A$502)-2),2)),0))</f>
        <v/>
      </c>
      <c r="N70" s="38" t="str">
        <f aca="false">IF(IFERROR(INDEX(Expenses!B$3:B$1002,SMALL(IF((Expenses!E$3:E$1002="INR")*(Expenses!A$3:A$1002=DATE(2026,4,4)),ROW(Expenses!A$3:A$1002)-2),2)),"")&lt;&gt;"",IFERROR(INDEX(Expenses!B$3:B$1002,SMALL(IF((Expenses!E$3:E$1002="INR")*(Expenses!A$3:A$1002=DATE(2026,4,4)),ROW(Expenses!A$3:A$1002)-2),2)),""),IF(IFERROR(INDEX(Income!B$3:B$502,SMALL(IF((Income!D$3:D$502="INR")*(Income!A$3:A$502=DATE(2026,4,4)),ROW(Income!A$3:A$502)-2),2)),"")&lt;&gt;"",IFERROR(INDEX(Income!B$3:B$502,SMALL(IF((Income!D$3:D$502="INR")*(Income!A$3:A$502=DATE(2026,4,4)),ROW(Income!A$3:A$502)-2),2)),""),""))</f>
        <v/>
      </c>
      <c r="O70" s="63" t="str">
        <f aca="false">IF(IFERROR(-INDEX(Expenses!D$3:D$1002,SMALL(IF((Expenses!E$3:E$1002="INR")*(Expenses!A$3:A$1002=DATE(2026,4,5)),ROW(Expenses!A$3:A$1002)-2),2)),0)+IFERROR(INDEX(Income!C$3:C$502,SMALL(IF((Income!D$3:D$502="INR")*(Income!A$3:A$502=DATE(2026,4,5)),ROW(Income!A$3:A$502)-2),2)),0)=0,"",IFERROR(-INDEX(Expenses!D$3:D$1002,SMALL(IF((Expenses!E$3:E$1002="INR")*(Expenses!A$3:A$1002=DATE(2026,4,5)),ROW(Expenses!A$3:A$1002)-2),2)),0)+IFERROR(INDEX(Income!C$3:C$502,SMALL(IF((Income!D$3:D$502="INR")*(Income!A$3:A$502=DATE(2026,4,5)),ROW(Income!A$3:A$502)-2),2)),0))</f>
        <v/>
      </c>
      <c r="P70" s="38" t="str">
        <f aca="false">IF(IFERROR(INDEX(Expenses!B$3:B$1002,SMALL(IF((Expenses!E$3:E$1002="INR")*(Expenses!A$3:A$1002=DATE(2026,4,5)),ROW(Expenses!A$3:A$1002)-2),2)),"")&lt;&gt;"",IFERROR(INDEX(Expenses!B$3:B$1002,SMALL(IF((Expenses!E$3:E$1002="INR")*(Expenses!A$3:A$1002=DATE(2026,4,5)),ROW(Expenses!A$3:A$1002)-2),2)),""),IF(IFERROR(INDEX(Income!B$3:B$502,SMALL(IF((Income!D$3:D$502="INR")*(Income!A$3:A$502=DATE(2026,4,5)),ROW(Income!A$3:A$502)-2),2)),"")&lt;&gt;"",IFERROR(INDEX(Income!B$3:B$502,SMALL(IF((Income!D$3:D$502="INR")*(Income!A$3:A$502=DATE(2026,4,5)),ROW(Income!A$3:A$502)-2),2)),""),""))</f>
        <v/>
      </c>
      <c r="Q70" s="16"/>
      <c r="R70" s="16"/>
    </row>
    <row r="71" customFormat="false" ht="15" hidden="false" customHeight="false" outlineLevel="0" collapsed="false">
      <c r="A71" s="16"/>
      <c r="B71" s="16"/>
      <c r="C71" s="63" t="str">
        <f aca="false">IF(IFERROR(-INDEX(Expenses!D$3:D$1002,SMALL(IF((Expenses!E$3:E$1002="INR")*(Expenses!A$3:A$1002=DATE(2026,3,30)),ROW(Expenses!A$3:A$1002)-2),3)),0)+IFERROR(INDEX(Income!C$3:C$502,SMALL(IF((Income!D$3:D$502="INR")*(Income!A$3:A$502=DATE(2026,3,30)),ROW(Income!A$3:A$502)-2),3)),0)=0,"",IFERROR(-INDEX(Expenses!D$3:D$1002,SMALL(IF((Expenses!E$3:E$1002="INR")*(Expenses!A$3:A$1002=DATE(2026,3,30)),ROW(Expenses!A$3:A$1002)-2),3)),0)+IFERROR(INDEX(Income!C$3:C$502,SMALL(IF((Income!D$3:D$502="INR")*(Income!A$3:A$502=DATE(2026,3,30)),ROW(Income!A$3:A$502)-2),3)),0))</f>
        <v/>
      </c>
      <c r="D71" s="38" t="str">
        <f aca="false">IF(IFERROR(INDEX(Expenses!B$3:B$1002,SMALL(IF((Expenses!E$3:E$1002="INR")*(Expenses!A$3:A$1002=DATE(2026,3,30)),ROW(Expenses!A$3:A$1002)-2),3)),"")&lt;&gt;"",IFERROR(INDEX(Expenses!B$3:B$1002,SMALL(IF((Expenses!E$3:E$1002="INR")*(Expenses!A$3:A$1002=DATE(2026,3,30)),ROW(Expenses!A$3:A$1002)-2),3)),""),IF(IFERROR(INDEX(Income!B$3:B$502,SMALL(IF((Income!D$3:D$502="INR")*(Income!A$3:A$502=DATE(2026,3,30)),ROW(Income!A$3:A$502)-2),3)),"")&lt;&gt;"",IFERROR(INDEX(Income!B$3:B$502,SMALL(IF((Income!D$3:D$502="INR")*(Income!A$3:A$502=DATE(2026,3,30)),ROW(Income!A$3:A$502)-2),3)),""),""))</f>
        <v/>
      </c>
      <c r="E71" s="63" t="str">
        <f aca="false">IF(IFERROR(-INDEX(Expenses!D$3:D$1002,SMALL(IF((Expenses!E$3:E$1002="INR")*(Expenses!A$3:A$1002=DATE(2026,3,31)),ROW(Expenses!A$3:A$1002)-2),3)),0)+IFERROR(INDEX(Income!C$3:C$502,SMALL(IF((Income!D$3:D$502="INR")*(Income!A$3:A$502=DATE(2026,3,31)),ROW(Income!A$3:A$502)-2),3)),0)=0,"",IFERROR(-INDEX(Expenses!D$3:D$1002,SMALL(IF((Expenses!E$3:E$1002="INR")*(Expenses!A$3:A$1002=DATE(2026,3,31)),ROW(Expenses!A$3:A$1002)-2),3)),0)+IFERROR(INDEX(Income!C$3:C$502,SMALL(IF((Income!D$3:D$502="INR")*(Income!A$3:A$502=DATE(2026,3,31)),ROW(Income!A$3:A$502)-2),3)),0))</f>
        <v/>
      </c>
      <c r="F71" s="38" t="str">
        <f aca="false">IF(IFERROR(INDEX(Expenses!B$3:B$1002,SMALL(IF((Expenses!E$3:E$1002="INR")*(Expenses!A$3:A$1002=DATE(2026,3,31)),ROW(Expenses!A$3:A$1002)-2),3)),"")&lt;&gt;"",IFERROR(INDEX(Expenses!B$3:B$1002,SMALL(IF((Expenses!E$3:E$1002="INR")*(Expenses!A$3:A$1002=DATE(2026,3,31)),ROW(Expenses!A$3:A$1002)-2),3)),""),IF(IFERROR(INDEX(Income!B$3:B$502,SMALL(IF((Income!D$3:D$502="INR")*(Income!A$3:A$502=DATE(2026,3,31)),ROW(Income!A$3:A$502)-2),3)),"")&lt;&gt;"",IFERROR(INDEX(Income!B$3:B$502,SMALL(IF((Income!D$3:D$502="INR")*(Income!A$3:A$502=DATE(2026,3,31)),ROW(Income!A$3:A$502)-2),3)),""),""))</f>
        <v/>
      </c>
      <c r="G71" s="63" t="str">
        <f aca="false">IF(IFERROR(-INDEX(Expenses!D$3:D$1002,SMALL(IF((Expenses!E$3:E$1002="INR")*(Expenses!A$3:A$1002=DATE(2026,4,1)),ROW(Expenses!A$3:A$1002)-2),3)),0)+IFERROR(INDEX(Income!C$3:C$502,SMALL(IF((Income!D$3:D$502="INR")*(Income!A$3:A$502=DATE(2026,4,1)),ROW(Income!A$3:A$502)-2),3)),0)=0,"",IFERROR(-INDEX(Expenses!D$3:D$1002,SMALL(IF((Expenses!E$3:E$1002="INR")*(Expenses!A$3:A$1002=DATE(2026,4,1)),ROW(Expenses!A$3:A$1002)-2),3)),0)+IFERROR(INDEX(Income!C$3:C$502,SMALL(IF((Income!D$3:D$502="INR")*(Income!A$3:A$502=DATE(2026,4,1)),ROW(Income!A$3:A$502)-2),3)),0))</f>
        <v/>
      </c>
      <c r="H71" s="38" t="str">
        <f aca="false">IF(IFERROR(INDEX(Expenses!B$3:B$1002,SMALL(IF((Expenses!E$3:E$1002="INR")*(Expenses!A$3:A$1002=DATE(2026,4,1)),ROW(Expenses!A$3:A$1002)-2),3)),"")&lt;&gt;"",IFERROR(INDEX(Expenses!B$3:B$1002,SMALL(IF((Expenses!E$3:E$1002="INR")*(Expenses!A$3:A$1002=DATE(2026,4,1)),ROW(Expenses!A$3:A$1002)-2),3)),""),IF(IFERROR(INDEX(Income!B$3:B$502,SMALL(IF((Income!D$3:D$502="INR")*(Income!A$3:A$502=DATE(2026,4,1)),ROW(Income!A$3:A$502)-2),3)),"")&lt;&gt;"",IFERROR(INDEX(Income!B$3:B$502,SMALL(IF((Income!D$3:D$502="INR")*(Income!A$3:A$502=DATE(2026,4,1)),ROW(Income!A$3:A$502)-2),3)),""),""))</f>
        <v/>
      </c>
      <c r="I71" s="63" t="str">
        <f aca="false">IF(IFERROR(-INDEX(Expenses!D$3:D$1002,SMALL(IF((Expenses!E$3:E$1002="INR")*(Expenses!A$3:A$1002=DATE(2026,4,2)),ROW(Expenses!A$3:A$1002)-2),3)),0)+IFERROR(INDEX(Income!C$3:C$502,SMALL(IF((Income!D$3:D$502="INR")*(Income!A$3:A$502=DATE(2026,4,2)),ROW(Income!A$3:A$502)-2),3)),0)=0,"",IFERROR(-INDEX(Expenses!D$3:D$1002,SMALL(IF((Expenses!E$3:E$1002="INR")*(Expenses!A$3:A$1002=DATE(2026,4,2)),ROW(Expenses!A$3:A$1002)-2),3)),0)+IFERROR(INDEX(Income!C$3:C$502,SMALL(IF((Income!D$3:D$502="INR")*(Income!A$3:A$502=DATE(2026,4,2)),ROW(Income!A$3:A$502)-2),3)),0))</f>
        <v/>
      </c>
      <c r="J71" s="38" t="str">
        <f aca="false">IF(IFERROR(INDEX(Expenses!B$3:B$1002,SMALL(IF((Expenses!E$3:E$1002="INR")*(Expenses!A$3:A$1002=DATE(2026,4,2)),ROW(Expenses!A$3:A$1002)-2),3)),"")&lt;&gt;"",IFERROR(INDEX(Expenses!B$3:B$1002,SMALL(IF((Expenses!E$3:E$1002="INR")*(Expenses!A$3:A$1002=DATE(2026,4,2)),ROW(Expenses!A$3:A$1002)-2),3)),""),IF(IFERROR(INDEX(Income!B$3:B$502,SMALL(IF((Income!D$3:D$502="INR")*(Income!A$3:A$502=DATE(2026,4,2)),ROW(Income!A$3:A$502)-2),3)),"")&lt;&gt;"",IFERROR(INDEX(Income!B$3:B$502,SMALL(IF((Income!D$3:D$502="INR")*(Income!A$3:A$502=DATE(2026,4,2)),ROW(Income!A$3:A$502)-2),3)),""),""))</f>
        <v/>
      </c>
      <c r="K71" s="63" t="str">
        <f aca="false">IF(IFERROR(-INDEX(Expenses!D$3:D$1002,SMALL(IF((Expenses!E$3:E$1002="INR")*(Expenses!A$3:A$1002=DATE(2026,4,3)),ROW(Expenses!A$3:A$1002)-2),3)),0)+IFERROR(INDEX(Income!C$3:C$502,SMALL(IF((Income!D$3:D$502="INR")*(Income!A$3:A$502=DATE(2026,4,3)),ROW(Income!A$3:A$502)-2),3)),0)=0,"",IFERROR(-INDEX(Expenses!D$3:D$1002,SMALL(IF((Expenses!E$3:E$1002="INR")*(Expenses!A$3:A$1002=DATE(2026,4,3)),ROW(Expenses!A$3:A$1002)-2),3)),0)+IFERROR(INDEX(Income!C$3:C$502,SMALL(IF((Income!D$3:D$502="INR")*(Income!A$3:A$502=DATE(2026,4,3)),ROW(Income!A$3:A$502)-2),3)),0))</f>
        <v/>
      </c>
      <c r="L71" s="38" t="str">
        <f aca="false">IF(IFERROR(INDEX(Expenses!B$3:B$1002,SMALL(IF((Expenses!E$3:E$1002="INR")*(Expenses!A$3:A$1002=DATE(2026,4,3)),ROW(Expenses!A$3:A$1002)-2),3)),"")&lt;&gt;"",IFERROR(INDEX(Expenses!B$3:B$1002,SMALL(IF((Expenses!E$3:E$1002="INR")*(Expenses!A$3:A$1002=DATE(2026,4,3)),ROW(Expenses!A$3:A$1002)-2),3)),""),IF(IFERROR(INDEX(Income!B$3:B$502,SMALL(IF((Income!D$3:D$502="INR")*(Income!A$3:A$502=DATE(2026,4,3)),ROW(Income!A$3:A$502)-2),3)),"")&lt;&gt;"",IFERROR(INDEX(Income!B$3:B$502,SMALL(IF((Income!D$3:D$502="INR")*(Income!A$3:A$502=DATE(2026,4,3)),ROW(Income!A$3:A$502)-2),3)),""),""))</f>
        <v/>
      </c>
      <c r="M71" s="63" t="str">
        <f aca="false">IF(IFERROR(-INDEX(Expenses!D$3:D$1002,SMALL(IF((Expenses!E$3:E$1002="INR")*(Expenses!A$3:A$1002=DATE(2026,4,4)),ROW(Expenses!A$3:A$1002)-2),3)),0)+IFERROR(INDEX(Income!C$3:C$502,SMALL(IF((Income!D$3:D$502="INR")*(Income!A$3:A$502=DATE(2026,4,4)),ROW(Income!A$3:A$502)-2),3)),0)=0,"",IFERROR(-INDEX(Expenses!D$3:D$1002,SMALL(IF((Expenses!E$3:E$1002="INR")*(Expenses!A$3:A$1002=DATE(2026,4,4)),ROW(Expenses!A$3:A$1002)-2),3)),0)+IFERROR(INDEX(Income!C$3:C$502,SMALL(IF((Income!D$3:D$502="INR")*(Income!A$3:A$502=DATE(2026,4,4)),ROW(Income!A$3:A$502)-2),3)),0))</f>
        <v/>
      </c>
      <c r="N71" s="38" t="str">
        <f aca="false">IF(IFERROR(INDEX(Expenses!B$3:B$1002,SMALL(IF((Expenses!E$3:E$1002="INR")*(Expenses!A$3:A$1002=DATE(2026,4,4)),ROW(Expenses!A$3:A$1002)-2),3)),"")&lt;&gt;"",IFERROR(INDEX(Expenses!B$3:B$1002,SMALL(IF((Expenses!E$3:E$1002="INR")*(Expenses!A$3:A$1002=DATE(2026,4,4)),ROW(Expenses!A$3:A$1002)-2),3)),""),IF(IFERROR(INDEX(Income!B$3:B$502,SMALL(IF((Income!D$3:D$502="INR")*(Income!A$3:A$502=DATE(2026,4,4)),ROW(Income!A$3:A$502)-2),3)),"")&lt;&gt;"",IFERROR(INDEX(Income!B$3:B$502,SMALL(IF((Income!D$3:D$502="INR")*(Income!A$3:A$502=DATE(2026,4,4)),ROW(Income!A$3:A$502)-2),3)),""),""))</f>
        <v/>
      </c>
      <c r="O71" s="63" t="str">
        <f aca="false">IF(IFERROR(-INDEX(Expenses!D$3:D$1002,SMALL(IF((Expenses!E$3:E$1002="INR")*(Expenses!A$3:A$1002=DATE(2026,4,5)),ROW(Expenses!A$3:A$1002)-2),3)),0)+IFERROR(INDEX(Income!C$3:C$502,SMALL(IF((Income!D$3:D$502="INR")*(Income!A$3:A$502=DATE(2026,4,5)),ROW(Income!A$3:A$502)-2),3)),0)=0,"",IFERROR(-INDEX(Expenses!D$3:D$1002,SMALL(IF((Expenses!E$3:E$1002="INR")*(Expenses!A$3:A$1002=DATE(2026,4,5)),ROW(Expenses!A$3:A$1002)-2),3)),0)+IFERROR(INDEX(Income!C$3:C$502,SMALL(IF((Income!D$3:D$502="INR")*(Income!A$3:A$502=DATE(2026,4,5)),ROW(Income!A$3:A$502)-2),3)),0))</f>
        <v/>
      </c>
      <c r="P71" s="38" t="str">
        <f aca="false">IF(IFERROR(INDEX(Expenses!B$3:B$1002,SMALL(IF((Expenses!E$3:E$1002="INR")*(Expenses!A$3:A$1002=DATE(2026,4,5)),ROW(Expenses!A$3:A$1002)-2),3)),"")&lt;&gt;"",IFERROR(INDEX(Expenses!B$3:B$1002,SMALL(IF((Expenses!E$3:E$1002="INR")*(Expenses!A$3:A$1002=DATE(2026,4,5)),ROW(Expenses!A$3:A$1002)-2),3)),""),IF(IFERROR(INDEX(Income!B$3:B$502,SMALL(IF((Income!D$3:D$502="INR")*(Income!A$3:A$502=DATE(2026,4,5)),ROW(Income!A$3:A$502)-2),3)),"")&lt;&gt;"",IFERROR(INDEX(Income!B$3:B$502,SMALL(IF((Income!D$3:D$502="INR")*(Income!A$3:A$502=DATE(2026,4,5)),ROW(Income!A$3:A$502)-2),3)),""),""))</f>
        <v/>
      </c>
      <c r="Q71" s="16"/>
      <c r="R71" s="16"/>
    </row>
    <row r="72" customFormat="false" ht="15" hidden="false" customHeight="false" outlineLevel="0" collapsed="false">
      <c r="A72" s="16"/>
      <c r="B72" s="16"/>
      <c r="C72" s="63" t="str">
        <f aca="false">IF(IFERROR(-INDEX(Expenses!D$3:D$1002,SMALL(IF((Expenses!E$3:E$1002="INR")*(Expenses!A$3:A$1002=DATE(2026,3,30)),ROW(Expenses!A$3:A$1002)-2),4)),0)+IFERROR(INDEX(Income!C$3:C$502,SMALL(IF((Income!D$3:D$502="INR")*(Income!A$3:A$502=DATE(2026,3,30)),ROW(Income!A$3:A$502)-2),4)),0)=0,"",IFERROR(-INDEX(Expenses!D$3:D$1002,SMALL(IF((Expenses!E$3:E$1002="INR")*(Expenses!A$3:A$1002=DATE(2026,3,30)),ROW(Expenses!A$3:A$1002)-2),4)),0)+IFERROR(INDEX(Income!C$3:C$502,SMALL(IF((Income!D$3:D$502="INR")*(Income!A$3:A$502=DATE(2026,3,30)),ROW(Income!A$3:A$502)-2),4)),0))</f>
        <v/>
      </c>
      <c r="D72" s="38" t="str">
        <f aca="false">IF(IFERROR(INDEX(Expenses!B$3:B$1002,SMALL(IF((Expenses!E$3:E$1002="INR")*(Expenses!A$3:A$1002=DATE(2026,3,30)),ROW(Expenses!A$3:A$1002)-2),4)),"")&lt;&gt;"",IFERROR(INDEX(Expenses!B$3:B$1002,SMALL(IF((Expenses!E$3:E$1002="INR")*(Expenses!A$3:A$1002=DATE(2026,3,30)),ROW(Expenses!A$3:A$1002)-2),4)),""),IF(IFERROR(INDEX(Income!B$3:B$502,SMALL(IF((Income!D$3:D$502="INR")*(Income!A$3:A$502=DATE(2026,3,30)),ROW(Income!A$3:A$502)-2),4)),"")&lt;&gt;"",IFERROR(INDEX(Income!B$3:B$502,SMALL(IF((Income!D$3:D$502="INR")*(Income!A$3:A$502=DATE(2026,3,30)),ROW(Income!A$3:A$502)-2),4)),""),""))</f>
        <v/>
      </c>
      <c r="E72" s="63" t="str">
        <f aca="false">IF(IFERROR(-INDEX(Expenses!D$3:D$1002,SMALL(IF((Expenses!E$3:E$1002="INR")*(Expenses!A$3:A$1002=DATE(2026,3,31)),ROW(Expenses!A$3:A$1002)-2),4)),0)+IFERROR(INDEX(Income!C$3:C$502,SMALL(IF((Income!D$3:D$502="INR")*(Income!A$3:A$502=DATE(2026,3,31)),ROW(Income!A$3:A$502)-2),4)),0)=0,"",IFERROR(-INDEX(Expenses!D$3:D$1002,SMALL(IF((Expenses!E$3:E$1002="INR")*(Expenses!A$3:A$1002=DATE(2026,3,31)),ROW(Expenses!A$3:A$1002)-2),4)),0)+IFERROR(INDEX(Income!C$3:C$502,SMALL(IF((Income!D$3:D$502="INR")*(Income!A$3:A$502=DATE(2026,3,31)),ROW(Income!A$3:A$502)-2),4)),0))</f>
        <v/>
      </c>
      <c r="F72" s="38" t="str">
        <f aca="false">IF(IFERROR(INDEX(Expenses!B$3:B$1002,SMALL(IF((Expenses!E$3:E$1002="INR")*(Expenses!A$3:A$1002=DATE(2026,3,31)),ROW(Expenses!A$3:A$1002)-2),4)),"")&lt;&gt;"",IFERROR(INDEX(Expenses!B$3:B$1002,SMALL(IF((Expenses!E$3:E$1002="INR")*(Expenses!A$3:A$1002=DATE(2026,3,31)),ROW(Expenses!A$3:A$1002)-2),4)),""),IF(IFERROR(INDEX(Income!B$3:B$502,SMALL(IF((Income!D$3:D$502="INR")*(Income!A$3:A$502=DATE(2026,3,31)),ROW(Income!A$3:A$502)-2),4)),"")&lt;&gt;"",IFERROR(INDEX(Income!B$3:B$502,SMALL(IF((Income!D$3:D$502="INR")*(Income!A$3:A$502=DATE(2026,3,31)),ROW(Income!A$3:A$502)-2),4)),""),""))</f>
        <v/>
      </c>
      <c r="G72" s="63" t="str">
        <f aca="false">IF(IFERROR(-INDEX(Expenses!D$3:D$1002,SMALL(IF((Expenses!E$3:E$1002="INR")*(Expenses!A$3:A$1002=DATE(2026,4,1)),ROW(Expenses!A$3:A$1002)-2),4)),0)+IFERROR(INDEX(Income!C$3:C$502,SMALL(IF((Income!D$3:D$502="INR")*(Income!A$3:A$502=DATE(2026,4,1)),ROW(Income!A$3:A$502)-2),4)),0)=0,"",IFERROR(-INDEX(Expenses!D$3:D$1002,SMALL(IF((Expenses!E$3:E$1002="INR")*(Expenses!A$3:A$1002=DATE(2026,4,1)),ROW(Expenses!A$3:A$1002)-2),4)),0)+IFERROR(INDEX(Income!C$3:C$502,SMALL(IF((Income!D$3:D$502="INR")*(Income!A$3:A$502=DATE(2026,4,1)),ROW(Income!A$3:A$502)-2),4)),0))</f>
        <v/>
      </c>
      <c r="H72" s="38" t="str">
        <f aca="false">IF(IFERROR(INDEX(Expenses!B$3:B$1002,SMALL(IF((Expenses!E$3:E$1002="INR")*(Expenses!A$3:A$1002=DATE(2026,4,1)),ROW(Expenses!A$3:A$1002)-2),4)),"")&lt;&gt;"",IFERROR(INDEX(Expenses!B$3:B$1002,SMALL(IF((Expenses!E$3:E$1002="INR")*(Expenses!A$3:A$1002=DATE(2026,4,1)),ROW(Expenses!A$3:A$1002)-2),4)),""),IF(IFERROR(INDEX(Income!B$3:B$502,SMALL(IF((Income!D$3:D$502="INR")*(Income!A$3:A$502=DATE(2026,4,1)),ROW(Income!A$3:A$502)-2),4)),"")&lt;&gt;"",IFERROR(INDEX(Income!B$3:B$502,SMALL(IF((Income!D$3:D$502="INR")*(Income!A$3:A$502=DATE(2026,4,1)),ROW(Income!A$3:A$502)-2),4)),""),""))</f>
        <v/>
      </c>
      <c r="I72" s="63" t="str">
        <f aca="false">IF(IFERROR(-INDEX(Expenses!D$3:D$1002,SMALL(IF((Expenses!E$3:E$1002="INR")*(Expenses!A$3:A$1002=DATE(2026,4,2)),ROW(Expenses!A$3:A$1002)-2),4)),0)+IFERROR(INDEX(Income!C$3:C$502,SMALL(IF((Income!D$3:D$502="INR")*(Income!A$3:A$502=DATE(2026,4,2)),ROW(Income!A$3:A$502)-2),4)),0)=0,"",IFERROR(-INDEX(Expenses!D$3:D$1002,SMALL(IF((Expenses!E$3:E$1002="INR")*(Expenses!A$3:A$1002=DATE(2026,4,2)),ROW(Expenses!A$3:A$1002)-2),4)),0)+IFERROR(INDEX(Income!C$3:C$502,SMALL(IF((Income!D$3:D$502="INR")*(Income!A$3:A$502=DATE(2026,4,2)),ROW(Income!A$3:A$502)-2),4)),0))</f>
        <v/>
      </c>
      <c r="J72" s="38" t="str">
        <f aca="false">IF(IFERROR(INDEX(Expenses!B$3:B$1002,SMALL(IF((Expenses!E$3:E$1002="INR")*(Expenses!A$3:A$1002=DATE(2026,4,2)),ROW(Expenses!A$3:A$1002)-2),4)),"")&lt;&gt;"",IFERROR(INDEX(Expenses!B$3:B$1002,SMALL(IF((Expenses!E$3:E$1002="INR")*(Expenses!A$3:A$1002=DATE(2026,4,2)),ROW(Expenses!A$3:A$1002)-2),4)),""),IF(IFERROR(INDEX(Income!B$3:B$502,SMALL(IF((Income!D$3:D$502="INR")*(Income!A$3:A$502=DATE(2026,4,2)),ROW(Income!A$3:A$502)-2),4)),"")&lt;&gt;"",IFERROR(INDEX(Income!B$3:B$502,SMALL(IF((Income!D$3:D$502="INR")*(Income!A$3:A$502=DATE(2026,4,2)),ROW(Income!A$3:A$502)-2),4)),""),""))</f>
        <v/>
      </c>
      <c r="K72" s="63" t="str">
        <f aca="false">IF(IFERROR(-INDEX(Expenses!D$3:D$1002,SMALL(IF((Expenses!E$3:E$1002="INR")*(Expenses!A$3:A$1002=DATE(2026,4,3)),ROW(Expenses!A$3:A$1002)-2),4)),0)+IFERROR(INDEX(Income!C$3:C$502,SMALL(IF((Income!D$3:D$502="INR")*(Income!A$3:A$502=DATE(2026,4,3)),ROW(Income!A$3:A$502)-2),4)),0)=0,"",IFERROR(-INDEX(Expenses!D$3:D$1002,SMALL(IF((Expenses!E$3:E$1002="INR")*(Expenses!A$3:A$1002=DATE(2026,4,3)),ROW(Expenses!A$3:A$1002)-2),4)),0)+IFERROR(INDEX(Income!C$3:C$502,SMALL(IF((Income!D$3:D$502="INR")*(Income!A$3:A$502=DATE(2026,4,3)),ROW(Income!A$3:A$502)-2),4)),0))</f>
        <v/>
      </c>
      <c r="L72" s="38" t="str">
        <f aca="false">IF(IFERROR(INDEX(Expenses!B$3:B$1002,SMALL(IF((Expenses!E$3:E$1002="INR")*(Expenses!A$3:A$1002=DATE(2026,4,3)),ROW(Expenses!A$3:A$1002)-2),4)),"")&lt;&gt;"",IFERROR(INDEX(Expenses!B$3:B$1002,SMALL(IF((Expenses!E$3:E$1002="INR")*(Expenses!A$3:A$1002=DATE(2026,4,3)),ROW(Expenses!A$3:A$1002)-2),4)),""),IF(IFERROR(INDEX(Income!B$3:B$502,SMALL(IF((Income!D$3:D$502="INR")*(Income!A$3:A$502=DATE(2026,4,3)),ROW(Income!A$3:A$502)-2),4)),"")&lt;&gt;"",IFERROR(INDEX(Income!B$3:B$502,SMALL(IF((Income!D$3:D$502="INR")*(Income!A$3:A$502=DATE(2026,4,3)),ROW(Income!A$3:A$502)-2),4)),""),""))</f>
        <v/>
      </c>
      <c r="M72" s="63" t="str">
        <f aca="false">IF(IFERROR(-INDEX(Expenses!D$3:D$1002,SMALL(IF((Expenses!E$3:E$1002="INR")*(Expenses!A$3:A$1002=DATE(2026,4,4)),ROW(Expenses!A$3:A$1002)-2),4)),0)+IFERROR(INDEX(Income!C$3:C$502,SMALL(IF((Income!D$3:D$502="INR")*(Income!A$3:A$502=DATE(2026,4,4)),ROW(Income!A$3:A$502)-2),4)),0)=0,"",IFERROR(-INDEX(Expenses!D$3:D$1002,SMALL(IF((Expenses!E$3:E$1002="INR")*(Expenses!A$3:A$1002=DATE(2026,4,4)),ROW(Expenses!A$3:A$1002)-2),4)),0)+IFERROR(INDEX(Income!C$3:C$502,SMALL(IF((Income!D$3:D$502="INR")*(Income!A$3:A$502=DATE(2026,4,4)),ROW(Income!A$3:A$502)-2),4)),0))</f>
        <v/>
      </c>
      <c r="N72" s="38" t="str">
        <f aca="false">IF(IFERROR(INDEX(Expenses!B$3:B$1002,SMALL(IF((Expenses!E$3:E$1002="INR")*(Expenses!A$3:A$1002=DATE(2026,4,4)),ROW(Expenses!A$3:A$1002)-2),4)),"")&lt;&gt;"",IFERROR(INDEX(Expenses!B$3:B$1002,SMALL(IF((Expenses!E$3:E$1002="INR")*(Expenses!A$3:A$1002=DATE(2026,4,4)),ROW(Expenses!A$3:A$1002)-2),4)),""),IF(IFERROR(INDEX(Income!B$3:B$502,SMALL(IF((Income!D$3:D$502="INR")*(Income!A$3:A$502=DATE(2026,4,4)),ROW(Income!A$3:A$502)-2),4)),"")&lt;&gt;"",IFERROR(INDEX(Income!B$3:B$502,SMALL(IF((Income!D$3:D$502="INR")*(Income!A$3:A$502=DATE(2026,4,4)),ROW(Income!A$3:A$502)-2),4)),""),""))</f>
        <v/>
      </c>
      <c r="O72" s="63" t="str">
        <f aca="false">IF(IFERROR(-INDEX(Expenses!D$3:D$1002,SMALL(IF((Expenses!E$3:E$1002="INR")*(Expenses!A$3:A$1002=DATE(2026,4,5)),ROW(Expenses!A$3:A$1002)-2),4)),0)+IFERROR(INDEX(Income!C$3:C$502,SMALL(IF((Income!D$3:D$502="INR")*(Income!A$3:A$502=DATE(2026,4,5)),ROW(Income!A$3:A$502)-2),4)),0)=0,"",IFERROR(-INDEX(Expenses!D$3:D$1002,SMALL(IF((Expenses!E$3:E$1002="INR")*(Expenses!A$3:A$1002=DATE(2026,4,5)),ROW(Expenses!A$3:A$1002)-2),4)),0)+IFERROR(INDEX(Income!C$3:C$502,SMALL(IF((Income!D$3:D$502="INR")*(Income!A$3:A$502=DATE(2026,4,5)),ROW(Income!A$3:A$502)-2),4)),0))</f>
        <v/>
      </c>
      <c r="P72" s="38" t="str">
        <f aca="false">IF(IFERROR(INDEX(Expenses!B$3:B$1002,SMALL(IF((Expenses!E$3:E$1002="INR")*(Expenses!A$3:A$1002=DATE(2026,4,5)),ROW(Expenses!A$3:A$1002)-2),4)),"")&lt;&gt;"",IFERROR(INDEX(Expenses!B$3:B$1002,SMALL(IF((Expenses!E$3:E$1002="INR")*(Expenses!A$3:A$1002=DATE(2026,4,5)),ROW(Expenses!A$3:A$1002)-2),4)),""),IF(IFERROR(INDEX(Income!B$3:B$502,SMALL(IF((Income!D$3:D$502="INR")*(Income!A$3:A$502=DATE(2026,4,5)),ROW(Income!A$3:A$502)-2),4)),"")&lt;&gt;"",IFERROR(INDEX(Income!B$3:B$502,SMALL(IF((Income!D$3:D$502="INR")*(Income!A$3:A$502=DATE(2026,4,5)),ROW(Income!A$3:A$502)-2),4)),""),""))</f>
        <v/>
      </c>
      <c r="Q72" s="16"/>
      <c r="R72" s="16"/>
    </row>
    <row r="73" customFormat="false" ht="15" hidden="false" customHeight="false" outlineLevel="0" collapsed="false">
      <c r="A73" s="16"/>
      <c r="B73" s="16"/>
      <c r="C73" s="63" t="str">
        <f aca="false">IF(IFERROR(-INDEX(Expenses!D$3:D$1002,SMALL(IF((Expenses!E$3:E$1002="INR")*(Expenses!A$3:A$1002=DATE(2026,3,30)),ROW(Expenses!A$3:A$1002)-2),5)),0)+IFERROR(INDEX(Income!C$3:C$502,SMALL(IF((Income!D$3:D$502="INR")*(Income!A$3:A$502=DATE(2026,3,30)),ROW(Income!A$3:A$502)-2),5)),0)=0,"",IFERROR(-INDEX(Expenses!D$3:D$1002,SMALL(IF((Expenses!E$3:E$1002="INR")*(Expenses!A$3:A$1002=DATE(2026,3,30)),ROW(Expenses!A$3:A$1002)-2),5)),0)+IFERROR(INDEX(Income!C$3:C$502,SMALL(IF((Income!D$3:D$502="INR")*(Income!A$3:A$502=DATE(2026,3,30)),ROW(Income!A$3:A$502)-2),5)),0))</f>
        <v/>
      </c>
      <c r="D73" s="38" t="str">
        <f aca="false">IF(IFERROR(INDEX(Expenses!B$3:B$1002,SMALL(IF((Expenses!E$3:E$1002="INR")*(Expenses!A$3:A$1002=DATE(2026,3,30)),ROW(Expenses!A$3:A$1002)-2),5)),"")&lt;&gt;"",IFERROR(INDEX(Expenses!B$3:B$1002,SMALL(IF((Expenses!E$3:E$1002="INR")*(Expenses!A$3:A$1002=DATE(2026,3,30)),ROW(Expenses!A$3:A$1002)-2),5)),""),IF(IFERROR(INDEX(Income!B$3:B$502,SMALL(IF((Income!D$3:D$502="INR")*(Income!A$3:A$502=DATE(2026,3,30)),ROW(Income!A$3:A$502)-2),5)),"")&lt;&gt;"",IFERROR(INDEX(Income!B$3:B$502,SMALL(IF((Income!D$3:D$502="INR")*(Income!A$3:A$502=DATE(2026,3,30)),ROW(Income!A$3:A$502)-2),5)),""),""))</f>
        <v/>
      </c>
      <c r="E73" s="63" t="str">
        <f aca="false">IF(IFERROR(-INDEX(Expenses!D$3:D$1002,SMALL(IF((Expenses!E$3:E$1002="INR")*(Expenses!A$3:A$1002=DATE(2026,3,31)),ROW(Expenses!A$3:A$1002)-2),5)),0)+IFERROR(INDEX(Income!C$3:C$502,SMALL(IF((Income!D$3:D$502="INR")*(Income!A$3:A$502=DATE(2026,3,31)),ROW(Income!A$3:A$502)-2),5)),0)=0,"",IFERROR(-INDEX(Expenses!D$3:D$1002,SMALL(IF((Expenses!E$3:E$1002="INR")*(Expenses!A$3:A$1002=DATE(2026,3,31)),ROW(Expenses!A$3:A$1002)-2),5)),0)+IFERROR(INDEX(Income!C$3:C$502,SMALL(IF((Income!D$3:D$502="INR")*(Income!A$3:A$502=DATE(2026,3,31)),ROW(Income!A$3:A$502)-2),5)),0))</f>
        <v/>
      </c>
      <c r="F73" s="38" t="str">
        <f aca="false">IF(IFERROR(INDEX(Expenses!B$3:B$1002,SMALL(IF((Expenses!E$3:E$1002="INR")*(Expenses!A$3:A$1002=DATE(2026,3,31)),ROW(Expenses!A$3:A$1002)-2),5)),"")&lt;&gt;"",IFERROR(INDEX(Expenses!B$3:B$1002,SMALL(IF((Expenses!E$3:E$1002="INR")*(Expenses!A$3:A$1002=DATE(2026,3,31)),ROW(Expenses!A$3:A$1002)-2),5)),""),IF(IFERROR(INDEX(Income!B$3:B$502,SMALL(IF((Income!D$3:D$502="INR")*(Income!A$3:A$502=DATE(2026,3,31)),ROW(Income!A$3:A$502)-2),5)),"")&lt;&gt;"",IFERROR(INDEX(Income!B$3:B$502,SMALL(IF((Income!D$3:D$502="INR")*(Income!A$3:A$502=DATE(2026,3,31)),ROW(Income!A$3:A$502)-2),5)),""),""))</f>
        <v/>
      </c>
      <c r="G73" s="63" t="str">
        <f aca="false">IF(IFERROR(-INDEX(Expenses!D$3:D$1002,SMALL(IF((Expenses!E$3:E$1002="INR")*(Expenses!A$3:A$1002=DATE(2026,4,1)),ROW(Expenses!A$3:A$1002)-2),5)),0)+IFERROR(INDEX(Income!C$3:C$502,SMALL(IF((Income!D$3:D$502="INR")*(Income!A$3:A$502=DATE(2026,4,1)),ROW(Income!A$3:A$502)-2),5)),0)=0,"",IFERROR(-INDEX(Expenses!D$3:D$1002,SMALL(IF((Expenses!E$3:E$1002="INR")*(Expenses!A$3:A$1002=DATE(2026,4,1)),ROW(Expenses!A$3:A$1002)-2),5)),0)+IFERROR(INDEX(Income!C$3:C$502,SMALL(IF((Income!D$3:D$502="INR")*(Income!A$3:A$502=DATE(2026,4,1)),ROW(Income!A$3:A$502)-2),5)),0))</f>
        <v/>
      </c>
      <c r="H73" s="38" t="str">
        <f aca="false">IF(IFERROR(INDEX(Expenses!B$3:B$1002,SMALL(IF((Expenses!E$3:E$1002="INR")*(Expenses!A$3:A$1002=DATE(2026,4,1)),ROW(Expenses!A$3:A$1002)-2),5)),"")&lt;&gt;"",IFERROR(INDEX(Expenses!B$3:B$1002,SMALL(IF((Expenses!E$3:E$1002="INR")*(Expenses!A$3:A$1002=DATE(2026,4,1)),ROW(Expenses!A$3:A$1002)-2),5)),""),IF(IFERROR(INDEX(Income!B$3:B$502,SMALL(IF((Income!D$3:D$502="INR")*(Income!A$3:A$502=DATE(2026,4,1)),ROW(Income!A$3:A$502)-2),5)),"")&lt;&gt;"",IFERROR(INDEX(Income!B$3:B$502,SMALL(IF((Income!D$3:D$502="INR")*(Income!A$3:A$502=DATE(2026,4,1)),ROW(Income!A$3:A$502)-2),5)),""),""))</f>
        <v/>
      </c>
      <c r="I73" s="63" t="str">
        <f aca="false">IF(IFERROR(-INDEX(Expenses!D$3:D$1002,SMALL(IF((Expenses!E$3:E$1002="INR")*(Expenses!A$3:A$1002=DATE(2026,4,2)),ROW(Expenses!A$3:A$1002)-2),5)),0)+IFERROR(INDEX(Income!C$3:C$502,SMALL(IF((Income!D$3:D$502="INR")*(Income!A$3:A$502=DATE(2026,4,2)),ROW(Income!A$3:A$502)-2),5)),0)=0,"",IFERROR(-INDEX(Expenses!D$3:D$1002,SMALL(IF((Expenses!E$3:E$1002="INR")*(Expenses!A$3:A$1002=DATE(2026,4,2)),ROW(Expenses!A$3:A$1002)-2),5)),0)+IFERROR(INDEX(Income!C$3:C$502,SMALL(IF((Income!D$3:D$502="INR")*(Income!A$3:A$502=DATE(2026,4,2)),ROW(Income!A$3:A$502)-2),5)),0))</f>
        <v/>
      </c>
      <c r="J73" s="38" t="str">
        <f aca="false">IF(IFERROR(INDEX(Expenses!B$3:B$1002,SMALL(IF((Expenses!E$3:E$1002="INR")*(Expenses!A$3:A$1002=DATE(2026,4,2)),ROW(Expenses!A$3:A$1002)-2),5)),"")&lt;&gt;"",IFERROR(INDEX(Expenses!B$3:B$1002,SMALL(IF((Expenses!E$3:E$1002="INR")*(Expenses!A$3:A$1002=DATE(2026,4,2)),ROW(Expenses!A$3:A$1002)-2),5)),""),IF(IFERROR(INDEX(Income!B$3:B$502,SMALL(IF((Income!D$3:D$502="INR")*(Income!A$3:A$502=DATE(2026,4,2)),ROW(Income!A$3:A$502)-2),5)),"")&lt;&gt;"",IFERROR(INDEX(Income!B$3:B$502,SMALL(IF((Income!D$3:D$502="INR")*(Income!A$3:A$502=DATE(2026,4,2)),ROW(Income!A$3:A$502)-2),5)),""),""))</f>
        <v/>
      </c>
      <c r="K73" s="63" t="str">
        <f aca="false">IF(IFERROR(-INDEX(Expenses!D$3:D$1002,SMALL(IF((Expenses!E$3:E$1002="INR")*(Expenses!A$3:A$1002=DATE(2026,4,3)),ROW(Expenses!A$3:A$1002)-2),5)),0)+IFERROR(INDEX(Income!C$3:C$502,SMALL(IF((Income!D$3:D$502="INR")*(Income!A$3:A$502=DATE(2026,4,3)),ROW(Income!A$3:A$502)-2),5)),0)=0,"",IFERROR(-INDEX(Expenses!D$3:D$1002,SMALL(IF((Expenses!E$3:E$1002="INR")*(Expenses!A$3:A$1002=DATE(2026,4,3)),ROW(Expenses!A$3:A$1002)-2),5)),0)+IFERROR(INDEX(Income!C$3:C$502,SMALL(IF((Income!D$3:D$502="INR")*(Income!A$3:A$502=DATE(2026,4,3)),ROW(Income!A$3:A$502)-2),5)),0))</f>
        <v/>
      </c>
      <c r="L73" s="38" t="str">
        <f aca="false">IF(IFERROR(INDEX(Expenses!B$3:B$1002,SMALL(IF((Expenses!E$3:E$1002="INR")*(Expenses!A$3:A$1002=DATE(2026,4,3)),ROW(Expenses!A$3:A$1002)-2),5)),"")&lt;&gt;"",IFERROR(INDEX(Expenses!B$3:B$1002,SMALL(IF((Expenses!E$3:E$1002="INR")*(Expenses!A$3:A$1002=DATE(2026,4,3)),ROW(Expenses!A$3:A$1002)-2),5)),""),IF(IFERROR(INDEX(Income!B$3:B$502,SMALL(IF((Income!D$3:D$502="INR")*(Income!A$3:A$502=DATE(2026,4,3)),ROW(Income!A$3:A$502)-2),5)),"")&lt;&gt;"",IFERROR(INDEX(Income!B$3:B$502,SMALL(IF((Income!D$3:D$502="INR")*(Income!A$3:A$502=DATE(2026,4,3)),ROW(Income!A$3:A$502)-2),5)),""),""))</f>
        <v/>
      </c>
      <c r="M73" s="63" t="str">
        <f aca="false">IF(IFERROR(-INDEX(Expenses!D$3:D$1002,SMALL(IF((Expenses!E$3:E$1002="INR")*(Expenses!A$3:A$1002=DATE(2026,4,4)),ROW(Expenses!A$3:A$1002)-2),5)),0)+IFERROR(INDEX(Income!C$3:C$502,SMALL(IF((Income!D$3:D$502="INR")*(Income!A$3:A$502=DATE(2026,4,4)),ROW(Income!A$3:A$502)-2),5)),0)=0,"",IFERROR(-INDEX(Expenses!D$3:D$1002,SMALL(IF((Expenses!E$3:E$1002="INR")*(Expenses!A$3:A$1002=DATE(2026,4,4)),ROW(Expenses!A$3:A$1002)-2),5)),0)+IFERROR(INDEX(Income!C$3:C$502,SMALL(IF((Income!D$3:D$502="INR")*(Income!A$3:A$502=DATE(2026,4,4)),ROW(Income!A$3:A$502)-2),5)),0))</f>
        <v/>
      </c>
      <c r="N73" s="38" t="str">
        <f aca="false">IF(IFERROR(INDEX(Expenses!B$3:B$1002,SMALL(IF((Expenses!E$3:E$1002="INR")*(Expenses!A$3:A$1002=DATE(2026,4,4)),ROW(Expenses!A$3:A$1002)-2),5)),"")&lt;&gt;"",IFERROR(INDEX(Expenses!B$3:B$1002,SMALL(IF((Expenses!E$3:E$1002="INR")*(Expenses!A$3:A$1002=DATE(2026,4,4)),ROW(Expenses!A$3:A$1002)-2),5)),""),IF(IFERROR(INDEX(Income!B$3:B$502,SMALL(IF((Income!D$3:D$502="INR")*(Income!A$3:A$502=DATE(2026,4,4)),ROW(Income!A$3:A$502)-2),5)),"")&lt;&gt;"",IFERROR(INDEX(Income!B$3:B$502,SMALL(IF((Income!D$3:D$502="INR")*(Income!A$3:A$502=DATE(2026,4,4)),ROW(Income!A$3:A$502)-2),5)),""),""))</f>
        <v/>
      </c>
      <c r="O73" s="63" t="str">
        <f aca="false">IF(IFERROR(-INDEX(Expenses!D$3:D$1002,SMALL(IF((Expenses!E$3:E$1002="INR")*(Expenses!A$3:A$1002=DATE(2026,4,5)),ROW(Expenses!A$3:A$1002)-2),5)),0)+IFERROR(INDEX(Income!C$3:C$502,SMALL(IF((Income!D$3:D$502="INR")*(Income!A$3:A$502=DATE(2026,4,5)),ROW(Income!A$3:A$502)-2),5)),0)=0,"",IFERROR(-INDEX(Expenses!D$3:D$1002,SMALL(IF((Expenses!E$3:E$1002="INR")*(Expenses!A$3:A$1002=DATE(2026,4,5)),ROW(Expenses!A$3:A$1002)-2),5)),0)+IFERROR(INDEX(Income!C$3:C$502,SMALL(IF((Income!D$3:D$502="INR")*(Income!A$3:A$502=DATE(2026,4,5)),ROW(Income!A$3:A$502)-2),5)),0))</f>
        <v/>
      </c>
      <c r="P73" s="38" t="str">
        <f aca="false">IF(IFERROR(INDEX(Expenses!B$3:B$1002,SMALL(IF((Expenses!E$3:E$1002="INR")*(Expenses!A$3:A$1002=DATE(2026,4,5)),ROW(Expenses!A$3:A$1002)-2),5)),"")&lt;&gt;"",IFERROR(INDEX(Expenses!B$3:B$1002,SMALL(IF((Expenses!E$3:E$1002="INR")*(Expenses!A$3:A$1002=DATE(2026,4,5)),ROW(Expenses!A$3:A$1002)-2),5)),""),IF(IFERROR(INDEX(Income!B$3:B$502,SMALL(IF((Income!D$3:D$502="INR")*(Income!A$3:A$502=DATE(2026,4,5)),ROW(Income!A$3:A$502)-2),5)),"")&lt;&gt;"",IFERROR(INDEX(Income!B$3:B$502,SMALL(IF((Income!D$3:D$502="INR")*(Income!A$3:A$502=DATE(2026,4,5)),ROW(Income!A$3:A$502)-2),5)),""),""))</f>
        <v/>
      </c>
      <c r="Q73" s="16"/>
      <c r="R73" s="16"/>
    </row>
    <row r="74" customFormat="false" ht="15" hidden="false" customHeight="false" outlineLevel="0" collapsed="false">
      <c r="A74" s="61" t="n">
        <v>46118</v>
      </c>
      <c r="B74" s="3" t="n">
        <v>15</v>
      </c>
      <c r="C74" s="63" t="str">
        <f aca="false">IF(IFERROR(-INDEX(Expenses!D$3:D$1002,SMALL(IF((Expenses!E$3:E$1002="INR")*(Expenses!A$3:A$1002=DATE(2026,4,6)),ROW(Expenses!A$3:A$1002)-2),1)),0)+IFERROR(INDEX(Income!C$3:C$502,SMALL(IF((Income!D$3:D$502="INR")*(Income!A$3:A$502=DATE(2026,4,6)),ROW(Income!A$3:A$502)-2),1)),0)=0,"",IFERROR(-INDEX(Expenses!D$3:D$1002,SMALL(IF((Expenses!E$3:E$1002="INR")*(Expenses!A$3:A$1002=DATE(2026,4,6)),ROW(Expenses!A$3:A$1002)-2),1)),0)+IFERROR(INDEX(Income!C$3:C$502,SMALL(IF((Income!D$3:D$502="INR")*(Income!A$3:A$502=DATE(2026,4,6)),ROW(Income!A$3:A$502)-2),1)),0))</f>
        <v/>
      </c>
      <c r="D74" s="38" t="str">
        <f aca="false">IF(IFERROR(INDEX(Expenses!B$3:B$1002,SMALL(IF((Expenses!E$3:E$1002="INR")*(Expenses!A$3:A$1002=DATE(2026,4,6)),ROW(Expenses!A$3:A$1002)-2),1)),"")&lt;&gt;"",IFERROR(INDEX(Expenses!B$3:B$1002,SMALL(IF((Expenses!E$3:E$1002="INR")*(Expenses!A$3:A$1002=DATE(2026,4,6)),ROW(Expenses!A$3:A$1002)-2),1)),""),IF(IFERROR(INDEX(Income!B$3:B$502,SMALL(IF((Income!D$3:D$502="INR")*(Income!A$3:A$502=DATE(2026,4,6)),ROW(Income!A$3:A$502)-2),1)),"")&lt;&gt;"",IFERROR(INDEX(Income!B$3:B$502,SMALL(IF((Income!D$3:D$502="INR")*(Income!A$3:A$502=DATE(2026,4,6)),ROW(Income!A$3:A$502)-2),1)),""),""))</f>
        <v/>
      </c>
      <c r="E74" s="63" t="str">
        <f aca="false">IF(IFERROR(-INDEX(Expenses!D$3:D$1002,SMALL(IF((Expenses!E$3:E$1002="INR")*(Expenses!A$3:A$1002=DATE(2026,4,7)),ROW(Expenses!A$3:A$1002)-2),1)),0)+IFERROR(INDEX(Income!C$3:C$502,SMALL(IF((Income!D$3:D$502="INR")*(Income!A$3:A$502=DATE(2026,4,7)),ROW(Income!A$3:A$502)-2),1)),0)=0,"",IFERROR(-INDEX(Expenses!D$3:D$1002,SMALL(IF((Expenses!E$3:E$1002="INR")*(Expenses!A$3:A$1002=DATE(2026,4,7)),ROW(Expenses!A$3:A$1002)-2),1)),0)+IFERROR(INDEX(Income!C$3:C$502,SMALL(IF((Income!D$3:D$502="INR")*(Income!A$3:A$502=DATE(2026,4,7)),ROW(Income!A$3:A$502)-2),1)),0))</f>
        <v/>
      </c>
      <c r="F74" s="38" t="str">
        <f aca="false">IF(IFERROR(INDEX(Expenses!B$3:B$1002,SMALL(IF((Expenses!E$3:E$1002="INR")*(Expenses!A$3:A$1002=DATE(2026,4,7)),ROW(Expenses!A$3:A$1002)-2),1)),"")&lt;&gt;"",IFERROR(INDEX(Expenses!B$3:B$1002,SMALL(IF((Expenses!E$3:E$1002="INR")*(Expenses!A$3:A$1002=DATE(2026,4,7)),ROW(Expenses!A$3:A$1002)-2),1)),""),IF(IFERROR(INDEX(Income!B$3:B$502,SMALL(IF((Income!D$3:D$502="INR")*(Income!A$3:A$502=DATE(2026,4,7)),ROW(Income!A$3:A$502)-2),1)),"")&lt;&gt;"",IFERROR(INDEX(Income!B$3:B$502,SMALL(IF((Income!D$3:D$502="INR")*(Income!A$3:A$502=DATE(2026,4,7)),ROW(Income!A$3:A$502)-2),1)),""),""))</f>
        <v/>
      </c>
      <c r="G74" s="63" t="str">
        <f aca="false">IF(IFERROR(-INDEX(Expenses!D$3:D$1002,SMALL(IF((Expenses!E$3:E$1002="INR")*(Expenses!A$3:A$1002=DATE(2026,4,8)),ROW(Expenses!A$3:A$1002)-2),1)),0)+IFERROR(INDEX(Income!C$3:C$502,SMALL(IF((Income!D$3:D$502="INR")*(Income!A$3:A$502=DATE(2026,4,8)),ROW(Income!A$3:A$502)-2),1)),0)=0,"",IFERROR(-INDEX(Expenses!D$3:D$1002,SMALL(IF((Expenses!E$3:E$1002="INR")*(Expenses!A$3:A$1002=DATE(2026,4,8)),ROW(Expenses!A$3:A$1002)-2),1)),0)+IFERROR(INDEX(Income!C$3:C$502,SMALL(IF((Income!D$3:D$502="INR")*(Income!A$3:A$502=DATE(2026,4,8)),ROW(Income!A$3:A$502)-2),1)),0))</f>
        <v/>
      </c>
      <c r="H74" s="38" t="str">
        <f aca="false">IF(IFERROR(INDEX(Expenses!B$3:B$1002,SMALL(IF((Expenses!E$3:E$1002="INR")*(Expenses!A$3:A$1002=DATE(2026,4,8)),ROW(Expenses!A$3:A$1002)-2),1)),"")&lt;&gt;"",IFERROR(INDEX(Expenses!B$3:B$1002,SMALL(IF((Expenses!E$3:E$1002="INR")*(Expenses!A$3:A$1002=DATE(2026,4,8)),ROW(Expenses!A$3:A$1002)-2),1)),""),IF(IFERROR(INDEX(Income!B$3:B$502,SMALL(IF((Income!D$3:D$502="INR")*(Income!A$3:A$502=DATE(2026,4,8)),ROW(Income!A$3:A$502)-2),1)),"")&lt;&gt;"",IFERROR(INDEX(Income!B$3:B$502,SMALL(IF((Income!D$3:D$502="INR")*(Income!A$3:A$502=DATE(2026,4,8)),ROW(Income!A$3:A$502)-2),1)),""),""))</f>
        <v/>
      </c>
      <c r="I74" s="63" t="str">
        <f aca="false">IF(IFERROR(-INDEX(Expenses!D$3:D$1002,SMALL(IF((Expenses!E$3:E$1002="INR")*(Expenses!A$3:A$1002=DATE(2026,4,9)),ROW(Expenses!A$3:A$1002)-2),1)),0)+IFERROR(INDEX(Income!C$3:C$502,SMALL(IF((Income!D$3:D$502="INR")*(Income!A$3:A$502=DATE(2026,4,9)),ROW(Income!A$3:A$502)-2),1)),0)=0,"",IFERROR(-INDEX(Expenses!D$3:D$1002,SMALL(IF((Expenses!E$3:E$1002="INR")*(Expenses!A$3:A$1002=DATE(2026,4,9)),ROW(Expenses!A$3:A$1002)-2),1)),0)+IFERROR(INDEX(Income!C$3:C$502,SMALL(IF((Income!D$3:D$502="INR")*(Income!A$3:A$502=DATE(2026,4,9)),ROW(Income!A$3:A$502)-2),1)),0))</f>
        <v/>
      </c>
      <c r="J74" s="38" t="str">
        <f aca="false">IF(IFERROR(INDEX(Expenses!B$3:B$1002,SMALL(IF((Expenses!E$3:E$1002="INR")*(Expenses!A$3:A$1002=DATE(2026,4,9)),ROW(Expenses!A$3:A$1002)-2),1)),"")&lt;&gt;"",IFERROR(INDEX(Expenses!B$3:B$1002,SMALL(IF((Expenses!E$3:E$1002="INR")*(Expenses!A$3:A$1002=DATE(2026,4,9)),ROW(Expenses!A$3:A$1002)-2),1)),""),IF(IFERROR(INDEX(Income!B$3:B$502,SMALL(IF((Income!D$3:D$502="INR")*(Income!A$3:A$502=DATE(2026,4,9)),ROW(Income!A$3:A$502)-2),1)),"")&lt;&gt;"",IFERROR(INDEX(Income!B$3:B$502,SMALL(IF((Income!D$3:D$502="INR")*(Income!A$3:A$502=DATE(2026,4,9)),ROW(Income!A$3:A$502)-2),1)),""),""))</f>
        <v/>
      </c>
      <c r="K74" s="63" t="str">
        <f aca="false">IF(IFERROR(-INDEX(Expenses!D$3:D$1002,SMALL(IF((Expenses!E$3:E$1002="INR")*(Expenses!A$3:A$1002=DATE(2026,4,10)),ROW(Expenses!A$3:A$1002)-2),1)),0)+IFERROR(INDEX(Income!C$3:C$502,SMALL(IF((Income!D$3:D$502="INR")*(Income!A$3:A$502=DATE(2026,4,10)),ROW(Income!A$3:A$502)-2),1)),0)=0,"",IFERROR(-INDEX(Expenses!D$3:D$1002,SMALL(IF((Expenses!E$3:E$1002="INR")*(Expenses!A$3:A$1002=DATE(2026,4,10)),ROW(Expenses!A$3:A$1002)-2),1)),0)+IFERROR(INDEX(Income!C$3:C$502,SMALL(IF((Income!D$3:D$502="INR")*(Income!A$3:A$502=DATE(2026,4,10)),ROW(Income!A$3:A$502)-2),1)),0))</f>
        <v/>
      </c>
      <c r="L74" s="38" t="str">
        <f aca="false">IF(IFERROR(INDEX(Expenses!B$3:B$1002,SMALL(IF((Expenses!E$3:E$1002="INR")*(Expenses!A$3:A$1002=DATE(2026,4,10)),ROW(Expenses!A$3:A$1002)-2),1)),"")&lt;&gt;"",IFERROR(INDEX(Expenses!B$3:B$1002,SMALL(IF((Expenses!E$3:E$1002="INR")*(Expenses!A$3:A$1002=DATE(2026,4,10)),ROW(Expenses!A$3:A$1002)-2),1)),""),IF(IFERROR(INDEX(Income!B$3:B$502,SMALL(IF((Income!D$3:D$502="INR")*(Income!A$3:A$502=DATE(2026,4,10)),ROW(Income!A$3:A$502)-2),1)),"")&lt;&gt;"",IFERROR(INDEX(Income!B$3:B$502,SMALL(IF((Income!D$3:D$502="INR")*(Income!A$3:A$502=DATE(2026,4,10)),ROW(Income!A$3:A$502)-2),1)),""),""))</f>
        <v/>
      </c>
      <c r="M74" s="63" t="str">
        <f aca="false">IF(IFERROR(-INDEX(Expenses!D$3:D$1002,SMALL(IF((Expenses!E$3:E$1002="INR")*(Expenses!A$3:A$1002=DATE(2026,4,11)),ROW(Expenses!A$3:A$1002)-2),1)),0)+IFERROR(INDEX(Income!C$3:C$502,SMALL(IF((Income!D$3:D$502="INR")*(Income!A$3:A$502=DATE(2026,4,11)),ROW(Income!A$3:A$502)-2),1)),0)=0,"",IFERROR(-INDEX(Expenses!D$3:D$1002,SMALL(IF((Expenses!E$3:E$1002="INR")*(Expenses!A$3:A$1002=DATE(2026,4,11)),ROW(Expenses!A$3:A$1002)-2),1)),0)+IFERROR(INDEX(Income!C$3:C$502,SMALL(IF((Income!D$3:D$502="INR")*(Income!A$3:A$502=DATE(2026,4,11)),ROW(Income!A$3:A$502)-2),1)),0))</f>
        <v/>
      </c>
      <c r="N74" s="38" t="str">
        <f aca="false">IF(IFERROR(INDEX(Expenses!B$3:B$1002,SMALL(IF((Expenses!E$3:E$1002="INR")*(Expenses!A$3:A$1002=DATE(2026,4,11)),ROW(Expenses!A$3:A$1002)-2),1)),"")&lt;&gt;"",IFERROR(INDEX(Expenses!B$3:B$1002,SMALL(IF((Expenses!E$3:E$1002="INR")*(Expenses!A$3:A$1002=DATE(2026,4,11)),ROW(Expenses!A$3:A$1002)-2),1)),""),IF(IFERROR(INDEX(Income!B$3:B$502,SMALL(IF((Income!D$3:D$502="INR")*(Income!A$3:A$502=DATE(2026,4,11)),ROW(Income!A$3:A$502)-2),1)),"")&lt;&gt;"",IFERROR(INDEX(Income!B$3:B$502,SMALL(IF((Income!D$3:D$502="INR")*(Income!A$3:A$502=DATE(2026,4,11)),ROW(Income!A$3:A$502)-2),1)),""),""))</f>
        <v/>
      </c>
      <c r="O74" s="63" t="str">
        <f aca="false">IF(IFERROR(-INDEX(Expenses!D$3:D$1002,SMALL(IF((Expenses!E$3:E$1002="INR")*(Expenses!A$3:A$1002=DATE(2026,4,12)),ROW(Expenses!A$3:A$1002)-2),1)),0)+IFERROR(INDEX(Income!C$3:C$502,SMALL(IF((Income!D$3:D$502="INR")*(Income!A$3:A$502=DATE(2026,4,12)),ROW(Income!A$3:A$502)-2),1)),0)=0,"",IFERROR(-INDEX(Expenses!D$3:D$1002,SMALL(IF((Expenses!E$3:E$1002="INR")*(Expenses!A$3:A$1002=DATE(2026,4,12)),ROW(Expenses!A$3:A$1002)-2),1)),0)+IFERROR(INDEX(Income!C$3:C$502,SMALL(IF((Income!D$3:D$502="INR")*(Income!A$3:A$502=DATE(2026,4,12)),ROW(Income!A$3:A$502)-2),1)),0))</f>
        <v/>
      </c>
      <c r="P74" s="38" t="str">
        <f aca="false">IF(IFERROR(INDEX(Expenses!B$3:B$1002,SMALL(IF((Expenses!E$3:E$1002="INR")*(Expenses!A$3:A$1002=DATE(2026,4,12)),ROW(Expenses!A$3:A$1002)-2),1)),"")&lt;&gt;"",IFERROR(INDEX(Expenses!B$3:B$1002,SMALL(IF((Expenses!E$3:E$1002="INR")*(Expenses!A$3:A$1002=DATE(2026,4,12)),ROW(Expenses!A$3:A$1002)-2),1)),""),IF(IFERROR(INDEX(Income!B$3:B$502,SMALL(IF((Income!D$3:D$502="INR")*(Income!A$3:A$502=DATE(2026,4,12)),ROW(Income!A$3:A$502)-2),1)),"")&lt;&gt;"",IFERROR(INDEX(Income!B$3:B$502,SMALL(IF((Income!D$3:D$502="INR")*(Income!A$3:A$502=DATE(2026,4,12)),ROW(Income!A$3:A$502)-2),1)),""),""))</f>
        <v/>
      </c>
      <c r="Q74" s="3" t="n">
        <v>15</v>
      </c>
      <c r="R74" s="53" t="n">
        <f aca="false">SUM(C74:C78)+SUM(E74:E78)+SUM(G74:G78)+SUM(I74:I78)+SUM(K74:K78)+SUM(M74:M78)+SUM(O74:O78)</f>
        <v>0</v>
      </c>
    </row>
    <row r="75" customFormat="false" ht="15" hidden="false" customHeight="false" outlineLevel="0" collapsed="false">
      <c r="A75" s="16"/>
      <c r="B75" s="16"/>
      <c r="C75" s="63" t="str">
        <f aca="false">IF(IFERROR(-INDEX(Expenses!D$3:D$1002,SMALL(IF((Expenses!E$3:E$1002="INR")*(Expenses!A$3:A$1002=DATE(2026,4,6)),ROW(Expenses!A$3:A$1002)-2),2)),0)+IFERROR(INDEX(Income!C$3:C$502,SMALL(IF((Income!D$3:D$502="INR")*(Income!A$3:A$502=DATE(2026,4,6)),ROW(Income!A$3:A$502)-2),2)),0)=0,"",IFERROR(-INDEX(Expenses!D$3:D$1002,SMALL(IF((Expenses!E$3:E$1002="INR")*(Expenses!A$3:A$1002=DATE(2026,4,6)),ROW(Expenses!A$3:A$1002)-2),2)),0)+IFERROR(INDEX(Income!C$3:C$502,SMALL(IF((Income!D$3:D$502="INR")*(Income!A$3:A$502=DATE(2026,4,6)),ROW(Income!A$3:A$502)-2),2)),0))</f>
        <v/>
      </c>
      <c r="D75" s="38" t="str">
        <f aca="false">IF(IFERROR(INDEX(Expenses!B$3:B$1002,SMALL(IF((Expenses!E$3:E$1002="INR")*(Expenses!A$3:A$1002=DATE(2026,4,6)),ROW(Expenses!A$3:A$1002)-2),2)),"")&lt;&gt;"",IFERROR(INDEX(Expenses!B$3:B$1002,SMALL(IF((Expenses!E$3:E$1002="INR")*(Expenses!A$3:A$1002=DATE(2026,4,6)),ROW(Expenses!A$3:A$1002)-2),2)),""),IF(IFERROR(INDEX(Income!B$3:B$502,SMALL(IF((Income!D$3:D$502="INR")*(Income!A$3:A$502=DATE(2026,4,6)),ROW(Income!A$3:A$502)-2),2)),"")&lt;&gt;"",IFERROR(INDEX(Income!B$3:B$502,SMALL(IF((Income!D$3:D$502="INR")*(Income!A$3:A$502=DATE(2026,4,6)),ROW(Income!A$3:A$502)-2),2)),""),""))</f>
        <v/>
      </c>
      <c r="E75" s="63" t="str">
        <f aca="false">IF(IFERROR(-INDEX(Expenses!D$3:D$1002,SMALL(IF((Expenses!E$3:E$1002="INR")*(Expenses!A$3:A$1002=DATE(2026,4,7)),ROW(Expenses!A$3:A$1002)-2),2)),0)+IFERROR(INDEX(Income!C$3:C$502,SMALL(IF((Income!D$3:D$502="INR")*(Income!A$3:A$502=DATE(2026,4,7)),ROW(Income!A$3:A$502)-2),2)),0)=0,"",IFERROR(-INDEX(Expenses!D$3:D$1002,SMALL(IF((Expenses!E$3:E$1002="INR")*(Expenses!A$3:A$1002=DATE(2026,4,7)),ROW(Expenses!A$3:A$1002)-2),2)),0)+IFERROR(INDEX(Income!C$3:C$502,SMALL(IF((Income!D$3:D$502="INR")*(Income!A$3:A$502=DATE(2026,4,7)),ROW(Income!A$3:A$502)-2),2)),0))</f>
        <v/>
      </c>
      <c r="F75" s="38" t="str">
        <f aca="false">IF(IFERROR(INDEX(Expenses!B$3:B$1002,SMALL(IF((Expenses!E$3:E$1002="INR")*(Expenses!A$3:A$1002=DATE(2026,4,7)),ROW(Expenses!A$3:A$1002)-2),2)),"")&lt;&gt;"",IFERROR(INDEX(Expenses!B$3:B$1002,SMALL(IF((Expenses!E$3:E$1002="INR")*(Expenses!A$3:A$1002=DATE(2026,4,7)),ROW(Expenses!A$3:A$1002)-2),2)),""),IF(IFERROR(INDEX(Income!B$3:B$502,SMALL(IF((Income!D$3:D$502="INR")*(Income!A$3:A$502=DATE(2026,4,7)),ROW(Income!A$3:A$502)-2),2)),"")&lt;&gt;"",IFERROR(INDEX(Income!B$3:B$502,SMALL(IF((Income!D$3:D$502="INR")*(Income!A$3:A$502=DATE(2026,4,7)),ROW(Income!A$3:A$502)-2),2)),""),""))</f>
        <v/>
      </c>
      <c r="G75" s="63" t="str">
        <f aca="false">IF(IFERROR(-INDEX(Expenses!D$3:D$1002,SMALL(IF((Expenses!E$3:E$1002="INR")*(Expenses!A$3:A$1002=DATE(2026,4,8)),ROW(Expenses!A$3:A$1002)-2),2)),0)+IFERROR(INDEX(Income!C$3:C$502,SMALL(IF((Income!D$3:D$502="INR")*(Income!A$3:A$502=DATE(2026,4,8)),ROW(Income!A$3:A$502)-2),2)),0)=0,"",IFERROR(-INDEX(Expenses!D$3:D$1002,SMALL(IF((Expenses!E$3:E$1002="INR")*(Expenses!A$3:A$1002=DATE(2026,4,8)),ROW(Expenses!A$3:A$1002)-2),2)),0)+IFERROR(INDEX(Income!C$3:C$502,SMALL(IF((Income!D$3:D$502="INR")*(Income!A$3:A$502=DATE(2026,4,8)),ROW(Income!A$3:A$502)-2),2)),0))</f>
        <v/>
      </c>
      <c r="H75" s="38" t="str">
        <f aca="false">IF(IFERROR(INDEX(Expenses!B$3:B$1002,SMALL(IF((Expenses!E$3:E$1002="INR")*(Expenses!A$3:A$1002=DATE(2026,4,8)),ROW(Expenses!A$3:A$1002)-2),2)),"")&lt;&gt;"",IFERROR(INDEX(Expenses!B$3:B$1002,SMALL(IF((Expenses!E$3:E$1002="INR")*(Expenses!A$3:A$1002=DATE(2026,4,8)),ROW(Expenses!A$3:A$1002)-2),2)),""),IF(IFERROR(INDEX(Income!B$3:B$502,SMALL(IF((Income!D$3:D$502="INR")*(Income!A$3:A$502=DATE(2026,4,8)),ROW(Income!A$3:A$502)-2),2)),"")&lt;&gt;"",IFERROR(INDEX(Income!B$3:B$502,SMALL(IF((Income!D$3:D$502="INR")*(Income!A$3:A$502=DATE(2026,4,8)),ROW(Income!A$3:A$502)-2),2)),""),""))</f>
        <v/>
      </c>
      <c r="I75" s="63" t="str">
        <f aca="false">IF(IFERROR(-INDEX(Expenses!D$3:D$1002,SMALL(IF((Expenses!E$3:E$1002="INR")*(Expenses!A$3:A$1002=DATE(2026,4,9)),ROW(Expenses!A$3:A$1002)-2),2)),0)+IFERROR(INDEX(Income!C$3:C$502,SMALL(IF((Income!D$3:D$502="INR")*(Income!A$3:A$502=DATE(2026,4,9)),ROW(Income!A$3:A$502)-2),2)),0)=0,"",IFERROR(-INDEX(Expenses!D$3:D$1002,SMALL(IF((Expenses!E$3:E$1002="INR")*(Expenses!A$3:A$1002=DATE(2026,4,9)),ROW(Expenses!A$3:A$1002)-2),2)),0)+IFERROR(INDEX(Income!C$3:C$502,SMALL(IF((Income!D$3:D$502="INR")*(Income!A$3:A$502=DATE(2026,4,9)),ROW(Income!A$3:A$502)-2),2)),0))</f>
        <v/>
      </c>
      <c r="J75" s="38" t="str">
        <f aca="false">IF(IFERROR(INDEX(Expenses!B$3:B$1002,SMALL(IF((Expenses!E$3:E$1002="INR")*(Expenses!A$3:A$1002=DATE(2026,4,9)),ROW(Expenses!A$3:A$1002)-2),2)),"")&lt;&gt;"",IFERROR(INDEX(Expenses!B$3:B$1002,SMALL(IF((Expenses!E$3:E$1002="INR")*(Expenses!A$3:A$1002=DATE(2026,4,9)),ROW(Expenses!A$3:A$1002)-2),2)),""),IF(IFERROR(INDEX(Income!B$3:B$502,SMALL(IF((Income!D$3:D$502="INR")*(Income!A$3:A$502=DATE(2026,4,9)),ROW(Income!A$3:A$502)-2),2)),"")&lt;&gt;"",IFERROR(INDEX(Income!B$3:B$502,SMALL(IF((Income!D$3:D$502="INR")*(Income!A$3:A$502=DATE(2026,4,9)),ROW(Income!A$3:A$502)-2),2)),""),""))</f>
        <v/>
      </c>
      <c r="K75" s="63" t="str">
        <f aca="false">IF(IFERROR(-INDEX(Expenses!D$3:D$1002,SMALL(IF((Expenses!E$3:E$1002="INR")*(Expenses!A$3:A$1002=DATE(2026,4,10)),ROW(Expenses!A$3:A$1002)-2),2)),0)+IFERROR(INDEX(Income!C$3:C$502,SMALL(IF((Income!D$3:D$502="INR")*(Income!A$3:A$502=DATE(2026,4,10)),ROW(Income!A$3:A$502)-2),2)),0)=0,"",IFERROR(-INDEX(Expenses!D$3:D$1002,SMALL(IF((Expenses!E$3:E$1002="INR")*(Expenses!A$3:A$1002=DATE(2026,4,10)),ROW(Expenses!A$3:A$1002)-2),2)),0)+IFERROR(INDEX(Income!C$3:C$502,SMALL(IF((Income!D$3:D$502="INR")*(Income!A$3:A$502=DATE(2026,4,10)),ROW(Income!A$3:A$502)-2),2)),0))</f>
        <v/>
      </c>
      <c r="L75" s="38" t="str">
        <f aca="false">IF(IFERROR(INDEX(Expenses!B$3:B$1002,SMALL(IF((Expenses!E$3:E$1002="INR")*(Expenses!A$3:A$1002=DATE(2026,4,10)),ROW(Expenses!A$3:A$1002)-2),2)),"")&lt;&gt;"",IFERROR(INDEX(Expenses!B$3:B$1002,SMALL(IF((Expenses!E$3:E$1002="INR")*(Expenses!A$3:A$1002=DATE(2026,4,10)),ROW(Expenses!A$3:A$1002)-2),2)),""),IF(IFERROR(INDEX(Income!B$3:B$502,SMALL(IF((Income!D$3:D$502="INR")*(Income!A$3:A$502=DATE(2026,4,10)),ROW(Income!A$3:A$502)-2),2)),"")&lt;&gt;"",IFERROR(INDEX(Income!B$3:B$502,SMALL(IF((Income!D$3:D$502="INR")*(Income!A$3:A$502=DATE(2026,4,10)),ROW(Income!A$3:A$502)-2),2)),""),""))</f>
        <v/>
      </c>
      <c r="M75" s="63" t="str">
        <f aca="false">IF(IFERROR(-INDEX(Expenses!D$3:D$1002,SMALL(IF((Expenses!E$3:E$1002="INR")*(Expenses!A$3:A$1002=DATE(2026,4,11)),ROW(Expenses!A$3:A$1002)-2),2)),0)+IFERROR(INDEX(Income!C$3:C$502,SMALL(IF((Income!D$3:D$502="INR")*(Income!A$3:A$502=DATE(2026,4,11)),ROW(Income!A$3:A$502)-2),2)),0)=0,"",IFERROR(-INDEX(Expenses!D$3:D$1002,SMALL(IF((Expenses!E$3:E$1002="INR")*(Expenses!A$3:A$1002=DATE(2026,4,11)),ROW(Expenses!A$3:A$1002)-2),2)),0)+IFERROR(INDEX(Income!C$3:C$502,SMALL(IF((Income!D$3:D$502="INR")*(Income!A$3:A$502=DATE(2026,4,11)),ROW(Income!A$3:A$502)-2),2)),0))</f>
        <v/>
      </c>
      <c r="N75" s="38" t="str">
        <f aca="false">IF(IFERROR(INDEX(Expenses!B$3:B$1002,SMALL(IF((Expenses!E$3:E$1002="INR")*(Expenses!A$3:A$1002=DATE(2026,4,11)),ROW(Expenses!A$3:A$1002)-2),2)),"")&lt;&gt;"",IFERROR(INDEX(Expenses!B$3:B$1002,SMALL(IF((Expenses!E$3:E$1002="INR")*(Expenses!A$3:A$1002=DATE(2026,4,11)),ROW(Expenses!A$3:A$1002)-2),2)),""),IF(IFERROR(INDEX(Income!B$3:B$502,SMALL(IF((Income!D$3:D$502="INR")*(Income!A$3:A$502=DATE(2026,4,11)),ROW(Income!A$3:A$502)-2),2)),"")&lt;&gt;"",IFERROR(INDEX(Income!B$3:B$502,SMALL(IF((Income!D$3:D$502="INR")*(Income!A$3:A$502=DATE(2026,4,11)),ROW(Income!A$3:A$502)-2),2)),""),""))</f>
        <v/>
      </c>
      <c r="O75" s="63" t="str">
        <f aca="false">IF(IFERROR(-INDEX(Expenses!D$3:D$1002,SMALL(IF((Expenses!E$3:E$1002="INR")*(Expenses!A$3:A$1002=DATE(2026,4,12)),ROW(Expenses!A$3:A$1002)-2),2)),0)+IFERROR(INDEX(Income!C$3:C$502,SMALL(IF((Income!D$3:D$502="INR")*(Income!A$3:A$502=DATE(2026,4,12)),ROW(Income!A$3:A$502)-2),2)),0)=0,"",IFERROR(-INDEX(Expenses!D$3:D$1002,SMALL(IF((Expenses!E$3:E$1002="INR")*(Expenses!A$3:A$1002=DATE(2026,4,12)),ROW(Expenses!A$3:A$1002)-2),2)),0)+IFERROR(INDEX(Income!C$3:C$502,SMALL(IF((Income!D$3:D$502="INR")*(Income!A$3:A$502=DATE(2026,4,12)),ROW(Income!A$3:A$502)-2),2)),0))</f>
        <v/>
      </c>
      <c r="P75" s="38" t="str">
        <f aca="false">IF(IFERROR(INDEX(Expenses!B$3:B$1002,SMALL(IF((Expenses!E$3:E$1002="INR")*(Expenses!A$3:A$1002=DATE(2026,4,12)),ROW(Expenses!A$3:A$1002)-2),2)),"")&lt;&gt;"",IFERROR(INDEX(Expenses!B$3:B$1002,SMALL(IF((Expenses!E$3:E$1002="INR")*(Expenses!A$3:A$1002=DATE(2026,4,12)),ROW(Expenses!A$3:A$1002)-2),2)),""),IF(IFERROR(INDEX(Income!B$3:B$502,SMALL(IF((Income!D$3:D$502="INR")*(Income!A$3:A$502=DATE(2026,4,12)),ROW(Income!A$3:A$502)-2),2)),"")&lt;&gt;"",IFERROR(INDEX(Income!B$3:B$502,SMALL(IF((Income!D$3:D$502="INR")*(Income!A$3:A$502=DATE(2026,4,12)),ROW(Income!A$3:A$502)-2),2)),""),""))</f>
        <v/>
      </c>
      <c r="Q75" s="16"/>
      <c r="R75" s="16"/>
    </row>
    <row r="76" customFormat="false" ht="15" hidden="false" customHeight="false" outlineLevel="0" collapsed="false">
      <c r="A76" s="16"/>
      <c r="B76" s="16"/>
      <c r="C76" s="63" t="str">
        <f aca="false">IF(IFERROR(-INDEX(Expenses!D$3:D$1002,SMALL(IF((Expenses!E$3:E$1002="INR")*(Expenses!A$3:A$1002=DATE(2026,4,6)),ROW(Expenses!A$3:A$1002)-2),3)),0)+IFERROR(INDEX(Income!C$3:C$502,SMALL(IF((Income!D$3:D$502="INR")*(Income!A$3:A$502=DATE(2026,4,6)),ROW(Income!A$3:A$502)-2),3)),0)=0,"",IFERROR(-INDEX(Expenses!D$3:D$1002,SMALL(IF((Expenses!E$3:E$1002="INR")*(Expenses!A$3:A$1002=DATE(2026,4,6)),ROW(Expenses!A$3:A$1002)-2),3)),0)+IFERROR(INDEX(Income!C$3:C$502,SMALL(IF((Income!D$3:D$502="INR")*(Income!A$3:A$502=DATE(2026,4,6)),ROW(Income!A$3:A$502)-2),3)),0))</f>
        <v/>
      </c>
      <c r="D76" s="38" t="str">
        <f aca="false">IF(IFERROR(INDEX(Expenses!B$3:B$1002,SMALL(IF((Expenses!E$3:E$1002="INR")*(Expenses!A$3:A$1002=DATE(2026,4,6)),ROW(Expenses!A$3:A$1002)-2),3)),"")&lt;&gt;"",IFERROR(INDEX(Expenses!B$3:B$1002,SMALL(IF((Expenses!E$3:E$1002="INR")*(Expenses!A$3:A$1002=DATE(2026,4,6)),ROW(Expenses!A$3:A$1002)-2),3)),""),IF(IFERROR(INDEX(Income!B$3:B$502,SMALL(IF((Income!D$3:D$502="INR")*(Income!A$3:A$502=DATE(2026,4,6)),ROW(Income!A$3:A$502)-2),3)),"")&lt;&gt;"",IFERROR(INDEX(Income!B$3:B$502,SMALL(IF((Income!D$3:D$502="INR")*(Income!A$3:A$502=DATE(2026,4,6)),ROW(Income!A$3:A$502)-2),3)),""),""))</f>
        <v/>
      </c>
      <c r="E76" s="63" t="str">
        <f aca="false">IF(IFERROR(-INDEX(Expenses!D$3:D$1002,SMALL(IF((Expenses!E$3:E$1002="INR")*(Expenses!A$3:A$1002=DATE(2026,4,7)),ROW(Expenses!A$3:A$1002)-2),3)),0)+IFERROR(INDEX(Income!C$3:C$502,SMALL(IF((Income!D$3:D$502="INR")*(Income!A$3:A$502=DATE(2026,4,7)),ROW(Income!A$3:A$502)-2),3)),0)=0,"",IFERROR(-INDEX(Expenses!D$3:D$1002,SMALL(IF((Expenses!E$3:E$1002="INR")*(Expenses!A$3:A$1002=DATE(2026,4,7)),ROW(Expenses!A$3:A$1002)-2),3)),0)+IFERROR(INDEX(Income!C$3:C$502,SMALL(IF((Income!D$3:D$502="INR")*(Income!A$3:A$502=DATE(2026,4,7)),ROW(Income!A$3:A$502)-2),3)),0))</f>
        <v/>
      </c>
      <c r="F76" s="38" t="str">
        <f aca="false">IF(IFERROR(INDEX(Expenses!B$3:B$1002,SMALL(IF((Expenses!E$3:E$1002="INR")*(Expenses!A$3:A$1002=DATE(2026,4,7)),ROW(Expenses!A$3:A$1002)-2),3)),"")&lt;&gt;"",IFERROR(INDEX(Expenses!B$3:B$1002,SMALL(IF((Expenses!E$3:E$1002="INR")*(Expenses!A$3:A$1002=DATE(2026,4,7)),ROW(Expenses!A$3:A$1002)-2),3)),""),IF(IFERROR(INDEX(Income!B$3:B$502,SMALL(IF((Income!D$3:D$502="INR")*(Income!A$3:A$502=DATE(2026,4,7)),ROW(Income!A$3:A$502)-2),3)),"")&lt;&gt;"",IFERROR(INDEX(Income!B$3:B$502,SMALL(IF((Income!D$3:D$502="INR")*(Income!A$3:A$502=DATE(2026,4,7)),ROW(Income!A$3:A$502)-2),3)),""),""))</f>
        <v/>
      </c>
      <c r="G76" s="63" t="str">
        <f aca="false">IF(IFERROR(-INDEX(Expenses!D$3:D$1002,SMALL(IF((Expenses!E$3:E$1002="INR")*(Expenses!A$3:A$1002=DATE(2026,4,8)),ROW(Expenses!A$3:A$1002)-2),3)),0)+IFERROR(INDEX(Income!C$3:C$502,SMALL(IF((Income!D$3:D$502="INR")*(Income!A$3:A$502=DATE(2026,4,8)),ROW(Income!A$3:A$502)-2),3)),0)=0,"",IFERROR(-INDEX(Expenses!D$3:D$1002,SMALL(IF((Expenses!E$3:E$1002="INR")*(Expenses!A$3:A$1002=DATE(2026,4,8)),ROW(Expenses!A$3:A$1002)-2),3)),0)+IFERROR(INDEX(Income!C$3:C$502,SMALL(IF((Income!D$3:D$502="INR")*(Income!A$3:A$502=DATE(2026,4,8)),ROW(Income!A$3:A$502)-2),3)),0))</f>
        <v/>
      </c>
      <c r="H76" s="38" t="str">
        <f aca="false">IF(IFERROR(INDEX(Expenses!B$3:B$1002,SMALL(IF((Expenses!E$3:E$1002="INR")*(Expenses!A$3:A$1002=DATE(2026,4,8)),ROW(Expenses!A$3:A$1002)-2),3)),"")&lt;&gt;"",IFERROR(INDEX(Expenses!B$3:B$1002,SMALL(IF((Expenses!E$3:E$1002="INR")*(Expenses!A$3:A$1002=DATE(2026,4,8)),ROW(Expenses!A$3:A$1002)-2),3)),""),IF(IFERROR(INDEX(Income!B$3:B$502,SMALL(IF((Income!D$3:D$502="INR")*(Income!A$3:A$502=DATE(2026,4,8)),ROW(Income!A$3:A$502)-2),3)),"")&lt;&gt;"",IFERROR(INDEX(Income!B$3:B$502,SMALL(IF((Income!D$3:D$502="INR")*(Income!A$3:A$502=DATE(2026,4,8)),ROW(Income!A$3:A$502)-2),3)),""),""))</f>
        <v/>
      </c>
      <c r="I76" s="63" t="str">
        <f aca="false">IF(IFERROR(-INDEX(Expenses!D$3:D$1002,SMALL(IF((Expenses!E$3:E$1002="INR")*(Expenses!A$3:A$1002=DATE(2026,4,9)),ROW(Expenses!A$3:A$1002)-2),3)),0)+IFERROR(INDEX(Income!C$3:C$502,SMALL(IF((Income!D$3:D$502="INR")*(Income!A$3:A$502=DATE(2026,4,9)),ROW(Income!A$3:A$502)-2),3)),0)=0,"",IFERROR(-INDEX(Expenses!D$3:D$1002,SMALL(IF((Expenses!E$3:E$1002="INR")*(Expenses!A$3:A$1002=DATE(2026,4,9)),ROW(Expenses!A$3:A$1002)-2),3)),0)+IFERROR(INDEX(Income!C$3:C$502,SMALL(IF((Income!D$3:D$502="INR")*(Income!A$3:A$502=DATE(2026,4,9)),ROW(Income!A$3:A$502)-2),3)),0))</f>
        <v/>
      </c>
      <c r="J76" s="38" t="str">
        <f aca="false">IF(IFERROR(INDEX(Expenses!B$3:B$1002,SMALL(IF((Expenses!E$3:E$1002="INR")*(Expenses!A$3:A$1002=DATE(2026,4,9)),ROW(Expenses!A$3:A$1002)-2),3)),"")&lt;&gt;"",IFERROR(INDEX(Expenses!B$3:B$1002,SMALL(IF((Expenses!E$3:E$1002="INR")*(Expenses!A$3:A$1002=DATE(2026,4,9)),ROW(Expenses!A$3:A$1002)-2),3)),""),IF(IFERROR(INDEX(Income!B$3:B$502,SMALL(IF((Income!D$3:D$502="INR")*(Income!A$3:A$502=DATE(2026,4,9)),ROW(Income!A$3:A$502)-2),3)),"")&lt;&gt;"",IFERROR(INDEX(Income!B$3:B$502,SMALL(IF((Income!D$3:D$502="INR")*(Income!A$3:A$502=DATE(2026,4,9)),ROW(Income!A$3:A$502)-2),3)),""),""))</f>
        <v/>
      </c>
      <c r="K76" s="63" t="str">
        <f aca="false">IF(IFERROR(-INDEX(Expenses!D$3:D$1002,SMALL(IF((Expenses!E$3:E$1002="INR")*(Expenses!A$3:A$1002=DATE(2026,4,10)),ROW(Expenses!A$3:A$1002)-2),3)),0)+IFERROR(INDEX(Income!C$3:C$502,SMALL(IF((Income!D$3:D$502="INR")*(Income!A$3:A$502=DATE(2026,4,10)),ROW(Income!A$3:A$502)-2),3)),0)=0,"",IFERROR(-INDEX(Expenses!D$3:D$1002,SMALL(IF((Expenses!E$3:E$1002="INR")*(Expenses!A$3:A$1002=DATE(2026,4,10)),ROW(Expenses!A$3:A$1002)-2),3)),0)+IFERROR(INDEX(Income!C$3:C$502,SMALL(IF((Income!D$3:D$502="INR")*(Income!A$3:A$502=DATE(2026,4,10)),ROW(Income!A$3:A$502)-2),3)),0))</f>
        <v/>
      </c>
      <c r="L76" s="38" t="str">
        <f aca="false">IF(IFERROR(INDEX(Expenses!B$3:B$1002,SMALL(IF((Expenses!E$3:E$1002="INR")*(Expenses!A$3:A$1002=DATE(2026,4,10)),ROW(Expenses!A$3:A$1002)-2),3)),"")&lt;&gt;"",IFERROR(INDEX(Expenses!B$3:B$1002,SMALL(IF((Expenses!E$3:E$1002="INR")*(Expenses!A$3:A$1002=DATE(2026,4,10)),ROW(Expenses!A$3:A$1002)-2),3)),""),IF(IFERROR(INDEX(Income!B$3:B$502,SMALL(IF((Income!D$3:D$502="INR")*(Income!A$3:A$502=DATE(2026,4,10)),ROW(Income!A$3:A$502)-2),3)),"")&lt;&gt;"",IFERROR(INDEX(Income!B$3:B$502,SMALL(IF((Income!D$3:D$502="INR")*(Income!A$3:A$502=DATE(2026,4,10)),ROW(Income!A$3:A$502)-2),3)),""),""))</f>
        <v/>
      </c>
      <c r="M76" s="63" t="str">
        <f aca="false">IF(IFERROR(-INDEX(Expenses!D$3:D$1002,SMALL(IF((Expenses!E$3:E$1002="INR")*(Expenses!A$3:A$1002=DATE(2026,4,11)),ROW(Expenses!A$3:A$1002)-2),3)),0)+IFERROR(INDEX(Income!C$3:C$502,SMALL(IF((Income!D$3:D$502="INR")*(Income!A$3:A$502=DATE(2026,4,11)),ROW(Income!A$3:A$502)-2),3)),0)=0,"",IFERROR(-INDEX(Expenses!D$3:D$1002,SMALL(IF((Expenses!E$3:E$1002="INR")*(Expenses!A$3:A$1002=DATE(2026,4,11)),ROW(Expenses!A$3:A$1002)-2),3)),0)+IFERROR(INDEX(Income!C$3:C$502,SMALL(IF((Income!D$3:D$502="INR")*(Income!A$3:A$502=DATE(2026,4,11)),ROW(Income!A$3:A$502)-2),3)),0))</f>
        <v/>
      </c>
      <c r="N76" s="38" t="str">
        <f aca="false">IF(IFERROR(INDEX(Expenses!B$3:B$1002,SMALL(IF((Expenses!E$3:E$1002="INR")*(Expenses!A$3:A$1002=DATE(2026,4,11)),ROW(Expenses!A$3:A$1002)-2),3)),"")&lt;&gt;"",IFERROR(INDEX(Expenses!B$3:B$1002,SMALL(IF((Expenses!E$3:E$1002="INR")*(Expenses!A$3:A$1002=DATE(2026,4,11)),ROW(Expenses!A$3:A$1002)-2),3)),""),IF(IFERROR(INDEX(Income!B$3:B$502,SMALL(IF((Income!D$3:D$502="INR")*(Income!A$3:A$502=DATE(2026,4,11)),ROW(Income!A$3:A$502)-2),3)),"")&lt;&gt;"",IFERROR(INDEX(Income!B$3:B$502,SMALL(IF((Income!D$3:D$502="INR")*(Income!A$3:A$502=DATE(2026,4,11)),ROW(Income!A$3:A$502)-2),3)),""),""))</f>
        <v/>
      </c>
      <c r="O76" s="63" t="str">
        <f aca="false">IF(IFERROR(-INDEX(Expenses!D$3:D$1002,SMALL(IF((Expenses!E$3:E$1002="INR")*(Expenses!A$3:A$1002=DATE(2026,4,12)),ROW(Expenses!A$3:A$1002)-2),3)),0)+IFERROR(INDEX(Income!C$3:C$502,SMALL(IF((Income!D$3:D$502="INR")*(Income!A$3:A$502=DATE(2026,4,12)),ROW(Income!A$3:A$502)-2),3)),0)=0,"",IFERROR(-INDEX(Expenses!D$3:D$1002,SMALL(IF((Expenses!E$3:E$1002="INR")*(Expenses!A$3:A$1002=DATE(2026,4,12)),ROW(Expenses!A$3:A$1002)-2),3)),0)+IFERROR(INDEX(Income!C$3:C$502,SMALL(IF((Income!D$3:D$502="INR")*(Income!A$3:A$502=DATE(2026,4,12)),ROW(Income!A$3:A$502)-2),3)),0))</f>
        <v/>
      </c>
      <c r="P76" s="38" t="str">
        <f aca="false">IF(IFERROR(INDEX(Expenses!B$3:B$1002,SMALL(IF((Expenses!E$3:E$1002="INR")*(Expenses!A$3:A$1002=DATE(2026,4,12)),ROW(Expenses!A$3:A$1002)-2),3)),"")&lt;&gt;"",IFERROR(INDEX(Expenses!B$3:B$1002,SMALL(IF((Expenses!E$3:E$1002="INR")*(Expenses!A$3:A$1002=DATE(2026,4,12)),ROW(Expenses!A$3:A$1002)-2),3)),""),IF(IFERROR(INDEX(Income!B$3:B$502,SMALL(IF((Income!D$3:D$502="INR")*(Income!A$3:A$502=DATE(2026,4,12)),ROW(Income!A$3:A$502)-2),3)),"")&lt;&gt;"",IFERROR(INDEX(Income!B$3:B$502,SMALL(IF((Income!D$3:D$502="INR")*(Income!A$3:A$502=DATE(2026,4,12)),ROW(Income!A$3:A$502)-2),3)),""),""))</f>
        <v/>
      </c>
      <c r="Q76" s="16"/>
      <c r="R76" s="16"/>
    </row>
    <row r="77" customFormat="false" ht="15" hidden="false" customHeight="false" outlineLevel="0" collapsed="false">
      <c r="A77" s="16"/>
      <c r="B77" s="16"/>
      <c r="C77" s="63" t="str">
        <f aca="false">IF(IFERROR(-INDEX(Expenses!D$3:D$1002,SMALL(IF((Expenses!E$3:E$1002="INR")*(Expenses!A$3:A$1002=DATE(2026,4,6)),ROW(Expenses!A$3:A$1002)-2),4)),0)+IFERROR(INDEX(Income!C$3:C$502,SMALL(IF((Income!D$3:D$502="INR")*(Income!A$3:A$502=DATE(2026,4,6)),ROW(Income!A$3:A$502)-2),4)),0)=0,"",IFERROR(-INDEX(Expenses!D$3:D$1002,SMALL(IF((Expenses!E$3:E$1002="INR")*(Expenses!A$3:A$1002=DATE(2026,4,6)),ROW(Expenses!A$3:A$1002)-2),4)),0)+IFERROR(INDEX(Income!C$3:C$502,SMALL(IF((Income!D$3:D$502="INR")*(Income!A$3:A$502=DATE(2026,4,6)),ROW(Income!A$3:A$502)-2),4)),0))</f>
        <v/>
      </c>
      <c r="D77" s="38" t="str">
        <f aca="false">IF(IFERROR(INDEX(Expenses!B$3:B$1002,SMALL(IF((Expenses!E$3:E$1002="INR")*(Expenses!A$3:A$1002=DATE(2026,4,6)),ROW(Expenses!A$3:A$1002)-2),4)),"")&lt;&gt;"",IFERROR(INDEX(Expenses!B$3:B$1002,SMALL(IF((Expenses!E$3:E$1002="INR")*(Expenses!A$3:A$1002=DATE(2026,4,6)),ROW(Expenses!A$3:A$1002)-2),4)),""),IF(IFERROR(INDEX(Income!B$3:B$502,SMALL(IF((Income!D$3:D$502="INR")*(Income!A$3:A$502=DATE(2026,4,6)),ROW(Income!A$3:A$502)-2),4)),"")&lt;&gt;"",IFERROR(INDEX(Income!B$3:B$502,SMALL(IF((Income!D$3:D$502="INR")*(Income!A$3:A$502=DATE(2026,4,6)),ROW(Income!A$3:A$502)-2),4)),""),""))</f>
        <v/>
      </c>
      <c r="E77" s="63" t="str">
        <f aca="false">IF(IFERROR(-INDEX(Expenses!D$3:D$1002,SMALL(IF((Expenses!E$3:E$1002="INR")*(Expenses!A$3:A$1002=DATE(2026,4,7)),ROW(Expenses!A$3:A$1002)-2),4)),0)+IFERROR(INDEX(Income!C$3:C$502,SMALL(IF((Income!D$3:D$502="INR")*(Income!A$3:A$502=DATE(2026,4,7)),ROW(Income!A$3:A$502)-2),4)),0)=0,"",IFERROR(-INDEX(Expenses!D$3:D$1002,SMALL(IF((Expenses!E$3:E$1002="INR")*(Expenses!A$3:A$1002=DATE(2026,4,7)),ROW(Expenses!A$3:A$1002)-2),4)),0)+IFERROR(INDEX(Income!C$3:C$502,SMALL(IF((Income!D$3:D$502="INR")*(Income!A$3:A$502=DATE(2026,4,7)),ROW(Income!A$3:A$502)-2),4)),0))</f>
        <v/>
      </c>
      <c r="F77" s="38" t="str">
        <f aca="false">IF(IFERROR(INDEX(Expenses!B$3:B$1002,SMALL(IF((Expenses!E$3:E$1002="INR")*(Expenses!A$3:A$1002=DATE(2026,4,7)),ROW(Expenses!A$3:A$1002)-2),4)),"")&lt;&gt;"",IFERROR(INDEX(Expenses!B$3:B$1002,SMALL(IF((Expenses!E$3:E$1002="INR")*(Expenses!A$3:A$1002=DATE(2026,4,7)),ROW(Expenses!A$3:A$1002)-2),4)),""),IF(IFERROR(INDEX(Income!B$3:B$502,SMALL(IF((Income!D$3:D$502="INR")*(Income!A$3:A$502=DATE(2026,4,7)),ROW(Income!A$3:A$502)-2),4)),"")&lt;&gt;"",IFERROR(INDEX(Income!B$3:B$502,SMALL(IF((Income!D$3:D$502="INR")*(Income!A$3:A$502=DATE(2026,4,7)),ROW(Income!A$3:A$502)-2),4)),""),""))</f>
        <v/>
      </c>
      <c r="G77" s="63" t="str">
        <f aca="false">IF(IFERROR(-INDEX(Expenses!D$3:D$1002,SMALL(IF((Expenses!E$3:E$1002="INR")*(Expenses!A$3:A$1002=DATE(2026,4,8)),ROW(Expenses!A$3:A$1002)-2),4)),0)+IFERROR(INDEX(Income!C$3:C$502,SMALL(IF((Income!D$3:D$502="INR")*(Income!A$3:A$502=DATE(2026,4,8)),ROW(Income!A$3:A$502)-2),4)),0)=0,"",IFERROR(-INDEX(Expenses!D$3:D$1002,SMALL(IF((Expenses!E$3:E$1002="INR")*(Expenses!A$3:A$1002=DATE(2026,4,8)),ROW(Expenses!A$3:A$1002)-2),4)),0)+IFERROR(INDEX(Income!C$3:C$502,SMALL(IF((Income!D$3:D$502="INR")*(Income!A$3:A$502=DATE(2026,4,8)),ROW(Income!A$3:A$502)-2),4)),0))</f>
        <v/>
      </c>
      <c r="H77" s="38" t="str">
        <f aca="false">IF(IFERROR(INDEX(Expenses!B$3:B$1002,SMALL(IF((Expenses!E$3:E$1002="INR")*(Expenses!A$3:A$1002=DATE(2026,4,8)),ROW(Expenses!A$3:A$1002)-2),4)),"")&lt;&gt;"",IFERROR(INDEX(Expenses!B$3:B$1002,SMALL(IF((Expenses!E$3:E$1002="INR")*(Expenses!A$3:A$1002=DATE(2026,4,8)),ROW(Expenses!A$3:A$1002)-2),4)),""),IF(IFERROR(INDEX(Income!B$3:B$502,SMALL(IF((Income!D$3:D$502="INR")*(Income!A$3:A$502=DATE(2026,4,8)),ROW(Income!A$3:A$502)-2),4)),"")&lt;&gt;"",IFERROR(INDEX(Income!B$3:B$502,SMALL(IF((Income!D$3:D$502="INR")*(Income!A$3:A$502=DATE(2026,4,8)),ROW(Income!A$3:A$502)-2),4)),""),""))</f>
        <v/>
      </c>
      <c r="I77" s="63" t="str">
        <f aca="false">IF(IFERROR(-INDEX(Expenses!D$3:D$1002,SMALL(IF((Expenses!E$3:E$1002="INR")*(Expenses!A$3:A$1002=DATE(2026,4,9)),ROW(Expenses!A$3:A$1002)-2),4)),0)+IFERROR(INDEX(Income!C$3:C$502,SMALL(IF((Income!D$3:D$502="INR")*(Income!A$3:A$502=DATE(2026,4,9)),ROW(Income!A$3:A$502)-2),4)),0)=0,"",IFERROR(-INDEX(Expenses!D$3:D$1002,SMALL(IF((Expenses!E$3:E$1002="INR")*(Expenses!A$3:A$1002=DATE(2026,4,9)),ROW(Expenses!A$3:A$1002)-2),4)),0)+IFERROR(INDEX(Income!C$3:C$502,SMALL(IF((Income!D$3:D$502="INR")*(Income!A$3:A$502=DATE(2026,4,9)),ROW(Income!A$3:A$502)-2),4)),0))</f>
        <v/>
      </c>
      <c r="J77" s="38" t="str">
        <f aca="false">IF(IFERROR(INDEX(Expenses!B$3:B$1002,SMALL(IF((Expenses!E$3:E$1002="INR")*(Expenses!A$3:A$1002=DATE(2026,4,9)),ROW(Expenses!A$3:A$1002)-2),4)),"")&lt;&gt;"",IFERROR(INDEX(Expenses!B$3:B$1002,SMALL(IF((Expenses!E$3:E$1002="INR")*(Expenses!A$3:A$1002=DATE(2026,4,9)),ROW(Expenses!A$3:A$1002)-2),4)),""),IF(IFERROR(INDEX(Income!B$3:B$502,SMALL(IF((Income!D$3:D$502="INR")*(Income!A$3:A$502=DATE(2026,4,9)),ROW(Income!A$3:A$502)-2),4)),"")&lt;&gt;"",IFERROR(INDEX(Income!B$3:B$502,SMALL(IF((Income!D$3:D$502="INR")*(Income!A$3:A$502=DATE(2026,4,9)),ROW(Income!A$3:A$502)-2),4)),""),""))</f>
        <v/>
      </c>
      <c r="K77" s="63" t="str">
        <f aca="false">IF(IFERROR(-INDEX(Expenses!D$3:D$1002,SMALL(IF((Expenses!E$3:E$1002="INR")*(Expenses!A$3:A$1002=DATE(2026,4,10)),ROW(Expenses!A$3:A$1002)-2),4)),0)+IFERROR(INDEX(Income!C$3:C$502,SMALL(IF((Income!D$3:D$502="INR")*(Income!A$3:A$502=DATE(2026,4,10)),ROW(Income!A$3:A$502)-2),4)),0)=0,"",IFERROR(-INDEX(Expenses!D$3:D$1002,SMALL(IF((Expenses!E$3:E$1002="INR")*(Expenses!A$3:A$1002=DATE(2026,4,10)),ROW(Expenses!A$3:A$1002)-2),4)),0)+IFERROR(INDEX(Income!C$3:C$502,SMALL(IF((Income!D$3:D$502="INR")*(Income!A$3:A$502=DATE(2026,4,10)),ROW(Income!A$3:A$502)-2),4)),0))</f>
        <v/>
      </c>
      <c r="L77" s="38" t="str">
        <f aca="false">IF(IFERROR(INDEX(Expenses!B$3:B$1002,SMALL(IF((Expenses!E$3:E$1002="INR")*(Expenses!A$3:A$1002=DATE(2026,4,10)),ROW(Expenses!A$3:A$1002)-2),4)),"")&lt;&gt;"",IFERROR(INDEX(Expenses!B$3:B$1002,SMALL(IF((Expenses!E$3:E$1002="INR")*(Expenses!A$3:A$1002=DATE(2026,4,10)),ROW(Expenses!A$3:A$1002)-2),4)),""),IF(IFERROR(INDEX(Income!B$3:B$502,SMALL(IF((Income!D$3:D$502="INR")*(Income!A$3:A$502=DATE(2026,4,10)),ROW(Income!A$3:A$502)-2),4)),"")&lt;&gt;"",IFERROR(INDEX(Income!B$3:B$502,SMALL(IF((Income!D$3:D$502="INR")*(Income!A$3:A$502=DATE(2026,4,10)),ROW(Income!A$3:A$502)-2),4)),""),""))</f>
        <v/>
      </c>
      <c r="M77" s="63" t="str">
        <f aca="false">IF(IFERROR(-INDEX(Expenses!D$3:D$1002,SMALL(IF((Expenses!E$3:E$1002="INR")*(Expenses!A$3:A$1002=DATE(2026,4,11)),ROW(Expenses!A$3:A$1002)-2),4)),0)+IFERROR(INDEX(Income!C$3:C$502,SMALL(IF((Income!D$3:D$502="INR")*(Income!A$3:A$502=DATE(2026,4,11)),ROW(Income!A$3:A$502)-2),4)),0)=0,"",IFERROR(-INDEX(Expenses!D$3:D$1002,SMALL(IF((Expenses!E$3:E$1002="INR")*(Expenses!A$3:A$1002=DATE(2026,4,11)),ROW(Expenses!A$3:A$1002)-2),4)),0)+IFERROR(INDEX(Income!C$3:C$502,SMALL(IF((Income!D$3:D$502="INR")*(Income!A$3:A$502=DATE(2026,4,11)),ROW(Income!A$3:A$502)-2),4)),0))</f>
        <v/>
      </c>
      <c r="N77" s="38" t="str">
        <f aca="false">IF(IFERROR(INDEX(Expenses!B$3:B$1002,SMALL(IF((Expenses!E$3:E$1002="INR")*(Expenses!A$3:A$1002=DATE(2026,4,11)),ROW(Expenses!A$3:A$1002)-2),4)),"")&lt;&gt;"",IFERROR(INDEX(Expenses!B$3:B$1002,SMALL(IF((Expenses!E$3:E$1002="INR")*(Expenses!A$3:A$1002=DATE(2026,4,11)),ROW(Expenses!A$3:A$1002)-2),4)),""),IF(IFERROR(INDEX(Income!B$3:B$502,SMALL(IF((Income!D$3:D$502="INR")*(Income!A$3:A$502=DATE(2026,4,11)),ROW(Income!A$3:A$502)-2),4)),"")&lt;&gt;"",IFERROR(INDEX(Income!B$3:B$502,SMALL(IF((Income!D$3:D$502="INR")*(Income!A$3:A$502=DATE(2026,4,11)),ROW(Income!A$3:A$502)-2),4)),""),""))</f>
        <v/>
      </c>
      <c r="O77" s="63" t="str">
        <f aca="false">IF(IFERROR(-INDEX(Expenses!D$3:D$1002,SMALL(IF((Expenses!E$3:E$1002="INR")*(Expenses!A$3:A$1002=DATE(2026,4,12)),ROW(Expenses!A$3:A$1002)-2),4)),0)+IFERROR(INDEX(Income!C$3:C$502,SMALL(IF((Income!D$3:D$502="INR")*(Income!A$3:A$502=DATE(2026,4,12)),ROW(Income!A$3:A$502)-2),4)),0)=0,"",IFERROR(-INDEX(Expenses!D$3:D$1002,SMALL(IF((Expenses!E$3:E$1002="INR")*(Expenses!A$3:A$1002=DATE(2026,4,12)),ROW(Expenses!A$3:A$1002)-2),4)),0)+IFERROR(INDEX(Income!C$3:C$502,SMALL(IF((Income!D$3:D$502="INR")*(Income!A$3:A$502=DATE(2026,4,12)),ROW(Income!A$3:A$502)-2),4)),0))</f>
        <v/>
      </c>
      <c r="P77" s="38" t="str">
        <f aca="false">IF(IFERROR(INDEX(Expenses!B$3:B$1002,SMALL(IF((Expenses!E$3:E$1002="INR")*(Expenses!A$3:A$1002=DATE(2026,4,12)),ROW(Expenses!A$3:A$1002)-2),4)),"")&lt;&gt;"",IFERROR(INDEX(Expenses!B$3:B$1002,SMALL(IF((Expenses!E$3:E$1002="INR")*(Expenses!A$3:A$1002=DATE(2026,4,12)),ROW(Expenses!A$3:A$1002)-2),4)),""),IF(IFERROR(INDEX(Income!B$3:B$502,SMALL(IF((Income!D$3:D$502="INR")*(Income!A$3:A$502=DATE(2026,4,12)),ROW(Income!A$3:A$502)-2),4)),"")&lt;&gt;"",IFERROR(INDEX(Income!B$3:B$502,SMALL(IF((Income!D$3:D$502="INR")*(Income!A$3:A$502=DATE(2026,4,12)),ROW(Income!A$3:A$502)-2),4)),""),""))</f>
        <v/>
      </c>
      <c r="Q77" s="16"/>
      <c r="R77" s="16"/>
    </row>
    <row r="78" customFormat="false" ht="15" hidden="false" customHeight="false" outlineLevel="0" collapsed="false">
      <c r="A78" s="16"/>
      <c r="B78" s="16"/>
      <c r="C78" s="63" t="str">
        <f aca="false">IF(IFERROR(-INDEX(Expenses!D$3:D$1002,SMALL(IF((Expenses!E$3:E$1002="INR")*(Expenses!A$3:A$1002=DATE(2026,4,6)),ROW(Expenses!A$3:A$1002)-2),5)),0)+IFERROR(INDEX(Income!C$3:C$502,SMALL(IF((Income!D$3:D$502="INR")*(Income!A$3:A$502=DATE(2026,4,6)),ROW(Income!A$3:A$502)-2),5)),0)=0,"",IFERROR(-INDEX(Expenses!D$3:D$1002,SMALL(IF((Expenses!E$3:E$1002="INR")*(Expenses!A$3:A$1002=DATE(2026,4,6)),ROW(Expenses!A$3:A$1002)-2),5)),0)+IFERROR(INDEX(Income!C$3:C$502,SMALL(IF((Income!D$3:D$502="INR")*(Income!A$3:A$502=DATE(2026,4,6)),ROW(Income!A$3:A$502)-2),5)),0))</f>
        <v/>
      </c>
      <c r="D78" s="38" t="str">
        <f aca="false">IF(IFERROR(INDEX(Expenses!B$3:B$1002,SMALL(IF((Expenses!E$3:E$1002="INR")*(Expenses!A$3:A$1002=DATE(2026,4,6)),ROW(Expenses!A$3:A$1002)-2),5)),"")&lt;&gt;"",IFERROR(INDEX(Expenses!B$3:B$1002,SMALL(IF((Expenses!E$3:E$1002="INR")*(Expenses!A$3:A$1002=DATE(2026,4,6)),ROW(Expenses!A$3:A$1002)-2),5)),""),IF(IFERROR(INDEX(Income!B$3:B$502,SMALL(IF((Income!D$3:D$502="INR")*(Income!A$3:A$502=DATE(2026,4,6)),ROW(Income!A$3:A$502)-2),5)),"")&lt;&gt;"",IFERROR(INDEX(Income!B$3:B$502,SMALL(IF((Income!D$3:D$502="INR")*(Income!A$3:A$502=DATE(2026,4,6)),ROW(Income!A$3:A$502)-2),5)),""),""))</f>
        <v/>
      </c>
      <c r="E78" s="63" t="str">
        <f aca="false">IF(IFERROR(-INDEX(Expenses!D$3:D$1002,SMALL(IF((Expenses!E$3:E$1002="INR")*(Expenses!A$3:A$1002=DATE(2026,4,7)),ROW(Expenses!A$3:A$1002)-2),5)),0)+IFERROR(INDEX(Income!C$3:C$502,SMALL(IF((Income!D$3:D$502="INR")*(Income!A$3:A$502=DATE(2026,4,7)),ROW(Income!A$3:A$502)-2),5)),0)=0,"",IFERROR(-INDEX(Expenses!D$3:D$1002,SMALL(IF((Expenses!E$3:E$1002="INR")*(Expenses!A$3:A$1002=DATE(2026,4,7)),ROW(Expenses!A$3:A$1002)-2),5)),0)+IFERROR(INDEX(Income!C$3:C$502,SMALL(IF((Income!D$3:D$502="INR")*(Income!A$3:A$502=DATE(2026,4,7)),ROW(Income!A$3:A$502)-2),5)),0))</f>
        <v/>
      </c>
      <c r="F78" s="38" t="str">
        <f aca="false">IF(IFERROR(INDEX(Expenses!B$3:B$1002,SMALL(IF((Expenses!E$3:E$1002="INR")*(Expenses!A$3:A$1002=DATE(2026,4,7)),ROW(Expenses!A$3:A$1002)-2),5)),"")&lt;&gt;"",IFERROR(INDEX(Expenses!B$3:B$1002,SMALL(IF((Expenses!E$3:E$1002="INR")*(Expenses!A$3:A$1002=DATE(2026,4,7)),ROW(Expenses!A$3:A$1002)-2),5)),""),IF(IFERROR(INDEX(Income!B$3:B$502,SMALL(IF((Income!D$3:D$502="INR")*(Income!A$3:A$502=DATE(2026,4,7)),ROW(Income!A$3:A$502)-2),5)),"")&lt;&gt;"",IFERROR(INDEX(Income!B$3:B$502,SMALL(IF((Income!D$3:D$502="INR")*(Income!A$3:A$502=DATE(2026,4,7)),ROW(Income!A$3:A$502)-2),5)),""),""))</f>
        <v/>
      </c>
      <c r="G78" s="63" t="str">
        <f aca="false">IF(IFERROR(-INDEX(Expenses!D$3:D$1002,SMALL(IF((Expenses!E$3:E$1002="INR")*(Expenses!A$3:A$1002=DATE(2026,4,8)),ROW(Expenses!A$3:A$1002)-2),5)),0)+IFERROR(INDEX(Income!C$3:C$502,SMALL(IF((Income!D$3:D$502="INR")*(Income!A$3:A$502=DATE(2026,4,8)),ROW(Income!A$3:A$502)-2),5)),0)=0,"",IFERROR(-INDEX(Expenses!D$3:D$1002,SMALL(IF((Expenses!E$3:E$1002="INR")*(Expenses!A$3:A$1002=DATE(2026,4,8)),ROW(Expenses!A$3:A$1002)-2),5)),0)+IFERROR(INDEX(Income!C$3:C$502,SMALL(IF((Income!D$3:D$502="INR")*(Income!A$3:A$502=DATE(2026,4,8)),ROW(Income!A$3:A$502)-2),5)),0))</f>
        <v/>
      </c>
      <c r="H78" s="38" t="str">
        <f aca="false">IF(IFERROR(INDEX(Expenses!B$3:B$1002,SMALL(IF((Expenses!E$3:E$1002="INR")*(Expenses!A$3:A$1002=DATE(2026,4,8)),ROW(Expenses!A$3:A$1002)-2),5)),"")&lt;&gt;"",IFERROR(INDEX(Expenses!B$3:B$1002,SMALL(IF((Expenses!E$3:E$1002="INR")*(Expenses!A$3:A$1002=DATE(2026,4,8)),ROW(Expenses!A$3:A$1002)-2),5)),""),IF(IFERROR(INDEX(Income!B$3:B$502,SMALL(IF((Income!D$3:D$502="INR")*(Income!A$3:A$502=DATE(2026,4,8)),ROW(Income!A$3:A$502)-2),5)),"")&lt;&gt;"",IFERROR(INDEX(Income!B$3:B$502,SMALL(IF((Income!D$3:D$502="INR")*(Income!A$3:A$502=DATE(2026,4,8)),ROW(Income!A$3:A$502)-2),5)),""),""))</f>
        <v/>
      </c>
      <c r="I78" s="63" t="str">
        <f aca="false">IF(IFERROR(-INDEX(Expenses!D$3:D$1002,SMALL(IF((Expenses!E$3:E$1002="INR")*(Expenses!A$3:A$1002=DATE(2026,4,9)),ROW(Expenses!A$3:A$1002)-2),5)),0)+IFERROR(INDEX(Income!C$3:C$502,SMALL(IF((Income!D$3:D$502="INR")*(Income!A$3:A$502=DATE(2026,4,9)),ROW(Income!A$3:A$502)-2),5)),0)=0,"",IFERROR(-INDEX(Expenses!D$3:D$1002,SMALL(IF((Expenses!E$3:E$1002="INR")*(Expenses!A$3:A$1002=DATE(2026,4,9)),ROW(Expenses!A$3:A$1002)-2),5)),0)+IFERROR(INDEX(Income!C$3:C$502,SMALL(IF((Income!D$3:D$502="INR")*(Income!A$3:A$502=DATE(2026,4,9)),ROW(Income!A$3:A$502)-2),5)),0))</f>
        <v/>
      </c>
      <c r="J78" s="38" t="str">
        <f aca="false">IF(IFERROR(INDEX(Expenses!B$3:B$1002,SMALL(IF((Expenses!E$3:E$1002="INR")*(Expenses!A$3:A$1002=DATE(2026,4,9)),ROW(Expenses!A$3:A$1002)-2),5)),"")&lt;&gt;"",IFERROR(INDEX(Expenses!B$3:B$1002,SMALL(IF((Expenses!E$3:E$1002="INR")*(Expenses!A$3:A$1002=DATE(2026,4,9)),ROW(Expenses!A$3:A$1002)-2),5)),""),IF(IFERROR(INDEX(Income!B$3:B$502,SMALL(IF((Income!D$3:D$502="INR")*(Income!A$3:A$502=DATE(2026,4,9)),ROW(Income!A$3:A$502)-2),5)),"")&lt;&gt;"",IFERROR(INDEX(Income!B$3:B$502,SMALL(IF((Income!D$3:D$502="INR")*(Income!A$3:A$502=DATE(2026,4,9)),ROW(Income!A$3:A$502)-2),5)),""),""))</f>
        <v/>
      </c>
      <c r="K78" s="63" t="str">
        <f aca="false">IF(IFERROR(-INDEX(Expenses!D$3:D$1002,SMALL(IF((Expenses!E$3:E$1002="INR")*(Expenses!A$3:A$1002=DATE(2026,4,10)),ROW(Expenses!A$3:A$1002)-2),5)),0)+IFERROR(INDEX(Income!C$3:C$502,SMALL(IF((Income!D$3:D$502="INR")*(Income!A$3:A$502=DATE(2026,4,10)),ROW(Income!A$3:A$502)-2),5)),0)=0,"",IFERROR(-INDEX(Expenses!D$3:D$1002,SMALL(IF((Expenses!E$3:E$1002="INR")*(Expenses!A$3:A$1002=DATE(2026,4,10)),ROW(Expenses!A$3:A$1002)-2),5)),0)+IFERROR(INDEX(Income!C$3:C$502,SMALL(IF((Income!D$3:D$502="INR")*(Income!A$3:A$502=DATE(2026,4,10)),ROW(Income!A$3:A$502)-2),5)),0))</f>
        <v/>
      </c>
      <c r="L78" s="38" t="str">
        <f aca="false">IF(IFERROR(INDEX(Expenses!B$3:B$1002,SMALL(IF((Expenses!E$3:E$1002="INR")*(Expenses!A$3:A$1002=DATE(2026,4,10)),ROW(Expenses!A$3:A$1002)-2),5)),"")&lt;&gt;"",IFERROR(INDEX(Expenses!B$3:B$1002,SMALL(IF((Expenses!E$3:E$1002="INR")*(Expenses!A$3:A$1002=DATE(2026,4,10)),ROW(Expenses!A$3:A$1002)-2),5)),""),IF(IFERROR(INDEX(Income!B$3:B$502,SMALL(IF((Income!D$3:D$502="INR")*(Income!A$3:A$502=DATE(2026,4,10)),ROW(Income!A$3:A$502)-2),5)),"")&lt;&gt;"",IFERROR(INDEX(Income!B$3:B$502,SMALL(IF((Income!D$3:D$502="INR")*(Income!A$3:A$502=DATE(2026,4,10)),ROW(Income!A$3:A$502)-2),5)),""),""))</f>
        <v/>
      </c>
      <c r="M78" s="63" t="str">
        <f aca="false">IF(IFERROR(-INDEX(Expenses!D$3:D$1002,SMALL(IF((Expenses!E$3:E$1002="INR")*(Expenses!A$3:A$1002=DATE(2026,4,11)),ROW(Expenses!A$3:A$1002)-2),5)),0)+IFERROR(INDEX(Income!C$3:C$502,SMALL(IF((Income!D$3:D$502="INR")*(Income!A$3:A$502=DATE(2026,4,11)),ROW(Income!A$3:A$502)-2),5)),0)=0,"",IFERROR(-INDEX(Expenses!D$3:D$1002,SMALL(IF((Expenses!E$3:E$1002="INR")*(Expenses!A$3:A$1002=DATE(2026,4,11)),ROW(Expenses!A$3:A$1002)-2),5)),0)+IFERROR(INDEX(Income!C$3:C$502,SMALL(IF((Income!D$3:D$502="INR")*(Income!A$3:A$502=DATE(2026,4,11)),ROW(Income!A$3:A$502)-2),5)),0))</f>
        <v/>
      </c>
      <c r="N78" s="38" t="str">
        <f aca="false">IF(IFERROR(INDEX(Expenses!B$3:B$1002,SMALL(IF((Expenses!E$3:E$1002="INR")*(Expenses!A$3:A$1002=DATE(2026,4,11)),ROW(Expenses!A$3:A$1002)-2),5)),"")&lt;&gt;"",IFERROR(INDEX(Expenses!B$3:B$1002,SMALL(IF((Expenses!E$3:E$1002="INR")*(Expenses!A$3:A$1002=DATE(2026,4,11)),ROW(Expenses!A$3:A$1002)-2),5)),""),IF(IFERROR(INDEX(Income!B$3:B$502,SMALL(IF((Income!D$3:D$502="INR")*(Income!A$3:A$502=DATE(2026,4,11)),ROW(Income!A$3:A$502)-2),5)),"")&lt;&gt;"",IFERROR(INDEX(Income!B$3:B$502,SMALL(IF((Income!D$3:D$502="INR")*(Income!A$3:A$502=DATE(2026,4,11)),ROW(Income!A$3:A$502)-2),5)),""),""))</f>
        <v/>
      </c>
      <c r="O78" s="63" t="str">
        <f aca="false">IF(IFERROR(-INDEX(Expenses!D$3:D$1002,SMALL(IF((Expenses!E$3:E$1002="INR")*(Expenses!A$3:A$1002=DATE(2026,4,12)),ROW(Expenses!A$3:A$1002)-2),5)),0)+IFERROR(INDEX(Income!C$3:C$502,SMALL(IF((Income!D$3:D$502="INR")*(Income!A$3:A$502=DATE(2026,4,12)),ROW(Income!A$3:A$502)-2),5)),0)=0,"",IFERROR(-INDEX(Expenses!D$3:D$1002,SMALL(IF((Expenses!E$3:E$1002="INR")*(Expenses!A$3:A$1002=DATE(2026,4,12)),ROW(Expenses!A$3:A$1002)-2),5)),0)+IFERROR(INDEX(Income!C$3:C$502,SMALL(IF((Income!D$3:D$502="INR")*(Income!A$3:A$502=DATE(2026,4,12)),ROW(Income!A$3:A$502)-2),5)),0))</f>
        <v/>
      </c>
      <c r="P78" s="38" t="str">
        <f aca="false">IF(IFERROR(INDEX(Expenses!B$3:B$1002,SMALL(IF((Expenses!E$3:E$1002="INR")*(Expenses!A$3:A$1002=DATE(2026,4,12)),ROW(Expenses!A$3:A$1002)-2),5)),"")&lt;&gt;"",IFERROR(INDEX(Expenses!B$3:B$1002,SMALL(IF((Expenses!E$3:E$1002="INR")*(Expenses!A$3:A$1002=DATE(2026,4,12)),ROW(Expenses!A$3:A$1002)-2),5)),""),IF(IFERROR(INDEX(Income!B$3:B$502,SMALL(IF((Income!D$3:D$502="INR")*(Income!A$3:A$502=DATE(2026,4,12)),ROW(Income!A$3:A$502)-2),5)),"")&lt;&gt;"",IFERROR(INDEX(Income!B$3:B$502,SMALL(IF((Income!D$3:D$502="INR")*(Income!A$3:A$502=DATE(2026,4,12)),ROW(Income!A$3:A$502)-2),5)),""),""))</f>
        <v/>
      </c>
      <c r="Q78" s="16"/>
      <c r="R78" s="16"/>
    </row>
    <row r="79" customFormat="false" ht="15" hidden="false" customHeight="false" outlineLevel="0" collapsed="false">
      <c r="A79" s="61" t="n">
        <v>46125</v>
      </c>
      <c r="B79" s="3" t="n">
        <v>16</v>
      </c>
      <c r="C79" s="63" t="str">
        <f aca="false">IF(IFERROR(-INDEX(Expenses!D$3:D$1002,SMALL(IF((Expenses!E$3:E$1002="INR")*(Expenses!A$3:A$1002=DATE(2026,4,13)),ROW(Expenses!A$3:A$1002)-2),1)),0)+IFERROR(INDEX(Income!C$3:C$502,SMALL(IF((Income!D$3:D$502="INR")*(Income!A$3:A$502=DATE(2026,4,13)),ROW(Income!A$3:A$502)-2),1)),0)=0,"",IFERROR(-INDEX(Expenses!D$3:D$1002,SMALL(IF((Expenses!E$3:E$1002="INR")*(Expenses!A$3:A$1002=DATE(2026,4,13)),ROW(Expenses!A$3:A$1002)-2),1)),0)+IFERROR(INDEX(Income!C$3:C$502,SMALL(IF((Income!D$3:D$502="INR")*(Income!A$3:A$502=DATE(2026,4,13)),ROW(Income!A$3:A$502)-2),1)),0))</f>
        <v/>
      </c>
      <c r="D79" s="38" t="str">
        <f aca="false">IF(IFERROR(INDEX(Expenses!B$3:B$1002,SMALL(IF((Expenses!E$3:E$1002="INR")*(Expenses!A$3:A$1002=DATE(2026,4,13)),ROW(Expenses!A$3:A$1002)-2),1)),"")&lt;&gt;"",IFERROR(INDEX(Expenses!B$3:B$1002,SMALL(IF((Expenses!E$3:E$1002="INR")*(Expenses!A$3:A$1002=DATE(2026,4,13)),ROW(Expenses!A$3:A$1002)-2),1)),""),IF(IFERROR(INDEX(Income!B$3:B$502,SMALL(IF((Income!D$3:D$502="INR")*(Income!A$3:A$502=DATE(2026,4,13)),ROW(Income!A$3:A$502)-2),1)),"")&lt;&gt;"",IFERROR(INDEX(Income!B$3:B$502,SMALL(IF((Income!D$3:D$502="INR")*(Income!A$3:A$502=DATE(2026,4,13)),ROW(Income!A$3:A$502)-2),1)),""),""))</f>
        <v/>
      </c>
      <c r="E79" s="63" t="str">
        <f aca="false">IF(IFERROR(-INDEX(Expenses!D$3:D$1002,SMALL(IF((Expenses!E$3:E$1002="INR")*(Expenses!A$3:A$1002=DATE(2026,4,14)),ROW(Expenses!A$3:A$1002)-2),1)),0)+IFERROR(INDEX(Income!C$3:C$502,SMALL(IF((Income!D$3:D$502="INR")*(Income!A$3:A$502=DATE(2026,4,14)),ROW(Income!A$3:A$502)-2),1)),0)=0,"",IFERROR(-INDEX(Expenses!D$3:D$1002,SMALL(IF((Expenses!E$3:E$1002="INR")*(Expenses!A$3:A$1002=DATE(2026,4,14)),ROW(Expenses!A$3:A$1002)-2),1)),0)+IFERROR(INDEX(Income!C$3:C$502,SMALL(IF((Income!D$3:D$502="INR")*(Income!A$3:A$502=DATE(2026,4,14)),ROW(Income!A$3:A$502)-2),1)),0))</f>
        <v/>
      </c>
      <c r="F79" s="38" t="str">
        <f aca="false">IF(IFERROR(INDEX(Expenses!B$3:B$1002,SMALL(IF((Expenses!E$3:E$1002="INR")*(Expenses!A$3:A$1002=DATE(2026,4,14)),ROW(Expenses!A$3:A$1002)-2),1)),"")&lt;&gt;"",IFERROR(INDEX(Expenses!B$3:B$1002,SMALL(IF((Expenses!E$3:E$1002="INR")*(Expenses!A$3:A$1002=DATE(2026,4,14)),ROW(Expenses!A$3:A$1002)-2),1)),""),IF(IFERROR(INDEX(Income!B$3:B$502,SMALL(IF((Income!D$3:D$502="INR")*(Income!A$3:A$502=DATE(2026,4,14)),ROW(Income!A$3:A$502)-2),1)),"")&lt;&gt;"",IFERROR(INDEX(Income!B$3:B$502,SMALL(IF((Income!D$3:D$502="INR")*(Income!A$3:A$502=DATE(2026,4,14)),ROW(Income!A$3:A$502)-2),1)),""),""))</f>
        <v/>
      </c>
      <c r="G79" s="63" t="str">
        <f aca="false">IF(IFERROR(-INDEX(Expenses!D$3:D$1002,SMALL(IF((Expenses!E$3:E$1002="INR")*(Expenses!A$3:A$1002=DATE(2026,4,15)),ROW(Expenses!A$3:A$1002)-2),1)),0)+IFERROR(INDEX(Income!C$3:C$502,SMALL(IF((Income!D$3:D$502="INR")*(Income!A$3:A$502=DATE(2026,4,15)),ROW(Income!A$3:A$502)-2),1)),0)=0,"",IFERROR(-INDEX(Expenses!D$3:D$1002,SMALL(IF((Expenses!E$3:E$1002="INR")*(Expenses!A$3:A$1002=DATE(2026,4,15)),ROW(Expenses!A$3:A$1002)-2),1)),0)+IFERROR(INDEX(Income!C$3:C$502,SMALL(IF((Income!D$3:D$502="INR")*(Income!A$3:A$502=DATE(2026,4,15)),ROW(Income!A$3:A$502)-2),1)),0))</f>
        <v/>
      </c>
      <c r="H79" s="38" t="str">
        <f aca="false">IF(IFERROR(INDEX(Expenses!B$3:B$1002,SMALL(IF((Expenses!E$3:E$1002="INR")*(Expenses!A$3:A$1002=DATE(2026,4,15)),ROW(Expenses!A$3:A$1002)-2),1)),"")&lt;&gt;"",IFERROR(INDEX(Expenses!B$3:B$1002,SMALL(IF((Expenses!E$3:E$1002="INR")*(Expenses!A$3:A$1002=DATE(2026,4,15)),ROW(Expenses!A$3:A$1002)-2),1)),""),IF(IFERROR(INDEX(Income!B$3:B$502,SMALL(IF((Income!D$3:D$502="INR")*(Income!A$3:A$502=DATE(2026,4,15)),ROW(Income!A$3:A$502)-2),1)),"")&lt;&gt;"",IFERROR(INDEX(Income!B$3:B$502,SMALL(IF((Income!D$3:D$502="INR")*(Income!A$3:A$502=DATE(2026,4,15)),ROW(Income!A$3:A$502)-2),1)),""),""))</f>
        <v/>
      </c>
      <c r="I79" s="63" t="str">
        <f aca="false">IF(IFERROR(-INDEX(Expenses!D$3:D$1002,SMALL(IF((Expenses!E$3:E$1002="INR")*(Expenses!A$3:A$1002=DATE(2026,4,16)),ROW(Expenses!A$3:A$1002)-2),1)),0)+IFERROR(INDEX(Income!C$3:C$502,SMALL(IF((Income!D$3:D$502="INR")*(Income!A$3:A$502=DATE(2026,4,16)),ROW(Income!A$3:A$502)-2),1)),0)=0,"",IFERROR(-INDEX(Expenses!D$3:D$1002,SMALL(IF((Expenses!E$3:E$1002="INR")*(Expenses!A$3:A$1002=DATE(2026,4,16)),ROW(Expenses!A$3:A$1002)-2),1)),0)+IFERROR(INDEX(Income!C$3:C$502,SMALL(IF((Income!D$3:D$502="INR")*(Income!A$3:A$502=DATE(2026,4,16)),ROW(Income!A$3:A$502)-2),1)),0))</f>
        <v/>
      </c>
      <c r="J79" s="38" t="str">
        <f aca="false">IF(IFERROR(INDEX(Expenses!B$3:B$1002,SMALL(IF((Expenses!E$3:E$1002="INR")*(Expenses!A$3:A$1002=DATE(2026,4,16)),ROW(Expenses!A$3:A$1002)-2),1)),"")&lt;&gt;"",IFERROR(INDEX(Expenses!B$3:B$1002,SMALL(IF((Expenses!E$3:E$1002="INR")*(Expenses!A$3:A$1002=DATE(2026,4,16)),ROW(Expenses!A$3:A$1002)-2),1)),""),IF(IFERROR(INDEX(Income!B$3:B$502,SMALL(IF((Income!D$3:D$502="INR")*(Income!A$3:A$502=DATE(2026,4,16)),ROW(Income!A$3:A$502)-2),1)),"")&lt;&gt;"",IFERROR(INDEX(Income!B$3:B$502,SMALL(IF((Income!D$3:D$502="INR")*(Income!A$3:A$502=DATE(2026,4,16)),ROW(Income!A$3:A$502)-2),1)),""),""))</f>
        <v/>
      </c>
      <c r="K79" s="63" t="str">
        <f aca="false">IF(IFERROR(-INDEX(Expenses!D$3:D$1002,SMALL(IF((Expenses!E$3:E$1002="INR")*(Expenses!A$3:A$1002=DATE(2026,4,17)),ROW(Expenses!A$3:A$1002)-2),1)),0)+IFERROR(INDEX(Income!C$3:C$502,SMALL(IF((Income!D$3:D$502="INR")*(Income!A$3:A$502=DATE(2026,4,17)),ROW(Income!A$3:A$502)-2),1)),0)=0,"",IFERROR(-INDEX(Expenses!D$3:D$1002,SMALL(IF((Expenses!E$3:E$1002="INR")*(Expenses!A$3:A$1002=DATE(2026,4,17)),ROW(Expenses!A$3:A$1002)-2),1)),0)+IFERROR(INDEX(Income!C$3:C$502,SMALL(IF((Income!D$3:D$502="INR")*(Income!A$3:A$502=DATE(2026,4,17)),ROW(Income!A$3:A$502)-2),1)),0))</f>
        <v/>
      </c>
      <c r="L79" s="38" t="str">
        <f aca="false">IF(IFERROR(INDEX(Expenses!B$3:B$1002,SMALL(IF((Expenses!E$3:E$1002="INR")*(Expenses!A$3:A$1002=DATE(2026,4,17)),ROW(Expenses!A$3:A$1002)-2),1)),"")&lt;&gt;"",IFERROR(INDEX(Expenses!B$3:B$1002,SMALL(IF((Expenses!E$3:E$1002="INR")*(Expenses!A$3:A$1002=DATE(2026,4,17)),ROW(Expenses!A$3:A$1002)-2),1)),""),IF(IFERROR(INDEX(Income!B$3:B$502,SMALL(IF((Income!D$3:D$502="INR")*(Income!A$3:A$502=DATE(2026,4,17)),ROW(Income!A$3:A$502)-2),1)),"")&lt;&gt;"",IFERROR(INDEX(Income!B$3:B$502,SMALL(IF((Income!D$3:D$502="INR")*(Income!A$3:A$502=DATE(2026,4,17)),ROW(Income!A$3:A$502)-2),1)),""),""))</f>
        <v/>
      </c>
      <c r="M79" s="63" t="str">
        <f aca="false">IF(IFERROR(-INDEX(Expenses!D$3:D$1002,SMALL(IF((Expenses!E$3:E$1002="INR")*(Expenses!A$3:A$1002=DATE(2026,4,18)),ROW(Expenses!A$3:A$1002)-2),1)),0)+IFERROR(INDEX(Income!C$3:C$502,SMALL(IF((Income!D$3:D$502="INR")*(Income!A$3:A$502=DATE(2026,4,18)),ROW(Income!A$3:A$502)-2),1)),0)=0,"",IFERROR(-INDEX(Expenses!D$3:D$1002,SMALL(IF((Expenses!E$3:E$1002="INR")*(Expenses!A$3:A$1002=DATE(2026,4,18)),ROW(Expenses!A$3:A$1002)-2),1)),0)+IFERROR(INDEX(Income!C$3:C$502,SMALL(IF((Income!D$3:D$502="INR")*(Income!A$3:A$502=DATE(2026,4,18)),ROW(Income!A$3:A$502)-2),1)),0))</f>
        <v/>
      </c>
      <c r="N79" s="38" t="str">
        <f aca="false">IF(IFERROR(INDEX(Expenses!B$3:B$1002,SMALL(IF((Expenses!E$3:E$1002="INR")*(Expenses!A$3:A$1002=DATE(2026,4,18)),ROW(Expenses!A$3:A$1002)-2),1)),"")&lt;&gt;"",IFERROR(INDEX(Expenses!B$3:B$1002,SMALL(IF((Expenses!E$3:E$1002="INR")*(Expenses!A$3:A$1002=DATE(2026,4,18)),ROW(Expenses!A$3:A$1002)-2),1)),""),IF(IFERROR(INDEX(Income!B$3:B$502,SMALL(IF((Income!D$3:D$502="INR")*(Income!A$3:A$502=DATE(2026,4,18)),ROW(Income!A$3:A$502)-2),1)),"")&lt;&gt;"",IFERROR(INDEX(Income!B$3:B$502,SMALL(IF((Income!D$3:D$502="INR")*(Income!A$3:A$502=DATE(2026,4,18)),ROW(Income!A$3:A$502)-2),1)),""),""))</f>
        <v/>
      </c>
      <c r="O79" s="63" t="str">
        <f aca="false">IF(IFERROR(-INDEX(Expenses!D$3:D$1002,SMALL(IF((Expenses!E$3:E$1002="INR")*(Expenses!A$3:A$1002=DATE(2026,4,19)),ROW(Expenses!A$3:A$1002)-2),1)),0)+IFERROR(INDEX(Income!C$3:C$502,SMALL(IF((Income!D$3:D$502="INR")*(Income!A$3:A$502=DATE(2026,4,19)),ROW(Income!A$3:A$502)-2),1)),0)=0,"",IFERROR(-INDEX(Expenses!D$3:D$1002,SMALL(IF((Expenses!E$3:E$1002="INR")*(Expenses!A$3:A$1002=DATE(2026,4,19)),ROW(Expenses!A$3:A$1002)-2),1)),0)+IFERROR(INDEX(Income!C$3:C$502,SMALL(IF((Income!D$3:D$502="INR")*(Income!A$3:A$502=DATE(2026,4,19)),ROW(Income!A$3:A$502)-2),1)),0))</f>
        <v/>
      </c>
      <c r="P79" s="38" t="str">
        <f aca="false">IF(IFERROR(INDEX(Expenses!B$3:B$1002,SMALL(IF((Expenses!E$3:E$1002="INR")*(Expenses!A$3:A$1002=DATE(2026,4,19)),ROW(Expenses!A$3:A$1002)-2),1)),"")&lt;&gt;"",IFERROR(INDEX(Expenses!B$3:B$1002,SMALL(IF((Expenses!E$3:E$1002="INR")*(Expenses!A$3:A$1002=DATE(2026,4,19)),ROW(Expenses!A$3:A$1002)-2),1)),""),IF(IFERROR(INDEX(Income!B$3:B$502,SMALL(IF((Income!D$3:D$502="INR")*(Income!A$3:A$502=DATE(2026,4,19)),ROW(Income!A$3:A$502)-2),1)),"")&lt;&gt;"",IFERROR(INDEX(Income!B$3:B$502,SMALL(IF((Income!D$3:D$502="INR")*(Income!A$3:A$502=DATE(2026,4,19)),ROW(Income!A$3:A$502)-2),1)),""),""))</f>
        <v/>
      </c>
      <c r="Q79" s="3" t="n">
        <v>16</v>
      </c>
      <c r="R79" s="53" t="n">
        <f aca="false">SUM(C79:C83)+SUM(E79:E83)+SUM(G79:G83)+SUM(I79:I83)+SUM(K79:K83)+SUM(M79:M83)+SUM(O79:O83)</f>
        <v>0</v>
      </c>
    </row>
    <row r="80" customFormat="false" ht="15" hidden="false" customHeight="false" outlineLevel="0" collapsed="false">
      <c r="A80" s="16"/>
      <c r="B80" s="16"/>
      <c r="C80" s="63" t="str">
        <f aca="false">IF(IFERROR(-INDEX(Expenses!D$3:D$1002,SMALL(IF((Expenses!E$3:E$1002="INR")*(Expenses!A$3:A$1002=DATE(2026,4,13)),ROW(Expenses!A$3:A$1002)-2),2)),0)+IFERROR(INDEX(Income!C$3:C$502,SMALL(IF((Income!D$3:D$502="INR")*(Income!A$3:A$502=DATE(2026,4,13)),ROW(Income!A$3:A$502)-2),2)),0)=0,"",IFERROR(-INDEX(Expenses!D$3:D$1002,SMALL(IF((Expenses!E$3:E$1002="INR")*(Expenses!A$3:A$1002=DATE(2026,4,13)),ROW(Expenses!A$3:A$1002)-2),2)),0)+IFERROR(INDEX(Income!C$3:C$502,SMALL(IF((Income!D$3:D$502="INR")*(Income!A$3:A$502=DATE(2026,4,13)),ROW(Income!A$3:A$502)-2),2)),0))</f>
        <v/>
      </c>
      <c r="D80" s="38" t="str">
        <f aca="false">IF(IFERROR(INDEX(Expenses!B$3:B$1002,SMALL(IF((Expenses!E$3:E$1002="INR")*(Expenses!A$3:A$1002=DATE(2026,4,13)),ROW(Expenses!A$3:A$1002)-2),2)),"")&lt;&gt;"",IFERROR(INDEX(Expenses!B$3:B$1002,SMALL(IF((Expenses!E$3:E$1002="INR")*(Expenses!A$3:A$1002=DATE(2026,4,13)),ROW(Expenses!A$3:A$1002)-2),2)),""),IF(IFERROR(INDEX(Income!B$3:B$502,SMALL(IF((Income!D$3:D$502="INR")*(Income!A$3:A$502=DATE(2026,4,13)),ROW(Income!A$3:A$502)-2),2)),"")&lt;&gt;"",IFERROR(INDEX(Income!B$3:B$502,SMALL(IF((Income!D$3:D$502="INR")*(Income!A$3:A$502=DATE(2026,4,13)),ROW(Income!A$3:A$502)-2),2)),""),""))</f>
        <v/>
      </c>
      <c r="E80" s="63" t="str">
        <f aca="false">IF(IFERROR(-INDEX(Expenses!D$3:D$1002,SMALL(IF((Expenses!E$3:E$1002="INR")*(Expenses!A$3:A$1002=DATE(2026,4,14)),ROW(Expenses!A$3:A$1002)-2),2)),0)+IFERROR(INDEX(Income!C$3:C$502,SMALL(IF((Income!D$3:D$502="INR")*(Income!A$3:A$502=DATE(2026,4,14)),ROW(Income!A$3:A$502)-2),2)),0)=0,"",IFERROR(-INDEX(Expenses!D$3:D$1002,SMALL(IF((Expenses!E$3:E$1002="INR")*(Expenses!A$3:A$1002=DATE(2026,4,14)),ROW(Expenses!A$3:A$1002)-2),2)),0)+IFERROR(INDEX(Income!C$3:C$502,SMALL(IF((Income!D$3:D$502="INR")*(Income!A$3:A$502=DATE(2026,4,14)),ROW(Income!A$3:A$502)-2),2)),0))</f>
        <v/>
      </c>
      <c r="F80" s="38" t="str">
        <f aca="false">IF(IFERROR(INDEX(Expenses!B$3:B$1002,SMALL(IF((Expenses!E$3:E$1002="INR")*(Expenses!A$3:A$1002=DATE(2026,4,14)),ROW(Expenses!A$3:A$1002)-2),2)),"")&lt;&gt;"",IFERROR(INDEX(Expenses!B$3:B$1002,SMALL(IF((Expenses!E$3:E$1002="INR")*(Expenses!A$3:A$1002=DATE(2026,4,14)),ROW(Expenses!A$3:A$1002)-2),2)),""),IF(IFERROR(INDEX(Income!B$3:B$502,SMALL(IF((Income!D$3:D$502="INR")*(Income!A$3:A$502=DATE(2026,4,14)),ROW(Income!A$3:A$502)-2),2)),"")&lt;&gt;"",IFERROR(INDEX(Income!B$3:B$502,SMALL(IF((Income!D$3:D$502="INR")*(Income!A$3:A$502=DATE(2026,4,14)),ROW(Income!A$3:A$502)-2),2)),""),""))</f>
        <v/>
      </c>
      <c r="G80" s="63" t="str">
        <f aca="false">IF(IFERROR(-INDEX(Expenses!D$3:D$1002,SMALL(IF((Expenses!E$3:E$1002="INR")*(Expenses!A$3:A$1002=DATE(2026,4,15)),ROW(Expenses!A$3:A$1002)-2),2)),0)+IFERROR(INDEX(Income!C$3:C$502,SMALL(IF((Income!D$3:D$502="INR")*(Income!A$3:A$502=DATE(2026,4,15)),ROW(Income!A$3:A$502)-2),2)),0)=0,"",IFERROR(-INDEX(Expenses!D$3:D$1002,SMALL(IF((Expenses!E$3:E$1002="INR")*(Expenses!A$3:A$1002=DATE(2026,4,15)),ROW(Expenses!A$3:A$1002)-2),2)),0)+IFERROR(INDEX(Income!C$3:C$502,SMALL(IF((Income!D$3:D$502="INR")*(Income!A$3:A$502=DATE(2026,4,15)),ROW(Income!A$3:A$502)-2),2)),0))</f>
        <v/>
      </c>
      <c r="H80" s="38" t="str">
        <f aca="false">IF(IFERROR(INDEX(Expenses!B$3:B$1002,SMALL(IF((Expenses!E$3:E$1002="INR")*(Expenses!A$3:A$1002=DATE(2026,4,15)),ROW(Expenses!A$3:A$1002)-2),2)),"")&lt;&gt;"",IFERROR(INDEX(Expenses!B$3:B$1002,SMALL(IF((Expenses!E$3:E$1002="INR")*(Expenses!A$3:A$1002=DATE(2026,4,15)),ROW(Expenses!A$3:A$1002)-2),2)),""),IF(IFERROR(INDEX(Income!B$3:B$502,SMALL(IF((Income!D$3:D$502="INR")*(Income!A$3:A$502=DATE(2026,4,15)),ROW(Income!A$3:A$502)-2),2)),"")&lt;&gt;"",IFERROR(INDEX(Income!B$3:B$502,SMALL(IF((Income!D$3:D$502="INR")*(Income!A$3:A$502=DATE(2026,4,15)),ROW(Income!A$3:A$502)-2),2)),""),""))</f>
        <v/>
      </c>
      <c r="I80" s="63" t="str">
        <f aca="false">IF(IFERROR(-INDEX(Expenses!D$3:D$1002,SMALL(IF((Expenses!E$3:E$1002="INR")*(Expenses!A$3:A$1002=DATE(2026,4,16)),ROW(Expenses!A$3:A$1002)-2),2)),0)+IFERROR(INDEX(Income!C$3:C$502,SMALL(IF((Income!D$3:D$502="INR")*(Income!A$3:A$502=DATE(2026,4,16)),ROW(Income!A$3:A$502)-2),2)),0)=0,"",IFERROR(-INDEX(Expenses!D$3:D$1002,SMALL(IF((Expenses!E$3:E$1002="INR")*(Expenses!A$3:A$1002=DATE(2026,4,16)),ROW(Expenses!A$3:A$1002)-2),2)),0)+IFERROR(INDEX(Income!C$3:C$502,SMALL(IF((Income!D$3:D$502="INR")*(Income!A$3:A$502=DATE(2026,4,16)),ROW(Income!A$3:A$502)-2),2)),0))</f>
        <v/>
      </c>
      <c r="J80" s="38" t="str">
        <f aca="false">IF(IFERROR(INDEX(Expenses!B$3:B$1002,SMALL(IF((Expenses!E$3:E$1002="INR")*(Expenses!A$3:A$1002=DATE(2026,4,16)),ROW(Expenses!A$3:A$1002)-2),2)),"")&lt;&gt;"",IFERROR(INDEX(Expenses!B$3:B$1002,SMALL(IF((Expenses!E$3:E$1002="INR")*(Expenses!A$3:A$1002=DATE(2026,4,16)),ROW(Expenses!A$3:A$1002)-2),2)),""),IF(IFERROR(INDEX(Income!B$3:B$502,SMALL(IF((Income!D$3:D$502="INR")*(Income!A$3:A$502=DATE(2026,4,16)),ROW(Income!A$3:A$502)-2),2)),"")&lt;&gt;"",IFERROR(INDEX(Income!B$3:B$502,SMALL(IF((Income!D$3:D$502="INR")*(Income!A$3:A$502=DATE(2026,4,16)),ROW(Income!A$3:A$502)-2),2)),""),""))</f>
        <v/>
      </c>
      <c r="K80" s="63" t="str">
        <f aca="false">IF(IFERROR(-INDEX(Expenses!D$3:D$1002,SMALL(IF((Expenses!E$3:E$1002="INR")*(Expenses!A$3:A$1002=DATE(2026,4,17)),ROW(Expenses!A$3:A$1002)-2),2)),0)+IFERROR(INDEX(Income!C$3:C$502,SMALL(IF((Income!D$3:D$502="INR")*(Income!A$3:A$502=DATE(2026,4,17)),ROW(Income!A$3:A$502)-2),2)),0)=0,"",IFERROR(-INDEX(Expenses!D$3:D$1002,SMALL(IF((Expenses!E$3:E$1002="INR")*(Expenses!A$3:A$1002=DATE(2026,4,17)),ROW(Expenses!A$3:A$1002)-2),2)),0)+IFERROR(INDEX(Income!C$3:C$502,SMALL(IF((Income!D$3:D$502="INR")*(Income!A$3:A$502=DATE(2026,4,17)),ROW(Income!A$3:A$502)-2),2)),0))</f>
        <v/>
      </c>
      <c r="L80" s="38" t="str">
        <f aca="false">IF(IFERROR(INDEX(Expenses!B$3:B$1002,SMALL(IF((Expenses!E$3:E$1002="INR")*(Expenses!A$3:A$1002=DATE(2026,4,17)),ROW(Expenses!A$3:A$1002)-2),2)),"")&lt;&gt;"",IFERROR(INDEX(Expenses!B$3:B$1002,SMALL(IF((Expenses!E$3:E$1002="INR")*(Expenses!A$3:A$1002=DATE(2026,4,17)),ROW(Expenses!A$3:A$1002)-2),2)),""),IF(IFERROR(INDEX(Income!B$3:B$502,SMALL(IF((Income!D$3:D$502="INR")*(Income!A$3:A$502=DATE(2026,4,17)),ROW(Income!A$3:A$502)-2),2)),"")&lt;&gt;"",IFERROR(INDEX(Income!B$3:B$502,SMALL(IF((Income!D$3:D$502="INR")*(Income!A$3:A$502=DATE(2026,4,17)),ROW(Income!A$3:A$502)-2),2)),""),""))</f>
        <v/>
      </c>
      <c r="M80" s="63" t="str">
        <f aca="false">IF(IFERROR(-INDEX(Expenses!D$3:D$1002,SMALL(IF((Expenses!E$3:E$1002="INR")*(Expenses!A$3:A$1002=DATE(2026,4,18)),ROW(Expenses!A$3:A$1002)-2),2)),0)+IFERROR(INDEX(Income!C$3:C$502,SMALL(IF((Income!D$3:D$502="INR")*(Income!A$3:A$502=DATE(2026,4,18)),ROW(Income!A$3:A$502)-2),2)),0)=0,"",IFERROR(-INDEX(Expenses!D$3:D$1002,SMALL(IF((Expenses!E$3:E$1002="INR")*(Expenses!A$3:A$1002=DATE(2026,4,18)),ROW(Expenses!A$3:A$1002)-2),2)),0)+IFERROR(INDEX(Income!C$3:C$502,SMALL(IF((Income!D$3:D$502="INR")*(Income!A$3:A$502=DATE(2026,4,18)),ROW(Income!A$3:A$502)-2),2)),0))</f>
        <v/>
      </c>
      <c r="N80" s="38" t="str">
        <f aca="false">IF(IFERROR(INDEX(Expenses!B$3:B$1002,SMALL(IF((Expenses!E$3:E$1002="INR")*(Expenses!A$3:A$1002=DATE(2026,4,18)),ROW(Expenses!A$3:A$1002)-2),2)),"")&lt;&gt;"",IFERROR(INDEX(Expenses!B$3:B$1002,SMALL(IF((Expenses!E$3:E$1002="INR")*(Expenses!A$3:A$1002=DATE(2026,4,18)),ROW(Expenses!A$3:A$1002)-2),2)),""),IF(IFERROR(INDEX(Income!B$3:B$502,SMALL(IF((Income!D$3:D$502="INR")*(Income!A$3:A$502=DATE(2026,4,18)),ROW(Income!A$3:A$502)-2),2)),"")&lt;&gt;"",IFERROR(INDEX(Income!B$3:B$502,SMALL(IF((Income!D$3:D$502="INR")*(Income!A$3:A$502=DATE(2026,4,18)),ROW(Income!A$3:A$502)-2),2)),""),""))</f>
        <v/>
      </c>
      <c r="O80" s="63" t="str">
        <f aca="false">IF(IFERROR(-INDEX(Expenses!D$3:D$1002,SMALL(IF((Expenses!E$3:E$1002="INR")*(Expenses!A$3:A$1002=DATE(2026,4,19)),ROW(Expenses!A$3:A$1002)-2),2)),0)+IFERROR(INDEX(Income!C$3:C$502,SMALL(IF((Income!D$3:D$502="INR")*(Income!A$3:A$502=DATE(2026,4,19)),ROW(Income!A$3:A$502)-2),2)),0)=0,"",IFERROR(-INDEX(Expenses!D$3:D$1002,SMALL(IF((Expenses!E$3:E$1002="INR")*(Expenses!A$3:A$1002=DATE(2026,4,19)),ROW(Expenses!A$3:A$1002)-2),2)),0)+IFERROR(INDEX(Income!C$3:C$502,SMALL(IF((Income!D$3:D$502="INR")*(Income!A$3:A$502=DATE(2026,4,19)),ROW(Income!A$3:A$502)-2),2)),0))</f>
        <v/>
      </c>
      <c r="P80" s="38" t="str">
        <f aca="false">IF(IFERROR(INDEX(Expenses!B$3:B$1002,SMALL(IF((Expenses!E$3:E$1002="INR")*(Expenses!A$3:A$1002=DATE(2026,4,19)),ROW(Expenses!A$3:A$1002)-2),2)),"")&lt;&gt;"",IFERROR(INDEX(Expenses!B$3:B$1002,SMALL(IF((Expenses!E$3:E$1002="INR")*(Expenses!A$3:A$1002=DATE(2026,4,19)),ROW(Expenses!A$3:A$1002)-2),2)),""),IF(IFERROR(INDEX(Income!B$3:B$502,SMALL(IF((Income!D$3:D$502="INR")*(Income!A$3:A$502=DATE(2026,4,19)),ROW(Income!A$3:A$502)-2),2)),"")&lt;&gt;"",IFERROR(INDEX(Income!B$3:B$502,SMALL(IF((Income!D$3:D$502="INR")*(Income!A$3:A$502=DATE(2026,4,19)),ROW(Income!A$3:A$502)-2),2)),""),""))</f>
        <v/>
      </c>
      <c r="Q80" s="16"/>
      <c r="R80" s="16"/>
    </row>
    <row r="81" customFormat="false" ht="15" hidden="false" customHeight="false" outlineLevel="0" collapsed="false">
      <c r="A81" s="16"/>
      <c r="B81" s="16"/>
      <c r="C81" s="63" t="str">
        <f aca="false">IF(IFERROR(-INDEX(Expenses!D$3:D$1002,SMALL(IF((Expenses!E$3:E$1002="INR")*(Expenses!A$3:A$1002=DATE(2026,4,13)),ROW(Expenses!A$3:A$1002)-2),3)),0)+IFERROR(INDEX(Income!C$3:C$502,SMALL(IF((Income!D$3:D$502="INR")*(Income!A$3:A$502=DATE(2026,4,13)),ROW(Income!A$3:A$502)-2),3)),0)=0,"",IFERROR(-INDEX(Expenses!D$3:D$1002,SMALL(IF((Expenses!E$3:E$1002="INR")*(Expenses!A$3:A$1002=DATE(2026,4,13)),ROW(Expenses!A$3:A$1002)-2),3)),0)+IFERROR(INDEX(Income!C$3:C$502,SMALL(IF((Income!D$3:D$502="INR")*(Income!A$3:A$502=DATE(2026,4,13)),ROW(Income!A$3:A$502)-2),3)),0))</f>
        <v/>
      </c>
      <c r="D81" s="38" t="str">
        <f aca="false">IF(IFERROR(INDEX(Expenses!B$3:B$1002,SMALL(IF((Expenses!E$3:E$1002="INR")*(Expenses!A$3:A$1002=DATE(2026,4,13)),ROW(Expenses!A$3:A$1002)-2),3)),"")&lt;&gt;"",IFERROR(INDEX(Expenses!B$3:B$1002,SMALL(IF((Expenses!E$3:E$1002="INR")*(Expenses!A$3:A$1002=DATE(2026,4,13)),ROW(Expenses!A$3:A$1002)-2),3)),""),IF(IFERROR(INDEX(Income!B$3:B$502,SMALL(IF((Income!D$3:D$502="INR")*(Income!A$3:A$502=DATE(2026,4,13)),ROW(Income!A$3:A$502)-2),3)),"")&lt;&gt;"",IFERROR(INDEX(Income!B$3:B$502,SMALL(IF((Income!D$3:D$502="INR")*(Income!A$3:A$502=DATE(2026,4,13)),ROW(Income!A$3:A$502)-2),3)),""),""))</f>
        <v/>
      </c>
      <c r="E81" s="63" t="str">
        <f aca="false">IF(IFERROR(-INDEX(Expenses!D$3:D$1002,SMALL(IF((Expenses!E$3:E$1002="INR")*(Expenses!A$3:A$1002=DATE(2026,4,14)),ROW(Expenses!A$3:A$1002)-2),3)),0)+IFERROR(INDEX(Income!C$3:C$502,SMALL(IF((Income!D$3:D$502="INR")*(Income!A$3:A$502=DATE(2026,4,14)),ROW(Income!A$3:A$502)-2),3)),0)=0,"",IFERROR(-INDEX(Expenses!D$3:D$1002,SMALL(IF((Expenses!E$3:E$1002="INR")*(Expenses!A$3:A$1002=DATE(2026,4,14)),ROW(Expenses!A$3:A$1002)-2),3)),0)+IFERROR(INDEX(Income!C$3:C$502,SMALL(IF((Income!D$3:D$502="INR")*(Income!A$3:A$502=DATE(2026,4,14)),ROW(Income!A$3:A$502)-2),3)),0))</f>
        <v/>
      </c>
      <c r="F81" s="38" t="str">
        <f aca="false">IF(IFERROR(INDEX(Expenses!B$3:B$1002,SMALL(IF((Expenses!E$3:E$1002="INR")*(Expenses!A$3:A$1002=DATE(2026,4,14)),ROW(Expenses!A$3:A$1002)-2),3)),"")&lt;&gt;"",IFERROR(INDEX(Expenses!B$3:B$1002,SMALL(IF((Expenses!E$3:E$1002="INR")*(Expenses!A$3:A$1002=DATE(2026,4,14)),ROW(Expenses!A$3:A$1002)-2),3)),""),IF(IFERROR(INDEX(Income!B$3:B$502,SMALL(IF((Income!D$3:D$502="INR")*(Income!A$3:A$502=DATE(2026,4,14)),ROW(Income!A$3:A$502)-2),3)),"")&lt;&gt;"",IFERROR(INDEX(Income!B$3:B$502,SMALL(IF((Income!D$3:D$502="INR")*(Income!A$3:A$502=DATE(2026,4,14)),ROW(Income!A$3:A$502)-2),3)),""),""))</f>
        <v/>
      </c>
      <c r="G81" s="63" t="str">
        <f aca="false">IF(IFERROR(-INDEX(Expenses!D$3:D$1002,SMALL(IF((Expenses!E$3:E$1002="INR")*(Expenses!A$3:A$1002=DATE(2026,4,15)),ROW(Expenses!A$3:A$1002)-2),3)),0)+IFERROR(INDEX(Income!C$3:C$502,SMALL(IF((Income!D$3:D$502="INR")*(Income!A$3:A$502=DATE(2026,4,15)),ROW(Income!A$3:A$502)-2),3)),0)=0,"",IFERROR(-INDEX(Expenses!D$3:D$1002,SMALL(IF((Expenses!E$3:E$1002="INR")*(Expenses!A$3:A$1002=DATE(2026,4,15)),ROW(Expenses!A$3:A$1002)-2),3)),0)+IFERROR(INDEX(Income!C$3:C$502,SMALL(IF((Income!D$3:D$502="INR")*(Income!A$3:A$502=DATE(2026,4,15)),ROW(Income!A$3:A$502)-2),3)),0))</f>
        <v/>
      </c>
      <c r="H81" s="38" t="str">
        <f aca="false">IF(IFERROR(INDEX(Expenses!B$3:B$1002,SMALL(IF((Expenses!E$3:E$1002="INR")*(Expenses!A$3:A$1002=DATE(2026,4,15)),ROW(Expenses!A$3:A$1002)-2),3)),"")&lt;&gt;"",IFERROR(INDEX(Expenses!B$3:B$1002,SMALL(IF((Expenses!E$3:E$1002="INR")*(Expenses!A$3:A$1002=DATE(2026,4,15)),ROW(Expenses!A$3:A$1002)-2),3)),""),IF(IFERROR(INDEX(Income!B$3:B$502,SMALL(IF((Income!D$3:D$502="INR")*(Income!A$3:A$502=DATE(2026,4,15)),ROW(Income!A$3:A$502)-2),3)),"")&lt;&gt;"",IFERROR(INDEX(Income!B$3:B$502,SMALL(IF((Income!D$3:D$502="INR")*(Income!A$3:A$502=DATE(2026,4,15)),ROW(Income!A$3:A$502)-2),3)),""),""))</f>
        <v/>
      </c>
      <c r="I81" s="63" t="str">
        <f aca="false">IF(IFERROR(-INDEX(Expenses!D$3:D$1002,SMALL(IF((Expenses!E$3:E$1002="INR")*(Expenses!A$3:A$1002=DATE(2026,4,16)),ROW(Expenses!A$3:A$1002)-2),3)),0)+IFERROR(INDEX(Income!C$3:C$502,SMALL(IF((Income!D$3:D$502="INR")*(Income!A$3:A$502=DATE(2026,4,16)),ROW(Income!A$3:A$502)-2),3)),0)=0,"",IFERROR(-INDEX(Expenses!D$3:D$1002,SMALL(IF((Expenses!E$3:E$1002="INR")*(Expenses!A$3:A$1002=DATE(2026,4,16)),ROW(Expenses!A$3:A$1002)-2),3)),0)+IFERROR(INDEX(Income!C$3:C$502,SMALL(IF((Income!D$3:D$502="INR")*(Income!A$3:A$502=DATE(2026,4,16)),ROW(Income!A$3:A$502)-2),3)),0))</f>
        <v/>
      </c>
      <c r="J81" s="38" t="str">
        <f aca="false">IF(IFERROR(INDEX(Expenses!B$3:B$1002,SMALL(IF((Expenses!E$3:E$1002="INR")*(Expenses!A$3:A$1002=DATE(2026,4,16)),ROW(Expenses!A$3:A$1002)-2),3)),"")&lt;&gt;"",IFERROR(INDEX(Expenses!B$3:B$1002,SMALL(IF((Expenses!E$3:E$1002="INR")*(Expenses!A$3:A$1002=DATE(2026,4,16)),ROW(Expenses!A$3:A$1002)-2),3)),""),IF(IFERROR(INDEX(Income!B$3:B$502,SMALL(IF((Income!D$3:D$502="INR")*(Income!A$3:A$502=DATE(2026,4,16)),ROW(Income!A$3:A$502)-2),3)),"")&lt;&gt;"",IFERROR(INDEX(Income!B$3:B$502,SMALL(IF((Income!D$3:D$502="INR")*(Income!A$3:A$502=DATE(2026,4,16)),ROW(Income!A$3:A$502)-2),3)),""),""))</f>
        <v/>
      </c>
      <c r="K81" s="63" t="str">
        <f aca="false">IF(IFERROR(-INDEX(Expenses!D$3:D$1002,SMALL(IF((Expenses!E$3:E$1002="INR")*(Expenses!A$3:A$1002=DATE(2026,4,17)),ROW(Expenses!A$3:A$1002)-2),3)),0)+IFERROR(INDEX(Income!C$3:C$502,SMALL(IF((Income!D$3:D$502="INR")*(Income!A$3:A$502=DATE(2026,4,17)),ROW(Income!A$3:A$502)-2),3)),0)=0,"",IFERROR(-INDEX(Expenses!D$3:D$1002,SMALL(IF((Expenses!E$3:E$1002="INR")*(Expenses!A$3:A$1002=DATE(2026,4,17)),ROW(Expenses!A$3:A$1002)-2),3)),0)+IFERROR(INDEX(Income!C$3:C$502,SMALL(IF((Income!D$3:D$502="INR")*(Income!A$3:A$502=DATE(2026,4,17)),ROW(Income!A$3:A$502)-2),3)),0))</f>
        <v/>
      </c>
      <c r="L81" s="38" t="str">
        <f aca="false">IF(IFERROR(INDEX(Expenses!B$3:B$1002,SMALL(IF((Expenses!E$3:E$1002="INR")*(Expenses!A$3:A$1002=DATE(2026,4,17)),ROW(Expenses!A$3:A$1002)-2),3)),"")&lt;&gt;"",IFERROR(INDEX(Expenses!B$3:B$1002,SMALL(IF((Expenses!E$3:E$1002="INR")*(Expenses!A$3:A$1002=DATE(2026,4,17)),ROW(Expenses!A$3:A$1002)-2),3)),""),IF(IFERROR(INDEX(Income!B$3:B$502,SMALL(IF((Income!D$3:D$502="INR")*(Income!A$3:A$502=DATE(2026,4,17)),ROW(Income!A$3:A$502)-2),3)),"")&lt;&gt;"",IFERROR(INDEX(Income!B$3:B$502,SMALL(IF((Income!D$3:D$502="INR")*(Income!A$3:A$502=DATE(2026,4,17)),ROW(Income!A$3:A$502)-2),3)),""),""))</f>
        <v/>
      </c>
      <c r="M81" s="63" t="str">
        <f aca="false">IF(IFERROR(-INDEX(Expenses!D$3:D$1002,SMALL(IF((Expenses!E$3:E$1002="INR")*(Expenses!A$3:A$1002=DATE(2026,4,18)),ROW(Expenses!A$3:A$1002)-2),3)),0)+IFERROR(INDEX(Income!C$3:C$502,SMALL(IF((Income!D$3:D$502="INR")*(Income!A$3:A$502=DATE(2026,4,18)),ROW(Income!A$3:A$502)-2),3)),0)=0,"",IFERROR(-INDEX(Expenses!D$3:D$1002,SMALL(IF((Expenses!E$3:E$1002="INR")*(Expenses!A$3:A$1002=DATE(2026,4,18)),ROW(Expenses!A$3:A$1002)-2),3)),0)+IFERROR(INDEX(Income!C$3:C$502,SMALL(IF((Income!D$3:D$502="INR")*(Income!A$3:A$502=DATE(2026,4,18)),ROW(Income!A$3:A$502)-2),3)),0))</f>
        <v/>
      </c>
      <c r="N81" s="38" t="str">
        <f aca="false">IF(IFERROR(INDEX(Expenses!B$3:B$1002,SMALL(IF((Expenses!E$3:E$1002="INR")*(Expenses!A$3:A$1002=DATE(2026,4,18)),ROW(Expenses!A$3:A$1002)-2),3)),"")&lt;&gt;"",IFERROR(INDEX(Expenses!B$3:B$1002,SMALL(IF((Expenses!E$3:E$1002="INR")*(Expenses!A$3:A$1002=DATE(2026,4,18)),ROW(Expenses!A$3:A$1002)-2),3)),""),IF(IFERROR(INDEX(Income!B$3:B$502,SMALL(IF((Income!D$3:D$502="INR")*(Income!A$3:A$502=DATE(2026,4,18)),ROW(Income!A$3:A$502)-2),3)),"")&lt;&gt;"",IFERROR(INDEX(Income!B$3:B$502,SMALL(IF((Income!D$3:D$502="INR")*(Income!A$3:A$502=DATE(2026,4,18)),ROW(Income!A$3:A$502)-2),3)),""),""))</f>
        <v/>
      </c>
      <c r="O81" s="63" t="str">
        <f aca="false">IF(IFERROR(-INDEX(Expenses!D$3:D$1002,SMALL(IF((Expenses!E$3:E$1002="INR")*(Expenses!A$3:A$1002=DATE(2026,4,19)),ROW(Expenses!A$3:A$1002)-2),3)),0)+IFERROR(INDEX(Income!C$3:C$502,SMALL(IF((Income!D$3:D$502="INR")*(Income!A$3:A$502=DATE(2026,4,19)),ROW(Income!A$3:A$502)-2),3)),0)=0,"",IFERROR(-INDEX(Expenses!D$3:D$1002,SMALL(IF((Expenses!E$3:E$1002="INR")*(Expenses!A$3:A$1002=DATE(2026,4,19)),ROW(Expenses!A$3:A$1002)-2),3)),0)+IFERROR(INDEX(Income!C$3:C$502,SMALL(IF((Income!D$3:D$502="INR")*(Income!A$3:A$502=DATE(2026,4,19)),ROW(Income!A$3:A$502)-2),3)),0))</f>
        <v/>
      </c>
      <c r="P81" s="38" t="str">
        <f aca="false">IF(IFERROR(INDEX(Expenses!B$3:B$1002,SMALL(IF((Expenses!E$3:E$1002="INR")*(Expenses!A$3:A$1002=DATE(2026,4,19)),ROW(Expenses!A$3:A$1002)-2),3)),"")&lt;&gt;"",IFERROR(INDEX(Expenses!B$3:B$1002,SMALL(IF((Expenses!E$3:E$1002="INR")*(Expenses!A$3:A$1002=DATE(2026,4,19)),ROW(Expenses!A$3:A$1002)-2),3)),""),IF(IFERROR(INDEX(Income!B$3:B$502,SMALL(IF((Income!D$3:D$502="INR")*(Income!A$3:A$502=DATE(2026,4,19)),ROW(Income!A$3:A$502)-2),3)),"")&lt;&gt;"",IFERROR(INDEX(Income!B$3:B$502,SMALL(IF((Income!D$3:D$502="INR")*(Income!A$3:A$502=DATE(2026,4,19)),ROW(Income!A$3:A$502)-2),3)),""),""))</f>
        <v/>
      </c>
      <c r="Q81" s="16"/>
      <c r="R81" s="16"/>
    </row>
    <row r="82" customFormat="false" ht="15" hidden="false" customHeight="false" outlineLevel="0" collapsed="false">
      <c r="A82" s="16"/>
      <c r="B82" s="16"/>
      <c r="C82" s="63" t="str">
        <f aca="false">IF(IFERROR(-INDEX(Expenses!D$3:D$1002,SMALL(IF((Expenses!E$3:E$1002="INR")*(Expenses!A$3:A$1002=DATE(2026,4,13)),ROW(Expenses!A$3:A$1002)-2),4)),0)+IFERROR(INDEX(Income!C$3:C$502,SMALL(IF((Income!D$3:D$502="INR")*(Income!A$3:A$502=DATE(2026,4,13)),ROW(Income!A$3:A$502)-2),4)),0)=0,"",IFERROR(-INDEX(Expenses!D$3:D$1002,SMALL(IF((Expenses!E$3:E$1002="INR")*(Expenses!A$3:A$1002=DATE(2026,4,13)),ROW(Expenses!A$3:A$1002)-2),4)),0)+IFERROR(INDEX(Income!C$3:C$502,SMALL(IF((Income!D$3:D$502="INR")*(Income!A$3:A$502=DATE(2026,4,13)),ROW(Income!A$3:A$502)-2),4)),0))</f>
        <v/>
      </c>
      <c r="D82" s="38" t="str">
        <f aca="false">IF(IFERROR(INDEX(Expenses!B$3:B$1002,SMALL(IF((Expenses!E$3:E$1002="INR")*(Expenses!A$3:A$1002=DATE(2026,4,13)),ROW(Expenses!A$3:A$1002)-2),4)),"")&lt;&gt;"",IFERROR(INDEX(Expenses!B$3:B$1002,SMALL(IF((Expenses!E$3:E$1002="INR")*(Expenses!A$3:A$1002=DATE(2026,4,13)),ROW(Expenses!A$3:A$1002)-2),4)),""),IF(IFERROR(INDEX(Income!B$3:B$502,SMALL(IF((Income!D$3:D$502="INR")*(Income!A$3:A$502=DATE(2026,4,13)),ROW(Income!A$3:A$502)-2),4)),"")&lt;&gt;"",IFERROR(INDEX(Income!B$3:B$502,SMALL(IF((Income!D$3:D$502="INR")*(Income!A$3:A$502=DATE(2026,4,13)),ROW(Income!A$3:A$502)-2),4)),""),""))</f>
        <v/>
      </c>
      <c r="E82" s="63" t="str">
        <f aca="false">IF(IFERROR(-INDEX(Expenses!D$3:D$1002,SMALL(IF((Expenses!E$3:E$1002="INR")*(Expenses!A$3:A$1002=DATE(2026,4,14)),ROW(Expenses!A$3:A$1002)-2),4)),0)+IFERROR(INDEX(Income!C$3:C$502,SMALL(IF((Income!D$3:D$502="INR")*(Income!A$3:A$502=DATE(2026,4,14)),ROW(Income!A$3:A$502)-2),4)),0)=0,"",IFERROR(-INDEX(Expenses!D$3:D$1002,SMALL(IF((Expenses!E$3:E$1002="INR")*(Expenses!A$3:A$1002=DATE(2026,4,14)),ROW(Expenses!A$3:A$1002)-2),4)),0)+IFERROR(INDEX(Income!C$3:C$502,SMALL(IF((Income!D$3:D$502="INR")*(Income!A$3:A$502=DATE(2026,4,14)),ROW(Income!A$3:A$502)-2),4)),0))</f>
        <v/>
      </c>
      <c r="F82" s="38" t="str">
        <f aca="false">IF(IFERROR(INDEX(Expenses!B$3:B$1002,SMALL(IF((Expenses!E$3:E$1002="INR")*(Expenses!A$3:A$1002=DATE(2026,4,14)),ROW(Expenses!A$3:A$1002)-2),4)),"")&lt;&gt;"",IFERROR(INDEX(Expenses!B$3:B$1002,SMALL(IF((Expenses!E$3:E$1002="INR")*(Expenses!A$3:A$1002=DATE(2026,4,14)),ROW(Expenses!A$3:A$1002)-2),4)),""),IF(IFERROR(INDEX(Income!B$3:B$502,SMALL(IF((Income!D$3:D$502="INR")*(Income!A$3:A$502=DATE(2026,4,14)),ROW(Income!A$3:A$502)-2),4)),"")&lt;&gt;"",IFERROR(INDEX(Income!B$3:B$502,SMALL(IF((Income!D$3:D$502="INR")*(Income!A$3:A$502=DATE(2026,4,14)),ROW(Income!A$3:A$502)-2),4)),""),""))</f>
        <v/>
      </c>
      <c r="G82" s="63" t="str">
        <f aca="false">IF(IFERROR(-INDEX(Expenses!D$3:D$1002,SMALL(IF((Expenses!E$3:E$1002="INR")*(Expenses!A$3:A$1002=DATE(2026,4,15)),ROW(Expenses!A$3:A$1002)-2),4)),0)+IFERROR(INDEX(Income!C$3:C$502,SMALL(IF((Income!D$3:D$502="INR")*(Income!A$3:A$502=DATE(2026,4,15)),ROW(Income!A$3:A$502)-2),4)),0)=0,"",IFERROR(-INDEX(Expenses!D$3:D$1002,SMALL(IF((Expenses!E$3:E$1002="INR")*(Expenses!A$3:A$1002=DATE(2026,4,15)),ROW(Expenses!A$3:A$1002)-2),4)),0)+IFERROR(INDEX(Income!C$3:C$502,SMALL(IF((Income!D$3:D$502="INR")*(Income!A$3:A$502=DATE(2026,4,15)),ROW(Income!A$3:A$502)-2),4)),0))</f>
        <v/>
      </c>
      <c r="H82" s="38" t="str">
        <f aca="false">IF(IFERROR(INDEX(Expenses!B$3:B$1002,SMALL(IF((Expenses!E$3:E$1002="INR")*(Expenses!A$3:A$1002=DATE(2026,4,15)),ROW(Expenses!A$3:A$1002)-2),4)),"")&lt;&gt;"",IFERROR(INDEX(Expenses!B$3:B$1002,SMALL(IF((Expenses!E$3:E$1002="INR")*(Expenses!A$3:A$1002=DATE(2026,4,15)),ROW(Expenses!A$3:A$1002)-2),4)),""),IF(IFERROR(INDEX(Income!B$3:B$502,SMALL(IF((Income!D$3:D$502="INR")*(Income!A$3:A$502=DATE(2026,4,15)),ROW(Income!A$3:A$502)-2),4)),"")&lt;&gt;"",IFERROR(INDEX(Income!B$3:B$502,SMALL(IF((Income!D$3:D$502="INR")*(Income!A$3:A$502=DATE(2026,4,15)),ROW(Income!A$3:A$502)-2),4)),""),""))</f>
        <v/>
      </c>
      <c r="I82" s="63" t="str">
        <f aca="false">IF(IFERROR(-INDEX(Expenses!D$3:D$1002,SMALL(IF((Expenses!E$3:E$1002="INR")*(Expenses!A$3:A$1002=DATE(2026,4,16)),ROW(Expenses!A$3:A$1002)-2),4)),0)+IFERROR(INDEX(Income!C$3:C$502,SMALL(IF((Income!D$3:D$502="INR")*(Income!A$3:A$502=DATE(2026,4,16)),ROW(Income!A$3:A$502)-2),4)),0)=0,"",IFERROR(-INDEX(Expenses!D$3:D$1002,SMALL(IF((Expenses!E$3:E$1002="INR")*(Expenses!A$3:A$1002=DATE(2026,4,16)),ROW(Expenses!A$3:A$1002)-2),4)),0)+IFERROR(INDEX(Income!C$3:C$502,SMALL(IF((Income!D$3:D$502="INR")*(Income!A$3:A$502=DATE(2026,4,16)),ROW(Income!A$3:A$502)-2),4)),0))</f>
        <v/>
      </c>
      <c r="J82" s="38" t="str">
        <f aca="false">IF(IFERROR(INDEX(Expenses!B$3:B$1002,SMALL(IF((Expenses!E$3:E$1002="INR")*(Expenses!A$3:A$1002=DATE(2026,4,16)),ROW(Expenses!A$3:A$1002)-2),4)),"")&lt;&gt;"",IFERROR(INDEX(Expenses!B$3:B$1002,SMALL(IF((Expenses!E$3:E$1002="INR")*(Expenses!A$3:A$1002=DATE(2026,4,16)),ROW(Expenses!A$3:A$1002)-2),4)),""),IF(IFERROR(INDEX(Income!B$3:B$502,SMALL(IF((Income!D$3:D$502="INR")*(Income!A$3:A$502=DATE(2026,4,16)),ROW(Income!A$3:A$502)-2),4)),"")&lt;&gt;"",IFERROR(INDEX(Income!B$3:B$502,SMALL(IF((Income!D$3:D$502="INR")*(Income!A$3:A$502=DATE(2026,4,16)),ROW(Income!A$3:A$502)-2),4)),""),""))</f>
        <v/>
      </c>
      <c r="K82" s="63" t="str">
        <f aca="false">IF(IFERROR(-INDEX(Expenses!D$3:D$1002,SMALL(IF((Expenses!E$3:E$1002="INR")*(Expenses!A$3:A$1002=DATE(2026,4,17)),ROW(Expenses!A$3:A$1002)-2),4)),0)+IFERROR(INDEX(Income!C$3:C$502,SMALL(IF((Income!D$3:D$502="INR")*(Income!A$3:A$502=DATE(2026,4,17)),ROW(Income!A$3:A$502)-2),4)),0)=0,"",IFERROR(-INDEX(Expenses!D$3:D$1002,SMALL(IF((Expenses!E$3:E$1002="INR")*(Expenses!A$3:A$1002=DATE(2026,4,17)),ROW(Expenses!A$3:A$1002)-2),4)),0)+IFERROR(INDEX(Income!C$3:C$502,SMALL(IF((Income!D$3:D$502="INR")*(Income!A$3:A$502=DATE(2026,4,17)),ROW(Income!A$3:A$502)-2),4)),0))</f>
        <v/>
      </c>
      <c r="L82" s="38" t="str">
        <f aca="false">IF(IFERROR(INDEX(Expenses!B$3:B$1002,SMALL(IF((Expenses!E$3:E$1002="INR")*(Expenses!A$3:A$1002=DATE(2026,4,17)),ROW(Expenses!A$3:A$1002)-2),4)),"")&lt;&gt;"",IFERROR(INDEX(Expenses!B$3:B$1002,SMALL(IF((Expenses!E$3:E$1002="INR")*(Expenses!A$3:A$1002=DATE(2026,4,17)),ROW(Expenses!A$3:A$1002)-2),4)),""),IF(IFERROR(INDEX(Income!B$3:B$502,SMALL(IF((Income!D$3:D$502="INR")*(Income!A$3:A$502=DATE(2026,4,17)),ROW(Income!A$3:A$502)-2),4)),"")&lt;&gt;"",IFERROR(INDEX(Income!B$3:B$502,SMALL(IF((Income!D$3:D$502="INR")*(Income!A$3:A$502=DATE(2026,4,17)),ROW(Income!A$3:A$502)-2),4)),""),""))</f>
        <v/>
      </c>
      <c r="M82" s="63" t="str">
        <f aca="false">IF(IFERROR(-INDEX(Expenses!D$3:D$1002,SMALL(IF((Expenses!E$3:E$1002="INR")*(Expenses!A$3:A$1002=DATE(2026,4,18)),ROW(Expenses!A$3:A$1002)-2),4)),0)+IFERROR(INDEX(Income!C$3:C$502,SMALL(IF((Income!D$3:D$502="INR")*(Income!A$3:A$502=DATE(2026,4,18)),ROW(Income!A$3:A$502)-2),4)),0)=0,"",IFERROR(-INDEX(Expenses!D$3:D$1002,SMALL(IF((Expenses!E$3:E$1002="INR")*(Expenses!A$3:A$1002=DATE(2026,4,18)),ROW(Expenses!A$3:A$1002)-2),4)),0)+IFERROR(INDEX(Income!C$3:C$502,SMALL(IF((Income!D$3:D$502="INR")*(Income!A$3:A$502=DATE(2026,4,18)),ROW(Income!A$3:A$502)-2),4)),0))</f>
        <v/>
      </c>
      <c r="N82" s="38" t="str">
        <f aca="false">IF(IFERROR(INDEX(Expenses!B$3:B$1002,SMALL(IF((Expenses!E$3:E$1002="INR")*(Expenses!A$3:A$1002=DATE(2026,4,18)),ROW(Expenses!A$3:A$1002)-2),4)),"")&lt;&gt;"",IFERROR(INDEX(Expenses!B$3:B$1002,SMALL(IF((Expenses!E$3:E$1002="INR")*(Expenses!A$3:A$1002=DATE(2026,4,18)),ROW(Expenses!A$3:A$1002)-2),4)),""),IF(IFERROR(INDEX(Income!B$3:B$502,SMALL(IF((Income!D$3:D$502="INR")*(Income!A$3:A$502=DATE(2026,4,18)),ROW(Income!A$3:A$502)-2),4)),"")&lt;&gt;"",IFERROR(INDEX(Income!B$3:B$502,SMALL(IF((Income!D$3:D$502="INR")*(Income!A$3:A$502=DATE(2026,4,18)),ROW(Income!A$3:A$502)-2),4)),""),""))</f>
        <v/>
      </c>
      <c r="O82" s="63" t="str">
        <f aca="false">IF(IFERROR(-INDEX(Expenses!D$3:D$1002,SMALL(IF((Expenses!E$3:E$1002="INR")*(Expenses!A$3:A$1002=DATE(2026,4,19)),ROW(Expenses!A$3:A$1002)-2),4)),0)+IFERROR(INDEX(Income!C$3:C$502,SMALL(IF((Income!D$3:D$502="INR")*(Income!A$3:A$502=DATE(2026,4,19)),ROW(Income!A$3:A$502)-2),4)),0)=0,"",IFERROR(-INDEX(Expenses!D$3:D$1002,SMALL(IF((Expenses!E$3:E$1002="INR")*(Expenses!A$3:A$1002=DATE(2026,4,19)),ROW(Expenses!A$3:A$1002)-2),4)),0)+IFERROR(INDEX(Income!C$3:C$502,SMALL(IF((Income!D$3:D$502="INR")*(Income!A$3:A$502=DATE(2026,4,19)),ROW(Income!A$3:A$502)-2),4)),0))</f>
        <v/>
      </c>
      <c r="P82" s="38" t="str">
        <f aca="false">IF(IFERROR(INDEX(Expenses!B$3:B$1002,SMALL(IF((Expenses!E$3:E$1002="INR")*(Expenses!A$3:A$1002=DATE(2026,4,19)),ROW(Expenses!A$3:A$1002)-2),4)),"")&lt;&gt;"",IFERROR(INDEX(Expenses!B$3:B$1002,SMALL(IF((Expenses!E$3:E$1002="INR")*(Expenses!A$3:A$1002=DATE(2026,4,19)),ROW(Expenses!A$3:A$1002)-2),4)),""),IF(IFERROR(INDEX(Income!B$3:B$502,SMALL(IF((Income!D$3:D$502="INR")*(Income!A$3:A$502=DATE(2026,4,19)),ROW(Income!A$3:A$502)-2),4)),"")&lt;&gt;"",IFERROR(INDEX(Income!B$3:B$502,SMALL(IF((Income!D$3:D$502="INR")*(Income!A$3:A$502=DATE(2026,4,19)),ROW(Income!A$3:A$502)-2),4)),""),""))</f>
        <v/>
      </c>
      <c r="Q82" s="16"/>
      <c r="R82" s="16"/>
    </row>
    <row r="83" customFormat="false" ht="15" hidden="false" customHeight="false" outlineLevel="0" collapsed="false">
      <c r="A83" s="16"/>
      <c r="B83" s="16"/>
      <c r="C83" s="63" t="str">
        <f aca="false">IF(IFERROR(-INDEX(Expenses!D$3:D$1002,SMALL(IF((Expenses!E$3:E$1002="INR")*(Expenses!A$3:A$1002=DATE(2026,4,13)),ROW(Expenses!A$3:A$1002)-2),5)),0)+IFERROR(INDEX(Income!C$3:C$502,SMALL(IF((Income!D$3:D$502="INR")*(Income!A$3:A$502=DATE(2026,4,13)),ROW(Income!A$3:A$502)-2),5)),0)=0,"",IFERROR(-INDEX(Expenses!D$3:D$1002,SMALL(IF((Expenses!E$3:E$1002="INR")*(Expenses!A$3:A$1002=DATE(2026,4,13)),ROW(Expenses!A$3:A$1002)-2),5)),0)+IFERROR(INDEX(Income!C$3:C$502,SMALL(IF((Income!D$3:D$502="INR")*(Income!A$3:A$502=DATE(2026,4,13)),ROW(Income!A$3:A$502)-2),5)),0))</f>
        <v/>
      </c>
      <c r="D83" s="38" t="str">
        <f aca="false">IF(IFERROR(INDEX(Expenses!B$3:B$1002,SMALL(IF((Expenses!E$3:E$1002="INR")*(Expenses!A$3:A$1002=DATE(2026,4,13)),ROW(Expenses!A$3:A$1002)-2),5)),"")&lt;&gt;"",IFERROR(INDEX(Expenses!B$3:B$1002,SMALL(IF((Expenses!E$3:E$1002="INR")*(Expenses!A$3:A$1002=DATE(2026,4,13)),ROW(Expenses!A$3:A$1002)-2),5)),""),IF(IFERROR(INDEX(Income!B$3:B$502,SMALL(IF((Income!D$3:D$502="INR")*(Income!A$3:A$502=DATE(2026,4,13)),ROW(Income!A$3:A$502)-2),5)),"")&lt;&gt;"",IFERROR(INDEX(Income!B$3:B$502,SMALL(IF((Income!D$3:D$502="INR")*(Income!A$3:A$502=DATE(2026,4,13)),ROW(Income!A$3:A$502)-2),5)),""),""))</f>
        <v/>
      </c>
      <c r="E83" s="63" t="str">
        <f aca="false">IF(IFERROR(-INDEX(Expenses!D$3:D$1002,SMALL(IF((Expenses!E$3:E$1002="INR")*(Expenses!A$3:A$1002=DATE(2026,4,14)),ROW(Expenses!A$3:A$1002)-2),5)),0)+IFERROR(INDEX(Income!C$3:C$502,SMALL(IF((Income!D$3:D$502="INR")*(Income!A$3:A$502=DATE(2026,4,14)),ROW(Income!A$3:A$502)-2),5)),0)=0,"",IFERROR(-INDEX(Expenses!D$3:D$1002,SMALL(IF((Expenses!E$3:E$1002="INR")*(Expenses!A$3:A$1002=DATE(2026,4,14)),ROW(Expenses!A$3:A$1002)-2),5)),0)+IFERROR(INDEX(Income!C$3:C$502,SMALL(IF((Income!D$3:D$502="INR")*(Income!A$3:A$502=DATE(2026,4,14)),ROW(Income!A$3:A$502)-2),5)),0))</f>
        <v/>
      </c>
      <c r="F83" s="38" t="str">
        <f aca="false">IF(IFERROR(INDEX(Expenses!B$3:B$1002,SMALL(IF((Expenses!E$3:E$1002="INR")*(Expenses!A$3:A$1002=DATE(2026,4,14)),ROW(Expenses!A$3:A$1002)-2),5)),"")&lt;&gt;"",IFERROR(INDEX(Expenses!B$3:B$1002,SMALL(IF((Expenses!E$3:E$1002="INR")*(Expenses!A$3:A$1002=DATE(2026,4,14)),ROW(Expenses!A$3:A$1002)-2),5)),""),IF(IFERROR(INDEX(Income!B$3:B$502,SMALL(IF((Income!D$3:D$502="INR")*(Income!A$3:A$502=DATE(2026,4,14)),ROW(Income!A$3:A$502)-2),5)),"")&lt;&gt;"",IFERROR(INDEX(Income!B$3:B$502,SMALL(IF((Income!D$3:D$502="INR")*(Income!A$3:A$502=DATE(2026,4,14)),ROW(Income!A$3:A$502)-2),5)),""),""))</f>
        <v/>
      </c>
      <c r="G83" s="63" t="str">
        <f aca="false">IF(IFERROR(-INDEX(Expenses!D$3:D$1002,SMALL(IF((Expenses!E$3:E$1002="INR")*(Expenses!A$3:A$1002=DATE(2026,4,15)),ROW(Expenses!A$3:A$1002)-2),5)),0)+IFERROR(INDEX(Income!C$3:C$502,SMALL(IF((Income!D$3:D$502="INR")*(Income!A$3:A$502=DATE(2026,4,15)),ROW(Income!A$3:A$502)-2),5)),0)=0,"",IFERROR(-INDEX(Expenses!D$3:D$1002,SMALL(IF((Expenses!E$3:E$1002="INR")*(Expenses!A$3:A$1002=DATE(2026,4,15)),ROW(Expenses!A$3:A$1002)-2),5)),0)+IFERROR(INDEX(Income!C$3:C$502,SMALL(IF((Income!D$3:D$502="INR")*(Income!A$3:A$502=DATE(2026,4,15)),ROW(Income!A$3:A$502)-2),5)),0))</f>
        <v/>
      </c>
      <c r="H83" s="38" t="str">
        <f aca="false">IF(IFERROR(INDEX(Expenses!B$3:B$1002,SMALL(IF((Expenses!E$3:E$1002="INR")*(Expenses!A$3:A$1002=DATE(2026,4,15)),ROW(Expenses!A$3:A$1002)-2),5)),"")&lt;&gt;"",IFERROR(INDEX(Expenses!B$3:B$1002,SMALL(IF((Expenses!E$3:E$1002="INR")*(Expenses!A$3:A$1002=DATE(2026,4,15)),ROW(Expenses!A$3:A$1002)-2),5)),""),IF(IFERROR(INDEX(Income!B$3:B$502,SMALL(IF((Income!D$3:D$502="INR")*(Income!A$3:A$502=DATE(2026,4,15)),ROW(Income!A$3:A$502)-2),5)),"")&lt;&gt;"",IFERROR(INDEX(Income!B$3:B$502,SMALL(IF((Income!D$3:D$502="INR")*(Income!A$3:A$502=DATE(2026,4,15)),ROW(Income!A$3:A$502)-2),5)),""),""))</f>
        <v/>
      </c>
      <c r="I83" s="63" t="str">
        <f aca="false">IF(IFERROR(-INDEX(Expenses!D$3:D$1002,SMALL(IF((Expenses!E$3:E$1002="INR")*(Expenses!A$3:A$1002=DATE(2026,4,16)),ROW(Expenses!A$3:A$1002)-2),5)),0)+IFERROR(INDEX(Income!C$3:C$502,SMALL(IF((Income!D$3:D$502="INR")*(Income!A$3:A$502=DATE(2026,4,16)),ROW(Income!A$3:A$502)-2),5)),0)=0,"",IFERROR(-INDEX(Expenses!D$3:D$1002,SMALL(IF((Expenses!E$3:E$1002="INR")*(Expenses!A$3:A$1002=DATE(2026,4,16)),ROW(Expenses!A$3:A$1002)-2),5)),0)+IFERROR(INDEX(Income!C$3:C$502,SMALL(IF((Income!D$3:D$502="INR")*(Income!A$3:A$502=DATE(2026,4,16)),ROW(Income!A$3:A$502)-2),5)),0))</f>
        <v/>
      </c>
      <c r="J83" s="38" t="str">
        <f aca="false">IF(IFERROR(INDEX(Expenses!B$3:B$1002,SMALL(IF((Expenses!E$3:E$1002="INR")*(Expenses!A$3:A$1002=DATE(2026,4,16)),ROW(Expenses!A$3:A$1002)-2),5)),"")&lt;&gt;"",IFERROR(INDEX(Expenses!B$3:B$1002,SMALL(IF((Expenses!E$3:E$1002="INR")*(Expenses!A$3:A$1002=DATE(2026,4,16)),ROW(Expenses!A$3:A$1002)-2),5)),""),IF(IFERROR(INDEX(Income!B$3:B$502,SMALL(IF((Income!D$3:D$502="INR")*(Income!A$3:A$502=DATE(2026,4,16)),ROW(Income!A$3:A$502)-2),5)),"")&lt;&gt;"",IFERROR(INDEX(Income!B$3:B$502,SMALL(IF((Income!D$3:D$502="INR")*(Income!A$3:A$502=DATE(2026,4,16)),ROW(Income!A$3:A$502)-2),5)),""),""))</f>
        <v/>
      </c>
      <c r="K83" s="63" t="str">
        <f aca="false">IF(IFERROR(-INDEX(Expenses!D$3:D$1002,SMALL(IF((Expenses!E$3:E$1002="INR")*(Expenses!A$3:A$1002=DATE(2026,4,17)),ROW(Expenses!A$3:A$1002)-2),5)),0)+IFERROR(INDEX(Income!C$3:C$502,SMALL(IF((Income!D$3:D$502="INR")*(Income!A$3:A$502=DATE(2026,4,17)),ROW(Income!A$3:A$502)-2),5)),0)=0,"",IFERROR(-INDEX(Expenses!D$3:D$1002,SMALL(IF((Expenses!E$3:E$1002="INR")*(Expenses!A$3:A$1002=DATE(2026,4,17)),ROW(Expenses!A$3:A$1002)-2),5)),0)+IFERROR(INDEX(Income!C$3:C$502,SMALL(IF((Income!D$3:D$502="INR")*(Income!A$3:A$502=DATE(2026,4,17)),ROW(Income!A$3:A$502)-2),5)),0))</f>
        <v/>
      </c>
      <c r="L83" s="38" t="str">
        <f aca="false">IF(IFERROR(INDEX(Expenses!B$3:B$1002,SMALL(IF((Expenses!E$3:E$1002="INR")*(Expenses!A$3:A$1002=DATE(2026,4,17)),ROW(Expenses!A$3:A$1002)-2),5)),"")&lt;&gt;"",IFERROR(INDEX(Expenses!B$3:B$1002,SMALL(IF((Expenses!E$3:E$1002="INR")*(Expenses!A$3:A$1002=DATE(2026,4,17)),ROW(Expenses!A$3:A$1002)-2),5)),""),IF(IFERROR(INDEX(Income!B$3:B$502,SMALL(IF((Income!D$3:D$502="INR")*(Income!A$3:A$502=DATE(2026,4,17)),ROW(Income!A$3:A$502)-2),5)),"")&lt;&gt;"",IFERROR(INDEX(Income!B$3:B$502,SMALL(IF((Income!D$3:D$502="INR")*(Income!A$3:A$502=DATE(2026,4,17)),ROW(Income!A$3:A$502)-2),5)),""),""))</f>
        <v/>
      </c>
      <c r="M83" s="63" t="str">
        <f aca="false">IF(IFERROR(-INDEX(Expenses!D$3:D$1002,SMALL(IF((Expenses!E$3:E$1002="INR")*(Expenses!A$3:A$1002=DATE(2026,4,18)),ROW(Expenses!A$3:A$1002)-2),5)),0)+IFERROR(INDEX(Income!C$3:C$502,SMALL(IF((Income!D$3:D$502="INR")*(Income!A$3:A$502=DATE(2026,4,18)),ROW(Income!A$3:A$502)-2),5)),0)=0,"",IFERROR(-INDEX(Expenses!D$3:D$1002,SMALL(IF((Expenses!E$3:E$1002="INR")*(Expenses!A$3:A$1002=DATE(2026,4,18)),ROW(Expenses!A$3:A$1002)-2),5)),0)+IFERROR(INDEX(Income!C$3:C$502,SMALL(IF((Income!D$3:D$502="INR")*(Income!A$3:A$502=DATE(2026,4,18)),ROW(Income!A$3:A$502)-2),5)),0))</f>
        <v/>
      </c>
      <c r="N83" s="38" t="str">
        <f aca="false">IF(IFERROR(INDEX(Expenses!B$3:B$1002,SMALL(IF((Expenses!E$3:E$1002="INR")*(Expenses!A$3:A$1002=DATE(2026,4,18)),ROW(Expenses!A$3:A$1002)-2),5)),"")&lt;&gt;"",IFERROR(INDEX(Expenses!B$3:B$1002,SMALL(IF((Expenses!E$3:E$1002="INR")*(Expenses!A$3:A$1002=DATE(2026,4,18)),ROW(Expenses!A$3:A$1002)-2),5)),""),IF(IFERROR(INDEX(Income!B$3:B$502,SMALL(IF((Income!D$3:D$502="INR")*(Income!A$3:A$502=DATE(2026,4,18)),ROW(Income!A$3:A$502)-2),5)),"")&lt;&gt;"",IFERROR(INDEX(Income!B$3:B$502,SMALL(IF((Income!D$3:D$502="INR")*(Income!A$3:A$502=DATE(2026,4,18)),ROW(Income!A$3:A$502)-2),5)),""),""))</f>
        <v/>
      </c>
      <c r="O83" s="63" t="str">
        <f aca="false">IF(IFERROR(-INDEX(Expenses!D$3:D$1002,SMALL(IF((Expenses!E$3:E$1002="INR")*(Expenses!A$3:A$1002=DATE(2026,4,19)),ROW(Expenses!A$3:A$1002)-2),5)),0)+IFERROR(INDEX(Income!C$3:C$502,SMALL(IF((Income!D$3:D$502="INR")*(Income!A$3:A$502=DATE(2026,4,19)),ROW(Income!A$3:A$502)-2),5)),0)=0,"",IFERROR(-INDEX(Expenses!D$3:D$1002,SMALL(IF((Expenses!E$3:E$1002="INR")*(Expenses!A$3:A$1002=DATE(2026,4,19)),ROW(Expenses!A$3:A$1002)-2),5)),0)+IFERROR(INDEX(Income!C$3:C$502,SMALL(IF((Income!D$3:D$502="INR")*(Income!A$3:A$502=DATE(2026,4,19)),ROW(Income!A$3:A$502)-2),5)),0))</f>
        <v/>
      </c>
      <c r="P83" s="38" t="str">
        <f aca="false">IF(IFERROR(INDEX(Expenses!B$3:B$1002,SMALL(IF((Expenses!E$3:E$1002="INR")*(Expenses!A$3:A$1002=DATE(2026,4,19)),ROW(Expenses!A$3:A$1002)-2),5)),"")&lt;&gt;"",IFERROR(INDEX(Expenses!B$3:B$1002,SMALL(IF((Expenses!E$3:E$1002="INR")*(Expenses!A$3:A$1002=DATE(2026,4,19)),ROW(Expenses!A$3:A$1002)-2),5)),""),IF(IFERROR(INDEX(Income!B$3:B$502,SMALL(IF((Income!D$3:D$502="INR")*(Income!A$3:A$502=DATE(2026,4,19)),ROW(Income!A$3:A$502)-2),5)),"")&lt;&gt;"",IFERROR(INDEX(Income!B$3:B$502,SMALL(IF((Income!D$3:D$502="INR")*(Income!A$3:A$502=DATE(2026,4,19)),ROW(Income!A$3:A$502)-2),5)),""),""))</f>
        <v/>
      </c>
      <c r="Q83" s="16"/>
      <c r="R83" s="16"/>
    </row>
    <row r="84" customFormat="false" ht="15" hidden="false" customHeight="false" outlineLevel="0" collapsed="false">
      <c r="A84" s="61" t="n">
        <v>46132</v>
      </c>
      <c r="B84" s="3" t="n">
        <v>17</v>
      </c>
      <c r="C84" s="63" t="str">
        <f aca="false">IF(IFERROR(-INDEX(Expenses!D$3:D$1002,SMALL(IF((Expenses!E$3:E$1002="INR")*(Expenses!A$3:A$1002=DATE(2026,4,20)),ROW(Expenses!A$3:A$1002)-2),1)),0)+IFERROR(INDEX(Income!C$3:C$502,SMALL(IF((Income!D$3:D$502="INR")*(Income!A$3:A$502=DATE(2026,4,20)),ROW(Income!A$3:A$502)-2),1)),0)=0,"",IFERROR(-INDEX(Expenses!D$3:D$1002,SMALL(IF((Expenses!E$3:E$1002="INR")*(Expenses!A$3:A$1002=DATE(2026,4,20)),ROW(Expenses!A$3:A$1002)-2),1)),0)+IFERROR(INDEX(Income!C$3:C$502,SMALL(IF((Income!D$3:D$502="INR")*(Income!A$3:A$502=DATE(2026,4,20)),ROW(Income!A$3:A$502)-2),1)),0))</f>
        <v/>
      </c>
      <c r="D84" s="38" t="str">
        <f aca="false">IF(IFERROR(INDEX(Expenses!B$3:B$1002,SMALL(IF((Expenses!E$3:E$1002="INR")*(Expenses!A$3:A$1002=DATE(2026,4,20)),ROW(Expenses!A$3:A$1002)-2),1)),"")&lt;&gt;"",IFERROR(INDEX(Expenses!B$3:B$1002,SMALL(IF((Expenses!E$3:E$1002="INR")*(Expenses!A$3:A$1002=DATE(2026,4,20)),ROW(Expenses!A$3:A$1002)-2),1)),""),IF(IFERROR(INDEX(Income!B$3:B$502,SMALL(IF((Income!D$3:D$502="INR")*(Income!A$3:A$502=DATE(2026,4,20)),ROW(Income!A$3:A$502)-2),1)),"")&lt;&gt;"",IFERROR(INDEX(Income!B$3:B$502,SMALL(IF((Income!D$3:D$502="INR")*(Income!A$3:A$502=DATE(2026,4,20)),ROW(Income!A$3:A$502)-2),1)),""),""))</f>
        <v/>
      </c>
      <c r="E84" s="63" t="str">
        <f aca="false">IF(IFERROR(-INDEX(Expenses!D$3:D$1002,SMALL(IF((Expenses!E$3:E$1002="INR")*(Expenses!A$3:A$1002=DATE(2026,4,21)),ROW(Expenses!A$3:A$1002)-2),1)),0)+IFERROR(INDEX(Income!C$3:C$502,SMALL(IF((Income!D$3:D$502="INR")*(Income!A$3:A$502=DATE(2026,4,21)),ROW(Income!A$3:A$502)-2),1)),0)=0,"",IFERROR(-INDEX(Expenses!D$3:D$1002,SMALL(IF((Expenses!E$3:E$1002="INR")*(Expenses!A$3:A$1002=DATE(2026,4,21)),ROW(Expenses!A$3:A$1002)-2),1)),0)+IFERROR(INDEX(Income!C$3:C$502,SMALL(IF((Income!D$3:D$502="INR")*(Income!A$3:A$502=DATE(2026,4,21)),ROW(Income!A$3:A$502)-2),1)),0))</f>
        <v/>
      </c>
      <c r="F84" s="38" t="str">
        <f aca="false">IF(IFERROR(INDEX(Expenses!B$3:B$1002,SMALL(IF((Expenses!E$3:E$1002="INR")*(Expenses!A$3:A$1002=DATE(2026,4,21)),ROW(Expenses!A$3:A$1002)-2),1)),"")&lt;&gt;"",IFERROR(INDEX(Expenses!B$3:B$1002,SMALL(IF((Expenses!E$3:E$1002="INR")*(Expenses!A$3:A$1002=DATE(2026,4,21)),ROW(Expenses!A$3:A$1002)-2),1)),""),IF(IFERROR(INDEX(Income!B$3:B$502,SMALL(IF((Income!D$3:D$502="INR")*(Income!A$3:A$502=DATE(2026,4,21)),ROW(Income!A$3:A$502)-2),1)),"")&lt;&gt;"",IFERROR(INDEX(Income!B$3:B$502,SMALL(IF((Income!D$3:D$502="INR")*(Income!A$3:A$502=DATE(2026,4,21)),ROW(Income!A$3:A$502)-2),1)),""),""))</f>
        <v/>
      </c>
      <c r="G84" s="63" t="str">
        <f aca="false">IF(IFERROR(-INDEX(Expenses!D$3:D$1002,SMALL(IF((Expenses!E$3:E$1002="INR")*(Expenses!A$3:A$1002=DATE(2026,4,22)),ROW(Expenses!A$3:A$1002)-2),1)),0)+IFERROR(INDEX(Income!C$3:C$502,SMALL(IF((Income!D$3:D$502="INR")*(Income!A$3:A$502=DATE(2026,4,22)),ROW(Income!A$3:A$502)-2),1)),0)=0,"",IFERROR(-INDEX(Expenses!D$3:D$1002,SMALL(IF((Expenses!E$3:E$1002="INR")*(Expenses!A$3:A$1002=DATE(2026,4,22)),ROW(Expenses!A$3:A$1002)-2),1)),0)+IFERROR(INDEX(Income!C$3:C$502,SMALL(IF((Income!D$3:D$502="INR")*(Income!A$3:A$502=DATE(2026,4,22)),ROW(Income!A$3:A$502)-2),1)),0))</f>
        <v/>
      </c>
      <c r="H84" s="38" t="str">
        <f aca="false">IF(IFERROR(INDEX(Expenses!B$3:B$1002,SMALL(IF((Expenses!E$3:E$1002="INR")*(Expenses!A$3:A$1002=DATE(2026,4,22)),ROW(Expenses!A$3:A$1002)-2),1)),"")&lt;&gt;"",IFERROR(INDEX(Expenses!B$3:B$1002,SMALL(IF((Expenses!E$3:E$1002="INR")*(Expenses!A$3:A$1002=DATE(2026,4,22)),ROW(Expenses!A$3:A$1002)-2),1)),""),IF(IFERROR(INDEX(Income!B$3:B$502,SMALL(IF((Income!D$3:D$502="INR")*(Income!A$3:A$502=DATE(2026,4,22)),ROW(Income!A$3:A$502)-2),1)),"")&lt;&gt;"",IFERROR(INDEX(Income!B$3:B$502,SMALL(IF((Income!D$3:D$502="INR")*(Income!A$3:A$502=DATE(2026,4,22)),ROW(Income!A$3:A$502)-2),1)),""),""))</f>
        <v/>
      </c>
      <c r="I84" s="63" t="str">
        <f aca="false">IF(IFERROR(-INDEX(Expenses!D$3:D$1002,SMALL(IF((Expenses!E$3:E$1002="INR")*(Expenses!A$3:A$1002=DATE(2026,4,23)),ROW(Expenses!A$3:A$1002)-2),1)),0)+IFERROR(INDEX(Income!C$3:C$502,SMALL(IF((Income!D$3:D$502="INR")*(Income!A$3:A$502=DATE(2026,4,23)),ROW(Income!A$3:A$502)-2),1)),0)=0,"",IFERROR(-INDEX(Expenses!D$3:D$1002,SMALL(IF((Expenses!E$3:E$1002="INR")*(Expenses!A$3:A$1002=DATE(2026,4,23)),ROW(Expenses!A$3:A$1002)-2),1)),0)+IFERROR(INDEX(Income!C$3:C$502,SMALL(IF((Income!D$3:D$502="INR")*(Income!A$3:A$502=DATE(2026,4,23)),ROW(Income!A$3:A$502)-2),1)),0))</f>
        <v/>
      </c>
      <c r="J84" s="38" t="str">
        <f aca="false">IF(IFERROR(INDEX(Expenses!B$3:B$1002,SMALL(IF((Expenses!E$3:E$1002="INR")*(Expenses!A$3:A$1002=DATE(2026,4,23)),ROW(Expenses!A$3:A$1002)-2),1)),"")&lt;&gt;"",IFERROR(INDEX(Expenses!B$3:B$1002,SMALL(IF((Expenses!E$3:E$1002="INR")*(Expenses!A$3:A$1002=DATE(2026,4,23)),ROW(Expenses!A$3:A$1002)-2),1)),""),IF(IFERROR(INDEX(Income!B$3:B$502,SMALL(IF((Income!D$3:D$502="INR")*(Income!A$3:A$502=DATE(2026,4,23)),ROW(Income!A$3:A$502)-2),1)),"")&lt;&gt;"",IFERROR(INDEX(Income!B$3:B$502,SMALL(IF((Income!D$3:D$502="INR")*(Income!A$3:A$502=DATE(2026,4,23)),ROW(Income!A$3:A$502)-2),1)),""),""))</f>
        <v/>
      </c>
      <c r="K84" s="63" t="str">
        <f aca="false">IF(IFERROR(-INDEX(Expenses!D$3:D$1002,SMALL(IF((Expenses!E$3:E$1002="INR")*(Expenses!A$3:A$1002=DATE(2026,4,24)),ROW(Expenses!A$3:A$1002)-2),1)),0)+IFERROR(INDEX(Income!C$3:C$502,SMALL(IF((Income!D$3:D$502="INR")*(Income!A$3:A$502=DATE(2026,4,24)),ROW(Income!A$3:A$502)-2),1)),0)=0,"",IFERROR(-INDEX(Expenses!D$3:D$1002,SMALL(IF((Expenses!E$3:E$1002="INR")*(Expenses!A$3:A$1002=DATE(2026,4,24)),ROW(Expenses!A$3:A$1002)-2),1)),0)+IFERROR(INDEX(Income!C$3:C$502,SMALL(IF((Income!D$3:D$502="INR")*(Income!A$3:A$502=DATE(2026,4,24)),ROW(Income!A$3:A$502)-2),1)),0))</f>
        <v/>
      </c>
      <c r="L84" s="38" t="str">
        <f aca="false">IF(IFERROR(INDEX(Expenses!B$3:B$1002,SMALL(IF((Expenses!E$3:E$1002="INR")*(Expenses!A$3:A$1002=DATE(2026,4,24)),ROW(Expenses!A$3:A$1002)-2),1)),"")&lt;&gt;"",IFERROR(INDEX(Expenses!B$3:B$1002,SMALL(IF((Expenses!E$3:E$1002="INR")*(Expenses!A$3:A$1002=DATE(2026,4,24)),ROW(Expenses!A$3:A$1002)-2),1)),""),IF(IFERROR(INDEX(Income!B$3:B$502,SMALL(IF((Income!D$3:D$502="INR")*(Income!A$3:A$502=DATE(2026,4,24)),ROW(Income!A$3:A$502)-2),1)),"")&lt;&gt;"",IFERROR(INDEX(Income!B$3:B$502,SMALL(IF((Income!D$3:D$502="INR")*(Income!A$3:A$502=DATE(2026,4,24)),ROW(Income!A$3:A$502)-2),1)),""),""))</f>
        <v/>
      </c>
      <c r="M84" s="63" t="str">
        <f aca="false">IF(IFERROR(-INDEX(Expenses!D$3:D$1002,SMALL(IF((Expenses!E$3:E$1002="INR")*(Expenses!A$3:A$1002=DATE(2026,4,25)),ROW(Expenses!A$3:A$1002)-2),1)),0)+IFERROR(INDEX(Income!C$3:C$502,SMALL(IF((Income!D$3:D$502="INR")*(Income!A$3:A$502=DATE(2026,4,25)),ROW(Income!A$3:A$502)-2),1)),0)=0,"",IFERROR(-INDEX(Expenses!D$3:D$1002,SMALL(IF((Expenses!E$3:E$1002="INR")*(Expenses!A$3:A$1002=DATE(2026,4,25)),ROW(Expenses!A$3:A$1002)-2),1)),0)+IFERROR(INDEX(Income!C$3:C$502,SMALL(IF((Income!D$3:D$502="INR")*(Income!A$3:A$502=DATE(2026,4,25)),ROW(Income!A$3:A$502)-2),1)),0))</f>
        <v/>
      </c>
      <c r="N84" s="38" t="str">
        <f aca="false">IF(IFERROR(INDEX(Expenses!B$3:B$1002,SMALL(IF((Expenses!E$3:E$1002="INR")*(Expenses!A$3:A$1002=DATE(2026,4,25)),ROW(Expenses!A$3:A$1002)-2),1)),"")&lt;&gt;"",IFERROR(INDEX(Expenses!B$3:B$1002,SMALL(IF((Expenses!E$3:E$1002="INR")*(Expenses!A$3:A$1002=DATE(2026,4,25)),ROW(Expenses!A$3:A$1002)-2),1)),""),IF(IFERROR(INDEX(Income!B$3:B$502,SMALL(IF((Income!D$3:D$502="INR")*(Income!A$3:A$502=DATE(2026,4,25)),ROW(Income!A$3:A$502)-2),1)),"")&lt;&gt;"",IFERROR(INDEX(Income!B$3:B$502,SMALL(IF((Income!D$3:D$502="INR")*(Income!A$3:A$502=DATE(2026,4,25)),ROW(Income!A$3:A$502)-2),1)),""),""))</f>
        <v/>
      </c>
      <c r="O84" s="63" t="str">
        <f aca="false">IF(IFERROR(-INDEX(Expenses!D$3:D$1002,SMALL(IF((Expenses!E$3:E$1002="INR")*(Expenses!A$3:A$1002=DATE(2026,4,26)),ROW(Expenses!A$3:A$1002)-2),1)),0)+IFERROR(INDEX(Income!C$3:C$502,SMALL(IF((Income!D$3:D$502="INR")*(Income!A$3:A$502=DATE(2026,4,26)),ROW(Income!A$3:A$502)-2),1)),0)=0,"",IFERROR(-INDEX(Expenses!D$3:D$1002,SMALL(IF((Expenses!E$3:E$1002="INR")*(Expenses!A$3:A$1002=DATE(2026,4,26)),ROW(Expenses!A$3:A$1002)-2),1)),0)+IFERROR(INDEX(Income!C$3:C$502,SMALL(IF((Income!D$3:D$502="INR")*(Income!A$3:A$502=DATE(2026,4,26)),ROW(Income!A$3:A$502)-2),1)),0))</f>
        <v/>
      </c>
      <c r="P84" s="38" t="str">
        <f aca="false">IF(IFERROR(INDEX(Expenses!B$3:B$1002,SMALL(IF((Expenses!E$3:E$1002="INR")*(Expenses!A$3:A$1002=DATE(2026,4,26)),ROW(Expenses!A$3:A$1002)-2),1)),"")&lt;&gt;"",IFERROR(INDEX(Expenses!B$3:B$1002,SMALL(IF((Expenses!E$3:E$1002="INR")*(Expenses!A$3:A$1002=DATE(2026,4,26)),ROW(Expenses!A$3:A$1002)-2),1)),""),IF(IFERROR(INDEX(Income!B$3:B$502,SMALL(IF((Income!D$3:D$502="INR")*(Income!A$3:A$502=DATE(2026,4,26)),ROW(Income!A$3:A$502)-2),1)),"")&lt;&gt;"",IFERROR(INDEX(Income!B$3:B$502,SMALL(IF((Income!D$3:D$502="INR")*(Income!A$3:A$502=DATE(2026,4,26)),ROW(Income!A$3:A$502)-2),1)),""),""))</f>
        <v/>
      </c>
      <c r="Q84" s="3" t="n">
        <v>17</v>
      </c>
      <c r="R84" s="53" t="n">
        <f aca="false">SUM(C84:C88)+SUM(E84:E88)+SUM(G84:G88)+SUM(I84:I88)+SUM(K84:K88)+SUM(M84:M88)+SUM(O84:O88)</f>
        <v>0</v>
      </c>
    </row>
    <row r="85" customFormat="false" ht="15" hidden="false" customHeight="false" outlineLevel="0" collapsed="false">
      <c r="A85" s="16"/>
      <c r="B85" s="16"/>
      <c r="C85" s="63" t="str">
        <f aca="false">IF(IFERROR(-INDEX(Expenses!D$3:D$1002,SMALL(IF((Expenses!E$3:E$1002="INR")*(Expenses!A$3:A$1002=DATE(2026,4,20)),ROW(Expenses!A$3:A$1002)-2),2)),0)+IFERROR(INDEX(Income!C$3:C$502,SMALL(IF((Income!D$3:D$502="INR")*(Income!A$3:A$502=DATE(2026,4,20)),ROW(Income!A$3:A$502)-2),2)),0)=0,"",IFERROR(-INDEX(Expenses!D$3:D$1002,SMALL(IF((Expenses!E$3:E$1002="INR")*(Expenses!A$3:A$1002=DATE(2026,4,20)),ROW(Expenses!A$3:A$1002)-2),2)),0)+IFERROR(INDEX(Income!C$3:C$502,SMALL(IF((Income!D$3:D$502="INR")*(Income!A$3:A$502=DATE(2026,4,20)),ROW(Income!A$3:A$502)-2),2)),0))</f>
        <v/>
      </c>
      <c r="D85" s="38" t="str">
        <f aca="false">IF(IFERROR(INDEX(Expenses!B$3:B$1002,SMALL(IF((Expenses!E$3:E$1002="INR")*(Expenses!A$3:A$1002=DATE(2026,4,20)),ROW(Expenses!A$3:A$1002)-2),2)),"")&lt;&gt;"",IFERROR(INDEX(Expenses!B$3:B$1002,SMALL(IF((Expenses!E$3:E$1002="INR")*(Expenses!A$3:A$1002=DATE(2026,4,20)),ROW(Expenses!A$3:A$1002)-2),2)),""),IF(IFERROR(INDEX(Income!B$3:B$502,SMALL(IF((Income!D$3:D$502="INR")*(Income!A$3:A$502=DATE(2026,4,20)),ROW(Income!A$3:A$502)-2),2)),"")&lt;&gt;"",IFERROR(INDEX(Income!B$3:B$502,SMALL(IF((Income!D$3:D$502="INR")*(Income!A$3:A$502=DATE(2026,4,20)),ROW(Income!A$3:A$502)-2),2)),""),""))</f>
        <v/>
      </c>
      <c r="E85" s="63" t="str">
        <f aca="false">IF(IFERROR(-INDEX(Expenses!D$3:D$1002,SMALL(IF((Expenses!E$3:E$1002="INR")*(Expenses!A$3:A$1002=DATE(2026,4,21)),ROW(Expenses!A$3:A$1002)-2),2)),0)+IFERROR(INDEX(Income!C$3:C$502,SMALL(IF((Income!D$3:D$502="INR")*(Income!A$3:A$502=DATE(2026,4,21)),ROW(Income!A$3:A$502)-2),2)),0)=0,"",IFERROR(-INDEX(Expenses!D$3:D$1002,SMALL(IF((Expenses!E$3:E$1002="INR")*(Expenses!A$3:A$1002=DATE(2026,4,21)),ROW(Expenses!A$3:A$1002)-2),2)),0)+IFERROR(INDEX(Income!C$3:C$502,SMALL(IF((Income!D$3:D$502="INR")*(Income!A$3:A$502=DATE(2026,4,21)),ROW(Income!A$3:A$502)-2),2)),0))</f>
        <v/>
      </c>
      <c r="F85" s="38" t="str">
        <f aca="false">IF(IFERROR(INDEX(Expenses!B$3:B$1002,SMALL(IF((Expenses!E$3:E$1002="INR")*(Expenses!A$3:A$1002=DATE(2026,4,21)),ROW(Expenses!A$3:A$1002)-2),2)),"")&lt;&gt;"",IFERROR(INDEX(Expenses!B$3:B$1002,SMALL(IF((Expenses!E$3:E$1002="INR")*(Expenses!A$3:A$1002=DATE(2026,4,21)),ROW(Expenses!A$3:A$1002)-2),2)),""),IF(IFERROR(INDEX(Income!B$3:B$502,SMALL(IF((Income!D$3:D$502="INR")*(Income!A$3:A$502=DATE(2026,4,21)),ROW(Income!A$3:A$502)-2),2)),"")&lt;&gt;"",IFERROR(INDEX(Income!B$3:B$502,SMALL(IF((Income!D$3:D$502="INR")*(Income!A$3:A$502=DATE(2026,4,21)),ROW(Income!A$3:A$502)-2),2)),""),""))</f>
        <v/>
      </c>
      <c r="G85" s="63" t="str">
        <f aca="false">IF(IFERROR(-INDEX(Expenses!D$3:D$1002,SMALL(IF((Expenses!E$3:E$1002="INR")*(Expenses!A$3:A$1002=DATE(2026,4,22)),ROW(Expenses!A$3:A$1002)-2),2)),0)+IFERROR(INDEX(Income!C$3:C$502,SMALL(IF((Income!D$3:D$502="INR")*(Income!A$3:A$502=DATE(2026,4,22)),ROW(Income!A$3:A$502)-2),2)),0)=0,"",IFERROR(-INDEX(Expenses!D$3:D$1002,SMALL(IF((Expenses!E$3:E$1002="INR")*(Expenses!A$3:A$1002=DATE(2026,4,22)),ROW(Expenses!A$3:A$1002)-2),2)),0)+IFERROR(INDEX(Income!C$3:C$502,SMALL(IF((Income!D$3:D$502="INR")*(Income!A$3:A$502=DATE(2026,4,22)),ROW(Income!A$3:A$502)-2),2)),0))</f>
        <v/>
      </c>
      <c r="H85" s="38" t="str">
        <f aca="false">IF(IFERROR(INDEX(Expenses!B$3:B$1002,SMALL(IF((Expenses!E$3:E$1002="INR")*(Expenses!A$3:A$1002=DATE(2026,4,22)),ROW(Expenses!A$3:A$1002)-2),2)),"")&lt;&gt;"",IFERROR(INDEX(Expenses!B$3:B$1002,SMALL(IF((Expenses!E$3:E$1002="INR")*(Expenses!A$3:A$1002=DATE(2026,4,22)),ROW(Expenses!A$3:A$1002)-2),2)),""),IF(IFERROR(INDEX(Income!B$3:B$502,SMALL(IF((Income!D$3:D$502="INR")*(Income!A$3:A$502=DATE(2026,4,22)),ROW(Income!A$3:A$502)-2),2)),"")&lt;&gt;"",IFERROR(INDEX(Income!B$3:B$502,SMALL(IF((Income!D$3:D$502="INR")*(Income!A$3:A$502=DATE(2026,4,22)),ROW(Income!A$3:A$502)-2),2)),""),""))</f>
        <v/>
      </c>
      <c r="I85" s="63" t="str">
        <f aca="false">IF(IFERROR(-INDEX(Expenses!D$3:D$1002,SMALL(IF((Expenses!E$3:E$1002="INR")*(Expenses!A$3:A$1002=DATE(2026,4,23)),ROW(Expenses!A$3:A$1002)-2),2)),0)+IFERROR(INDEX(Income!C$3:C$502,SMALL(IF((Income!D$3:D$502="INR")*(Income!A$3:A$502=DATE(2026,4,23)),ROW(Income!A$3:A$502)-2),2)),0)=0,"",IFERROR(-INDEX(Expenses!D$3:D$1002,SMALL(IF((Expenses!E$3:E$1002="INR")*(Expenses!A$3:A$1002=DATE(2026,4,23)),ROW(Expenses!A$3:A$1002)-2),2)),0)+IFERROR(INDEX(Income!C$3:C$502,SMALL(IF((Income!D$3:D$502="INR")*(Income!A$3:A$502=DATE(2026,4,23)),ROW(Income!A$3:A$502)-2),2)),0))</f>
        <v/>
      </c>
      <c r="J85" s="38" t="str">
        <f aca="false">IF(IFERROR(INDEX(Expenses!B$3:B$1002,SMALL(IF((Expenses!E$3:E$1002="INR")*(Expenses!A$3:A$1002=DATE(2026,4,23)),ROW(Expenses!A$3:A$1002)-2),2)),"")&lt;&gt;"",IFERROR(INDEX(Expenses!B$3:B$1002,SMALL(IF((Expenses!E$3:E$1002="INR")*(Expenses!A$3:A$1002=DATE(2026,4,23)),ROW(Expenses!A$3:A$1002)-2),2)),""),IF(IFERROR(INDEX(Income!B$3:B$502,SMALL(IF((Income!D$3:D$502="INR")*(Income!A$3:A$502=DATE(2026,4,23)),ROW(Income!A$3:A$502)-2),2)),"")&lt;&gt;"",IFERROR(INDEX(Income!B$3:B$502,SMALL(IF((Income!D$3:D$502="INR")*(Income!A$3:A$502=DATE(2026,4,23)),ROW(Income!A$3:A$502)-2),2)),""),""))</f>
        <v/>
      </c>
      <c r="K85" s="63" t="str">
        <f aca="false">IF(IFERROR(-INDEX(Expenses!D$3:D$1002,SMALL(IF((Expenses!E$3:E$1002="INR")*(Expenses!A$3:A$1002=DATE(2026,4,24)),ROW(Expenses!A$3:A$1002)-2),2)),0)+IFERROR(INDEX(Income!C$3:C$502,SMALL(IF((Income!D$3:D$502="INR")*(Income!A$3:A$502=DATE(2026,4,24)),ROW(Income!A$3:A$502)-2),2)),0)=0,"",IFERROR(-INDEX(Expenses!D$3:D$1002,SMALL(IF((Expenses!E$3:E$1002="INR")*(Expenses!A$3:A$1002=DATE(2026,4,24)),ROW(Expenses!A$3:A$1002)-2),2)),0)+IFERROR(INDEX(Income!C$3:C$502,SMALL(IF((Income!D$3:D$502="INR")*(Income!A$3:A$502=DATE(2026,4,24)),ROW(Income!A$3:A$502)-2),2)),0))</f>
        <v/>
      </c>
      <c r="L85" s="38" t="str">
        <f aca="false">IF(IFERROR(INDEX(Expenses!B$3:B$1002,SMALL(IF((Expenses!E$3:E$1002="INR")*(Expenses!A$3:A$1002=DATE(2026,4,24)),ROW(Expenses!A$3:A$1002)-2),2)),"")&lt;&gt;"",IFERROR(INDEX(Expenses!B$3:B$1002,SMALL(IF((Expenses!E$3:E$1002="INR")*(Expenses!A$3:A$1002=DATE(2026,4,24)),ROW(Expenses!A$3:A$1002)-2),2)),""),IF(IFERROR(INDEX(Income!B$3:B$502,SMALL(IF((Income!D$3:D$502="INR")*(Income!A$3:A$502=DATE(2026,4,24)),ROW(Income!A$3:A$502)-2),2)),"")&lt;&gt;"",IFERROR(INDEX(Income!B$3:B$502,SMALL(IF((Income!D$3:D$502="INR")*(Income!A$3:A$502=DATE(2026,4,24)),ROW(Income!A$3:A$502)-2),2)),""),""))</f>
        <v/>
      </c>
      <c r="M85" s="63" t="str">
        <f aca="false">IF(IFERROR(-INDEX(Expenses!D$3:D$1002,SMALL(IF((Expenses!E$3:E$1002="INR")*(Expenses!A$3:A$1002=DATE(2026,4,25)),ROW(Expenses!A$3:A$1002)-2),2)),0)+IFERROR(INDEX(Income!C$3:C$502,SMALL(IF((Income!D$3:D$502="INR")*(Income!A$3:A$502=DATE(2026,4,25)),ROW(Income!A$3:A$502)-2),2)),0)=0,"",IFERROR(-INDEX(Expenses!D$3:D$1002,SMALL(IF((Expenses!E$3:E$1002="INR")*(Expenses!A$3:A$1002=DATE(2026,4,25)),ROW(Expenses!A$3:A$1002)-2),2)),0)+IFERROR(INDEX(Income!C$3:C$502,SMALL(IF((Income!D$3:D$502="INR")*(Income!A$3:A$502=DATE(2026,4,25)),ROW(Income!A$3:A$502)-2),2)),0))</f>
        <v/>
      </c>
      <c r="N85" s="38" t="str">
        <f aca="false">IF(IFERROR(INDEX(Expenses!B$3:B$1002,SMALL(IF((Expenses!E$3:E$1002="INR")*(Expenses!A$3:A$1002=DATE(2026,4,25)),ROW(Expenses!A$3:A$1002)-2),2)),"")&lt;&gt;"",IFERROR(INDEX(Expenses!B$3:B$1002,SMALL(IF((Expenses!E$3:E$1002="INR")*(Expenses!A$3:A$1002=DATE(2026,4,25)),ROW(Expenses!A$3:A$1002)-2),2)),""),IF(IFERROR(INDEX(Income!B$3:B$502,SMALL(IF((Income!D$3:D$502="INR")*(Income!A$3:A$502=DATE(2026,4,25)),ROW(Income!A$3:A$502)-2),2)),"")&lt;&gt;"",IFERROR(INDEX(Income!B$3:B$502,SMALL(IF((Income!D$3:D$502="INR")*(Income!A$3:A$502=DATE(2026,4,25)),ROW(Income!A$3:A$502)-2),2)),""),""))</f>
        <v/>
      </c>
      <c r="O85" s="63" t="str">
        <f aca="false">IF(IFERROR(-INDEX(Expenses!D$3:D$1002,SMALL(IF((Expenses!E$3:E$1002="INR")*(Expenses!A$3:A$1002=DATE(2026,4,26)),ROW(Expenses!A$3:A$1002)-2),2)),0)+IFERROR(INDEX(Income!C$3:C$502,SMALL(IF((Income!D$3:D$502="INR")*(Income!A$3:A$502=DATE(2026,4,26)),ROW(Income!A$3:A$502)-2),2)),0)=0,"",IFERROR(-INDEX(Expenses!D$3:D$1002,SMALL(IF((Expenses!E$3:E$1002="INR")*(Expenses!A$3:A$1002=DATE(2026,4,26)),ROW(Expenses!A$3:A$1002)-2),2)),0)+IFERROR(INDEX(Income!C$3:C$502,SMALL(IF((Income!D$3:D$502="INR")*(Income!A$3:A$502=DATE(2026,4,26)),ROW(Income!A$3:A$502)-2),2)),0))</f>
        <v/>
      </c>
      <c r="P85" s="38" t="str">
        <f aca="false">IF(IFERROR(INDEX(Expenses!B$3:B$1002,SMALL(IF((Expenses!E$3:E$1002="INR")*(Expenses!A$3:A$1002=DATE(2026,4,26)),ROW(Expenses!A$3:A$1002)-2),2)),"")&lt;&gt;"",IFERROR(INDEX(Expenses!B$3:B$1002,SMALL(IF((Expenses!E$3:E$1002="INR")*(Expenses!A$3:A$1002=DATE(2026,4,26)),ROW(Expenses!A$3:A$1002)-2),2)),""),IF(IFERROR(INDEX(Income!B$3:B$502,SMALL(IF((Income!D$3:D$502="INR")*(Income!A$3:A$502=DATE(2026,4,26)),ROW(Income!A$3:A$502)-2),2)),"")&lt;&gt;"",IFERROR(INDEX(Income!B$3:B$502,SMALL(IF((Income!D$3:D$502="INR")*(Income!A$3:A$502=DATE(2026,4,26)),ROW(Income!A$3:A$502)-2),2)),""),""))</f>
        <v/>
      </c>
      <c r="Q85" s="16"/>
      <c r="R85" s="16"/>
    </row>
    <row r="86" customFormat="false" ht="15" hidden="false" customHeight="false" outlineLevel="0" collapsed="false">
      <c r="A86" s="16"/>
      <c r="B86" s="16"/>
      <c r="C86" s="63" t="str">
        <f aca="false">IF(IFERROR(-INDEX(Expenses!D$3:D$1002,SMALL(IF((Expenses!E$3:E$1002="INR")*(Expenses!A$3:A$1002=DATE(2026,4,20)),ROW(Expenses!A$3:A$1002)-2),3)),0)+IFERROR(INDEX(Income!C$3:C$502,SMALL(IF((Income!D$3:D$502="INR")*(Income!A$3:A$502=DATE(2026,4,20)),ROW(Income!A$3:A$502)-2),3)),0)=0,"",IFERROR(-INDEX(Expenses!D$3:D$1002,SMALL(IF((Expenses!E$3:E$1002="INR")*(Expenses!A$3:A$1002=DATE(2026,4,20)),ROW(Expenses!A$3:A$1002)-2),3)),0)+IFERROR(INDEX(Income!C$3:C$502,SMALL(IF((Income!D$3:D$502="INR")*(Income!A$3:A$502=DATE(2026,4,20)),ROW(Income!A$3:A$502)-2),3)),0))</f>
        <v/>
      </c>
      <c r="D86" s="38" t="str">
        <f aca="false">IF(IFERROR(INDEX(Expenses!B$3:B$1002,SMALL(IF((Expenses!E$3:E$1002="INR")*(Expenses!A$3:A$1002=DATE(2026,4,20)),ROW(Expenses!A$3:A$1002)-2),3)),"")&lt;&gt;"",IFERROR(INDEX(Expenses!B$3:B$1002,SMALL(IF((Expenses!E$3:E$1002="INR")*(Expenses!A$3:A$1002=DATE(2026,4,20)),ROW(Expenses!A$3:A$1002)-2),3)),""),IF(IFERROR(INDEX(Income!B$3:B$502,SMALL(IF((Income!D$3:D$502="INR")*(Income!A$3:A$502=DATE(2026,4,20)),ROW(Income!A$3:A$502)-2),3)),"")&lt;&gt;"",IFERROR(INDEX(Income!B$3:B$502,SMALL(IF((Income!D$3:D$502="INR")*(Income!A$3:A$502=DATE(2026,4,20)),ROW(Income!A$3:A$502)-2),3)),""),""))</f>
        <v/>
      </c>
      <c r="E86" s="63" t="str">
        <f aca="false">IF(IFERROR(-INDEX(Expenses!D$3:D$1002,SMALL(IF((Expenses!E$3:E$1002="INR")*(Expenses!A$3:A$1002=DATE(2026,4,21)),ROW(Expenses!A$3:A$1002)-2),3)),0)+IFERROR(INDEX(Income!C$3:C$502,SMALL(IF((Income!D$3:D$502="INR")*(Income!A$3:A$502=DATE(2026,4,21)),ROW(Income!A$3:A$502)-2),3)),0)=0,"",IFERROR(-INDEX(Expenses!D$3:D$1002,SMALL(IF((Expenses!E$3:E$1002="INR")*(Expenses!A$3:A$1002=DATE(2026,4,21)),ROW(Expenses!A$3:A$1002)-2),3)),0)+IFERROR(INDEX(Income!C$3:C$502,SMALL(IF((Income!D$3:D$502="INR")*(Income!A$3:A$502=DATE(2026,4,21)),ROW(Income!A$3:A$502)-2),3)),0))</f>
        <v/>
      </c>
      <c r="F86" s="38" t="str">
        <f aca="false">IF(IFERROR(INDEX(Expenses!B$3:B$1002,SMALL(IF((Expenses!E$3:E$1002="INR")*(Expenses!A$3:A$1002=DATE(2026,4,21)),ROW(Expenses!A$3:A$1002)-2),3)),"")&lt;&gt;"",IFERROR(INDEX(Expenses!B$3:B$1002,SMALL(IF((Expenses!E$3:E$1002="INR")*(Expenses!A$3:A$1002=DATE(2026,4,21)),ROW(Expenses!A$3:A$1002)-2),3)),""),IF(IFERROR(INDEX(Income!B$3:B$502,SMALL(IF((Income!D$3:D$502="INR")*(Income!A$3:A$502=DATE(2026,4,21)),ROW(Income!A$3:A$502)-2),3)),"")&lt;&gt;"",IFERROR(INDEX(Income!B$3:B$502,SMALL(IF((Income!D$3:D$502="INR")*(Income!A$3:A$502=DATE(2026,4,21)),ROW(Income!A$3:A$502)-2),3)),""),""))</f>
        <v/>
      </c>
      <c r="G86" s="63" t="str">
        <f aca="false">IF(IFERROR(-INDEX(Expenses!D$3:D$1002,SMALL(IF((Expenses!E$3:E$1002="INR")*(Expenses!A$3:A$1002=DATE(2026,4,22)),ROW(Expenses!A$3:A$1002)-2),3)),0)+IFERROR(INDEX(Income!C$3:C$502,SMALL(IF((Income!D$3:D$502="INR")*(Income!A$3:A$502=DATE(2026,4,22)),ROW(Income!A$3:A$502)-2),3)),0)=0,"",IFERROR(-INDEX(Expenses!D$3:D$1002,SMALL(IF((Expenses!E$3:E$1002="INR")*(Expenses!A$3:A$1002=DATE(2026,4,22)),ROW(Expenses!A$3:A$1002)-2),3)),0)+IFERROR(INDEX(Income!C$3:C$502,SMALL(IF((Income!D$3:D$502="INR")*(Income!A$3:A$502=DATE(2026,4,22)),ROW(Income!A$3:A$502)-2),3)),0))</f>
        <v/>
      </c>
      <c r="H86" s="38" t="str">
        <f aca="false">IF(IFERROR(INDEX(Expenses!B$3:B$1002,SMALL(IF((Expenses!E$3:E$1002="INR")*(Expenses!A$3:A$1002=DATE(2026,4,22)),ROW(Expenses!A$3:A$1002)-2),3)),"")&lt;&gt;"",IFERROR(INDEX(Expenses!B$3:B$1002,SMALL(IF((Expenses!E$3:E$1002="INR")*(Expenses!A$3:A$1002=DATE(2026,4,22)),ROW(Expenses!A$3:A$1002)-2),3)),""),IF(IFERROR(INDEX(Income!B$3:B$502,SMALL(IF((Income!D$3:D$502="INR")*(Income!A$3:A$502=DATE(2026,4,22)),ROW(Income!A$3:A$502)-2),3)),"")&lt;&gt;"",IFERROR(INDEX(Income!B$3:B$502,SMALL(IF((Income!D$3:D$502="INR")*(Income!A$3:A$502=DATE(2026,4,22)),ROW(Income!A$3:A$502)-2),3)),""),""))</f>
        <v/>
      </c>
      <c r="I86" s="63" t="str">
        <f aca="false">IF(IFERROR(-INDEX(Expenses!D$3:D$1002,SMALL(IF((Expenses!E$3:E$1002="INR")*(Expenses!A$3:A$1002=DATE(2026,4,23)),ROW(Expenses!A$3:A$1002)-2),3)),0)+IFERROR(INDEX(Income!C$3:C$502,SMALL(IF((Income!D$3:D$502="INR")*(Income!A$3:A$502=DATE(2026,4,23)),ROW(Income!A$3:A$502)-2),3)),0)=0,"",IFERROR(-INDEX(Expenses!D$3:D$1002,SMALL(IF((Expenses!E$3:E$1002="INR")*(Expenses!A$3:A$1002=DATE(2026,4,23)),ROW(Expenses!A$3:A$1002)-2),3)),0)+IFERROR(INDEX(Income!C$3:C$502,SMALL(IF((Income!D$3:D$502="INR")*(Income!A$3:A$502=DATE(2026,4,23)),ROW(Income!A$3:A$502)-2),3)),0))</f>
        <v/>
      </c>
      <c r="J86" s="38" t="str">
        <f aca="false">IF(IFERROR(INDEX(Expenses!B$3:B$1002,SMALL(IF((Expenses!E$3:E$1002="INR")*(Expenses!A$3:A$1002=DATE(2026,4,23)),ROW(Expenses!A$3:A$1002)-2),3)),"")&lt;&gt;"",IFERROR(INDEX(Expenses!B$3:B$1002,SMALL(IF((Expenses!E$3:E$1002="INR")*(Expenses!A$3:A$1002=DATE(2026,4,23)),ROW(Expenses!A$3:A$1002)-2),3)),""),IF(IFERROR(INDEX(Income!B$3:B$502,SMALL(IF((Income!D$3:D$502="INR")*(Income!A$3:A$502=DATE(2026,4,23)),ROW(Income!A$3:A$502)-2),3)),"")&lt;&gt;"",IFERROR(INDEX(Income!B$3:B$502,SMALL(IF((Income!D$3:D$502="INR")*(Income!A$3:A$502=DATE(2026,4,23)),ROW(Income!A$3:A$502)-2),3)),""),""))</f>
        <v/>
      </c>
      <c r="K86" s="63" t="str">
        <f aca="false">IF(IFERROR(-INDEX(Expenses!D$3:D$1002,SMALL(IF((Expenses!E$3:E$1002="INR")*(Expenses!A$3:A$1002=DATE(2026,4,24)),ROW(Expenses!A$3:A$1002)-2),3)),0)+IFERROR(INDEX(Income!C$3:C$502,SMALL(IF((Income!D$3:D$502="INR")*(Income!A$3:A$502=DATE(2026,4,24)),ROW(Income!A$3:A$502)-2),3)),0)=0,"",IFERROR(-INDEX(Expenses!D$3:D$1002,SMALL(IF((Expenses!E$3:E$1002="INR")*(Expenses!A$3:A$1002=DATE(2026,4,24)),ROW(Expenses!A$3:A$1002)-2),3)),0)+IFERROR(INDEX(Income!C$3:C$502,SMALL(IF((Income!D$3:D$502="INR")*(Income!A$3:A$502=DATE(2026,4,24)),ROW(Income!A$3:A$502)-2),3)),0))</f>
        <v/>
      </c>
      <c r="L86" s="38" t="str">
        <f aca="false">IF(IFERROR(INDEX(Expenses!B$3:B$1002,SMALL(IF((Expenses!E$3:E$1002="INR")*(Expenses!A$3:A$1002=DATE(2026,4,24)),ROW(Expenses!A$3:A$1002)-2),3)),"")&lt;&gt;"",IFERROR(INDEX(Expenses!B$3:B$1002,SMALL(IF((Expenses!E$3:E$1002="INR")*(Expenses!A$3:A$1002=DATE(2026,4,24)),ROW(Expenses!A$3:A$1002)-2),3)),""),IF(IFERROR(INDEX(Income!B$3:B$502,SMALL(IF((Income!D$3:D$502="INR")*(Income!A$3:A$502=DATE(2026,4,24)),ROW(Income!A$3:A$502)-2),3)),"")&lt;&gt;"",IFERROR(INDEX(Income!B$3:B$502,SMALL(IF((Income!D$3:D$502="INR")*(Income!A$3:A$502=DATE(2026,4,24)),ROW(Income!A$3:A$502)-2),3)),""),""))</f>
        <v/>
      </c>
      <c r="M86" s="63" t="str">
        <f aca="false">IF(IFERROR(-INDEX(Expenses!D$3:D$1002,SMALL(IF((Expenses!E$3:E$1002="INR")*(Expenses!A$3:A$1002=DATE(2026,4,25)),ROW(Expenses!A$3:A$1002)-2),3)),0)+IFERROR(INDEX(Income!C$3:C$502,SMALL(IF((Income!D$3:D$502="INR")*(Income!A$3:A$502=DATE(2026,4,25)),ROW(Income!A$3:A$502)-2),3)),0)=0,"",IFERROR(-INDEX(Expenses!D$3:D$1002,SMALL(IF((Expenses!E$3:E$1002="INR")*(Expenses!A$3:A$1002=DATE(2026,4,25)),ROW(Expenses!A$3:A$1002)-2),3)),0)+IFERROR(INDEX(Income!C$3:C$502,SMALL(IF((Income!D$3:D$502="INR")*(Income!A$3:A$502=DATE(2026,4,25)),ROW(Income!A$3:A$502)-2),3)),0))</f>
        <v/>
      </c>
      <c r="N86" s="38" t="str">
        <f aca="false">IF(IFERROR(INDEX(Expenses!B$3:B$1002,SMALL(IF((Expenses!E$3:E$1002="INR")*(Expenses!A$3:A$1002=DATE(2026,4,25)),ROW(Expenses!A$3:A$1002)-2),3)),"")&lt;&gt;"",IFERROR(INDEX(Expenses!B$3:B$1002,SMALL(IF((Expenses!E$3:E$1002="INR")*(Expenses!A$3:A$1002=DATE(2026,4,25)),ROW(Expenses!A$3:A$1002)-2),3)),""),IF(IFERROR(INDEX(Income!B$3:B$502,SMALL(IF((Income!D$3:D$502="INR")*(Income!A$3:A$502=DATE(2026,4,25)),ROW(Income!A$3:A$502)-2),3)),"")&lt;&gt;"",IFERROR(INDEX(Income!B$3:B$502,SMALL(IF((Income!D$3:D$502="INR")*(Income!A$3:A$502=DATE(2026,4,25)),ROW(Income!A$3:A$502)-2),3)),""),""))</f>
        <v/>
      </c>
      <c r="O86" s="63" t="str">
        <f aca="false">IF(IFERROR(-INDEX(Expenses!D$3:D$1002,SMALL(IF((Expenses!E$3:E$1002="INR")*(Expenses!A$3:A$1002=DATE(2026,4,26)),ROW(Expenses!A$3:A$1002)-2),3)),0)+IFERROR(INDEX(Income!C$3:C$502,SMALL(IF((Income!D$3:D$502="INR")*(Income!A$3:A$502=DATE(2026,4,26)),ROW(Income!A$3:A$502)-2),3)),0)=0,"",IFERROR(-INDEX(Expenses!D$3:D$1002,SMALL(IF((Expenses!E$3:E$1002="INR")*(Expenses!A$3:A$1002=DATE(2026,4,26)),ROW(Expenses!A$3:A$1002)-2),3)),0)+IFERROR(INDEX(Income!C$3:C$502,SMALL(IF((Income!D$3:D$502="INR")*(Income!A$3:A$502=DATE(2026,4,26)),ROW(Income!A$3:A$502)-2),3)),0))</f>
        <v/>
      </c>
      <c r="P86" s="38" t="str">
        <f aca="false">IF(IFERROR(INDEX(Expenses!B$3:B$1002,SMALL(IF((Expenses!E$3:E$1002="INR")*(Expenses!A$3:A$1002=DATE(2026,4,26)),ROW(Expenses!A$3:A$1002)-2),3)),"")&lt;&gt;"",IFERROR(INDEX(Expenses!B$3:B$1002,SMALL(IF((Expenses!E$3:E$1002="INR")*(Expenses!A$3:A$1002=DATE(2026,4,26)),ROW(Expenses!A$3:A$1002)-2),3)),""),IF(IFERROR(INDEX(Income!B$3:B$502,SMALL(IF((Income!D$3:D$502="INR")*(Income!A$3:A$502=DATE(2026,4,26)),ROW(Income!A$3:A$502)-2),3)),"")&lt;&gt;"",IFERROR(INDEX(Income!B$3:B$502,SMALL(IF((Income!D$3:D$502="INR")*(Income!A$3:A$502=DATE(2026,4,26)),ROW(Income!A$3:A$502)-2),3)),""),""))</f>
        <v/>
      </c>
      <c r="Q86" s="16"/>
      <c r="R86" s="16"/>
    </row>
    <row r="87" customFormat="false" ht="15" hidden="false" customHeight="false" outlineLevel="0" collapsed="false">
      <c r="A87" s="16"/>
      <c r="B87" s="16"/>
      <c r="C87" s="63" t="str">
        <f aca="false">IF(IFERROR(-INDEX(Expenses!D$3:D$1002,SMALL(IF((Expenses!E$3:E$1002="INR")*(Expenses!A$3:A$1002=DATE(2026,4,20)),ROW(Expenses!A$3:A$1002)-2),4)),0)+IFERROR(INDEX(Income!C$3:C$502,SMALL(IF((Income!D$3:D$502="INR")*(Income!A$3:A$502=DATE(2026,4,20)),ROW(Income!A$3:A$502)-2),4)),0)=0,"",IFERROR(-INDEX(Expenses!D$3:D$1002,SMALL(IF((Expenses!E$3:E$1002="INR")*(Expenses!A$3:A$1002=DATE(2026,4,20)),ROW(Expenses!A$3:A$1002)-2),4)),0)+IFERROR(INDEX(Income!C$3:C$502,SMALL(IF((Income!D$3:D$502="INR")*(Income!A$3:A$502=DATE(2026,4,20)),ROW(Income!A$3:A$502)-2),4)),0))</f>
        <v/>
      </c>
      <c r="D87" s="38" t="str">
        <f aca="false">IF(IFERROR(INDEX(Expenses!B$3:B$1002,SMALL(IF((Expenses!E$3:E$1002="INR")*(Expenses!A$3:A$1002=DATE(2026,4,20)),ROW(Expenses!A$3:A$1002)-2),4)),"")&lt;&gt;"",IFERROR(INDEX(Expenses!B$3:B$1002,SMALL(IF((Expenses!E$3:E$1002="INR")*(Expenses!A$3:A$1002=DATE(2026,4,20)),ROW(Expenses!A$3:A$1002)-2),4)),""),IF(IFERROR(INDEX(Income!B$3:B$502,SMALL(IF((Income!D$3:D$502="INR")*(Income!A$3:A$502=DATE(2026,4,20)),ROW(Income!A$3:A$502)-2),4)),"")&lt;&gt;"",IFERROR(INDEX(Income!B$3:B$502,SMALL(IF((Income!D$3:D$502="INR")*(Income!A$3:A$502=DATE(2026,4,20)),ROW(Income!A$3:A$502)-2),4)),""),""))</f>
        <v/>
      </c>
      <c r="E87" s="63" t="str">
        <f aca="false">IF(IFERROR(-INDEX(Expenses!D$3:D$1002,SMALL(IF((Expenses!E$3:E$1002="INR")*(Expenses!A$3:A$1002=DATE(2026,4,21)),ROW(Expenses!A$3:A$1002)-2),4)),0)+IFERROR(INDEX(Income!C$3:C$502,SMALL(IF((Income!D$3:D$502="INR")*(Income!A$3:A$502=DATE(2026,4,21)),ROW(Income!A$3:A$502)-2),4)),0)=0,"",IFERROR(-INDEX(Expenses!D$3:D$1002,SMALL(IF((Expenses!E$3:E$1002="INR")*(Expenses!A$3:A$1002=DATE(2026,4,21)),ROW(Expenses!A$3:A$1002)-2),4)),0)+IFERROR(INDEX(Income!C$3:C$502,SMALL(IF((Income!D$3:D$502="INR")*(Income!A$3:A$502=DATE(2026,4,21)),ROW(Income!A$3:A$502)-2),4)),0))</f>
        <v/>
      </c>
      <c r="F87" s="38" t="str">
        <f aca="false">IF(IFERROR(INDEX(Expenses!B$3:B$1002,SMALL(IF((Expenses!E$3:E$1002="INR")*(Expenses!A$3:A$1002=DATE(2026,4,21)),ROW(Expenses!A$3:A$1002)-2),4)),"")&lt;&gt;"",IFERROR(INDEX(Expenses!B$3:B$1002,SMALL(IF((Expenses!E$3:E$1002="INR")*(Expenses!A$3:A$1002=DATE(2026,4,21)),ROW(Expenses!A$3:A$1002)-2),4)),""),IF(IFERROR(INDEX(Income!B$3:B$502,SMALL(IF((Income!D$3:D$502="INR")*(Income!A$3:A$502=DATE(2026,4,21)),ROW(Income!A$3:A$502)-2),4)),"")&lt;&gt;"",IFERROR(INDEX(Income!B$3:B$502,SMALL(IF((Income!D$3:D$502="INR")*(Income!A$3:A$502=DATE(2026,4,21)),ROW(Income!A$3:A$502)-2),4)),""),""))</f>
        <v/>
      </c>
      <c r="G87" s="63" t="str">
        <f aca="false">IF(IFERROR(-INDEX(Expenses!D$3:D$1002,SMALL(IF((Expenses!E$3:E$1002="INR")*(Expenses!A$3:A$1002=DATE(2026,4,22)),ROW(Expenses!A$3:A$1002)-2),4)),0)+IFERROR(INDEX(Income!C$3:C$502,SMALL(IF((Income!D$3:D$502="INR")*(Income!A$3:A$502=DATE(2026,4,22)),ROW(Income!A$3:A$502)-2),4)),0)=0,"",IFERROR(-INDEX(Expenses!D$3:D$1002,SMALL(IF((Expenses!E$3:E$1002="INR")*(Expenses!A$3:A$1002=DATE(2026,4,22)),ROW(Expenses!A$3:A$1002)-2),4)),0)+IFERROR(INDEX(Income!C$3:C$502,SMALL(IF((Income!D$3:D$502="INR")*(Income!A$3:A$502=DATE(2026,4,22)),ROW(Income!A$3:A$502)-2),4)),0))</f>
        <v/>
      </c>
      <c r="H87" s="38" t="str">
        <f aca="false">IF(IFERROR(INDEX(Expenses!B$3:B$1002,SMALL(IF((Expenses!E$3:E$1002="INR")*(Expenses!A$3:A$1002=DATE(2026,4,22)),ROW(Expenses!A$3:A$1002)-2),4)),"")&lt;&gt;"",IFERROR(INDEX(Expenses!B$3:B$1002,SMALL(IF((Expenses!E$3:E$1002="INR")*(Expenses!A$3:A$1002=DATE(2026,4,22)),ROW(Expenses!A$3:A$1002)-2),4)),""),IF(IFERROR(INDEX(Income!B$3:B$502,SMALL(IF((Income!D$3:D$502="INR")*(Income!A$3:A$502=DATE(2026,4,22)),ROW(Income!A$3:A$502)-2),4)),"")&lt;&gt;"",IFERROR(INDEX(Income!B$3:B$502,SMALL(IF((Income!D$3:D$502="INR")*(Income!A$3:A$502=DATE(2026,4,22)),ROW(Income!A$3:A$502)-2),4)),""),""))</f>
        <v/>
      </c>
      <c r="I87" s="63" t="str">
        <f aca="false">IF(IFERROR(-INDEX(Expenses!D$3:D$1002,SMALL(IF((Expenses!E$3:E$1002="INR")*(Expenses!A$3:A$1002=DATE(2026,4,23)),ROW(Expenses!A$3:A$1002)-2),4)),0)+IFERROR(INDEX(Income!C$3:C$502,SMALL(IF((Income!D$3:D$502="INR")*(Income!A$3:A$502=DATE(2026,4,23)),ROW(Income!A$3:A$502)-2),4)),0)=0,"",IFERROR(-INDEX(Expenses!D$3:D$1002,SMALL(IF((Expenses!E$3:E$1002="INR")*(Expenses!A$3:A$1002=DATE(2026,4,23)),ROW(Expenses!A$3:A$1002)-2),4)),0)+IFERROR(INDEX(Income!C$3:C$502,SMALL(IF((Income!D$3:D$502="INR")*(Income!A$3:A$502=DATE(2026,4,23)),ROW(Income!A$3:A$502)-2),4)),0))</f>
        <v/>
      </c>
      <c r="J87" s="38" t="str">
        <f aca="false">IF(IFERROR(INDEX(Expenses!B$3:B$1002,SMALL(IF((Expenses!E$3:E$1002="INR")*(Expenses!A$3:A$1002=DATE(2026,4,23)),ROW(Expenses!A$3:A$1002)-2),4)),"")&lt;&gt;"",IFERROR(INDEX(Expenses!B$3:B$1002,SMALL(IF((Expenses!E$3:E$1002="INR")*(Expenses!A$3:A$1002=DATE(2026,4,23)),ROW(Expenses!A$3:A$1002)-2),4)),""),IF(IFERROR(INDEX(Income!B$3:B$502,SMALL(IF((Income!D$3:D$502="INR")*(Income!A$3:A$502=DATE(2026,4,23)),ROW(Income!A$3:A$502)-2),4)),"")&lt;&gt;"",IFERROR(INDEX(Income!B$3:B$502,SMALL(IF((Income!D$3:D$502="INR")*(Income!A$3:A$502=DATE(2026,4,23)),ROW(Income!A$3:A$502)-2),4)),""),""))</f>
        <v/>
      </c>
      <c r="K87" s="63" t="str">
        <f aca="false">IF(IFERROR(-INDEX(Expenses!D$3:D$1002,SMALL(IF((Expenses!E$3:E$1002="INR")*(Expenses!A$3:A$1002=DATE(2026,4,24)),ROW(Expenses!A$3:A$1002)-2),4)),0)+IFERROR(INDEX(Income!C$3:C$502,SMALL(IF((Income!D$3:D$502="INR")*(Income!A$3:A$502=DATE(2026,4,24)),ROW(Income!A$3:A$502)-2),4)),0)=0,"",IFERROR(-INDEX(Expenses!D$3:D$1002,SMALL(IF((Expenses!E$3:E$1002="INR")*(Expenses!A$3:A$1002=DATE(2026,4,24)),ROW(Expenses!A$3:A$1002)-2),4)),0)+IFERROR(INDEX(Income!C$3:C$502,SMALL(IF((Income!D$3:D$502="INR")*(Income!A$3:A$502=DATE(2026,4,24)),ROW(Income!A$3:A$502)-2),4)),0))</f>
        <v/>
      </c>
      <c r="L87" s="38" t="str">
        <f aca="false">IF(IFERROR(INDEX(Expenses!B$3:B$1002,SMALL(IF((Expenses!E$3:E$1002="INR")*(Expenses!A$3:A$1002=DATE(2026,4,24)),ROW(Expenses!A$3:A$1002)-2),4)),"")&lt;&gt;"",IFERROR(INDEX(Expenses!B$3:B$1002,SMALL(IF((Expenses!E$3:E$1002="INR")*(Expenses!A$3:A$1002=DATE(2026,4,24)),ROW(Expenses!A$3:A$1002)-2),4)),""),IF(IFERROR(INDEX(Income!B$3:B$502,SMALL(IF((Income!D$3:D$502="INR")*(Income!A$3:A$502=DATE(2026,4,24)),ROW(Income!A$3:A$502)-2),4)),"")&lt;&gt;"",IFERROR(INDEX(Income!B$3:B$502,SMALL(IF((Income!D$3:D$502="INR")*(Income!A$3:A$502=DATE(2026,4,24)),ROW(Income!A$3:A$502)-2),4)),""),""))</f>
        <v/>
      </c>
      <c r="M87" s="63" t="str">
        <f aca="false">IF(IFERROR(-INDEX(Expenses!D$3:D$1002,SMALL(IF((Expenses!E$3:E$1002="INR")*(Expenses!A$3:A$1002=DATE(2026,4,25)),ROW(Expenses!A$3:A$1002)-2),4)),0)+IFERROR(INDEX(Income!C$3:C$502,SMALL(IF((Income!D$3:D$502="INR")*(Income!A$3:A$502=DATE(2026,4,25)),ROW(Income!A$3:A$502)-2),4)),0)=0,"",IFERROR(-INDEX(Expenses!D$3:D$1002,SMALL(IF((Expenses!E$3:E$1002="INR")*(Expenses!A$3:A$1002=DATE(2026,4,25)),ROW(Expenses!A$3:A$1002)-2),4)),0)+IFERROR(INDEX(Income!C$3:C$502,SMALL(IF((Income!D$3:D$502="INR")*(Income!A$3:A$502=DATE(2026,4,25)),ROW(Income!A$3:A$502)-2),4)),0))</f>
        <v/>
      </c>
      <c r="N87" s="38" t="str">
        <f aca="false">IF(IFERROR(INDEX(Expenses!B$3:B$1002,SMALL(IF((Expenses!E$3:E$1002="INR")*(Expenses!A$3:A$1002=DATE(2026,4,25)),ROW(Expenses!A$3:A$1002)-2),4)),"")&lt;&gt;"",IFERROR(INDEX(Expenses!B$3:B$1002,SMALL(IF((Expenses!E$3:E$1002="INR")*(Expenses!A$3:A$1002=DATE(2026,4,25)),ROW(Expenses!A$3:A$1002)-2),4)),""),IF(IFERROR(INDEX(Income!B$3:B$502,SMALL(IF((Income!D$3:D$502="INR")*(Income!A$3:A$502=DATE(2026,4,25)),ROW(Income!A$3:A$502)-2),4)),"")&lt;&gt;"",IFERROR(INDEX(Income!B$3:B$502,SMALL(IF((Income!D$3:D$502="INR")*(Income!A$3:A$502=DATE(2026,4,25)),ROW(Income!A$3:A$502)-2),4)),""),""))</f>
        <v/>
      </c>
      <c r="O87" s="63" t="str">
        <f aca="false">IF(IFERROR(-INDEX(Expenses!D$3:D$1002,SMALL(IF((Expenses!E$3:E$1002="INR")*(Expenses!A$3:A$1002=DATE(2026,4,26)),ROW(Expenses!A$3:A$1002)-2),4)),0)+IFERROR(INDEX(Income!C$3:C$502,SMALL(IF((Income!D$3:D$502="INR")*(Income!A$3:A$502=DATE(2026,4,26)),ROW(Income!A$3:A$502)-2),4)),0)=0,"",IFERROR(-INDEX(Expenses!D$3:D$1002,SMALL(IF((Expenses!E$3:E$1002="INR")*(Expenses!A$3:A$1002=DATE(2026,4,26)),ROW(Expenses!A$3:A$1002)-2),4)),0)+IFERROR(INDEX(Income!C$3:C$502,SMALL(IF((Income!D$3:D$502="INR")*(Income!A$3:A$502=DATE(2026,4,26)),ROW(Income!A$3:A$502)-2),4)),0))</f>
        <v/>
      </c>
      <c r="P87" s="38" t="str">
        <f aca="false">IF(IFERROR(INDEX(Expenses!B$3:B$1002,SMALL(IF((Expenses!E$3:E$1002="INR")*(Expenses!A$3:A$1002=DATE(2026,4,26)),ROW(Expenses!A$3:A$1002)-2),4)),"")&lt;&gt;"",IFERROR(INDEX(Expenses!B$3:B$1002,SMALL(IF((Expenses!E$3:E$1002="INR")*(Expenses!A$3:A$1002=DATE(2026,4,26)),ROW(Expenses!A$3:A$1002)-2),4)),""),IF(IFERROR(INDEX(Income!B$3:B$502,SMALL(IF((Income!D$3:D$502="INR")*(Income!A$3:A$502=DATE(2026,4,26)),ROW(Income!A$3:A$502)-2),4)),"")&lt;&gt;"",IFERROR(INDEX(Income!B$3:B$502,SMALL(IF((Income!D$3:D$502="INR")*(Income!A$3:A$502=DATE(2026,4,26)),ROW(Income!A$3:A$502)-2),4)),""),""))</f>
        <v/>
      </c>
      <c r="Q87" s="16"/>
      <c r="R87" s="16"/>
    </row>
    <row r="88" customFormat="false" ht="15" hidden="false" customHeight="false" outlineLevel="0" collapsed="false">
      <c r="A88" s="16"/>
      <c r="B88" s="16"/>
      <c r="C88" s="63" t="str">
        <f aca="false">IF(IFERROR(-INDEX(Expenses!D$3:D$1002,SMALL(IF((Expenses!E$3:E$1002="INR")*(Expenses!A$3:A$1002=DATE(2026,4,20)),ROW(Expenses!A$3:A$1002)-2),5)),0)+IFERROR(INDEX(Income!C$3:C$502,SMALL(IF((Income!D$3:D$502="INR")*(Income!A$3:A$502=DATE(2026,4,20)),ROW(Income!A$3:A$502)-2),5)),0)=0,"",IFERROR(-INDEX(Expenses!D$3:D$1002,SMALL(IF((Expenses!E$3:E$1002="INR")*(Expenses!A$3:A$1002=DATE(2026,4,20)),ROW(Expenses!A$3:A$1002)-2),5)),0)+IFERROR(INDEX(Income!C$3:C$502,SMALL(IF((Income!D$3:D$502="INR")*(Income!A$3:A$502=DATE(2026,4,20)),ROW(Income!A$3:A$502)-2),5)),0))</f>
        <v/>
      </c>
      <c r="D88" s="38" t="str">
        <f aca="false">IF(IFERROR(INDEX(Expenses!B$3:B$1002,SMALL(IF((Expenses!E$3:E$1002="INR")*(Expenses!A$3:A$1002=DATE(2026,4,20)),ROW(Expenses!A$3:A$1002)-2),5)),"")&lt;&gt;"",IFERROR(INDEX(Expenses!B$3:B$1002,SMALL(IF((Expenses!E$3:E$1002="INR")*(Expenses!A$3:A$1002=DATE(2026,4,20)),ROW(Expenses!A$3:A$1002)-2),5)),""),IF(IFERROR(INDEX(Income!B$3:B$502,SMALL(IF((Income!D$3:D$502="INR")*(Income!A$3:A$502=DATE(2026,4,20)),ROW(Income!A$3:A$502)-2),5)),"")&lt;&gt;"",IFERROR(INDEX(Income!B$3:B$502,SMALL(IF((Income!D$3:D$502="INR")*(Income!A$3:A$502=DATE(2026,4,20)),ROW(Income!A$3:A$502)-2),5)),""),""))</f>
        <v/>
      </c>
      <c r="E88" s="63" t="str">
        <f aca="false">IF(IFERROR(-INDEX(Expenses!D$3:D$1002,SMALL(IF((Expenses!E$3:E$1002="INR")*(Expenses!A$3:A$1002=DATE(2026,4,21)),ROW(Expenses!A$3:A$1002)-2),5)),0)+IFERROR(INDEX(Income!C$3:C$502,SMALL(IF((Income!D$3:D$502="INR")*(Income!A$3:A$502=DATE(2026,4,21)),ROW(Income!A$3:A$502)-2),5)),0)=0,"",IFERROR(-INDEX(Expenses!D$3:D$1002,SMALL(IF((Expenses!E$3:E$1002="INR")*(Expenses!A$3:A$1002=DATE(2026,4,21)),ROW(Expenses!A$3:A$1002)-2),5)),0)+IFERROR(INDEX(Income!C$3:C$502,SMALL(IF((Income!D$3:D$502="INR")*(Income!A$3:A$502=DATE(2026,4,21)),ROW(Income!A$3:A$502)-2),5)),0))</f>
        <v/>
      </c>
      <c r="F88" s="38" t="str">
        <f aca="false">IF(IFERROR(INDEX(Expenses!B$3:B$1002,SMALL(IF((Expenses!E$3:E$1002="INR")*(Expenses!A$3:A$1002=DATE(2026,4,21)),ROW(Expenses!A$3:A$1002)-2),5)),"")&lt;&gt;"",IFERROR(INDEX(Expenses!B$3:B$1002,SMALL(IF((Expenses!E$3:E$1002="INR")*(Expenses!A$3:A$1002=DATE(2026,4,21)),ROW(Expenses!A$3:A$1002)-2),5)),""),IF(IFERROR(INDEX(Income!B$3:B$502,SMALL(IF((Income!D$3:D$502="INR")*(Income!A$3:A$502=DATE(2026,4,21)),ROW(Income!A$3:A$502)-2),5)),"")&lt;&gt;"",IFERROR(INDEX(Income!B$3:B$502,SMALL(IF((Income!D$3:D$502="INR")*(Income!A$3:A$502=DATE(2026,4,21)),ROW(Income!A$3:A$502)-2),5)),""),""))</f>
        <v/>
      </c>
      <c r="G88" s="63" t="str">
        <f aca="false">IF(IFERROR(-INDEX(Expenses!D$3:D$1002,SMALL(IF((Expenses!E$3:E$1002="INR")*(Expenses!A$3:A$1002=DATE(2026,4,22)),ROW(Expenses!A$3:A$1002)-2),5)),0)+IFERROR(INDEX(Income!C$3:C$502,SMALL(IF((Income!D$3:D$502="INR")*(Income!A$3:A$502=DATE(2026,4,22)),ROW(Income!A$3:A$502)-2),5)),0)=0,"",IFERROR(-INDEX(Expenses!D$3:D$1002,SMALL(IF((Expenses!E$3:E$1002="INR")*(Expenses!A$3:A$1002=DATE(2026,4,22)),ROW(Expenses!A$3:A$1002)-2),5)),0)+IFERROR(INDEX(Income!C$3:C$502,SMALL(IF((Income!D$3:D$502="INR")*(Income!A$3:A$502=DATE(2026,4,22)),ROW(Income!A$3:A$502)-2),5)),0))</f>
        <v/>
      </c>
      <c r="H88" s="38" t="str">
        <f aca="false">IF(IFERROR(INDEX(Expenses!B$3:B$1002,SMALL(IF((Expenses!E$3:E$1002="INR")*(Expenses!A$3:A$1002=DATE(2026,4,22)),ROW(Expenses!A$3:A$1002)-2),5)),"")&lt;&gt;"",IFERROR(INDEX(Expenses!B$3:B$1002,SMALL(IF((Expenses!E$3:E$1002="INR")*(Expenses!A$3:A$1002=DATE(2026,4,22)),ROW(Expenses!A$3:A$1002)-2),5)),""),IF(IFERROR(INDEX(Income!B$3:B$502,SMALL(IF((Income!D$3:D$502="INR")*(Income!A$3:A$502=DATE(2026,4,22)),ROW(Income!A$3:A$502)-2),5)),"")&lt;&gt;"",IFERROR(INDEX(Income!B$3:B$502,SMALL(IF((Income!D$3:D$502="INR")*(Income!A$3:A$502=DATE(2026,4,22)),ROW(Income!A$3:A$502)-2),5)),""),""))</f>
        <v/>
      </c>
      <c r="I88" s="63" t="str">
        <f aca="false">IF(IFERROR(-INDEX(Expenses!D$3:D$1002,SMALL(IF((Expenses!E$3:E$1002="INR")*(Expenses!A$3:A$1002=DATE(2026,4,23)),ROW(Expenses!A$3:A$1002)-2),5)),0)+IFERROR(INDEX(Income!C$3:C$502,SMALL(IF((Income!D$3:D$502="INR")*(Income!A$3:A$502=DATE(2026,4,23)),ROW(Income!A$3:A$502)-2),5)),0)=0,"",IFERROR(-INDEX(Expenses!D$3:D$1002,SMALL(IF((Expenses!E$3:E$1002="INR")*(Expenses!A$3:A$1002=DATE(2026,4,23)),ROW(Expenses!A$3:A$1002)-2),5)),0)+IFERROR(INDEX(Income!C$3:C$502,SMALL(IF((Income!D$3:D$502="INR")*(Income!A$3:A$502=DATE(2026,4,23)),ROW(Income!A$3:A$502)-2),5)),0))</f>
        <v/>
      </c>
      <c r="J88" s="38" t="str">
        <f aca="false">IF(IFERROR(INDEX(Expenses!B$3:B$1002,SMALL(IF((Expenses!E$3:E$1002="INR")*(Expenses!A$3:A$1002=DATE(2026,4,23)),ROW(Expenses!A$3:A$1002)-2),5)),"")&lt;&gt;"",IFERROR(INDEX(Expenses!B$3:B$1002,SMALL(IF((Expenses!E$3:E$1002="INR")*(Expenses!A$3:A$1002=DATE(2026,4,23)),ROW(Expenses!A$3:A$1002)-2),5)),""),IF(IFERROR(INDEX(Income!B$3:B$502,SMALL(IF((Income!D$3:D$502="INR")*(Income!A$3:A$502=DATE(2026,4,23)),ROW(Income!A$3:A$502)-2),5)),"")&lt;&gt;"",IFERROR(INDEX(Income!B$3:B$502,SMALL(IF((Income!D$3:D$502="INR")*(Income!A$3:A$502=DATE(2026,4,23)),ROW(Income!A$3:A$502)-2),5)),""),""))</f>
        <v/>
      </c>
      <c r="K88" s="63" t="str">
        <f aca="false">IF(IFERROR(-INDEX(Expenses!D$3:D$1002,SMALL(IF((Expenses!E$3:E$1002="INR")*(Expenses!A$3:A$1002=DATE(2026,4,24)),ROW(Expenses!A$3:A$1002)-2),5)),0)+IFERROR(INDEX(Income!C$3:C$502,SMALL(IF((Income!D$3:D$502="INR")*(Income!A$3:A$502=DATE(2026,4,24)),ROW(Income!A$3:A$502)-2),5)),0)=0,"",IFERROR(-INDEX(Expenses!D$3:D$1002,SMALL(IF((Expenses!E$3:E$1002="INR")*(Expenses!A$3:A$1002=DATE(2026,4,24)),ROW(Expenses!A$3:A$1002)-2),5)),0)+IFERROR(INDEX(Income!C$3:C$502,SMALL(IF((Income!D$3:D$502="INR")*(Income!A$3:A$502=DATE(2026,4,24)),ROW(Income!A$3:A$502)-2),5)),0))</f>
        <v/>
      </c>
      <c r="L88" s="38" t="str">
        <f aca="false">IF(IFERROR(INDEX(Expenses!B$3:B$1002,SMALL(IF((Expenses!E$3:E$1002="INR")*(Expenses!A$3:A$1002=DATE(2026,4,24)),ROW(Expenses!A$3:A$1002)-2),5)),"")&lt;&gt;"",IFERROR(INDEX(Expenses!B$3:B$1002,SMALL(IF((Expenses!E$3:E$1002="INR")*(Expenses!A$3:A$1002=DATE(2026,4,24)),ROW(Expenses!A$3:A$1002)-2),5)),""),IF(IFERROR(INDEX(Income!B$3:B$502,SMALL(IF((Income!D$3:D$502="INR")*(Income!A$3:A$502=DATE(2026,4,24)),ROW(Income!A$3:A$502)-2),5)),"")&lt;&gt;"",IFERROR(INDEX(Income!B$3:B$502,SMALL(IF((Income!D$3:D$502="INR")*(Income!A$3:A$502=DATE(2026,4,24)),ROW(Income!A$3:A$502)-2),5)),""),""))</f>
        <v/>
      </c>
      <c r="M88" s="63" t="str">
        <f aca="false">IF(IFERROR(-INDEX(Expenses!D$3:D$1002,SMALL(IF((Expenses!E$3:E$1002="INR")*(Expenses!A$3:A$1002=DATE(2026,4,25)),ROW(Expenses!A$3:A$1002)-2),5)),0)+IFERROR(INDEX(Income!C$3:C$502,SMALL(IF((Income!D$3:D$502="INR")*(Income!A$3:A$502=DATE(2026,4,25)),ROW(Income!A$3:A$502)-2),5)),0)=0,"",IFERROR(-INDEX(Expenses!D$3:D$1002,SMALL(IF((Expenses!E$3:E$1002="INR")*(Expenses!A$3:A$1002=DATE(2026,4,25)),ROW(Expenses!A$3:A$1002)-2),5)),0)+IFERROR(INDEX(Income!C$3:C$502,SMALL(IF((Income!D$3:D$502="INR")*(Income!A$3:A$502=DATE(2026,4,25)),ROW(Income!A$3:A$502)-2),5)),0))</f>
        <v/>
      </c>
      <c r="N88" s="38" t="str">
        <f aca="false">IF(IFERROR(INDEX(Expenses!B$3:B$1002,SMALL(IF((Expenses!E$3:E$1002="INR")*(Expenses!A$3:A$1002=DATE(2026,4,25)),ROW(Expenses!A$3:A$1002)-2),5)),"")&lt;&gt;"",IFERROR(INDEX(Expenses!B$3:B$1002,SMALL(IF((Expenses!E$3:E$1002="INR")*(Expenses!A$3:A$1002=DATE(2026,4,25)),ROW(Expenses!A$3:A$1002)-2),5)),""),IF(IFERROR(INDEX(Income!B$3:B$502,SMALL(IF((Income!D$3:D$502="INR")*(Income!A$3:A$502=DATE(2026,4,25)),ROW(Income!A$3:A$502)-2),5)),"")&lt;&gt;"",IFERROR(INDEX(Income!B$3:B$502,SMALL(IF((Income!D$3:D$502="INR")*(Income!A$3:A$502=DATE(2026,4,25)),ROW(Income!A$3:A$502)-2),5)),""),""))</f>
        <v/>
      </c>
      <c r="O88" s="63" t="str">
        <f aca="false">IF(IFERROR(-INDEX(Expenses!D$3:D$1002,SMALL(IF((Expenses!E$3:E$1002="INR")*(Expenses!A$3:A$1002=DATE(2026,4,26)),ROW(Expenses!A$3:A$1002)-2),5)),0)+IFERROR(INDEX(Income!C$3:C$502,SMALL(IF((Income!D$3:D$502="INR")*(Income!A$3:A$502=DATE(2026,4,26)),ROW(Income!A$3:A$502)-2),5)),0)=0,"",IFERROR(-INDEX(Expenses!D$3:D$1002,SMALL(IF((Expenses!E$3:E$1002="INR")*(Expenses!A$3:A$1002=DATE(2026,4,26)),ROW(Expenses!A$3:A$1002)-2),5)),0)+IFERROR(INDEX(Income!C$3:C$502,SMALL(IF((Income!D$3:D$502="INR")*(Income!A$3:A$502=DATE(2026,4,26)),ROW(Income!A$3:A$502)-2),5)),0))</f>
        <v/>
      </c>
      <c r="P88" s="38" t="str">
        <f aca="false">IF(IFERROR(INDEX(Expenses!B$3:B$1002,SMALL(IF((Expenses!E$3:E$1002="INR")*(Expenses!A$3:A$1002=DATE(2026,4,26)),ROW(Expenses!A$3:A$1002)-2),5)),"")&lt;&gt;"",IFERROR(INDEX(Expenses!B$3:B$1002,SMALL(IF((Expenses!E$3:E$1002="INR")*(Expenses!A$3:A$1002=DATE(2026,4,26)),ROW(Expenses!A$3:A$1002)-2),5)),""),IF(IFERROR(INDEX(Income!B$3:B$502,SMALL(IF((Income!D$3:D$502="INR")*(Income!A$3:A$502=DATE(2026,4,26)),ROW(Income!A$3:A$502)-2),5)),"")&lt;&gt;"",IFERROR(INDEX(Income!B$3:B$502,SMALL(IF((Income!D$3:D$502="INR")*(Income!A$3:A$502=DATE(2026,4,26)),ROW(Income!A$3:A$502)-2),5)),""),""))</f>
        <v/>
      </c>
      <c r="Q88" s="16"/>
      <c r="R88" s="16"/>
    </row>
    <row r="89" customFormat="false" ht="15" hidden="false" customHeight="false" outlineLevel="0" collapsed="false">
      <c r="A89" s="61" t="n">
        <v>46139</v>
      </c>
      <c r="B89" s="3" t="n">
        <v>18</v>
      </c>
      <c r="C89" s="63" t="str">
        <f aca="false">IF(IFERROR(-INDEX(Expenses!D$3:D$1002,SMALL(IF((Expenses!E$3:E$1002="INR")*(Expenses!A$3:A$1002=DATE(2026,4,27)),ROW(Expenses!A$3:A$1002)-2),1)),0)+IFERROR(INDEX(Income!C$3:C$502,SMALL(IF((Income!D$3:D$502="INR")*(Income!A$3:A$502=DATE(2026,4,27)),ROW(Income!A$3:A$502)-2),1)),0)=0,"",IFERROR(-INDEX(Expenses!D$3:D$1002,SMALL(IF((Expenses!E$3:E$1002="INR")*(Expenses!A$3:A$1002=DATE(2026,4,27)),ROW(Expenses!A$3:A$1002)-2),1)),0)+IFERROR(INDEX(Income!C$3:C$502,SMALL(IF((Income!D$3:D$502="INR")*(Income!A$3:A$502=DATE(2026,4,27)),ROW(Income!A$3:A$502)-2),1)),0))</f>
        <v/>
      </c>
      <c r="D89" s="38" t="str">
        <f aca="false">IF(IFERROR(INDEX(Expenses!B$3:B$1002,SMALL(IF((Expenses!E$3:E$1002="INR")*(Expenses!A$3:A$1002=DATE(2026,4,27)),ROW(Expenses!A$3:A$1002)-2),1)),"")&lt;&gt;"",IFERROR(INDEX(Expenses!B$3:B$1002,SMALL(IF((Expenses!E$3:E$1002="INR")*(Expenses!A$3:A$1002=DATE(2026,4,27)),ROW(Expenses!A$3:A$1002)-2),1)),""),IF(IFERROR(INDEX(Income!B$3:B$502,SMALL(IF((Income!D$3:D$502="INR")*(Income!A$3:A$502=DATE(2026,4,27)),ROW(Income!A$3:A$502)-2),1)),"")&lt;&gt;"",IFERROR(INDEX(Income!B$3:B$502,SMALL(IF((Income!D$3:D$502="INR")*(Income!A$3:A$502=DATE(2026,4,27)),ROW(Income!A$3:A$502)-2),1)),""),""))</f>
        <v/>
      </c>
      <c r="E89" s="63" t="str">
        <f aca="false">IF(IFERROR(-INDEX(Expenses!D$3:D$1002,SMALL(IF((Expenses!E$3:E$1002="INR")*(Expenses!A$3:A$1002=DATE(2026,4,28)),ROW(Expenses!A$3:A$1002)-2),1)),0)+IFERROR(INDEX(Income!C$3:C$502,SMALL(IF((Income!D$3:D$502="INR")*(Income!A$3:A$502=DATE(2026,4,28)),ROW(Income!A$3:A$502)-2),1)),0)=0,"",IFERROR(-INDEX(Expenses!D$3:D$1002,SMALL(IF((Expenses!E$3:E$1002="INR")*(Expenses!A$3:A$1002=DATE(2026,4,28)),ROW(Expenses!A$3:A$1002)-2),1)),0)+IFERROR(INDEX(Income!C$3:C$502,SMALL(IF((Income!D$3:D$502="INR")*(Income!A$3:A$502=DATE(2026,4,28)),ROW(Income!A$3:A$502)-2),1)),0))</f>
        <v/>
      </c>
      <c r="F89" s="38" t="str">
        <f aca="false">IF(IFERROR(INDEX(Expenses!B$3:B$1002,SMALL(IF((Expenses!E$3:E$1002="INR")*(Expenses!A$3:A$1002=DATE(2026,4,28)),ROW(Expenses!A$3:A$1002)-2),1)),"")&lt;&gt;"",IFERROR(INDEX(Expenses!B$3:B$1002,SMALL(IF((Expenses!E$3:E$1002="INR")*(Expenses!A$3:A$1002=DATE(2026,4,28)),ROW(Expenses!A$3:A$1002)-2),1)),""),IF(IFERROR(INDEX(Income!B$3:B$502,SMALL(IF((Income!D$3:D$502="INR")*(Income!A$3:A$502=DATE(2026,4,28)),ROW(Income!A$3:A$502)-2),1)),"")&lt;&gt;"",IFERROR(INDEX(Income!B$3:B$502,SMALL(IF((Income!D$3:D$502="INR")*(Income!A$3:A$502=DATE(2026,4,28)),ROW(Income!A$3:A$502)-2),1)),""),""))</f>
        <v/>
      </c>
      <c r="G89" s="63" t="str">
        <f aca="false">IF(IFERROR(-INDEX(Expenses!D$3:D$1002,SMALL(IF((Expenses!E$3:E$1002="INR")*(Expenses!A$3:A$1002=DATE(2026,4,29)),ROW(Expenses!A$3:A$1002)-2),1)),0)+IFERROR(INDEX(Income!C$3:C$502,SMALL(IF((Income!D$3:D$502="INR")*(Income!A$3:A$502=DATE(2026,4,29)),ROW(Income!A$3:A$502)-2),1)),0)=0,"",IFERROR(-INDEX(Expenses!D$3:D$1002,SMALL(IF((Expenses!E$3:E$1002="INR")*(Expenses!A$3:A$1002=DATE(2026,4,29)),ROW(Expenses!A$3:A$1002)-2),1)),0)+IFERROR(INDEX(Income!C$3:C$502,SMALL(IF((Income!D$3:D$502="INR")*(Income!A$3:A$502=DATE(2026,4,29)),ROW(Income!A$3:A$502)-2),1)),0))</f>
        <v/>
      </c>
      <c r="H89" s="38" t="str">
        <f aca="false">IF(IFERROR(INDEX(Expenses!B$3:B$1002,SMALL(IF((Expenses!E$3:E$1002="INR")*(Expenses!A$3:A$1002=DATE(2026,4,29)),ROW(Expenses!A$3:A$1002)-2),1)),"")&lt;&gt;"",IFERROR(INDEX(Expenses!B$3:B$1002,SMALL(IF((Expenses!E$3:E$1002="INR")*(Expenses!A$3:A$1002=DATE(2026,4,29)),ROW(Expenses!A$3:A$1002)-2),1)),""),IF(IFERROR(INDEX(Income!B$3:B$502,SMALL(IF((Income!D$3:D$502="INR")*(Income!A$3:A$502=DATE(2026,4,29)),ROW(Income!A$3:A$502)-2),1)),"")&lt;&gt;"",IFERROR(INDEX(Income!B$3:B$502,SMALL(IF((Income!D$3:D$502="INR")*(Income!A$3:A$502=DATE(2026,4,29)),ROW(Income!A$3:A$502)-2),1)),""),""))</f>
        <v/>
      </c>
      <c r="I89" s="63" t="str">
        <f aca="false">IF(IFERROR(-INDEX(Expenses!D$3:D$1002,SMALL(IF((Expenses!E$3:E$1002="INR")*(Expenses!A$3:A$1002=DATE(2026,4,30)),ROW(Expenses!A$3:A$1002)-2),1)),0)+IFERROR(INDEX(Income!C$3:C$502,SMALL(IF((Income!D$3:D$502="INR")*(Income!A$3:A$502=DATE(2026,4,30)),ROW(Income!A$3:A$502)-2),1)),0)=0,"",IFERROR(-INDEX(Expenses!D$3:D$1002,SMALL(IF((Expenses!E$3:E$1002="INR")*(Expenses!A$3:A$1002=DATE(2026,4,30)),ROW(Expenses!A$3:A$1002)-2),1)),0)+IFERROR(INDEX(Income!C$3:C$502,SMALL(IF((Income!D$3:D$502="INR")*(Income!A$3:A$502=DATE(2026,4,30)),ROW(Income!A$3:A$502)-2),1)),0))</f>
        <v/>
      </c>
      <c r="J89" s="38" t="str">
        <f aca="false">IF(IFERROR(INDEX(Expenses!B$3:B$1002,SMALL(IF((Expenses!E$3:E$1002="INR")*(Expenses!A$3:A$1002=DATE(2026,4,30)),ROW(Expenses!A$3:A$1002)-2),1)),"")&lt;&gt;"",IFERROR(INDEX(Expenses!B$3:B$1002,SMALL(IF((Expenses!E$3:E$1002="INR")*(Expenses!A$3:A$1002=DATE(2026,4,30)),ROW(Expenses!A$3:A$1002)-2),1)),""),IF(IFERROR(INDEX(Income!B$3:B$502,SMALL(IF((Income!D$3:D$502="INR")*(Income!A$3:A$502=DATE(2026,4,30)),ROW(Income!A$3:A$502)-2),1)),"")&lt;&gt;"",IFERROR(INDEX(Income!B$3:B$502,SMALL(IF((Income!D$3:D$502="INR")*(Income!A$3:A$502=DATE(2026,4,30)),ROW(Income!A$3:A$502)-2),1)),""),""))</f>
        <v/>
      </c>
      <c r="K89" s="63" t="str">
        <f aca="false">IF(IFERROR(-INDEX(Expenses!D$3:D$1002,SMALL(IF((Expenses!E$3:E$1002="INR")*(Expenses!A$3:A$1002=DATE(2026,5,1)),ROW(Expenses!A$3:A$1002)-2),1)),0)+IFERROR(INDEX(Income!C$3:C$502,SMALL(IF((Income!D$3:D$502="INR")*(Income!A$3:A$502=DATE(2026,5,1)),ROW(Income!A$3:A$502)-2),1)),0)=0,"",IFERROR(-INDEX(Expenses!D$3:D$1002,SMALL(IF((Expenses!E$3:E$1002="INR")*(Expenses!A$3:A$1002=DATE(2026,5,1)),ROW(Expenses!A$3:A$1002)-2),1)),0)+IFERROR(INDEX(Income!C$3:C$502,SMALL(IF((Income!D$3:D$502="INR")*(Income!A$3:A$502=DATE(2026,5,1)),ROW(Income!A$3:A$502)-2),1)),0))</f>
        <v/>
      </c>
      <c r="L89" s="38" t="str">
        <f aca="false">IF(IFERROR(INDEX(Expenses!B$3:B$1002,SMALL(IF((Expenses!E$3:E$1002="INR")*(Expenses!A$3:A$1002=DATE(2026,5,1)),ROW(Expenses!A$3:A$1002)-2),1)),"")&lt;&gt;"",IFERROR(INDEX(Expenses!B$3:B$1002,SMALL(IF((Expenses!E$3:E$1002="INR")*(Expenses!A$3:A$1002=DATE(2026,5,1)),ROW(Expenses!A$3:A$1002)-2),1)),""),IF(IFERROR(INDEX(Income!B$3:B$502,SMALL(IF((Income!D$3:D$502="INR")*(Income!A$3:A$502=DATE(2026,5,1)),ROW(Income!A$3:A$502)-2),1)),"")&lt;&gt;"",IFERROR(INDEX(Income!B$3:B$502,SMALL(IF((Income!D$3:D$502="INR")*(Income!A$3:A$502=DATE(2026,5,1)),ROW(Income!A$3:A$502)-2),1)),""),""))</f>
        <v/>
      </c>
      <c r="M89" s="63" t="str">
        <f aca="false">IF(IFERROR(-INDEX(Expenses!D$3:D$1002,SMALL(IF((Expenses!E$3:E$1002="INR")*(Expenses!A$3:A$1002=DATE(2026,5,2)),ROW(Expenses!A$3:A$1002)-2),1)),0)+IFERROR(INDEX(Income!C$3:C$502,SMALL(IF((Income!D$3:D$502="INR")*(Income!A$3:A$502=DATE(2026,5,2)),ROW(Income!A$3:A$502)-2),1)),0)=0,"",IFERROR(-INDEX(Expenses!D$3:D$1002,SMALL(IF((Expenses!E$3:E$1002="INR")*(Expenses!A$3:A$1002=DATE(2026,5,2)),ROW(Expenses!A$3:A$1002)-2),1)),0)+IFERROR(INDEX(Income!C$3:C$502,SMALL(IF((Income!D$3:D$502="INR")*(Income!A$3:A$502=DATE(2026,5,2)),ROW(Income!A$3:A$502)-2),1)),0))</f>
        <v/>
      </c>
      <c r="N89" s="38" t="str">
        <f aca="false">IF(IFERROR(INDEX(Expenses!B$3:B$1002,SMALL(IF((Expenses!E$3:E$1002="INR")*(Expenses!A$3:A$1002=DATE(2026,5,2)),ROW(Expenses!A$3:A$1002)-2),1)),"")&lt;&gt;"",IFERROR(INDEX(Expenses!B$3:B$1002,SMALL(IF((Expenses!E$3:E$1002="INR")*(Expenses!A$3:A$1002=DATE(2026,5,2)),ROW(Expenses!A$3:A$1002)-2),1)),""),IF(IFERROR(INDEX(Income!B$3:B$502,SMALL(IF((Income!D$3:D$502="INR")*(Income!A$3:A$502=DATE(2026,5,2)),ROW(Income!A$3:A$502)-2),1)),"")&lt;&gt;"",IFERROR(INDEX(Income!B$3:B$502,SMALL(IF((Income!D$3:D$502="INR")*(Income!A$3:A$502=DATE(2026,5,2)),ROW(Income!A$3:A$502)-2),1)),""),""))</f>
        <v/>
      </c>
      <c r="O89" s="63" t="str">
        <f aca="false">IF(IFERROR(-INDEX(Expenses!D$3:D$1002,SMALL(IF((Expenses!E$3:E$1002="INR")*(Expenses!A$3:A$1002=DATE(2026,5,3)),ROW(Expenses!A$3:A$1002)-2),1)),0)+IFERROR(INDEX(Income!C$3:C$502,SMALL(IF((Income!D$3:D$502="INR")*(Income!A$3:A$502=DATE(2026,5,3)),ROW(Income!A$3:A$502)-2),1)),0)=0,"",IFERROR(-INDEX(Expenses!D$3:D$1002,SMALL(IF((Expenses!E$3:E$1002="INR")*(Expenses!A$3:A$1002=DATE(2026,5,3)),ROW(Expenses!A$3:A$1002)-2),1)),0)+IFERROR(INDEX(Income!C$3:C$502,SMALL(IF((Income!D$3:D$502="INR")*(Income!A$3:A$502=DATE(2026,5,3)),ROW(Income!A$3:A$502)-2),1)),0))</f>
        <v/>
      </c>
      <c r="P89" s="38" t="str">
        <f aca="false">IF(IFERROR(INDEX(Expenses!B$3:B$1002,SMALL(IF((Expenses!E$3:E$1002="INR")*(Expenses!A$3:A$1002=DATE(2026,5,3)),ROW(Expenses!A$3:A$1002)-2),1)),"")&lt;&gt;"",IFERROR(INDEX(Expenses!B$3:B$1002,SMALL(IF((Expenses!E$3:E$1002="INR")*(Expenses!A$3:A$1002=DATE(2026,5,3)),ROW(Expenses!A$3:A$1002)-2),1)),""),IF(IFERROR(INDEX(Income!B$3:B$502,SMALL(IF((Income!D$3:D$502="INR")*(Income!A$3:A$502=DATE(2026,5,3)),ROW(Income!A$3:A$502)-2),1)),"")&lt;&gt;"",IFERROR(INDEX(Income!B$3:B$502,SMALL(IF((Income!D$3:D$502="INR")*(Income!A$3:A$502=DATE(2026,5,3)),ROW(Income!A$3:A$502)-2),1)),""),""))</f>
        <v/>
      </c>
      <c r="Q89" s="3" t="n">
        <v>18</v>
      </c>
      <c r="R89" s="53" t="n">
        <f aca="false">SUM(C89:C93)+SUM(E89:E93)+SUM(G89:G93)+SUM(I89:I93)+SUM(K89:K93)+SUM(M89:M93)+SUM(O89:O93)</f>
        <v>0</v>
      </c>
    </row>
    <row r="90" customFormat="false" ht="15" hidden="false" customHeight="false" outlineLevel="0" collapsed="false">
      <c r="A90" s="16"/>
      <c r="B90" s="16"/>
      <c r="C90" s="63" t="str">
        <f aca="false">IF(IFERROR(-INDEX(Expenses!D$3:D$1002,SMALL(IF((Expenses!E$3:E$1002="INR")*(Expenses!A$3:A$1002=DATE(2026,4,27)),ROW(Expenses!A$3:A$1002)-2),2)),0)+IFERROR(INDEX(Income!C$3:C$502,SMALL(IF((Income!D$3:D$502="INR")*(Income!A$3:A$502=DATE(2026,4,27)),ROW(Income!A$3:A$502)-2),2)),0)=0,"",IFERROR(-INDEX(Expenses!D$3:D$1002,SMALL(IF((Expenses!E$3:E$1002="INR")*(Expenses!A$3:A$1002=DATE(2026,4,27)),ROW(Expenses!A$3:A$1002)-2),2)),0)+IFERROR(INDEX(Income!C$3:C$502,SMALL(IF((Income!D$3:D$502="INR")*(Income!A$3:A$502=DATE(2026,4,27)),ROW(Income!A$3:A$502)-2),2)),0))</f>
        <v/>
      </c>
      <c r="D90" s="38" t="str">
        <f aca="false">IF(IFERROR(INDEX(Expenses!B$3:B$1002,SMALL(IF((Expenses!E$3:E$1002="INR")*(Expenses!A$3:A$1002=DATE(2026,4,27)),ROW(Expenses!A$3:A$1002)-2),2)),"")&lt;&gt;"",IFERROR(INDEX(Expenses!B$3:B$1002,SMALL(IF((Expenses!E$3:E$1002="INR")*(Expenses!A$3:A$1002=DATE(2026,4,27)),ROW(Expenses!A$3:A$1002)-2),2)),""),IF(IFERROR(INDEX(Income!B$3:B$502,SMALL(IF((Income!D$3:D$502="INR")*(Income!A$3:A$502=DATE(2026,4,27)),ROW(Income!A$3:A$502)-2),2)),"")&lt;&gt;"",IFERROR(INDEX(Income!B$3:B$502,SMALL(IF((Income!D$3:D$502="INR")*(Income!A$3:A$502=DATE(2026,4,27)),ROW(Income!A$3:A$502)-2),2)),""),""))</f>
        <v/>
      </c>
      <c r="E90" s="63" t="str">
        <f aca="false">IF(IFERROR(-INDEX(Expenses!D$3:D$1002,SMALL(IF((Expenses!E$3:E$1002="INR")*(Expenses!A$3:A$1002=DATE(2026,4,28)),ROW(Expenses!A$3:A$1002)-2),2)),0)+IFERROR(INDEX(Income!C$3:C$502,SMALL(IF((Income!D$3:D$502="INR")*(Income!A$3:A$502=DATE(2026,4,28)),ROW(Income!A$3:A$502)-2),2)),0)=0,"",IFERROR(-INDEX(Expenses!D$3:D$1002,SMALL(IF((Expenses!E$3:E$1002="INR")*(Expenses!A$3:A$1002=DATE(2026,4,28)),ROW(Expenses!A$3:A$1002)-2),2)),0)+IFERROR(INDEX(Income!C$3:C$502,SMALL(IF((Income!D$3:D$502="INR")*(Income!A$3:A$502=DATE(2026,4,28)),ROW(Income!A$3:A$502)-2),2)),0))</f>
        <v/>
      </c>
      <c r="F90" s="38" t="str">
        <f aca="false">IF(IFERROR(INDEX(Expenses!B$3:B$1002,SMALL(IF((Expenses!E$3:E$1002="INR")*(Expenses!A$3:A$1002=DATE(2026,4,28)),ROW(Expenses!A$3:A$1002)-2),2)),"")&lt;&gt;"",IFERROR(INDEX(Expenses!B$3:B$1002,SMALL(IF((Expenses!E$3:E$1002="INR")*(Expenses!A$3:A$1002=DATE(2026,4,28)),ROW(Expenses!A$3:A$1002)-2),2)),""),IF(IFERROR(INDEX(Income!B$3:B$502,SMALL(IF((Income!D$3:D$502="INR")*(Income!A$3:A$502=DATE(2026,4,28)),ROW(Income!A$3:A$502)-2),2)),"")&lt;&gt;"",IFERROR(INDEX(Income!B$3:B$502,SMALL(IF((Income!D$3:D$502="INR")*(Income!A$3:A$502=DATE(2026,4,28)),ROW(Income!A$3:A$502)-2),2)),""),""))</f>
        <v/>
      </c>
      <c r="G90" s="63" t="str">
        <f aca="false">IF(IFERROR(-INDEX(Expenses!D$3:D$1002,SMALL(IF((Expenses!E$3:E$1002="INR")*(Expenses!A$3:A$1002=DATE(2026,4,29)),ROW(Expenses!A$3:A$1002)-2),2)),0)+IFERROR(INDEX(Income!C$3:C$502,SMALL(IF((Income!D$3:D$502="INR")*(Income!A$3:A$502=DATE(2026,4,29)),ROW(Income!A$3:A$502)-2),2)),0)=0,"",IFERROR(-INDEX(Expenses!D$3:D$1002,SMALL(IF((Expenses!E$3:E$1002="INR")*(Expenses!A$3:A$1002=DATE(2026,4,29)),ROW(Expenses!A$3:A$1002)-2),2)),0)+IFERROR(INDEX(Income!C$3:C$502,SMALL(IF((Income!D$3:D$502="INR")*(Income!A$3:A$502=DATE(2026,4,29)),ROW(Income!A$3:A$502)-2),2)),0))</f>
        <v/>
      </c>
      <c r="H90" s="38" t="str">
        <f aca="false">IF(IFERROR(INDEX(Expenses!B$3:B$1002,SMALL(IF((Expenses!E$3:E$1002="INR")*(Expenses!A$3:A$1002=DATE(2026,4,29)),ROW(Expenses!A$3:A$1002)-2),2)),"")&lt;&gt;"",IFERROR(INDEX(Expenses!B$3:B$1002,SMALL(IF((Expenses!E$3:E$1002="INR")*(Expenses!A$3:A$1002=DATE(2026,4,29)),ROW(Expenses!A$3:A$1002)-2),2)),""),IF(IFERROR(INDEX(Income!B$3:B$502,SMALL(IF((Income!D$3:D$502="INR")*(Income!A$3:A$502=DATE(2026,4,29)),ROW(Income!A$3:A$502)-2),2)),"")&lt;&gt;"",IFERROR(INDEX(Income!B$3:B$502,SMALL(IF((Income!D$3:D$502="INR")*(Income!A$3:A$502=DATE(2026,4,29)),ROW(Income!A$3:A$502)-2),2)),""),""))</f>
        <v/>
      </c>
      <c r="I90" s="63" t="str">
        <f aca="false">IF(IFERROR(-INDEX(Expenses!D$3:D$1002,SMALL(IF((Expenses!E$3:E$1002="INR")*(Expenses!A$3:A$1002=DATE(2026,4,30)),ROW(Expenses!A$3:A$1002)-2),2)),0)+IFERROR(INDEX(Income!C$3:C$502,SMALL(IF((Income!D$3:D$502="INR")*(Income!A$3:A$502=DATE(2026,4,30)),ROW(Income!A$3:A$502)-2),2)),0)=0,"",IFERROR(-INDEX(Expenses!D$3:D$1002,SMALL(IF((Expenses!E$3:E$1002="INR")*(Expenses!A$3:A$1002=DATE(2026,4,30)),ROW(Expenses!A$3:A$1002)-2),2)),0)+IFERROR(INDEX(Income!C$3:C$502,SMALL(IF((Income!D$3:D$502="INR")*(Income!A$3:A$502=DATE(2026,4,30)),ROW(Income!A$3:A$502)-2),2)),0))</f>
        <v/>
      </c>
      <c r="J90" s="38" t="str">
        <f aca="false">IF(IFERROR(INDEX(Expenses!B$3:B$1002,SMALL(IF((Expenses!E$3:E$1002="INR")*(Expenses!A$3:A$1002=DATE(2026,4,30)),ROW(Expenses!A$3:A$1002)-2),2)),"")&lt;&gt;"",IFERROR(INDEX(Expenses!B$3:B$1002,SMALL(IF((Expenses!E$3:E$1002="INR")*(Expenses!A$3:A$1002=DATE(2026,4,30)),ROW(Expenses!A$3:A$1002)-2),2)),""),IF(IFERROR(INDEX(Income!B$3:B$502,SMALL(IF((Income!D$3:D$502="INR")*(Income!A$3:A$502=DATE(2026,4,30)),ROW(Income!A$3:A$502)-2),2)),"")&lt;&gt;"",IFERROR(INDEX(Income!B$3:B$502,SMALL(IF((Income!D$3:D$502="INR")*(Income!A$3:A$502=DATE(2026,4,30)),ROW(Income!A$3:A$502)-2),2)),""),""))</f>
        <v/>
      </c>
      <c r="K90" s="63" t="str">
        <f aca="false">IF(IFERROR(-INDEX(Expenses!D$3:D$1002,SMALL(IF((Expenses!E$3:E$1002="INR")*(Expenses!A$3:A$1002=DATE(2026,5,1)),ROW(Expenses!A$3:A$1002)-2),2)),0)+IFERROR(INDEX(Income!C$3:C$502,SMALL(IF((Income!D$3:D$502="INR")*(Income!A$3:A$502=DATE(2026,5,1)),ROW(Income!A$3:A$502)-2),2)),0)=0,"",IFERROR(-INDEX(Expenses!D$3:D$1002,SMALL(IF((Expenses!E$3:E$1002="INR")*(Expenses!A$3:A$1002=DATE(2026,5,1)),ROW(Expenses!A$3:A$1002)-2),2)),0)+IFERROR(INDEX(Income!C$3:C$502,SMALL(IF((Income!D$3:D$502="INR")*(Income!A$3:A$502=DATE(2026,5,1)),ROW(Income!A$3:A$502)-2),2)),0))</f>
        <v/>
      </c>
      <c r="L90" s="38" t="str">
        <f aca="false">IF(IFERROR(INDEX(Expenses!B$3:B$1002,SMALL(IF((Expenses!E$3:E$1002="INR")*(Expenses!A$3:A$1002=DATE(2026,5,1)),ROW(Expenses!A$3:A$1002)-2),2)),"")&lt;&gt;"",IFERROR(INDEX(Expenses!B$3:B$1002,SMALL(IF((Expenses!E$3:E$1002="INR")*(Expenses!A$3:A$1002=DATE(2026,5,1)),ROW(Expenses!A$3:A$1002)-2),2)),""),IF(IFERROR(INDEX(Income!B$3:B$502,SMALL(IF((Income!D$3:D$502="INR")*(Income!A$3:A$502=DATE(2026,5,1)),ROW(Income!A$3:A$502)-2),2)),"")&lt;&gt;"",IFERROR(INDEX(Income!B$3:B$502,SMALL(IF((Income!D$3:D$502="INR")*(Income!A$3:A$502=DATE(2026,5,1)),ROW(Income!A$3:A$502)-2),2)),""),""))</f>
        <v/>
      </c>
      <c r="M90" s="63" t="str">
        <f aca="false">IF(IFERROR(-INDEX(Expenses!D$3:D$1002,SMALL(IF((Expenses!E$3:E$1002="INR")*(Expenses!A$3:A$1002=DATE(2026,5,2)),ROW(Expenses!A$3:A$1002)-2),2)),0)+IFERROR(INDEX(Income!C$3:C$502,SMALL(IF((Income!D$3:D$502="INR")*(Income!A$3:A$502=DATE(2026,5,2)),ROW(Income!A$3:A$502)-2),2)),0)=0,"",IFERROR(-INDEX(Expenses!D$3:D$1002,SMALL(IF((Expenses!E$3:E$1002="INR")*(Expenses!A$3:A$1002=DATE(2026,5,2)),ROW(Expenses!A$3:A$1002)-2),2)),0)+IFERROR(INDEX(Income!C$3:C$502,SMALL(IF((Income!D$3:D$502="INR")*(Income!A$3:A$502=DATE(2026,5,2)),ROW(Income!A$3:A$502)-2),2)),0))</f>
        <v/>
      </c>
      <c r="N90" s="38" t="str">
        <f aca="false">IF(IFERROR(INDEX(Expenses!B$3:B$1002,SMALL(IF((Expenses!E$3:E$1002="INR")*(Expenses!A$3:A$1002=DATE(2026,5,2)),ROW(Expenses!A$3:A$1002)-2),2)),"")&lt;&gt;"",IFERROR(INDEX(Expenses!B$3:B$1002,SMALL(IF((Expenses!E$3:E$1002="INR")*(Expenses!A$3:A$1002=DATE(2026,5,2)),ROW(Expenses!A$3:A$1002)-2),2)),""),IF(IFERROR(INDEX(Income!B$3:B$502,SMALL(IF((Income!D$3:D$502="INR")*(Income!A$3:A$502=DATE(2026,5,2)),ROW(Income!A$3:A$502)-2),2)),"")&lt;&gt;"",IFERROR(INDEX(Income!B$3:B$502,SMALL(IF((Income!D$3:D$502="INR")*(Income!A$3:A$502=DATE(2026,5,2)),ROW(Income!A$3:A$502)-2),2)),""),""))</f>
        <v/>
      </c>
      <c r="O90" s="63" t="str">
        <f aca="false">IF(IFERROR(-INDEX(Expenses!D$3:D$1002,SMALL(IF((Expenses!E$3:E$1002="INR")*(Expenses!A$3:A$1002=DATE(2026,5,3)),ROW(Expenses!A$3:A$1002)-2),2)),0)+IFERROR(INDEX(Income!C$3:C$502,SMALL(IF((Income!D$3:D$502="INR")*(Income!A$3:A$502=DATE(2026,5,3)),ROW(Income!A$3:A$502)-2),2)),0)=0,"",IFERROR(-INDEX(Expenses!D$3:D$1002,SMALL(IF((Expenses!E$3:E$1002="INR")*(Expenses!A$3:A$1002=DATE(2026,5,3)),ROW(Expenses!A$3:A$1002)-2),2)),0)+IFERROR(INDEX(Income!C$3:C$502,SMALL(IF((Income!D$3:D$502="INR")*(Income!A$3:A$502=DATE(2026,5,3)),ROW(Income!A$3:A$502)-2),2)),0))</f>
        <v/>
      </c>
      <c r="P90" s="38" t="str">
        <f aca="false">IF(IFERROR(INDEX(Expenses!B$3:B$1002,SMALL(IF((Expenses!E$3:E$1002="INR")*(Expenses!A$3:A$1002=DATE(2026,5,3)),ROW(Expenses!A$3:A$1002)-2),2)),"")&lt;&gt;"",IFERROR(INDEX(Expenses!B$3:B$1002,SMALL(IF((Expenses!E$3:E$1002="INR")*(Expenses!A$3:A$1002=DATE(2026,5,3)),ROW(Expenses!A$3:A$1002)-2),2)),""),IF(IFERROR(INDEX(Income!B$3:B$502,SMALL(IF((Income!D$3:D$502="INR")*(Income!A$3:A$502=DATE(2026,5,3)),ROW(Income!A$3:A$502)-2),2)),"")&lt;&gt;"",IFERROR(INDEX(Income!B$3:B$502,SMALL(IF((Income!D$3:D$502="INR")*(Income!A$3:A$502=DATE(2026,5,3)),ROW(Income!A$3:A$502)-2),2)),""),""))</f>
        <v/>
      </c>
      <c r="Q90" s="16"/>
      <c r="R90" s="16"/>
    </row>
    <row r="91" customFormat="false" ht="15" hidden="false" customHeight="false" outlineLevel="0" collapsed="false">
      <c r="A91" s="16"/>
      <c r="B91" s="16"/>
      <c r="C91" s="63" t="str">
        <f aca="false">IF(IFERROR(-INDEX(Expenses!D$3:D$1002,SMALL(IF((Expenses!E$3:E$1002="INR")*(Expenses!A$3:A$1002=DATE(2026,4,27)),ROW(Expenses!A$3:A$1002)-2),3)),0)+IFERROR(INDEX(Income!C$3:C$502,SMALL(IF((Income!D$3:D$502="INR")*(Income!A$3:A$502=DATE(2026,4,27)),ROW(Income!A$3:A$502)-2),3)),0)=0,"",IFERROR(-INDEX(Expenses!D$3:D$1002,SMALL(IF((Expenses!E$3:E$1002="INR")*(Expenses!A$3:A$1002=DATE(2026,4,27)),ROW(Expenses!A$3:A$1002)-2),3)),0)+IFERROR(INDEX(Income!C$3:C$502,SMALL(IF((Income!D$3:D$502="INR")*(Income!A$3:A$502=DATE(2026,4,27)),ROW(Income!A$3:A$502)-2),3)),0))</f>
        <v/>
      </c>
      <c r="D91" s="38" t="str">
        <f aca="false">IF(IFERROR(INDEX(Expenses!B$3:B$1002,SMALL(IF((Expenses!E$3:E$1002="INR")*(Expenses!A$3:A$1002=DATE(2026,4,27)),ROW(Expenses!A$3:A$1002)-2),3)),"")&lt;&gt;"",IFERROR(INDEX(Expenses!B$3:B$1002,SMALL(IF((Expenses!E$3:E$1002="INR")*(Expenses!A$3:A$1002=DATE(2026,4,27)),ROW(Expenses!A$3:A$1002)-2),3)),""),IF(IFERROR(INDEX(Income!B$3:B$502,SMALL(IF((Income!D$3:D$502="INR")*(Income!A$3:A$502=DATE(2026,4,27)),ROW(Income!A$3:A$502)-2),3)),"")&lt;&gt;"",IFERROR(INDEX(Income!B$3:B$502,SMALL(IF((Income!D$3:D$502="INR")*(Income!A$3:A$502=DATE(2026,4,27)),ROW(Income!A$3:A$502)-2),3)),""),""))</f>
        <v/>
      </c>
      <c r="E91" s="63" t="str">
        <f aca="false">IF(IFERROR(-INDEX(Expenses!D$3:D$1002,SMALL(IF((Expenses!E$3:E$1002="INR")*(Expenses!A$3:A$1002=DATE(2026,4,28)),ROW(Expenses!A$3:A$1002)-2),3)),0)+IFERROR(INDEX(Income!C$3:C$502,SMALL(IF((Income!D$3:D$502="INR")*(Income!A$3:A$502=DATE(2026,4,28)),ROW(Income!A$3:A$502)-2),3)),0)=0,"",IFERROR(-INDEX(Expenses!D$3:D$1002,SMALL(IF((Expenses!E$3:E$1002="INR")*(Expenses!A$3:A$1002=DATE(2026,4,28)),ROW(Expenses!A$3:A$1002)-2),3)),0)+IFERROR(INDEX(Income!C$3:C$502,SMALL(IF((Income!D$3:D$502="INR")*(Income!A$3:A$502=DATE(2026,4,28)),ROW(Income!A$3:A$502)-2),3)),0))</f>
        <v/>
      </c>
      <c r="F91" s="38" t="str">
        <f aca="false">IF(IFERROR(INDEX(Expenses!B$3:B$1002,SMALL(IF((Expenses!E$3:E$1002="INR")*(Expenses!A$3:A$1002=DATE(2026,4,28)),ROW(Expenses!A$3:A$1002)-2),3)),"")&lt;&gt;"",IFERROR(INDEX(Expenses!B$3:B$1002,SMALL(IF((Expenses!E$3:E$1002="INR")*(Expenses!A$3:A$1002=DATE(2026,4,28)),ROW(Expenses!A$3:A$1002)-2),3)),""),IF(IFERROR(INDEX(Income!B$3:B$502,SMALL(IF((Income!D$3:D$502="INR")*(Income!A$3:A$502=DATE(2026,4,28)),ROW(Income!A$3:A$502)-2),3)),"")&lt;&gt;"",IFERROR(INDEX(Income!B$3:B$502,SMALL(IF((Income!D$3:D$502="INR")*(Income!A$3:A$502=DATE(2026,4,28)),ROW(Income!A$3:A$502)-2),3)),""),""))</f>
        <v/>
      </c>
      <c r="G91" s="63" t="str">
        <f aca="false">IF(IFERROR(-INDEX(Expenses!D$3:D$1002,SMALL(IF((Expenses!E$3:E$1002="INR")*(Expenses!A$3:A$1002=DATE(2026,4,29)),ROW(Expenses!A$3:A$1002)-2),3)),0)+IFERROR(INDEX(Income!C$3:C$502,SMALL(IF((Income!D$3:D$502="INR")*(Income!A$3:A$502=DATE(2026,4,29)),ROW(Income!A$3:A$502)-2),3)),0)=0,"",IFERROR(-INDEX(Expenses!D$3:D$1002,SMALL(IF((Expenses!E$3:E$1002="INR")*(Expenses!A$3:A$1002=DATE(2026,4,29)),ROW(Expenses!A$3:A$1002)-2),3)),0)+IFERROR(INDEX(Income!C$3:C$502,SMALL(IF((Income!D$3:D$502="INR")*(Income!A$3:A$502=DATE(2026,4,29)),ROW(Income!A$3:A$502)-2),3)),0))</f>
        <v/>
      </c>
      <c r="H91" s="38" t="str">
        <f aca="false">IF(IFERROR(INDEX(Expenses!B$3:B$1002,SMALL(IF((Expenses!E$3:E$1002="INR")*(Expenses!A$3:A$1002=DATE(2026,4,29)),ROW(Expenses!A$3:A$1002)-2),3)),"")&lt;&gt;"",IFERROR(INDEX(Expenses!B$3:B$1002,SMALL(IF((Expenses!E$3:E$1002="INR")*(Expenses!A$3:A$1002=DATE(2026,4,29)),ROW(Expenses!A$3:A$1002)-2),3)),""),IF(IFERROR(INDEX(Income!B$3:B$502,SMALL(IF((Income!D$3:D$502="INR")*(Income!A$3:A$502=DATE(2026,4,29)),ROW(Income!A$3:A$502)-2),3)),"")&lt;&gt;"",IFERROR(INDEX(Income!B$3:B$502,SMALL(IF((Income!D$3:D$502="INR")*(Income!A$3:A$502=DATE(2026,4,29)),ROW(Income!A$3:A$502)-2),3)),""),""))</f>
        <v/>
      </c>
      <c r="I91" s="63" t="str">
        <f aca="false">IF(IFERROR(-INDEX(Expenses!D$3:D$1002,SMALL(IF((Expenses!E$3:E$1002="INR")*(Expenses!A$3:A$1002=DATE(2026,4,30)),ROW(Expenses!A$3:A$1002)-2),3)),0)+IFERROR(INDEX(Income!C$3:C$502,SMALL(IF((Income!D$3:D$502="INR")*(Income!A$3:A$502=DATE(2026,4,30)),ROW(Income!A$3:A$502)-2),3)),0)=0,"",IFERROR(-INDEX(Expenses!D$3:D$1002,SMALL(IF((Expenses!E$3:E$1002="INR")*(Expenses!A$3:A$1002=DATE(2026,4,30)),ROW(Expenses!A$3:A$1002)-2),3)),0)+IFERROR(INDEX(Income!C$3:C$502,SMALL(IF((Income!D$3:D$502="INR")*(Income!A$3:A$502=DATE(2026,4,30)),ROW(Income!A$3:A$502)-2),3)),0))</f>
        <v/>
      </c>
      <c r="J91" s="38" t="str">
        <f aca="false">IF(IFERROR(INDEX(Expenses!B$3:B$1002,SMALL(IF((Expenses!E$3:E$1002="INR")*(Expenses!A$3:A$1002=DATE(2026,4,30)),ROW(Expenses!A$3:A$1002)-2),3)),"")&lt;&gt;"",IFERROR(INDEX(Expenses!B$3:B$1002,SMALL(IF((Expenses!E$3:E$1002="INR")*(Expenses!A$3:A$1002=DATE(2026,4,30)),ROW(Expenses!A$3:A$1002)-2),3)),""),IF(IFERROR(INDEX(Income!B$3:B$502,SMALL(IF((Income!D$3:D$502="INR")*(Income!A$3:A$502=DATE(2026,4,30)),ROW(Income!A$3:A$502)-2),3)),"")&lt;&gt;"",IFERROR(INDEX(Income!B$3:B$502,SMALL(IF((Income!D$3:D$502="INR")*(Income!A$3:A$502=DATE(2026,4,30)),ROW(Income!A$3:A$502)-2),3)),""),""))</f>
        <v/>
      </c>
      <c r="K91" s="63" t="str">
        <f aca="false">IF(IFERROR(-INDEX(Expenses!D$3:D$1002,SMALL(IF((Expenses!E$3:E$1002="INR")*(Expenses!A$3:A$1002=DATE(2026,5,1)),ROW(Expenses!A$3:A$1002)-2),3)),0)+IFERROR(INDEX(Income!C$3:C$502,SMALL(IF((Income!D$3:D$502="INR")*(Income!A$3:A$502=DATE(2026,5,1)),ROW(Income!A$3:A$502)-2),3)),0)=0,"",IFERROR(-INDEX(Expenses!D$3:D$1002,SMALL(IF((Expenses!E$3:E$1002="INR")*(Expenses!A$3:A$1002=DATE(2026,5,1)),ROW(Expenses!A$3:A$1002)-2),3)),0)+IFERROR(INDEX(Income!C$3:C$502,SMALL(IF((Income!D$3:D$502="INR")*(Income!A$3:A$502=DATE(2026,5,1)),ROW(Income!A$3:A$502)-2),3)),0))</f>
        <v/>
      </c>
      <c r="L91" s="38" t="str">
        <f aca="false">IF(IFERROR(INDEX(Expenses!B$3:B$1002,SMALL(IF((Expenses!E$3:E$1002="INR")*(Expenses!A$3:A$1002=DATE(2026,5,1)),ROW(Expenses!A$3:A$1002)-2),3)),"")&lt;&gt;"",IFERROR(INDEX(Expenses!B$3:B$1002,SMALL(IF((Expenses!E$3:E$1002="INR")*(Expenses!A$3:A$1002=DATE(2026,5,1)),ROW(Expenses!A$3:A$1002)-2),3)),""),IF(IFERROR(INDEX(Income!B$3:B$502,SMALL(IF((Income!D$3:D$502="INR")*(Income!A$3:A$502=DATE(2026,5,1)),ROW(Income!A$3:A$502)-2),3)),"")&lt;&gt;"",IFERROR(INDEX(Income!B$3:B$502,SMALL(IF((Income!D$3:D$502="INR")*(Income!A$3:A$502=DATE(2026,5,1)),ROW(Income!A$3:A$502)-2),3)),""),""))</f>
        <v/>
      </c>
      <c r="M91" s="63" t="str">
        <f aca="false">IF(IFERROR(-INDEX(Expenses!D$3:D$1002,SMALL(IF((Expenses!E$3:E$1002="INR")*(Expenses!A$3:A$1002=DATE(2026,5,2)),ROW(Expenses!A$3:A$1002)-2),3)),0)+IFERROR(INDEX(Income!C$3:C$502,SMALL(IF((Income!D$3:D$502="INR")*(Income!A$3:A$502=DATE(2026,5,2)),ROW(Income!A$3:A$502)-2),3)),0)=0,"",IFERROR(-INDEX(Expenses!D$3:D$1002,SMALL(IF((Expenses!E$3:E$1002="INR")*(Expenses!A$3:A$1002=DATE(2026,5,2)),ROW(Expenses!A$3:A$1002)-2),3)),0)+IFERROR(INDEX(Income!C$3:C$502,SMALL(IF((Income!D$3:D$502="INR")*(Income!A$3:A$502=DATE(2026,5,2)),ROW(Income!A$3:A$502)-2),3)),0))</f>
        <v/>
      </c>
      <c r="N91" s="38" t="str">
        <f aca="false">IF(IFERROR(INDEX(Expenses!B$3:B$1002,SMALL(IF((Expenses!E$3:E$1002="INR")*(Expenses!A$3:A$1002=DATE(2026,5,2)),ROW(Expenses!A$3:A$1002)-2),3)),"")&lt;&gt;"",IFERROR(INDEX(Expenses!B$3:B$1002,SMALL(IF((Expenses!E$3:E$1002="INR")*(Expenses!A$3:A$1002=DATE(2026,5,2)),ROW(Expenses!A$3:A$1002)-2),3)),""),IF(IFERROR(INDEX(Income!B$3:B$502,SMALL(IF((Income!D$3:D$502="INR")*(Income!A$3:A$502=DATE(2026,5,2)),ROW(Income!A$3:A$502)-2),3)),"")&lt;&gt;"",IFERROR(INDEX(Income!B$3:B$502,SMALL(IF((Income!D$3:D$502="INR")*(Income!A$3:A$502=DATE(2026,5,2)),ROW(Income!A$3:A$502)-2),3)),""),""))</f>
        <v/>
      </c>
      <c r="O91" s="63" t="str">
        <f aca="false">IF(IFERROR(-INDEX(Expenses!D$3:D$1002,SMALL(IF((Expenses!E$3:E$1002="INR")*(Expenses!A$3:A$1002=DATE(2026,5,3)),ROW(Expenses!A$3:A$1002)-2),3)),0)+IFERROR(INDEX(Income!C$3:C$502,SMALL(IF((Income!D$3:D$502="INR")*(Income!A$3:A$502=DATE(2026,5,3)),ROW(Income!A$3:A$502)-2),3)),0)=0,"",IFERROR(-INDEX(Expenses!D$3:D$1002,SMALL(IF((Expenses!E$3:E$1002="INR")*(Expenses!A$3:A$1002=DATE(2026,5,3)),ROW(Expenses!A$3:A$1002)-2),3)),0)+IFERROR(INDEX(Income!C$3:C$502,SMALL(IF((Income!D$3:D$502="INR")*(Income!A$3:A$502=DATE(2026,5,3)),ROW(Income!A$3:A$502)-2),3)),0))</f>
        <v/>
      </c>
      <c r="P91" s="38" t="str">
        <f aca="false">IF(IFERROR(INDEX(Expenses!B$3:B$1002,SMALL(IF((Expenses!E$3:E$1002="INR")*(Expenses!A$3:A$1002=DATE(2026,5,3)),ROW(Expenses!A$3:A$1002)-2),3)),"")&lt;&gt;"",IFERROR(INDEX(Expenses!B$3:B$1002,SMALL(IF((Expenses!E$3:E$1002="INR")*(Expenses!A$3:A$1002=DATE(2026,5,3)),ROW(Expenses!A$3:A$1002)-2),3)),""),IF(IFERROR(INDEX(Income!B$3:B$502,SMALL(IF((Income!D$3:D$502="INR")*(Income!A$3:A$502=DATE(2026,5,3)),ROW(Income!A$3:A$502)-2),3)),"")&lt;&gt;"",IFERROR(INDEX(Income!B$3:B$502,SMALL(IF((Income!D$3:D$502="INR")*(Income!A$3:A$502=DATE(2026,5,3)),ROW(Income!A$3:A$502)-2),3)),""),""))</f>
        <v/>
      </c>
      <c r="Q91" s="16"/>
      <c r="R91" s="16"/>
    </row>
    <row r="92" customFormat="false" ht="15" hidden="false" customHeight="false" outlineLevel="0" collapsed="false">
      <c r="A92" s="16"/>
      <c r="B92" s="16"/>
      <c r="C92" s="63" t="str">
        <f aca="false">IF(IFERROR(-INDEX(Expenses!D$3:D$1002,SMALL(IF((Expenses!E$3:E$1002="INR")*(Expenses!A$3:A$1002=DATE(2026,4,27)),ROW(Expenses!A$3:A$1002)-2),4)),0)+IFERROR(INDEX(Income!C$3:C$502,SMALL(IF((Income!D$3:D$502="INR")*(Income!A$3:A$502=DATE(2026,4,27)),ROW(Income!A$3:A$502)-2),4)),0)=0,"",IFERROR(-INDEX(Expenses!D$3:D$1002,SMALL(IF((Expenses!E$3:E$1002="INR")*(Expenses!A$3:A$1002=DATE(2026,4,27)),ROW(Expenses!A$3:A$1002)-2),4)),0)+IFERROR(INDEX(Income!C$3:C$502,SMALL(IF((Income!D$3:D$502="INR")*(Income!A$3:A$502=DATE(2026,4,27)),ROW(Income!A$3:A$502)-2),4)),0))</f>
        <v/>
      </c>
      <c r="D92" s="38" t="str">
        <f aca="false">IF(IFERROR(INDEX(Expenses!B$3:B$1002,SMALL(IF((Expenses!E$3:E$1002="INR")*(Expenses!A$3:A$1002=DATE(2026,4,27)),ROW(Expenses!A$3:A$1002)-2),4)),"")&lt;&gt;"",IFERROR(INDEX(Expenses!B$3:B$1002,SMALL(IF((Expenses!E$3:E$1002="INR")*(Expenses!A$3:A$1002=DATE(2026,4,27)),ROW(Expenses!A$3:A$1002)-2),4)),""),IF(IFERROR(INDEX(Income!B$3:B$502,SMALL(IF((Income!D$3:D$502="INR")*(Income!A$3:A$502=DATE(2026,4,27)),ROW(Income!A$3:A$502)-2),4)),"")&lt;&gt;"",IFERROR(INDEX(Income!B$3:B$502,SMALL(IF((Income!D$3:D$502="INR")*(Income!A$3:A$502=DATE(2026,4,27)),ROW(Income!A$3:A$502)-2),4)),""),""))</f>
        <v/>
      </c>
      <c r="E92" s="63" t="str">
        <f aca="false">IF(IFERROR(-INDEX(Expenses!D$3:D$1002,SMALL(IF((Expenses!E$3:E$1002="INR")*(Expenses!A$3:A$1002=DATE(2026,4,28)),ROW(Expenses!A$3:A$1002)-2),4)),0)+IFERROR(INDEX(Income!C$3:C$502,SMALL(IF((Income!D$3:D$502="INR")*(Income!A$3:A$502=DATE(2026,4,28)),ROW(Income!A$3:A$502)-2),4)),0)=0,"",IFERROR(-INDEX(Expenses!D$3:D$1002,SMALL(IF((Expenses!E$3:E$1002="INR")*(Expenses!A$3:A$1002=DATE(2026,4,28)),ROW(Expenses!A$3:A$1002)-2),4)),0)+IFERROR(INDEX(Income!C$3:C$502,SMALL(IF((Income!D$3:D$502="INR")*(Income!A$3:A$502=DATE(2026,4,28)),ROW(Income!A$3:A$502)-2),4)),0))</f>
        <v/>
      </c>
      <c r="F92" s="38" t="str">
        <f aca="false">IF(IFERROR(INDEX(Expenses!B$3:B$1002,SMALL(IF((Expenses!E$3:E$1002="INR")*(Expenses!A$3:A$1002=DATE(2026,4,28)),ROW(Expenses!A$3:A$1002)-2),4)),"")&lt;&gt;"",IFERROR(INDEX(Expenses!B$3:B$1002,SMALL(IF((Expenses!E$3:E$1002="INR")*(Expenses!A$3:A$1002=DATE(2026,4,28)),ROW(Expenses!A$3:A$1002)-2),4)),""),IF(IFERROR(INDEX(Income!B$3:B$502,SMALL(IF((Income!D$3:D$502="INR")*(Income!A$3:A$502=DATE(2026,4,28)),ROW(Income!A$3:A$502)-2),4)),"")&lt;&gt;"",IFERROR(INDEX(Income!B$3:B$502,SMALL(IF((Income!D$3:D$502="INR")*(Income!A$3:A$502=DATE(2026,4,28)),ROW(Income!A$3:A$502)-2),4)),""),""))</f>
        <v/>
      </c>
      <c r="G92" s="63" t="str">
        <f aca="false">IF(IFERROR(-INDEX(Expenses!D$3:D$1002,SMALL(IF((Expenses!E$3:E$1002="INR")*(Expenses!A$3:A$1002=DATE(2026,4,29)),ROW(Expenses!A$3:A$1002)-2),4)),0)+IFERROR(INDEX(Income!C$3:C$502,SMALL(IF((Income!D$3:D$502="INR")*(Income!A$3:A$502=DATE(2026,4,29)),ROW(Income!A$3:A$502)-2),4)),0)=0,"",IFERROR(-INDEX(Expenses!D$3:D$1002,SMALL(IF((Expenses!E$3:E$1002="INR")*(Expenses!A$3:A$1002=DATE(2026,4,29)),ROW(Expenses!A$3:A$1002)-2),4)),0)+IFERROR(INDEX(Income!C$3:C$502,SMALL(IF((Income!D$3:D$502="INR")*(Income!A$3:A$502=DATE(2026,4,29)),ROW(Income!A$3:A$502)-2),4)),0))</f>
        <v/>
      </c>
      <c r="H92" s="38" t="str">
        <f aca="false">IF(IFERROR(INDEX(Expenses!B$3:B$1002,SMALL(IF((Expenses!E$3:E$1002="INR")*(Expenses!A$3:A$1002=DATE(2026,4,29)),ROW(Expenses!A$3:A$1002)-2),4)),"")&lt;&gt;"",IFERROR(INDEX(Expenses!B$3:B$1002,SMALL(IF((Expenses!E$3:E$1002="INR")*(Expenses!A$3:A$1002=DATE(2026,4,29)),ROW(Expenses!A$3:A$1002)-2),4)),""),IF(IFERROR(INDEX(Income!B$3:B$502,SMALL(IF((Income!D$3:D$502="INR")*(Income!A$3:A$502=DATE(2026,4,29)),ROW(Income!A$3:A$502)-2),4)),"")&lt;&gt;"",IFERROR(INDEX(Income!B$3:B$502,SMALL(IF((Income!D$3:D$502="INR")*(Income!A$3:A$502=DATE(2026,4,29)),ROW(Income!A$3:A$502)-2),4)),""),""))</f>
        <v/>
      </c>
      <c r="I92" s="63" t="str">
        <f aca="false">IF(IFERROR(-INDEX(Expenses!D$3:D$1002,SMALL(IF((Expenses!E$3:E$1002="INR")*(Expenses!A$3:A$1002=DATE(2026,4,30)),ROW(Expenses!A$3:A$1002)-2),4)),0)+IFERROR(INDEX(Income!C$3:C$502,SMALL(IF((Income!D$3:D$502="INR")*(Income!A$3:A$502=DATE(2026,4,30)),ROW(Income!A$3:A$502)-2),4)),0)=0,"",IFERROR(-INDEX(Expenses!D$3:D$1002,SMALL(IF((Expenses!E$3:E$1002="INR")*(Expenses!A$3:A$1002=DATE(2026,4,30)),ROW(Expenses!A$3:A$1002)-2),4)),0)+IFERROR(INDEX(Income!C$3:C$502,SMALL(IF((Income!D$3:D$502="INR")*(Income!A$3:A$502=DATE(2026,4,30)),ROW(Income!A$3:A$502)-2),4)),0))</f>
        <v/>
      </c>
      <c r="J92" s="38" t="str">
        <f aca="false">IF(IFERROR(INDEX(Expenses!B$3:B$1002,SMALL(IF((Expenses!E$3:E$1002="INR")*(Expenses!A$3:A$1002=DATE(2026,4,30)),ROW(Expenses!A$3:A$1002)-2),4)),"")&lt;&gt;"",IFERROR(INDEX(Expenses!B$3:B$1002,SMALL(IF((Expenses!E$3:E$1002="INR")*(Expenses!A$3:A$1002=DATE(2026,4,30)),ROW(Expenses!A$3:A$1002)-2),4)),""),IF(IFERROR(INDEX(Income!B$3:B$502,SMALL(IF((Income!D$3:D$502="INR")*(Income!A$3:A$502=DATE(2026,4,30)),ROW(Income!A$3:A$502)-2),4)),"")&lt;&gt;"",IFERROR(INDEX(Income!B$3:B$502,SMALL(IF((Income!D$3:D$502="INR")*(Income!A$3:A$502=DATE(2026,4,30)),ROW(Income!A$3:A$502)-2),4)),""),""))</f>
        <v/>
      </c>
      <c r="K92" s="63" t="str">
        <f aca="false">IF(IFERROR(-INDEX(Expenses!D$3:D$1002,SMALL(IF((Expenses!E$3:E$1002="INR")*(Expenses!A$3:A$1002=DATE(2026,5,1)),ROW(Expenses!A$3:A$1002)-2),4)),0)+IFERROR(INDEX(Income!C$3:C$502,SMALL(IF((Income!D$3:D$502="INR")*(Income!A$3:A$502=DATE(2026,5,1)),ROW(Income!A$3:A$502)-2),4)),0)=0,"",IFERROR(-INDEX(Expenses!D$3:D$1002,SMALL(IF((Expenses!E$3:E$1002="INR")*(Expenses!A$3:A$1002=DATE(2026,5,1)),ROW(Expenses!A$3:A$1002)-2),4)),0)+IFERROR(INDEX(Income!C$3:C$502,SMALL(IF((Income!D$3:D$502="INR")*(Income!A$3:A$502=DATE(2026,5,1)),ROW(Income!A$3:A$502)-2),4)),0))</f>
        <v/>
      </c>
      <c r="L92" s="38" t="str">
        <f aca="false">IF(IFERROR(INDEX(Expenses!B$3:B$1002,SMALL(IF((Expenses!E$3:E$1002="INR")*(Expenses!A$3:A$1002=DATE(2026,5,1)),ROW(Expenses!A$3:A$1002)-2),4)),"")&lt;&gt;"",IFERROR(INDEX(Expenses!B$3:B$1002,SMALL(IF((Expenses!E$3:E$1002="INR")*(Expenses!A$3:A$1002=DATE(2026,5,1)),ROW(Expenses!A$3:A$1002)-2),4)),""),IF(IFERROR(INDEX(Income!B$3:B$502,SMALL(IF((Income!D$3:D$502="INR")*(Income!A$3:A$502=DATE(2026,5,1)),ROW(Income!A$3:A$502)-2),4)),"")&lt;&gt;"",IFERROR(INDEX(Income!B$3:B$502,SMALL(IF((Income!D$3:D$502="INR")*(Income!A$3:A$502=DATE(2026,5,1)),ROW(Income!A$3:A$502)-2),4)),""),""))</f>
        <v/>
      </c>
      <c r="M92" s="63" t="str">
        <f aca="false">IF(IFERROR(-INDEX(Expenses!D$3:D$1002,SMALL(IF((Expenses!E$3:E$1002="INR")*(Expenses!A$3:A$1002=DATE(2026,5,2)),ROW(Expenses!A$3:A$1002)-2),4)),0)+IFERROR(INDEX(Income!C$3:C$502,SMALL(IF((Income!D$3:D$502="INR")*(Income!A$3:A$502=DATE(2026,5,2)),ROW(Income!A$3:A$502)-2),4)),0)=0,"",IFERROR(-INDEX(Expenses!D$3:D$1002,SMALL(IF((Expenses!E$3:E$1002="INR")*(Expenses!A$3:A$1002=DATE(2026,5,2)),ROW(Expenses!A$3:A$1002)-2),4)),0)+IFERROR(INDEX(Income!C$3:C$502,SMALL(IF((Income!D$3:D$502="INR")*(Income!A$3:A$502=DATE(2026,5,2)),ROW(Income!A$3:A$502)-2),4)),0))</f>
        <v/>
      </c>
      <c r="N92" s="38" t="str">
        <f aca="false">IF(IFERROR(INDEX(Expenses!B$3:B$1002,SMALL(IF((Expenses!E$3:E$1002="INR")*(Expenses!A$3:A$1002=DATE(2026,5,2)),ROW(Expenses!A$3:A$1002)-2),4)),"")&lt;&gt;"",IFERROR(INDEX(Expenses!B$3:B$1002,SMALL(IF((Expenses!E$3:E$1002="INR")*(Expenses!A$3:A$1002=DATE(2026,5,2)),ROW(Expenses!A$3:A$1002)-2),4)),""),IF(IFERROR(INDEX(Income!B$3:B$502,SMALL(IF((Income!D$3:D$502="INR")*(Income!A$3:A$502=DATE(2026,5,2)),ROW(Income!A$3:A$502)-2),4)),"")&lt;&gt;"",IFERROR(INDEX(Income!B$3:B$502,SMALL(IF((Income!D$3:D$502="INR")*(Income!A$3:A$502=DATE(2026,5,2)),ROW(Income!A$3:A$502)-2),4)),""),""))</f>
        <v/>
      </c>
      <c r="O92" s="63" t="str">
        <f aca="false">IF(IFERROR(-INDEX(Expenses!D$3:D$1002,SMALL(IF((Expenses!E$3:E$1002="INR")*(Expenses!A$3:A$1002=DATE(2026,5,3)),ROW(Expenses!A$3:A$1002)-2),4)),0)+IFERROR(INDEX(Income!C$3:C$502,SMALL(IF((Income!D$3:D$502="INR")*(Income!A$3:A$502=DATE(2026,5,3)),ROW(Income!A$3:A$502)-2),4)),0)=0,"",IFERROR(-INDEX(Expenses!D$3:D$1002,SMALL(IF((Expenses!E$3:E$1002="INR")*(Expenses!A$3:A$1002=DATE(2026,5,3)),ROW(Expenses!A$3:A$1002)-2),4)),0)+IFERROR(INDEX(Income!C$3:C$502,SMALL(IF((Income!D$3:D$502="INR")*(Income!A$3:A$502=DATE(2026,5,3)),ROW(Income!A$3:A$502)-2),4)),0))</f>
        <v/>
      </c>
      <c r="P92" s="38" t="str">
        <f aca="false">IF(IFERROR(INDEX(Expenses!B$3:B$1002,SMALL(IF((Expenses!E$3:E$1002="INR")*(Expenses!A$3:A$1002=DATE(2026,5,3)),ROW(Expenses!A$3:A$1002)-2),4)),"")&lt;&gt;"",IFERROR(INDEX(Expenses!B$3:B$1002,SMALL(IF((Expenses!E$3:E$1002="INR")*(Expenses!A$3:A$1002=DATE(2026,5,3)),ROW(Expenses!A$3:A$1002)-2),4)),""),IF(IFERROR(INDEX(Income!B$3:B$502,SMALL(IF((Income!D$3:D$502="INR")*(Income!A$3:A$502=DATE(2026,5,3)),ROW(Income!A$3:A$502)-2),4)),"")&lt;&gt;"",IFERROR(INDEX(Income!B$3:B$502,SMALL(IF((Income!D$3:D$502="INR")*(Income!A$3:A$502=DATE(2026,5,3)),ROW(Income!A$3:A$502)-2),4)),""),""))</f>
        <v/>
      </c>
      <c r="Q92" s="16"/>
      <c r="R92" s="16"/>
    </row>
    <row r="93" customFormat="false" ht="15" hidden="false" customHeight="false" outlineLevel="0" collapsed="false">
      <c r="A93" s="16"/>
      <c r="B93" s="16"/>
      <c r="C93" s="63" t="str">
        <f aca="false">IF(IFERROR(-INDEX(Expenses!D$3:D$1002,SMALL(IF((Expenses!E$3:E$1002="INR")*(Expenses!A$3:A$1002=DATE(2026,4,27)),ROW(Expenses!A$3:A$1002)-2),5)),0)+IFERROR(INDEX(Income!C$3:C$502,SMALL(IF((Income!D$3:D$502="INR")*(Income!A$3:A$502=DATE(2026,4,27)),ROW(Income!A$3:A$502)-2),5)),0)=0,"",IFERROR(-INDEX(Expenses!D$3:D$1002,SMALL(IF((Expenses!E$3:E$1002="INR")*(Expenses!A$3:A$1002=DATE(2026,4,27)),ROW(Expenses!A$3:A$1002)-2),5)),0)+IFERROR(INDEX(Income!C$3:C$502,SMALL(IF((Income!D$3:D$502="INR")*(Income!A$3:A$502=DATE(2026,4,27)),ROW(Income!A$3:A$502)-2),5)),0))</f>
        <v/>
      </c>
      <c r="D93" s="38" t="str">
        <f aca="false">IF(IFERROR(INDEX(Expenses!B$3:B$1002,SMALL(IF((Expenses!E$3:E$1002="INR")*(Expenses!A$3:A$1002=DATE(2026,4,27)),ROW(Expenses!A$3:A$1002)-2),5)),"")&lt;&gt;"",IFERROR(INDEX(Expenses!B$3:B$1002,SMALL(IF((Expenses!E$3:E$1002="INR")*(Expenses!A$3:A$1002=DATE(2026,4,27)),ROW(Expenses!A$3:A$1002)-2),5)),""),IF(IFERROR(INDEX(Income!B$3:B$502,SMALL(IF((Income!D$3:D$502="INR")*(Income!A$3:A$502=DATE(2026,4,27)),ROW(Income!A$3:A$502)-2),5)),"")&lt;&gt;"",IFERROR(INDEX(Income!B$3:B$502,SMALL(IF((Income!D$3:D$502="INR")*(Income!A$3:A$502=DATE(2026,4,27)),ROW(Income!A$3:A$502)-2),5)),""),""))</f>
        <v/>
      </c>
      <c r="E93" s="63" t="str">
        <f aca="false">IF(IFERROR(-INDEX(Expenses!D$3:D$1002,SMALL(IF((Expenses!E$3:E$1002="INR")*(Expenses!A$3:A$1002=DATE(2026,4,28)),ROW(Expenses!A$3:A$1002)-2),5)),0)+IFERROR(INDEX(Income!C$3:C$502,SMALL(IF((Income!D$3:D$502="INR")*(Income!A$3:A$502=DATE(2026,4,28)),ROW(Income!A$3:A$502)-2),5)),0)=0,"",IFERROR(-INDEX(Expenses!D$3:D$1002,SMALL(IF((Expenses!E$3:E$1002="INR")*(Expenses!A$3:A$1002=DATE(2026,4,28)),ROW(Expenses!A$3:A$1002)-2),5)),0)+IFERROR(INDEX(Income!C$3:C$502,SMALL(IF((Income!D$3:D$502="INR")*(Income!A$3:A$502=DATE(2026,4,28)),ROW(Income!A$3:A$502)-2),5)),0))</f>
        <v/>
      </c>
      <c r="F93" s="38" t="str">
        <f aca="false">IF(IFERROR(INDEX(Expenses!B$3:B$1002,SMALL(IF((Expenses!E$3:E$1002="INR")*(Expenses!A$3:A$1002=DATE(2026,4,28)),ROW(Expenses!A$3:A$1002)-2),5)),"")&lt;&gt;"",IFERROR(INDEX(Expenses!B$3:B$1002,SMALL(IF((Expenses!E$3:E$1002="INR")*(Expenses!A$3:A$1002=DATE(2026,4,28)),ROW(Expenses!A$3:A$1002)-2),5)),""),IF(IFERROR(INDEX(Income!B$3:B$502,SMALL(IF((Income!D$3:D$502="INR")*(Income!A$3:A$502=DATE(2026,4,28)),ROW(Income!A$3:A$502)-2),5)),"")&lt;&gt;"",IFERROR(INDEX(Income!B$3:B$502,SMALL(IF((Income!D$3:D$502="INR")*(Income!A$3:A$502=DATE(2026,4,28)),ROW(Income!A$3:A$502)-2),5)),""),""))</f>
        <v/>
      </c>
      <c r="G93" s="63" t="str">
        <f aca="false">IF(IFERROR(-INDEX(Expenses!D$3:D$1002,SMALL(IF((Expenses!E$3:E$1002="INR")*(Expenses!A$3:A$1002=DATE(2026,4,29)),ROW(Expenses!A$3:A$1002)-2),5)),0)+IFERROR(INDEX(Income!C$3:C$502,SMALL(IF((Income!D$3:D$502="INR")*(Income!A$3:A$502=DATE(2026,4,29)),ROW(Income!A$3:A$502)-2),5)),0)=0,"",IFERROR(-INDEX(Expenses!D$3:D$1002,SMALL(IF((Expenses!E$3:E$1002="INR")*(Expenses!A$3:A$1002=DATE(2026,4,29)),ROW(Expenses!A$3:A$1002)-2),5)),0)+IFERROR(INDEX(Income!C$3:C$502,SMALL(IF((Income!D$3:D$502="INR")*(Income!A$3:A$502=DATE(2026,4,29)),ROW(Income!A$3:A$502)-2),5)),0))</f>
        <v/>
      </c>
      <c r="H93" s="38" t="str">
        <f aca="false">IF(IFERROR(INDEX(Expenses!B$3:B$1002,SMALL(IF((Expenses!E$3:E$1002="INR")*(Expenses!A$3:A$1002=DATE(2026,4,29)),ROW(Expenses!A$3:A$1002)-2),5)),"")&lt;&gt;"",IFERROR(INDEX(Expenses!B$3:B$1002,SMALL(IF((Expenses!E$3:E$1002="INR")*(Expenses!A$3:A$1002=DATE(2026,4,29)),ROW(Expenses!A$3:A$1002)-2),5)),""),IF(IFERROR(INDEX(Income!B$3:B$502,SMALL(IF((Income!D$3:D$502="INR")*(Income!A$3:A$502=DATE(2026,4,29)),ROW(Income!A$3:A$502)-2),5)),"")&lt;&gt;"",IFERROR(INDEX(Income!B$3:B$502,SMALL(IF((Income!D$3:D$502="INR")*(Income!A$3:A$502=DATE(2026,4,29)),ROW(Income!A$3:A$502)-2),5)),""),""))</f>
        <v/>
      </c>
      <c r="I93" s="63" t="str">
        <f aca="false">IF(IFERROR(-INDEX(Expenses!D$3:D$1002,SMALL(IF((Expenses!E$3:E$1002="INR")*(Expenses!A$3:A$1002=DATE(2026,4,30)),ROW(Expenses!A$3:A$1002)-2),5)),0)+IFERROR(INDEX(Income!C$3:C$502,SMALL(IF((Income!D$3:D$502="INR")*(Income!A$3:A$502=DATE(2026,4,30)),ROW(Income!A$3:A$502)-2),5)),0)=0,"",IFERROR(-INDEX(Expenses!D$3:D$1002,SMALL(IF((Expenses!E$3:E$1002="INR")*(Expenses!A$3:A$1002=DATE(2026,4,30)),ROW(Expenses!A$3:A$1002)-2),5)),0)+IFERROR(INDEX(Income!C$3:C$502,SMALL(IF((Income!D$3:D$502="INR")*(Income!A$3:A$502=DATE(2026,4,30)),ROW(Income!A$3:A$502)-2),5)),0))</f>
        <v/>
      </c>
      <c r="J93" s="38" t="str">
        <f aca="false">IF(IFERROR(INDEX(Expenses!B$3:B$1002,SMALL(IF((Expenses!E$3:E$1002="INR")*(Expenses!A$3:A$1002=DATE(2026,4,30)),ROW(Expenses!A$3:A$1002)-2),5)),"")&lt;&gt;"",IFERROR(INDEX(Expenses!B$3:B$1002,SMALL(IF((Expenses!E$3:E$1002="INR")*(Expenses!A$3:A$1002=DATE(2026,4,30)),ROW(Expenses!A$3:A$1002)-2),5)),""),IF(IFERROR(INDEX(Income!B$3:B$502,SMALL(IF((Income!D$3:D$502="INR")*(Income!A$3:A$502=DATE(2026,4,30)),ROW(Income!A$3:A$502)-2),5)),"")&lt;&gt;"",IFERROR(INDEX(Income!B$3:B$502,SMALL(IF((Income!D$3:D$502="INR")*(Income!A$3:A$502=DATE(2026,4,30)),ROW(Income!A$3:A$502)-2),5)),""),""))</f>
        <v/>
      </c>
      <c r="K93" s="63" t="str">
        <f aca="false">IF(IFERROR(-INDEX(Expenses!D$3:D$1002,SMALL(IF((Expenses!E$3:E$1002="INR")*(Expenses!A$3:A$1002=DATE(2026,5,1)),ROW(Expenses!A$3:A$1002)-2),5)),0)+IFERROR(INDEX(Income!C$3:C$502,SMALL(IF((Income!D$3:D$502="INR")*(Income!A$3:A$502=DATE(2026,5,1)),ROW(Income!A$3:A$502)-2),5)),0)=0,"",IFERROR(-INDEX(Expenses!D$3:D$1002,SMALL(IF((Expenses!E$3:E$1002="INR")*(Expenses!A$3:A$1002=DATE(2026,5,1)),ROW(Expenses!A$3:A$1002)-2),5)),0)+IFERROR(INDEX(Income!C$3:C$502,SMALL(IF((Income!D$3:D$502="INR")*(Income!A$3:A$502=DATE(2026,5,1)),ROW(Income!A$3:A$502)-2),5)),0))</f>
        <v/>
      </c>
      <c r="L93" s="38" t="str">
        <f aca="false">IF(IFERROR(INDEX(Expenses!B$3:B$1002,SMALL(IF((Expenses!E$3:E$1002="INR")*(Expenses!A$3:A$1002=DATE(2026,5,1)),ROW(Expenses!A$3:A$1002)-2),5)),"")&lt;&gt;"",IFERROR(INDEX(Expenses!B$3:B$1002,SMALL(IF((Expenses!E$3:E$1002="INR")*(Expenses!A$3:A$1002=DATE(2026,5,1)),ROW(Expenses!A$3:A$1002)-2),5)),""),IF(IFERROR(INDEX(Income!B$3:B$502,SMALL(IF((Income!D$3:D$502="INR")*(Income!A$3:A$502=DATE(2026,5,1)),ROW(Income!A$3:A$502)-2),5)),"")&lt;&gt;"",IFERROR(INDEX(Income!B$3:B$502,SMALL(IF((Income!D$3:D$502="INR")*(Income!A$3:A$502=DATE(2026,5,1)),ROW(Income!A$3:A$502)-2),5)),""),""))</f>
        <v/>
      </c>
      <c r="M93" s="63" t="str">
        <f aca="false">IF(IFERROR(-INDEX(Expenses!D$3:D$1002,SMALL(IF((Expenses!E$3:E$1002="INR")*(Expenses!A$3:A$1002=DATE(2026,5,2)),ROW(Expenses!A$3:A$1002)-2),5)),0)+IFERROR(INDEX(Income!C$3:C$502,SMALL(IF((Income!D$3:D$502="INR")*(Income!A$3:A$502=DATE(2026,5,2)),ROW(Income!A$3:A$502)-2),5)),0)=0,"",IFERROR(-INDEX(Expenses!D$3:D$1002,SMALL(IF((Expenses!E$3:E$1002="INR")*(Expenses!A$3:A$1002=DATE(2026,5,2)),ROW(Expenses!A$3:A$1002)-2),5)),0)+IFERROR(INDEX(Income!C$3:C$502,SMALL(IF((Income!D$3:D$502="INR")*(Income!A$3:A$502=DATE(2026,5,2)),ROW(Income!A$3:A$502)-2),5)),0))</f>
        <v/>
      </c>
      <c r="N93" s="38" t="str">
        <f aca="false">IF(IFERROR(INDEX(Expenses!B$3:B$1002,SMALL(IF((Expenses!E$3:E$1002="INR")*(Expenses!A$3:A$1002=DATE(2026,5,2)),ROW(Expenses!A$3:A$1002)-2),5)),"")&lt;&gt;"",IFERROR(INDEX(Expenses!B$3:B$1002,SMALL(IF((Expenses!E$3:E$1002="INR")*(Expenses!A$3:A$1002=DATE(2026,5,2)),ROW(Expenses!A$3:A$1002)-2),5)),""),IF(IFERROR(INDEX(Income!B$3:B$502,SMALL(IF((Income!D$3:D$502="INR")*(Income!A$3:A$502=DATE(2026,5,2)),ROW(Income!A$3:A$502)-2),5)),"")&lt;&gt;"",IFERROR(INDEX(Income!B$3:B$502,SMALL(IF((Income!D$3:D$502="INR")*(Income!A$3:A$502=DATE(2026,5,2)),ROW(Income!A$3:A$502)-2),5)),""),""))</f>
        <v/>
      </c>
      <c r="O93" s="63" t="str">
        <f aca="false">IF(IFERROR(-INDEX(Expenses!D$3:D$1002,SMALL(IF((Expenses!E$3:E$1002="INR")*(Expenses!A$3:A$1002=DATE(2026,5,3)),ROW(Expenses!A$3:A$1002)-2),5)),0)+IFERROR(INDEX(Income!C$3:C$502,SMALL(IF((Income!D$3:D$502="INR")*(Income!A$3:A$502=DATE(2026,5,3)),ROW(Income!A$3:A$502)-2),5)),0)=0,"",IFERROR(-INDEX(Expenses!D$3:D$1002,SMALL(IF((Expenses!E$3:E$1002="INR")*(Expenses!A$3:A$1002=DATE(2026,5,3)),ROW(Expenses!A$3:A$1002)-2),5)),0)+IFERROR(INDEX(Income!C$3:C$502,SMALL(IF((Income!D$3:D$502="INR")*(Income!A$3:A$502=DATE(2026,5,3)),ROW(Income!A$3:A$502)-2),5)),0))</f>
        <v/>
      </c>
      <c r="P93" s="38" t="str">
        <f aca="false">IF(IFERROR(INDEX(Expenses!B$3:B$1002,SMALL(IF((Expenses!E$3:E$1002="INR")*(Expenses!A$3:A$1002=DATE(2026,5,3)),ROW(Expenses!A$3:A$1002)-2),5)),"")&lt;&gt;"",IFERROR(INDEX(Expenses!B$3:B$1002,SMALL(IF((Expenses!E$3:E$1002="INR")*(Expenses!A$3:A$1002=DATE(2026,5,3)),ROW(Expenses!A$3:A$1002)-2),5)),""),IF(IFERROR(INDEX(Income!B$3:B$502,SMALL(IF((Income!D$3:D$502="INR")*(Income!A$3:A$502=DATE(2026,5,3)),ROW(Income!A$3:A$502)-2),5)),"")&lt;&gt;"",IFERROR(INDEX(Income!B$3:B$502,SMALL(IF((Income!D$3:D$502="INR")*(Income!A$3:A$502=DATE(2026,5,3)),ROW(Income!A$3:A$502)-2),5)),""),""))</f>
        <v/>
      </c>
      <c r="Q93" s="16"/>
      <c r="R93" s="16"/>
    </row>
    <row r="94" customFormat="false" ht="15" hidden="false" customHeight="false" outlineLevel="0" collapsed="false">
      <c r="A94" s="61" t="n">
        <v>46146</v>
      </c>
      <c r="B94" s="3" t="n">
        <v>19</v>
      </c>
      <c r="C94" s="63" t="str">
        <f aca="false">IF(IFERROR(-INDEX(Expenses!D$3:D$1002,SMALL(IF((Expenses!E$3:E$1002="INR")*(Expenses!A$3:A$1002=DATE(2026,5,4)),ROW(Expenses!A$3:A$1002)-2),1)),0)+IFERROR(INDEX(Income!C$3:C$502,SMALL(IF((Income!D$3:D$502="INR")*(Income!A$3:A$502=DATE(2026,5,4)),ROW(Income!A$3:A$502)-2),1)),0)=0,"",IFERROR(-INDEX(Expenses!D$3:D$1002,SMALL(IF((Expenses!E$3:E$1002="INR")*(Expenses!A$3:A$1002=DATE(2026,5,4)),ROW(Expenses!A$3:A$1002)-2),1)),0)+IFERROR(INDEX(Income!C$3:C$502,SMALL(IF((Income!D$3:D$502="INR")*(Income!A$3:A$502=DATE(2026,5,4)),ROW(Income!A$3:A$502)-2),1)),0))</f>
        <v/>
      </c>
      <c r="D94" s="38" t="str">
        <f aca="false">IF(IFERROR(INDEX(Expenses!B$3:B$1002,SMALL(IF((Expenses!E$3:E$1002="INR")*(Expenses!A$3:A$1002=DATE(2026,5,4)),ROW(Expenses!A$3:A$1002)-2),1)),"")&lt;&gt;"",IFERROR(INDEX(Expenses!B$3:B$1002,SMALL(IF((Expenses!E$3:E$1002="INR")*(Expenses!A$3:A$1002=DATE(2026,5,4)),ROW(Expenses!A$3:A$1002)-2),1)),""),IF(IFERROR(INDEX(Income!B$3:B$502,SMALL(IF((Income!D$3:D$502="INR")*(Income!A$3:A$502=DATE(2026,5,4)),ROW(Income!A$3:A$502)-2),1)),"")&lt;&gt;"",IFERROR(INDEX(Income!B$3:B$502,SMALL(IF((Income!D$3:D$502="INR")*(Income!A$3:A$502=DATE(2026,5,4)),ROW(Income!A$3:A$502)-2),1)),""),""))</f>
        <v/>
      </c>
      <c r="E94" s="63" t="str">
        <f aca="false">IF(IFERROR(-INDEX(Expenses!D$3:D$1002,SMALL(IF((Expenses!E$3:E$1002="INR")*(Expenses!A$3:A$1002=DATE(2026,5,5)),ROW(Expenses!A$3:A$1002)-2),1)),0)+IFERROR(INDEX(Income!C$3:C$502,SMALL(IF((Income!D$3:D$502="INR")*(Income!A$3:A$502=DATE(2026,5,5)),ROW(Income!A$3:A$502)-2),1)),0)=0,"",IFERROR(-INDEX(Expenses!D$3:D$1002,SMALL(IF((Expenses!E$3:E$1002="INR")*(Expenses!A$3:A$1002=DATE(2026,5,5)),ROW(Expenses!A$3:A$1002)-2),1)),0)+IFERROR(INDEX(Income!C$3:C$502,SMALL(IF((Income!D$3:D$502="INR")*(Income!A$3:A$502=DATE(2026,5,5)),ROW(Income!A$3:A$502)-2),1)),0))</f>
        <v/>
      </c>
      <c r="F94" s="38" t="str">
        <f aca="false">IF(IFERROR(INDEX(Expenses!B$3:B$1002,SMALL(IF((Expenses!E$3:E$1002="INR")*(Expenses!A$3:A$1002=DATE(2026,5,5)),ROW(Expenses!A$3:A$1002)-2),1)),"")&lt;&gt;"",IFERROR(INDEX(Expenses!B$3:B$1002,SMALL(IF((Expenses!E$3:E$1002="INR")*(Expenses!A$3:A$1002=DATE(2026,5,5)),ROW(Expenses!A$3:A$1002)-2),1)),""),IF(IFERROR(INDEX(Income!B$3:B$502,SMALL(IF((Income!D$3:D$502="INR")*(Income!A$3:A$502=DATE(2026,5,5)),ROW(Income!A$3:A$502)-2),1)),"")&lt;&gt;"",IFERROR(INDEX(Income!B$3:B$502,SMALL(IF((Income!D$3:D$502="INR")*(Income!A$3:A$502=DATE(2026,5,5)),ROW(Income!A$3:A$502)-2),1)),""),""))</f>
        <v/>
      </c>
      <c r="G94" s="63" t="str">
        <f aca="false">IF(IFERROR(-INDEX(Expenses!D$3:D$1002,SMALL(IF((Expenses!E$3:E$1002="INR")*(Expenses!A$3:A$1002=DATE(2026,5,6)),ROW(Expenses!A$3:A$1002)-2),1)),0)+IFERROR(INDEX(Income!C$3:C$502,SMALL(IF((Income!D$3:D$502="INR")*(Income!A$3:A$502=DATE(2026,5,6)),ROW(Income!A$3:A$502)-2),1)),0)=0,"",IFERROR(-INDEX(Expenses!D$3:D$1002,SMALL(IF((Expenses!E$3:E$1002="INR")*(Expenses!A$3:A$1002=DATE(2026,5,6)),ROW(Expenses!A$3:A$1002)-2),1)),0)+IFERROR(INDEX(Income!C$3:C$502,SMALL(IF((Income!D$3:D$502="INR")*(Income!A$3:A$502=DATE(2026,5,6)),ROW(Income!A$3:A$502)-2),1)),0))</f>
        <v/>
      </c>
      <c r="H94" s="38" t="str">
        <f aca="false">IF(IFERROR(INDEX(Expenses!B$3:B$1002,SMALL(IF((Expenses!E$3:E$1002="INR")*(Expenses!A$3:A$1002=DATE(2026,5,6)),ROW(Expenses!A$3:A$1002)-2),1)),"")&lt;&gt;"",IFERROR(INDEX(Expenses!B$3:B$1002,SMALL(IF((Expenses!E$3:E$1002="INR")*(Expenses!A$3:A$1002=DATE(2026,5,6)),ROW(Expenses!A$3:A$1002)-2),1)),""),IF(IFERROR(INDEX(Income!B$3:B$502,SMALL(IF((Income!D$3:D$502="INR")*(Income!A$3:A$502=DATE(2026,5,6)),ROW(Income!A$3:A$502)-2),1)),"")&lt;&gt;"",IFERROR(INDEX(Income!B$3:B$502,SMALL(IF((Income!D$3:D$502="INR")*(Income!A$3:A$502=DATE(2026,5,6)),ROW(Income!A$3:A$502)-2),1)),""),""))</f>
        <v/>
      </c>
      <c r="I94" s="63" t="str">
        <f aca="false">IF(IFERROR(-INDEX(Expenses!D$3:D$1002,SMALL(IF((Expenses!E$3:E$1002="INR")*(Expenses!A$3:A$1002=DATE(2026,5,7)),ROW(Expenses!A$3:A$1002)-2),1)),0)+IFERROR(INDEX(Income!C$3:C$502,SMALL(IF((Income!D$3:D$502="INR")*(Income!A$3:A$502=DATE(2026,5,7)),ROW(Income!A$3:A$502)-2),1)),0)=0,"",IFERROR(-INDEX(Expenses!D$3:D$1002,SMALL(IF((Expenses!E$3:E$1002="INR")*(Expenses!A$3:A$1002=DATE(2026,5,7)),ROW(Expenses!A$3:A$1002)-2),1)),0)+IFERROR(INDEX(Income!C$3:C$502,SMALL(IF((Income!D$3:D$502="INR")*(Income!A$3:A$502=DATE(2026,5,7)),ROW(Income!A$3:A$502)-2),1)),0))</f>
        <v/>
      </c>
      <c r="J94" s="38" t="str">
        <f aca="false">IF(IFERROR(INDEX(Expenses!B$3:B$1002,SMALL(IF((Expenses!E$3:E$1002="INR")*(Expenses!A$3:A$1002=DATE(2026,5,7)),ROW(Expenses!A$3:A$1002)-2),1)),"")&lt;&gt;"",IFERROR(INDEX(Expenses!B$3:B$1002,SMALL(IF((Expenses!E$3:E$1002="INR")*(Expenses!A$3:A$1002=DATE(2026,5,7)),ROW(Expenses!A$3:A$1002)-2),1)),""),IF(IFERROR(INDEX(Income!B$3:B$502,SMALL(IF((Income!D$3:D$502="INR")*(Income!A$3:A$502=DATE(2026,5,7)),ROW(Income!A$3:A$502)-2),1)),"")&lt;&gt;"",IFERROR(INDEX(Income!B$3:B$502,SMALL(IF((Income!D$3:D$502="INR")*(Income!A$3:A$502=DATE(2026,5,7)),ROW(Income!A$3:A$502)-2),1)),""),""))</f>
        <v/>
      </c>
      <c r="K94" s="63" t="str">
        <f aca="false">IF(IFERROR(-INDEX(Expenses!D$3:D$1002,SMALL(IF((Expenses!E$3:E$1002="INR")*(Expenses!A$3:A$1002=DATE(2026,5,8)),ROW(Expenses!A$3:A$1002)-2),1)),0)+IFERROR(INDEX(Income!C$3:C$502,SMALL(IF((Income!D$3:D$502="INR")*(Income!A$3:A$502=DATE(2026,5,8)),ROW(Income!A$3:A$502)-2),1)),0)=0,"",IFERROR(-INDEX(Expenses!D$3:D$1002,SMALL(IF((Expenses!E$3:E$1002="INR")*(Expenses!A$3:A$1002=DATE(2026,5,8)),ROW(Expenses!A$3:A$1002)-2),1)),0)+IFERROR(INDEX(Income!C$3:C$502,SMALL(IF((Income!D$3:D$502="INR")*(Income!A$3:A$502=DATE(2026,5,8)),ROW(Income!A$3:A$502)-2),1)),0))</f>
        <v/>
      </c>
      <c r="L94" s="38" t="str">
        <f aca="false">IF(IFERROR(INDEX(Expenses!B$3:B$1002,SMALL(IF((Expenses!E$3:E$1002="INR")*(Expenses!A$3:A$1002=DATE(2026,5,8)),ROW(Expenses!A$3:A$1002)-2),1)),"")&lt;&gt;"",IFERROR(INDEX(Expenses!B$3:B$1002,SMALL(IF((Expenses!E$3:E$1002="INR")*(Expenses!A$3:A$1002=DATE(2026,5,8)),ROW(Expenses!A$3:A$1002)-2),1)),""),IF(IFERROR(INDEX(Income!B$3:B$502,SMALL(IF((Income!D$3:D$502="INR")*(Income!A$3:A$502=DATE(2026,5,8)),ROW(Income!A$3:A$502)-2),1)),"")&lt;&gt;"",IFERROR(INDEX(Income!B$3:B$502,SMALL(IF((Income!D$3:D$502="INR")*(Income!A$3:A$502=DATE(2026,5,8)),ROW(Income!A$3:A$502)-2),1)),""),""))</f>
        <v/>
      </c>
      <c r="M94" s="63" t="str">
        <f aca="false">IF(IFERROR(-INDEX(Expenses!D$3:D$1002,SMALL(IF((Expenses!E$3:E$1002="INR")*(Expenses!A$3:A$1002=DATE(2026,5,9)),ROW(Expenses!A$3:A$1002)-2),1)),0)+IFERROR(INDEX(Income!C$3:C$502,SMALL(IF((Income!D$3:D$502="INR")*(Income!A$3:A$502=DATE(2026,5,9)),ROW(Income!A$3:A$502)-2),1)),0)=0,"",IFERROR(-INDEX(Expenses!D$3:D$1002,SMALL(IF((Expenses!E$3:E$1002="INR")*(Expenses!A$3:A$1002=DATE(2026,5,9)),ROW(Expenses!A$3:A$1002)-2),1)),0)+IFERROR(INDEX(Income!C$3:C$502,SMALL(IF((Income!D$3:D$502="INR")*(Income!A$3:A$502=DATE(2026,5,9)),ROW(Income!A$3:A$502)-2),1)),0))</f>
        <v/>
      </c>
      <c r="N94" s="38" t="str">
        <f aca="false">IF(IFERROR(INDEX(Expenses!B$3:B$1002,SMALL(IF((Expenses!E$3:E$1002="INR")*(Expenses!A$3:A$1002=DATE(2026,5,9)),ROW(Expenses!A$3:A$1002)-2),1)),"")&lt;&gt;"",IFERROR(INDEX(Expenses!B$3:B$1002,SMALL(IF((Expenses!E$3:E$1002="INR")*(Expenses!A$3:A$1002=DATE(2026,5,9)),ROW(Expenses!A$3:A$1002)-2),1)),""),IF(IFERROR(INDEX(Income!B$3:B$502,SMALL(IF((Income!D$3:D$502="INR")*(Income!A$3:A$502=DATE(2026,5,9)),ROW(Income!A$3:A$502)-2),1)),"")&lt;&gt;"",IFERROR(INDEX(Income!B$3:B$502,SMALL(IF((Income!D$3:D$502="INR")*(Income!A$3:A$502=DATE(2026,5,9)),ROW(Income!A$3:A$502)-2),1)),""),""))</f>
        <v/>
      </c>
      <c r="O94" s="63" t="str">
        <f aca="false">IF(IFERROR(-INDEX(Expenses!D$3:D$1002,SMALL(IF((Expenses!E$3:E$1002="INR")*(Expenses!A$3:A$1002=DATE(2026,5,10)),ROW(Expenses!A$3:A$1002)-2),1)),0)+IFERROR(INDEX(Income!C$3:C$502,SMALL(IF((Income!D$3:D$502="INR")*(Income!A$3:A$502=DATE(2026,5,10)),ROW(Income!A$3:A$502)-2),1)),0)=0,"",IFERROR(-INDEX(Expenses!D$3:D$1002,SMALL(IF((Expenses!E$3:E$1002="INR")*(Expenses!A$3:A$1002=DATE(2026,5,10)),ROW(Expenses!A$3:A$1002)-2),1)),0)+IFERROR(INDEX(Income!C$3:C$502,SMALL(IF((Income!D$3:D$502="INR")*(Income!A$3:A$502=DATE(2026,5,10)),ROW(Income!A$3:A$502)-2),1)),0))</f>
        <v/>
      </c>
      <c r="P94" s="38" t="str">
        <f aca="false">IF(IFERROR(INDEX(Expenses!B$3:B$1002,SMALL(IF((Expenses!E$3:E$1002="INR")*(Expenses!A$3:A$1002=DATE(2026,5,10)),ROW(Expenses!A$3:A$1002)-2),1)),"")&lt;&gt;"",IFERROR(INDEX(Expenses!B$3:B$1002,SMALL(IF((Expenses!E$3:E$1002="INR")*(Expenses!A$3:A$1002=DATE(2026,5,10)),ROW(Expenses!A$3:A$1002)-2),1)),""),IF(IFERROR(INDEX(Income!B$3:B$502,SMALL(IF((Income!D$3:D$502="INR")*(Income!A$3:A$502=DATE(2026,5,10)),ROW(Income!A$3:A$502)-2),1)),"")&lt;&gt;"",IFERROR(INDEX(Income!B$3:B$502,SMALL(IF((Income!D$3:D$502="INR")*(Income!A$3:A$502=DATE(2026,5,10)),ROW(Income!A$3:A$502)-2),1)),""),""))</f>
        <v/>
      </c>
      <c r="Q94" s="3" t="n">
        <v>19</v>
      </c>
      <c r="R94" s="53" t="n">
        <f aca="false">SUM(C94:C98)+SUM(E94:E98)+SUM(G94:G98)+SUM(I94:I98)+SUM(K94:K98)+SUM(M94:M98)+SUM(O94:O98)</f>
        <v>0</v>
      </c>
    </row>
    <row r="95" customFormat="false" ht="15" hidden="false" customHeight="false" outlineLevel="0" collapsed="false">
      <c r="A95" s="16"/>
      <c r="B95" s="16"/>
      <c r="C95" s="63" t="str">
        <f aca="false">IF(IFERROR(-INDEX(Expenses!D$3:D$1002,SMALL(IF((Expenses!E$3:E$1002="INR")*(Expenses!A$3:A$1002=DATE(2026,5,4)),ROW(Expenses!A$3:A$1002)-2),2)),0)+IFERROR(INDEX(Income!C$3:C$502,SMALL(IF((Income!D$3:D$502="INR")*(Income!A$3:A$502=DATE(2026,5,4)),ROW(Income!A$3:A$502)-2),2)),0)=0,"",IFERROR(-INDEX(Expenses!D$3:D$1002,SMALL(IF((Expenses!E$3:E$1002="INR")*(Expenses!A$3:A$1002=DATE(2026,5,4)),ROW(Expenses!A$3:A$1002)-2),2)),0)+IFERROR(INDEX(Income!C$3:C$502,SMALL(IF((Income!D$3:D$502="INR")*(Income!A$3:A$502=DATE(2026,5,4)),ROW(Income!A$3:A$502)-2),2)),0))</f>
        <v/>
      </c>
      <c r="D95" s="38" t="str">
        <f aca="false">IF(IFERROR(INDEX(Expenses!B$3:B$1002,SMALL(IF((Expenses!E$3:E$1002="INR")*(Expenses!A$3:A$1002=DATE(2026,5,4)),ROW(Expenses!A$3:A$1002)-2),2)),"")&lt;&gt;"",IFERROR(INDEX(Expenses!B$3:B$1002,SMALL(IF((Expenses!E$3:E$1002="INR")*(Expenses!A$3:A$1002=DATE(2026,5,4)),ROW(Expenses!A$3:A$1002)-2),2)),""),IF(IFERROR(INDEX(Income!B$3:B$502,SMALL(IF((Income!D$3:D$502="INR")*(Income!A$3:A$502=DATE(2026,5,4)),ROW(Income!A$3:A$502)-2),2)),"")&lt;&gt;"",IFERROR(INDEX(Income!B$3:B$502,SMALL(IF((Income!D$3:D$502="INR")*(Income!A$3:A$502=DATE(2026,5,4)),ROW(Income!A$3:A$502)-2),2)),""),""))</f>
        <v/>
      </c>
      <c r="E95" s="63" t="str">
        <f aca="false">IF(IFERROR(-INDEX(Expenses!D$3:D$1002,SMALL(IF((Expenses!E$3:E$1002="INR")*(Expenses!A$3:A$1002=DATE(2026,5,5)),ROW(Expenses!A$3:A$1002)-2),2)),0)+IFERROR(INDEX(Income!C$3:C$502,SMALL(IF((Income!D$3:D$502="INR")*(Income!A$3:A$502=DATE(2026,5,5)),ROW(Income!A$3:A$502)-2),2)),0)=0,"",IFERROR(-INDEX(Expenses!D$3:D$1002,SMALL(IF((Expenses!E$3:E$1002="INR")*(Expenses!A$3:A$1002=DATE(2026,5,5)),ROW(Expenses!A$3:A$1002)-2),2)),0)+IFERROR(INDEX(Income!C$3:C$502,SMALL(IF((Income!D$3:D$502="INR")*(Income!A$3:A$502=DATE(2026,5,5)),ROW(Income!A$3:A$502)-2),2)),0))</f>
        <v/>
      </c>
      <c r="F95" s="38" t="str">
        <f aca="false">IF(IFERROR(INDEX(Expenses!B$3:B$1002,SMALL(IF((Expenses!E$3:E$1002="INR")*(Expenses!A$3:A$1002=DATE(2026,5,5)),ROW(Expenses!A$3:A$1002)-2),2)),"")&lt;&gt;"",IFERROR(INDEX(Expenses!B$3:B$1002,SMALL(IF((Expenses!E$3:E$1002="INR")*(Expenses!A$3:A$1002=DATE(2026,5,5)),ROW(Expenses!A$3:A$1002)-2),2)),""),IF(IFERROR(INDEX(Income!B$3:B$502,SMALL(IF((Income!D$3:D$502="INR")*(Income!A$3:A$502=DATE(2026,5,5)),ROW(Income!A$3:A$502)-2),2)),"")&lt;&gt;"",IFERROR(INDEX(Income!B$3:B$502,SMALL(IF((Income!D$3:D$502="INR")*(Income!A$3:A$502=DATE(2026,5,5)),ROW(Income!A$3:A$502)-2),2)),""),""))</f>
        <v/>
      </c>
      <c r="G95" s="63" t="str">
        <f aca="false">IF(IFERROR(-INDEX(Expenses!D$3:D$1002,SMALL(IF((Expenses!E$3:E$1002="INR")*(Expenses!A$3:A$1002=DATE(2026,5,6)),ROW(Expenses!A$3:A$1002)-2),2)),0)+IFERROR(INDEX(Income!C$3:C$502,SMALL(IF((Income!D$3:D$502="INR")*(Income!A$3:A$502=DATE(2026,5,6)),ROW(Income!A$3:A$502)-2),2)),0)=0,"",IFERROR(-INDEX(Expenses!D$3:D$1002,SMALL(IF((Expenses!E$3:E$1002="INR")*(Expenses!A$3:A$1002=DATE(2026,5,6)),ROW(Expenses!A$3:A$1002)-2),2)),0)+IFERROR(INDEX(Income!C$3:C$502,SMALL(IF((Income!D$3:D$502="INR")*(Income!A$3:A$502=DATE(2026,5,6)),ROW(Income!A$3:A$502)-2),2)),0))</f>
        <v/>
      </c>
      <c r="H95" s="38" t="str">
        <f aca="false">IF(IFERROR(INDEX(Expenses!B$3:B$1002,SMALL(IF((Expenses!E$3:E$1002="INR")*(Expenses!A$3:A$1002=DATE(2026,5,6)),ROW(Expenses!A$3:A$1002)-2),2)),"")&lt;&gt;"",IFERROR(INDEX(Expenses!B$3:B$1002,SMALL(IF((Expenses!E$3:E$1002="INR")*(Expenses!A$3:A$1002=DATE(2026,5,6)),ROW(Expenses!A$3:A$1002)-2),2)),""),IF(IFERROR(INDEX(Income!B$3:B$502,SMALL(IF((Income!D$3:D$502="INR")*(Income!A$3:A$502=DATE(2026,5,6)),ROW(Income!A$3:A$502)-2),2)),"")&lt;&gt;"",IFERROR(INDEX(Income!B$3:B$502,SMALL(IF((Income!D$3:D$502="INR")*(Income!A$3:A$502=DATE(2026,5,6)),ROW(Income!A$3:A$502)-2),2)),""),""))</f>
        <v/>
      </c>
      <c r="I95" s="63" t="str">
        <f aca="false">IF(IFERROR(-INDEX(Expenses!D$3:D$1002,SMALL(IF((Expenses!E$3:E$1002="INR")*(Expenses!A$3:A$1002=DATE(2026,5,7)),ROW(Expenses!A$3:A$1002)-2),2)),0)+IFERROR(INDEX(Income!C$3:C$502,SMALL(IF((Income!D$3:D$502="INR")*(Income!A$3:A$502=DATE(2026,5,7)),ROW(Income!A$3:A$502)-2),2)),0)=0,"",IFERROR(-INDEX(Expenses!D$3:D$1002,SMALL(IF((Expenses!E$3:E$1002="INR")*(Expenses!A$3:A$1002=DATE(2026,5,7)),ROW(Expenses!A$3:A$1002)-2),2)),0)+IFERROR(INDEX(Income!C$3:C$502,SMALL(IF((Income!D$3:D$502="INR")*(Income!A$3:A$502=DATE(2026,5,7)),ROW(Income!A$3:A$502)-2),2)),0))</f>
        <v/>
      </c>
      <c r="J95" s="38" t="str">
        <f aca="false">IF(IFERROR(INDEX(Expenses!B$3:B$1002,SMALL(IF((Expenses!E$3:E$1002="INR")*(Expenses!A$3:A$1002=DATE(2026,5,7)),ROW(Expenses!A$3:A$1002)-2),2)),"")&lt;&gt;"",IFERROR(INDEX(Expenses!B$3:B$1002,SMALL(IF((Expenses!E$3:E$1002="INR")*(Expenses!A$3:A$1002=DATE(2026,5,7)),ROW(Expenses!A$3:A$1002)-2),2)),""),IF(IFERROR(INDEX(Income!B$3:B$502,SMALL(IF((Income!D$3:D$502="INR")*(Income!A$3:A$502=DATE(2026,5,7)),ROW(Income!A$3:A$502)-2),2)),"")&lt;&gt;"",IFERROR(INDEX(Income!B$3:B$502,SMALL(IF((Income!D$3:D$502="INR")*(Income!A$3:A$502=DATE(2026,5,7)),ROW(Income!A$3:A$502)-2),2)),""),""))</f>
        <v/>
      </c>
      <c r="K95" s="63" t="str">
        <f aca="false">IF(IFERROR(-INDEX(Expenses!D$3:D$1002,SMALL(IF((Expenses!E$3:E$1002="INR")*(Expenses!A$3:A$1002=DATE(2026,5,8)),ROW(Expenses!A$3:A$1002)-2),2)),0)+IFERROR(INDEX(Income!C$3:C$502,SMALL(IF((Income!D$3:D$502="INR")*(Income!A$3:A$502=DATE(2026,5,8)),ROW(Income!A$3:A$502)-2),2)),0)=0,"",IFERROR(-INDEX(Expenses!D$3:D$1002,SMALL(IF((Expenses!E$3:E$1002="INR")*(Expenses!A$3:A$1002=DATE(2026,5,8)),ROW(Expenses!A$3:A$1002)-2),2)),0)+IFERROR(INDEX(Income!C$3:C$502,SMALL(IF((Income!D$3:D$502="INR")*(Income!A$3:A$502=DATE(2026,5,8)),ROW(Income!A$3:A$502)-2),2)),0))</f>
        <v/>
      </c>
      <c r="L95" s="38" t="str">
        <f aca="false">IF(IFERROR(INDEX(Expenses!B$3:B$1002,SMALL(IF((Expenses!E$3:E$1002="INR")*(Expenses!A$3:A$1002=DATE(2026,5,8)),ROW(Expenses!A$3:A$1002)-2),2)),"")&lt;&gt;"",IFERROR(INDEX(Expenses!B$3:B$1002,SMALL(IF((Expenses!E$3:E$1002="INR")*(Expenses!A$3:A$1002=DATE(2026,5,8)),ROW(Expenses!A$3:A$1002)-2),2)),""),IF(IFERROR(INDEX(Income!B$3:B$502,SMALL(IF((Income!D$3:D$502="INR")*(Income!A$3:A$502=DATE(2026,5,8)),ROW(Income!A$3:A$502)-2),2)),"")&lt;&gt;"",IFERROR(INDEX(Income!B$3:B$502,SMALL(IF((Income!D$3:D$502="INR")*(Income!A$3:A$502=DATE(2026,5,8)),ROW(Income!A$3:A$502)-2),2)),""),""))</f>
        <v/>
      </c>
      <c r="M95" s="63" t="str">
        <f aca="false">IF(IFERROR(-INDEX(Expenses!D$3:D$1002,SMALL(IF((Expenses!E$3:E$1002="INR")*(Expenses!A$3:A$1002=DATE(2026,5,9)),ROW(Expenses!A$3:A$1002)-2),2)),0)+IFERROR(INDEX(Income!C$3:C$502,SMALL(IF((Income!D$3:D$502="INR")*(Income!A$3:A$502=DATE(2026,5,9)),ROW(Income!A$3:A$502)-2),2)),0)=0,"",IFERROR(-INDEX(Expenses!D$3:D$1002,SMALL(IF((Expenses!E$3:E$1002="INR")*(Expenses!A$3:A$1002=DATE(2026,5,9)),ROW(Expenses!A$3:A$1002)-2),2)),0)+IFERROR(INDEX(Income!C$3:C$502,SMALL(IF((Income!D$3:D$502="INR")*(Income!A$3:A$502=DATE(2026,5,9)),ROW(Income!A$3:A$502)-2),2)),0))</f>
        <v/>
      </c>
      <c r="N95" s="38" t="str">
        <f aca="false">IF(IFERROR(INDEX(Expenses!B$3:B$1002,SMALL(IF((Expenses!E$3:E$1002="INR")*(Expenses!A$3:A$1002=DATE(2026,5,9)),ROW(Expenses!A$3:A$1002)-2),2)),"")&lt;&gt;"",IFERROR(INDEX(Expenses!B$3:B$1002,SMALL(IF((Expenses!E$3:E$1002="INR")*(Expenses!A$3:A$1002=DATE(2026,5,9)),ROW(Expenses!A$3:A$1002)-2),2)),""),IF(IFERROR(INDEX(Income!B$3:B$502,SMALL(IF((Income!D$3:D$502="INR")*(Income!A$3:A$502=DATE(2026,5,9)),ROW(Income!A$3:A$502)-2),2)),"")&lt;&gt;"",IFERROR(INDEX(Income!B$3:B$502,SMALL(IF((Income!D$3:D$502="INR")*(Income!A$3:A$502=DATE(2026,5,9)),ROW(Income!A$3:A$502)-2),2)),""),""))</f>
        <v/>
      </c>
      <c r="O95" s="63" t="str">
        <f aca="false">IF(IFERROR(-INDEX(Expenses!D$3:D$1002,SMALL(IF((Expenses!E$3:E$1002="INR")*(Expenses!A$3:A$1002=DATE(2026,5,10)),ROW(Expenses!A$3:A$1002)-2),2)),0)+IFERROR(INDEX(Income!C$3:C$502,SMALL(IF((Income!D$3:D$502="INR")*(Income!A$3:A$502=DATE(2026,5,10)),ROW(Income!A$3:A$502)-2),2)),0)=0,"",IFERROR(-INDEX(Expenses!D$3:D$1002,SMALL(IF((Expenses!E$3:E$1002="INR")*(Expenses!A$3:A$1002=DATE(2026,5,10)),ROW(Expenses!A$3:A$1002)-2),2)),0)+IFERROR(INDEX(Income!C$3:C$502,SMALL(IF((Income!D$3:D$502="INR")*(Income!A$3:A$502=DATE(2026,5,10)),ROW(Income!A$3:A$502)-2),2)),0))</f>
        <v/>
      </c>
      <c r="P95" s="38" t="str">
        <f aca="false">IF(IFERROR(INDEX(Expenses!B$3:B$1002,SMALL(IF((Expenses!E$3:E$1002="INR")*(Expenses!A$3:A$1002=DATE(2026,5,10)),ROW(Expenses!A$3:A$1002)-2),2)),"")&lt;&gt;"",IFERROR(INDEX(Expenses!B$3:B$1002,SMALL(IF((Expenses!E$3:E$1002="INR")*(Expenses!A$3:A$1002=DATE(2026,5,10)),ROW(Expenses!A$3:A$1002)-2),2)),""),IF(IFERROR(INDEX(Income!B$3:B$502,SMALL(IF((Income!D$3:D$502="INR")*(Income!A$3:A$502=DATE(2026,5,10)),ROW(Income!A$3:A$502)-2),2)),"")&lt;&gt;"",IFERROR(INDEX(Income!B$3:B$502,SMALL(IF((Income!D$3:D$502="INR")*(Income!A$3:A$502=DATE(2026,5,10)),ROW(Income!A$3:A$502)-2),2)),""),""))</f>
        <v/>
      </c>
      <c r="Q95" s="16"/>
      <c r="R95" s="16"/>
    </row>
    <row r="96" customFormat="false" ht="15" hidden="false" customHeight="false" outlineLevel="0" collapsed="false">
      <c r="A96" s="16"/>
      <c r="B96" s="16"/>
      <c r="C96" s="63" t="str">
        <f aca="false">IF(IFERROR(-INDEX(Expenses!D$3:D$1002,SMALL(IF((Expenses!E$3:E$1002="INR")*(Expenses!A$3:A$1002=DATE(2026,5,4)),ROW(Expenses!A$3:A$1002)-2),3)),0)+IFERROR(INDEX(Income!C$3:C$502,SMALL(IF((Income!D$3:D$502="INR")*(Income!A$3:A$502=DATE(2026,5,4)),ROW(Income!A$3:A$502)-2),3)),0)=0,"",IFERROR(-INDEX(Expenses!D$3:D$1002,SMALL(IF((Expenses!E$3:E$1002="INR")*(Expenses!A$3:A$1002=DATE(2026,5,4)),ROW(Expenses!A$3:A$1002)-2),3)),0)+IFERROR(INDEX(Income!C$3:C$502,SMALL(IF((Income!D$3:D$502="INR")*(Income!A$3:A$502=DATE(2026,5,4)),ROW(Income!A$3:A$502)-2),3)),0))</f>
        <v/>
      </c>
      <c r="D96" s="38" t="str">
        <f aca="false">IF(IFERROR(INDEX(Expenses!B$3:B$1002,SMALL(IF((Expenses!E$3:E$1002="INR")*(Expenses!A$3:A$1002=DATE(2026,5,4)),ROW(Expenses!A$3:A$1002)-2),3)),"")&lt;&gt;"",IFERROR(INDEX(Expenses!B$3:B$1002,SMALL(IF((Expenses!E$3:E$1002="INR")*(Expenses!A$3:A$1002=DATE(2026,5,4)),ROW(Expenses!A$3:A$1002)-2),3)),""),IF(IFERROR(INDEX(Income!B$3:B$502,SMALL(IF((Income!D$3:D$502="INR")*(Income!A$3:A$502=DATE(2026,5,4)),ROW(Income!A$3:A$502)-2),3)),"")&lt;&gt;"",IFERROR(INDEX(Income!B$3:B$502,SMALL(IF((Income!D$3:D$502="INR")*(Income!A$3:A$502=DATE(2026,5,4)),ROW(Income!A$3:A$502)-2),3)),""),""))</f>
        <v/>
      </c>
      <c r="E96" s="63" t="str">
        <f aca="false">IF(IFERROR(-INDEX(Expenses!D$3:D$1002,SMALL(IF((Expenses!E$3:E$1002="INR")*(Expenses!A$3:A$1002=DATE(2026,5,5)),ROW(Expenses!A$3:A$1002)-2),3)),0)+IFERROR(INDEX(Income!C$3:C$502,SMALL(IF((Income!D$3:D$502="INR")*(Income!A$3:A$502=DATE(2026,5,5)),ROW(Income!A$3:A$502)-2),3)),0)=0,"",IFERROR(-INDEX(Expenses!D$3:D$1002,SMALL(IF((Expenses!E$3:E$1002="INR")*(Expenses!A$3:A$1002=DATE(2026,5,5)),ROW(Expenses!A$3:A$1002)-2),3)),0)+IFERROR(INDEX(Income!C$3:C$502,SMALL(IF((Income!D$3:D$502="INR")*(Income!A$3:A$502=DATE(2026,5,5)),ROW(Income!A$3:A$502)-2),3)),0))</f>
        <v/>
      </c>
      <c r="F96" s="38" t="str">
        <f aca="false">IF(IFERROR(INDEX(Expenses!B$3:B$1002,SMALL(IF((Expenses!E$3:E$1002="INR")*(Expenses!A$3:A$1002=DATE(2026,5,5)),ROW(Expenses!A$3:A$1002)-2),3)),"")&lt;&gt;"",IFERROR(INDEX(Expenses!B$3:B$1002,SMALL(IF((Expenses!E$3:E$1002="INR")*(Expenses!A$3:A$1002=DATE(2026,5,5)),ROW(Expenses!A$3:A$1002)-2),3)),""),IF(IFERROR(INDEX(Income!B$3:B$502,SMALL(IF((Income!D$3:D$502="INR")*(Income!A$3:A$502=DATE(2026,5,5)),ROW(Income!A$3:A$502)-2),3)),"")&lt;&gt;"",IFERROR(INDEX(Income!B$3:B$502,SMALL(IF((Income!D$3:D$502="INR")*(Income!A$3:A$502=DATE(2026,5,5)),ROW(Income!A$3:A$502)-2),3)),""),""))</f>
        <v/>
      </c>
      <c r="G96" s="63" t="str">
        <f aca="false">IF(IFERROR(-INDEX(Expenses!D$3:D$1002,SMALL(IF((Expenses!E$3:E$1002="INR")*(Expenses!A$3:A$1002=DATE(2026,5,6)),ROW(Expenses!A$3:A$1002)-2),3)),0)+IFERROR(INDEX(Income!C$3:C$502,SMALL(IF((Income!D$3:D$502="INR")*(Income!A$3:A$502=DATE(2026,5,6)),ROW(Income!A$3:A$502)-2),3)),0)=0,"",IFERROR(-INDEX(Expenses!D$3:D$1002,SMALL(IF((Expenses!E$3:E$1002="INR")*(Expenses!A$3:A$1002=DATE(2026,5,6)),ROW(Expenses!A$3:A$1002)-2),3)),0)+IFERROR(INDEX(Income!C$3:C$502,SMALL(IF((Income!D$3:D$502="INR")*(Income!A$3:A$502=DATE(2026,5,6)),ROW(Income!A$3:A$502)-2),3)),0))</f>
        <v/>
      </c>
      <c r="H96" s="38" t="str">
        <f aca="false">IF(IFERROR(INDEX(Expenses!B$3:B$1002,SMALL(IF((Expenses!E$3:E$1002="INR")*(Expenses!A$3:A$1002=DATE(2026,5,6)),ROW(Expenses!A$3:A$1002)-2),3)),"")&lt;&gt;"",IFERROR(INDEX(Expenses!B$3:B$1002,SMALL(IF((Expenses!E$3:E$1002="INR")*(Expenses!A$3:A$1002=DATE(2026,5,6)),ROW(Expenses!A$3:A$1002)-2),3)),""),IF(IFERROR(INDEX(Income!B$3:B$502,SMALL(IF((Income!D$3:D$502="INR")*(Income!A$3:A$502=DATE(2026,5,6)),ROW(Income!A$3:A$502)-2),3)),"")&lt;&gt;"",IFERROR(INDEX(Income!B$3:B$502,SMALL(IF((Income!D$3:D$502="INR")*(Income!A$3:A$502=DATE(2026,5,6)),ROW(Income!A$3:A$502)-2),3)),""),""))</f>
        <v/>
      </c>
      <c r="I96" s="63" t="str">
        <f aca="false">IF(IFERROR(-INDEX(Expenses!D$3:D$1002,SMALL(IF((Expenses!E$3:E$1002="INR")*(Expenses!A$3:A$1002=DATE(2026,5,7)),ROW(Expenses!A$3:A$1002)-2),3)),0)+IFERROR(INDEX(Income!C$3:C$502,SMALL(IF((Income!D$3:D$502="INR")*(Income!A$3:A$502=DATE(2026,5,7)),ROW(Income!A$3:A$502)-2),3)),0)=0,"",IFERROR(-INDEX(Expenses!D$3:D$1002,SMALL(IF((Expenses!E$3:E$1002="INR")*(Expenses!A$3:A$1002=DATE(2026,5,7)),ROW(Expenses!A$3:A$1002)-2),3)),0)+IFERROR(INDEX(Income!C$3:C$502,SMALL(IF((Income!D$3:D$502="INR")*(Income!A$3:A$502=DATE(2026,5,7)),ROW(Income!A$3:A$502)-2),3)),0))</f>
        <v/>
      </c>
      <c r="J96" s="38" t="str">
        <f aca="false">IF(IFERROR(INDEX(Expenses!B$3:B$1002,SMALL(IF((Expenses!E$3:E$1002="INR")*(Expenses!A$3:A$1002=DATE(2026,5,7)),ROW(Expenses!A$3:A$1002)-2),3)),"")&lt;&gt;"",IFERROR(INDEX(Expenses!B$3:B$1002,SMALL(IF((Expenses!E$3:E$1002="INR")*(Expenses!A$3:A$1002=DATE(2026,5,7)),ROW(Expenses!A$3:A$1002)-2),3)),""),IF(IFERROR(INDEX(Income!B$3:B$502,SMALL(IF((Income!D$3:D$502="INR")*(Income!A$3:A$502=DATE(2026,5,7)),ROW(Income!A$3:A$502)-2),3)),"")&lt;&gt;"",IFERROR(INDEX(Income!B$3:B$502,SMALL(IF((Income!D$3:D$502="INR")*(Income!A$3:A$502=DATE(2026,5,7)),ROW(Income!A$3:A$502)-2),3)),""),""))</f>
        <v/>
      </c>
      <c r="K96" s="63" t="str">
        <f aca="false">IF(IFERROR(-INDEX(Expenses!D$3:D$1002,SMALL(IF((Expenses!E$3:E$1002="INR")*(Expenses!A$3:A$1002=DATE(2026,5,8)),ROW(Expenses!A$3:A$1002)-2),3)),0)+IFERROR(INDEX(Income!C$3:C$502,SMALL(IF((Income!D$3:D$502="INR")*(Income!A$3:A$502=DATE(2026,5,8)),ROW(Income!A$3:A$502)-2),3)),0)=0,"",IFERROR(-INDEX(Expenses!D$3:D$1002,SMALL(IF((Expenses!E$3:E$1002="INR")*(Expenses!A$3:A$1002=DATE(2026,5,8)),ROW(Expenses!A$3:A$1002)-2),3)),0)+IFERROR(INDEX(Income!C$3:C$502,SMALL(IF((Income!D$3:D$502="INR")*(Income!A$3:A$502=DATE(2026,5,8)),ROW(Income!A$3:A$502)-2),3)),0))</f>
        <v/>
      </c>
      <c r="L96" s="38" t="str">
        <f aca="false">IF(IFERROR(INDEX(Expenses!B$3:B$1002,SMALL(IF((Expenses!E$3:E$1002="INR")*(Expenses!A$3:A$1002=DATE(2026,5,8)),ROW(Expenses!A$3:A$1002)-2),3)),"")&lt;&gt;"",IFERROR(INDEX(Expenses!B$3:B$1002,SMALL(IF((Expenses!E$3:E$1002="INR")*(Expenses!A$3:A$1002=DATE(2026,5,8)),ROW(Expenses!A$3:A$1002)-2),3)),""),IF(IFERROR(INDEX(Income!B$3:B$502,SMALL(IF((Income!D$3:D$502="INR")*(Income!A$3:A$502=DATE(2026,5,8)),ROW(Income!A$3:A$502)-2),3)),"")&lt;&gt;"",IFERROR(INDEX(Income!B$3:B$502,SMALL(IF((Income!D$3:D$502="INR")*(Income!A$3:A$502=DATE(2026,5,8)),ROW(Income!A$3:A$502)-2),3)),""),""))</f>
        <v/>
      </c>
      <c r="M96" s="63" t="str">
        <f aca="false">IF(IFERROR(-INDEX(Expenses!D$3:D$1002,SMALL(IF((Expenses!E$3:E$1002="INR")*(Expenses!A$3:A$1002=DATE(2026,5,9)),ROW(Expenses!A$3:A$1002)-2),3)),0)+IFERROR(INDEX(Income!C$3:C$502,SMALL(IF((Income!D$3:D$502="INR")*(Income!A$3:A$502=DATE(2026,5,9)),ROW(Income!A$3:A$502)-2),3)),0)=0,"",IFERROR(-INDEX(Expenses!D$3:D$1002,SMALL(IF((Expenses!E$3:E$1002="INR")*(Expenses!A$3:A$1002=DATE(2026,5,9)),ROW(Expenses!A$3:A$1002)-2),3)),0)+IFERROR(INDEX(Income!C$3:C$502,SMALL(IF((Income!D$3:D$502="INR")*(Income!A$3:A$502=DATE(2026,5,9)),ROW(Income!A$3:A$502)-2),3)),0))</f>
        <v/>
      </c>
      <c r="N96" s="38" t="str">
        <f aca="false">IF(IFERROR(INDEX(Expenses!B$3:B$1002,SMALL(IF((Expenses!E$3:E$1002="INR")*(Expenses!A$3:A$1002=DATE(2026,5,9)),ROW(Expenses!A$3:A$1002)-2),3)),"")&lt;&gt;"",IFERROR(INDEX(Expenses!B$3:B$1002,SMALL(IF((Expenses!E$3:E$1002="INR")*(Expenses!A$3:A$1002=DATE(2026,5,9)),ROW(Expenses!A$3:A$1002)-2),3)),""),IF(IFERROR(INDEX(Income!B$3:B$502,SMALL(IF((Income!D$3:D$502="INR")*(Income!A$3:A$502=DATE(2026,5,9)),ROW(Income!A$3:A$502)-2),3)),"")&lt;&gt;"",IFERROR(INDEX(Income!B$3:B$502,SMALL(IF((Income!D$3:D$502="INR")*(Income!A$3:A$502=DATE(2026,5,9)),ROW(Income!A$3:A$502)-2),3)),""),""))</f>
        <v/>
      </c>
      <c r="O96" s="63" t="str">
        <f aca="false">IF(IFERROR(-INDEX(Expenses!D$3:D$1002,SMALL(IF((Expenses!E$3:E$1002="INR")*(Expenses!A$3:A$1002=DATE(2026,5,10)),ROW(Expenses!A$3:A$1002)-2),3)),0)+IFERROR(INDEX(Income!C$3:C$502,SMALL(IF((Income!D$3:D$502="INR")*(Income!A$3:A$502=DATE(2026,5,10)),ROW(Income!A$3:A$502)-2),3)),0)=0,"",IFERROR(-INDEX(Expenses!D$3:D$1002,SMALL(IF((Expenses!E$3:E$1002="INR")*(Expenses!A$3:A$1002=DATE(2026,5,10)),ROW(Expenses!A$3:A$1002)-2),3)),0)+IFERROR(INDEX(Income!C$3:C$502,SMALL(IF((Income!D$3:D$502="INR")*(Income!A$3:A$502=DATE(2026,5,10)),ROW(Income!A$3:A$502)-2),3)),0))</f>
        <v/>
      </c>
      <c r="P96" s="38" t="str">
        <f aca="false">IF(IFERROR(INDEX(Expenses!B$3:B$1002,SMALL(IF((Expenses!E$3:E$1002="INR")*(Expenses!A$3:A$1002=DATE(2026,5,10)),ROW(Expenses!A$3:A$1002)-2),3)),"")&lt;&gt;"",IFERROR(INDEX(Expenses!B$3:B$1002,SMALL(IF((Expenses!E$3:E$1002="INR")*(Expenses!A$3:A$1002=DATE(2026,5,10)),ROW(Expenses!A$3:A$1002)-2),3)),""),IF(IFERROR(INDEX(Income!B$3:B$502,SMALL(IF((Income!D$3:D$502="INR")*(Income!A$3:A$502=DATE(2026,5,10)),ROW(Income!A$3:A$502)-2),3)),"")&lt;&gt;"",IFERROR(INDEX(Income!B$3:B$502,SMALL(IF((Income!D$3:D$502="INR")*(Income!A$3:A$502=DATE(2026,5,10)),ROW(Income!A$3:A$502)-2),3)),""),""))</f>
        <v/>
      </c>
      <c r="Q96" s="16"/>
      <c r="R96" s="16"/>
    </row>
    <row r="97" customFormat="false" ht="15" hidden="false" customHeight="false" outlineLevel="0" collapsed="false">
      <c r="A97" s="16"/>
      <c r="B97" s="16"/>
      <c r="C97" s="63" t="str">
        <f aca="false">IF(IFERROR(-INDEX(Expenses!D$3:D$1002,SMALL(IF((Expenses!E$3:E$1002="INR")*(Expenses!A$3:A$1002=DATE(2026,5,4)),ROW(Expenses!A$3:A$1002)-2),4)),0)+IFERROR(INDEX(Income!C$3:C$502,SMALL(IF((Income!D$3:D$502="INR")*(Income!A$3:A$502=DATE(2026,5,4)),ROW(Income!A$3:A$502)-2),4)),0)=0,"",IFERROR(-INDEX(Expenses!D$3:D$1002,SMALL(IF((Expenses!E$3:E$1002="INR")*(Expenses!A$3:A$1002=DATE(2026,5,4)),ROW(Expenses!A$3:A$1002)-2),4)),0)+IFERROR(INDEX(Income!C$3:C$502,SMALL(IF((Income!D$3:D$502="INR")*(Income!A$3:A$502=DATE(2026,5,4)),ROW(Income!A$3:A$502)-2),4)),0))</f>
        <v/>
      </c>
      <c r="D97" s="38" t="str">
        <f aca="false">IF(IFERROR(INDEX(Expenses!B$3:B$1002,SMALL(IF((Expenses!E$3:E$1002="INR")*(Expenses!A$3:A$1002=DATE(2026,5,4)),ROW(Expenses!A$3:A$1002)-2),4)),"")&lt;&gt;"",IFERROR(INDEX(Expenses!B$3:B$1002,SMALL(IF((Expenses!E$3:E$1002="INR")*(Expenses!A$3:A$1002=DATE(2026,5,4)),ROW(Expenses!A$3:A$1002)-2),4)),""),IF(IFERROR(INDEX(Income!B$3:B$502,SMALL(IF((Income!D$3:D$502="INR")*(Income!A$3:A$502=DATE(2026,5,4)),ROW(Income!A$3:A$502)-2),4)),"")&lt;&gt;"",IFERROR(INDEX(Income!B$3:B$502,SMALL(IF((Income!D$3:D$502="INR")*(Income!A$3:A$502=DATE(2026,5,4)),ROW(Income!A$3:A$502)-2),4)),""),""))</f>
        <v/>
      </c>
      <c r="E97" s="63" t="str">
        <f aca="false">IF(IFERROR(-INDEX(Expenses!D$3:D$1002,SMALL(IF((Expenses!E$3:E$1002="INR")*(Expenses!A$3:A$1002=DATE(2026,5,5)),ROW(Expenses!A$3:A$1002)-2),4)),0)+IFERROR(INDEX(Income!C$3:C$502,SMALL(IF((Income!D$3:D$502="INR")*(Income!A$3:A$502=DATE(2026,5,5)),ROW(Income!A$3:A$502)-2),4)),0)=0,"",IFERROR(-INDEX(Expenses!D$3:D$1002,SMALL(IF((Expenses!E$3:E$1002="INR")*(Expenses!A$3:A$1002=DATE(2026,5,5)),ROW(Expenses!A$3:A$1002)-2),4)),0)+IFERROR(INDEX(Income!C$3:C$502,SMALL(IF((Income!D$3:D$502="INR")*(Income!A$3:A$502=DATE(2026,5,5)),ROW(Income!A$3:A$502)-2),4)),0))</f>
        <v/>
      </c>
      <c r="F97" s="38" t="str">
        <f aca="false">IF(IFERROR(INDEX(Expenses!B$3:B$1002,SMALL(IF((Expenses!E$3:E$1002="INR")*(Expenses!A$3:A$1002=DATE(2026,5,5)),ROW(Expenses!A$3:A$1002)-2),4)),"")&lt;&gt;"",IFERROR(INDEX(Expenses!B$3:B$1002,SMALL(IF((Expenses!E$3:E$1002="INR")*(Expenses!A$3:A$1002=DATE(2026,5,5)),ROW(Expenses!A$3:A$1002)-2),4)),""),IF(IFERROR(INDEX(Income!B$3:B$502,SMALL(IF((Income!D$3:D$502="INR")*(Income!A$3:A$502=DATE(2026,5,5)),ROW(Income!A$3:A$502)-2),4)),"")&lt;&gt;"",IFERROR(INDEX(Income!B$3:B$502,SMALL(IF((Income!D$3:D$502="INR")*(Income!A$3:A$502=DATE(2026,5,5)),ROW(Income!A$3:A$502)-2),4)),""),""))</f>
        <v/>
      </c>
      <c r="G97" s="63" t="str">
        <f aca="false">IF(IFERROR(-INDEX(Expenses!D$3:D$1002,SMALL(IF((Expenses!E$3:E$1002="INR")*(Expenses!A$3:A$1002=DATE(2026,5,6)),ROW(Expenses!A$3:A$1002)-2),4)),0)+IFERROR(INDEX(Income!C$3:C$502,SMALL(IF((Income!D$3:D$502="INR")*(Income!A$3:A$502=DATE(2026,5,6)),ROW(Income!A$3:A$502)-2),4)),0)=0,"",IFERROR(-INDEX(Expenses!D$3:D$1002,SMALL(IF((Expenses!E$3:E$1002="INR")*(Expenses!A$3:A$1002=DATE(2026,5,6)),ROW(Expenses!A$3:A$1002)-2),4)),0)+IFERROR(INDEX(Income!C$3:C$502,SMALL(IF((Income!D$3:D$502="INR")*(Income!A$3:A$502=DATE(2026,5,6)),ROW(Income!A$3:A$502)-2),4)),0))</f>
        <v/>
      </c>
      <c r="H97" s="38" t="str">
        <f aca="false">IF(IFERROR(INDEX(Expenses!B$3:B$1002,SMALL(IF((Expenses!E$3:E$1002="INR")*(Expenses!A$3:A$1002=DATE(2026,5,6)),ROW(Expenses!A$3:A$1002)-2),4)),"")&lt;&gt;"",IFERROR(INDEX(Expenses!B$3:B$1002,SMALL(IF((Expenses!E$3:E$1002="INR")*(Expenses!A$3:A$1002=DATE(2026,5,6)),ROW(Expenses!A$3:A$1002)-2),4)),""),IF(IFERROR(INDEX(Income!B$3:B$502,SMALL(IF((Income!D$3:D$502="INR")*(Income!A$3:A$502=DATE(2026,5,6)),ROW(Income!A$3:A$502)-2),4)),"")&lt;&gt;"",IFERROR(INDEX(Income!B$3:B$502,SMALL(IF((Income!D$3:D$502="INR")*(Income!A$3:A$502=DATE(2026,5,6)),ROW(Income!A$3:A$502)-2),4)),""),""))</f>
        <v/>
      </c>
      <c r="I97" s="63" t="str">
        <f aca="false">IF(IFERROR(-INDEX(Expenses!D$3:D$1002,SMALL(IF((Expenses!E$3:E$1002="INR")*(Expenses!A$3:A$1002=DATE(2026,5,7)),ROW(Expenses!A$3:A$1002)-2),4)),0)+IFERROR(INDEX(Income!C$3:C$502,SMALL(IF((Income!D$3:D$502="INR")*(Income!A$3:A$502=DATE(2026,5,7)),ROW(Income!A$3:A$502)-2),4)),0)=0,"",IFERROR(-INDEX(Expenses!D$3:D$1002,SMALL(IF((Expenses!E$3:E$1002="INR")*(Expenses!A$3:A$1002=DATE(2026,5,7)),ROW(Expenses!A$3:A$1002)-2),4)),0)+IFERROR(INDEX(Income!C$3:C$502,SMALL(IF((Income!D$3:D$502="INR")*(Income!A$3:A$502=DATE(2026,5,7)),ROW(Income!A$3:A$502)-2),4)),0))</f>
        <v/>
      </c>
      <c r="J97" s="38" t="str">
        <f aca="false">IF(IFERROR(INDEX(Expenses!B$3:B$1002,SMALL(IF((Expenses!E$3:E$1002="INR")*(Expenses!A$3:A$1002=DATE(2026,5,7)),ROW(Expenses!A$3:A$1002)-2),4)),"")&lt;&gt;"",IFERROR(INDEX(Expenses!B$3:B$1002,SMALL(IF((Expenses!E$3:E$1002="INR")*(Expenses!A$3:A$1002=DATE(2026,5,7)),ROW(Expenses!A$3:A$1002)-2),4)),""),IF(IFERROR(INDEX(Income!B$3:B$502,SMALL(IF((Income!D$3:D$502="INR")*(Income!A$3:A$502=DATE(2026,5,7)),ROW(Income!A$3:A$502)-2),4)),"")&lt;&gt;"",IFERROR(INDEX(Income!B$3:B$502,SMALL(IF((Income!D$3:D$502="INR")*(Income!A$3:A$502=DATE(2026,5,7)),ROW(Income!A$3:A$502)-2),4)),""),""))</f>
        <v/>
      </c>
      <c r="K97" s="63" t="str">
        <f aca="false">IF(IFERROR(-INDEX(Expenses!D$3:D$1002,SMALL(IF((Expenses!E$3:E$1002="INR")*(Expenses!A$3:A$1002=DATE(2026,5,8)),ROW(Expenses!A$3:A$1002)-2),4)),0)+IFERROR(INDEX(Income!C$3:C$502,SMALL(IF((Income!D$3:D$502="INR")*(Income!A$3:A$502=DATE(2026,5,8)),ROW(Income!A$3:A$502)-2),4)),0)=0,"",IFERROR(-INDEX(Expenses!D$3:D$1002,SMALL(IF((Expenses!E$3:E$1002="INR")*(Expenses!A$3:A$1002=DATE(2026,5,8)),ROW(Expenses!A$3:A$1002)-2),4)),0)+IFERROR(INDEX(Income!C$3:C$502,SMALL(IF((Income!D$3:D$502="INR")*(Income!A$3:A$502=DATE(2026,5,8)),ROW(Income!A$3:A$502)-2),4)),0))</f>
        <v/>
      </c>
      <c r="L97" s="38" t="str">
        <f aca="false">IF(IFERROR(INDEX(Expenses!B$3:B$1002,SMALL(IF((Expenses!E$3:E$1002="INR")*(Expenses!A$3:A$1002=DATE(2026,5,8)),ROW(Expenses!A$3:A$1002)-2),4)),"")&lt;&gt;"",IFERROR(INDEX(Expenses!B$3:B$1002,SMALL(IF((Expenses!E$3:E$1002="INR")*(Expenses!A$3:A$1002=DATE(2026,5,8)),ROW(Expenses!A$3:A$1002)-2),4)),""),IF(IFERROR(INDEX(Income!B$3:B$502,SMALL(IF((Income!D$3:D$502="INR")*(Income!A$3:A$502=DATE(2026,5,8)),ROW(Income!A$3:A$502)-2),4)),"")&lt;&gt;"",IFERROR(INDEX(Income!B$3:B$502,SMALL(IF((Income!D$3:D$502="INR")*(Income!A$3:A$502=DATE(2026,5,8)),ROW(Income!A$3:A$502)-2),4)),""),""))</f>
        <v/>
      </c>
      <c r="M97" s="63" t="str">
        <f aca="false">IF(IFERROR(-INDEX(Expenses!D$3:D$1002,SMALL(IF((Expenses!E$3:E$1002="INR")*(Expenses!A$3:A$1002=DATE(2026,5,9)),ROW(Expenses!A$3:A$1002)-2),4)),0)+IFERROR(INDEX(Income!C$3:C$502,SMALL(IF((Income!D$3:D$502="INR")*(Income!A$3:A$502=DATE(2026,5,9)),ROW(Income!A$3:A$502)-2),4)),0)=0,"",IFERROR(-INDEX(Expenses!D$3:D$1002,SMALL(IF((Expenses!E$3:E$1002="INR")*(Expenses!A$3:A$1002=DATE(2026,5,9)),ROW(Expenses!A$3:A$1002)-2),4)),0)+IFERROR(INDEX(Income!C$3:C$502,SMALL(IF((Income!D$3:D$502="INR")*(Income!A$3:A$502=DATE(2026,5,9)),ROW(Income!A$3:A$502)-2),4)),0))</f>
        <v/>
      </c>
      <c r="N97" s="38" t="str">
        <f aca="false">IF(IFERROR(INDEX(Expenses!B$3:B$1002,SMALL(IF((Expenses!E$3:E$1002="INR")*(Expenses!A$3:A$1002=DATE(2026,5,9)),ROW(Expenses!A$3:A$1002)-2),4)),"")&lt;&gt;"",IFERROR(INDEX(Expenses!B$3:B$1002,SMALL(IF((Expenses!E$3:E$1002="INR")*(Expenses!A$3:A$1002=DATE(2026,5,9)),ROW(Expenses!A$3:A$1002)-2),4)),""),IF(IFERROR(INDEX(Income!B$3:B$502,SMALL(IF((Income!D$3:D$502="INR")*(Income!A$3:A$502=DATE(2026,5,9)),ROW(Income!A$3:A$502)-2),4)),"")&lt;&gt;"",IFERROR(INDEX(Income!B$3:B$502,SMALL(IF((Income!D$3:D$502="INR")*(Income!A$3:A$502=DATE(2026,5,9)),ROW(Income!A$3:A$502)-2),4)),""),""))</f>
        <v/>
      </c>
      <c r="O97" s="63" t="str">
        <f aca="false">IF(IFERROR(-INDEX(Expenses!D$3:D$1002,SMALL(IF((Expenses!E$3:E$1002="INR")*(Expenses!A$3:A$1002=DATE(2026,5,10)),ROW(Expenses!A$3:A$1002)-2),4)),0)+IFERROR(INDEX(Income!C$3:C$502,SMALL(IF((Income!D$3:D$502="INR")*(Income!A$3:A$502=DATE(2026,5,10)),ROW(Income!A$3:A$502)-2),4)),0)=0,"",IFERROR(-INDEX(Expenses!D$3:D$1002,SMALL(IF((Expenses!E$3:E$1002="INR")*(Expenses!A$3:A$1002=DATE(2026,5,10)),ROW(Expenses!A$3:A$1002)-2),4)),0)+IFERROR(INDEX(Income!C$3:C$502,SMALL(IF((Income!D$3:D$502="INR")*(Income!A$3:A$502=DATE(2026,5,10)),ROW(Income!A$3:A$502)-2),4)),0))</f>
        <v/>
      </c>
      <c r="P97" s="38" t="str">
        <f aca="false">IF(IFERROR(INDEX(Expenses!B$3:B$1002,SMALL(IF((Expenses!E$3:E$1002="INR")*(Expenses!A$3:A$1002=DATE(2026,5,10)),ROW(Expenses!A$3:A$1002)-2),4)),"")&lt;&gt;"",IFERROR(INDEX(Expenses!B$3:B$1002,SMALL(IF((Expenses!E$3:E$1002="INR")*(Expenses!A$3:A$1002=DATE(2026,5,10)),ROW(Expenses!A$3:A$1002)-2),4)),""),IF(IFERROR(INDEX(Income!B$3:B$502,SMALL(IF((Income!D$3:D$502="INR")*(Income!A$3:A$502=DATE(2026,5,10)),ROW(Income!A$3:A$502)-2),4)),"")&lt;&gt;"",IFERROR(INDEX(Income!B$3:B$502,SMALL(IF((Income!D$3:D$502="INR")*(Income!A$3:A$502=DATE(2026,5,10)),ROW(Income!A$3:A$502)-2),4)),""),""))</f>
        <v/>
      </c>
      <c r="Q97" s="16"/>
      <c r="R97" s="16"/>
    </row>
    <row r="98" customFormat="false" ht="15" hidden="false" customHeight="false" outlineLevel="0" collapsed="false">
      <c r="A98" s="16"/>
      <c r="B98" s="16"/>
      <c r="C98" s="63" t="str">
        <f aca="false">IF(IFERROR(-INDEX(Expenses!D$3:D$1002,SMALL(IF((Expenses!E$3:E$1002="INR")*(Expenses!A$3:A$1002=DATE(2026,5,4)),ROW(Expenses!A$3:A$1002)-2),5)),0)+IFERROR(INDEX(Income!C$3:C$502,SMALL(IF((Income!D$3:D$502="INR")*(Income!A$3:A$502=DATE(2026,5,4)),ROW(Income!A$3:A$502)-2),5)),0)=0,"",IFERROR(-INDEX(Expenses!D$3:D$1002,SMALL(IF((Expenses!E$3:E$1002="INR")*(Expenses!A$3:A$1002=DATE(2026,5,4)),ROW(Expenses!A$3:A$1002)-2),5)),0)+IFERROR(INDEX(Income!C$3:C$502,SMALL(IF((Income!D$3:D$502="INR")*(Income!A$3:A$502=DATE(2026,5,4)),ROW(Income!A$3:A$502)-2),5)),0))</f>
        <v/>
      </c>
      <c r="D98" s="38" t="str">
        <f aca="false">IF(IFERROR(INDEX(Expenses!B$3:B$1002,SMALL(IF((Expenses!E$3:E$1002="INR")*(Expenses!A$3:A$1002=DATE(2026,5,4)),ROW(Expenses!A$3:A$1002)-2),5)),"")&lt;&gt;"",IFERROR(INDEX(Expenses!B$3:B$1002,SMALL(IF((Expenses!E$3:E$1002="INR")*(Expenses!A$3:A$1002=DATE(2026,5,4)),ROW(Expenses!A$3:A$1002)-2),5)),""),IF(IFERROR(INDEX(Income!B$3:B$502,SMALL(IF((Income!D$3:D$502="INR")*(Income!A$3:A$502=DATE(2026,5,4)),ROW(Income!A$3:A$502)-2),5)),"")&lt;&gt;"",IFERROR(INDEX(Income!B$3:B$502,SMALL(IF((Income!D$3:D$502="INR")*(Income!A$3:A$502=DATE(2026,5,4)),ROW(Income!A$3:A$502)-2),5)),""),""))</f>
        <v/>
      </c>
      <c r="E98" s="63" t="str">
        <f aca="false">IF(IFERROR(-INDEX(Expenses!D$3:D$1002,SMALL(IF((Expenses!E$3:E$1002="INR")*(Expenses!A$3:A$1002=DATE(2026,5,5)),ROW(Expenses!A$3:A$1002)-2),5)),0)+IFERROR(INDEX(Income!C$3:C$502,SMALL(IF((Income!D$3:D$502="INR")*(Income!A$3:A$502=DATE(2026,5,5)),ROW(Income!A$3:A$502)-2),5)),0)=0,"",IFERROR(-INDEX(Expenses!D$3:D$1002,SMALL(IF((Expenses!E$3:E$1002="INR")*(Expenses!A$3:A$1002=DATE(2026,5,5)),ROW(Expenses!A$3:A$1002)-2),5)),0)+IFERROR(INDEX(Income!C$3:C$502,SMALL(IF((Income!D$3:D$502="INR")*(Income!A$3:A$502=DATE(2026,5,5)),ROW(Income!A$3:A$502)-2),5)),0))</f>
        <v/>
      </c>
      <c r="F98" s="38" t="str">
        <f aca="false">IF(IFERROR(INDEX(Expenses!B$3:B$1002,SMALL(IF((Expenses!E$3:E$1002="INR")*(Expenses!A$3:A$1002=DATE(2026,5,5)),ROW(Expenses!A$3:A$1002)-2),5)),"")&lt;&gt;"",IFERROR(INDEX(Expenses!B$3:B$1002,SMALL(IF((Expenses!E$3:E$1002="INR")*(Expenses!A$3:A$1002=DATE(2026,5,5)),ROW(Expenses!A$3:A$1002)-2),5)),""),IF(IFERROR(INDEX(Income!B$3:B$502,SMALL(IF((Income!D$3:D$502="INR")*(Income!A$3:A$502=DATE(2026,5,5)),ROW(Income!A$3:A$502)-2),5)),"")&lt;&gt;"",IFERROR(INDEX(Income!B$3:B$502,SMALL(IF((Income!D$3:D$502="INR")*(Income!A$3:A$502=DATE(2026,5,5)),ROW(Income!A$3:A$502)-2),5)),""),""))</f>
        <v/>
      </c>
      <c r="G98" s="63" t="str">
        <f aca="false">IF(IFERROR(-INDEX(Expenses!D$3:D$1002,SMALL(IF((Expenses!E$3:E$1002="INR")*(Expenses!A$3:A$1002=DATE(2026,5,6)),ROW(Expenses!A$3:A$1002)-2),5)),0)+IFERROR(INDEX(Income!C$3:C$502,SMALL(IF((Income!D$3:D$502="INR")*(Income!A$3:A$502=DATE(2026,5,6)),ROW(Income!A$3:A$502)-2),5)),0)=0,"",IFERROR(-INDEX(Expenses!D$3:D$1002,SMALL(IF((Expenses!E$3:E$1002="INR")*(Expenses!A$3:A$1002=DATE(2026,5,6)),ROW(Expenses!A$3:A$1002)-2),5)),0)+IFERROR(INDEX(Income!C$3:C$502,SMALL(IF((Income!D$3:D$502="INR")*(Income!A$3:A$502=DATE(2026,5,6)),ROW(Income!A$3:A$502)-2),5)),0))</f>
        <v/>
      </c>
      <c r="H98" s="38" t="str">
        <f aca="false">IF(IFERROR(INDEX(Expenses!B$3:B$1002,SMALL(IF((Expenses!E$3:E$1002="INR")*(Expenses!A$3:A$1002=DATE(2026,5,6)),ROW(Expenses!A$3:A$1002)-2),5)),"")&lt;&gt;"",IFERROR(INDEX(Expenses!B$3:B$1002,SMALL(IF((Expenses!E$3:E$1002="INR")*(Expenses!A$3:A$1002=DATE(2026,5,6)),ROW(Expenses!A$3:A$1002)-2),5)),""),IF(IFERROR(INDEX(Income!B$3:B$502,SMALL(IF((Income!D$3:D$502="INR")*(Income!A$3:A$502=DATE(2026,5,6)),ROW(Income!A$3:A$502)-2),5)),"")&lt;&gt;"",IFERROR(INDEX(Income!B$3:B$502,SMALL(IF((Income!D$3:D$502="INR")*(Income!A$3:A$502=DATE(2026,5,6)),ROW(Income!A$3:A$502)-2),5)),""),""))</f>
        <v/>
      </c>
      <c r="I98" s="63" t="str">
        <f aca="false">IF(IFERROR(-INDEX(Expenses!D$3:D$1002,SMALL(IF((Expenses!E$3:E$1002="INR")*(Expenses!A$3:A$1002=DATE(2026,5,7)),ROW(Expenses!A$3:A$1002)-2),5)),0)+IFERROR(INDEX(Income!C$3:C$502,SMALL(IF((Income!D$3:D$502="INR")*(Income!A$3:A$502=DATE(2026,5,7)),ROW(Income!A$3:A$502)-2),5)),0)=0,"",IFERROR(-INDEX(Expenses!D$3:D$1002,SMALL(IF((Expenses!E$3:E$1002="INR")*(Expenses!A$3:A$1002=DATE(2026,5,7)),ROW(Expenses!A$3:A$1002)-2),5)),0)+IFERROR(INDEX(Income!C$3:C$502,SMALL(IF((Income!D$3:D$502="INR")*(Income!A$3:A$502=DATE(2026,5,7)),ROW(Income!A$3:A$502)-2),5)),0))</f>
        <v/>
      </c>
      <c r="J98" s="38" t="str">
        <f aca="false">IF(IFERROR(INDEX(Expenses!B$3:B$1002,SMALL(IF((Expenses!E$3:E$1002="INR")*(Expenses!A$3:A$1002=DATE(2026,5,7)),ROW(Expenses!A$3:A$1002)-2),5)),"")&lt;&gt;"",IFERROR(INDEX(Expenses!B$3:B$1002,SMALL(IF((Expenses!E$3:E$1002="INR")*(Expenses!A$3:A$1002=DATE(2026,5,7)),ROW(Expenses!A$3:A$1002)-2),5)),""),IF(IFERROR(INDEX(Income!B$3:B$502,SMALL(IF((Income!D$3:D$502="INR")*(Income!A$3:A$502=DATE(2026,5,7)),ROW(Income!A$3:A$502)-2),5)),"")&lt;&gt;"",IFERROR(INDEX(Income!B$3:B$502,SMALL(IF((Income!D$3:D$502="INR")*(Income!A$3:A$502=DATE(2026,5,7)),ROW(Income!A$3:A$502)-2),5)),""),""))</f>
        <v/>
      </c>
      <c r="K98" s="63" t="str">
        <f aca="false">IF(IFERROR(-INDEX(Expenses!D$3:D$1002,SMALL(IF((Expenses!E$3:E$1002="INR")*(Expenses!A$3:A$1002=DATE(2026,5,8)),ROW(Expenses!A$3:A$1002)-2),5)),0)+IFERROR(INDEX(Income!C$3:C$502,SMALL(IF((Income!D$3:D$502="INR")*(Income!A$3:A$502=DATE(2026,5,8)),ROW(Income!A$3:A$502)-2),5)),0)=0,"",IFERROR(-INDEX(Expenses!D$3:D$1002,SMALL(IF((Expenses!E$3:E$1002="INR")*(Expenses!A$3:A$1002=DATE(2026,5,8)),ROW(Expenses!A$3:A$1002)-2),5)),0)+IFERROR(INDEX(Income!C$3:C$502,SMALL(IF((Income!D$3:D$502="INR")*(Income!A$3:A$502=DATE(2026,5,8)),ROW(Income!A$3:A$502)-2),5)),0))</f>
        <v/>
      </c>
      <c r="L98" s="38" t="str">
        <f aca="false">IF(IFERROR(INDEX(Expenses!B$3:B$1002,SMALL(IF((Expenses!E$3:E$1002="INR")*(Expenses!A$3:A$1002=DATE(2026,5,8)),ROW(Expenses!A$3:A$1002)-2),5)),"")&lt;&gt;"",IFERROR(INDEX(Expenses!B$3:B$1002,SMALL(IF((Expenses!E$3:E$1002="INR")*(Expenses!A$3:A$1002=DATE(2026,5,8)),ROW(Expenses!A$3:A$1002)-2),5)),""),IF(IFERROR(INDEX(Income!B$3:B$502,SMALL(IF((Income!D$3:D$502="INR")*(Income!A$3:A$502=DATE(2026,5,8)),ROW(Income!A$3:A$502)-2),5)),"")&lt;&gt;"",IFERROR(INDEX(Income!B$3:B$502,SMALL(IF((Income!D$3:D$502="INR")*(Income!A$3:A$502=DATE(2026,5,8)),ROW(Income!A$3:A$502)-2),5)),""),""))</f>
        <v/>
      </c>
      <c r="M98" s="63" t="str">
        <f aca="false">IF(IFERROR(-INDEX(Expenses!D$3:D$1002,SMALL(IF((Expenses!E$3:E$1002="INR")*(Expenses!A$3:A$1002=DATE(2026,5,9)),ROW(Expenses!A$3:A$1002)-2),5)),0)+IFERROR(INDEX(Income!C$3:C$502,SMALL(IF((Income!D$3:D$502="INR")*(Income!A$3:A$502=DATE(2026,5,9)),ROW(Income!A$3:A$502)-2),5)),0)=0,"",IFERROR(-INDEX(Expenses!D$3:D$1002,SMALL(IF((Expenses!E$3:E$1002="INR")*(Expenses!A$3:A$1002=DATE(2026,5,9)),ROW(Expenses!A$3:A$1002)-2),5)),0)+IFERROR(INDEX(Income!C$3:C$502,SMALL(IF((Income!D$3:D$502="INR")*(Income!A$3:A$502=DATE(2026,5,9)),ROW(Income!A$3:A$502)-2),5)),0))</f>
        <v/>
      </c>
      <c r="N98" s="38" t="str">
        <f aca="false">IF(IFERROR(INDEX(Expenses!B$3:B$1002,SMALL(IF((Expenses!E$3:E$1002="INR")*(Expenses!A$3:A$1002=DATE(2026,5,9)),ROW(Expenses!A$3:A$1002)-2),5)),"")&lt;&gt;"",IFERROR(INDEX(Expenses!B$3:B$1002,SMALL(IF((Expenses!E$3:E$1002="INR")*(Expenses!A$3:A$1002=DATE(2026,5,9)),ROW(Expenses!A$3:A$1002)-2),5)),""),IF(IFERROR(INDEX(Income!B$3:B$502,SMALL(IF((Income!D$3:D$502="INR")*(Income!A$3:A$502=DATE(2026,5,9)),ROW(Income!A$3:A$502)-2),5)),"")&lt;&gt;"",IFERROR(INDEX(Income!B$3:B$502,SMALL(IF((Income!D$3:D$502="INR")*(Income!A$3:A$502=DATE(2026,5,9)),ROW(Income!A$3:A$502)-2),5)),""),""))</f>
        <v/>
      </c>
      <c r="O98" s="63" t="str">
        <f aca="false">IF(IFERROR(-INDEX(Expenses!D$3:D$1002,SMALL(IF((Expenses!E$3:E$1002="INR")*(Expenses!A$3:A$1002=DATE(2026,5,10)),ROW(Expenses!A$3:A$1002)-2),5)),0)+IFERROR(INDEX(Income!C$3:C$502,SMALL(IF((Income!D$3:D$502="INR")*(Income!A$3:A$502=DATE(2026,5,10)),ROW(Income!A$3:A$502)-2),5)),0)=0,"",IFERROR(-INDEX(Expenses!D$3:D$1002,SMALL(IF((Expenses!E$3:E$1002="INR")*(Expenses!A$3:A$1002=DATE(2026,5,10)),ROW(Expenses!A$3:A$1002)-2),5)),0)+IFERROR(INDEX(Income!C$3:C$502,SMALL(IF((Income!D$3:D$502="INR")*(Income!A$3:A$502=DATE(2026,5,10)),ROW(Income!A$3:A$502)-2),5)),0))</f>
        <v/>
      </c>
      <c r="P98" s="38" t="str">
        <f aca="false">IF(IFERROR(INDEX(Expenses!B$3:B$1002,SMALL(IF((Expenses!E$3:E$1002="INR")*(Expenses!A$3:A$1002=DATE(2026,5,10)),ROW(Expenses!A$3:A$1002)-2),5)),"")&lt;&gt;"",IFERROR(INDEX(Expenses!B$3:B$1002,SMALL(IF((Expenses!E$3:E$1002="INR")*(Expenses!A$3:A$1002=DATE(2026,5,10)),ROW(Expenses!A$3:A$1002)-2),5)),""),IF(IFERROR(INDEX(Income!B$3:B$502,SMALL(IF((Income!D$3:D$502="INR")*(Income!A$3:A$502=DATE(2026,5,10)),ROW(Income!A$3:A$502)-2),5)),"")&lt;&gt;"",IFERROR(INDEX(Income!B$3:B$502,SMALL(IF((Income!D$3:D$502="INR")*(Income!A$3:A$502=DATE(2026,5,10)),ROW(Income!A$3:A$502)-2),5)),""),""))</f>
        <v/>
      </c>
      <c r="Q98" s="16"/>
      <c r="R98" s="16"/>
    </row>
    <row r="99" customFormat="false" ht="15" hidden="false" customHeight="false" outlineLevel="0" collapsed="false">
      <c r="A99" s="61" t="n">
        <v>46153</v>
      </c>
      <c r="B99" s="3" t="n">
        <v>20</v>
      </c>
      <c r="C99" s="63" t="str">
        <f aca="false">IF(IFERROR(-INDEX(Expenses!D$3:D$1002,SMALL(IF((Expenses!E$3:E$1002="INR")*(Expenses!A$3:A$1002=DATE(2026,5,11)),ROW(Expenses!A$3:A$1002)-2),1)),0)+IFERROR(INDEX(Income!C$3:C$502,SMALL(IF((Income!D$3:D$502="INR")*(Income!A$3:A$502=DATE(2026,5,11)),ROW(Income!A$3:A$502)-2),1)),0)=0,"",IFERROR(-INDEX(Expenses!D$3:D$1002,SMALL(IF((Expenses!E$3:E$1002="INR")*(Expenses!A$3:A$1002=DATE(2026,5,11)),ROW(Expenses!A$3:A$1002)-2),1)),0)+IFERROR(INDEX(Income!C$3:C$502,SMALL(IF((Income!D$3:D$502="INR")*(Income!A$3:A$502=DATE(2026,5,11)),ROW(Income!A$3:A$502)-2),1)),0))</f>
        <v/>
      </c>
      <c r="D99" s="38" t="str">
        <f aca="false">IF(IFERROR(INDEX(Expenses!B$3:B$1002,SMALL(IF((Expenses!E$3:E$1002="INR")*(Expenses!A$3:A$1002=DATE(2026,5,11)),ROW(Expenses!A$3:A$1002)-2),1)),"")&lt;&gt;"",IFERROR(INDEX(Expenses!B$3:B$1002,SMALL(IF((Expenses!E$3:E$1002="INR")*(Expenses!A$3:A$1002=DATE(2026,5,11)),ROW(Expenses!A$3:A$1002)-2),1)),""),IF(IFERROR(INDEX(Income!B$3:B$502,SMALL(IF((Income!D$3:D$502="INR")*(Income!A$3:A$502=DATE(2026,5,11)),ROW(Income!A$3:A$502)-2),1)),"")&lt;&gt;"",IFERROR(INDEX(Income!B$3:B$502,SMALL(IF((Income!D$3:D$502="INR")*(Income!A$3:A$502=DATE(2026,5,11)),ROW(Income!A$3:A$502)-2),1)),""),""))</f>
        <v/>
      </c>
      <c r="E99" s="63" t="str">
        <f aca="false">IF(IFERROR(-INDEX(Expenses!D$3:D$1002,SMALL(IF((Expenses!E$3:E$1002="INR")*(Expenses!A$3:A$1002=DATE(2026,5,12)),ROW(Expenses!A$3:A$1002)-2),1)),0)+IFERROR(INDEX(Income!C$3:C$502,SMALL(IF((Income!D$3:D$502="INR")*(Income!A$3:A$502=DATE(2026,5,12)),ROW(Income!A$3:A$502)-2),1)),0)=0,"",IFERROR(-INDEX(Expenses!D$3:D$1002,SMALL(IF((Expenses!E$3:E$1002="INR")*(Expenses!A$3:A$1002=DATE(2026,5,12)),ROW(Expenses!A$3:A$1002)-2),1)),0)+IFERROR(INDEX(Income!C$3:C$502,SMALL(IF((Income!D$3:D$502="INR")*(Income!A$3:A$502=DATE(2026,5,12)),ROW(Income!A$3:A$502)-2),1)),0))</f>
        <v/>
      </c>
      <c r="F99" s="38" t="str">
        <f aca="false">IF(IFERROR(INDEX(Expenses!B$3:B$1002,SMALL(IF((Expenses!E$3:E$1002="INR")*(Expenses!A$3:A$1002=DATE(2026,5,12)),ROW(Expenses!A$3:A$1002)-2),1)),"")&lt;&gt;"",IFERROR(INDEX(Expenses!B$3:B$1002,SMALL(IF((Expenses!E$3:E$1002="INR")*(Expenses!A$3:A$1002=DATE(2026,5,12)),ROW(Expenses!A$3:A$1002)-2),1)),""),IF(IFERROR(INDEX(Income!B$3:B$502,SMALL(IF((Income!D$3:D$502="INR")*(Income!A$3:A$502=DATE(2026,5,12)),ROW(Income!A$3:A$502)-2),1)),"")&lt;&gt;"",IFERROR(INDEX(Income!B$3:B$502,SMALL(IF((Income!D$3:D$502="INR")*(Income!A$3:A$502=DATE(2026,5,12)),ROW(Income!A$3:A$502)-2),1)),""),""))</f>
        <v/>
      </c>
      <c r="G99" s="63" t="str">
        <f aca="false">IF(IFERROR(-INDEX(Expenses!D$3:D$1002,SMALL(IF((Expenses!E$3:E$1002="INR")*(Expenses!A$3:A$1002=DATE(2026,5,13)),ROW(Expenses!A$3:A$1002)-2),1)),0)+IFERROR(INDEX(Income!C$3:C$502,SMALL(IF((Income!D$3:D$502="INR")*(Income!A$3:A$502=DATE(2026,5,13)),ROW(Income!A$3:A$502)-2),1)),0)=0,"",IFERROR(-INDEX(Expenses!D$3:D$1002,SMALL(IF((Expenses!E$3:E$1002="INR")*(Expenses!A$3:A$1002=DATE(2026,5,13)),ROW(Expenses!A$3:A$1002)-2),1)),0)+IFERROR(INDEX(Income!C$3:C$502,SMALL(IF((Income!D$3:D$502="INR")*(Income!A$3:A$502=DATE(2026,5,13)),ROW(Income!A$3:A$502)-2),1)),0))</f>
        <v/>
      </c>
      <c r="H99" s="38" t="str">
        <f aca="false">IF(IFERROR(INDEX(Expenses!B$3:B$1002,SMALL(IF((Expenses!E$3:E$1002="INR")*(Expenses!A$3:A$1002=DATE(2026,5,13)),ROW(Expenses!A$3:A$1002)-2),1)),"")&lt;&gt;"",IFERROR(INDEX(Expenses!B$3:B$1002,SMALL(IF((Expenses!E$3:E$1002="INR")*(Expenses!A$3:A$1002=DATE(2026,5,13)),ROW(Expenses!A$3:A$1002)-2),1)),""),IF(IFERROR(INDEX(Income!B$3:B$502,SMALL(IF((Income!D$3:D$502="INR")*(Income!A$3:A$502=DATE(2026,5,13)),ROW(Income!A$3:A$502)-2),1)),"")&lt;&gt;"",IFERROR(INDEX(Income!B$3:B$502,SMALL(IF((Income!D$3:D$502="INR")*(Income!A$3:A$502=DATE(2026,5,13)),ROW(Income!A$3:A$502)-2),1)),""),""))</f>
        <v/>
      </c>
      <c r="I99" s="63" t="str">
        <f aca="false">IF(IFERROR(-INDEX(Expenses!D$3:D$1002,SMALL(IF((Expenses!E$3:E$1002="INR")*(Expenses!A$3:A$1002=DATE(2026,5,14)),ROW(Expenses!A$3:A$1002)-2),1)),0)+IFERROR(INDEX(Income!C$3:C$502,SMALL(IF((Income!D$3:D$502="INR")*(Income!A$3:A$502=DATE(2026,5,14)),ROW(Income!A$3:A$502)-2),1)),0)=0,"",IFERROR(-INDEX(Expenses!D$3:D$1002,SMALL(IF((Expenses!E$3:E$1002="INR")*(Expenses!A$3:A$1002=DATE(2026,5,14)),ROW(Expenses!A$3:A$1002)-2),1)),0)+IFERROR(INDEX(Income!C$3:C$502,SMALL(IF((Income!D$3:D$502="INR")*(Income!A$3:A$502=DATE(2026,5,14)),ROW(Income!A$3:A$502)-2),1)),0))</f>
        <v/>
      </c>
      <c r="J99" s="38" t="str">
        <f aca="false">IF(IFERROR(INDEX(Expenses!B$3:B$1002,SMALL(IF((Expenses!E$3:E$1002="INR")*(Expenses!A$3:A$1002=DATE(2026,5,14)),ROW(Expenses!A$3:A$1002)-2),1)),"")&lt;&gt;"",IFERROR(INDEX(Expenses!B$3:B$1002,SMALL(IF((Expenses!E$3:E$1002="INR")*(Expenses!A$3:A$1002=DATE(2026,5,14)),ROW(Expenses!A$3:A$1002)-2),1)),""),IF(IFERROR(INDEX(Income!B$3:B$502,SMALL(IF((Income!D$3:D$502="INR")*(Income!A$3:A$502=DATE(2026,5,14)),ROW(Income!A$3:A$502)-2),1)),"")&lt;&gt;"",IFERROR(INDEX(Income!B$3:B$502,SMALL(IF((Income!D$3:D$502="INR")*(Income!A$3:A$502=DATE(2026,5,14)),ROW(Income!A$3:A$502)-2),1)),""),""))</f>
        <v/>
      </c>
      <c r="K99" s="63" t="str">
        <f aca="false">IF(IFERROR(-INDEX(Expenses!D$3:D$1002,SMALL(IF((Expenses!E$3:E$1002="INR")*(Expenses!A$3:A$1002=DATE(2026,5,15)),ROW(Expenses!A$3:A$1002)-2),1)),0)+IFERROR(INDEX(Income!C$3:C$502,SMALL(IF((Income!D$3:D$502="INR")*(Income!A$3:A$502=DATE(2026,5,15)),ROW(Income!A$3:A$502)-2),1)),0)=0,"",IFERROR(-INDEX(Expenses!D$3:D$1002,SMALL(IF((Expenses!E$3:E$1002="INR")*(Expenses!A$3:A$1002=DATE(2026,5,15)),ROW(Expenses!A$3:A$1002)-2),1)),0)+IFERROR(INDEX(Income!C$3:C$502,SMALL(IF((Income!D$3:D$502="INR")*(Income!A$3:A$502=DATE(2026,5,15)),ROW(Income!A$3:A$502)-2),1)),0))</f>
        <v/>
      </c>
      <c r="L99" s="38" t="str">
        <f aca="false">IF(IFERROR(INDEX(Expenses!B$3:B$1002,SMALL(IF((Expenses!E$3:E$1002="INR")*(Expenses!A$3:A$1002=DATE(2026,5,15)),ROW(Expenses!A$3:A$1002)-2),1)),"")&lt;&gt;"",IFERROR(INDEX(Expenses!B$3:B$1002,SMALL(IF((Expenses!E$3:E$1002="INR")*(Expenses!A$3:A$1002=DATE(2026,5,15)),ROW(Expenses!A$3:A$1002)-2),1)),""),IF(IFERROR(INDEX(Income!B$3:B$502,SMALL(IF((Income!D$3:D$502="INR")*(Income!A$3:A$502=DATE(2026,5,15)),ROW(Income!A$3:A$502)-2),1)),"")&lt;&gt;"",IFERROR(INDEX(Income!B$3:B$502,SMALL(IF((Income!D$3:D$502="INR")*(Income!A$3:A$502=DATE(2026,5,15)),ROW(Income!A$3:A$502)-2),1)),""),""))</f>
        <v/>
      </c>
      <c r="M99" s="63" t="str">
        <f aca="false">IF(IFERROR(-INDEX(Expenses!D$3:D$1002,SMALL(IF((Expenses!E$3:E$1002="INR")*(Expenses!A$3:A$1002=DATE(2026,5,16)),ROW(Expenses!A$3:A$1002)-2),1)),0)+IFERROR(INDEX(Income!C$3:C$502,SMALL(IF((Income!D$3:D$502="INR")*(Income!A$3:A$502=DATE(2026,5,16)),ROW(Income!A$3:A$502)-2),1)),0)=0,"",IFERROR(-INDEX(Expenses!D$3:D$1002,SMALL(IF((Expenses!E$3:E$1002="INR")*(Expenses!A$3:A$1002=DATE(2026,5,16)),ROW(Expenses!A$3:A$1002)-2),1)),0)+IFERROR(INDEX(Income!C$3:C$502,SMALL(IF((Income!D$3:D$502="INR")*(Income!A$3:A$502=DATE(2026,5,16)),ROW(Income!A$3:A$502)-2),1)),0))</f>
        <v/>
      </c>
      <c r="N99" s="38" t="str">
        <f aca="false">IF(IFERROR(INDEX(Expenses!B$3:B$1002,SMALL(IF((Expenses!E$3:E$1002="INR")*(Expenses!A$3:A$1002=DATE(2026,5,16)),ROW(Expenses!A$3:A$1002)-2),1)),"")&lt;&gt;"",IFERROR(INDEX(Expenses!B$3:B$1002,SMALL(IF((Expenses!E$3:E$1002="INR")*(Expenses!A$3:A$1002=DATE(2026,5,16)),ROW(Expenses!A$3:A$1002)-2),1)),""),IF(IFERROR(INDEX(Income!B$3:B$502,SMALL(IF((Income!D$3:D$502="INR")*(Income!A$3:A$502=DATE(2026,5,16)),ROW(Income!A$3:A$502)-2),1)),"")&lt;&gt;"",IFERROR(INDEX(Income!B$3:B$502,SMALL(IF((Income!D$3:D$502="INR")*(Income!A$3:A$502=DATE(2026,5,16)),ROW(Income!A$3:A$502)-2),1)),""),""))</f>
        <v/>
      </c>
      <c r="O99" s="63" t="str">
        <f aca="false">IF(IFERROR(-INDEX(Expenses!D$3:D$1002,SMALL(IF((Expenses!E$3:E$1002="INR")*(Expenses!A$3:A$1002=DATE(2026,5,17)),ROW(Expenses!A$3:A$1002)-2),1)),0)+IFERROR(INDEX(Income!C$3:C$502,SMALL(IF((Income!D$3:D$502="INR")*(Income!A$3:A$502=DATE(2026,5,17)),ROW(Income!A$3:A$502)-2),1)),0)=0,"",IFERROR(-INDEX(Expenses!D$3:D$1002,SMALL(IF((Expenses!E$3:E$1002="INR")*(Expenses!A$3:A$1002=DATE(2026,5,17)),ROW(Expenses!A$3:A$1002)-2),1)),0)+IFERROR(INDEX(Income!C$3:C$502,SMALL(IF((Income!D$3:D$502="INR")*(Income!A$3:A$502=DATE(2026,5,17)),ROW(Income!A$3:A$502)-2),1)),0))</f>
        <v/>
      </c>
      <c r="P99" s="38" t="str">
        <f aca="false">IF(IFERROR(INDEX(Expenses!B$3:B$1002,SMALL(IF((Expenses!E$3:E$1002="INR")*(Expenses!A$3:A$1002=DATE(2026,5,17)),ROW(Expenses!A$3:A$1002)-2),1)),"")&lt;&gt;"",IFERROR(INDEX(Expenses!B$3:B$1002,SMALL(IF((Expenses!E$3:E$1002="INR")*(Expenses!A$3:A$1002=DATE(2026,5,17)),ROW(Expenses!A$3:A$1002)-2),1)),""),IF(IFERROR(INDEX(Income!B$3:B$502,SMALL(IF((Income!D$3:D$502="INR")*(Income!A$3:A$502=DATE(2026,5,17)),ROW(Income!A$3:A$502)-2),1)),"")&lt;&gt;"",IFERROR(INDEX(Income!B$3:B$502,SMALL(IF((Income!D$3:D$502="INR")*(Income!A$3:A$502=DATE(2026,5,17)),ROW(Income!A$3:A$502)-2),1)),""),""))</f>
        <v/>
      </c>
      <c r="Q99" s="3" t="n">
        <v>20</v>
      </c>
      <c r="R99" s="53" t="n">
        <f aca="false">SUM(C99:C103)+SUM(E99:E103)+SUM(G99:G103)+SUM(I99:I103)+SUM(K99:K103)+SUM(M99:M103)+SUM(O99:O103)</f>
        <v>0</v>
      </c>
    </row>
    <row r="100" customFormat="false" ht="15" hidden="false" customHeight="false" outlineLevel="0" collapsed="false">
      <c r="A100" s="16"/>
      <c r="B100" s="16"/>
      <c r="C100" s="63" t="str">
        <f aca="false">IF(IFERROR(-INDEX(Expenses!D$3:D$1002,SMALL(IF((Expenses!E$3:E$1002="INR")*(Expenses!A$3:A$1002=DATE(2026,5,11)),ROW(Expenses!A$3:A$1002)-2),2)),0)+IFERROR(INDEX(Income!C$3:C$502,SMALL(IF((Income!D$3:D$502="INR")*(Income!A$3:A$502=DATE(2026,5,11)),ROW(Income!A$3:A$502)-2),2)),0)=0,"",IFERROR(-INDEX(Expenses!D$3:D$1002,SMALL(IF((Expenses!E$3:E$1002="INR")*(Expenses!A$3:A$1002=DATE(2026,5,11)),ROW(Expenses!A$3:A$1002)-2),2)),0)+IFERROR(INDEX(Income!C$3:C$502,SMALL(IF((Income!D$3:D$502="INR")*(Income!A$3:A$502=DATE(2026,5,11)),ROW(Income!A$3:A$502)-2),2)),0))</f>
        <v/>
      </c>
      <c r="D100" s="38" t="str">
        <f aca="false">IF(IFERROR(INDEX(Expenses!B$3:B$1002,SMALL(IF((Expenses!E$3:E$1002="INR")*(Expenses!A$3:A$1002=DATE(2026,5,11)),ROW(Expenses!A$3:A$1002)-2),2)),"")&lt;&gt;"",IFERROR(INDEX(Expenses!B$3:B$1002,SMALL(IF((Expenses!E$3:E$1002="INR")*(Expenses!A$3:A$1002=DATE(2026,5,11)),ROW(Expenses!A$3:A$1002)-2),2)),""),IF(IFERROR(INDEX(Income!B$3:B$502,SMALL(IF((Income!D$3:D$502="INR")*(Income!A$3:A$502=DATE(2026,5,11)),ROW(Income!A$3:A$502)-2),2)),"")&lt;&gt;"",IFERROR(INDEX(Income!B$3:B$502,SMALL(IF((Income!D$3:D$502="INR")*(Income!A$3:A$502=DATE(2026,5,11)),ROW(Income!A$3:A$502)-2),2)),""),""))</f>
        <v/>
      </c>
      <c r="E100" s="63" t="str">
        <f aca="false">IF(IFERROR(-INDEX(Expenses!D$3:D$1002,SMALL(IF((Expenses!E$3:E$1002="INR")*(Expenses!A$3:A$1002=DATE(2026,5,12)),ROW(Expenses!A$3:A$1002)-2),2)),0)+IFERROR(INDEX(Income!C$3:C$502,SMALL(IF((Income!D$3:D$502="INR")*(Income!A$3:A$502=DATE(2026,5,12)),ROW(Income!A$3:A$502)-2),2)),0)=0,"",IFERROR(-INDEX(Expenses!D$3:D$1002,SMALL(IF((Expenses!E$3:E$1002="INR")*(Expenses!A$3:A$1002=DATE(2026,5,12)),ROW(Expenses!A$3:A$1002)-2),2)),0)+IFERROR(INDEX(Income!C$3:C$502,SMALL(IF((Income!D$3:D$502="INR")*(Income!A$3:A$502=DATE(2026,5,12)),ROW(Income!A$3:A$502)-2),2)),0))</f>
        <v/>
      </c>
      <c r="F100" s="38" t="str">
        <f aca="false">IF(IFERROR(INDEX(Expenses!B$3:B$1002,SMALL(IF((Expenses!E$3:E$1002="INR")*(Expenses!A$3:A$1002=DATE(2026,5,12)),ROW(Expenses!A$3:A$1002)-2),2)),"")&lt;&gt;"",IFERROR(INDEX(Expenses!B$3:B$1002,SMALL(IF((Expenses!E$3:E$1002="INR")*(Expenses!A$3:A$1002=DATE(2026,5,12)),ROW(Expenses!A$3:A$1002)-2),2)),""),IF(IFERROR(INDEX(Income!B$3:B$502,SMALL(IF((Income!D$3:D$502="INR")*(Income!A$3:A$502=DATE(2026,5,12)),ROW(Income!A$3:A$502)-2),2)),"")&lt;&gt;"",IFERROR(INDEX(Income!B$3:B$502,SMALL(IF((Income!D$3:D$502="INR")*(Income!A$3:A$502=DATE(2026,5,12)),ROW(Income!A$3:A$502)-2),2)),""),""))</f>
        <v/>
      </c>
      <c r="G100" s="63" t="str">
        <f aca="false">IF(IFERROR(-INDEX(Expenses!D$3:D$1002,SMALL(IF((Expenses!E$3:E$1002="INR")*(Expenses!A$3:A$1002=DATE(2026,5,13)),ROW(Expenses!A$3:A$1002)-2),2)),0)+IFERROR(INDEX(Income!C$3:C$502,SMALL(IF((Income!D$3:D$502="INR")*(Income!A$3:A$502=DATE(2026,5,13)),ROW(Income!A$3:A$502)-2),2)),0)=0,"",IFERROR(-INDEX(Expenses!D$3:D$1002,SMALL(IF((Expenses!E$3:E$1002="INR")*(Expenses!A$3:A$1002=DATE(2026,5,13)),ROW(Expenses!A$3:A$1002)-2),2)),0)+IFERROR(INDEX(Income!C$3:C$502,SMALL(IF((Income!D$3:D$502="INR")*(Income!A$3:A$502=DATE(2026,5,13)),ROW(Income!A$3:A$502)-2),2)),0))</f>
        <v/>
      </c>
      <c r="H100" s="38" t="str">
        <f aca="false">IF(IFERROR(INDEX(Expenses!B$3:B$1002,SMALL(IF((Expenses!E$3:E$1002="INR")*(Expenses!A$3:A$1002=DATE(2026,5,13)),ROW(Expenses!A$3:A$1002)-2),2)),"")&lt;&gt;"",IFERROR(INDEX(Expenses!B$3:B$1002,SMALL(IF((Expenses!E$3:E$1002="INR")*(Expenses!A$3:A$1002=DATE(2026,5,13)),ROW(Expenses!A$3:A$1002)-2),2)),""),IF(IFERROR(INDEX(Income!B$3:B$502,SMALL(IF((Income!D$3:D$502="INR")*(Income!A$3:A$502=DATE(2026,5,13)),ROW(Income!A$3:A$502)-2),2)),"")&lt;&gt;"",IFERROR(INDEX(Income!B$3:B$502,SMALL(IF((Income!D$3:D$502="INR")*(Income!A$3:A$502=DATE(2026,5,13)),ROW(Income!A$3:A$502)-2),2)),""),""))</f>
        <v/>
      </c>
      <c r="I100" s="63" t="str">
        <f aca="false">IF(IFERROR(-INDEX(Expenses!D$3:D$1002,SMALL(IF((Expenses!E$3:E$1002="INR")*(Expenses!A$3:A$1002=DATE(2026,5,14)),ROW(Expenses!A$3:A$1002)-2),2)),0)+IFERROR(INDEX(Income!C$3:C$502,SMALL(IF((Income!D$3:D$502="INR")*(Income!A$3:A$502=DATE(2026,5,14)),ROW(Income!A$3:A$502)-2),2)),0)=0,"",IFERROR(-INDEX(Expenses!D$3:D$1002,SMALL(IF((Expenses!E$3:E$1002="INR")*(Expenses!A$3:A$1002=DATE(2026,5,14)),ROW(Expenses!A$3:A$1002)-2),2)),0)+IFERROR(INDEX(Income!C$3:C$502,SMALL(IF((Income!D$3:D$502="INR")*(Income!A$3:A$502=DATE(2026,5,14)),ROW(Income!A$3:A$502)-2),2)),0))</f>
        <v/>
      </c>
      <c r="J100" s="38" t="str">
        <f aca="false">IF(IFERROR(INDEX(Expenses!B$3:B$1002,SMALL(IF((Expenses!E$3:E$1002="INR")*(Expenses!A$3:A$1002=DATE(2026,5,14)),ROW(Expenses!A$3:A$1002)-2),2)),"")&lt;&gt;"",IFERROR(INDEX(Expenses!B$3:B$1002,SMALL(IF((Expenses!E$3:E$1002="INR")*(Expenses!A$3:A$1002=DATE(2026,5,14)),ROW(Expenses!A$3:A$1002)-2),2)),""),IF(IFERROR(INDEX(Income!B$3:B$502,SMALL(IF((Income!D$3:D$502="INR")*(Income!A$3:A$502=DATE(2026,5,14)),ROW(Income!A$3:A$502)-2),2)),"")&lt;&gt;"",IFERROR(INDEX(Income!B$3:B$502,SMALL(IF((Income!D$3:D$502="INR")*(Income!A$3:A$502=DATE(2026,5,14)),ROW(Income!A$3:A$502)-2),2)),""),""))</f>
        <v/>
      </c>
      <c r="K100" s="63" t="str">
        <f aca="false">IF(IFERROR(-INDEX(Expenses!D$3:D$1002,SMALL(IF((Expenses!E$3:E$1002="INR")*(Expenses!A$3:A$1002=DATE(2026,5,15)),ROW(Expenses!A$3:A$1002)-2),2)),0)+IFERROR(INDEX(Income!C$3:C$502,SMALL(IF((Income!D$3:D$502="INR")*(Income!A$3:A$502=DATE(2026,5,15)),ROW(Income!A$3:A$502)-2),2)),0)=0,"",IFERROR(-INDEX(Expenses!D$3:D$1002,SMALL(IF((Expenses!E$3:E$1002="INR")*(Expenses!A$3:A$1002=DATE(2026,5,15)),ROW(Expenses!A$3:A$1002)-2),2)),0)+IFERROR(INDEX(Income!C$3:C$502,SMALL(IF((Income!D$3:D$502="INR")*(Income!A$3:A$502=DATE(2026,5,15)),ROW(Income!A$3:A$502)-2),2)),0))</f>
        <v/>
      </c>
      <c r="L100" s="38" t="str">
        <f aca="false">IF(IFERROR(INDEX(Expenses!B$3:B$1002,SMALL(IF((Expenses!E$3:E$1002="INR")*(Expenses!A$3:A$1002=DATE(2026,5,15)),ROW(Expenses!A$3:A$1002)-2),2)),"")&lt;&gt;"",IFERROR(INDEX(Expenses!B$3:B$1002,SMALL(IF((Expenses!E$3:E$1002="INR")*(Expenses!A$3:A$1002=DATE(2026,5,15)),ROW(Expenses!A$3:A$1002)-2),2)),""),IF(IFERROR(INDEX(Income!B$3:B$502,SMALL(IF((Income!D$3:D$502="INR")*(Income!A$3:A$502=DATE(2026,5,15)),ROW(Income!A$3:A$502)-2),2)),"")&lt;&gt;"",IFERROR(INDEX(Income!B$3:B$502,SMALL(IF((Income!D$3:D$502="INR")*(Income!A$3:A$502=DATE(2026,5,15)),ROW(Income!A$3:A$502)-2),2)),""),""))</f>
        <v/>
      </c>
      <c r="M100" s="63" t="str">
        <f aca="false">IF(IFERROR(-INDEX(Expenses!D$3:D$1002,SMALL(IF((Expenses!E$3:E$1002="INR")*(Expenses!A$3:A$1002=DATE(2026,5,16)),ROW(Expenses!A$3:A$1002)-2),2)),0)+IFERROR(INDEX(Income!C$3:C$502,SMALL(IF((Income!D$3:D$502="INR")*(Income!A$3:A$502=DATE(2026,5,16)),ROW(Income!A$3:A$502)-2),2)),0)=0,"",IFERROR(-INDEX(Expenses!D$3:D$1002,SMALL(IF((Expenses!E$3:E$1002="INR")*(Expenses!A$3:A$1002=DATE(2026,5,16)),ROW(Expenses!A$3:A$1002)-2),2)),0)+IFERROR(INDEX(Income!C$3:C$502,SMALL(IF((Income!D$3:D$502="INR")*(Income!A$3:A$502=DATE(2026,5,16)),ROW(Income!A$3:A$502)-2),2)),0))</f>
        <v/>
      </c>
      <c r="N100" s="38" t="str">
        <f aca="false">IF(IFERROR(INDEX(Expenses!B$3:B$1002,SMALL(IF((Expenses!E$3:E$1002="INR")*(Expenses!A$3:A$1002=DATE(2026,5,16)),ROW(Expenses!A$3:A$1002)-2),2)),"")&lt;&gt;"",IFERROR(INDEX(Expenses!B$3:B$1002,SMALL(IF((Expenses!E$3:E$1002="INR")*(Expenses!A$3:A$1002=DATE(2026,5,16)),ROW(Expenses!A$3:A$1002)-2),2)),""),IF(IFERROR(INDEX(Income!B$3:B$502,SMALL(IF((Income!D$3:D$502="INR")*(Income!A$3:A$502=DATE(2026,5,16)),ROW(Income!A$3:A$502)-2),2)),"")&lt;&gt;"",IFERROR(INDEX(Income!B$3:B$502,SMALL(IF((Income!D$3:D$502="INR")*(Income!A$3:A$502=DATE(2026,5,16)),ROW(Income!A$3:A$502)-2),2)),""),""))</f>
        <v/>
      </c>
      <c r="O100" s="63" t="str">
        <f aca="false">IF(IFERROR(-INDEX(Expenses!D$3:D$1002,SMALL(IF((Expenses!E$3:E$1002="INR")*(Expenses!A$3:A$1002=DATE(2026,5,17)),ROW(Expenses!A$3:A$1002)-2),2)),0)+IFERROR(INDEX(Income!C$3:C$502,SMALL(IF((Income!D$3:D$502="INR")*(Income!A$3:A$502=DATE(2026,5,17)),ROW(Income!A$3:A$502)-2),2)),0)=0,"",IFERROR(-INDEX(Expenses!D$3:D$1002,SMALL(IF((Expenses!E$3:E$1002="INR")*(Expenses!A$3:A$1002=DATE(2026,5,17)),ROW(Expenses!A$3:A$1002)-2),2)),0)+IFERROR(INDEX(Income!C$3:C$502,SMALL(IF((Income!D$3:D$502="INR")*(Income!A$3:A$502=DATE(2026,5,17)),ROW(Income!A$3:A$502)-2),2)),0))</f>
        <v/>
      </c>
      <c r="P100" s="38" t="str">
        <f aca="false">IF(IFERROR(INDEX(Expenses!B$3:B$1002,SMALL(IF((Expenses!E$3:E$1002="INR")*(Expenses!A$3:A$1002=DATE(2026,5,17)),ROW(Expenses!A$3:A$1002)-2),2)),"")&lt;&gt;"",IFERROR(INDEX(Expenses!B$3:B$1002,SMALL(IF((Expenses!E$3:E$1002="INR")*(Expenses!A$3:A$1002=DATE(2026,5,17)),ROW(Expenses!A$3:A$1002)-2),2)),""),IF(IFERROR(INDEX(Income!B$3:B$502,SMALL(IF((Income!D$3:D$502="INR")*(Income!A$3:A$502=DATE(2026,5,17)),ROW(Income!A$3:A$502)-2),2)),"")&lt;&gt;"",IFERROR(INDEX(Income!B$3:B$502,SMALL(IF((Income!D$3:D$502="INR")*(Income!A$3:A$502=DATE(2026,5,17)),ROW(Income!A$3:A$502)-2),2)),""),""))</f>
        <v/>
      </c>
      <c r="Q100" s="16"/>
      <c r="R100" s="16"/>
    </row>
    <row r="101" customFormat="false" ht="15" hidden="false" customHeight="false" outlineLevel="0" collapsed="false">
      <c r="A101" s="16"/>
      <c r="B101" s="16"/>
      <c r="C101" s="63" t="str">
        <f aca="false">IF(IFERROR(-INDEX(Expenses!D$3:D$1002,SMALL(IF((Expenses!E$3:E$1002="INR")*(Expenses!A$3:A$1002=DATE(2026,5,11)),ROW(Expenses!A$3:A$1002)-2),3)),0)+IFERROR(INDEX(Income!C$3:C$502,SMALL(IF((Income!D$3:D$502="INR")*(Income!A$3:A$502=DATE(2026,5,11)),ROW(Income!A$3:A$502)-2),3)),0)=0,"",IFERROR(-INDEX(Expenses!D$3:D$1002,SMALL(IF((Expenses!E$3:E$1002="INR")*(Expenses!A$3:A$1002=DATE(2026,5,11)),ROW(Expenses!A$3:A$1002)-2),3)),0)+IFERROR(INDEX(Income!C$3:C$502,SMALL(IF((Income!D$3:D$502="INR")*(Income!A$3:A$502=DATE(2026,5,11)),ROW(Income!A$3:A$502)-2),3)),0))</f>
        <v/>
      </c>
      <c r="D101" s="38" t="str">
        <f aca="false">IF(IFERROR(INDEX(Expenses!B$3:B$1002,SMALL(IF((Expenses!E$3:E$1002="INR")*(Expenses!A$3:A$1002=DATE(2026,5,11)),ROW(Expenses!A$3:A$1002)-2),3)),"")&lt;&gt;"",IFERROR(INDEX(Expenses!B$3:B$1002,SMALL(IF((Expenses!E$3:E$1002="INR")*(Expenses!A$3:A$1002=DATE(2026,5,11)),ROW(Expenses!A$3:A$1002)-2),3)),""),IF(IFERROR(INDEX(Income!B$3:B$502,SMALL(IF((Income!D$3:D$502="INR")*(Income!A$3:A$502=DATE(2026,5,11)),ROW(Income!A$3:A$502)-2),3)),"")&lt;&gt;"",IFERROR(INDEX(Income!B$3:B$502,SMALL(IF((Income!D$3:D$502="INR")*(Income!A$3:A$502=DATE(2026,5,11)),ROW(Income!A$3:A$502)-2),3)),""),""))</f>
        <v/>
      </c>
      <c r="E101" s="63" t="str">
        <f aca="false">IF(IFERROR(-INDEX(Expenses!D$3:D$1002,SMALL(IF((Expenses!E$3:E$1002="INR")*(Expenses!A$3:A$1002=DATE(2026,5,12)),ROW(Expenses!A$3:A$1002)-2),3)),0)+IFERROR(INDEX(Income!C$3:C$502,SMALL(IF((Income!D$3:D$502="INR")*(Income!A$3:A$502=DATE(2026,5,12)),ROW(Income!A$3:A$502)-2),3)),0)=0,"",IFERROR(-INDEX(Expenses!D$3:D$1002,SMALL(IF((Expenses!E$3:E$1002="INR")*(Expenses!A$3:A$1002=DATE(2026,5,12)),ROW(Expenses!A$3:A$1002)-2),3)),0)+IFERROR(INDEX(Income!C$3:C$502,SMALL(IF((Income!D$3:D$502="INR")*(Income!A$3:A$502=DATE(2026,5,12)),ROW(Income!A$3:A$502)-2),3)),0))</f>
        <v/>
      </c>
      <c r="F101" s="38" t="str">
        <f aca="false">IF(IFERROR(INDEX(Expenses!B$3:B$1002,SMALL(IF((Expenses!E$3:E$1002="INR")*(Expenses!A$3:A$1002=DATE(2026,5,12)),ROW(Expenses!A$3:A$1002)-2),3)),"")&lt;&gt;"",IFERROR(INDEX(Expenses!B$3:B$1002,SMALL(IF((Expenses!E$3:E$1002="INR")*(Expenses!A$3:A$1002=DATE(2026,5,12)),ROW(Expenses!A$3:A$1002)-2),3)),""),IF(IFERROR(INDEX(Income!B$3:B$502,SMALL(IF((Income!D$3:D$502="INR")*(Income!A$3:A$502=DATE(2026,5,12)),ROW(Income!A$3:A$502)-2),3)),"")&lt;&gt;"",IFERROR(INDEX(Income!B$3:B$502,SMALL(IF((Income!D$3:D$502="INR")*(Income!A$3:A$502=DATE(2026,5,12)),ROW(Income!A$3:A$502)-2),3)),""),""))</f>
        <v/>
      </c>
      <c r="G101" s="63" t="str">
        <f aca="false">IF(IFERROR(-INDEX(Expenses!D$3:D$1002,SMALL(IF((Expenses!E$3:E$1002="INR")*(Expenses!A$3:A$1002=DATE(2026,5,13)),ROW(Expenses!A$3:A$1002)-2),3)),0)+IFERROR(INDEX(Income!C$3:C$502,SMALL(IF((Income!D$3:D$502="INR")*(Income!A$3:A$502=DATE(2026,5,13)),ROW(Income!A$3:A$502)-2),3)),0)=0,"",IFERROR(-INDEX(Expenses!D$3:D$1002,SMALL(IF((Expenses!E$3:E$1002="INR")*(Expenses!A$3:A$1002=DATE(2026,5,13)),ROW(Expenses!A$3:A$1002)-2),3)),0)+IFERROR(INDEX(Income!C$3:C$502,SMALL(IF((Income!D$3:D$502="INR")*(Income!A$3:A$502=DATE(2026,5,13)),ROW(Income!A$3:A$502)-2),3)),0))</f>
        <v/>
      </c>
      <c r="H101" s="38" t="str">
        <f aca="false">IF(IFERROR(INDEX(Expenses!B$3:B$1002,SMALL(IF((Expenses!E$3:E$1002="INR")*(Expenses!A$3:A$1002=DATE(2026,5,13)),ROW(Expenses!A$3:A$1002)-2),3)),"")&lt;&gt;"",IFERROR(INDEX(Expenses!B$3:B$1002,SMALL(IF((Expenses!E$3:E$1002="INR")*(Expenses!A$3:A$1002=DATE(2026,5,13)),ROW(Expenses!A$3:A$1002)-2),3)),""),IF(IFERROR(INDEX(Income!B$3:B$502,SMALL(IF((Income!D$3:D$502="INR")*(Income!A$3:A$502=DATE(2026,5,13)),ROW(Income!A$3:A$502)-2),3)),"")&lt;&gt;"",IFERROR(INDEX(Income!B$3:B$502,SMALL(IF((Income!D$3:D$502="INR")*(Income!A$3:A$502=DATE(2026,5,13)),ROW(Income!A$3:A$502)-2),3)),""),""))</f>
        <v/>
      </c>
      <c r="I101" s="63" t="str">
        <f aca="false">IF(IFERROR(-INDEX(Expenses!D$3:D$1002,SMALL(IF((Expenses!E$3:E$1002="INR")*(Expenses!A$3:A$1002=DATE(2026,5,14)),ROW(Expenses!A$3:A$1002)-2),3)),0)+IFERROR(INDEX(Income!C$3:C$502,SMALL(IF((Income!D$3:D$502="INR")*(Income!A$3:A$502=DATE(2026,5,14)),ROW(Income!A$3:A$502)-2),3)),0)=0,"",IFERROR(-INDEX(Expenses!D$3:D$1002,SMALL(IF((Expenses!E$3:E$1002="INR")*(Expenses!A$3:A$1002=DATE(2026,5,14)),ROW(Expenses!A$3:A$1002)-2),3)),0)+IFERROR(INDEX(Income!C$3:C$502,SMALL(IF((Income!D$3:D$502="INR")*(Income!A$3:A$502=DATE(2026,5,14)),ROW(Income!A$3:A$502)-2),3)),0))</f>
        <v/>
      </c>
      <c r="J101" s="38" t="str">
        <f aca="false">IF(IFERROR(INDEX(Expenses!B$3:B$1002,SMALL(IF((Expenses!E$3:E$1002="INR")*(Expenses!A$3:A$1002=DATE(2026,5,14)),ROW(Expenses!A$3:A$1002)-2),3)),"")&lt;&gt;"",IFERROR(INDEX(Expenses!B$3:B$1002,SMALL(IF((Expenses!E$3:E$1002="INR")*(Expenses!A$3:A$1002=DATE(2026,5,14)),ROW(Expenses!A$3:A$1002)-2),3)),""),IF(IFERROR(INDEX(Income!B$3:B$502,SMALL(IF((Income!D$3:D$502="INR")*(Income!A$3:A$502=DATE(2026,5,14)),ROW(Income!A$3:A$502)-2),3)),"")&lt;&gt;"",IFERROR(INDEX(Income!B$3:B$502,SMALL(IF((Income!D$3:D$502="INR")*(Income!A$3:A$502=DATE(2026,5,14)),ROW(Income!A$3:A$502)-2),3)),""),""))</f>
        <v/>
      </c>
      <c r="K101" s="63" t="str">
        <f aca="false">IF(IFERROR(-INDEX(Expenses!D$3:D$1002,SMALL(IF((Expenses!E$3:E$1002="INR")*(Expenses!A$3:A$1002=DATE(2026,5,15)),ROW(Expenses!A$3:A$1002)-2),3)),0)+IFERROR(INDEX(Income!C$3:C$502,SMALL(IF((Income!D$3:D$502="INR")*(Income!A$3:A$502=DATE(2026,5,15)),ROW(Income!A$3:A$502)-2),3)),0)=0,"",IFERROR(-INDEX(Expenses!D$3:D$1002,SMALL(IF((Expenses!E$3:E$1002="INR")*(Expenses!A$3:A$1002=DATE(2026,5,15)),ROW(Expenses!A$3:A$1002)-2),3)),0)+IFERROR(INDEX(Income!C$3:C$502,SMALL(IF((Income!D$3:D$502="INR")*(Income!A$3:A$502=DATE(2026,5,15)),ROW(Income!A$3:A$502)-2),3)),0))</f>
        <v/>
      </c>
      <c r="L101" s="38" t="str">
        <f aca="false">IF(IFERROR(INDEX(Expenses!B$3:B$1002,SMALL(IF((Expenses!E$3:E$1002="INR")*(Expenses!A$3:A$1002=DATE(2026,5,15)),ROW(Expenses!A$3:A$1002)-2),3)),"")&lt;&gt;"",IFERROR(INDEX(Expenses!B$3:B$1002,SMALL(IF((Expenses!E$3:E$1002="INR")*(Expenses!A$3:A$1002=DATE(2026,5,15)),ROW(Expenses!A$3:A$1002)-2),3)),""),IF(IFERROR(INDEX(Income!B$3:B$502,SMALL(IF((Income!D$3:D$502="INR")*(Income!A$3:A$502=DATE(2026,5,15)),ROW(Income!A$3:A$502)-2),3)),"")&lt;&gt;"",IFERROR(INDEX(Income!B$3:B$502,SMALL(IF((Income!D$3:D$502="INR")*(Income!A$3:A$502=DATE(2026,5,15)),ROW(Income!A$3:A$502)-2),3)),""),""))</f>
        <v/>
      </c>
      <c r="M101" s="63" t="str">
        <f aca="false">IF(IFERROR(-INDEX(Expenses!D$3:D$1002,SMALL(IF((Expenses!E$3:E$1002="INR")*(Expenses!A$3:A$1002=DATE(2026,5,16)),ROW(Expenses!A$3:A$1002)-2),3)),0)+IFERROR(INDEX(Income!C$3:C$502,SMALL(IF((Income!D$3:D$502="INR")*(Income!A$3:A$502=DATE(2026,5,16)),ROW(Income!A$3:A$502)-2),3)),0)=0,"",IFERROR(-INDEX(Expenses!D$3:D$1002,SMALL(IF((Expenses!E$3:E$1002="INR")*(Expenses!A$3:A$1002=DATE(2026,5,16)),ROW(Expenses!A$3:A$1002)-2),3)),0)+IFERROR(INDEX(Income!C$3:C$502,SMALL(IF((Income!D$3:D$502="INR")*(Income!A$3:A$502=DATE(2026,5,16)),ROW(Income!A$3:A$502)-2),3)),0))</f>
        <v/>
      </c>
      <c r="N101" s="38" t="str">
        <f aca="false">IF(IFERROR(INDEX(Expenses!B$3:B$1002,SMALL(IF((Expenses!E$3:E$1002="INR")*(Expenses!A$3:A$1002=DATE(2026,5,16)),ROW(Expenses!A$3:A$1002)-2),3)),"")&lt;&gt;"",IFERROR(INDEX(Expenses!B$3:B$1002,SMALL(IF((Expenses!E$3:E$1002="INR")*(Expenses!A$3:A$1002=DATE(2026,5,16)),ROW(Expenses!A$3:A$1002)-2),3)),""),IF(IFERROR(INDEX(Income!B$3:B$502,SMALL(IF((Income!D$3:D$502="INR")*(Income!A$3:A$502=DATE(2026,5,16)),ROW(Income!A$3:A$502)-2),3)),"")&lt;&gt;"",IFERROR(INDEX(Income!B$3:B$502,SMALL(IF((Income!D$3:D$502="INR")*(Income!A$3:A$502=DATE(2026,5,16)),ROW(Income!A$3:A$502)-2),3)),""),""))</f>
        <v/>
      </c>
      <c r="O101" s="63" t="str">
        <f aca="false">IF(IFERROR(-INDEX(Expenses!D$3:D$1002,SMALL(IF((Expenses!E$3:E$1002="INR")*(Expenses!A$3:A$1002=DATE(2026,5,17)),ROW(Expenses!A$3:A$1002)-2),3)),0)+IFERROR(INDEX(Income!C$3:C$502,SMALL(IF((Income!D$3:D$502="INR")*(Income!A$3:A$502=DATE(2026,5,17)),ROW(Income!A$3:A$502)-2),3)),0)=0,"",IFERROR(-INDEX(Expenses!D$3:D$1002,SMALL(IF((Expenses!E$3:E$1002="INR")*(Expenses!A$3:A$1002=DATE(2026,5,17)),ROW(Expenses!A$3:A$1002)-2),3)),0)+IFERROR(INDEX(Income!C$3:C$502,SMALL(IF((Income!D$3:D$502="INR")*(Income!A$3:A$502=DATE(2026,5,17)),ROW(Income!A$3:A$502)-2),3)),0))</f>
        <v/>
      </c>
      <c r="P101" s="38" t="str">
        <f aca="false">IF(IFERROR(INDEX(Expenses!B$3:B$1002,SMALL(IF((Expenses!E$3:E$1002="INR")*(Expenses!A$3:A$1002=DATE(2026,5,17)),ROW(Expenses!A$3:A$1002)-2),3)),"")&lt;&gt;"",IFERROR(INDEX(Expenses!B$3:B$1002,SMALL(IF((Expenses!E$3:E$1002="INR")*(Expenses!A$3:A$1002=DATE(2026,5,17)),ROW(Expenses!A$3:A$1002)-2),3)),""),IF(IFERROR(INDEX(Income!B$3:B$502,SMALL(IF((Income!D$3:D$502="INR")*(Income!A$3:A$502=DATE(2026,5,17)),ROW(Income!A$3:A$502)-2),3)),"")&lt;&gt;"",IFERROR(INDEX(Income!B$3:B$502,SMALL(IF((Income!D$3:D$502="INR")*(Income!A$3:A$502=DATE(2026,5,17)),ROW(Income!A$3:A$502)-2),3)),""),""))</f>
        <v/>
      </c>
      <c r="Q101" s="16"/>
      <c r="R101" s="16"/>
    </row>
    <row r="102" customFormat="false" ht="15" hidden="false" customHeight="false" outlineLevel="0" collapsed="false">
      <c r="A102" s="16"/>
      <c r="B102" s="16"/>
      <c r="C102" s="63" t="str">
        <f aca="false">IF(IFERROR(-INDEX(Expenses!D$3:D$1002,SMALL(IF((Expenses!E$3:E$1002="INR")*(Expenses!A$3:A$1002=DATE(2026,5,11)),ROW(Expenses!A$3:A$1002)-2),4)),0)+IFERROR(INDEX(Income!C$3:C$502,SMALL(IF((Income!D$3:D$502="INR")*(Income!A$3:A$502=DATE(2026,5,11)),ROW(Income!A$3:A$502)-2),4)),0)=0,"",IFERROR(-INDEX(Expenses!D$3:D$1002,SMALL(IF((Expenses!E$3:E$1002="INR")*(Expenses!A$3:A$1002=DATE(2026,5,11)),ROW(Expenses!A$3:A$1002)-2),4)),0)+IFERROR(INDEX(Income!C$3:C$502,SMALL(IF((Income!D$3:D$502="INR")*(Income!A$3:A$502=DATE(2026,5,11)),ROW(Income!A$3:A$502)-2),4)),0))</f>
        <v/>
      </c>
      <c r="D102" s="38" t="str">
        <f aca="false">IF(IFERROR(INDEX(Expenses!B$3:B$1002,SMALL(IF((Expenses!E$3:E$1002="INR")*(Expenses!A$3:A$1002=DATE(2026,5,11)),ROW(Expenses!A$3:A$1002)-2),4)),"")&lt;&gt;"",IFERROR(INDEX(Expenses!B$3:B$1002,SMALL(IF((Expenses!E$3:E$1002="INR")*(Expenses!A$3:A$1002=DATE(2026,5,11)),ROW(Expenses!A$3:A$1002)-2),4)),""),IF(IFERROR(INDEX(Income!B$3:B$502,SMALL(IF((Income!D$3:D$502="INR")*(Income!A$3:A$502=DATE(2026,5,11)),ROW(Income!A$3:A$502)-2),4)),"")&lt;&gt;"",IFERROR(INDEX(Income!B$3:B$502,SMALL(IF((Income!D$3:D$502="INR")*(Income!A$3:A$502=DATE(2026,5,11)),ROW(Income!A$3:A$502)-2),4)),""),""))</f>
        <v/>
      </c>
      <c r="E102" s="63" t="str">
        <f aca="false">IF(IFERROR(-INDEX(Expenses!D$3:D$1002,SMALL(IF((Expenses!E$3:E$1002="INR")*(Expenses!A$3:A$1002=DATE(2026,5,12)),ROW(Expenses!A$3:A$1002)-2),4)),0)+IFERROR(INDEX(Income!C$3:C$502,SMALL(IF((Income!D$3:D$502="INR")*(Income!A$3:A$502=DATE(2026,5,12)),ROW(Income!A$3:A$502)-2),4)),0)=0,"",IFERROR(-INDEX(Expenses!D$3:D$1002,SMALL(IF((Expenses!E$3:E$1002="INR")*(Expenses!A$3:A$1002=DATE(2026,5,12)),ROW(Expenses!A$3:A$1002)-2),4)),0)+IFERROR(INDEX(Income!C$3:C$502,SMALL(IF((Income!D$3:D$502="INR")*(Income!A$3:A$502=DATE(2026,5,12)),ROW(Income!A$3:A$502)-2),4)),0))</f>
        <v/>
      </c>
      <c r="F102" s="38" t="str">
        <f aca="false">IF(IFERROR(INDEX(Expenses!B$3:B$1002,SMALL(IF((Expenses!E$3:E$1002="INR")*(Expenses!A$3:A$1002=DATE(2026,5,12)),ROW(Expenses!A$3:A$1002)-2),4)),"")&lt;&gt;"",IFERROR(INDEX(Expenses!B$3:B$1002,SMALL(IF((Expenses!E$3:E$1002="INR")*(Expenses!A$3:A$1002=DATE(2026,5,12)),ROW(Expenses!A$3:A$1002)-2),4)),""),IF(IFERROR(INDEX(Income!B$3:B$502,SMALL(IF((Income!D$3:D$502="INR")*(Income!A$3:A$502=DATE(2026,5,12)),ROW(Income!A$3:A$502)-2),4)),"")&lt;&gt;"",IFERROR(INDEX(Income!B$3:B$502,SMALL(IF((Income!D$3:D$502="INR")*(Income!A$3:A$502=DATE(2026,5,12)),ROW(Income!A$3:A$502)-2),4)),""),""))</f>
        <v/>
      </c>
      <c r="G102" s="63" t="str">
        <f aca="false">IF(IFERROR(-INDEX(Expenses!D$3:D$1002,SMALL(IF((Expenses!E$3:E$1002="INR")*(Expenses!A$3:A$1002=DATE(2026,5,13)),ROW(Expenses!A$3:A$1002)-2),4)),0)+IFERROR(INDEX(Income!C$3:C$502,SMALL(IF((Income!D$3:D$502="INR")*(Income!A$3:A$502=DATE(2026,5,13)),ROW(Income!A$3:A$502)-2),4)),0)=0,"",IFERROR(-INDEX(Expenses!D$3:D$1002,SMALL(IF((Expenses!E$3:E$1002="INR")*(Expenses!A$3:A$1002=DATE(2026,5,13)),ROW(Expenses!A$3:A$1002)-2),4)),0)+IFERROR(INDEX(Income!C$3:C$502,SMALL(IF((Income!D$3:D$502="INR")*(Income!A$3:A$502=DATE(2026,5,13)),ROW(Income!A$3:A$502)-2),4)),0))</f>
        <v/>
      </c>
      <c r="H102" s="38" t="str">
        <f aca="false">IF(IFERROR(INDEX(Expenses!B$3:B$1002,SMALL(IF((Expenses!E$3:E$1002="INR")*(Expenses!A$3:A$1002=DATE(2026,5,13)),ROW(Expenses!A$3:A$1002)-2),4)),"")&lt;&gt;"",IFERROR(INDEX(Expenses!B$3:B$1002,SMALL(IF((Expenses!E$3:E$1002="INR")*(Expenses!A$3:A$1002=DATE(2026,5,13)),ROW(Expenses!A$3:A$1002)-2),4)),""),IF(IFERROR(INDEX(Income!B$3:B$502,SMALL(IF((Income!D$3:D$502="INR")*(Income!A$3:A$502=DATE(2026,5,13)),ROW(Income!A$3:A$502)-2),4)),"")&lt;&gt;"",IFERROR(INDEX(Income!B$3:B$502,SMALL(IF((Income!D$3:D$502="INR")*(Income!A$3:A$502=DATE(2026,5,13)),ROW(Income!A$3:A$502)-2),4)),""),""))</f>
        <v/>
      </c>
      <c r="I102" s="63" t="str">
        <f aca="false">IF(IFERROR(-INDEX(Expenses!D$3:D$1002,SMALL(IF((Expenses!E$3:E$1002="INR")*(Expenses!A$3:A$1002=DATE(2026,5,14)),ROW(Expenses!A$3:A$1002)-2),4)),0)+IFERROR(INDEX(Income!C$3:C$502,SMALL(IF((Income!D$3:D$502="INR")*(Income!A$3:A$502=DATE(2026,5,14)),ROW(Income!A$3:A$502)-2),4)),0)=0,"",IFERROR(-INDEX(Expenses!D$3:D$1002,SMALL(IF((Expenses!E$3:E$1002="INR")*(Expenses!A$3:A$1002=DATE(2026,5,14)),ROW(Expenses!A$3:A$1002)-2),4)),0)+IFERROR(INDEX(Income!C$3:C$502,SMALL(IF((Income!D$3:D$502="INR")*(Income!A$3:A$502=DATE(2026,5,14)),ROW(Income!A$3:A$502)-2),4)),0))</f>
        <v/>
      </c>
      <c r="J102" s="38" t="str">
        <f aca="false">IF(IFERROR(INDEX(Expenses!B$3:B$1002,SMALL(IF((Expenses!E$3:E$1002="INR")*(Expenses!A$3:A$1002=DATE(2026,5,14)),ROW(Expenses!A$3:A$1002)-2),4)),"")&lt;&gt;"",IFERROR(INDEX(Expenses!B$3:B$1002,SMALL(IF((Expenses!E$3:E$1002="INR")*(Expenses!A$3:A$1002=DATE(2026,5,14)),ROW(Expenses!A$3:A$1002)-2),4)),""),IF(IFERROR(INDEX(Income!B$3:B$502,SMALL(IF((Income!D$3:D$502="INR")*(Income!A$3:A$502=DATE(2026,5,14)),ROW(Income!A$3:A$502)-2),4)),"")&lt;&gt;"",IFERROR(INDEX(Income!B$3:B$502,SMALL(IF((Income!D$3:D$502="INR")*(Income!A$3:A$502=DATE(2026,5,14)),ROW(Income!A$3:A$502)-2),4)),""),""))</f>
        <v/>
      </c>
      <c r="K102" s="63" t="str">
        <f aca="false">IF(IFERROR(-INDEX(Expenses!D$3:D$1002,SMALL(IF((Expenses!E$3:E$1002="INR")*(Expenses!A$3:A$1002=DATE(2026,5,15)),ROW(Expenses!A$3:A$1002)-2),4)),0)+IFERROR(INDEX(Income!C$3:C$502,SMALL(IF((Income!D$3:D$502="INR")*(Income!A$3:A$502=DATE(2026,5,15)),ROW(Income!A$3:A$502)-2),4)),0)=0,"",IFERROR(-INDEX(Expenses!D$3:D$1002,SMALL(IF((Expenses!E$3:E$1002="INR")*(Expenses!A$3:A$1002=DATE(2026,5,15)),ROW(Expenses!A$3:A$1002)-2),4)),0)+IFERROR(INDEX(Income!C$3:C$502,SMALL(IF((Income!D$3:D$502="INR")*(Income!A$3:A$502=DATE(2026,5,15)),ROW(Income!A$3:A$502)-2),4)),0))</f>
        <v/>
      </c>
      <c r="L102" s="38" t="str">
        <f aca="false">IF(IFERROR(INDEX(Expenses!B$3:B$1002,SMALL(IF((Expenses!E$3:E$1002="INR")*(Expenses!A$3:A$1002=DATE(2026,5,15)),ROW(Expenses!A$3:A$1002)-2),4)),"")&lt;&gt;"",IFERROR(INDEX(Expenses!B$3:B$1002,SMALL(IF((Expenses!E$3:E$1002="INR")*(Expenses!A$3:A$1002=DATE(2026,5,15)),ROW(Expenses!A$3:A$1002)-2),4)),""),IF(IFERROR(INDEX(Income!B$3:B$502,SMALL(IF((Income!D$3:D$502="INR")*(Income!A$3:A$502=DATE(2026,5,15)),ROW(Income!A$3:A$502)-2),4)),"")&lt;&gt;"",IFERROR(INDEX(Income!B$3:B$502,SMALL(IF((Income!D$3:D$502="INR")*(Income!A$3:A$502=DATE(2026,5,15)),ROW(Income!A$3:A$502)-2),4)),""),""))</f>
        <v/>
      </c>
      <c r="M102" s="63" t="str">
        <f aca="false">IF(IFERROR(-INDEX(Expenses!D$3:D$1002,SMALL(IF((Expenses!E$3:E$1002="INR")*(Expenses!A$3:A$1002=DATE(2026,5,16)),ROW(Expenses!A$3:A$1002)-2),4)),0)+IFERROR(INDEX(Income!C$3:C$502,SMALL(IF((Income!D$3:D$502="INR")*(Income!A$3:A$502=DATE(2026,5,16)),ROW(Income!A$3:A$502)-2),4)),0)=0,"",IFERROR(-INDEX(Expenses!D$3:D$1002,SMALL(IF((Expenses!E$3:E$1002="INR")*(Expenses!A$3:A$1002=DATE(2026,5,16)),ROW(Expenses!A$3:A$1002)-2),4)),0)+IFERROR(INDEX(Income!C$3:C$502,SMALL(IF((Income!D$3:D$502="INR")*(Income!A$3:A$502=DATE(2026,5,16)),ROW(Income!A$3:A$502)-2),4)),0))</f>
        <v/>
      </c>
      <c r="N102" s="38" t="str">
        <f aca="false">IF(IFERROR(INDEX(Expenses!B$3:B$1002,SMALL(IF((Expenses!E$3:E$1002="INR")*(Expenses!A$3:A$1002=DATE(2026,5,16)),ROW(Expenses!A$3:A$1002)-2),4)),"")&lt;&gt;"",IFERROR(INDEX(Expenses!B$3:B$1002,SMALL(IF((Expenses!E$3:E$1002="INR")*(Expenses!A$3:A$1002=DATE(2026,5,16)),ROW(Expenses!A$3:A$1002)-2),4)),""),IF(IFERROR(INDEX(Income!B$3:B$502,SMALL(IF((Income!D$3:D$502="INR")*(Income!A$3:A$502=DATE(2026,5,16)),ROW(Income!A$3:A$502)-2),4)),"")&lt;&gt;"",IFERROR(INDEX(Income!B$3:B$502,SMALL(IF((Income!D$3:D$502="INR")*(Income!A$3:A$502=DATE(2026,5,16)),ROW(Income!A$3:A$502)-2),4)),""),""))</f>
        <v/>
      </c>
      <c r="O102" s="63" t="str">
        <f aca="false">IF(IFERROR(-INDEX(Expenses!D$3:D$1002,SMALL(IF((Expenses!E$3:E$1002="INR")*(Expenses!A$3:A$1002=DATE(2026,5,17)),ROW(Expenses!A$3:A$1002)-2),4)),0)+IFERROR(INDEX(Income!C$3:C$502,SMALL(IF((Income!D$3:D$502="INR")*(Income!A$3:A$502=DATE(2026,5,17)),ROW(Income!A$3:A$502)-2),4)),0)=0,"",IFERROR(-INDEX(Expenses!D$3:D$1002,SMALL(IF((Expenses!E$3:E$1002="INR")*(Expenses!A$3:A$1002=DATE(2026,5,17)),ROW(Expenses!A$3:A$1002)-2),4)),0)+IFERROR(INDEX(Income!C$3:C$502,SMALL(IF((Income!D$3:D$502="INR")*(Income!A$3:A$502=DATE(2026,5,17)),ROW(Income!A$3:A$502)-2),4)),0))</f>
        <v/>
      </c>
      <c r="P102" s="38" t="str">
        <f aca="false">IF(IFERROR(INDEX(Expenses!B$3:B$1002,SMALL(IF((Expenses!E$3:E$1002="INR")*(Expenses!A$3:A$1002=DATE(2026,5,17)),ROW(Expenses!A$3:A$1002)-2),4)),"")&lt;&gt;"",IFERROR(INDEX(Expenses!B$3:B$1002,SMALL(IF((Expenses!E$3:E$1002="INR")*(Expenses!A$3:A$1002=DATE(2026,5,17)),ROW(Expenses!A$3:A$1002)-2),4)),""),IF(IFERROR(INDEX(Income!B$3:B$502,SMALL(IF((Income!D$3:D$502="INR")*(Income!A$3:A$502=DATE(2026,5,17)),ROW(Income!A$3:A$502)-2),4)),"")&lt;&gt;"",IFERROR(INDEX(Income!B$3:B$502,SMALL(IF((Income!D$3:D$502="INR")*(Income!A$3:A$502=DATE(2026,5,17)),ROW(Income!A$3:A$502)-2),4)),""),""))</f>
        <v/>
      </c>
      <c r="Q102" s="16"/>
      <c r="R102" s="16"/>
    </row>
    <row r="103" customFormat="false" ht="15" hidden="false" customHeight="false" outlineLevel="0" collapsed="false">
      <c r="A103" s="16"/>
      <c r="B103" s="16"/>
      <c r="C103" s="63" t="str">
        <f aca="false">IF(IFERROR(-INDEX(Expenses!D$3:D$1002,SMALL(IF((Expenses!E$3:E$1002="INR")*(Expenses!A$3:A$1002=DATE(2026,5,11)),ROW(Expenses!A$3:A$1002)-2),5)),0)+IFERROR(INDEX(Income!C$3:C$502,SMALL(IF((Income!D$3:D$502="INR")*(Income!A$3:A$502=DATE(2026,5,11)),ROW(Income!A$3:A$502)-2),5)),0)=0,"",IFERROR(-INDEX(Expenses!D$3:D$1002,SMALL(IF((Expenses!E$3:E$1002="INR")*(Expenses!A$3:A$1002=DATE(2026,5,11)),ROW(Expenses!A$3:A$1002)-2),5)),0)+IFERROR(INDEX(Income!C$3:C$502,SMALL(IF((Income!D$3:D$502="INR")*(Income!A$3:A$502=DATE(2026,5,11)),ROW(Income!A$3:A$502)-2),5)),0))</f>
        <v/>
      </c>
      <c r="D103" s="38" t="str">
        <f aca="false">IF(IFERROR(INDEX(Expenses!B$3:B$1002,SMALL(IF((Expenses!E$3:E$1002="INR")*(Expenses!A$3:A$1002=DATE(2026,5,11)),ROW(Expenses!A$3:A$1002)-2),5)),"")&lt;&gt;"",IFERROR(INDEX(Expenses!B$3:B$1002,SMALL(IF((Expenses!E$3:E$1002="INR")*(Expenses!A$3:A$1002=DATE(2026,5,11)),ROW(Expenses!A$3:A$1002)-2),5)),""),IF(IFERROR(INDEX(Income!B$3:B$502,SMALL(IF((Income!D$3:D$502="INR")*(Income!A$3:A$502=DATE(2026,5,11)),ROW(Income!A$3:A$502)-2),5)),"")&lt;&gt;"",IFERROR(INDEX(Income!B$3:B$502,SMALL(IF((Income!D$3:D$502="INR")*(Income!A$3:A$502=DATE(2026,5,11)),ROW(Income!A$3:A$502)-2),5)),""),""))</f>
        <v/>
      </c>
      <c r="E103" s="63" t="str">
        <f aca="false">IF(IFERROR(-INDEX(Expenses!D$3:D$1002,SMALL(IF((Expenses!E$3:E$1002="INR")*(Expenses!A$3:A$1002=DATE(2026,5,12)),ROW(Expenses!A$3:A$1002)-2),5)),0)+IFERROR(INDEX(Income!C$3:C$502,SMALL(IF((Income!D$3:D$502="INR")*(Income!A$3:A$502=DATE(2026,5,12)),ROW(Income!A$3:A$502)-2),5)),0)=0,"",IFERROR(-INDEX(Expenses!D$3:D$1002,SMALL(IF((Expenses!E$3:E$1002="INR")*(Expenses!A$3:A$1002=DATE(2026,5,12)),ROW(Expenses!A$3:A$1002)-2),5)),0)+IFERROR(INDEX(Income!C$3:C$502,SMALL(IF((Income!D$3:D$502="INR")*(Income!A$3:A$502=DATE(2026,5,12)),ROW(Income!A$3:A$502)-2),5)),0))</f>
        <v/>
      </c>
      <c r="F103" s="38" t="str">
        <f aca="false">IF(IFERROR(INDEX(Expenses!B$3:B$1002,SMALL(IF((Expenses!E$3:E$1002="INR")*(Expenses!A$3:A$1002=DATE(2026,5,12)),ROW(Expenses!A$3:A$1002)-2),5)),"")&lt;&gt;"",IFERROR(INDEX(Expenses!B$3:B$1002,SMALL(IF((Expenses!E$3:E$1002="INR")*(Expenses!A$3:A$1002=DATE(2026,5,12)),ROW(Expenses!A$3:A$1002)-2),5)),""),IF(IFERROR(INDEX(Income!B$3:B$502,SMALL(IF((Income!D$3:D$502="INR")*(Income!A$3:A$502=DATE(2026,5,12)),ROW(Income!A$3:A$502)-2),5)),"")&lt;&gt;"",IFERROR(INDEX(Income!B$3:B$502,SMALL(IF((Income!D$3:D$502="INR")*(Income!A$3:A$502=DATE(2026,5,12)),ROW(Income!A$3:A$502)-2),5)),""),""))</f>
        <v/>
      </c>
      <c r="G103" s="63" t="str">
        <f aca="false">IF(IFERROR(-INDEX(Expenses!D$3:D$1002,SMALL(IF((Expenses!E$3:E$1002="INR")*(Expenses!A$3:A$1002=DATE(2026,5,13)),ROW(Expenses!A$3:A$1002)-2),5)),0)+IFERROR(INDEX(Income!C$3:C$502,SMALL(IF((Income!D$3:D$502="INR")*(Income!A$3:A$502=DATE(2026,5,13)),ROW(Income!A$3:A$502)-2),5)),0)=0,"",IFERROR(-INDEX(Expenses!D$3:D$1002,SMALL(IF((Expenses!E$3:E$1002="INR")*(Expenses!A$3:A$1002=DATE(2026,5,13)),ROW(Expenses!A$3:A$1002)-2),5)),0)+IFERROR(INDEX(Income!C$3:C$502,SMALL(IF((Income!D$3:D$502="INR")*(Income!A$3:A$502=DATE(2026,5,13)),ROW(Income!A$3:A$502)-2),5)),0))</f>
        <v/>
      </c>
      <c r="H103" s="38" t="str">
        <f aca="false">IF(IFERROR(INDEX(Expenses!B$3:B$1002,SMALL(IF((Expenses!E$3:E$1002="INR")*(Expenses!A$3:A$1002=DATE(2026,5,13)),ROW(Expenses!A$3:A$1002)-2),5)),"")&lt;&gt;"",IFERROR(INDEX(Expenses!B$3:B$1002,SMALL(IF((Expenses!E$3:E$1002="INR")*(Expenses!A$3:A$1002=DATE(2026,5,13)),ROW(Expenses!A$3:A$1002)-2),5)),""),IF(IFERROR(INDEX(Income!B$3:B$502,SMALL(IF((Income!D$3:D$502="INR")*(Income!A$3:A$502=DATE(2026,5,13)),ROW(Income!A$3:A$502)-2),5)),"")&lt;&gt;"",IFERROR(INDEX(Income!B$3:B$502,SMALL(IF((Income!D$3:D$502="INR")*(Income!A$3:A$502=DATE(2026,5,13)),ROW(Income!A$3:A$502)-2),5)),""),""))</f>
        <v/>
      </c>
      <c r="I103" s="63" t="str">
        <f aca="false">IF(IFERROR(-INDEX(Expenses!D$3:D$1002,SMALL(IF((Expenses!E$3:E$1002="INR")*(Expenses!A$3:A$1002=DATE(2026,5,14)),ROW(Expenses!A$3:A$1002)-2),5)),0)+IFERROR(INDEX(Income!C$3:C$502,SMALL(IF((Income!D$3:D$502="INR")*(Income!A$3:A$502=DATE(2026,5,14)),ROW(Income!A$3:A$502)-2),5)),0)=0,"",IFERROR(-INDEX(Expenses!D$3:D$1002,SMALL(IF((Expenses!E$3:E$1002="INR")*(Expenses!A$3:A$1002=DATE(2026,5,14)),ROW(Expenses!A$3:A$1002)-2),5)),0)+IFERROR(INDEX(Income!C$3:C$502,SMALL(IF((Income!D$3:D$502="INR")*(Income!A$3:A$502=DATE(2026,5,14)),ROW(Income!A$3:A$502)-2),5)),0))</f>
        <v/>
      </c>
      <c r="J103" s="38" t="str">
        <f aca="false">IF(IFERROR(INDEX(Expenses!B$3:B$1002,SMALL(IF((Expenses!E$3:E$1002="INR")*(Expenses!A$3:A$1002=DATE(2026,5,14)),ROW(Expenses!A$3:A$1002)-2),5)),"")&lt;&gt;"",IFERROR(INDEX(Expenses!B$3:B$1002,SMALL(IF((Expenses!E$3:E$1002="INR")*(Expenses!A$3:A$1002=DATE(2026,5,14)),ROW(Expenses!A$3:A$1002)-2),5)),""),IF(IFERROR(INDEX(Income!B$3:B$502,SMALL(IF((Income!D$3:D$502="INR")*(Income!A$3:A$502=DATE(2026,5,14)),ROW(Income!A$3:A$502)-2),5)),"")&lt;&gt;"",IFERROR(INDEX(Income!B$3:B$502,SMALL(IF((Income!D$3:D$502="INR")*(Income!A$3:A$502=DATE(2026,5,14)),ROW(Income!A$3:A$502)-2),5)),""),""))</f>
        <v/>
      </c>
      <c r="K103" s="63" t="str">
        <f aca="false">IF(IFERROR(-INDEX(Expenses!D$3:D$1002,SMALL(IF((Expenses!E$3:E$1002="INR")*(Expenses!A$3:A$1002=DATE(2026,5,15)),ROW(Expenses!A$3:A$1002)-2),5)),0)+IFERROR(INDEX(Income!C$3:C$502,SMALL(IF((Income!D$3:D$502="INR")*(Income!A$3:A$502=DATE(2026,5,15)),ROW(Income!A$3:A$502)-2),5)),0)=0,"",IFERROR(-INDEX(Expenses!D$3:D$1002,SMALL(IF((Expenses!E$3:E$1002="INR")*(Expenses!A$3:A$1002=DATE(2026,5,15)),ROW(Expenses!A$3:A$1002)-2),5)),0)+IFERROR(INDEX(Income!C$3:C$502,SMALL(IF((Income!D$3:D$502="INR")*(Income!A$3:A$502=DATE(2026,5,15)),ROW(Income!A$3:A$502)-2),5)),0))</f>
        <v/>
      </c>
      <c r="L103" s="38" t="str">
        <f aca="false">IF(IFERROR(INDEX(Expenses!B$3:B$1002,SMALL(IF((Expenses!E$3:E$1002="INR")*(Expenses!A$3:A$1002=DATE(2026,5,15)),ROW(Expenses!A$3:A$1002)-2),5)),"")&lt;&gt;"",IFERROR(INDEX(Expenses!B$3:B$1002,SMALL(IF((Expenses!E$3:E$1002="INR")*(Expenses!A$3:A$1002=DATE(2026,5,15)),ROW(Expenses!A$3:A$1002)-2),5)),""),IF(IFERROR(INDEX(Income!B$3:B$502,SMALL(IF((Income!D$3:D$502="INR")*(Income!A$3:A$502=DATE(2026,5,15)),ROW(Income!A$3:A$502)-2),5)),"")&lt;&gt;"",IFERROR(INDEX(Income!B$3:B$502,SMALL(IF((Income!D$3:D$502="INR")*(Income!A$3:A$502=DATE(2026,5,15)),ROW(Income!A$3:A$502)-2),5)),""),""))</f>
        <v/>
      </c>
      <c r="M103" s="63" t="str">
        <f aca="false">IF(IFERROR(-INDEX(Expenses!D$3:D$1002,SMALL(IF((Expenses!E$3:E$1002="INR")*(Expenses!A$3:A$1002=DATE(2026,5,16)),ROW(Expenses!A$3:A$1002)-2),5)),0)+IFERROR(INDEX(Income!C$3:C$502,SMALL(IF((Income!D$3:D$502="INR")*(Income!A$3:A$502=DATE(2026,5,16)),ROW(Income!A$3:A$502)-2),5)),0)=0,"",IFERROR(-INDEX(Expenses!D$3:D$1002,SMALL(IF((Expenses!E$3:E$1002="INR")*(Expenses!A$3:A$1002=DATE(2026,5,16)),ROW(Expenses!A$3:A$1002)-2),5)),0)+IFERROR(INDEX(Income!C$3:C$502,SMALL(IF((Income!D$3:D$502="INR")*(Income!A$3:A$502=DATE(2026,5,16)),ROW(Income!A$3:A$502)-2),5)),0))</f>
        <v/>
      </c>
      <c r="N103" s="38" t="str">
        <f aca="false">IF(IFERROR(INDEX(Expenses!B$3:B$1002,SMALL(IF((Expenses!E$3:E$1002="INR")*(Expenses!A$3:A$1002=DATE(2026,5,16)),ROW(Expenses!A$3:A$1002)-2),5)),"")&lt;&gt;"",IFERROR(INDEX(Expenses!B$3:B$1002,SMALL(IF((Expenses!E$3:E$1002="INR")*(Expenses!A$3:A$1002=DATE(2026,5,16)),ROW(Expenses!A$3:A$1002)-2),5)),""),IF(IFERROR(INDEX(Income!B$3:B$502,SMALL(IF((Income!D$3:D$502="INR")*(Income!A$3:A$502=DATE(2026,5,16)),ROW(Income!A$3:A$502)-2),5)),"")&lt;&gt;"",IFERROR(INDEX(Income!B$3:B$502,SMALL(IF((Income!D$3:D$502="INR")*(Income!A$3:A$502=DATE(2026,5,16)),ROW(Income!A$3:A$502)-2),5)),""),""))</f>
        <v/>
      </c>
      <c r="O103" s="63" t="str">
        <f aca="false">IF(IFERROR(-INDEX(Expenses!D$3:D$1002,SMALL(IF((Expenses!E$3:E$1002="INR")*(Expenses!A$3:A$1002=DATE(2026,5,17)),ROW(Expenses!A$3:A$1002)-2),5)),0)+IFERROR(INDEX(Income!C$3:C$502,SMALL(IF((Income!D$3:D$502="INR")*(Income!A$3:A$502=DATE(2026,5,17)),ROW(Income!A$3:A$502)-2),5)),0)=0,"",IFERROR(-INDEX(Expenses!D$3:D$1002,SMALL(IF((Expenses!E$3:E$1002="INR")*(Expenses!A$3:A$1002=DATE(2026,5,17)),ROW(Expenses!A$3:A$1002)-2),5)),0)+IFERROR(INDEX(Income!C$3:C$502,SMALL(IF((Income!D$3:D$502="INR")*(Income!A$3:A$502=DATE(2026,5,17)),ROW(Income!A$3:A$502)-2),5)),0))</f>
        <v/>
      </c>
      <c r="P103" s="38" t="str">
        <f aca="false">IF(IFERROR(INDEX(Expenses!B$3:B$1002,SMALL(IF((Expenses!E$3:E$1002="INR")*(Expenses!A$3:A$1002=DATE(2026,5,17)),ROW(Expenses!A$3:A$1002)-2),5)),"")&lt;&gt;"",IFERROR(INDEX(Expenses!B$3:B$1002,SMALL(IF((Expenses!E$3:E$1002="INR")*(Expenses!A$3:A$1002=DATE(2026,5,17)),ROW(Expenses!A$3:A$1002)-2),5)),""),IF(IFERROR(INDEX(Income!B$3:B$502,SMALL(IF((Income!D$3:D$502="INR")*(Income!A$3:A$502=DATE(2026,5,17)),ROW(Income!A$3:A$502)-2),5)),"")&lt;&gt;"",IFERROR(INDEX(Income!B$3:B$502,SMALL(IF((Income!D$3:D$502="INR")*(Income!A$3:A$502=DATE(2026,5,17)),ROW(Income!A$3:A$502)-2),5)),""),""))</f>
        <v/>
      </c>
      <c r="Q103" s="16"/>
      <c r="R103" s="16"/>
    </row>
    <row r="104" customFormat="false" ht="15" hidden="false" customHeight="false" outlineLevel="0" collapsed="false">
      <c r="A104" s="61" t="n">
        <v>46160</v>
      </c>
      <c r="B104" s="3" t="n">
        <v>21</v>
      </c>
      <c r="C104" s="63" t="str">
        <f aca="false">IF(IFERROR(-INDEX(Expenses!D$3:D$1002,SMALL(IF((Expenses!E$3:E$1002="INR")*(Expenses!A$3:A$1002=DATE(2026,5,18)),ROW(Expenses!A$3:A$1002)-2),1)),0)+IFERROR(INDEX(Income!C$3:C$502,SMALL(IF((Income!D$3:D$502="INR")*(Income!A$3:A$502=DATE(2026,5,18)),ROW(Income!A$3:A$502)-2),1)),0)=0,"",IFERROR(-INDEX(Expenses!D$3:D$1002,SMALL(IF((Expenses!E$3:E$1002="INR")*(Expenses!A$3:A$1002=DATE(2026,5,18)),ROW(Expenses!A$3:A$1002)-2),1)),0)+IFERROR(INDEX(Income!C$3:C$502,SMALL(IF((Income!D$3:D$502="INR")*(Income!A$3:A$502=DATE(2026,5,18)),ROW(Income!A$3:A$502)-2),1)),0))</f>
        <v/>
      </c>
      <c r="D104" s="38" t="str">
        <f aca="false">IF(IFERROR(INDEX(Expenses!B$3:B$1002,SMALL(IF((Expenses!E$3:E$1002="INR")*(Expenses!A$3:A$1002=DATE(2026,5,18)),ROW(Expenses!A$3:A$1002)-2),1)),"")&lt;&gt;"",IFERROR(INDEX(Expenses!B$3:B$1002,SMALL(IF((Expenses!E$3:E$1002="INR")*(Expenses!A$3:A$1002=DATE(2026,5,18)),ROW(Expenses!A$3:A$1002)-2),1)),""),IF(IFERROR(INDEX(Income!B$3:B$502,SMALL(IF((Income!D$3:D$502="INR")*(Income!A$3:A$502=DATE(2026,5,18)),ROW(Income!A$3:A$502)-2),1)),"")&lt;&gt;"",IFERROR(INDEX(Income!B$3:B$502,SMALL(IF((Income!D$3:D$502="INR")*(Income!A$3:A$502=DATE(2026,5,18)),ROW(Income!A$3:A$502)-2),1)),""),""))</f>
        <v/>
      </c>
      <c r="E104" s="63" t="str">
        <f aca="false">IF(IFERROR(-INDEX(Expenses!D$3:D$1002,SMALL(IF((Expenses!E$3:E$1002="INR")*(Expenses!A$3:A$1002=DATE(2026,5,19)),ROW(Expenses!A$3:A$1002)-2),1)),0)+IFERROR(INDEX(Income!C$3:C$502,SMALL(IF((Income!D$3:D$502="INR")*(Income!A$3:A$502=DATE(2026,5,19)),ROW(Income!A$3:A$502)-2),1)),0)=0,"",IFERROR(-INDEX(Expenses!D$3:D$1002,SMALL(IF((Expenses!E$3:E$1002="INR")*(Expenses!A$3:A$1002=DATE(2026,5,19)),ROW(Expenses!A$3:A$1002)-2),1)),0)+IFERROR(INDEX(Income!C$3:C$502,SMALL(IF((Income!D$3:D$502="INR")*(Income!A$3:A$502=DATE(2026,5,19)),ROW(Income!A$3:A$502)-2),1)),0))</f>
        <v/>
      </c>
      <c r="F104" s="38" t="str">
        <f aca="false">IF(IFERROR(INDEX(Expenses!B$3:B$1002,SMALL(IF((Expenses!E$3:E$1002="INR")*(Expenses!A$3:A$1002=DATE(2026,5,19)),ROW(Expenses!A$3:A$1002)-2),1)),"")&lt;&gt;"",IFERROR(INDEX(Expenses!B$3:B$1002,SMALL(IF((Expenses!E$3:E$1002="INR")*(Expenses!A$3:A$1002=DATE(2026,5,19)),ROW(Expenses!A$3:A$1002)-2),1)),""),IF(IFERROR(INDEX(Income!B$3:B$502,SMALL(IF((Income!D$3:D$502="INR")*(Income!A$3:A$502=DATE(2026,5,19)),ROW(Income!A$3:A$502)-2),1)),"")&lt;&gt;"",IFERROR(INDEX(Income!B$3:B$502,SMALL(IF((Income!D$3:D$502="INR")*(Income!A$3:A$502=DATE(2026,5,19)),ROW(Income!A$3:A$502)-2),1)),""),""))</f>
        <v/>
      </c>
      <c r="G104" s="63" t="str">
        <f aca="false">IF(IFERROR(-INDEX(Expenses!D$3:D$1002,SMALL(IF((Expenses!E$3:E$1002="INR")*(Expenses!A$3:A$1002=DATE(2026,5,20)),ROW(Expenses!A$3:A$1002)-2),1)),0)+IFERROR(INDEX(Income!C$3:C$502,SMALL(IF((Income!D$3:D$502="INR")*(Income!A$3:A$502=DATE(2026,5,20)),ROW(Income!A$3:A$502)-2),1)),0)=0,"",IFERROR(-INDEX(Expenses!D$3:D$1002,SMALL(IF((Expenses!E$3:E$1002="INR")*(Expenses!A$3:A$1002=DATE(2026,5,20)),ROW(Expenses!A$3:A$1002)-2),1)),0)+IFERROR(INDEX(Income!C$3:C$502,SMALL(IF((Income!D$3:D$502="INR")*(Income!A$3:A$502=DATE(2026,5,20)),ROW(Income!A$3:A$502)-2),1)),0))</f>
        <v/>
      </c>
      <c r="H104" s="38" t="str">
        <f aca="false">IF(IFERROR(INDEX(Expenses!B$3:B$1002,SMALL(IF((Expenses!E$3:E$1002="INR")*(Expenses!A$3:A$1002=DATE(2026,5,20)),ROW(Expenses!A$3:A$1002)-2),1)),"")&lt;&gt;"",IFERROR(INDEX(Expenses!B$3:B$1002,SMALL(IF((Expenses!E$3:E$1002="INR")*(Expenses!A$3:A$1002=DATE(2026,5,20)),ROW(Expenses!A$3:A$1002)-2),1)),""),IF(IFERROR(INDEX(Income!B$3:B$502,SMALL(IF((Income!D$3:D$502="INR")*(Income!A$3:A$502=DATE(2026,5,20)),ROW(Income!A$3:A$502)-2),1)),"")&lt;&gt;"",IFERROR(INDEX(Income!B$3:B$502,SMALL(IF((Income!D$3:D$502="INR")*(Income!A$3:A$502=DATE(2026,5,20)),ROW(Income!A$3:A$502)-2),1)),""),""))</f>
        <v/>
      </c>
      <c r="I104" s="63" t="str">
        <f aca="false">IF(IFERROR(-INDEX(Expenses!D$3:D$1002,SMALL(IF((Expenses!E$3:E$1002="INR")*(Expenses!A$3:A$1002=DATE(2026,5,21)),ROW(Expenses!A$3:A$1002)-2),1)),0)+IFERROR(INDEX(Income!C$3:C$502,SMALL(IF((Income!D$3:D$502="INR")*(Income!A$3:A$502=DATE(2026,5,21)),ROW(Income!A$3:A$502)-2),1)),0)=0,"",IFERROR(-INDEX(Expenses!D$3:D$1002,SMALL(IF((Expenses!E$3:E$1002="INR")*(Expenses!A$3:A$1002=DATE(2026,5,21)),ROW(Expenses!A$3:A$1002)-2),1)),0)+IFERROR(INDEX(Income!C$3:C$502,SMALL(IF((Income!D$3:D$502="INR")*(Income!A$3:A$502=DATE(2026,5,21)),ROW(Income!A$3:A$502)-2),1)),0))</f>
        <v/>
      </c>
      <c r="J104" s="38" t="str">
        <f aca="false">IF(IFERROR(INDEX(Expenses!B$3:B$1002,SMALL(IF((Expenses!E$3:E$1002="INR")*(Expenses!A$3:A$1002=DATE(2026,5,21)),ROW(Expenses!A$3:A$1002)-2),1)),"")&lt;&gt;"",IFERROR(INDEX(Expenses!B$3:B$1002,SMALL(IF((Expenses!E$3:E$1002="INR")*(Expenses!A$3:A$1002=DATE(2026,5,21)),ROW(Expenses!A$3:A$1002)-2),1)),""),IF(IFERROR(INDEX(Income!B$3:B$502,SMALL(IF((Income!D$3:D$502="INR")*(Income!A$3:A$502=DATE(2026,5,21)),ROW(Income!A$3:A$502)-2),1)),"")&lt;&gt;"",IFERROR(INDEX(Income!B$3:B$502,SMALL(IF((Income!D$3:D$502="INR")*(Income!A$3:A$502=DATE(2026,5,21)),ROW(Income!A$3:A$502)-2),1)),""),""))</f>
        <v/>
      </c>
      <c r="K104" s="63" t="str">
        <f aca="false">IF(IFERROR(-INDEX(Expenses!D$3:D$1002,SMALL(IF((Expenses!E$3:E$1002="INR")*(Expenses!A$3:A$1002=DATE(2026,5,22)),ROW(Expenses!A$3:A$1002)-2),1)),0)+IFERROR(INDEX(Income!C$3:C$502,SMALL(IF((Income!D$3:D$502="INR")*(Income!A$3:A$502=DATE(2026,5,22)),ROW(Income!A$3:A$502)-2),1)),0)=0,"",IFERROR(-INDEX(Expenses!D$3:D$1002,SMALL(IF((Expenses!E$3:E$1002="INR")*(Expenses!A$3:A$1002=DATE(2026,5,22)),ROW(Expenses!A$3:A$1002)-2),1)),0)+IFERROR(INDEX(Income!C$3:C$502,SMALL(IF((Income!D$3:D$502="INR")*(Income!A$3:A$502=DATE(2026,5,22)),ROW(Income!A$3:A$502)-2),1)),0))</f>
        <v/>
      </c>
      <c r="L104" s="38" t="str">
        <f aca="false">IF(IFERROR(INDEX(Expenses!B$3:B$1002,SMALL(IF((Expenses!E$3:E$1002="INR")*(Expenses!A$3:A$1002=DATE(2026,5,22)),ROW(Expenses!A$3:A$1002)-2),1)),"")&lt;&gt;"",IFERROR(INDEX(Expenses!B$3:B$1002,SMALL(IF((Expenses!E$3:E$1002="INR")*(Expenses!A$3:A$1002=DATE(2026,5,22)),ROW(Expenses!A$3:A$1002)-2),1)),""),IF(IFERROR(INDEX(Income!B$3:B$502,SMALL(IF((Income!D$3:D$502="INR")*(Income!A$3:A$502=DATE(2026,5,22)),ROW(Income!A$3:A$502)-2),1)),"")&lt;&gt;"",IFERROR(INDEX(Income!B$3:B$502,SMALL(IF((Income!D$3:D$502="INR")*(Income!A$3:A$502=DATE(2026,5,22)),ROW(Income!A$3:A$502)-2),1)),""),""))</f>
        <v/>
      </c>
      <c r="M104" s="63" t="str">
        <f aca="false">IF(IFERROR(-INDEX(Expenses!D$3:D$1002,SMALL(IF((Expenses!E$3:E$1002="INR")*(Expenses!A$3:A$1002=DATE(2026,5,23)),ROW(Expenses!A$3:A$1002)-2),1)),0)+IFERROR(INDEX(Income!C$3:C$502,SMALL(IF((Income!D$3:D$502="INR")*(Income!A$3:A$502=DATE(2026,5,23)),ROW(Income!A$3:A$502)-2),1)),0)=0,"",IFERROR(-INDEX(Expenses!D$3:D$1002,SMALL(IF((Expenses!E$3:E$1002="INR")*(Expenses!A$3:A$1002=DATE(2026,5,23)),ROW(Expenses!A$3:A$1002)-2),1)),0)+IFERROR(INDEX(Income!C$3:C$502,SMALL(IF((Income!D$3:D$502="INR")*(Income!A$3:A$502=DATE(2026,5,23)),ROW(Income!A$3:A$502)-2),1)),0))</f>
        <v/>
      </c>
      <c r="N104" s="38" t="str">
        <f aca="false">IF(IFERROR(INDEX(Expenses!B$3:B$1002,SMALL(IF((Expenses!E$3:E$1002="INR")*(Expenses!A$3:A$1002=DATE(2026,5,23)),ROW(Expenses!A$3:A$1002)-2),1)),"")&lt;&gt;"",IFERROR(INDEX(Expenses!B$3:B$1002,SMALL(IF((Expenses!E$3:E$1002="INR")*(Expenses!A$3:A$1002=DATE(2026,5,23)),ROW(Expenses!A$3:A$1002)-2),1)),""),IF(IFERROR(INDEX(Income!B$3:B$502,SMALL(IF((Income!D$3:D$502="INR")*(Income!A$3:A$502=DATE(2026,5,23)),ROW(Income!A$3:A$502)-2),1)),"")&lt;&gt;"",IFERROR(INDEX(Income!B$3:B$502,SMALL(IF((Income!D$3:D$502="INR")*(Income!A$3:A$502=DATE(2026,5,23)),ROW(Income!A$3:A$502)-2),1)),""),""))</f>
        <v/>
      </c>
      <c r="O104" s="63" t="str">
        <f aca="false">IF(IFERROR(-INDEX(Expenses!D$3:D$1002,SMALL(IF((Expenses!E$3:E$1002="INR")*(Expenses!A$3:A$1002=DATE(2026,5,24)),ROW(Expenses!A$3:A$1002)-2),1)),0)+IFERROR(INDEX(Income!C$3:C$502,SMALL(IF((Income!D$3:D$502="INR")*(Income!A$3:A$502=DATE(2026,5,24)),ROW(Income!A$3:A$502)-2),1)),0)=0,"",IFERROR(-INDEX(Expenses!D$3:D$1002,SMALL(IF((Expenses!E$3:E$1002="INR")*(Expenses!A$3:A$1002=DATE(2026,5,24)),ROW(Expenses!A$3:A$1002)-2),1)),0)+IFERROR(INDEX(Income!C$3:C$502,SMALL(IF((Income!D$3:D$502="INR")*(Income!A$3:A$502=DATE(2026,5,24)),ROW(Income!A$3:A$502)-2),1)),0))</f>
        <v/>
      </c>
      <c r="P104" s="38" t="str">
        <f aca="false">IF(IFERROR(INDEX(Expenses!B$3:B$1002,SMALL(IF((Expenses!E$3:E$1002="INR")*(Expenses!A$3:A$1002=DATE(2026,5,24)),ROW(Expenses!A$3:A$1002)-2),1)),"")&lt;&gt;"",IFERROR(INDEX(Expenses!B$3:B$1002,SMALL(IF((Expenses!E$3:E$1002="INR")*(Expenses!A$3:A$1002=DATE(2026,5,24)),ROW(Expenses!A$3:A$1002)-2),1)),""),IF(IFERROR(INDEX(Income!B$3:B$502,SMALL(IF((Income!D$3:D$502="INR")*(Income!A$3:A$502=DATE(2026,5,24)),ROW(Income!A$3:A$502)-2),1)),"")&lt;&gt;"",IFERROR(INDEX(Income!B$3:B$502,SMALL(IF((Income!D$3:D$502="INR")*(Income!A$3:A$502=DATE(2026,5,24)),ROW(Income!A$3:A$502)-2),1)),""),""))</f>
        <v/>
      </c>
      <c r="Q104" s="3" t="n">
        <v>21</v>
      </c>
      <c r="R104" s="53" t="n">
        <f aca="false">SUM(C104:C108)+SUM(E104:E108)+SUM(G104:G108)+SUM(I104:I108)+SUM(K104:K108)+SUM(M104:M108)+SUM(O104:O108)</f>
        <v>0</v>
      </c>
    </row>
    <row r="105" customFormat="false" ht="15" hidden="false" customHeight="false" outlineLevel="0" collapsed="false">
      <c r="A105" s="16"/>
      <c r="B105" s="16"/>
      <c r="C105" s="63" t="str">
        <f aca="false">IF(IFERROR(-INDEX(Expenses!D$3:D$1002,SMALL(IF((Expenses!E$3:E$1002="INR")*(Expenses!A$3:A$1002=DATE(2026,5,18)),ROW(Expenses!A$3:A$1002)-2),2)),0)+IFERROR(INDEX(Income!C$3:C$502,SMALL(IF((Income!D$3:D$502="INR")*(Income!A$3:A$502=DATE(2026,5,18)),ROW(Income!A$3:A$502)-2),2)),0)=0,"",IFERROR(-INDEX(Expenses!D$3:D$1002,SMALL(IF((Expenses!E$3:E$1002="INR")*(Expenses!A$3:A$1002=DATE(2026,5,18)),ROW(Expenses!A$3:A$1002)-2),2)),0)+IFERROR(INDEX(Income!C$3:C$502,SMALL(IF((Income!D$3:D$502="INR")*(Income!A$3:A$502=DATE(2026,5,18)),ROW(Income!A$3:A$502)-2),2)),0))</f>
        <v/>
      </c>
      <c r="D105" s="38" t="str">
        <f aca="false">IF(IFERROR(INDEX(Expenses!B$3:B$1002,SMALL(IF((Expenses!E$3:E$1002="INR")*(Expenses!A$3:A$1002=DATE(2026,5,18)),ROW(Expenses!A$3:A$1002)-2),2)),"")&lt;&gt;"",IFERROR(INDEX(Expenses!B$3:B$1002,SMALL(IF((Expenses!E$3:E$1002="INR")*(Expenses!A$3:A$1002=DATE(2026,5,18)),ROW(Expenses!A$3:A$1002)-2),2)),""),IF(IFERROR(INDEX(Income!B$3:B$502,SMALL(IF((Income!D$3:D$502="INR")*(Income!A$3:A$502=DATE(2026,5,18)),ROW(Income!A$3:A$502)-2),2)),"")&lt;&gt;"",IFERROR(INDEX(Income!B$3:B$502,SMALL(IF((Income!D$3:D$502="INR")*(Income!A$3:A$502=DATE(2026,5,18)),ROW(Income!A$3:A$502)-2),2)),""),""))</f>
        <v/>
      </c>
      <c r="E105" s="63" t="str">
        <f aca="false">IF(IFERROR(-INDEX(Expenses!D$3:D$1002,SMALL(IF((Expenses!E$3:E$1002="INR")*(Expenses!A$3:A$1002=DATE(2026,5,19)),ROW(Expenses!A$3:A$1002)-2),2)),0)+IFERROR(INDEX(Income!C$3:C$502,SMALL(IF((Income!D$3:D$502="INR")*(Income!A$3:A$502=DATE(2026,5,19)),ROW(Income!A$3:A$502)-2),2)),0)=0,"",IFERROR(-INDEX(Expenses!D$3:D$1002,SMALL(IF((Expenses!E$3:E$1002="INR")*(Expenses!A$3:A$1002=DATE(2026,5,19)),ROW(Expenses!A$3:A$1002)-2),2)),0)+IFERROR(INDEX(Income!C$3:C$502,SMALL(IF((Income!D$3:D$502="INR")*(Income!A$3:A$502=DATE(2026,5,19)),ROW(Income!A$3:A$502)-2),2)),0))</f>
        <v/>
      </c>
      <c r="F105" s="38" t="str">
        <f aca="false">IF(IFERROR(INDEX(Expenses!B$3:B$1002,SMALL(IF((Expenses!E$3:E$1002="INR")*(Expenses!A$3:A$1002=DATE(2026,5,19)),ROW(Expenses!A$3:A$1002)-2),2)),"")&lt;&gt;"",IFERROR(INDEX(Expenses!B$3:B$1002,SMALL(IF((Expenses!E$3:E$1002="INR")*(Expenses!A$3:A$1002=DATE(2026,5,19)),ROW(Expenses!A$3:A$1002)-2),2)),""),IF(IFERROR(INDEX(Income!B$3:B$502,SMALL(IF((Income!D$3:D$502="INR")*(Income!A$3:A$502=DATE(2026,5,19)),ROW(Income!A$3:A$502)-2),2)),"")&lt;&gt;"",IFERROR(INDEX(Income!B$3:B$502,SMALL(IF((Income!D$3:D$502="INR")*(Income!A$3:A$502=DATE(2026,5,19)),ROW(Income!A$3:A$502)-2),2)),""),""))</f>
        <v/>
      </c>
      <c r="G105" s="63" t="str">
        <f aca="false">IF(IFERROR(-INDEX(Expenses!D$3:D$1002,SMALL(IF((Expenses!E$3:E$1002="INR")*(Expenses!A$3:A$1002=DATE(2026,5,20)),ROW(Expenses!A$3:A$1002)-2),2)),0)+IFERROR(INDEX(Income!C$3:C$502,SMALL(IF((Income!D$3:D$502="INR")*(Income!A$3:A$502=DATE(2026,5,20)),ROW(Income!A$3:A$502)-2),2)),0)=0,"",IFERROR(-INDEX(Expenses!D$3:D$1002,SMALL(IF((Expenses!E$3:E$1002="INR")*(Expenses!A$3:A$1002=DATE(2026,5,20)),ROW(Expenses!A$3:A$1002)-2),2)),0)+IFERROR(INDEX(Income!C$3:C$502,SMALL(IF((Income!D$3:D$502="INR")*(Income!A$3:A$502=DATE(2026,5,20)),ROW(Income!A$3:A$502)-2),2)),0))</f>
        <v/>
      </c>
      <c r="H105" s="38" t="str">
        <f aca="false">IF(IFERROR(INDEX(Expenses!B$3:B$1002,SMALL(IF((Expenses!E$3:E$1002="INR")*(Expenses!A$3:A$1002=DATE(2026,5,20)),ROW(Expenses!A$3:A$1002)-2),2)),"")&lt;&gt;"",IFERROR(INDEX(Expenses!B$3:B$1002,SMALL(IF((Expenses!E$3:E$1002="INR")*(Expenses!A$3:A$1002=DATE(2026,5,20)),ROW(Expenses!A$3:A$1002)-2),2)),""),IF(IFERROR(INDEX(Income!B$3:B$502,SMALL(IF((Income!D$3:D$502="INR")*(Income!A$3:A$502=DATE(2026,5,20)),ROW(Income!A$3:A$502)-2),2)),"")&lt;&gt;"",IFERROR(INDEX(Income!B$3:B$502,SMALL(IF((Income!D$3:D$502="INR")*(Income!A$3:A$502=DATE(2026,5,20)),ROW(Income!A$3:A$502)-2),2)),""),""))</f>
        <v/>
      </c>
      <c r="I105" s="63" t="str">
        <f aca="false">IF(IFERROR(-INDEX(Expenses!D$3:D$1002,SMALL(IF((Expenses!E$3:E$1002="INR")*(Expenses!A$3:A$1002=DATE(2026,5,21)),ROW(Expenses!A$3:A$1002)-2),2)),0)+IFERROR(INDEX(Income!C$3:C$502,SMALL(IF((Income!D$3:D$502="INR")*(Income!A$3:A$502=DATE(2026,5,21)),ROW(Income!A$3:A$502)-2),2)),0)=0,"",IFERROR(-INDEX(Expenses!D$3:D$1002,SMALL(IF((Expenses!E$3:E$1002="INR")*(Expenses!A$3:A$1002=DATE(2026,5,21)),ROW(Expenses!A$3:A$1002)-2),2)),0)+IFERROR(INDEX(Income!C$3:C$502,SMALL(IF((Income!D$3:D$502="INR")*(Income!A$3:A$502=DATE(2026,5,21)),ROW(Income!A$3:A$502)-2),2)),0))</f>
        <v/>
      </c>
      <c r="J105" s="38" t="str">
        <f aca="false">IF(IFERROR(INDEX(Expenses!B$3:B$1002,SMALL(IF((Expenses!E$3:E$1002="INR")*(Expenses!A$3:A$1002=DATE(2026,5,21)),ROW(Expenses!A$3:A$1002)-2),2)),"")&lt;&gt;"",IFERROR(INDEX(Expenses!B$3:B$1002,SMALL(IF((Expenses!E$3:E$1002="INR")*(Expenses!A$3:A$1002=DATE(2026,5,21)),ROW(Expenses!A$3:A$1002)-2),2)),""),IF(IFERROR(INDEX(Income!B$3:B$502,SMALL(IF((Income!D$3:D$502="INR")*(Income!A$3:A$502=DATE(2026,5,21)),ROW(Income!A$3:A$502)-2),2)),"")&lt;&gt;"",IFERROR(INDEX(Income!B$3:B$502,SMALL(IF((Income!D$3:D$502="INR")*(Income!A$3:A$502=DATE(2026,5,21)),ROW(Income!A$3:A$502)-2),2)),""),""))</f>
        <v/>
      </c>
      <c r="K105" s="63" t="str">
        <f aca="false">IF(IFERROR(-INDEX(Expenses!D$3:D$1002,SMALL(IF((Expenses!E$3:E$1002="INR")*(Expenses!A$3:A$1002=DATE(2026,5,22)),ROW(Expenses!A$3:A$1002)-2),2)),0)+IFERROR(INDEX(Income!C$3:C$502,SMALL(IF((Income!D$3:D$502="INR")*(Income!A$3:A$502=DATE(2026,5,22)),ROW(Income!A$3:A$502)-2),2)),0)=0,"",IFERROR(-INDEX(Expenses!D$3:D$1002,SMALL(IF((Expenses!E$3:E$1002="INR")*(Expenses!A$3:A$1002=DATE(2026,5,22)),ROW(Expenses!A$3:A$1002)-2),2)),0)+IFERROR(INDEX(Income!C$3:C$502,SMALL(IF((Income!D$3:D$502="INR")*(Income!A$3:A$502=DATE(2026,5,22)),ROW(Income!A$3:A$502)-2),2)),0))</f>
        <v/>
      </c>
      <c r="L105" s="38" t="str">
        <f aca="false">IF(IFERROR(INDEX(Expenses!B$3:B$1002,SMALL(IF((Expenses!E$3:E$1002="INR")*(Expenses!A$3:A$1002=DATE(2026,5,22)),ROW(Expenses!A$3:A$1002)-2),2)),"")&lt;&gt;"",IFERROR(INDEX(Expenses!B$3:B$1002,SMALL(IF((Expenses!E$3:E$1002="INR")*(Expenses!A$3:A$1002=DATE(2026,5,22)),ROW(Expenses!A$3:A$1002)-2),2)),""),IF(IFERROR(INDEX(Income!B$3:B$502,SMALL(IF((Income!D$3:D$502="INR")*(Income!A$3:A$502=DATE(2026,5,22)),ROW(Income!A$3:A$502)-2),2)),"")&lt;&gt;"",IFERROR(INDEX(Income!B$3:B$502,SMALL(IF((Income!D$3:D$502="INR")*(Income!A$3:A$502=DATE(2026,5,22)),ROW(Income!A$3:A$502)-2),2)),""),""))</f>
        <v/>
      </c>
      <c r="M105" s="63" t="str">
        <f aca="false">IF(IFERROR(-INDEX(Expenses!D$3:D$1002,SMALL(IF((Expenses!E$3:E$1002="INR")*(Expenses!A$3:A$1002=DATE(2026,5,23)),ROW(Expenses!A$3:A$1002)-2),2)),0)+IFERROR(INDEX(Income!C$3:C$502,SMALL(IF((Income!D$3:D$502="INR")*(Income!A$3:A$502=DATE(2026,5,23)),ROW(Income!A$3:A$502)-2),2)),0)=0,"",IFERROR(-INDEX(Expenses!D$3:D$1002,SMALL(IF((Expenses!E$3:E$1002="INR")*(Expenses!A$3:A$1002=DATE(2026,5,23)),ROW(Expenses!A$3:A$1002)-2),2)),0)+IFERROR(INDEX(Income!C$3:C$502,SMALL(IF((Income!D$3:D$502="INR")*(Income!A$3:A$502=DATE(2026,5,23)),ROW(Income!A$3:A$502)-2),2)),0))</f>
        <v/>
      </c>
      <c r="N105" s="38" t="str">
        <f aca="false">IF(IFERROR(INDEX(Expenses!B$3:B$1002,SMALL(IF((Expenses!E$3:E$1002="INR")*(Expenses!A$3:A$1002=DATE(2026,5,23)),ROW(Expenses!A$3:A$1002)-2),2)),"")&lt;&gt;"",IFERROR(INDEX(Expenses!B$3:B$1002,SMALL(IF((Expenses!E$3:E$1002="INR")*(Expenses!A$3:A$1002=DATE(2026,5,23)),ROW(Expenses!A$3:A$1002)-2),2)),""),IF(IFERROR(INDEX(Income!B$3:B$502,SMALL(IF((Income!D$3:D$502="INR")*(Income!A$3:A$502=DATE(2026,5,23)),ROW(Income!A$3:A$502)-2),2)),"")&lt;&gt;"",IFERROR(INDEX(Income!B$3:B$502,SMALL(IF((Income!D$3:D$502="INR")*(Income!A$3:A$502=DATE(2026,5,23)),ROW(Income!A$3:A$502)-2),2)),""),""))</f>
        <v/>
      </c>
      <c r="O105" s="63" t="str">
        <f aca="false">IF(IFERROR(-INDEX(Expenses!D$3:D$1002,SMALL(IF((Expenses!E$3:E$1002="INR")*(Expenses!A$3:A$1002=DATE(2026,5,24)),ROW(Expenses!A$3:A$1002)-2),2)),0)+IFERROR(INDEX(Income!C$3:C$502,SMALL(IF((Income!D$3:D$502="INR")*(Income!A$3:A$502=DATE(2026,5,24)),ROW(Income!A$3:A$502)-2),2)),0)=0,"",IFERROR(-INDEX(Expenses!D$3:D$1002,SMALL(IF((Expenses!E$3:E$1002="INR")*(Expenses!A$3:A$1002=DATE(2026,5,24)),ROW(Expenses!A$3:A$1002)-2),2)),0)+IFERROR(INDEX(Income!C$3:C$502,SMALL(IF((Income!D$3:D$502="INR")*(Income!A$3:A$502=DATE(2026,5,24)),ROW(Income!A$3:A$502)-2),2)),0))</f>
        <v/>
      </c>
      <c r="P105" s="38" t="str">
        <f aca="false">IF(IFERROR(INDEX(Expenses!B$3:B$1002,SMALL(IF((Expenses!E$3:E$1002="INR")*(Expenses!A$3:A$1002=DATE(2026,5,24)),ROW(Expenses!A$3:A$1002)-2),2)),"")&lt;&gt;"",IFERROR(INDEX(Expenses!B$3:B$1002,SMALL(IF((Expenses!E$3:E$1002="INR")*(Expenses!A$3:A$1002=DATE(2026,5,24)),ROW(Expenses!A$3:A$1002)-2),2)),""),IF(IFERROR(INDEX(Income!B$3:B$502,SMALL(IF((Income!D$3:D$502="INR")*(Income!A$3:A$502=DATE(2026,5,24)),ROW(Income!A$3:A$502)-2),2)),"")&lt;&gt;"",IFERROR(INDEX(Income!B$3:B$502,SMALL(IF((Income!D$3:D$502="INR")*(Income!A$3:A$502=DATE(2026,5,24)),ROW(Income!A$3:A$502)-2),2)),""),""))</f>
        <v/>
      </c>
      <c r="Q105" s="16"/>
      <c r="R105" s="16"/>
    </row>
    <row r="106" customFormat="false" ht="15" hidden="false" customHeight="false" outlineLevel="0" collapsed="false">
      <c r="A106" s="16"/>
      <c r="B106" s="16"/>
      <c r="C106" s="63" t="str">
        <f aca="false">IF(IFERROR(-INDEX(Expenses!D$3:D$1002,SMALL(IF((Expenses!E$3:E$1002="INR")*(Expenses!A$3:A$1002=DATE(2026,5,18)),ROW(Expenses!A$3:A$1002)-2),3)),0)+IFERROR(INDEX(Income!C$3:C$502,SMALL(IF((Income!D$3:D$502="INR")*(Income!A$3:A$502=DATE(2026,5,18)),ROW(Income!A$3:A$502)-2),3)),0)=0,"",IFERROR(-INDEX(Expenses!D$3:D$1002,SMALL(IF((Expenses!E$3:E$1002="INR")*(Expenses!A$3:A$1002=DATE(2026,5,18)),ROW(Expenses!A$3:A$1002)-2),3)),0)+IFERROR(INDEX(Income!C$3:C$502,SMALL(IF((Income!D$3:D$502="INR")*(Income!A$3:A$502=DATE(2026,5,18)),ROW(Income!A$3:A$502)-2),3)),0))</f>
        <v/>
      </c>
      <c r="D106" s="38" t="str">
        <f aca="false">IF(IFERROR(INDEX(Expenses!B$3:B$1002,SMALL(IF((Expenses!E$3:E$1002="INR")*(Expenses!A$3:A$1002=DATE(2026,5,18)),ROW(Expenses!A$3:A$1002)-2),3)),"")&lt;&gt;"",IFERROR(INDEX(Expenses!B$3:B$1002,SMALL(IF((Expenses!E$3:E$1002="INR")*(Expenses!A$3:A$1002=DATE(2026,5,18)),ROW(Expenses!A$3:A$1002)-2),3)),""),IF(IFERROR(INDEX(Income!B$3:B$502,SMALL(IF((Income!D$3:D$502="INR")*(Income!A$3:A$502=DATE(2026,5,18)),ROW(Income!A$3:A$502)-2),3)),"")&lt;&gt;"",IFERROR(INDEX(Income!B$3:B$502,SMALL(IF((Income!D$3:D$502="INR")*(Income!A$3:A$502=DATE(2026,5,18)),ROW(Income!A$3:A$502)-2),3)),""),""))</f>
        <v/>
      </c>
      <c r="E106" s="63" t="str">
        <f aca="false">IF(IFERROR(-INDEX(Expenses!D$3:D$1002,SMALL(IF((Expenses!E$3:E$1002="INR")*(Expenses!A$3:A$1002=DATE(2026,5,19)),ROW(Expenses!A$3:A$1002)-2),3)),0)+IFERROR(INDEX(Income!C$3:C$502,SMALL(IF((Income!D$3:D$502="INR")*(Income!A$3:A$502=DATE(2026,5,19)),ROW(Income!A$3:A$502)-2),3)),0)=0,"",IFERROR(-INDEX(Expenses!D$3:D$1002,SMALL(IF((Expenses!E$3:E$1002="INR")*(Expenses!A$3:A$1002=DATE(2026,5,19)),ROW(Expenses!A$3:A$1002)-2),3)),0)+IFERROR(INDEX(Income!C$3:C$502,SMALL(IF((Income!D$3:D$502="INR")*(Income!A$3:A$502=DATE(2026,5,19)),ROW(Income!A$3:A$502)-2),3)),0))</f>
        <v/>
      </c>
      <c r="F106" s="38" t="str">
        <f aca="false">IF(IFERROR(INDEX(Expenses!B$3:B$1002,SMALL(IF((Expenses!E$3:E$1002="INR")*(Expenses!A$3:A$1002=DATE(2026,5,19)),ROW(Expenses!A$3:A$1002)-2),3)),"")&lt;&gt;"",IFERROR(INDEX(Expenses!B$3:B$1002,SMALL(IF((Expenses!E$3:E$1002="INR")*(Expenses!A$3:A$1002=DATE(2026,5,19)),ROW(Expenses!A$3:A$1002)-2),3)),""),IF(IFERROR(INDEX(Income!B$3:B$502,SMALL(IF((Income!D$3:D$502="INR")*(Income!A$3:A$502=DATE(2026,5,19)),ROW(Income!A$3:A$502)-2),3)),"")&lt;&gt;"",IFERROR(INDEX(Income!B$3:B$502,SMALL(IF((Income!D$3:D$502="INR")*(Income!A$3:A$502=DATE(2026,5,19)),ROW(Income!A$3:A$502)-2),3)),""),""))</f>
        <v/>
      </c>
      <c r="G106" s="63" t="str">
        <f aca="false">IF(IFERROR(-INDEX(Expenses!D$3:D$1002,SMALL(IF((Expenses!E$3:E$1002="INR")*(Expenses!A$3:A$1002=DATE(2026,5,20)),ROW(Expenses!A$3:A$1002)-2),3)),0)+IFERROR(INDEX(Income!C$3:C$502,SMALL(IF((Income!D$3:D$502="INR")*(Income!A$3:A$502=DATE(2026,5,20)),ROW(Income!A$3:A$502)-2),3)),0)=0,"",IFERROR(-INDEX(Expenses!D$3:D$1002,SMALL(IF((Expenses!E$3:E$1002="INR")*(Expenses!A$3:A$1002=DATE(2026,5,20)),ROW(Expenses!A$3:A$1002)-2),3)),0)+IFERROR(INDEX(Income!C$3:C$502,SMALL(IF((Income!D$3:D$502="INR")*(Income!A$3:A$502=DATE(2026,5,20)),ROW(Income!A$3:A$502)-2),3)),0))</f>
        <v/>
      </c>
      <c r="H106" s="38" t="str">
        <f aca="false">IF(IFERROR(INDEX(Expenses!B$3:B$1002,SMALL(IF((Expenses!E$3:E$1002="INR")*(Expenses!A$3:A$1002=DATE(2026,5,20)),ROW(Expenses!A$3:A$1002)-2),3)),"")&lt;&gt;"",IFERROR(INDEX(Expenses!B$3:B$1002,SMALL(IF((Expenses!E$3:E$1002="INR")*(Expenses!A$3:A$1002=DATE(2026,5,20)),ROW(Expenses!A$3:A$1002)-2),3)),""),IF(IFERROR(INDEX(Income!B$3:B$502,SMALL(IF((Income!D$3:D$502="INR")*(Income!A$3:A$502=DATE(2026,5,20)),ROW(Income!A$3:A$502)-2),3)),"")&lt;&gt;"",IFERROR(INDEX(Income!B$3:B$502,SMALL(IF((Income!D$3:D$502="INR")*(Income!A$3:A$502=DATE(2026,5,20)),ROW(Income!A$3:A$502)-2),3)),""),""))</f>
        <v/>
      </c>
      <c r="I106" s="63" t="str">
        <f aca="false">IF(IFERROR(-INDEX(Expenses!D$3:D$1002,SMALL(IF((Expenses!E$3:E$1002="INR")*(Expenses!A$3:A$1002=DATE(2026,5,21)),ROW(Expenses!A$3:A$1002)-2),3)),0)+IFERROR(INDEX(Income!C$3:C$502,SMALL(IF((Income!D$3:D$502="INR")*(Income!A$3:A$502=DATE(2026,5,21)),ROW(Income!A$3:A$502)-2),3)),0)=0,"",IFERROR(-INDEX(Expenses!D$3:D$1002,SMALL(IF((Expenses!E$3:E$1002="INR")*(Expenses!A$3:A$1002=DATE(2026,5,21)),ROW(Expenses!A$3:A$1002)-2),3)),0)+IFERROR(INDEX(Income!C$3:C$502,SMALL(IF((Income!D$3:D$502="INR")*(Income!A$3:A$502=DATE(2026,5,21)),ROW(Income!A$3:A$502)-2),3)),0))</f>
        <v/>
      </c>
      <c r="J106" s="38" t="str">
        <f aca="false">IF(IFERROR(INDEX(Expenses!B$3:B$1002,SMALL(IF((Expenses!E$3:E$1002="INR")*(Expenses!A$3:A$1002=DATE(2026,5,21)),ROW(Expenses!A$3:A$1002)-2),3)),"")&lt;&gt;"",IFERROR(INDEX(Expenses!B$3:B$1002,SMALL(IF((Expenses!E$3:E$1002="INR")*(Expenses!A$3:A$1002=DATE(2026,5,21)),ROW(Expenses!A$3:A$1002)-2),3)),""),IF(IFERROR(INDEX(Income!B$3:B$502,SMALL(IF((Income!D$3:D$502="INR")*(Income!A$3:A$502=DATE(2026,5,21)),ROW(Income!A$3:A$502)-2),3)),"")&lt;&gt;"",IFERROR(INDEX(Income!B$3:B$502,SMALL(IF((Income!D$3:D$502="INR")*(Income!A$3:A$502=DATE(2026,5,21)),ROW(Income!A$3:A$502)-2),3)),""),""))</f>
        <v/>
      </c>
      <c r="K106" s="63" t="str">
        <f aca="false">IF(IFERROR(-INDEX(Expenses!D$3:D$1002,SMALL(IF((Expenses!E$3:E$1002="INR")*(Expenses!A$3:A$1002=DATE(2026,5,22)),ROW(Expenses!A$3:A$1002)-2),3)),0)+IFERROR(INDEX(Income!C$3:C$502,SMALL(IF((Income!D$3:D$502="INR")*(Income!A$3:A$502=DATE(2026,5,22)),ROW(Income!A$3:A$502)-2),3)),0)=0,"",IFERROR(-INDEX(Expenses!D$3:D$1002,SMALL(IF((Expenses!E$3:E$1002="INR")*(Expenses!A$3:A$1002=DATE(2026,5,22)),ROW(Expenses!A$3:A$1002)-2),3)),0)+IFERROR(INDEX(Income!C$3:C$502,SMALL(IF((Income!D$3:D$502="INR")*(Income!A$3:A$502=DATE(2026,5,22)),ROW(Income!A$3:A$502)-2),3)),0))</f>
        <v/>
      </c>
      <c r="L106" s="38" t="str">
        <f aca="false">IF(IFERROR(INDEX(Expenses!B$3:B$1002,SMALL(IF((Expenses!E$3:E$1002="INR")*(Expenses!A$3:A$1002=DATE(2026,5,22)),ROW(Expenses!A$3:A$1002)-2),3)),"")&lt;&gt;"",IFERROR(INDEX(Expenses!B$3:B$1002,SMALL(IF((Expenses!E$3:E$1002="INR")*(Expenses!A$3:A$1002=DATE(2026,5,22)),ROW(Expenses!A$3:A$1002)-2),3)),""),IF(IFERROR(INDEX(Income!B$3:B$502,SMALL(IF((Income!D$3:D$502="INR")*(Income!A$3:A$502=DATE(2026,5,22)),ROW(Income!A$3:A$502)-2),3)),"")&lt;&gt;"",IFERROR(INDEX(Income!B$3:B$502,SMALL(IF((Income!D$3:D$502="INR")*(Income!A$3:A$502=DATE(2026,5,22)),ROW(Income!A$3:A$502)-2),3)),""),""))</f>
        <v/>
      </c>
      <c r="M106" s="63" t="str">
        <f aca="false">IF(IFERROR(-INDEX(Expenses!D$3:D$1002,SMALL(IF((Expenses!E$3:E$1002="INR")*(Expenses!A$3:A$1002=DATE(2026,5,23)),ROW(Expenses!A$3:A$1002)-2),3)),0)+IFERROR(INDEX(Income!C$3:C$502,SMALL(IF((Income!D$3:D$502="INR")*(Income!A$3:A$502=DATE(2026,5,23)),ROW(Income!A$3:A$502)-2),3)),0)=0,"",IFERROR(-INDEX(Expenses!D$3:D$1002,SMALL(IF((Expenses!E$3:E$1002="INR")*(Expenses!A$3:A$1002=DATE(2026,5,23)),ROW(Expenses!A$3:A$1002)-2),3)),0)+IFERROR(INDEX(Income!C$3:C$502,SMALL(IF((Income!D$3:D$502="INR")*(Income!A$3:A$502=DATE(2026,5,23)),ROW(Income!A$3:A$502)-2),3)),0))</f>
        <v/>
      </c>
      <c r="N106" s="38" t="str">
        <f aca="false">IF(IFERROR(INDEX(Expenses!B$3:B$1002,SMALL(IF((Expenses!E$3:E$1002="INR")*(Expenses!A$3:A$1002=DATE(2026,5,23)),ROW(Expenses!A$3:A$1002)-2),3)),"")&lt;&gt;"",IFERROR(INDEX(Expenses!B$3:B$1002,SMALL(IF((Expenses!E$3:E$1002="INR")*(Expenses!A$3:A$1002=DATE(2026,5,23)),ROW(Expenses!A$3:A$1002)-2),3)),""),IF(IFERROR(INDEX(Income!B$3:B$502,SMALL(IF((Income!D$3:D$502="INR")*(Income!A$3:A$502=DATE(2026,5,23)),ROW(Income!A$3:A$502)-2),3)),"")&lt;&gt;"",IFERROR(INDEX(Income!B$3:B$502,SMALL(IF((Income!D$3:D$502="INR")*(Income!A$3:A$502=DATE(2026,5,23)),ROW(Income!A$3:A$502)-2),3)),""),""))</f>
        <v/>
      </c>
      <c r="O106" s="63" t="str">
        <f aca="false">IF(IFERROR(-INDEX(Expenses!D$3:D$1002,SMALL(IF((Expenses!E$3:E$1002="INR")*(Expenses!A$3:A$1002=DATE(2026,5,24)),ROW(Expenses!A$3:A$1002)-2),3)),0)+IFERROR(INDEX(Income!C$3:C$502,SMALL(IF((Income!D$3:D$502="INR")*(Income!A$3:A$502=DATE(2026,5,24)),ROW(Income!A$3:A$502)-2),3)),0)=0,"",IFERROR(-INDEX(Expenses!D$3:D$1002,SMALL(IF((Expenses!E$3:E$1002="INR")*(Expenses!A$3:A$1002=DATE(2026,5,24)),ROW(Expenses!A$3:A$1002)-2),3)),0)+IFERROR(INDEX(Income!C$3:C$502,SMALL(IF((Income!D$3:D$502="INR")*(Income!A$3:A$502=DATE(2026,5,24)),ROW(Income!A$3:A$502)-2),3)),0))</f>
        <v/>
      </c>
      <c r="P106" s="38" t="str">
        <f aca="false">IF(IFERROR(INDEX(Expenses!B$3:B$1002,SMALL(IF((Expenses!E$3:E$1002="INR")*(Expenses!A$3:A$1002=DATE(2026,5,24)),ROW(Expenses!A$3:A$1002)-2),3)),"")&lt;&gt;"",IFERROR(INDEX(Expenses!B$3:B$1002,SMALL(IF((Expenses!E$3:E$1002="INR")*(Expenses!A$3:A$1002=DATE(2026,5,24)),ROW(Expenses!A$3:A$1002)-2),3)),""),IF(IFERROR(INDEX(Income!B$3:B$502,SMALL(IF((Income!D$3:D$502="INR")*(Income!A$3:A$502=DATE(2026,5,24)),ROW(Income!A$3:A$502)-2),3)),"")&lt;&gt;"",IFERROR(INDEX(Income!B$3:B$502,SMALL(IF((Income!D$3:D$502="INR")*(Income!A$3:A$502=DATE(2026,5,24)),ROW(Income!A$3:A$502)-2),3)),""),""))</f>
        <v/>
      </c>
      <c r="Q106" s="16"/>
      <c r="R106" s="16"/>
    </row>
    <row r="107" customFormat="false" ht="15" hidden="false" customHeight="false" outlineLevel="0" collapsed="false">
      <c r="A107" s="16"/>
      <c r="B107" s="16"/>
      <c r="C107" s="63" t="str">
        <f aca="false">IF(IFERROR(-INDEX(Expenses!D$3:D$1002,SMALL(IF((Expenses!E$3:E$1002="INR")*(Expenses!A$3:A$1002=DATE(2026,5,18)),ROW(Expenses!A$3:A$1002)-2),4)),0)+IFERROR(INDEX(Income!C$3:C$502,SMALL(IF((Income!D$3:D$502="INR")*(Income!A$3:A$502=DATE(2026,5,18)),ROW(Income!A$3:A$502)-2),4)),0)=0,"",IFERROR(-INDEX(Expenses!D$3:D$1002,SMALL(IF((Expenses!E$3:E$1002="INR")*(Expenses!A$3:A$1002=DATE(2026,5,18)),ROW(Expenses!A$3:A$1002)-2),4)),0)+IFERROR(INDEX(Income!C$3:C$502,SMALL(IF((Income!D$3:D$502="INR")*(Income!A$3:A$502=DATE(2026,5,18)),ROW(Income!A$3:A$502)-2),4)),0))</f>
        <v/>
      </c>
      <c r="D107" s="38" t="str">
        <f aca="false">IF(IFERROR(INDEX(Expenses!B$3:B$1002,SMALL(IF((Expenses!E$3:E$1002="INR")*(Expenses!A$3:A$1002=DATE(2026,5,18)),ROW(Expenses!A$3:A$1002)-2),4)),"")&lt;&gt;"",IFERROR(INDEX(Expenses!B$3:B$1002,SMALL(IF((Expenses!E$3:E$1002="INR")*(Expenses!A$3:A$1002=DATE(2026,5,18)),ROW(Expenses!A$3:A$1002)-2),4)),""),IF(IFERROR(INDEX(Income!B$3:B$502,SMALL(IF((Income!D$3:D$502="INR")*(Income!A$3:A$502=DATE(2026,5,18)),ROW(Income!A$3:A$502)-2),4)),"")&lt;&gt;"",IFERROR(INDEX(Income!B$3:B$502,SMALL(IF((Income!D$3:D$502="INR")*(Income!A$3:A$502=DATE(2026,5,18)),ROW(Income!A$3:A$502)-2),4)),""),""))</f>
        <v/>
      </c>
      <c r="E107" s="63" t="str">
        <f aca="false">IF(IFERROR(-INDEX(Expenses!D$3:D$1002,SMALL(IF((Expenses!E$3:E$1002="INR")*(Expenses!A$3:A$1002=DATE(2026,5,19)),ROW(Expenses!A$3:A$1002)-2),4)),0)+IFERROR(INDEX(Income!C$3:C$502,SMALL(IF((Income!D$3:D$502="INR")*(Income!A$3:A$502=DATE(2026,5,19)),ROW(Income!A$3:A$502)-2),4)),0)=0,"",IFERROR(-INDEX(Expenses!D$3:D$1002,SMALL(IF((Expenses!E$3:E$1002="INR")*(Expenses!A$3:A$1002=DATE(2026,5,19)),ROW(Expenses!A$3:A$1002)-2),4)),0)+IFERROR(INDEX(Income!C$3:C$502,SMALL(IF((Income!D$3:D$502="INR")*(Income!A$3:A$502=DATE(2026,5,19)),ROW(Income!A$3:A$502)-2),4)),0))</f>
        <v/>
      </c>
      <c r="F107" s="38" t="str">
        <f aca="false">IF(IFERROR(INDEX(Expenses!B$3:B$1002,SMALL(IF((Expenses!E$3:E$1002="INR")*(Expenses!A$3:A$1002=DATE(2026,5,19)),ROW(Expenses!A$3:A$1002)-2),4)),"")&lt;&gt;"",IFERROR(INDEX(Expenses!B$3:B$1002,SMALL(IF((Expenses!E$3:E$1002="INR")*(Expenses!A$3:A$1002=DATE(2026,5,19)),ROW(Expenses!A$3:A$1002)-2),4)),""),IF(IFERROR(INDEX(Income!B$3:B$502,SMALL(IF((Income!D$3:D$502="INR")*(Income!A$3:A$502=DATE(2026,5,19)),ROW(Income!A$3:A$502)-2),4)),"")&lt;&gt;"",IFERROR(INDEX(Income!B$3:B$502,SMALL(IF((Income!D$3:D$502="INR")*(Income!A$3:A$502=DATE(2026,5,19)),ROW(Income!A$3:A$502)-2),4)),""),""))</f>
        <v/>
      </c>
      <c r="G107" s="63" t="str">
        <f aca="false">IF(IFERROR(-INDEX(Expenses!D$3:D$1002,SMALL(IF((Expenses!E$3:E$1002="INR")*(Expenses!A$3:A$1002=DATE(2026,5,20)),ROW(Expenses!A$3:A$1002)-2),4)),0)+IFERROR(INDEX(Income!C$3:C$502,SMALL(IF((Income!D$3:D$502="INR")*(Income!A$3:A$502=DATE(2026,5,20)),ROW(Income!A$3:A$502)-2),4)),0)=0,"",IFERROR(-INDEX(Expenses!D$3:D$1002,SMALL(IF((Expenses!E$3:E$1002="INR")*(Expenses!A$3:A$1002=DATE(2026,5,20)),ROW(Expenses!A$3:A$1002)-2),4)),0)+IFERROR(INDEX(Income!C$3:C$502,SMALL(IF((Income!D$3:D$502="INR")*(Income!A$3:A$502=DATE(2026,5,20)),ROW(Income!A$3:A$502)-2),4)),0))</f>
        <v/>
      </c>
      <c r="H107" s="38" t="str">
        <f aca="false">IF(IFERROR(INDEX(Expenses!B$3:B$1002,SMALL(IF((Expenses!E$3:E$1002="INR")*(Expenses!A$3:A$1002=DATE(2026,5,20)),ROW(Expenses!A$3:A$1002)-2),4)),"")&lt;&gt;"",IFERROR(INDEX(Expenses!B$3:B$1002,SMALL(IF((Expenses!E$3:E$1002="INR")*(Expenses!A$3:A$1002=DATE(2026,5,20)),ROW(Expenses!A$3:A$1002)-2),4)),""),IF(IFERROR(INDEX(Income!B$3:B$502,SMALL(IF((Income!D$3:D$502="INR")*(Income!A$3:A$502=DATE(2026,5,20)),ROW(Income!A$3:A$502)-2),4)),"")&lt;&gt;"",IFERROR(INDEX(Income!B$3:B$502,SMALL(IF((Income!D$3:D$502="INR")*(Income!A$3:A$502=DATE(2026,5,20)),ROW(Income!A$3:A$502)-2),4)),""),""))</f>
        <v/>
      </c>
      <c r="I107" s="63" t="str">
        <f aca="false">IF(IFERROR(-INDEX(Expenses!D$3:D$1002,SMALL(IF((Expenses!E$3:E$1002="INR")*(Expenses!A$3:A$1002=DATE(2026,5,21)),ROW(Expenses!A$3:A$1002)-2),4)),0)+IFERROR(INDEX(Income!C$3:C$502,SMALL(IF((Income!D$3:D$502="INR")*(Income!A$3:A$502=DATE(2026,5,21)),ROW(Income!A$3:A$502)-2),4)),0)=0,"",IFERROR(-INDEX(Expenses!D$3:D$1002,SMALL(IF((Expenses!E$3:E$1002="INR")*(Expenses!A$3:A$1002=DATE(2026,5,21)),ROW(Expenses!A$3:A$1002)-2),4)),0)+IFERROR(INDEX(Income!C$3:C$502,SMALL(IF((Income!D$3:D$502="INR")*(Income!A$3:A$502=DATE(2026,5,21)),ROW(Income!A$3:A$502)-2),4)),0))</f>
        <v/>
      </c>
      <c r="J107" s="38" t="str">
        <f aca="false">IF(IFERROR(INDEX(Expenses!B$3:B$1002,SMALL(IF((Expenses!E$3:E$1002="INR")*(Expenses!A$3:A$1002=DATE(2026,5,21)),ROW(Expenses!A$3:A$1002)-2),4)),"")&lt;&gt;"",IFERROR(INDEX(Expenses!B$3:B$1002,SMALL(IF((Expenses!E$3:E$1002="INR")*(Expenses!A$3:A$1002=DATE(2026,5,21)),ROW(Expenses!A$3:A$1002)-2),4)),""),IF(IFERROR(INDEX(Income!B$3:B$502,SMALL(IF((Income!D$3:D$502="INR")*(Income!A$3:A$502=DATE(2026,5,21)),ROW(Income!A$3:A$502)-2),4)),"")&lt;&gt;"",IFERROR(INDEX(Income!B$3:B$502,SMALL(IF((Income!D$3:D$502="INR")*(Income!A$3:A$502=DATE(2026,5,21)),ROW(Income!A$3:A$502)-2),4)),""),""))</f>
        <v/>
      </c>
      <c r="K107" s="63" t="str">
        <f aca="false">IF(IFERROR(-INDEX(Expenses!D$3:D$1002,SMALL(IF((Expenses!E$3:E$1002="INR")*(Expenses!A$3:A$1002=DATE(2026,5,22)),ROW(Expenses!A$3:A$1002)-2),4)),0)+IFERROR(INDEX(Income!C$3:C$502,SMALL(IF((Income!D$3:D$502="INR")*(Income!A$3:A$502=DATE(2026,5,22)),ROW(Income!A$3:A$502)-2),4)),0)=0,"",IFERROR(-INDEX(Expenses!D$3:D$1002,SMALL(IF((Expenses!E$3:E$1002="INR")*(Expenses!A$3:A$1002=DATE(2026,5,22)),ROW(Expenses!A$3:A$1002)-2),4)),0)+IFERROR(INDEX(Income!C$3:C$502,SMALL(IF((Income!D$3:D$502="INR")*(Income!A$3:A$502=DATE(2026,5,22)),ROW(Income!A$3:A$502)-2),4)),0))</f>
        <v/>
      </c>
      <c r="L107" s="38" t="str">
        <f aca="false">IF(IFERROR(INDEX(Expenses!B$3:B$1002,SMALL(IF((Expenses!E$3:E$1002="INR")*(Expenses!A$3:A$1002=DATE(2026,5,22)),ROW(Expenses!A$3:A$1002)-2),4)),"")&lt;&gt;"",IFERROR(INDEX(Expenses!B$3:B$1002,SMALL(IF((Expenses!E$3:E$1002="INR")*(Expenses!A$3:A$1002=DATE(2026,5,22)),ROW(Expenses!A$3:A$1002)-2),4)),""),IF(IFERROR(INDEX(Income!B$3:B$502,SMALL(IF((Income!D$3:D$502="INR")*(Income!A$3:A$502=DATE(2026,5,22)),ROW(Income!A$3:A$502)-2),4)),"")&lt;&gt;"",IFERROR(INDEX(Income!B$3:B$502,SMALL(IF((Income!D$3:D$502="INR")*(Income!A$3:A$502=DATE(2026,5,22)),ROW(Income!A$3:A$502)-2),4)),""),""))</f>
        <v/>
      </c>
      <c r="M107" s="63" t="str">
        <f aca="false">IF(IFERROR(-INDEX(Expenses!D$3:D$1002,SMALL(IF((Expenses!E$3:E$1002="INR")*(Expenses!A$3:A$1002=DATE(2026,5,23)),ROW(Expenses!A$3:A$1002)-2),4)),0)+IFERROR(INDEX(Income!C$3:C$502,SMALL(IF((Income!D$3:D$502="INR")*(Income!A$3:A$502=DATE(2026,5,23)),ROW(Income!A$3:A$502)-2),4)),0)=0,"",IFERROR(-INDEX(Expenses!D$3:D$1002,SMALL(IF((Expenses!E$3:E$1002="INR")*(Expenses!A$3:A$1002=DATE(2026,5,23)),ROW(Expenses!A$3:A$1002)-2),4)),0)+IFERROR(INDEX(Income!C$3:C$502,SMALL(IF((Income!D$3:D$502="INR")*(Income!A$3:A$502=DATE(2026,5,23)),ROW(Income!A$3:A$502)-2),4)),0))</f>
        <v/>
      </c>
      <c r="N107" s="38" t="str">
        <f aca="false">IF(IFERROR(INDEX(Expenses!B$3:B$1002,SMALL(IF((Expenses!E$3:E$1002="INR")*(Expenses!A$3:A$1002=DATE(2026,5,23)),ROW(Expenses!A$3:A$1002)-2),4)),"")&lt;&gt;"",IFERROR(INDEX(Expenses!B$3:B$1002,SMALL(IF((Expenses!E$3:E$1002="INR")*(Expenses!A$3:A$1002=DATE(2026,5,23)),ROW(Expenses!A$3:A$1002)-2),4)),""),IF(IFERROR(INDEX(Income!B$3:B$502,SMALL(IF((Income!D$3:D$502="INR")*(Income!A$3:A$502=DATE(2026,5,23)),ROW(Income!A$3:A$502)-2),4)),"")&lt;&gt;"",IFERROR(INDEX(Income!B$3:B$502,SMALL(IF((Income!D$3:D$502="INR")*(Income!A$3:A$502=DATE(2026,5,23)),ROW(Income!A$3:A$502)-2),4)),""),""))</f>
        <v/>
      </c>
      <c r="O107" s="63" t="str">
        <f aca="false">IF(IFERROR(-INDEX(Expenses!D$3:D$1002,SMALL(IF((Expenses!E$3:E$1002="INR")*(Expenses!A$3:A$1002=DATE(2026,5,24)),ROW(Expenses!A$3:A$1002)-2),4)),0)+IFERROR(INDEX(Income!C$3:C$502,SMALL(IF((Income!D$3:D$502="INR")*(Income!A$3:A$502=DATE(2026,5,24)),ROW(Income!A$3:A$502)-2),4)),0)=0,"",IFERROR(-INDEX(Expenses!D$3:D$1002,SMALL(IF((Expenses!E$3:E$1002="INR")*(Expenses!A$3:A$1002=DATE(2026,5,24)),ROW(Expenses!A$3:A$1002)-2),4)),0)+IFERROR(INDEX(Income!C$3:C$502,SMALL(IF((Income!D$3:D$502="INR")*(Income!A$3:A$502=DATE(2026,5,24)),ROW(Income!A$3:A$502)-2),4)),0))</f>
        <v/>
      </c>
      <c r="P107" s="38" t="str">
        <f aca="false">IF(IFERROR(INDEX(Expenses!B$3:B$1002,SMALL(IF((Expenses!E$3:E$1002="INR")*(Expenses!A$3:A$1002=DATE(2026,5,24)),ROW(Expenses!A$3:A$1002)-2),4)),"")&lt;&gt;"",IFERROR(INDEX(Expenses!B$3:B$1002,SMALL(IF((Expenses!E$3:E$1002="INR")*(Expenses!A$3:A$1002=DATE(2026,5,24)),ROW(Expenses!A$3:A$1002)-2),4)),""),IF(IFERROR(INDEX(Income!B$3:B$502,SMALL(IF((Income!D$3:D$502="INR")*(Income!A$3:A$502=DATE(2026,5,24)),ROW(Income!A$3:A$502)-2),4)),"")&lt;&gt;"",IFERROR(INDEX(Income!B$3:B$502,SMALL(IF((Income!D$3:D$502="INR")*(Income!A$3:A$502=DATE(2026,5,24)),ROW(Income!A$3:A$502)-2),4)),""),""))</f>
        <v/>
      </c>
      <c r="Q107" s="16"/>
      <c r="R107" s="16"/>
    </row>
    <row r="108" customFormat="false" ht="15" hidden="false" customHeight="false" outlineLevel="0" collapsed="false">
      <c r="A108" s="16"/>
      <c r="B108" s="16"/>
      <c r="C108" s="63" t="str">
        <f aca="false">IF(IFERROR(-INDEX(Expenses!D$3:D$1002,SMALL(IF((Expenses!E$3:E$1002="INR")*(Expenses!A$3:A$1002=DATE(2026,5,18)),ROW(Expenses!A$3:A$1002)-2),5)),0)+IFERROR(INDEX(Income!C$3:C$502,SMALL(IF((Income!D$3:D$502="INR")*(Income!A$3:A$502=DATE(2026,5,18)),ROW(Income!A$3:A$502)-2),5)),0)=0,"",IFERROR(-INDEX(Expenses!D$3:D$1002,SMALL(IF((Expenses!E$3:E$1002="INR")*(Expenses!A$3:A$1002=DATE(2026,5,18)),ROW(Expenses!A$3:A$1002)-2),5)),0)+IFERROR(INDEX(Income!C$3:C$502,SMALL(IF((Income!D$3:D$502="INR")*(Income!A$3:A$502=DATE(2026,5,18)),ROW(Income!A$3:A$502)-2),5)),0))</f>
        <v/>
      </c>
      <c r="D108" s="38" t="str">
        <f aca="false">IF(IFERROR(INDEX(Expenses!B$3:B$1002,SMALL(IF((Expenses!E$3:E$1002="INR")*(Expenses!A$3:A$1002=DATE(2026,5,18)),ROW(Expenses!A$3:A$1002)-2),5)),"")&lt;&gt;"",IFERROR(INDEX(Expenses!B$3:B$1002,SMALL(IF((Expenses!E$3:E$1002="INR")*(Expenses!A$3:A$1002=DATE(2026,5,18)),ROW(Expenses!A$3:A$1002)-2),5)),""),IF(IFERROR(INDEX(Income!B$3:B$502,SMALL(IF((Income!D$3:D$502="INR")*(Income!A$3:A$502=DATE(2026,5,18)),ROW(Income!A$3:A$502)-2),5)),"")&lt;&gt;"",IFERROR(INDEX(Income!B$3:B$502,SMALL(IF((Income!D$3:D$502="INR")*(Income!A$3:A$502=DATE(2026,5,18)),ROW(Income!A$3:A$502)-2),5)),""),""))</f>
        <v/>
      </c>
      <c r="E108" s="63" t="str">
        <f aca="false">IF(IFERROR(-INDEX(Expenses!D$3:D$1002,SMALL(IF((Expenses!E$3:E$1002="INR")*(Expenses!A$3:A$1002=DATE(2026,5,19)),ROW(Expenses!A$3:A$1002)-2),5)),0)+IFERROR(INDEX(Income!C$3:C$502,SMALL(IF((Income!D$3:D$502="INR")*(Income!A$3:A$502=DATE(2026,5,19)),ROW(Income!A$3:A$502)-2),5)),0)=0,"",IFERROR(-INDEX(Expenses!D$3:D$1002,SMALL(IF((Expenses!E$3:E$1002="INR")*(Expenses!A$3:A$1002=DATE(2026,5,19)),ROW(Expenses!A$3:A$1002)-2),5)),0)+IFERROR(INDEX(Income!C$3:C$502,SMALL(IF((Income!D$3:D$502="INR")*(Income!A$3:A$502=DATE(2026,5,19)),ROW(Income!A$3:A$502)-2),5)),0))</f>
        <v/>
      </c>
      <c r="F108" s="38" t="str">
        <f aca="false">IF(IFERROR(INDEX(Expenses!B$3:B$1002,SMALL(IF((Expenses!E$3:E$1002="INR")*(Expenses!A$3:A$1002=DATE(2026,5,19)),ROW(Expenses!A$3:A$1002)-2),5)),"")&lt;&gt;"",IFERROR(INDEX(Expenses!B$3:B$1002,SMALL(IF((Expenses!E$3:E$1002="INR")*(Expenses!A$3:A$1002=DATE(2026,5,19)),ROW(Expenses!A$3:A$1002)-2),5)),""),IF(IFERROR(INDEX(Income!B$3:B$502,SMALL(IF((Income!D$3:D$502="INR")*(Income!A$3:A$502=DATE(2026,5,19)),ROW(Income!A$3:A$502)-2),5)),"")&lt;&gt;"",IFERROR(INDEX(Income!B$3:B$502,SMALL(IF((Income!D$3:D$502="INR")*(Income!A$3:A$502=DATE(2026,5,19)),ROW(Income!A$3:A$502)-2),5)),""),""))</f>
        <v/>
      </c>
      <c r="G108" s="63" t="str">
        <f aca="false">IF(IFERROR(-INDEX(Expenses!D$3:D$1002,SMALL(IF((Expenses!E$3:E$1002="INR")*(Expenses!A$3:A$1002=DATE(2026,5,20)),ROW(Expenses!A$3:A$1002)-2),5)),0)+IFERROR(INDEX(Income!C$3:C$502,SMALL(IF((Income!D$3:D$502="INR")*(Income!A$3:A$502=DATE(2026,5,20)),ROW(Income!A$3:A$502)-2),5)),0)=0,"",IFERROR(-INDEX(Expenses!D$3:D$1002,SMALL(IF((Expenses!E$3:E$1002="INR")*(Expenses!A$3:A$1002=DATE(2026,5,20)),ROW(Expenses!A$3:A$1002)-2),5)),0)+IFERROR(INDEX(Income!C$3:C$502,SMALL(IF((Income!D$3:D$502="INR")*(Income!A$3:A$502=DATE(2026,5,20)),ROW(Income!A$3:A$502)-2),5)),0))</f>
        <v/>
      </c>
      <c r="H108" s="38" t="str">
        <f aca="false">IF(IFERROR(INDEX(Expenses!B$3:B$1002,SMALL(IF((Expenses!E$3:E$1002="INR")*(Expenses!A$3:A$1002=DATE(2026,5,20)),ROW(Expenses!A$3:A$1002)-2),5)),"")&lt;&gt;"",IFERROR(INDEX(Expenses!B$3:B$1002,SMALL(IF((Expenses!E$3:E$1002="INR")*(Expenses!A$3:A$1002=DATE(2026,5,20)),ROW(Expenses!A$3:A$1002)-2),5)),""),IF(IFERROR(INDEX(Income!B$3:B$502,SMALL(IF((Income!D$3:D$502="INR")*(Income!A$3:A$502=DATE(2026,5,20)),ROW(Income!A$3:A$502)-2),5)),"")&lt;&gt;"",IFERROR(INDEX(Income!B$3:B$502,SMALL(IF((Income!D$3:D$502="INR")*(Income!A$3:A$502=DATE(2026,5,20)),ROW(Income!A$3:A$502)-2),5)),""),""))</f>
        <v/>
      </c>
      <c r="I108" s="63" t="str">
        <f aca="false">IF(IFERROR(-INDEX(Expenses!D$3:D$1002,SMALL(IF((Expenses!E$3:E$1002="INR")*(Expenses!A$3:A$1002=DATE(2026,5,21)),ROW(Expenses!A$3:A$1002)-2),5)),0)+IFERROR(INDEX(Income!C$3:C$502,SMALL(IF((Income!D$3:D$502="INR")*(Income!A$3:A$502=DATE(2026,5,21)),ROW(Income!A$3:A$502)-2),5)),0)=0,"",IFERROR(-INDEX(Expenses!D$3:D$1002,SMALL(IF((Expenses!E$3:E$1002="INR")*(Expenses!A$3:A$1002=DATE(2026,5,21)),ROW(Expenses!A$3:A$1002)-2),5)),0)+IFERROR(INDEX(Income!C$3:C$502,SMALL(IF((Income!D$3:D$502="INR")*(Income!A$3:A$502=DATE(2026,5,21)),ROW(Income!A$3:A$502)-2),5)),0))</f>
        <v/>
      </c>
      <c r="J108" s="38" t="str">
        <f aca="false">IF(IFERROR(INDEX(Expenses!B$3:B$1002,SMALL(IF((Expenses!E$3:E$1002="INR")*(Expenses!A$3:A$1002=DATE(2026,5,21)),ROW(Expenses!A$3:A$1002)-2),5)),"")&lt;&gt;"",IFERROR(INDEX(Expenses!B$3:B$1002,SMALL(IF((Expenses!E$3:E$1002="INR")*(Expenses!A$3:A$1002=DATE(2026,5,21)),ROW(Expenses!A$3:A$1002)-2),5)),""),IF(IFERROR(INDEX(Income!B$3:B$502,SMALL(IF((Income!D$3:D$502="INR")*(Income!A$3:A$502=DATE(2026,5,21)),ROW(Income!A$3:A$502)-2),5)),"")&lt;&gt;"",IFERROR(INDEX(Income!B$3:B$502,SMALL(IF((Income!D$3:D$502="INR")*(Income!A$3:A$502=DATE(2026,5,21)),ROW(Income!A$3:A$502)-2),5)),""),""))</f>
        <v/>
      </c>
      <c r="K108" s="63" t="str">
        <f aca="false">IF(IFERROR(-INDEX(Expenses!D$3:D$1002,SMALL(IF((Expenses!E$3:E$1002="INR")*(Expenses!A$3:A$1002=DATE(2026,5,22)),ROW(Expenses!A$3:A$1002)-2),5)),0)+IFERROR(INDEX(Income!C$3:C$502,SMALL(IF((Income!D$3:D$502="INR")*(Income!A$3:A$502=DATE(2026,5,22)),ROW(Income!A$3:A$502)-2),5)),0)=0,"",IFERROR(-INDEX(Expenses!D$3:D$1002,SMALL(IF((Expenses!E$3:E$1002="INR")*(Expenses!A$3:A$1002=DATE(2026,5,22)),ROW(Expenses!A$3:A$1002)-2),5)),0)+IFERROR(INDEX(Income!C$3:C$502,SMALL(IF((Income!D$3:D$502="INR")*(Income!A$3:A$502=DATE(2026,5,22)),ROW(Income!A$3:A$502)-2),5)),0))</f>
        <v/>
      </c>
      <c r="L108" s="38" t="str">
        <f aca="false">IF(IFERROR(INDEX(Expenses!B$3:B$1002,SMALL(IF((Expenses!E$3:E$1002="INR")*(Expenses!A$3:A$1002=DATE(2026,5,22)),ROW(Expenses!A$3:A$1002)-2),5)),"")&lt;&gt;"",IFERROR(INDEX(Expenses!B$3:B$1002,SMALL(IF((Expenses!E$3:E$1002="INR")*(Expenses!A$3:A$1002=DATE(2026,5,22)),ROW(Expenses!A$3:A$1002)-2),5)),""),IF(IFERROR(INDEX(Income!B$3:B$502,SMALL(IF((Income!D$3:D$502="INR")*(Income!A$3:A$502=DATE(2026,5,22)),ROW(Income!A$3:A$502)-2),5)),"")&lt;&gt;"",IFERROR(INDEX(Income!B$3:B$502,SMALL(IF((Income!D$3:D$502="INR")*(Income!A$3:A$502=DATE(2026,5,22)),ROW(Income!A$3:A$502)-2),5)),""),""))</f>
        <v/>
      </c>
      <c r="M108" s="63" t="str">
        <f aca="false">IF(IFERROR(-INDEX(Expenses!D$3:D$1002,SMALL(IF((Expenses!E$3:E$1002="INR")*(Expenses!A$3:A$1002=DATE(2026,5,23)),ROW(Expenses!A$3:A$1002)-2),5)),0)+IFERROR(INDEX(Income!C$3:C$502,SMALL(IF((Income!D$3:D$502="INR")*(Income!A$3:A$502=DATE(2026,5,23)),ROW(Income!A$3:A$502)-2),5)),0)=0,"",IFERROR(-INDEX(Expenses!D$3:D$1002,SMALL(IF((Expenses!E$3:E$1002="INR")*(Expenses!A$3:A$1002=DATE(2026,5,23)),ROW(Expenses!A$3:A$1002)-2),5)),0)+IFERROR(INDEX(Income!C$3:C$502,SMALL(IF((Income!D$3:D$502="INR")*(Income!A$3:A$502=DATE(2026,5,23)),ROW(Income!A$3:A$502)-2),5)),0))</f>
        <v/>
      </c>
      <c r="N108" s="38" t="str">
        <f aca="false">IF(IFERROR(INDEX(Expenses!B$3:B$1002,SMALL(IF((Expenses!E$3:E$1002="INR")*(Expenses!A$3:A$1002=DATE(2026,5,23)),ROW(Expenses!A$3:A$1002)-2),5)),"")&lt;&gt;"",IFERROR(INDEX(Expenses!B$3:B$1002,SMALL(IF((Expenses!E$3:E$1002="INR")*(Expenses!A$3:A$1002=DATE(2026,5,23)),ROW(Expenses!A$3:A$1002)-2),5)),""),IF(IFERROR(INDEX(Income!B$3:B$502,SMALL(IF((Income!D$3:D$502="INR")*(Income!A$3:A$502=DATE(2026,5,23)),ROW(Income!A$3:A$502)-2),5)),"")&lt;&gt;"",IFERROR(INDEX(Income!B$3:B$502,SMALL(IF((Income!D$3:D$502="INR")*(Income!A$3:A$502=DATE(2026,5,23)),ROW(Income!A$3:A$502)-2),5)),""),""))</f>
        <v/>
      </c>
      <c r="O108" s="63" t="str">
        <f aca="false">IF(IFERROR(-INDEX(Expenses!D$3:D$1002,SMALL(IF((Expenses!E$3:E$1002="INR")*(Expenses!A$3:A$1002=DATE(2026,5,24)),ROW(Expenses!A$3:A$1002)-2),5)),0)+IFERROR(INDEX(Income!C$3:C$502,SMALL(IF((Income!D$3:D$502="INR")*(Income!A$3:A$502=DATE(2026,5,24)),ROW(Income!A$3:A$502)-2),5)),0)=0,"",IFERROR(-INDEX(Expenses!D$3:D$1002,SMALL(IF((Expenses!E$3:E$1002="INR")*(Expenses!A$3:A$1002=DATE(2026,5,24)),ROW(Expenses!A$3:A$1002)-2),5)),0)+IFERROR(INDEX(Income!C$3:C$502,SMALL(IF((Income!D$3:D$502="INR")*(Income!A$3:A$502=DATE(2026,5,24)),ROW(Income!A$3:A$502)-2),5)),0))</f>
        <v/>
      </c>
      <c r="P108" s="38" t="str">
        <f aca="false">IF(IFERROR(INDEX(Expenses!B$3:B$1002,SMALL(IF((Expenses!E$3:E$1002="INR")*(Expenses!A$3:A$1002=DATE(2026,5,24)),ROW(Expenses!A$3:A$1002)-2),5)),"")&lt;&gt;"",IFERROR(INDEX(Expenses!B$3:B$1002,SMALL(IF((Expenses!E$3:E$1002="INR")*(Expenses!A$3:A$1002=DATE(2026,5,24)),ROW(Expenses!A$3:A$1002)-2),5)),""),IF(IFERROR(INDEX(Income!B$3:B$502,SMALL(IF((Income!D$3:D$502="INR")*(Income!A$3:A$502=DATE(2026,5,24)),ROW(Income!A$3:A$502)-2),5)),"")&lt;&gt;"",IFERROR(INDEX(Income!B$3:B$502,SMALL(IF((Income!D$3:D$502="INR")*(Income!A$3:A$502=DATE(2026,5,24)),ROW(Income!A$3:A$502)-2),5)),""),""))</f>
        <v/>
      </c>
      <c r="Q108" s="16"/>
      <c r="R108" s="16"/>
    </row>
    <row r="109" customFormat="false" ht="15" hidden="false" customHeight="false" outlineLevel="0" collapsed="false">
      <c r="A109" s="61" t="n">
        <v>46167</v>
      </c>
      <c r="B109" s="3" t="n">
        <v>22</v>
      </c>
      <c r="C109" s="63" t="str">
        <f aca="false">IF(IFERROR(-INDEX(Expenses!D$3:D$1002,SMALL(IF((Expenses!E$3:E$1002="INR")*(Expenses!A$3:A$1002=DATE(2026,5,25)),ROW(Expenses!A$3:A$1002)-2),1)),0)+IFERROR(INDEX(Income!C$3:C$502,SMALL(IF((Income!D$3:D$502="INR")*(Income!A$3:A$502=DATE(2026,5,25)),ROW(Income!A$3:A$502)-2),1)),0)=0,"",IFERROR(-INDEX(Expenses!D$3:D$1002,SMALL(IF((Expenses!E$3:E$1002="INR")*(Expenses!A$3:A$1002=DATE(2026,5,25)),ROW(Expenses!A$3:A$1002)-2),1)),0)+IFERROR(INDEX(Income!C$3:C$502,SMALL(IF((Income!D$3:D$502="INR")*(Income!A$3:A$502=DATE(2026,5,25)),ROW(Income!A$3:A$502)-2),1)),0))</f>
        <v/>
      </c>
      <c r="D109" s="38" t="str">
        <f aca="false">IF(IFERROR(INDEX(Expenses!B$3:B$1002,SMALL(IF((Expenses!E$3:E$1002="INR")*(Expenses!A$3:A$1002=DATE(2026,5,25)),ROW(Expenses!A$3:A$1002)-2),1)),"")&lt;&gt;"",IFERROR(INDEX(Expenses!B$3:B$1002,SMALL(IF((Expenses!E$3:E$1002="INR")*(Expenses!A$3:A$1002=DATE(2026,5,25)),ROW(Expenses!A$3:A$1002)-2),1)),""),IF(IFERROR(INDEX(Income!B$3:B$502,SMALL(IF((Income!D$3:D$502="INR")*(Income!A$3:A$502=DATE(2026,5,25)),ROW(Income!A$3:A$502)-2),1)),"")&lt;&gt;"",IFERROR(INDEX(Income!B$3:B$502,SMALL(IF((Income!D$3:D$502="INR")*(Income!A$3:A$502=DATE(2026,5,25)),ROW(Income!A$3:A$502)-2),1)),""),""))</f>
        <v/>
      </c>
      <c r="E109" s="63" t="str">
        <f aca="false">IF(IFERROR(-INDEX(Expenses!D$3:D$1002,SMALL(IF((Expenses!E$3:E$1002="INR")*(Expenses!A$3:A$1002=DATE(2026,5,26)),ROW(Expenses!A$3:A$1002)-2),1)),0)+IFERROR(INDEX(Income!C$3:C$502,SMALL(IF((Income!D$3:D$502="INR")*(Income!A$3:A$502=DATE(2026,5,26)),ROW(Income!A$3:A$502)-2),1)),0)=0,"",IFERROR(-INDEX(Expenses!D$3:D$1002,SMALL(IF((Expenses!E$3:E$1002="INR")*(Expenses!A$3:A$1002=DATE(2026,5,26)),ROW(Expenses!A$3:A$1002)-2),1)),0)+IFERROR(INDEX(Income!C$3:C$502,SMALL(IF((Income!D$3:D$502="INR")*(Income!A$3:A$502=DATE(2026,5,26)),ROW(Income!A$3:A$502)-2),1)),0))</f>
        <v/>
      </c>
      <c r="F109" s="38" t="str">
        <f aca="false">IF(IFERROR(INDEX(Expenses!B$3:B$1002,SMALL(IF((Expenses!E$3:E$1002="INR")*(Expenses!A$3:A$1002=DATE(2026,5,26)),ROW(Expenses!A$3:A$1002)-2),1)),"")&lt;&gt;"",IFERROR(INDEX(Expenses!B$3:B$1002,SMALL(IF((Expenses!E$3:E$1002="INR")*(Expenses!A$3:A$1002=DATE(2026,5,26)),ROW(Expenses!A$3:A$1002)-2),1)),""),IF(IFERROR(INDEX(Income!B$3:B$502,SMALL(IF((Income!D$3:D$502="INR")*(Income!A$3:A$502=DATE(2026,5,26)),ROW(Income!A$3:A$502)-2),1)),"")&lt;&gt;"",IFERROR(INDEX(Income!B$3:B$502,SMALL(IF((Income!D$3:D$502="INR")*(Income!A$3:A$502=DATE(2026,5,26)),ROW(Income!A$3:A$502)-2),1)),""),""))</f>
        <v/>
      </c>
      <c r="G109" s="63" t="str">
        <f aca="false">IF(IFERROR(-INDEX(Expenses!D$3:D$1002,SMALL(IF((Expenses!E$3:E$1002="INR")*(Expenses!A$3:A$1002=DATE(2026,5,27)),ROW(Expenses!A$3:A$1002)-2),1)),0)+IFERROR(INDEX(Income!C$3:C$502,SMALL(IF((Income!D$3:D$502="INR")*(Income!A$3:A$502=DATE(2026,5,27)),ROW(Income!A$3:A$502)-2),1)),0)=0,"",IFERROR(-INDEX(Expenses!D$3:D$1002,SMALL(IF((Expenses!E$3:E$1002="INR")*(Expenses!A$3:A$1002=DATE(2026,5,27)),ROW(Expenses!A$3:A$1002)-2),1)),0)+IFERROR(INDEX(Income!C$3:C$502,SMALL(IF((Income!D$3:D$502="INR")*(Income!A$3:A$502=DATE(2026,5,27)),ROW(Income!A$3:A$502)-2),1)),0))</f>
        <v/>
      </c>
      <c r="H109" s="38" t="str">
        <f aca="false">IF(IFERROR(INDEX(Expenses!B$3:B$1002,SMALL(IF((Expenses!E$3:E$1002="INR")*(Expenses!A$3:A$1002=DATE(2026,5,27)),ROW(Expenses!A$3:A$1002)-2),1)),"")&lt;&gt;"",IFERROR(INDEX(Expenses!B$3:B$1002,SMALL(IF((Expenses!E$3:E$1002="INR")*(Expenses!A$3:A$1002=DATE(2026,5,27)),ROW(Expenses!A$3:A$1002)-2),1)),""),IF(IFERROR(INDEX(Income!B$3:B$502,SMALL(IF((Income!D$3:D$502="INR")*(Income!A$3:A$502=DATE(2026,5,27)),ROW(Income!A$3:A$502)-2),1)),"")&lt;&gt;"",IFERROR(INDEX(Income!B$3:B$502,SMALL(IF((Income!D$3:D$502="INR")*(Income!A$3:A$502=DATE(2026,5,27)),ROW(Income!A$3:A$502)-2),1)),""),""))</f>
        <v/>
      </c>
      <c r="I109" s="63" t="str">
        <f aca="false">IF(IFERROR(-INDEX(Expenses!D$3:D$1002,SMALL(IF((Expenses!E$3:E$1002="INR")*(Expenses!A$3:A$1002=DATE(2026,5,28)),ROW(Expenses!A$3:A$1002)-2),1)),0)+IFERROR(INDEX(Income!C$3:C$502,SMALL(IF((Income!D$3:D$502="INR")*(Income!A$3:A$502=DATE(2026,5,28)),ROW(Income!A$3:A$502)-2),1)),0)=0,"",IFERROR(-INDEX(Expenses!D$3:D$1002,SMALL(IF((Expenses!E$3:E$1002="INR")*(Expenses!A$3:A$1002=DATE(2026,5,28)),ROW(Expenses!A$3:A$1002)-2),1)),0)+IFERROR(INDEX(Income!C$3:C$502,SMALL(IF((Income!D$3:D$502="INR")*(Income!A$3:A$502=DATE(2026,5,28)),ROW(Income!A$3:A$502)-2),1)),0))</f>
        <v/>
      </c>
      <c r="J109" s="38" t="str">
        <f aca="false">IF(IFERROR(INDEX(Expenses!B$3:B$1002,SMALL(IF((Expenses!E$3:E$1002="INR")*(Expenses!A$3:A$1002=DATE(2026,5,28)),ROW(Expenses!A$3:A$1002)-2),1)),"")&lt;&gt;"",IFERROR(INDEX(Expenses!B$3:B$1002,SMALL(IF((Expenses!E$3:E$1002="INR")*(Expenses!A$3:A$1002=DATE(2026,5,28)),ROW(Expenses!A$3:A$1002)-2),1)),""),IF(IFERROR(INDEX(Income!B$3:B$502,SMALL(IF((Income!D$3:D$502="INR")*(Income!A$3:A$502=DATE(2026,5,28)),ROW(Income!A$3:A$502)-2),1)),"")&lt;&gt;"",IFERROR(INDEX(Income!B$3:B$502,SMALL(IF((Income!D$3:D$502="INR")*(Income!A$3:A$502=DATE(2026,5,28)),ROW(Income!A$3:A$502)-2),1)),""),""))</f>
        <v/>
      </c>
      <c r="K109" s="63" t="str">
        <f aca="false">IF(IFERROR(-INDEX(Expenses!D$3:D$1002,SMALL(IF((Expenses!E$3:E$1002="INR")*(Expenses!A$3:A$1002=DATE(2026,5,29)),ROW(Expenses!A$3:A$1002)-2),1)),0)+IFERROR(INDEX(Income!C$3:C$502,SMALL(IF((Income!D$3:D$502="INR")*(Income!A$3:A$502=DATE(2026,5,29)),ROW(Income!A$3:A$502)-2),1)),0)=0,"",IFERROR(-INDEX(Expenses!D$3:D$1002,SMALL(IF((Expenses!E$3:E$1002="INR")*(Expenses!A$3:A$1002=DATE(2026,5,29)),ROW(Expenses!A$3:A$1002)-2),1)),0)+IFERROR(INDEX(Income!C$3:C$502,SMALL(IF((Income!D$3:D$502="INR")*(Income!A$3:A$502=DATE(2026,5,29)),ROW(Income!A$3:A$502)-2),1)),0))</f>
        <v/>
      </c>
      <c r="L109" s="38" t="str">
        <f aca="false">IF(IFERROR(INDEX(Expenses!B$3:B$1002,SMALL(IF((Expenses!E$3:E$1002="INR")*(Expenses!A$3:A$1002=DATE(2026,5,29)),ROW(Expenses!A$3:A$1002)-2),1)),"")&lt;&gt;"",IFERROR(INDEX(Expenses!B$3:B$1002,SMALL(IF((Expenses!E$3:E$1002="INR")*(Expenses!A$3:A$1002=DATE(2026,5,29)),ROW(Expenses!A$3:A$1002)-2),1)),""),IF(IFERROR(INDEX(Income!B$3:B$502,SMALL(IF((Income!D$3:D$502="INR")*(Income!A$3:A$502=DATE(2026,5,29)),ROW(Income!A$3:A$502)-2),1)),"")&lt;&gt;"",IFERROR(INDEX(Income!B$3:B$502,SMALL(IF((Income!D$3:D$502="INR")*(Income!A$3:A$502=DATE(2026,5,29)),ROW(Income!A$3:A$502)-2),1)),""),""))</f>
        <v/>
      </c>
      <c r="M109" s="63" t="str">
        <f aca="false">IF(IFERROR(-INDEX(Expenses!D$3:D$1002,SMALL(IF((Expenses!E$3:E$1002="INR")*(Expenses!A$3:A$1002=DATE(2026,5,30)),ROW(Expenses!A$3:A$1002)-2),1)),0)+IFERROR(INDEX(Income!C$3:C$502,SMALL(IF((Income!D$3:D$502="INR")*(Income!A$3:A$502=DATE(2026,5,30)),ROW(Income!A$3:A$502)-2),1)),0)=0,"",IFERROR(-INDEX(Expenses!D$3:D$1002,SMALL(IF((Expenses!E$3:E$1002="INR")*(Expenses!A$3:A$1002=DATE(2026,5,30)),ROW(Expenses!A$3:A$1002)-2),1)),0)+IFERROR(INDEX(Income!C$3:C$502,SMALL(IF((Income!D$3:D$502="INR")*(Income!A$3:A$502=DATE(2026,5,30)),ROW(Income!A$3:A$502)-2),1)),0))</f>
        <v/>
      </c>
      <c r="N109" s="38" t="str">
        <f aca="false">IF(IFERROR(INDEX(Expenses!B$3:B$1002,SMALL(IF((Expenses!E$3:E$1002="INR")*(Expenses!A$3:A$1002=DATE(2026,5,30)),ROW(Expenses!A$3:A$1002)-2),1)),"")&lt;&gt;"",IFERROR(INDEX(Expenses!B$3:B$1002,SMALL(IF((Expenses!E$3:E$1002="INR")*(Expenses!A$3:A$1002=DATE(2026,5,30)),ROW(Expenses!A$3:A$1002)-2),1)),""),IF(IFERROR(INDEX(Income!B$3:B$502,SMALL(IF((Income!D$3:D$502="INR")*(Income!A$3:A$502=DATE(2026,5,30)),ROW(Income!A$3:A$502)-2),1)),"")&lt;&gt;"",IFERROR(INDEX(Income!B$3:B$502,SMALL(IF((Income!D$3:D$502="INR")*(Income!A$3:A$502=DATE(2026,5,30)),ROW(Income!A$3:A$502)-2),1)),""),""))</f>
        <v/>
      </c>
      <c r="O109" s="63" t="str">
        <f aca="false">IF(IFERROR(-INDEX(Expenses!D$3:D$1002,SMALL(IF((Expenses!E$3:E$1002="INR")*(Expenses!A$3:A$1002=DATE(2026,5,31)),ROW(Expenses!A$3:A$1002)-2),1)),0)+IFERROR(INDEX(Income!C$3:C$502,SMALL(IF((Income!D$3:D$502="INR")*(Income!A$3:A$502=DATE(2026,5,31)),ROW(Income!A$3:A$502)-2),1)),0)=0,"",IFERROR(-INDEX(Expenses!D$3:D$1002,SMALL(IF((Expenses!E$3:E$1002="INR")*(Expenses!A$3:A$1002=DATE(2026,5,31)),ROW(Expenses!A$3:A$1002)-2),1)),0)+IFERROR(INDEX(Income!C$3:C$502,SMALL(IF((Income!D$3:D$502="INR")*(Income!A$3:A$502=DATE(2026,5,31)),ROW(Income!A$3:A$502)-2),1)),0))</f>
        <v/>
      </c>
      <c r="P109" s="38" t="str">
        <f aca="false">IF(IFERROR(INDEX(Expenses!B$3:B$1002,SMALL(IF((Expenses!E$3:E$1002="INR")*(Expenses!A$3:A$1002=DATE(2026,5,31)),ROW(Expenses!A$3:A$1002)-2),1)),"")&lt;&gt;"",IFERROR(INDEX(Expenses!B$3:B$1002,SMALL(IF((Expenses!E$3:E$1002="INR")*(Expenses!A$3:A$1002=DATE(2026,5,31)),ROW(Expenses!A$3:A$1002)-2),1)),""),IF(IFERROR(INDEX(Income!B$3:B$502,SMALL(IF((Income!D$3:D$502="INR")*(Income!A$3:A$502=DATE(2026,5,31)),ROW(Income!A$3:A$502)-2),1)),"")&lt;&gt;"",IFERROR(INDEX(Income!B$3:B$502,SMALL(IF((Income!D$3:D$502="INR")*(Income!A$3:A$502=DATE(2026,5,31)),ROW(Income!A$3:A$502)-2),1)),""),""))</f>
        <v/>
      </c>
      <c r="Q109" s="3" t="n">
        <v>22</v>
      </c>
      <c r="R109" s="53" t="n">
        <f aca="false">SUM(C109:C113)+SUM(E109:E113)+SUM(G109:G113)+SUM(I109:I113)+SUM(K109:K113)+SUM(M109:M113)+SUM(O109:O113)</f>
        <v>0</v>
      </c>
    </row>
    <row r="110" customFormat="false" ht="15" hidden="false" customHeight="false" outlineLevel="0" collapsed="false">
      <c r="A110" s="16"/>
      <c r="B110" s="16"/>
      <c r="C110" s="63" t="str">
        <f aca="false">IF(IFERROR(-INDEX(Expenses!D$3:D$1002,SMALL(IF((Expenses!E$3:E$1002="INR")*(Expenses!A$3:A$1002=DATE(2026,5,25)),ROW(Expenses!A$3:A$1002)-2),2)),0)+IFERROR(INDEX(Income!C$3:C$502,SMALL(IF((Income!D$3:D$502="INR")*(Income!A$3:A$502=DATE(2026,5,25)),ROW(Income!A$3:A$502)-2),2)),0)=0,"",IFERROR(-INDEX(Expenses!D$3:D$1002,SMALL(IF((Expenses!E$3:E$1002="INR")*(Expenses!A$3:A$1002=DATE(2026,5,25)),ROW(Expenses!A$3:A$1002)-2),2)),0)+IFERROR(INDEX(Income!C$3:C$502,SMALL(IF((Income!D$3:D$502="INR")*(Income!A$3:A$502=DATE(2026,5,25)),ROW(Income!A$3:A$502)-2),2)),0))</f>
        <v/>
      </c>
      <c r="D110" s="38" t="str">
        <f aca="false">IF(IFERROR(INDEX(Expenses!B$3:B$1002,SMALL(IF((Expenses!E$3:E$1002="INR")*(Expenses!A$3:A$1002=DATE(2026,5,25)),ROW(Expenses!A$3:A$1002)-2),2)),"")&lt;&gt;"",IFERROR(INDEX(Expenses!B$3:B$1002,SMALL(IF((Expenses!E$3:E$1002="INR")*(Expenses!A$3:A$1002=DATE(2026,5,25)),ROW(Expenses!A$3:A$1002)-2),2)),""),IF(IFERROR(INDEX(Income!B$3:B$502,SMALL(IF((Income!D$3:D$502="INR")*(Income!A$3:A$502=DATE(2026,5,25)),ROW(Income!A$3:A$502)-2),2)),"")&lt;&gt;"",IFERROR(INDEX(Income!B$3:B$502,SMALL(IF((Income!D$3:D$502="INR")*(Income!A$3:A$502=DATE(2026,5,25)),ROW(Income!A$3:A$502)-2),2)),""),""))</f>
        <v/>
      </c>
      <c r="E110" s="63" t="str">
        <f aca="false">IF(IFERROR(-INDEX(Expenses!D$3:D$1002,SMALL(IF((Expenses!E$3:E$1002="INR")*(Expenses!A$3:A$1002=DATE(2026,5,26)),ROW(Expenses!A$3:A$1002)-2),2)),0)+IFERROR(INDEX(Income!C$3:C$502,SMALL(IF((Income!D$3:D$502="INR")*(Income!A$3:A$502=DATE(2026,5,26)),ROW(Income!A$3:A$502)-2),2)),0)=0,"",IFERROR(-INDEX(Expenses!D$3:D$1002,SMALL(IF((Expenses!E$3:E$1002="INR")*(Expenses!A$3:A$1002=DATE(2026,5,26)),ROW(Expenses!A$3:A$1002)-2),2)),0)+IFERROR(INDEX(Income!C$3:C$502,SMALL(IF((Income!D$3:D$502="INR")*(Income!A$3:A$502=DATE(2026,5,26)),ROW(Income!A$3:A$502)-2),2)),0))</f>
        <v/>
      </c>
      <c r="F110" s="38" t="str">
        <f aca="false">IF(IFERROR(INDEX(Expenses!B$3:B$1002,SMALL(IF((Expenses!E$3:E$1002="INR")*(Expenses!A$3:A$1002=DATE(2026,5,26)),ROW(Expenses!A$3:A$1002)-2),2)),"")&lt;&gt;"",IFERROR(INDEX(Expenses!B$3:B$1002,SMALL(IF((Expenses!E$3:E$1002="INR")*(Expenses!A$3:A$1002=DATE(2026,5,26)),ROW(Expenses!A$3:A$1002)-2),2)),""),IF(IFERROR(INDEX(Income!B$3:B$502,SMALL(IF((Income!D$3:D$502="INR")*(Income!A$3:A$502=DATE(2026,5,26)),ROW(Income!A$3:A$502)-2),2)),"")&lt;&gt;"",IFERROR(INDEX(Income!B$3:B$502,SMALL(IF((Income!D$3:D$502="INR")*(Income!A$3:A$502=DATE(2026,5,26)),ROW(Income!A$3:A$502)-2),2)),""),""))</f>
        <v/>
      </c>
      <c r="G110" s="63" t="str">
        <f aca="false">IF(IFERROR(-INDEX(Expenses!D$3:D$1002,SMALL(IF((Expenses!E$3:E$1002="INR")*(Expenses!A$3:A$1002=DATE(2026,5,27)),ROW(Expenses!A$3:A$1002)-2),2)),0)+IFERROR(INDEX(Income!C$3:C$502,SMALL(IF((Income!D$3:D$502="INR")*(Income!A$3:A$502=DATE(2026,5,27)),ROW(Income!A$3:A$502)-2),2)),0)=0,"",IFERROR(-INDEX(Expenses!D$3:D$1002,SMALL(IF((Expenses!E$3:E$1002="INR")*(Expenses!A$3:A$1002=DATE(2026,5,27)),ROW(Expenses!A$3:A$1002)-2),2)),0)+IFERROR(INDEX(Income!C$3:C$502,SMALL(IF((Income!D$3:D$502="INR")*(Income!A$3:A$502=DATE(2026,5,27)),ROW(Income!A$3:A$502)-2),2)),0))</f>
        <v/>
      </c>
      <c r="H110" s="38" t="str">
        <f aca="false">IF(IFERROR(INDEX(Expenses!B$3:B$1002,SMALL(IF((Expenses!E$3:E$1002="INR")*(Expenses!A$3:A$1002=DATE(2026,5,27)),ROW(Expenses!A$3:A$1002)-2),2)),"")&lt;&gt;"",IFERROR(INDEX(Expenses!B$3:B$1002,SMALL(IF((Expenses!E$3:E$1002="INR")*(Expenses!A$3:A$1002=DATE(2026,5,27)),ROW(Expenses!A$3:A$1002)-2),2)),""),IF(IFERROR(INDEX(Income!B$3:B$502,SMALL(IF((Income!D$3:D$502="INR")*(Income!A$3:A$502=DATE(2026,5,27)),ROW(Income!A$3:A$502)-2),2)),"")&lt;&gt;"",IFERROR(INDEX(Income!B$3:B$502,SMALL(IF((Income!D$3:D$502="INR")*(Income!A$3:A$502=DATE(2026,5,27)),ROW(Income!A$3:A$502)-2),2)),""),""))</f>
        <v/>
      </c>
      <c r="I110" s="63" t="str">
        <f aca="false">IF(IFERROR(-INDEX(Expenses!D$3:D$1002,SMALL(IF((Expenses!E$3:E$1002="INR")*(Expenses!A$3:A$1002=DATE(2026,5,28)),ROW(Expenses!A$3:A$1002)-2),2)),0)+IFERROR(INDEX(Income!C$3:C$502,SMALL(IF((Income!D$3:D$502="INR")*(Income!A$3:A$502=DATE(2026,5,28)),ROW(Income!A$3:A$502)-2),2)),0)=0,"",IFERROR(-INDEX(Expenses!D$3:D$1002,SMALL(IF((Expenses!E$3:E$1002="INR")*(Expenses!A$3:A$1002=DATE(2026,5,28)),ROW(Expenses!A$3:A$1002)-2),2)),0)+IFERROR(INDEX(Income!C$3:C$502,SMALL(IF((Income!D$3:D$502="INR")*(Income!A$3:A$502=DATE(2026,5,28)),ROW(Income!A$3:A$502)-2),2)),0))</f>
        <v/>
      </c>
      <c r="J110" s="38" t="str">
        <f aca="false">IF(IFERROR(INDEX(Expenses!B$3:B$1002,SMALL(IF((Expenses!E$3:E$1002="INR")*(Expenses!A$3:A$1002=DATE(2026,5,28)),ROW(Expenses!A$3:A$1002)-2),2)),"")&lt;&gt;"",IFERROR(INDEX(Expenses!B$3:B$1002,SMALL(IF((Expenses!E$3:E$1002="INR")*(Expenses!A$3:A$1002=DATE(2026,5,28)),ROW(Expenses!A$3:A$1002)-2),2)),""),IF(IFERROR(INDEX(Income!B$3:B$502,SMALL(IF((Income!D$3:D$502="INR")*(Income!A$3:A$502=DATE(2026,5,28)),ROW(Income!A$3:A$502)-2),2)),"")&lt;&gt;"",IFERROR(INDEX(Income!B$3:B$502,SMALL(IF((Income!D$3:D$502="INR")*(Income!A$3:A$502=DATE(2026,5,28)),ROW(Income!A$3:A$502)-2),2)),""),""))</f>
        <v/>
      </c>
      <c r="K110" s="63" t="str">
        <f aca="false">IF(IFERROR(-INDEX(Expenses!D$3:D$1002,SMALL(IF((Expenses!E$3:E$1002="INR")*(Expenses!A$3:A$1002=DATE(2026,5,29)),ROW(Expenses!A$3:A$1002)-2),2)),0)+IFERROR(INDEX(Income!C$3:C$502,SMALL(IF((Income!D$3:D$502="INR")*(Income!A$3:A$502=DATE(2026,5,29)),ROW(Income!A$3:A$502)-2),2)),0)=0,"",IFERROR(-INDEX(Expenses!D$3:D$1002,SMALL(IF((Expenses!E$3:E$1002="INR")*(Expenses!A$3:A$1002=DATE(2026,5,29)),ROW(Expenses!A$3:A$1002)-2),2)),0)+IFERROR(INDEX(Income!C$3:C$502,SMALL(IF((Income!D$3:D$502="INR")*(Income!A$3:A$502=DATE(2026,5,29)),ROW(Income!A$3:A$502)-2),2)),0))</f>
        <v/>
      </c>
      <c r="L110" s="38" t="str">
        <f aca="false">IF(IFERROR(INDEX(Expenses!B$3:B$1002,SMALL(IF((Expenses!E$3:E$1002="INR")*(Expenses!A$3:A$1002=DATE(2026,5,29)),ROW(Expenses!A$3:A$1002)-2),2)),"")&lt;&gt;"",IFERROR(INDEX(Expenses!B$3:B$1002,SMALL(IF((Expenses!E$3:E$1002="INR")*(Expenses!A$3:A$1002=DATE(2026,5,29)),ROW(Expenses!A$3:A$1002)-2),2)),""),IF(IFERROR(INDEX(Income!B$3:B$502,SMALL(IF((Income!D$3:D$502="INR")*(Income!A$3:A$502=DATE(2026,5,29)),ROW(Income!A$3:A$502)-2),2)),"")&lt;&gt;"",IFERROR(INDEX(Income!B$3:B$502,SMALL(IF((Income!D$3:D$502="INR")*(Income!A$3:A$502=DATE(2026,5,29)),ROW(Income!A$3:A$502)-2),2)),""),""))</f>
        <v/>
      </c>
      <c r="M110" s="63" t="str">
        <f aca="false">IF(IFERROR(-INDEX(Expenses!D$3:D$1002,SMALL(IF((Expenses!E$3:E$1002="INR")*(Expenses!A$3:A$1002=DATE(2026,5,30)),ROW(Expenses!A$3:A$1002)-2),2)),0)+IFERROR(INDEX(Income!C$3:C$502,SMALL(IF((Income!D$3:D$502="INR")*(Income!A$3:A$502=DATE(2026,5,30)),ROW(Income!A$3:A$502)-2),2)),0)=0,"",IFERROR(-INDEX(Expenses!D$3:D$1002,SMALL(IF((Expenses!E$3:E$1002="INR")*(Expenses!A$3:A$1002=DATE(2026,5,30)),ROW(Expenses!A$3:A$1002)-2),2)),0)+IFERROR(INDEX(Income!C$3:C$502,SMALL(IF((Income!D$3:D$502="INR")*(Income!A$3:A$502=DATE(2026,5,30)),ROW(Income!A$3:A$502)-2),2)),0))</f>
        <v/>
      </c>
      <c r="N110" s="38" t="str">
        <f aca="false">IF(IFERROR(INDEX(Expenses!B$3:B$1002,SMALL(IF((Expenses!E$3:E$1002="INR")*(Expenses!A$3:A$1002=DATE(2026,5,30)),ROW(Expenses!A$3:A$1002)-2),2)),"")&lt;&gt;"",IFERROR(INDEX(Expenses!B$3:B$1002,SMALL(IF((Expenses!E$3:E$1002="INR")*(Expenses!A$3:A$1002=DATE(2026,5,30)),ROW(Expenses!A$3:A$1002)-2),2)),""),IF(IFERROR(INDEX(Income!B$3:B$502,SMALL(IF((Income!D$3:D$502="INR")*(Income!A$3:A$502=DATE(2026,5,30)),ROW(Income!A$3:A$502)-2),2)),"")&lt;&gt;"",IFERROR(INDEX(Income!B$3:B$502,SMALL(IF((Income!D$3:D$502="INR")*(Income!A$3:A$502=DATE(2026,5,30)),ROW(Income!A$3:A$502)-2),2)),""),""))</f>
        <v/>
      </c>
      <c r="O110" s="63" t="str">
        <f aca="false">IF(IFERROR(-INDEX(Expenses!D$3:D$1002,SMALL(IF((Expenses!E$3:E$1002="INR")*(Expenses!A$3:A$1002=DATE(2026,5,31)),ROW(Expenses!A$3:A$1002)-2),2)),0)+IFERROR(INDEX(Income!C$3:C$502,SMALL(IF((Income!D$3:D$502="INR")*(Income!A$3:A$502=DATE(2026,5,31)),ROW(Income!A$3:A$502)-2),2)),0)=0,"",IFERROR(-INDEX(Expenses!D$3:D$1002,SMALL(IF((Expenses!E$3:E$1002="INR")*(Expenses!A$3:A$1002=DATE(2026,5,31)),ROW(Expenses!A$3:A$1002)-2),2)),0)+IFERROR(INDEX(Income!C$3:C$502,SMALL(IF((Income!D$3:D$502="INR")*(Income!A$3:A$502=DATE(2026,5,31)),ROW(Income!A$3:A$502)-2),2)),0))</f>
        <v/>
      </c>
      <c r="P110" s="38" t="str">
        <f aca="false">IF(IFERROR(INDEX(Expenses!B$3:B$1002,SMALL(IF((Expenses!E$3:E$1002="INR")*(Expenses!A$3:A$1002=DATE(2026,5,31)),ROW(Expenses!A$3:A$1002)-2),2)),"")&lt;&gt;"",IFERROR(INDEX(Expenses!B$3:B$1002,SMALL(IF((Expenses!E$3:E$1002="INR")*(Expenses!A$3:A$1002=DATE(2026,5,31)),ROW(Expenses!A$3:A$1002)-2),2)),""),IF(IFERROR(INDEX(Income!B$3:B$502,SMALL(IF((Income!D$3:D$502="INR")*(Income!A$3:A$502=DATE(2026,5,31)),ROW(Income!A$3:A$502)-2),2)),"")&lt;&gt;"",IFERROR(INDEX(Income!B$3:B$502,SMALL(IF((Income!D$3:D$502="INR")*(Income!A$3:A$502=DATE(2026,5,31)),ROW(Income!A$3:A$502)-2),2)),""),""))</f>
        <v/>
      </c>
      <c r="Q110" s="16"/>
      <c r="R110" s="16"/>
    </row>
    <row r="111" customFormat="false" ht="15" hidden="false" customHeight="false" outlineLevel="0" collapsed="false">
      <c r="A111" s="16"/>
      <c r="B111" s="16"/>
      <c r="C111" s="63" t="str">
        <f aca="false">IF(IFERROR(-INDEX(Expenses!D$3:D$1002,SMALL(IF((Expenses!E$3:E$1002="INR")*(Expenses!A$3:A$1002=DATE(2026,5,25)),ROW(Expenses!A$3:A$1002)-2),3)),0)+IFERROR(INDEX(Income!C$3:C$502,SMALL(IF((Income!D$3:D$502="INR")*(Income!A$3:A$502=DATE(2026,5,25)),ROW(Income!A$3:A$502)-2),3)),0)=0,"",IFERROR(-INDEX(Expenses!D$3:D$1002,SMALL(IF((Expenses!E$3:E$1002="INR")*(Expenses!A$3:A$1002=DATE(2026,5,25)),ROW(Expenses!A$3:A$1002)-2),3)),0)+IFERROR(INDEX(Income!C$3:C$502,SMALL(IF((Income!D$3:D$502="INR")*(Income!A$3:A$502=DATE(2026,5,25)),ROW(Income!A$3:A$502)-2),3)),0))</f>
        <v/>
      </c>
      <c r="D111" s="38" t="str">
        <f aca="false">IF(IFERROR(INDEX(Expenses!B$3:B$1002,SMALL(IF((Expenses!E$3:E$1002="INR")*(Expenses!A$3:A$1002=DATE(2026,5,25)),ROW(Expenses!A$3:A$1002)-2),3)),"")&lt;&gt;"",IFERROR(INDEX(Expenses!B$3:B$1002,SMALL(IF((Expenses!E$3:E$1002="INR")*(Expenses!A$3:A$1002=DATE(2026,5,25)),ROW(Expenses!A$3:A$1002)-2),3)),""),IF(IFERROR(INDEX(Income!B$3:B$502,SMALL(IF((Income!D$3:D$502="INR")*(Income!A$3:A$502=DATE(2026,5,25)),ROW(Income!A$3:A$502)-2),3)),"")&lt;&gt;"",IFERROR(INDEX(Income!B$3:B$502,SMALL(IF((Income!D$3:D$502="INR")*(Income!A$3:A$502=DATE(2026,5,25)),ROW(Income!A$3:A$502)-2),3)),""),""))</f>
        <v/>
      </c>
      <c r="E111" s="63" t="str">
        <f aca="false">IF(IFERROR(-INDEX(Expenses!D$3:D$1002,SMALL(IF((Expenses!E$3:E$1002="INR")*(Expenses!A$3:A$1002=DATE(2026,5,26)),ROW(Expenses!A$3:A$1002)-2),3)),0)+IFERROR(INDEX(Income!C$3:C$502,SMALL(IF((Income!D$3:D$502="INR")*(Income!A$3:A$502=DATE(2026,5,26)),ROW(Income!A$3:A$502)-2),3)),0)=0,"",IFERROR(-INDEX(Expenses!D$3:D$1002,SMALL(IF((Expenses!E$3:E$1002="INR")*(Expenses!A$3:A$1002=DATE(2026,5,26)),ROW(Expenses!A$3:A$1002)-2),3)),0)+IFERROR(INDEX(Income!C$3:C$502,SMALL(IF((Income!D$3:D$502="INR")*(Income!A$3:A$502=DATE(2026,5,26)),ROW(Income!A$3:A$502)-2),3)),0))</f>
        <v/>
      </c>
      <c r="F111" s="38" t="str">
        <f aca="false">IF(IFERROR(INDEX(Expenses!B$3:B$1002,SMALL(IF((Expenses!E$3:E$1002="INR")*(Expenses!A$3:A$1002=DATE(2026,5,26)),ROW(Expenses!A$3:A$1002)-2),3)),"")&lt;&gt;"",IFERROR(INDEX(Expenses!B$3:B$1002,SMALL(IF((Expenses!E$3:E$1002="INR")*(Expenses!A$3:A$1002=DATE(2026,5,26)),ROW(Expenses!A$3:A$1002)-2),3)),""),IF(IFERROR(INDEX(Income!B$3:B$502,SMALL(IF((Income!D$3:D$502="INR")*(Income!A$3:A$502=DATE(2026,5,26)),ROW(Income!A$3:A$502)-2),3)),"")&lt;&gt;"",IFERROR(INDEX(Income!B$3:B$502,SMALL(IF((Income!D$3:D$502="INR")*(Income!A$3:A$502=DATE(2026,5,26)),ROW(Income!A$3:A$502)-2),3)),""),""))</f>
        <v/>
      </c>
      <c r="G111" s="63" t="str">
        <f aca="false">IF(IFERROR(-INDEX(Expenses!D$3:D$1002,SMALL(IF((Expenses!E$3:E$1002="INR")*(Expenses!A$3:A$1002=DATE(2026,5,27)),ROW(Expenses!A$3:A$1002)-2),3)),0)+IFERROR(INDEX(Income!C$3:C$502,SMALL(IF((Income!D$3:D$502="INR")*(Income!A$3:A$502=DATE(2026,5,27)),ROW(Income!A$3:A$502)-2),3)),0)=0,"",IFERROR(-INDEX(Expenses!D$3:D$1002,SMALL(IF((Expenses!E$3:E$1002="INR")*(Expenses!A$3:A$1002=DATE(2026,5,27)),ROW(Expenses!A$3:A$1002)-2),3)),0)+IFERROR(INDEX(Income!C$3:C$502,SMALL(IF((Income!D$3:D$502="INR")*(Income!A$3:A$502=DATE(2026,5,27)),ROW(Income!A$3:A$502)-2),3)),0))</f>
        <v/>
      </c>
      <c r="H111" s="38" t="str">
        <f aca="false">IF(IFERROR(INDEX(Expenses!B$3:B$1002,SMALL(IF((Expenses!E$3:E$1002="INR")*(Expenses!A$3:A$1002=DATE(2026,5,27)),ROW(Expenses!A$3:A$1002)-2),3)),"")&lt;&gt;"",IFERROR(INDEX(Expenses!B$3:B$1002,SMALL(IF((Expenses!E$3:E$1002="INR")*(Expenses!A$3:A$1002=DATE(2026,5,27)),ROW(Expenses!A$3:A$1002)-2),3)),""),IF(IFERROR(INDEX(Income!B$3:B$502,SMALL(IF((Income!D$3:D$502="INR")*(Income!A$3:A$502=DATE(2026,5,27)),ROW(Income!A$3:A$502)-2),3)),"")&lt;&gt;"",IFERROR(INDEX(Income!B$3:B$502,SMALL(IF((Income!D$3:D$502="INR")*(Income!A$3:A$502=DATE(2026,5,27)),ROW(Income!A$3:A$502)-2),3)),""),""))</f>
        <v/>
      </c>
      <c r="I111" s="63" t="str">
        <f aca="false">IF(IFERROR(-INDEX(Expenses!D$3:D$1002,SMALL(IF((Expenses!E$3:E$1002="INR")*(Expenses!A$3:A$1002=DATE(2026,5,28)),ROW(Expenses!A$3:A$1002)-2),3)),0)+IFERROR(INDEX(Income!C$3:C$502,SMALL(IF((Income!D$3:D$502="INR")*(Income!A$3:A$502=DATE(2026,5,28)),ROW(Income!A$3:A$502)-2),3)),0)=0,"",IFERROR(-INDEX(Expenses!D$3:D$1002,SMALL(IF((Expenses!E$3:E$1002="INR")*(Expenses!A$3:A$1002=DATE(2026,5,28)),ROW(Expenses!A$3:A$1002)-2),3)),0)+IFERROR(INDEX(Income!C$3:C$502,SMALL(IF((Income!D$3:D$502="INR")*(Income!A$3:A$502=DATE(2026,5,28)),ROW(Income!A$3:A$502)-2),3)),0))</f>
        <v/>
      </c>
      <c r="J111" s="38" t="str">
        <f aca="false">IF(IFERROR(INDEX(Expenses!B$3:B$1002,SMALL(IF((Expenses!E$3:E$1002="INR")*(Expenses!A$3:A$1002=DATE(2026,5,28)),ROW(Expenses!A$3:A$1002)-2),3)),"")&lt;&gt;"",IFERROR(INDEX(Expenses!B$3:B$1002,SMALL(IF((Expenses!E$3:E$1002="INR")*(Expenses!A$3:A$1002=DATE(2026,5,28)),ROW(Expenses!A$3:A$1002)-2),3)),""),IF(IFERROR(INDEX(Income!B$3:B$502,SMALL(IF((Income!D$3:D$502="INR")*(Income!A$3:A$502=DATE(2026,5,28)),ROW(Income!A$3:A$502)-2),3)),"")&lt;&gt;"",IFERROR(INDEX(Income!B$3:B$502,SMALL(IF((Income!D$3:D$502="INR")*(Income!A$3:A$502=DATE(2026,5,28)),ROW(Income!A$3:A$502)-2),3)),""),""))</f>
        <v/>
      </c>
      <c r="K111" s="63" t="str">
        <f aca="false">IF(IFERROR(-INDEX(Expenses!D$3:D$1002,SMALL(IF((Expenses!E$3:E$1002="INR")*(Expenses!A$3:A$1002=DATE(2026,5,29)),ROW(Expenses!A$3:A$1002)-2),3)),0)+IFERROR(INDEX(Income!C$3:C$502,SMALL(IF((Income!D$3:D$502="INR")*(Income!A$3:A$502=DATE(2026,5,29)),ROW(Income!A$3:A$502)-2),3)),0)=0,"",IFERROR(-INDEX(Expenses!D$3:D$1002,SMALL(IF((Expenses!E$3:E$1002="INR")*(Expenses!A$3:A$1002=DATE(2026,5,29)),ROW(Expenses!A$3:A$1002)-2),3)),0)+IFERROR(INDEX(Income!C$3:C$502,SMALL(IF((Income!D$3:D$502="INR")*(Income!A$3:A$502=DATE(2026,5,29)),ROW(Income!A$3:A$502)-2),3)),0))</f>
        <v/>
      </c>
      <c r="L111" s="38" t="str">
        <f aca="false">IF(IFERROR(INDEX(Expenses!B$3:B$1002,SMALL(IF((Expenses!E$3:E$1002="INR")*(Expenses!A$3:A$1002=DATE(2026,5,29)),ROW(Expenses!A$3:A$1002)-2),3)),"")&lt;&gt;"",IFERROR(INDEX(Expenses!B$3:B$1002,SMALL(IF((Expenses!E$3:E$1002="INR")*(Expenses!A$3:A$1002=DATE(2026,5,29)),ROW(Expenses!A$3:A$1002)-2),3)),""),IF(IFERROR(INDEX(Income!B$3:B$502,SMALL(IF((Income!D$3:D$502="INR")*(Income!A$3:A$502=DATE(2026,5,29)),ROW(Income!A$3:A$502)-2),3)),"")&lt;&gt;"",IFERROR(INDEX(Income!B$3:B$502,SMALL(IF((Income!D$3:D$502="INR")*(Income!A$3:A$502=DATE(2026,5,29)),ROW(Income!A$3:A$502)-2),3)),""),""))</f>
        <v/>
      </c>
      <c r="M111" s="63" t="str">
        <f aca="false">IF(IFERROR(-INDEX(Expenses!D$3:D$1002,SMALL(IF((Expenses!E$3:E$1002="INR")*(Expenses!A$3:A$1002=DATE(2026,5,30)),ROW(Expenses!A$3:A$1002)-2),3)),0)+IFERROR(INDEX(Income!C$3:C$502,SMALL(IF((Income!D$3:D$502="INR")*(Income!A$3:A$502=DATE(2026,5,30)),ROW(Income!A$3:A$502)-2),3)),0)=0,"",IFERROR(-INDEX(Expenses!D$3:D$1002,SMALL(IF((Expenses!E$3:E$1002="INR")*(Expenses!A$3:A$1002=DATE(2026,5,30)),ROW(Expenses!A$3:A$1002)-2),3)),0)+IFERROR(INDEX(Income!C$3:C$502,SMALL(IF((Income!D$3:D$502="INR")*(Income!A$3:A$502=DATE(2026,5,30)),ROW(Income!A$3:A$502)-2),3)),0))</f>
        <v/>
      </c>
      <c r="N111" s="38" t="str">
        <f aca="false">IF(IFERROR(INDEX(Expenses!B$3:B$1002,SMALL(IF((Expenses!E$3:E$1002="INR")*(Expenses!A$3:A$1002=DATE(2026,5,30)),ROW(Expenses!A$3:A$1002)-2),3)),"")&lt;&gt;"",IFERROR(INDEX(Expenses!B$3:B$1002,SMALL(IF((Expenses!E$3:E$1002="INR")*(Expenses!A$3:A$1002=DATE(2026,5,30)),ROW(Expenses!A$3:A$1002)-2),3)),""),IF(IFERROR(INDEX(Income!B$3:B$502,SMALL(IF((Income!D$3:D$502="INR")*(Income!A$3:A$502=DATE(2026,5,30)),ROW(Income!A$3:A$502)-2),3)),"")&lt;&gt;"",IFERROR(INDEX(Income!B$3:B$502,SMALL(IF((Income!D$3:D$502="INR")*(Income!A$3:A$502=DATE(2026,5,30)),ROW(Income!A$3:A$502)-2),3)),""),""))</f>
        <v/>
      </c>
      <c r="O111" s="63" t="str">
        <f aca="false">IF(IFERROR(-INDEX(Expenses!D$3:D$1002,SMALL(IF((Expenses!E$3:E$1002="INR")*(Expenses!A$3:A$1002=DATE(2026,5,31)),ROW(Expenses!A$3:A$1002)-2),3)),0)+IFERROR(INDEX(Income!C$3:C$502,SMALL(IF((Income!D$3:D$502="INR")*(Income!A$3:A$502=DATE(2026,5,31)),ROW(Income!A$3:A$502)-2),3)),0)=0,"",IFERROR(-INDEX(Expenses!D$3:D$1002,SMALL(IF((Expenses!E$3:E$1002="INR")*(Expenses!A$3:A$1002=DATE(2026,5,31)),ROW(Expenses!A$3:A$1002)-2),3)),0)+IFERROR(INDEX(Income!C$3:C$502,SMALL(IF((Income!D$3:D$502="INR")*(Income!A$3:A$502=DATE(2026,5,31)),ROW(Income!A$3:A$502)-2),3)),0))</f>
        <v/>
      </c>
      <c r="P111" s="38" t="str">
        <f aca="false">IF(IFERROR(INDEX(Expenses!B$3:B$1002,SMALL(IF((Expenses!E$3:E$1002="INR")*(Expenses!A$3:A$1002=DATE(2026,5,31)),ROW(Expenses!A$3:A$1002)-2),3)),"")&lt;&gt;"",IFERROR(INDEX(Expenses!B$3:B$1002,SMALL(IF((Expenses!E$3:E$1002="INR")*(Expenses!A$3:A$1002=DATE(2026,5,31)),ROW(Expenses!A$3:A$1002)-2),3)),""),IF(IFERROR(INDEX(Income!B$3:B$502,SMALL(IF((Income!D$3:D$502="INR")*(Income!A$3:A$502=DATE(2026,5,31)),ROW(Income!A$3:A$502)-2),3)),"")&lt;&gt;"",IFERROR(INDEX(Income!B$3:B$502,SMALL(IF((Income!D$3:D$502="INR")*(Income!A$3:A$502=DATE(2026,5,31)),ROW(Income!A$3:A$502)-2),3)),""),""))</f>
        <v/>
      </c>
      <c r="Q111" s="16"/>
      <c r="R111" s="16"/>
    </row>
    <row r="112" customFormat="false" ht="15" hidden="false" customHeight="false" outlineLevel="0" collapsed="false">
      <c r="A112" s="16"/>
      <c r="B112" s="16"/>
      <c r="C112" s="63" t="str">
        <f aca="false">IF(IFERROR(-INDEX(Expenses!D$3:D$1002,SMALL(IF((Expenses!E$3:E$1002="INR")*(Expenses!A$3:A$1002=DATE(2026,5,25)),ROW(Expenses!A$3:A$1002)-2),4)),0)+IFERROR(INDEX(Income!C$3:C$502,SMALL(IF((Income!D$3:D$502="INR")*(Income!A$3:A$502=DATE(2026,5,25)),ROW(Income!A$3:A$502)-2),4)),0)=0,"",IFERROR(-INDEX(Expenses!D$3:D$1002,SMALL(IF((Expenses!E$3:E$1002="INR")*(Expenses!A$3:A$1002=DATE(2026,5,25)),ROW(Expenses!A$3:A$1002)-2),4)),0)+IFERROR(INDEX(Income!C$3:C$502,SMALL(IF((Income!D$3:D$502="INR")*(Income!A$3:A$502=DATE(2026,5,25)),ROW(Income!A$3:A$502)-2),4)),0))</f>
        <v/>
      </c>
      <c r="D112" s="38" t="str">
        <f aca="false">IF(IFERROR(INDEX(Expenses!B$3:B$1002,SMALL(IF((Expenses!E$3:E$1002="INR")*(Expenses!A$3:A$1002=DATE(2026,5,25)),ROW(Expenses!A$3:A$1002)-2),4)),"")&lt;&gt;"",IFERROR(INDEX(Expenses!B$3:B$1002,SMALL(IF((Expenses!E$3:E$1002="INR")*(Expenses!A$3:A$1002=DATE(2026,5,25)),ROW(Expenses!A$3:A$1002)-2),4)),""),IF(IFERROR(INDEX(Income!B$3:B$502,SMALL(IF((Income!D$3:D$502="INR")*(Income!A$3:A$502=DATE(2026,5,25)),ROW(Income!A$3:A$502)-2),4)),"")&lt;&gt;"",IFERROR(INDEX(Income!B$3:B$502,SMALL(IF((Income!D$3:D$502="INR")*(Income!A$3:A$502=DATE(2026,5,25)),ROW(Income!A$3:A$502)-2),4)),""),""))</f>
        <v/>
      </c>
      <c r="E112" s="63" t="str">
        <f aca="false">IF(IFERROR(-INDEX(Expenses!D$3:D$1002,SMALL(IF((Expenses!E$3:E$1002="INR")*(Expenses!A$3:A$1002=DATE(2026,5,26)),ROW(Expenses!A$3:A$1002)-2),4)),0)+IFERROR(INDEX(Income!C$3:C$502,SMALL(IF((Income!D$3:D$502="INR")*(Income!A$3:A$502=DATE(2026,5,26)),ROW(Income!A$3:A$502)-2),4)),0)=0,"",IFERROR(-INDEX(Expenses!D$3:D$1002,SMALL(IF((Expenses!E$3:E$1002="INR")*(Expenses!A$3:A$1002=DATE(2026,5,26)),ROW(Expenses!A$3:A$1002)-2),4)),0)+IFERROR(INDEX(Income!C$3:C$502,SMALL(IF((Income!D$3:D$502="INR")*(Income!A$3:A$502=DATE(2026,5,26)),ROW(Income!A$3:A$502)-2),4)),0))</f>
        <v/>
      </c>
      <c r="F112" s="38" t="str">
        <f aca="false">IF(IFERROR(INDEX(Expenses!B$3:B$1002,SMALL(IF((Expenses!E$3:E$1002="INR")*(Expenses!A$3:A$1002=DATE(2026,5,26)),ROW(Expenses!A$3:A$1002)-2),4)),"")&lt;&gt;"",IFERROR(INDEX(Expenses!B$3:B$1002,SMALL(IF((Expenses!E$3:E$1002="INR")*(Expenses!A$3:A$1002=DATE(2026,5,26)),ROW(Expenses!A$3:A$1002)-2),4)),""),IF(IFERROR(INDEX(Income!B$3:B$502,SMALL(IF((Income!D$3:D$502="INR")*(Income!A$3:A$502=DATE(2026,5,26)),ROW(Income!A$3:A$502)-2),4)),"")&lt;&gt;"",IFERROR(INDEX(Income!B$3:B$502,SMALL(IF((Income!D$3:D$502="INR")*(Income!A$3:A$502=DATE(2026,5,26)),ROW(Income!A$3:A$502)-2),4)),""),""))</f>
        <v/>
      </c>
      <c r="G112" s="63" t="str">
        <f aca="false">IF(IFERROR(-INDEX(Expenses!D$3:D$1002,SMALL(IF((Expenses!E$3:E$1002="INR")*(Expenses!A$3:A$1002=DATE(2026,5,27)),ROW(Expenses!A$3:A$1002)-2),4)),0)+IFERROR(INDEX(Income!C$3:C$502,SMALL(IF((Income!D$3:D$502="INR")*(Income!A$3:A$502=DATE(2026,5,27)),ROW(Income!A$3:A$502)-2),4)),0)=0,"",IFERROR(-INDEX(Expenses!D$3:D$1002,SMALL(IF((Expenses!E$3:E$1002="INR")*(Expenses!A$3:A$1002=DATE(2026,5,27)),ROW(Expenses!A$3:A$1002)-2),4)),0)+IFERROR(INDEX(Income!C$3:C$502,SMALL(IF((Income!D$3:D$502="INR")*(Income!A$3:A$502=DATE(2026,5,27)),ROW(Income!A$3:A$502)-2),4)),0))</f>
        <v/>
      </c>
      <c r="H112" s="38" t="str">
        <f aca="false">IF(IFERROR(INDEX(Expenses!B$3:B$1002,SMALL(IF((Expenses!E$3:E$1002="INR")*(Expenses!A$3:A$1002=DATE(2026,5,27)),ROW(Expenses!A$3:A$1002)-2),4)),"")&lt;&gt;"",IFERROR(INDEX(Expenses!B$3:B$1002,SMALL(IF((Expenses!E$3:E$1002="INR")*(Expenses!A$3:A$1002=DATE(2026,5,27)),ROW(Expenses!A$3:A$1002)-2),4)),""),IF(IFERROR(INDEX(Income!B$3:B$502,SMALL(IF((Income!D$3:D$502="INR")*(Income!A$3:A$502=DATE(2026,5,27)),ROW(Income!A$3:A$502)-2),4)),"")&lt;&gt;"",IFERROR(INDEX(Income!B$3:B$502,SMALL(IF((Income!D$3:D$502="INR")*(Income!A$3:A$502=DATE(2026,5,27)),ROW(Income!A$3:A$502)-2),4)),""),""))</f>
        <v/>
      </c>
      <c r="I112" s="63" t="str">
        <f aca="false">IF(IFERROR(-INDEX(Expenses!D$3:D$1002,SMALL(IF((Expenses!E$3:E$1002="INR")*(Expenses!A$3:A$1002=DATE(2026,5,28)),ROW(Expenses!A$3:A$1002)-2),4)),0)+IFERROR(INDEX(Income!C$3:C$502,SMALL(IF((Income!D$3:D$502="INR")*(Income!A$3:A$502=DATE(2026,5,28)),ROW(Income!A$3:A$502)-2),4)),0)=0,"",IFERROR(-INDEX(Expenses!D$3:D$1002,SMALL(IF((Expenses!E$3:E$1002="INR")*(Expenses!A$3:A$1002=DATE(2026,5,28)),ROW(Expenses!A$3:A$1002)-2),4)),0)+IFERROR(INDEX(Income!C$3:C$502,SMALL(IF((Income!D$3:D$502="INR")*(Income!A$3:A$502=DATE(2026,5,28)),ROW(Income!A$3:A$502)-2),4)),0))</f>
        <v/>
      </c>
      <c r="J112" s="38" t="str">
        <f aca="false">IF(IFERROR(INDEX(Expenses!B$3:B$1002,SMALL(IF((Expenses!E$3:E$1002="INR")*(Expenses!A$3:A$1002=DATE(2026,5,28)),ROW(Expenses!A$3:A$1002)-2),4)),"")&lt;&gt;"",IFERROR(INDEX(Expenses!B$3:B$1002,SMALL(IF((Expenses!E$3:E$1002="INR")*(Expenses!A$3:A$1002=DATE(2026,5,28)),ROW(Expenses!A$3:A$1002)-2),4)),""),IF(IFERROR(INDEX(Income!B$3:B$502,SMALL(IF((Income!D$3:D$502="INR")*(Income!A$3:A$502=DATE(2026,5,28)),ROW(Income!A$3:A$502)-2),4)),"")&lt;&gt;"",IFERROR(INDEX(Income!B$3:B$502,SMALL(IF((Income!D$3:D$502="INR")*(Income!A$3:A$502=DATE(2026,5,28)),ROW(Income!A$3:A$502)-2),4)),""),""))</f>
        <v/>
      </c>
      <c r="K112" s="63" t="str">
        <f aca="false">IF(IFERROR(-INDEX(Expenses!D$3:D$1002,SMALL(IF((Expenses!E$3:E$1002="INR")*(Expenses!A$3:A$1002=DATE(2026,5,29)),ROW(Expenses!A$3:A$1002)-2),4)),0)+IFERROR(INDEX(Income!C$3:C$502,SMALL(IF((Income!D$3:D$502="INR")*(Income!A$3:A$502=DATE(2026,5,29)),ROW(Income!A$3:A$502)-2),4)),0)=0,"",IFERROR(-INDEX(Expenses!D$3:D$1002,SMALL(IF((Expenses!E$3:E$1002="INR")*(Expenses!A$3:A$1002=DATE(2026,5,29)),ROW(Expenses!A$3:A$1002)-2),4)),0)+IFERROR(INDEX(Income!C$3:C$502,SMALL(IF((Income!D$3:D$502="INR")*(Income!A$3:A$502=DATE(2026,5,29)),ROW(Income!A$3:A$502)-2),4)),0))</f>
        <v/>
      </c>
      <c r="L112" s="38" t="str">
        <f aca="false">IF(IFERROR(INDEX(Expenses!B$3:B$1002,SMALL(IF((Expenses!E$3:E$1002="INR")*(Expenses!A$3:A$1002=DATE(2026,5,29)),ROW(Expenses!A$3:A$1002)-2),4)),"")&lt;&gt;"",IFERROR(INDEX(Expenses!B$3:B$1002,SMALL(IF((Expenses!E$3:E$1002="INR")*(Expenses!A$3:A$1002=DATE(2026,5,29)),ROW(Expenses!A$3:A$1002)-2),4)),""),IF(IFERROR(INDEX(Income!B$3:B$502,SMALL(IF((Income!D$3:D$502="INR")*(Income!A$3:A$502=DATE(2026,5,29)),ROW(Income!A$3:A$502)-2),4)),"")&lt;&gt;"",IFERROR(INDEX(Income!B$3:B$502,SMALL(IF((Income!D$3:D$502="INR")*(Income!A$3:A$502=DATE(2026,5,29)),ROW(Income!A$3:A$502)-2),4)),""),""))</f>
        <v/>
      </c>
      <c r="M112" s="63" t="str">
        <f aca="false">IF(IFERROR(-INDEX(Expenses!D$3:D$1002,SMALL(IF((Expenses!E$3:E$1002="INR")*(Expenses!A$3:A$1002=DATE(2026,5,30)),ROW(Expenses!A$3:A$1002)-2),4)),0)+IFERROR(INDEX(Income!C$3:C$502,SMALL(IF((Income!D$3:D$502="INR")*(Income!A$3:A$502=DATE(2026,5,30)),ROW(Income!A$3:A$502)-2),4)),0)=0,"",IFERROR(-INDEX(Expenses!D$3:D$1002,SMALL(IF((Expenses!E$3:E$1002="INR")*(Expenses!A$3:A$1002=DATE(2026,5,30)),ROW(Expenses!A$3:A$1002)-2),4)),0)+IFERROR(INDEX(Income!C$3:C$502,SMALL(IF((Income!D$3:D$502="INR")*(Income!A$3:A$502=DATE(2026,5,30)),ROW(Income!A$3:A$502)-2),4)),0))</f>
        <v/>
      </c>
      <c r="N112" s="38" t="str">
        <f aca="false">IF(IFERROR(INDEX(Expenses!B$3:B$1002,SMALL(IF((Expenses!E$3:E$1002="INR")*(Expenses!A$3:A$1002=DATE(2026,5,30)),ROW(Expenses!A$3:A$1002)-2),4)),"")&lt;&gt;"",IFERROR(INDEX(Expenses!B$3:B$1002,SMALL(IF((Expenses!E$3:E$1002="INR")*(Expenses!A$3:A$1002=DATE(2026,5,30)),ROW(Expenses!A$3:A$1002)-2),4)),""),IF(IFERROR(INDEX(Income!B$3:B$502,SMALL(IF((Income!D$3:D$502="INR")*(Income!A$3:A$502=DATE(2026,5,30)),ROW(Income!A$3:A$502)-2),4)),"")&lt;&gt;"",IFERROR(INDEX(Income!B$3:B$502,SMALL(IF((Income!D$3:D$502="INR")*(Income!A$3:A$502=DATE(2026,5,30)),ROW(Income!A$3:A$502)-2),4)),""),""))</f>
        <v/>
      </c>
      <c r="O112" s="63" t="str">
        <f aca="false">IF(IFERROR(-INDEX(Expenses!D$3:D$1002,SMALL(IF((Expenses!E$3:E$1002="INR")*(Expenses!A$3:A$1002=DATE(2026,5,31)),ROW(Expenses!A$3:A$1002)-2),4)),0)+IFERROR(INDEX(Income!C$3:C$502,SMALL(IF((Income!D$3:D$502="INR")*(Income!A$3:A$502=DATE(2026,5,31)),ROW(Income!A$3:A$502)-2),4)),0)=0,"",IFERROR(-INDEX(Expenses!D$3:D$1002,SMALL(IF((Expenses!E$3:E$1002="INR")*(Expenses!A$3:A$1002=DATE(2026,5,31)),ROW(Expenses!A$3:A$1002)-2),4)),0)+IFERROR(INDEX(Income!C$3:C$502,SMALL(IF((Income!D$3:D$502="INR")*(Income!A$3:A$502=DATE(2026,5,31)),ROW(Income!A$3:A$502)-2),4)),0))</f>
        <v/>
      </c>
      <c r="P112" s="38" t="str">
        <f aca="false">IF(IFERROR(INDEX(Expenses!B$3:B$1002,SMALL(IF((Expenses!E$3:E$1002="INR")*(Expenses!A$3:A$1002=DATE(2026,5,31)),ROW(Expenses!A$3:A$1002)-2),4)),"")&lt;&gt;"",IFERROR(INDEX(Expenses!B$3:B$1002,SMALL(IF((Expenses!E$3:E$1002="INR")*(Expenses!A$3:A$1002=DATE(2026,5,31)),ROW(Expenses!A$3:A$1002)-2),4)),""),IF(IFERROR(INDEX(Income!B$3:B$502,SMALL(IF((Income!D$3:D$502="INR")*(Income!A$3:A$502=DATE(2026,5,31)),ROW(Income!A$3:A$502)-2),4)),"")&lt;&gt;"",IFERROR(INDEX(Income!B$3:B$502,SMALL(IF((Income!D$3:D$502="INR")*(Income!A$3:A$502=DATE(2026,5,31)),ROW(Income!A$3:A$502)-2),4)),""),""))</f>
        <v/>
      </c>
      <c r="Q112" s="16"/>
      <c r="R112" s="16"/>
    </row>
    <row r="113" customFormat="false" ht="15" hidden="false" customHeight="false" outlineLevel="0" collapsed="false">
      <c r="A113" s="16"/>
      <c r="B113" s="16"/>
      <c r="C113" s="63" t="str">
        <f aca="false">IF(IFERROR(-INDEX(Expenses!D$3:D$1002,SMALL(IF((Expenses!E$3:E$1002="INR")*(Expenses!A$3:A$1002=DATE(2026,5,25)),ROW(Expenses!A$3:A$1002)-2),5)),0)+IFERROR(INDEX(Income!C$3:C$502,SMALL(IF((Income!D$3:D$502="INR")*(Income!A$3:A$502=DATE(2026,5,25)),ROW(Income!A$3:A$502)-2),5)),0)=0,"",IFERROR(-INDEX(Expenses!D$3:D$1002,SMALL(IF((Expenses!E$3:E$1002="INR")*(Expenses!A$3:A$1002=DATE(2026,5,25)),ROW(Expenses!A$3:A$1002)-2),5)),0)+IFERROR(INDEX(Income!C$3:C$502,SMALL(IF((Income!D$3:D$502="INR")*(Income!A$3:A$502=DATE(2026,5,25)),ROW(Income!A$3:A$502)-2),5)),0))</f>
        <v/>
      </c>
      <c r="D113" s="38" t="str">
        <f aca="false">IF(IFERROR(INDEX(Expenses!B$3:B$1002,SMALL(IF((Expenses!E$3:E$1002="INR")*(Expenses!A$3:A$1002=DATE(2026,5,25)),ROW(Expenses!A$3:A$1002)-2),5)),"")&lt;&gt;"",IFERROR(INDEX(Expenses!B$3:B$1002,SMALL(IF((Expenses!E$3:E$1002="INR")*(Expenses!A$3:A$1002=DATE(2026,5,25)),ROW(Expenses!A$3:A$1002)-2),5)),""),IF(IFERROR(INDEX(Income!B$3:B$502,SMALL(IF((Income!D$3:D$502="INR")*(Income!A$3:A$502=DATE(2026,5,25)),ROW(Income!A$3:A$502)-2),5)),"")&lt;&gt;"",IFERROR(INDEX(Income!B$3:B$502,SMALL(IF((Income!D$3:D$502="INR")*(Income!A$3:A$502=DATE(2026,5,25)),ROW(Income!A$3:A$502)-2),5)),""),""))</f>
        <v/>
      </c>
      <c r="E113" s="63" t="str">
        <f aca="false">IF(IFERROR(-INDEX(Expenses!D$3:D$1002,SMALL(IF((Expenses!E$3:E$1002="INR")*(Expenses!A$3:A$1002=DATE(2026,5,26)),ROW(Expenses!A$3:A$1002)-2),5)),0)+IFERROR(INDEX(Income!C$3:C$502,SMALL(IF((Income!D$3:D$502="INR")*(Income!A$3:A$502=DATE(2026,5,26)),ROW(Income!A$3:A$502)-2),5)),0)=0,"",IFERROR(-INDEX(Expenses!D$3:D$1002,SMALL(IF((Expenses!E$3:E$1002="INR")*(Expenses!A$3:A$1002=DATE(2026,5,26)),ROW(Expenses!A$3:A$1002)-2),5)),0)+IFERROR(INDEX(Income!C$3:C$502,SMALL(IF((Income!D$3:D$502="INR")*(Income!A$3:A$502=DATE(2026,5,26)),ROW(Income!A$3:A$502)-2),5)),0))</f>
        <v/>
      </c>
      <c r="F113" s="38" t="str">
        <f aca="false">IF(IFERROR(INDEX(Expenses!B$3:B$1002,SMALL(IF((Expenses!E$3:E$1002="INR")*(Expenses!A$3:A$1002=DATE(2026,5,26)),ROW(Expenses!A$3:A$1002)-2),5)),"")&lt;&gt;"",IFERROR(INDEX(Expenses!B$3:B$1002,SMALL(IF((Expenses!E$3:E$1002="INR")*(Expenses!A$3:A$1002=DATE(2026,5,26)),ROW(Expenses!A$3:A$1002)-2),5)),""),IF(IFERROR(INDEX(Income!B$3:B$502,SMALL(IF((Income!D$3:D$502="INR")*(Income!A$3:A$502=DATE(2026,5,26)),ROW(Income!A$3:A$502)-2),5)),"")&lt;&gt;"",IFERROR(INDEX(Income!B$3:B$502,SMALL(IF((Income!D$3:D$502="INR")*(Income!A$3:A$502=DATE(2026,5,26)),ROW(Income!A$3:A$502)-2),5)),""),""))</f>
        <v/>
      </c>
      <c r="G113" s="63" t="str">
        <f aca="false">IF(IFERROR(-INDEX(Expenses!D$3:D$1002,SMALL(IF((Expenses!E$3:E$1002="INR")*(Expenses!A$3:A$1002=DATE(2026,5,27)),ROW(Expenses!A$3:A$1002)-2),5)),0)+IFERROR(INDEX(Income!C$3:C$502,SMALL(IF((Income!D$3:D$502="INR")*(Income!A$3:A$502=DATE(2026,5,27)),ROW(Income!A$3:A$502)-2),5)),0)=0,"",IFERROR(-INDEX(Expenses!D$3:D$1002,SMALL(IF((Expenses!E$3:E$1002="INR")*(Expenses!A$3:A$1002=DATE(2026,5,27)),ROW(Expenses!A$3:A$1002)-2),5)),0)+IFERROR(INDEX(Income!C$3:C$502,SMALL(IF((Income!D$3:D$502="INR")*(Income!A$3:A$502=DATE(2026,5,27)),ROW(Income!A$3:A$502)-2),5)),0))</f>
        <v/>
      </c>
      <c r="H113" s="38" t="str">
        <f aca="false">IF(IFERROR(INDEX(Expenses!B$3:B$1002,SMALL(IF((Expenses!E$3:E$1002="INR")*(Expenses!A$3:A$1002=DATE(2026,5,27)),ROW(Expenses!A$3:A$1002)-2),5)),"")&lt;&gt;"",IFERROR(INDEX(Expenses!B$3:B$1002,SMALL(IF((Expenses!E$3:E$1002="INR")*(Expenses!A$3:A$1002=DATE(2026,5,27)),ROW(Expenses!A$3:A$1002)-2),5)),""),IF(IFERROR(INDEX(Income!B$3:B$502,SMALL(IF((Income!D$3:D$502="INR")*(Income!A$3:A$502=DATE(2026,5,27)),ROW(Income!A$3:A$502)-2),5)),"")&lt;&gt;"",IFERROR(INDEX(Income!B$3:B$502,SMALL(IF((Income!D$3:D$502="INR")*(Income!A$3:A$502=DATE(2026,5,27)),ROW(Income!A$3:A$502)-2),5)),""),""))</f>
        <v/>
      </c>
      <c r="I113" s="63" t="str">
        <f aca="false">IF(IFERROR(-INDEX(Expenses!D$3:D$1002,SMALL(IF((Expenses!E$3:E$1002="INR")*(Expenses!A$3:A$1002=DATE(2026,5,28)),ROW(Expenses!A$3:A$1002)-2),5)),0)+IFERROR(INDEX(Income!C$3:C$502,SMALL(IF((Income!D$3:D$502="INR")*(Income!A$3:A$502=DATE(2026,5,28)),ROW(Income!A$3:A$502)-2),5)),0)=0,"",IFERROR(-INDEX(Expenses!D$3:D$1002,SMALL(IF((Expenses!E$3:E$1002="INR")*(Expenses!A$3:A$1002=DATE(2026,5,28)),ROW(Expenses!A$3:A$1002)-2),5)),0)+IFERROR(INDEX(Income!C$3:C$502,SMALL(IF((Income!D$3:D$502="INR")*(Income!A$3:A$502=DATE(2026,5,28)),ROW(Income!A$3:A$502)-2),5)),0))</f>
        <v/>
      </c>
      <c r="J113" s="38" t="str">
        <f aca="false">IF(IFERROR(INDEX(Expenses!B$3:B$1002,SMALL(IF((Expenses!E$3:E$1002="INR")*(Expenses!A$3:A$1002=DATE(2026,5,28)),ROW(Expenses!A$3:A$1002)-2),5)),"")&lt;&gt;"",IFERROR(INDEX(Expenses!B$3:B$1002,SMALL(IF((Expenses!E$3:E$1002="INR")*(Expenses!A$3:A$1002=DATE(2026,5,28)),ROW(Expenses!A$3:A$1002)-2),5)),""),IF(IFERROR(INDEX(Income!B$3:B$502,SMALL(IF((Income!D$3:D$502="INR")*(Income!A$3:A$502=DATE(2026,5,28)),ROW(Income!A$3:A$502)-2),5)),"")&lt;&gt;"",IFERROR(INDEX(Income!B$3:B$502,SMALL(IF((Income!D$3:D$502="INR")*(Income!A$3:A$502=DATE(2026,5,28)),ROW(Income!A$3:A$502)-2),5)),""),""))</f>
        <v/>
      </c>
      <c r="K113" s="63" t="str">
        <f aca="false">IF(IFERROR(-INDEX(Expenses!D$3:D$1002,SMALL(IF((Expenses!E$3:E$1002="INR")*(Expenses!A$3:A$1002=DATE(2026,5,29)),ROW(Expenses!A$3:A$1002)-2),5)),0)+IFERROR(INDEX(Income!C$3:C$502,SMALL(IF((Income!D$3:D$502="INR")*(Income!A$3:A$502=DATE(2026,5,29)),ROW(Income!A$3:A$502)-2),5)),0)=0,"",IFERROR(-INDEX(Expenses!D$3:D$1002,SMALL(IF((Expenses!E$3:E$1002="INR")*(Expenses!A$3:A$1002=DATE(2026,5,29)),ROW(Expenses!A$3:A$1002)-2),5)),0)+IFERROR(INDEX(Income!C$3:C$502,SMALL(IF((Income!D$3:D$502="INR")*(Income!A$3:A$502=DATE(2026,5,29)),ROW(Income!A$3:A$502)-2),5)),0))</f>
        <v/>
      </c>
      <c r="L113" s="38" t="str">
        <f aca="false">IF(IFERROR(INDEX(Expenses!B$3:B$1002,SMALL(IF((Expenses!E$3:E$1002="INR")*(Expenses!A$3:A$1002=DATE(2026,5,29)),ROW(Expenses!A$3:A$1002)-2),5)),"")&lt;&gt;"",IFERROR(INDEX(Expenses!B$3:B$1002,SMALL(IF((Expenses!E$3:E$1002="INR")*(Expenses!A$3:A$1002=DATE(2026,5,29)),ROW(Expenses!A$3:A$1002)-2),5)),""),IF(IFERROR(INDEX(Income!B$3:B$502,SMALL(IF((Income!D$3:D$502="INR")*(Income!A$3:A$502=DATE(2026,5,29)),ROW(Income!A$3:A$502)-2),5)),"")&lt;&gt;"",IFERROR(INDEX(Income!B$3:B$502,SMALL(IF((Income!D$3:D$502="INR")*(Income!A$3:A$502=DATE(2026,5,29)),ROW(Income!A$3:A$502)-2),5)),""),""))</f>
        <v/>
      </c>
      <c r="M113" s="63" t="str">
        <f aca="false">IF(IFERROR(-INDEX(Expenses!D$3:D$1002,SMALL(IF((Expenses!E$3:E$1002="INR")*(Expenses!A$3:A$1002=DATE(2026,5,30)),ROW(Expenses!A$3:A$1002)-2),5)),0)+IFERROR(INDEX(Income!C$3:C$502,SMALL(IF((Income!D$3:D$502="INR")*(Income!A$3:A$502=DATE(2026,5,30)),ROW(Income!A$3:A$502)-2),5)),0)=0,"",IFERROR(-INDEX(Expenses!D$3:D$1002,SMALL(IF((Expenses!E$3:E$1002="INR")*(Expenses!A$3:A$1002=DATE(2026,5,30)),ROW(Expenses!A$3:A$1002)-2),5)),0)+IFERROR(INDEX(Income!C$3:C$502,SMALL(IF((Income!D$3:D$502="INR")*(Income!A$3:A$502=DATE(2026,5,30)),ROW(Income!A$3:A$502)-2),5)),0))</f>
        <v/>
      </c>
      <c r="N113" s="38" t="str">
        <f aca="false">IF(IFERROR(INDEX(Expenses!B$3:B$1002,SMALL(IF((Expenses!E$3:E$1002="INR")*(Expenses!A$3:A$1002=DATE(2026,5,30)),ROW(Expenses!A$3:A$1002)-2),5)),"")&lt;&gt;"",IFERROR(INDEX(Expenses!B$3:B$1002,SMALL(IF((Expenses!E$3:E$1002="INR")*(Expenses!A$3:A$1002=DATE(2026,5,30)),ROW(Expenses!A$3:A$1002)-2),5)),""),IF(IFERROR(INDEX(Income!B$3:B$502,SMALL(IF((Income!D$3:D$502="INR")*(Income!A$3:A$502=DATE(2026,5,30)),ROW(Income!A$3:A$502)-2),5)),"")&lt;&gt;"",IFERROR(INDEX(Income!B$3:B$502,SMALL(IF((Income!D$3:D$502="INR")*(Income!A$3:A$502=DATE(2026,5,30)),ROW(Income!A$3:A$502)-2),5)),""),""))</f>
        <v/>
      </c>
      <c r="O113" s="63" t="str">
        <f aca="false">IF(IFERROR(-INDEX(Expenses!D$3:D$1002,SMALL(IF((Expenses!E$3:E$1002="INR")*(Expenses!A$3:A$1002=DATE(2026,5,31)),ROW(Expenses!A$3:A$1002)-2),5)),0)+IFERROR(INDEX(Income!C$3:C$502,SMALL(IF((Income!D$3:D$502="INR")*(Income!A$3:A$502=DATE(2026,5,31)),ROW(Income!A$3:A$502)-2),5)),0)=0,"",IFERROR(-INDEX(Expenses!D$3:D$1002,SMALL(IF((Expenses!E$3:E$1002="INR")*(Expenses!A$3:A$1002=DATE(2026,5,31)),ROW(Expenses!A$3:A$1002)-2),5)),0)+IFERROR(INDEX(Income!C$3:C$502,SMALL(IF((Income!D$3:D$502="INR")*(Income!A$3:A$502=DATE(2026,5,31)),ROW(Income!A$3:A$502)-2),5)),0))</f>
        <v/>
      </c>
      <c r="P113" s="38" t="str">
        <f aca="false">IF(IFERROR(INDEX(Expenses!B$3:B$1002,SMALL(IF((Expenses!E$3:E$1002="INR")*(Expenses!A$3:A$1002=DATE(2026,5,31)),ROW(Expenses!A$3:A$1002)-2),5)),"")&lt;&gt;"",IFERROR(INDEX(Expenses!B$3:B$1002,SMALL(IF((Expenses!E$3:E$1002="INR")*(Expenses!A$3:A$1002=DATE(2026,5,31)),ROW(Expenses!A$3:A$1002)-2),5)),""),IF(IFERROR(INDEX(Income!B$3:B$502,SMALL(IF((Income!D$3:D$502="INR")*(Income!A$3:A$502=DATE(2026,5,31)),ROW(Income!A$3:A$502)-2),5)),"")&lt;&gt;"",IFERROR(INDEX(Income!B$3:B$502,SMALL(IF((Income!D$3:D$502="INR")*(Income!A$3:A$502=DATE(2026,5,31)),ROW(Income!A$3:A$502)-2),5)),""),""))</f>
        <v/>
      </c>
      <c r="Q113" s="16"/>
      <c r="R113" s="16"/>
    </row>
    <row r="114" customFormat="false" ht="15" hidden="false" customHeight="false" outlineLevel="0" collapsed="false">
      <c r="A114" s="61" t="n">
        <v>46174</v>
      </c>
      <c r="B114" s="3" t="n">
        <v>23</v>
      </c>
      <c r="C114" s="63" t="str">
        <f aca="false">IF(IFERROR(-INDEX(Expenses!D$3:D$1002,SMALL(IF((Expenses!E$3:E$1002="INR")*(Expenses!A$3:A$1002=DATE(2026,6,1)),ROW(Expenses!A$3:A$1002)-2),1)),0)+IFERROR(INDEX(Income!C$3:C$502,SMALL(IF((Income!D$3:D$502="INR")*(Income!A$3:A$502=DATE(2026,6,1)),ROW(Income!A$3:A$502)-2),1)),0)=0,"",IFERROR(-INDEX(Expenses!D$3:D$1002,SMALL(IF((Expenses!E$3:E$1002="INR")*(Expenses!A$3:A$1002=DATE(2026,6,1)),ROW(Expenses!A$3:A$1002)-2),1)),0)+IFERROR(INDEX(Income!C$3:C$502,SMALL(IF((Income!D$3:D$502="INR")*(Income!A$3:A$502=DATE(2026,6,1)),ROW(Income!A$3:A$502)-2),1)),0))</f>
        <v/>
      </c>
      <c r="D114" s="38" t="str">
        <f aca="false">IF(IFERROR(INDEX(Expenses!B$3:B$1002,SMALL(IF((Expenses!E$3:E$1002="INR")*(Expenses!A$3:A$1002=DATE(2026,6,1)),ROW(Expenses!A$3:A$1002)-2),1)),"")&lt;&gt;"",IFERROR(INDEX(Expenses!B$3:B$1002,SMALL(IF((Expenses!E$3:E$1002="INR")*(Expenses!A$3:A$1002=DATE(2026,6,1)),ROW(Expenses!A$3:A$1002)-2),1)),""),IF(IFERROR(INDEX(Income!B$3:B$502,SMALL(IF((Income!D$3:D$502="INR")*(Income!A$3:A$502=DATE(2026,6,1)),ROW(Income!A$3:A$502)-2),1)),"")&lt;&gt;"",IFERROR(INDEX(Income!B$3:B$502,SMALL(IF((Income!D$3:D$502="INR")*(Income!A$3:A$502=DATE(2026,6,1)),ROW(Income!A$3:A$502)-2),1)),""),""))</f>
        <v/>
      </c>
      <c r="E114" s="63" t="str">
        <f aca="false">IF(IFERROR(-INDEX(Expenses!D$3:D$1002,SMALL(IF((Expenses!E$3:E$1002="INR")*(Expenses!A$3:A$1002=DATE(2026,6,2)),ROW(Expenses!A$3:A$1002)-2),1)),0)+IFERROR(INDEX(Income!C$3:C$502,SMALL(IF((Income!D$3:D$502="INR")*(Income!A$3:A$502=DATE(2026,6,2)),ROW(Income!A$3:A$502)-2),1)),0)=0,"",IFERROR(-INDEX(Expenses!D$3:D$1002,SMALL(IF((Expenses!E$3:E$1002="INR")*(Expenses!A$3:A$1002=DATE(2026,6,2)),ROW(Expenses!A$3:A$1002)-2),1)),0)+IFERROR(INDEX(Income!C$3:C$502,SMALL(IF((Income!D$3:D$502="INR")*(Income!A$3:A$502=DATE(2026,6,2)),ROW(Income!A$3:A$502)-2),1)),0))</f>
        <v/>
      </c>
      <c r="F114" s="38" t="str">
        <f aca="false">IF(IFERROR(INDEX(Expenses!B$3:B$1002,SMALL(IF((Expenses!E$3:E$1002="INR")*(Expenses!A$3:A$1002=DATE(2026,6,2)),ROW(Expenses!A$3:A$1002)-2),1)),"")&lt;&gt;"",IFERROR(INDEX(Expenses!B$3:B$1002,SMALL(IF((Expenses!E$3:E$1002="INR")*(Expenses!A$3:A$1002=DATE(2026,6,2)),ROW(Expenses!A$3:A$1002)-2),1)),""),IF(IFERROR(INDEX(Income!B$3:B$502,SMALL(IF((Income!D$3:D$502="INR")*(Income!A$3:A$502=DATE(2026,6,2)),ROW(Income!A$3:A$502)-2),1)),"")&lt;&gt;"",IFERROR(INDEX(Income!B$3:B$502,SMALL(IF((Income!D$3:D$502="INR")*(Income!A$3:A$502=DATE(2026,6,2)),ROW(Income!A$3:A$502)-2),1)),""),""))</f>
        <v/>
      </c>
      <c r="G114" s="63" t="str">
        <f aca="false">IF(IFERROR(-INDEX(Expenses!D$3:D$1002,SMALL(IF((Expenses!E$3:E$1002="INR")*(Expenses!A$3:A$1002=DATE(2026,6,3)),ROW(Expenses!A$3:A$1002)-2),1)),0)+IFERROR(INDEX(Income!C$3:C$502,SMALL(IF((Income!D$3:D$502="INR")*(Income!A$3:A$502=DATE(2026,6,3)),ROW(Income!A$3:A$502)-2),1)),0)=0,"",IFERROR(-INDEX(Expenses!D$3:D$1002,SMALL(IF((Expenses!E$3:E$1002="INR")*(Expenses!A$3:A$1002=DATE(2026,6,3)),ROW(Expenses!A$3:A$1002)-2),1)),0)+IFERROR(INDEX(Income!C$3:C$502,SMALL(IF((Income!D$3:D$502="INR")*(Income!A$3:A$502=DATE(2026,6,3)),ROW(Income!A$3:A$502)-2),1)),0))</f>
        <v/>
      </c>
      <c r="H114" s="38" t="str">
        <f aca="false">IF(IFERROR(INDEX(Expenses!B$3:B$1002,SMALL(IF((Expenses!E$3:E$1002="INR")*(Expenses!A$3:A$1002=DATE(2026,6,3)),ROW(Expenses!A$3:A$1002)-2),1)),"")&lt;&gt;"",IFERROR(INDEX(Expenses!B$3:B$1002,SMALL(IF((Expenses!E$3:E$1002="INR")*(Expenses!A$3:A$1002=DATE(2026,6,3)),ROW(Expenses!A$3:A$1002)-2),1)),""),IF(IFERROR(INDEX(Income!B$3:B$502,SMALL(IF((Income!D$3:D$502="INR")*(Income!A$3:A$502=DATE(2026,6,3)),ROW(Income!A$3:A$502)-2),1)),"")&lt;&gt;"",IFERROR(INDEX(Income!B$3:B$502,SMALL(IF((Income!D$3:D$502="INR")*(Income!A$3:A$502=DATE(2026,6,3)),ROW(Income!A$3:A$502)-2),1)),""),""))</f>
        <v/>
      </c>
      <c r="I114" s="63" t="str">
        <f aca="false">IF(IFERROR(-INDEX(Expenses!D$3:D$1002,SMALL(IF((Expenses!E$3:E$1002="INR")*(Expenses!A$3:A$1002=DATE(2026,6,4)),ROW(Expenses!A$3:A$1002)-2),1)),0)+IFERROR(INDEX(Income!C$3:C$502,SMALL(IF((Income!D$3:D$502="INR")*(Income!A$3:A$502=DATE(2026,6,4)),ROW(Income!A$3:A$502)-2),1)),0)=0,"",IFERROR(-INDEX(Expenses!D$3:D$1002,SMALL(IF((Expenses!E$3:E$1002="INR")*(Expenses!A$3:A$1002=DATE(2026,6,4)),ROW(Expenses!A$3:A$1002)-2),1)),0)+IFERROR(INDEX(Income!C$3:C$502,SMALL(IF((Income!D$3:D$502="INR")*(Income!A$3:A$502=DATE(2026,6,4)),ROW(Income!A$3:A$502)-2),1)),0))</f>
        <v/>
      </c>
      <c r="J114" s="38" t="str">
        <f aca="false">IF(IFERROR(INDEX(Expenses!B$3:B$1002,SMALL(IF((Expenses!E$3:E$1002="INR")*(Expenses!A$3:A$1002=DATE(2026,6,4)),ROW(Expenses!A$3:A$1002)-2),1)),"")&lt;&gt;"",IFERROR(INDEX(Expenses!B$3:B$1002,SMALL(IF((Expenses!E$3:E$1002="INR")*(Expenses!A$3:A$1002=DATE(2026,6,4)),ROW(Expenses!A$3:A$1002)-2),1)),""),IF(IFERROR(INDEX(Income!B$3:B$502,SMALL(IF((Income!D$3:D$502="INR")*(Income!A$3:A$502=DATE(2026,6,4)),ROW(Income!A$3:A$502)-2),1)),"")&lt;&gt;"",IFERROR(INDEX(Income!B$3:B$502,SMALL(IF((Income!D$3:D$502="INR")*(Income!A$3:A$502=DATE(2026,6,4)),ROW(Income!A$3:A$502)-2),1)),""),""))</f>
        <v/>
      </c>
      <c r="K114" s="63" t="str">
        <f aca="false">IF(IFERROR(-INDEX(Expenses!D$3:D$1002,SMALL(IF((Expenses!E$3:E$1002="INR")*(Expenses!A$3:A$1002=DATE(2026,6,5)),ROW(Expenses!A$3:A$1002)-2),1)),0)+IFERROR(INDEX(Income!C$3:C$502,SMALL(IF((Income!D$3:D$502="INR")*(Income!A$3:A$502=DATE(2026,6,5)),ROW(Income!A$3:A$502)-2),1)),0)=0,"",IFERROR(-INDEX(Expenses!D$3:D$1002,SMALL(IF((Expenses!E$3:E$1002="INR")*(Expenses!A$3:A$1002=DATE(2026,6,5)),ROW(Expenses!A$3:A$1002)-2),1)),0)+IFERROR(INDEX(Income!C$3:C$502,SMALL(IF((Income!D$3:D$502="INR")*(Income!A$3:A$502=DATE(2026,6,5)),ROW(Income!A$3:A$502)-2),1)),0))</f>
        <v/>
      </c>
      <c r="L114" s="38" t="str">
        <f aca="false">IF(IFERROR(INDEX(Expenses!B$3:B$1002,SMALL(IF((Expenses!E$3:E$1002="INR")*(Expenses!A$3:A$1002=DATE(2026,6,5)),ROW(Expenses!A$3:A$1002)-2),1)),"")&lt;&gt;"",IFERROR(INDEX(Expenses!B$3:B$1002,SMALL(IF((Expenses!E$3:E$1002="INR")*(Expenses!A$3:A$1002=DATE(2026,6,5)),ROW(Expenses!A$3:A$1002)-2),1)),""),IF(IFERROR(INDEX(Income!B$3:B$502,SMALL(IF((Income!D$3:D$502="INR")*(Income!A$3:A$502=DATE(2026,6,5)),ROW(Income!A$3:A$502)-2),1)),"")&lt;&gt;"",IFERROR(INDEX(Income!B$3:B$502,SMALL(IF((Income!D$3:D$502="INR")*(Income!A$3:A$502=DATE(2026,6,5)),ROW(Income!A$3:A$502)-2),1)),""),""))</f>
        <v/>
      </c>
      <c r="M114" s="63" t="str">
        <f aca="false">IF(IFERROR(-INDEX(Expenses!D$3:D$1002,SMALL(IF((Expenses!E$3:E$1002="INR")*(Expenses!A$3:A$1002=DATE(2026,6,6)),ROW(Expenses!A$3:A$1002)-2),1)),0)+IFERROR(INDEX(Income!C$3:C$502,SMALL(IF((Income!D$3:D$502="INR")*(Income!A$3:A$502=DATE(2026,6,6)),ROW(Income!A$3:A$502)-2),1)),0)=0,"",IFERROR(-INDEX(Expenses!D$3:D$1002,SMALL(IF((Expenses!E$3:E$1002="INR")*(Expenses!A$3:A$1002=DATE(2026,6,6)),ROW(Expenses!A$3:A$1002)-2),1)),0)+IFERROR(INDEX(Income!C$3:C$502,SMALL(IF((Income!D$3:D$502="INR")*(Income!A$3:A$502=DATE(2026,6,6)),ROW(Income!A$3:A$502)-2),1)),0))</f>
        <v/>
      </c>
      <c r="N114" s="38" t="str">
        <f aca="false">IF(IFERROR(INDEX(Expenses!B$3:B$1002,SMALL(IF((Expenses!E$3:E$1002="INR")*(Expenses!A$3:A$1002=DATE(2026,6,6)),ROW(Expenses!A$3:A$1002)-2),1)),"")&lt;&gt;"",IFERROR(INDEX(Expenses!B$3:B$1002,SMALL(IF((Expenses!E$3:E$1002="INR")*(Expenses!A$3:A$1002=DATE(2026,6,6)),ROW(Expenses!A$3:A$1002)-2),1)),""),IF(IFERROR(INDEX(Income!B$3:B$502,SMALL(IF((Income!D$3:D$502="INR")*(Income!A$3:A$502=DATE(2026,6,6)),ROW(Income!A$3:A$502)-2),1)),"")&lt;&gt;"",IFERROR(INDEX(Income!B$3:B$502,SMALL(IF((Income!D$3:D$502="INR")*(Income!A$3:A$502=DATE(2026,6,6)),ROW(Income!A$3:A$502)-2),1)),""),""))</f>
        <v/>
      </c>
      <c r="O114" s="63" t="str">
        <f aca="false">IF(IFERROR(-INDEX(Expenses!D$3:D$1002,SMALL(IF((Expenses!E$3:E$1002="INR")*(Expenses!A$3:A$1002=DATE(2026,6,7)),ROW(Expenses!A$3:A$1002)-2),1)),0)+IFERROR(INDEX(Income!C$3:C$502,SMALL(IF((Income!D$3:D$502="INR")*(Income!A$3:A$502=DATE(2026,6,7)),ROW(Income!A$3:A$502)-2),1)),0)=0,"",IFERROR(-INDEX(Expenses!D$3:D$1002,SMALL(IF((Expenses!E$3:E$1002="INR")*(Expenses!A$3:A$1002=DATE(2026,6,7)),ROW(Expenses!A$3:A$1002)-2),1)),0)+IFERROR(INDEX(Income!C$3:C$502,SMALL(IF((Income!D$3:D$502="INR")*(Income!A$3:A$502=DATE(2026,6,7)),ROW(Income!A$3:A$502)-2),1)),0))</f>
        <v/>
      </c>
      <c r="P114" s="38" t="str">
        <f aca="false">IF(IFERROR(INDEX(Expenses!B$3:B$1002,SMALL(IF((Expenses!E$3:E$1002="INR")*(Expenses!A$3:A$1002=DATE(2026,6,7)),ROW(Expenses!A$3:A$1002)-2),1)),"")&lt;&gt;"",IFERROR(INDEX(Expenses!B$3:B$1002,SMALL(IF((Expenses!E$3:E$1002="INR")*(Expenses!A$3:A$1002=DATE(2026,6,7)),ROW(Expenses!A$3:A$1002)-2),1)),""),IF(IFERROR(INDEX(Income!B$3:B$502,SMALL(IF((Income!D$3:D$502="INR")*(Income!A$3:A$502=DATE(2026,6,7)),ROW(Income!A$3:A$502)-2),1)),"")&lt;&gt;"",IFERROR(INDEX(Income!B$3:B$502,SMALL(IF((Income!D$3:D$502="INR")*(Income!A$3:A$502=DATE(2026,6,7)),ROW(Income!A$3:A$502)-2),1)),""),""))</f>
        <v/>
      </c>
      <c r="Q114" s="3" t="n">
        <v>23</v>
      </c>
      <c r="R114" s="53" t="n">
        <f aca="false">SUM(C114:C118)+SUM(E114:E118)+SUM(G114:G118)+SUM(I114:I118)+SUM(K114:K118)+SUM(M114:M118)+SUM(O114:O118)</f>
        <v>0</v>
      </c>
    </row>
    <row r="115" customFormat="false" ht="15" hidden="false" customHeight="false" outlineLevel="0" collapsed="false">
      <c r="A115" s="16"/>
      <c r="B115" s="16"/>
      <c r="C115" s="63" t="str">
        <f aca="false">IF(IFERROR(-INDEX(Expenses!D$3:D$1002,SMALL(IF((Expenses!E$3:E$1002="INR")*(Expenses!A$3:A$1002=DATE(2026,6,1)),ROW(Expenses!A$3:A$1002)-2),2)),0)+IFERROR(INDEX(Income!C$3:C$502,SMALL(IF((Income!D$3:D$502="INR")*(Income!A$3:A$502=DATE(2026,6,1)),ROW(Income!A$3:A$502)-2),2)),0)=0,"",IFERROR(-INDEX(Expenses!D$3:D$1002,SMALL(IF((Expenses!E$3:E$1002="INR")*(Expenses!A$3:A$1002=DATE(2026,6,1)),ROW(Expenses!A$3:A$1002)-2),2)),0)+IFERROR(INDEX(Income!C$3:C$502,SMALL(IF((Income!D$3:D$502="INR")*(Income!A$3:A$502=DATE(2026,6,1)),ROW(Income!A$3:A$502)-2),2)),0))</f>
        <v/>
      </c>
      <c r="D115" s="38" t="str">
        <f aca="false">IF(IFERROR(INDEX(Expenses!B$3:B$1002,SMALL(IF((Expenses!E$3:E$1002="INR")*(Expenses!A$3:A$1002=DATE(2026,6,1)),ROW(Expenses!A$3:A$1002)-2),2)),"")&lt;&gt;"",IFERROR(INDEX(Expenses!B$3:B$1002,SMALL(IF((Expenses!E$3:E$1002="INR")*(Expenses!A$3:A$1002=DATE(2026,6,1)),ROW(Expenses!A$3:A$1002)-2),2)),""),IF(IFERROR(INDEX(Income!B$3:B$502,SMALL(IF((Income!D$3:D$502="INR")*(Income!A$3:A$502=DATE(2026,6,1)),ROW(Income!A$3:A$502)-2),2)),"")&lt;&gt;"",IFERROR(INDEX(Income!B$3:B$502,SMALL(IF((Income!D$3:D$502="INR")*(Income!A$3:A$502=DATE(2026,6,1)),ROW(Income!A$3:A$502)-2),2)),""),""))</f>
        <v/>
      </c>
      <c r="E115" s="63" t="str">
        <f aca="false">IF(IFERROR(-INDEX(Expenses!D$3:D$1002,SMALL(IF((Expenses!E$3:E$1002="INR")*(Expenses!A$3:A$1002=DATE(2026,6,2)),ROW(Expenses!A$3:A$1002)-2),2)),0)+IFERROR(INDEX(Income!C$3:C$502,SMALL(IF((Income!D$3:D$502="INR")*(Income!A$3:A$502=DATE(2026,6,2)),ROW(Income!A$3:A$502)-2),2)),0)=0,"",IFERROR(-INDEX(Expenses!D$3:D$1002,SMALL(IF((Expenses!E$3:E$1002="INR")*(Expenses!A$3:A$1002=DATE(2026,6,2)),ROW(Expenses!A$3:A$1002)-2),2)),0)+IFERROR(INDEX(Income!C$3:C$502,SMALL(IF((Income!D$3:D$502="INR")*(Income!A$3:A$502=DATE(2026,6,2)),ROW(Income!A$3:A$502)-2),2)),0))</f>
        <v/>
      </c>
      <c r="F115" s="38" t="str">
        <f aca="false">IF(IFERROR(INDEX(Expenses!B$3:B$1002,SMALL(IF((Expenses!E$3:E$1002="INR")*(Expenses!A$3:A$1002=DATE(2026,6,2)),ROW(Expenses!A$3:A$1002)-2),2)),"")&lt;&gt;"",IFERROR(INDEX(Expenses!B$3:B$1002,SMALL(IF((Expenses!E$3:E$1002="INR")*(Expenses!A$3:A$1002=DATE(2026,6,2)),ROW(Expenses!A$3:A$1002)-2),2)),""),IF(IFERROR(INDEX(Income!B$3:B$502,SMALL(IF((Income!D$3:D$502="INR")*(Income!A$3:A$502=DATE(2026,6,2)),ROW(Income!A$3:A$502)-2),2)),"")&lt;&gt;"",IFERROR(INDEX(Income!B$3:B$502,SMALL(IF((Income!D$3:D$502="INR")*(Income!A$3:A$502=DATE(2026,6,2)),ROW(Income!A$3:A$502)-2),2)),""),""))</f>
        <v/>
      </c>
      <c r="G115" s="63" t="str">
        <f aca="false">IF(IFERROR(-INDEX(Expenses!D$3:D$1002,SMALL(IF((Expenses!E$3:E$1002="INR")*(Expenses!A$3:A$1002=DATE(2026,6,3)),ROW(Expenses!A$3:A$1002)-2),2)),0)+IFERROR(INDEX(Income!C$3:C$502,SMALL(IF((Income!D$3:D$502="INR")*(Income!A$3:A$502=DATE(2026,6,3)),ROW(Income!A$3:A$502)-2),2)),0)=0,"",IFERROR(-INDEX(Expenses!D$3:D$1002,SMALL(IF((Expenses!E$3:E$1002="INR")*(Expenses!A$3:A$1002=DATE(2026,6,3)),ROW(Expenses!A$3:A$1002)-2),2)),0)+IFERROR(INDEX(Income!C$3:C$502,SMALL(IF((Income!D$3:D$502="INR")*(Income!A$3:A$502=DATE(2026,6,3)),ROW(Income!A$3:A$502)-2),2)),0))</f>
        <v/>
      </c>
      <c r="H115" s="38" t="str">
        <f aca="false">IF(IFERROR(INDEX(Expenses!B$3:B$1002,SMALL(IF((Expenses!E$3:E$1002="INR")*(Expenses!A$3:A$1002=DATE(2026,6,3)),ROW(Expenses!A$3:A$1002)-2),2)),"")&lt;&gt;"",IFERROR(INDEX(Expenses!B$3:B$1002,SMALL(IF((Expenses!E$3:E$1002="INR")*(Expenses!A$3:A$1002=DATE(2026,6,3)),ROW(Expenses!A$3:A$1002)-2),2)),""),IF(IFERROR(INDEX(Income!B$3:B$502,SMALL(IF((Income!D$3:D$502="INR")*(Income!A$3:A$502=DATE(2026,6,3)),ROW(Income!A$3:A$502)-2),2)),"")&lt;&gt;"",IFERROR(INDEX(Income!B$3:B$502,SMALL(IF((Income!D$3:D$502="INR")*(Income!A$3:A$502=DATE(2026,6,3)),ROW(Income!A$3:A$502)-2),2)),""),""))</f>
        <v/>
      </c>
      <c r="I115" s="63" t="str">
        <f aca="false">IF(IFERROR(-INDEX(Expenses!D$3:D$1002,SMALL(IF((Expenses!E$3:E$1002="INR")*(Expenses!A$3:A$1002=DATE(2026,6,4)),ROW(Expenses!A$3:A$1002)-2),2)),0)+IFERROR(INDEX(Income!C$3:C$502,SMALL(IF((Income!D$3:D$502="INR")*(Income!A$3:A$502=DATE(2026,6,4)),ROW(Income!A$3:A$502)-2),2)),0)=0,"",IFERROR(-INDEX(Expenses!D$3:D$1002,SMALL(IF((Expenses!E$3:E$1002="INR")*(Expenses!A$3:A$1002=DATE(2026,6,4)),ROW(Expenses!A$3:A$1002)-2),2)),0)+IFERROR(INDEX(Income!C$3:C$502,SMALL(IF((Income!D$3:D$502="INR")*(Income!A$3:A$502=DATE(2026,6,4)),ROW(Income!A$3:A$502)-2),2)),0))</f>
        <v/>
      </c>
      <c r="J115" s="38" t="str">
        <f aca="false">IF(IFERROR(INDEX(Expenses!B$3:B$1002,SMALL(IF((Expenses!E$3:E$1002="INR")*(Expenses!A$3:A$1002=DATE(2026,6,4)),ROW(Expenses!A$3:A$1002)-2),2)),"")&lt;&gt;"",IFERROR(INDEX(Expenses!B$3:B$1002,SMALL(IF((Expenses!E$3:E$1002="INR")*(Expenses!A$3:A$1002=DATE(2026,6,4)),ROW(Expenses!A$3:A$1002)-2),2)),""),IF(IFERROR(INDEX(Income!B$3:B$502,SMALL(IF((Income!D$3:D$502="INR")*(Income!A$3:A$502=DATE(2026,6,4)),ROW(Income!A$3:A$502)-2),2)),"")&lt;&gt;"",IFERROR(INDEX(Income!B$3:B$502,SMALL(IF((Income!D$3:D$502="INR")*(Income!A$3:A$502=DATE(2026,6,4)),ROW(Income!A$3:A$502)-2),2)),""),""))</f>
        <v/>
      </c>
      <c r="K115" s="63" t="str">
        <f aca="false">IF(IFERROR(-INDEX(Expenses!D$3:D$1002,SMALL(IF((Expenses!E$3:E$1002="INR")*(Expenses!A$3:A$1002=DATE(2026,6,5)),ROW(Expenses!A$3:A$1002)-2),2)),0)+IFERROR(INDEX(Income!C$3:C$502,SMALL(IF((Income!D$3:D$502="INR")*(Income!A$3:A$502=DATE(2026,6,5)),ROW(Income!A$3:A$502)-2),2)),0)=0,"",IFERROR(-INDEX(Expenses!D$3:D$1002,SMALL(IF((Expenses!E$3:E$1002="INR")*(Expenses!A$3:A$1002=DATE(2026,6,5)),ROW(Expenses!A$3:A$1002)-2),2)),0)+IFERROR(INDEX(Income!C$3:C$502,SMALL(IF((Income!D$3:D$502="INR")*(Income!A$3:A$502=DATE(2026,6,5)),ROW(Income!A$3:A$502)-2),2)),0))</f>
        <v/>
      </c>
      <c r="L115" s="38" t="str">
        <f aca="false">IF(IFERROR(INDEX(Expenses!B$3:B$1002,SMALL(IF((Expenses!E$3:E$1002="INR")*(Expenses!A$3:A$1002=DATE(2026,6,5)),ROW(Expenses!A$3:A$1002)-2),2)),"")&lt;&gt;"",IFERROR(INDEX(Expenses!B$3:B$1002,SMALL(IF((Expenses!E$3:E$1002="INR")*(Expenses!A$3:A$1002=DATE(2026,6,5)),ROW(Expenses!A$3:A$1002)-2),2)),""),IF(IFERROR(INDEX(Income!B$3:B$502,SMALL(IF((Income!D$3:D$502="INR")*(Income!A$3:A$502=DATE(2026,6,5)),ROW(Income!A$3:A$502)-2),2)),"")&lt;&gt;"",IFERROR(INDEX(Income!B$3:B$502,SMALL(IF((Income!D$3:D$502="INR")*(Income!A$3:A$502=DATE(2026,6,5)),ROW(Income!A$3:A$502)-2),2)),""),""))</f>
        <v/>
      </c>
      <c r="M115" s="63" t="str">
        <f aca="false">IF(IFERROR(-INDEX(Expenses!D$3:D$1002,SMALL(IF((Expenses!E$3:E$1002="INR")*(Expenses!A$3:A$1002=DATE(2026,6,6)),ROW(Expenses!A$3:A$1002)-2),2)),0)+IFERROR(INDEX(Income!C$3:C$502,SMALL(IF((Income!D$3:D$502="INR")*(Income!A$3:A$502=DATE(2026,6,6)),ROW(Income!A$3:A$502)-2),2)),0)=0,"",IFERROR(-INDEX(Expenses!D$3:D$1002,SMALL(IF((Expenses!E$3:E$1002="INR")*(Expenses!A$3:A$1002=DATE(2026,6,6)),ROW(Expenses!A$3:A$1002)-2),2)),0)+IFERROR(INDEX(Income!C$3:C$502,SMALL(IF((Income!D$3:D$502="INR")*(Income!A$3:A$502=DATE(2026,6,6)),ROW(Income!A$3:A$502)-2),2)),0))</f>
        <v/>
      </c>
      <c r="N115" s="38" t="str">
        <f aca="false">IF(IFERROR(INDEX(Expenses!B$3:B$1002,SMALL(IF((Expenses!E$3:E$1002="INR")*(Expenses!A$3:A$1002=DATE(2026,6,6)),ROW(Expenses!A$3:A$1002)-2),2)),"")&lt;&gt;"",IFERROR(INDEX(Expenses!B$3:B$1002,SMALL(IF((Expenses!E$3:E$1002="INR")*(Expenses!A$3:A$1002=DATE(2026,6,6)),ROW(Expenses!A$3:A$1002)-2),2)),""),IF(IFERROR(INDEX(Income!B$3:B$502,SMALL(IF((Income!D$3:D$502="INR")*(Income!A$3:A$502=DATE(2026,6,6)),ROW(Income!A$3:A$502)-2),2)),"")&lt;&gt;"",IFERROR(INDEX(Income!B$3:B$502,SMALL(IF((Income!D$3:D$502="INR")*(Income!A$3:A$502=DATE(2026,6,6)),ROW(Income!A$3:A$502)-2),2)),""),""))</f>
        <v/>
      </c>
      <c r="O115" s="63" t="str">
        <f aca="false">IF(IFERROR(-INDEX(Expenses!D$3:D$1002,SMALL(IF((Expenses!E$3:E$1002="INR")*(Expenses!A$3:A$1002=DATE(2026,6,7)),ROW(Expenses!A$3:A$1002)-2),2)),0)+IFERROR(INDEX(Income!C$3:C$502,SMALL(IF((Income!D$3:D$502="INR")*(Income!A$3:A$502=DATE(2026,6,7)),ROW(Income!A$3:A$502)-2),2)),0)=0,"",IFERROR(-INDEX(Expenses!D$3:D$1002,SMALL(IF((Expenses!E$3:E$1002="INR")*(Expenses!A$3:A$1002=DATE(2026,6,7)),ROW(Expenses!A$3:A$1002)-2),2)),0)+IFERROR(INDEX(Income!C$3:C$502,SMALL(IF((Income!D$3:D$502="INR")*(Income!A$3:A$502=DATE(2026,6,7)),ROW(Income!A$3:A$502)-2),2)),0))</f>
        <v/>
      </c>
      <c r="P115" s="38" t="str">
        <f aca="false">IF(IFERROR(INDEX(Expenses!B$3:B$1002,SMALL(IF((Expenses!E$3:E$1002="INR")*(Expenses!A$3:A$1002=DATE(2026,6,7)),ROW(Expenses!A$3:A$1002)-2),2)),"")&lt;&gt;"",IFERROR(INDEX(Expenses!B$3:B$1002,SMALL(IF((Expenses!E$3:E$1002="INR")*(Expenses!A$3:A$1002=DATE(2026,6,7)),ROW(Expenses!A$3:A$1002)-2),2)),""),IF(IFERROR(INDEX(Income!B$3:B$502,SMALL(IF((Income!D$3:D$502="INR")*(Income!A$3:A$502=DATE(2026,6,7)),ROW(Income!A$3:A$502)-2),2)),"")&lt;&gt;"",IFERROR(INDEX(Income!B$3:B$502,SMALL(IF((Income!D$3:D$502="INR")*(Income!A$3:A$502=DATE(2026,6,7)),ROW(Income!A$3:A$502)-2),2)),""),""))</f>
        <v/>
      </c>
      <c r="Q115" s="16"/>
      <c r="R115" s="16"/>
    </row>
    <row r="116" customFormat="false" ht="15" hidden="false" customHeight="false" outlineLevel="0" collapsed="false">
      <c r="A116" s="16"/>
      <c r="B116" s="16"/>
      <c r="C116" s="63" t="str">
        <f aca="false">IF(IFERROR(-INDEX(Expenses!D$3:D$1002,SMALL(IF((Expenses!E$3:E$1002="INR")*(Expenses!A$3:A$1002=DATE(2026,6,1)),ROW(Expenses!A$3:A$1002)-2),3)),0)+IFERROR(INDEX(Income!C$3:C$502,SMALL(IF((Income!D$3:D$502="INR")*(Income!A$3:A$502=DATE(2026,6,1)),ROW(Income!A$3:A$502)-2),3)),0)=0,"",IFERROR(-INDEX(Expenses!D$3:D$1002,SMALL(IF((Expenses!E$3:E$1002="INR")*(Expenses!A$3:A$1002=DATE(2026,6,1)),ROW(Expenses!A$3:A$1002)-2),3)),0)+IFERROR(INDEX(Income!C$3:C$502,SMALL(IF((Income!D$3:D$502="INR")*(Income!A$3:A$502=DATE(2026,6,1)),ROW(Income!A$3:A$502)-2),3)),0))</f>
        <v/>
      </c>
      <c r="D116" s="38" t="str">
        <f aca="false">IF(IFERROR(INDEX(Expenses!B$3:B$1002,SMALL(IF((Expenses!E$3:E$1002="INR")*(Expenses!A$3:A$1002=DATE(2026,6,1)),ROW(Expenses!A$3:A$1002)-2),3)),"")&lt;&gt;"",IFERROR(INDEX(Expenses!B$3:B$1002,SMALL(IF((Expenses!E$3:E$1002="INR")*(Expenses!A$3:A$1002=DATE(2026,6,1)),ROW(Expenses!A$3:A$1002)-2),3)),""),IF(IFERROR(INDEX(Income!B$3:B$502,SMALL(IF((Income!D$3:D$502="INR")*(Income!A$3:A$502=DATE(2026,6,1)),ROW(Income!A$3:A$502)-2),3)),"")&lt;&gt;"",IFERROR(INDEX(Income!B$3:B$502,SMALL(IF((Income!D$3:D$502="INR")*(Income!A$3:A$502=DATE(2026,6,1)),ROW(Income!A$3:A$502)-2),3)),""),""))</f>
        <v/>
      </c>
      <c r="E116" s="63" t="str">
        <f aca="false">IF(IFERROR(-INDEX(Expenses!D$3:D$1002,SMALL(IF((Expenses!E$3:E$1002="INR")*(Expenses!A$3:A$1002=DATE(2026,6,2)),ROW(Expenses!A$3:A$1002)-2),3)),0)+IFERROR(INDEX(Income!C$3:C$502,SMALL(IF((Income!D$3:D$502="INR")*(Income!A$3:A$502=DATE(2026,6,2)),ROW(Income!A$3:A$502)-2),3)),0)=0,"",IFERROR(-INDEX(Expenses!D$3:D$1002,SMALL(IF((Expenses!E$3:E$1002="INR")*(Expenses!A$3:A$1002=DATE(2026,6,2)),ROW(Expenses!A$3:A$1002)-2),3)),0)+IFERROR(INDEX(Income!C$3:C$502,SMALL(IF((Income!D$3:D$502="INR")*(Income!A$3:A$502=DATE(2026,6,2)),ROW(Income!A$3:A$502)-2),3)),0))</f>
        <v/>
      </c>
      <c r="F116" s="38" t="str">
        <f aca="false">IF(IFERROR(INDEX(Expenses!B$3:B$1002,SMALL(IF((Expenses!E$3:E$1002="INR")*(Expenses!A$3:A$1002=DATE(2026,6,2)),ROW(Expenses!A$3:A$1002)-2),3)),"")&lt;&gt;"",IFERROR(INDEX(Expenses!B$3:B$1002,SMALL(IF((Expenses!E$3:E$1002="INR")*(Expenses!A$3:A$1002=DATE(2026,6,2)),ROW(Expenses!A$3:A$1002)-2),3)),""),IF(IFERROR(INDEX(Income!B$3:B$502,SMALL(IF((Income!D$3:D$502="INR")*(Income!A$3:A$502=DATE(2026,6,2)),ROW(Income!A$3:A$502)-2),3)),"")&lt;&gt;"",IFERROR(INDEX(Income!B$3:B$502,SMALL(IF((Income!D$3:D$502="INR")*(Income!A$3:A$502=DATE(2026,6,2)),ROW(Income!A$3:A$502)-2),3)),""),""))</f>
        <v/>
      </c>
      <c r="G116" s="63" t="str">
        <f aca="false">IF(IFERROR(-INDEX(Expenses!D$3:D$1002,SMALL(IF((Expenses!E$3:E$1002="INR")*(Expenses!A$3:A$1002=DATE(2026,6,3)),ROW(Expenses!A$3:A$1002)-2),3)),0)+IFERROR(INDEX(Income!C$3:C$502,SMALL(IF((Income!D$3:D$502="INR")*(Income!A$3:A$502=DATE(2026,6,3)),ROW(Income!A$3:A$502)-2),3)),0)=0,"",IFERROR(-INDEX(Expenses!D$3:D$1002,SMALL(IF((Expenses!E$3:E$1002="INR")*(Expenses!A$3:A$1002=DATE(2026,6,3)),ROW(Expenses!A$3:A$1002)-2),3)),0)+IFERROR(INDEX(Income!C$3:C$502,SMALL(IF((Income!D$3:D$502="INR")*(Income!A$3:A$502=DATE(2026,6,3)),ROW(Income!A$3:A$502)-2),3)),0))</f>
        <v/>
      </c>
      <c r="H116" s="38" t="str">
        <f aca="false">IF(IFERROR(INDEX(Expenses!B$3:B$1002,SMALL(IF((Expenses!E$3:E$1002="INR")*(Expenses!A$3:A$1002=DATE(2026,6,3)),ROW(Expenses!A$3:A$1002)-2),3)),"")&lt;&gt;"",IFERROR(INDEX(Expenses!B$3:B$1002,SMALL(IF((Expenses!E$3:E$1002="INR")*(Expenses!A$3:A$1002=DATE(2026,6,3)),ROW(Expenses!A$3:A$1002)-2),3)),""),IF(IFERROR(INDEX(Income!B$3:B$502,SMALL(IF((Income!D$3:D$502="INR")*(Income!A$3:A$502=DATE(2026,6,3)),ROW(Income!A$3:A$502)-2),3)),"")&lt;&gt;"",IFERROR(INDEX(Income!B$3:B$502,SMALL(IF((Income!D$3:D$502="INR")*(Income!A$3:A$502=DATE(2026,6,3)),ROW(Income!A$3:A$502)-2),3)),""),""))</f>
        <v/>
      </c>
      <c r="I116" s="63" t="str">
        <f aca="false">IF(IFERROR(-INDEX(Expenses!D$3:D$1002,SMALL(IF((Expenses!E$3:E$1002="INR")*(Expenses!A$3:A$1002=DATE(2026,6,4)),ROW(Expenses!A$3:A$1002)-2),3)),0)+IFERROR(INDEX(Income!C$3:C$502,SMALL(IF((Income!D$3:D$502="INR")*(Income!A$3:A$502=DATE(2026,6,4)),ROW(Income!A$3:A$502)-2),3)),0)=0,"",IFERROR(-INDEX(Expenses!D$3:D$1002,SMALL(IF((Expenses!E$3:E$1002="INR")*(Expenses!A$3:A$1002=DATE(2026,6,4)),ROW(Expenses!A$3:A$1002)-2),3)),0)+IFERROR(INDEX(Income!C$3:C$502,SMALL(IF((Income!D$3:D$502="INR")*(Income!A$3:A$502=DATE(2026,6,4)),ROW(Income!A$3:A$502)-2),3)),0))</f>
        <v/>
      </c>
      <c r="J116" s="38" t="str">
        <f aca="false">IF(IFERROR(INDEX(Expenses!B$3:B$1002,SMALL(IF((Expenses!E$3:E$1002="INR")*(Expenses!A$3:A$1002=DATE(2026,6,4)),ROW(Expenses!A$3:A$1002)-2),3)),"")&lt;&gt;"",IFERROR(INDEX(Expenses!B$3:B$1002,SMALL(IF((Expenses!E$3:E$1002="INR")*(Expenses!A$3:A$1002=DATE(2026,6,4)),ROW(Expenses!A$3:A$1002)-2),3)),""),IF(IFERROR(INDEX(Income!B$3:B$502,SMALL(IF((Income!D$3:D$502="INR")*(Income!A$3:A$502=DATE(2026,6,4)),ROW(Income!A$3:A$502)-2),3)),"")&lt;&gt;"",IFERROR(INDEX(Income!B$3:B$502,SMALL(IF((Income!D$3:D$502="INR")*(Income!A$3:A$502=DATE(2026,6,4)),ROW(Income!A$3:A$502)-2),3)),""),""))</f>
        <v/>
      </c>
      <c r="K116" s="63" t="str">
        <f aca="false">IF(IFERROR(-INDEX(Expenses!D$3:D$1002,SMALL(IF((Expenses!E$3:E$1002="INR")*(Expenses!A$3:A$1002=DATE(2026,6,5)),ROW(Expenses!A$3:A$1002)-2),3)),0)+IFERROR(INDEX(Income!C$3:C$502,SMALL(IF((Income!D$3:D$502="INR")*(Income!A$3:A$502=DATE(2026,6,5)),ROW(Income!A$3:A$502)-2),3)),0)=0,"",IFERROR(-INDEX(Expenses!D$3:D$1002,SMALL(IF((Expenses!E$3:E$1002="INR")*(Expenses!A$3:A$1002=DATE(2026,6,5)),ROW(Expenses!A$3:A$1002)-2),3)),0)+IFERROR(INDEX(Income!C$3:C$502,SMALL(IF((Income!D$3:D$502="INR")*(Income!A$3:A$502=DATE(2026,6,5)),ROW(Income!A$3:A$502)-2),3)),0))</f>
        <v/>
      </c>
      <c r="L116" s="38" t="str">
        <f aca="false">IF(IFERROR(INDEX(Expenses!B$3:B$1002,SMALL(IF((Expenses!E$3:E$1002="INR")*(Expenses!A$3:A$1002=DATE(2026,6,5)),ROW(Expenses!A$3:A$1002)-2),3)),"")&lt;&gt;"",IFERROR(INDEX(Expenses!B$3:B$1002,SMALL(IF((Expenses!E$3:E$1002="INR")*(Expenses!A$3:A$1002=DATE(2026,6,5)),ROW(Expenses!A$3:A$1002)-2),3)),""),IF(IFERROR(INDEX(Income!B$3:B$502,SMALL(IF((Income!D$3:D$502="INR")*(Income!A$3:A$502=DATE(2026,6,5)),ROW(Income!A$3:A$502)-2),3)),"")&lt;&gt;"",IFERROR(INDEX(Income!B$3:B$502,SMALL(IF((Income!D$3:D$502="INR")*(Income!A$3:A$502=DATE(2026,6,5)),ROW(Income!A$3:A$502)-2),3)),""),""))</f>
        <v/>
      </c>
      <c r="M116" s="63" t="str">
        <f aca="false">IF(IFERROR(-INDEX(Expenses!D$3:D$1002,SMALL(IF((Expenses!E$3:E$1002="INR")*(Expenses!A$3:A$1002=DATE(2026,6,6)),ROW(Expenses!A$3:A$1002)-2),3)),0)+IFERROR(INDEX(Income!C$3:C$502,SMALL(IF((Income!D$3:D$502="INR")*(Income!A$3:A$502=DATE(2026,6,6)),ROW(Income!A$3:A$502)-2),3)),0)=0,"",IFERROR(-INDEX(Expenses!D$3:D$1002,SMALL(IF((Expenses!E$3:E$1002="INR")*(Expenses!A$3:A$1002=DATE(2026,6,6)),ROW(Expenses!A$3:A$1002)-2),3)),0)+IFERROR(INDEX(Income!C$3:C$502,SMALL(IF((Income!D$3:D$502="INR")*(Income!A$3:A$502=DATE(2026,6,6)),ROW(Income!A$3:A$502)-2),3)),0))</f>
        <v/>
      </c>
      <c r="N116" s="38" t="str">
        <f aca="false">IF(IFERROR(INDEX(Expenses!B$3:B$1002,SMALL(IF((Expenses!E$3:E$1002="INR")*(Expenses!A$3:A$1002=DATE(2026,6,6)),ROW(Expenses!A$3:A$1002)-2),3)),"")&lt;&gt;"",IFERROR(INDEX(Expenses!B$3:B$1002,SMALL(IF((Expenses!E$3:E$1002="INR")*(Expenses!A$3:A$1002=DATE(2026,6,6)),ROW(Expenses!A$3:A$1002)-2),3)),""),IF(IFERROR(INDEX(Income!B$3:B$502,SMALL(IF((Income!D$3:D$502="INR")*(Income!A$3:A$502=DATE(2026,6,6)),ROW(Income!A$3:A$502)-2),3)),"")&lt;&gt;"",IFERROR(INDEX(Income!B$3:B$502,SMALL(IF((Income!D$3:D$502="INR")*(Income!A$3:A$502=DATE(2026,6,6)),ROW(Income!A$3:A$502)-2),3)),""),""))</f>
        <v/>
      </c>
      <c r="O116" s="63" t="str">
        <f aca="false">IF(IFERROR(-INDEX(Expenses!D$3:D$1002,SMALL(IF((Expenses!E$3:E$1002="INR")*(Expenses!A$3:A$1002=DATE(2026,6,7)),ROW(Expenses!A$3:A$1002)-2),3)),0)+IFERROR(INDEX(Income!C$3:C$502,SMALL(IF((Income!D$3:D$502="INR")*(Income!A$3:A$502=DATE(2026,6,7)),ROW(Income!A$3:A$502)-2),3)),0)=0,"",IFERROR(-INDEX(Expenses!D$3:D$1002,SMALL(IF((Expenses!E$3:E$1002="INR")*(Expenses!A$3:A$1002=DATE(2026,6,7)),ROW(Expenses!A$3:A$1002)-2),3)),0)+IFERROR(INDEX(Income!C$3:C$502,SMALL(IF((Income!D$3:D$502="INR")*(Income!A$3:A$502=DATE(2026,6,7)),ROW(Income!A$3:A$502)-2),3)),0))</f>
        <v/>
      </c>
      <c r="P116" s="38" t="str">
        <f aca="false">IF(IFERROR(INDEX(Expenses!B$3:B$1002,SMALL(IF((Expenses!E$3:E$1002="INR")*(Expenses!A$3:A$1002=DATE(2026,6,7)),ROW(Expenses!A$3:A$1002)-2),3)),"")&lt;&gt;"",IFERROR(INDEX(Expenses!B$3:B$1002,SMALL(IF((Expenses!E$3:E$1002="INR")*(Expenses!A$3:A$1002=DATE(2026,6,7)),ROW(Expenses!A$3:A$1002)-2),3)),""),IF(IFERROR(INDEX(Income!B$3:B$502,SMALL(IF((Income!D$3:D$502="INR")*(Income!A$3:A$502=DATE(2026,6,7)),ROW(Income!A$3:A$502)-2),3)),"")&lt;&gt;"",IFERROR(INDEX(Income!B$3:B$502,SMALL(IF((Income!D$3:D$502="INR")*(Income!A$3:A$502=DATE(2026,6,7)),ROW(Income!A$3:A$502)-2),3)),""),""))</f>
        <v/>
      </c>
      <c r="Q116" s="16"/>
      <c r="R116" s="16"/>
    </row>
    <row r="117" customFormat="false" ht="15" hidden="false" customHeight="false" outlineLevel="0" collapsed="false">
      <c r="A117" s="16"/>
      <c r="B117" s="16"/>
      <c r="C117" s="63" t="str">
        <f aca="false">IF(IFERROR(-INDEX(Expenses!D$3:D$1002,SMALL(IF((Expenses!E$3:E$1002="INR")*(Expenses!A$3:A$1002=DATE(2026,6,1)),ROW(Expenses!A$3:A$1002)-2),4)),0)+IFERROR(INDEX(Income!C$3:C$502,SMALL(IF((Income!D$3:D$502="INR")*(Income!A$3:A$502=DATE(2026,6,1)),ROW(Income!A$3:A$502)-2),4)),0)=0,"",IFERROR(-INDEX(Expenses!D$3:D$1002,SMALL(IF((Expenses!E$3:E$1002="INR")*(Expenses!A$3:A$1002=DATE(2026,6,1)),ROW(Expenses!A$3:A$1002)-2),4)),0)+IFERROR(INDEX(Income!C$3:C$502,SMALL(IF((Income!D$3:D$502="INR")*(Income!A$3:A$502=DATE(2026,6,1)),ROW(Income!A$3:A$502)-2),4)),0))</f>
        <v/>
      </c>
      <c r="D117" s="38" t="str">
        <f aca="false">IF(IFERROR(INDEX(Expenses!B$3:B$1002,SMALL(IF((Expenses!E$3:E$1002="INR")*(Expenses!A$3:A$1002=DATE(2026,6,1)),ROW(Expenses!A$3:A$1002)-2),4)),"")&lt;&gt;"",IFERROR(INDEX(Expenses!B$3:B$1002,SMALL(IF((Expenses!E$3:E$1002="INR")*(Expenses!A$3:A$1002=DATE(2026,6,1)),ROW(Expenses!A$3:A$1002)-2),4)),""),IF(IFERROR(INDEX(Income!B$3:B$502,SMALL(IF((Income!D$3:D$502="INR")*(Income!A$3:A$502=DATE(2026,6,1)),ROW(Income!A$3:A$502)-2),4)),"")&lt;&gt;"",IFERROR(INDEX(Income!B$3:B$502,SMALL(IF((Income!D$3:D$502="INR")*(Income!A$3:A$502=DATE(2026,6,1)),ROW(Income!A$3:A$502)-2),4)),""),""))</f>
        <v/>
      </c>
      <c r="E117" s="63" t="str">
        <f aca="false">IF(IFERROR(-INDEX(Expenses!D$3:D$1002,SMALL(IF((Expenses!E$3:E$1002="INR")*(Expenses!A$3:A$1002=DATE(2026,6,2)),ROW(Expenses!A$3:A$1002)-2),4)),0)+IFERROR(INDEX(Income!C$3:C$502,SMALL(IF((Income!D$3:D$502="INR")*(Income!A$3:A$502=DATE(2026,6,2)),ROW(Income!A$3:A$502)-2),4)),0)=0,"",IFERROR(-INDEX(Expenses!D$3:D$1002,SMALL(IF((Expenses!E$3:E$1002="INR")*(Expenses!A$3:A$1002=DATE(2026,6,2)),ROW(Expenses!A$3:A$1002)-2),4)),0)+IFERROR(INDEX(Income!C$3:C$502,SMALL(IF((Income!D$3:D$502="INR")*(Income!A$3:A$502=DATE(2026,6,2)),ROW(Income!A$3:A$502)-2),4)),0))</f>
        <v/>
      </c>
      <c r="F117" s="38" t="str">
        <f aca="false">IF(IFERROR(INDEX(Expenses!B$3:B$1002,SMALL(IF((Expenses!E$3:E$1002="INR")*(Expenses!A$3:A$1002=DATE(2026,6,2)),ROW(Expenses!A$3:A$1002)-2),4)),"")&lt;&gt;"",IFERROR(INDEX(Expenses!B$3:B$1002,SMALL(IF((Expenses!E$3:E$1002="INR")*(Expenses!A$3:A$1002=DATE(2026,6,2)),ROW(Expenses!A$3:A$1002)-2),4)),""),IF(IFERROR(INDEX(Income!B$3:B$502,SMALL(IF((Income!D$3:D$502="INR")*(Income!A$3:A$502=DATE(2026,6,2)),ROW(Income!A$3:A$502)-2),4)),"")&lt;&gt;"",IFERROR(INDEX(Income!B$3:B$502,SMALL(IF((Income!D$3:D$502="INR")*(Income!A$3:A$502=DATE(2026,6,2)),ROW(Income!A$3:A$502)-2),4)),""),""))</f>
        <v/>
      </c>
      <c r="G117" s="63" t="str">
        <f aca="false">IF(IFERROR(-INDEX(Expenses!D$3:D$1002,SMALL(IF((Expenses!E$3:E$1002="INR")*(Expenses!A$3:A$1002=DATE(2026,6,3)),ROW(Expenses!A$3:A$1002)-2),4)),0)+IFERROR(INDEX(Income!C$3:C$502,SMALL(IF((Income!D$3:D$502="INR")*(Income!A$3:A$502=DATE(2026,6,3)),ROW(Income!A$3:A$502)-2),4)),0)=0,"",IFERROR(-INDEX(Expenses!D$3:D$1002,SMALL(IF((Expenses!E$3:E$1002="INR")*(Expenses!A$3:A$1002=DATE(2026,6,3)),ROW(Expenses!A$3:A$1002)-2),4)),0)+IFERROR(INDEX(Income!C$3:C$502,SMALL(IF((Income!D$3:D$502="INR")*(Income!A$3:A$502=DATE(2026,6,3)),ROW(Income!A$3:A$502)-2),4)),0))</f>
        <v/>
      </c>
      <c r="H117" s="38" t="str">
        <f aca="false">IF(IFERROR(INDEX(Expenses!B$3:B$1002,SMALL(IF((Expenses!E$3:E$1002="INR")*(Expenses!A$3:A$1002=DATE(2026,6,3)),ROW(Expenses!A$3:A$1002)-2),4)),"")&lt;&gt;"",IFERROR(INDEX(Expenses!B$3:B$1002,SMALL(IF((Expenses!E$3:E$1002="INR")*(Expenses!A$3:A$1002=DATE(2026,6,3)),ROW(Expenses!A$3:A$1002)-2),4)),""),IF(IFERROR(INDEX(Income!B$3:B$502,SMALL(IF((Income!D$3:D$502="INR")*(Income!A$3:A$502=DATE(2026,6,3)),ROW(Income!A$3:A$502)-2),4)),"")&lt;&gt;"",IFERROR(INDEX(Income!B$3:B$502,SMALL(IF((Income!D$3:D$502="INR")*(Income!A$3:A$502=DATE(2026,6,3)),ROW(Income!A$3:A$502)-2),4)),""),""))</f>
        <v/>
      </c>
      <c r="I117" s="63" t="str">
        <f aca="false">IF(IFERROR(-INDEX(Expenses!D$3:D$1002,SMALL(IF((Expenses!E$3:E$1002="INR")*(Expenses!A$3:A$1002=DATE(2026,6,4)),ROW(Expenses!A$3:A$1002)-2),4)),0)+IFERROR(INDEX(Income!C$3:C$502,SMALL(IF((Income!D$3:D$502="INR")*(Income!A$3:A$502=DATE(2026,6,4)),ROW(Income!A$3:A$502)-2),4)),0)=0,"",IFERROR(-INDEX(Expenses!D$3:D$1002,SMALL(IF((Expenses!E$3:E$1002="INR")*(Expenses!A$3:A$1002=DATE(2026,6,4)),ROW(Expenses!A$3:A$1002)-2),4)),0)+IFERROR(INDEX(Income!C$3:C$502,SMALL(IF((Income!D$3:D$502="INR")*(Income!A$3:A$502=DATE(2026,6,4)),ROW(Income!A$3:A$502)-2),4)),0))</f>
        <v/>
      </c>
      <c r="J117" s="38" t="str">
        <f aca="false">IF(IFERROR(INDEX(Expenses!B$3:B$1002,SMALL(IF((Expenses!E$3:E$1002="INR")*(Expenses!A$3:A$1002=DATE(2026,6,4)),ROW(Expenses!A$3:A$1002)-2),4)),"")&lt;&gt;"",IFERROR(INDEX(Expenses!B$3:B$1002,SMALL(IF((Expenses!E$3:E$1002="INR")*(Expenses!A$3:A$1002=DATE(2026,6,4)),ROW(Expenses!A$3:A$1002)-2),4)),""),IF(IFERROR(INDEX(Income!B$3:B$502,SMALL(IF((Income!D$3:D$502="INR")*(Income!A$3:A$502=DATE(2026,6,4)),ROW(Income!A$3:A$502)-2),4)),"")&lt;&gt;"",IFERROR(INDEX(Income!B$3:B$502,SMALL(IF((Income!D$3:D$502="INR")*(Income!A$3:A$502=DATE(2026,6,4)),ROW(Income!A$3:A$502)-2),4)),""),""))</f>
        <v/>
      </c>
      <c r="K117" s="63" t="str">
        <f aca="false">IF(IFERROR(-INDEX(Expenses!D$3:D$1002,SMALL(IF((Expenses!E$3:E$1002="INR")*(Expenses!A$3:A$1002=DATE(2026,6,5)),ROW(Expenses!A$3:A$1002)-2),4)),0)+IFERROR(INDEX(Income!C$3:C$502,SMALL(IF((Income!D$3:D$502="INR")*(Income!A$3:A$502=DATE(2026,6,5)),ROW(Income!A$3:A$502)-2),4)),0)=0,"",IFERROR(-INDEX(Expenses!D$3:D$1002,SMALL(IF((Expenses!E$3:E$1002="INR")*(Expenses!A$3:A$1002=DATE(2026,6,5)),ROW(Expenses!A$3:A$1002)-2),4)),0)+IFERROR(INDEX(Income!C$3:C$502,SMALL(IF((Income!D$3:D$502="INR")*(Income!A$3:A$502=DATE(2026,6,5)),ROW(Income!A$3:A$502)-2),4)),0))</f>
        <v/>
      </c>
      <c r="L117" s="38" t="str">
        <f aca="false">IF(IFERROR(INDEX(Expenses!B$3:B$1002,SMALL(IF((Expenses!E$3:E$1002="INR")*(Expenses!A$3:A$1002=DATE(2026,6,5)),ROW(Expenses!A$3:A$1002)-2),4)),"")&lt;&gt;"",IFERROR(INDEX(Expenses!B$3:B$1002,SMALL(IF((Expenses!E$3:E$1002="INR")*(Expenses!A$3:A$1002=DATE(2026,6,5)),ROW(Expenses!A$3:A$1002)-2),4)),""),IF(IFERROR(INDEX(Income!B$3:B$502,SMALL(IF((Income!D$3:D$502="INR")*(Income!A$3:A$502=DATE(2026,6,5)),ROW(Income!A$3:A$502)-2),4)),"")&lt;&gt;"",IFERROR(INDEX(Income!B$3:B$502,SMALL(IF((Income!D$3:D$502="INR")*(Income!A$3:A$502=DATE(2026,6,5)),ROW(Income!A$3:A$502)-2),4)),""),""))</f>
        <v/>
      </c>
      <c r="M117" s="63" t="str">
        <f aca="false">IF(IFERROR(-INDEX(Expenses!D$3:D$1002,SMALL(IF((Expenses!E$3:E$1002="INR")*(Expenses!A$3:A$1002=DATE(2026,6,6)),ROW(Expenses!A$3:A$1002)-2),4)),0)+IFERROR(INDEX(Income!C$3:C$502,SMALL(IF((Income!D$3:D$502="INR")*(Income!A$3:A$502=DATE(2026,6,6)),ROW(Income!A$3:A$502)-2),4)),0)=0,"",IFERROR(-INDEX(Expenses!D$3:D$1002,SMALL(IF((Expenses!E$3:E$1002="INR")*(Expenses!A$3:A$1002=DATE(2026,6,6)),ROW(Expenses!A$3:A$1002)-2),4)),0)+IFERROR(INDEX(Income!C$3:C$502,SMALL(IF((Income!D$3:D$502="INR")*(Income!A$3:A$502=DATE(2026,6,6)),ROW(Income!A$3:A$502)-2),4)),0))</f>
        <v/>
      </c>
      <c r="N117" s="38" t="str">
        <f aca="false">IF(IFERROR(INDEX(Expenses!B$3:B$1002,SMALL(IF((Expenses!E$3:E$1002="INR")*(Expenses!A$3:A$1002=DATE(2026,6,6)),ROW(Expenses!A$3:A$1002)-2),4)),"")&lt;&gt;"",IFERROR(INDEX(Expenses!B$3:B$1002,SMALL(IF((Expenses!E$3:E$1002="INR")*(Expenses!A$3:A$1002=DATE(2026,6,6)),ROW(Expenses!A$3:A$1002)-2),4)),""),IF(IFERROR(INDEX(Income!B$3:B$502,SMALL(IF((Income!D$3:D$502="INR")*(Income!A$3:A$502=DATE(2026,6,6)),ROW(Income!A$3:A$502)-2),4)),"")&lt;&gt;"",IFERROR(INDEX(Income!B$3:B$502,SMALL(IF((Income!D$3:D$502="INR")*(Income!A$3:A$502=DATE(2026,6,6)),ROW(Income!A$3:A$502)-2),4)),""),""))</f>
        <v/>
      </c>
      <c r="O117" s="63" t="str">
        <f aca="false">IF(IFERROR(-INDEX(Expenses!D$3:D$1002,SMALL(IF((Expenses!E$3:E$1002="INR")*(Expenses!A$3:A$1002=DATE(2026,6,7)),ROW(Expenses!A$3:A$1002)-2),4)),0)+IFERROR(INDEX(Income!C$3:C$502,SMALL(IF((Income!D$3:D$502="INR")*(Income!A$3:A$502=DATE(2026,6,7)),ROW(Income!A$3:A$502)-2),4)),0)=0,"",IFERROR(-INDEX(Expenses!D$3:D$1002,SMALL(IF((Expenses!E$3:E$1002="INR")*(Expenses!A$3:A$1002=DATE(2026,6,7)),ROW(Expenses!A$3:A$1002)-2),4)),0)+IFERROR(INDEX(Income!C$3:C$502,SMALL(IF((Income!D$3:D$502="INR")*(Income!A$3:A$502=DATE(2026,6,7)),ROW(Income!A$3:A$502)-2),4)),0))</f>
        <v/>
      </c>
      <c r="P117" s="38" t="str">
        <f aca="false">IF(IFERROR(INDEX(Expenses!B$3:B$1002,SMALL(IF((Expenses!E$3:E$1002="INR")*(Expenses!A$3:A$1002=DATE(2026,6,7)),ROW(Expenses!A$3:A$1002)-2),4)),"")&lt;&gt;"",IFERROR(INDEX(Expenses!B$3:B$1002,SMALL(IF((Expenses!E$3:E$1002="INR")*(Expenses!A$3:A$1002=DATE(2026,6,7)),ROW(Expenses!A$3:A$1002)-2),4)),""),IF(IFERROR(INDEX(Income!B$3:B$502,SMALL(IF((Income!D$3:D$502="INR")*(Income!A$3:A$502=DATE(2026,6,7)),ROW(Income!A$3:A$502)-2),4)),"")&lt;&gt;"",IFERROR(INDEX(Income!B$3:B$502,SMALL(IF((Income!D$3:D$502="INR")*(Income!A$3:A$502=DATE(2026,6,7)),ROW(Income!A$3:A$502)-2),4)),""),""))</f>
        <v/>
      </c>
      <c r="Q117" s="16"/>
      <c r="R117" s="16"/>
    </row>
    <row r="118" customFormat="false" ht="15" hidden="false" customHeight="false" outlineLevel="0" collapsed="false">
      <c r="A118" s="16"/>
      <c r="B118" s="16"/>
      <c r="C118" s="63" t="str">
        <f aca="false">IF(IFERROR(-INDEX(Expenses!D$3:D$1002,SMALL(IF((Expenses!E$3:E$1002="INR")*(Expenses!A$3:A$1002=DATE(2026,6,1)),ROW(Expenses!A$3:A$1002)-2),5)),0)+IFERROR(INDEX(Income!C$3:C$502,SMALL(IF((Income!D$3:D$502="INR")*(Income!A$3:A$502=DATE(2026,6,1)),ROW(Income!A$3:A$502)-2),5)),0)=0,"",IFERROR(-INDEX(Expenses!D$3:D$1002,SMALL(IF((Expenses!E$3:E$1002="INR")*(Expenses!A$3:A$1002=DATE(2026,6,1)),ROW(Expenses!A$3:A$1002)-2),5)),0)+IFERROR(INDEX(Income!C$3:C$502,SMALL(IF((Income!D$3:D$502="INR")*(Income!A$3:A$502=DATE(2026,6,1)),ROW(Income!A$3:A$502)-2),5)),0))</f>
        <v/>
      </c>
      <c r="D118" s="38" t="str">
        <f aca="false">IF(IFERROR(INDEX(Expenses!B$3:B$1002,SMALL(IF((Expenses!E$3:E$1002="INR")*(Expenses!A$3:A$1002=DATE(2026,6,1)),ROW(Expenses!A$3:A$1002)-2),5)),"")&lt;&gt;"",IFERROR(INDEX(Expenses!B$3:B$1002,SMALL(IF((Expenses!E$3:E$1002="INR")*(Expenses!A$3:A$1002=DATE(2026,6,1)),ROW(Expenses!A$3:A$1002)-2),5)),""),IF(IFERROR(INDEX(Income!B$3:B$502,SMALL(IF((Income!D$3:D$502="INR")*(Income!A$3:A$502=DATE(2026,6,1)),ROW(Income!A$3:A$502)-2),5)),"")&lt;&gt;"",IFERROR(INDEX(Income!B$3:B$502,SMALL(IF((Income!D$3:D$502="INR")*(Income!A$3:A$502=DATE(2026,6,1)),ROW(Income!A$3:A$502)-2),5)),""),""))</f>
        <v/>
      </c>
      <c r="E118" s="63" t="str">
        <f aca="false">IF(IFERROR(-INDEX(Expenses!D$3:D$1002,SMALL(IF((Expenses!E$3:E$1002="INR")*(Expenses!A$3:A$1002=DATE(2026,6,2)),ROW(Expenses!A$3:A$1002)-2),5)),0)+IFERROR(INDEX(Income!C$3:C$502,SMALL(IF((Income!D$3:D$502="INR")*(Income!A$3:A$502=DATE(2026,6,2)),ROW(Income!A$3:A$502)-2),5)),0)=0,"",IFERROR(-INDEX(Expenses!D$3:D$1002,SMALL(IF((Expenses!E$3:E$1002="INR")*(Expenses!A$3:A$1002=DATE(2026,6,2)),ROW(Expenses!A$3:A$1002)-2),5)),0)+IFERROR(INDEX(Income!C$3:C$502,SMALL(IF((Income!D$3:D$502="INR")*(Income!A$3:A$502=DATE(2026,6,2)),ROW(Income!A$3:A$502)-2),5)),0))</f>
        <v/>
      </c>
      <c r="F118" s="38" t="str">
        <f aca="false">IF(IFERROR(INDEX(Expenses!B$3:B$1002,SMALL(IF((Expenses!E$3:E$1002="INR")*(Expenses!A$3:A$1002=DATE(2026,6,2)),ROW(Expenses!A$3:A$1002)-2),5)),"")&lt;&gt;"",IFERROR(INDEX(Expenses!B$3:B$1002,SMALL(IF((Expenses!E$3:E$1002="INR")*(Expenses!A$3:A$1002=DATE(2026,6,2)),ROW(Expenses!A$3:A$1002)-2),5)),""),IF(IFERROR(INDEX(Income!B$3:B$502,SMALL(IF((Income!D$3:D$502="INR")*(Income!A$3:A$502=DATE(2026,6,2)),ROW(Income!A$3:A$502)-2),5)),"")&lt;&gt;"",IFERROR(INDEX(Income!B$3:B$502,SMALL(IF((Income!D$3:D$502="INR")*(Income!A$3:A$502=DATE(2026,6,2)),ROW(Income!A$3:A$502)-2),5)),""),""))</f>
        <v/>
      </c>
      <c r="G118" s="63" t="str">
        <f aca="false">IF(IFERROR(-INDEX(Expenses!D$3:D$1002,SMALL(IF((Expenses!E$3:E$1002="INR")*(Expenses!A$3:A$1002=DATE(2026,6,3)),ROW(Expenses!A$3:A$1002)-2),5)),0)+IFERROR(INDEX(Income!C$3:C$502,SMALL(IF((Income!D$3:D$502="INR")*(Income!A$3:A$502=DATE(2026,6,3)),ROW(Income!A$3:A$502)-2),5)),0)=0,"",IFERROR(-INDEX(Expenses!D$3:D$1002,SMALL(IF((Expenses!E$3:E$1002="INR")*(Expenses!A$3:A$1002=DATE(2026,6,3)),ROW(Expenses!A$3:A$1002)-2),5)),0)+IFERROR(INDEX(Income!C$3:C$502,SMALL(IF((Income!D$3:D$502="INR")*(Income!A$3:A$502=DATE(2026,6,3)),ROW(Income!A$3:A$502)-2),5)),0))</f>
        <v/>
      </c>
      <c r="H118" s="38" t="str">
        <f aca="false">IF(IFERROR(INDEX(Expenses!B$3:B$1002,SMALL(IF((Expenses!E$3:E$1002="INR")*(Expenses!A$3:A$1002=DATE(2026,6,3)),ROW(Expenses!A$3:A$1002)-2),5)),"")&lt;&gt;"",IFERROR(INDEX(Expenses!B$3:B$1002,SMALL(IF((Expenses!E$3:E$1002="INR")*(Expenses!A$3:A$1002=DATE(2026,6,3)),ROW(Expenses!A$3:A$1002)-2),5)),""),IF(IFERROR(INDEX(Income!B$3:B$502,SMALL(IF((Income!D$3:D$502="INR")*(Income!A$3:A$502=DATE(2026,6,3)),ROW(Income!A$3:A$502)-2),5)),"")&lt;&gt;"",IFERROR(INDEX(Income!B$3:B$502,SMALL(IF((Income!D$3:D$502="INR")*(Income!A$3:A$502=DATE(2026,6,3)),ROW(Income!A$3:A$502)-2),5)),""),""))</f>
        <v/>
      </c>
      <c r="I118" s="63" t="str">
        <f aca="false">IF(IFERROR(-INDEX(Expenses!D$3:D$1002,SMALL(IF((Expenses!E$3:E$1002="INR")*(Expenses!A$3:A$1002=DATE(2026,6,4)),ROW(Expenses!A$3:A$1002)-2),5)),0)+IFERROR(INDEX(Income!C$3:C$502,SMALL(IF((Income!D$3:D$502="INR")*(Income!A$3:A$502=DATE(2026,6,4)),ROW(Income!A$3:A$502)-2),5)),0)=0,"",IFERROR(-INDEX(Expenses!D$3:D$1002,SMALL(IF((Expenses!E$3:E$1002="INR")*(Expenses!A$3:A$1002=DATE(2026,6,4)),ROW(Expenses!A$3:A$1002)-2),5)),0)+IFERROR(INDEX(Income!C$3:C$502,SMALL(IF((Income!D$3:D$502="INR")*(Income!A$3:A$502=DATE(2026,6,4)),ROW(Income!A$3:A$502)-2),5)),0))</f>
        <v/>
      </c>
      <c r="J118" s="38" t="str">
        <f aca="false">IF(IFERROR(INDEX(Expenses!B$3:B$1002,SMALL(IF((Expenses!E$3:E$1002="INR")*(Expenses!A$3:A$1002=DATE(2026,6,4)),ROW(Expenses!A$3:A$1002)-2),5)),"")&lt;&gt;"",IFERROR(INDEX(Expenses!B$3:B$1002,SMALL(IF((Expenses!E$3:E$1002="INR")*(Expenses!A$3:A$1002=DATE(2026,6,4)),ROW(Expenses!A$3:A$1002)-2),5)),""),IF(IFERROR(INDEX(Income!B$3:B$502,SMALL(IF((Income!D$3:D$502="INR")*(Income!A$3:A$502=DATE(2026,6,4)),ROW(Income!A$3:A$502)-2),5)),"")&lt;&gt;"",IFERROR(INDEX(Income!B$3:B$502,SMALL(IF((Income!D$3:D$502="INR")*(Income!A$3:A$502=DATE(2026,6,4)),ROW(Income!A$3:A$502)-2),5)),""),""))</f>
        <v/>
      </c>
      <c r="K118" s="63" t="str">
        <f aca="false">IF(IFERROR(-INDEX(Expenses!D$3:D$1002,SMALL(IF((Expenses!E$3:E$1002="INR")*(Expenses!A$3:A$1002=DATE(2026,6,5)),ROW(Expenses!A$3:A$1002)-2),5)),0)+IFERROR(INDEX(Income!C$3:C$502,SMALL(IF((Income!D$3:D$502="INR")*(Income!A$3:A$502=DATE(2026,6,5)),ROW(Income!A$3:A$502)-2),5)),0)=0,"",IFERROR(-INDEX(Expenses!D$3:D$1002,SMALL(IF((Expenses!E$3:E$1002="INR")*(Expenses!A$3:A$1002=DATE(2026,6,5)),ROW(Expenses!A$3:A$1002)-2),5)),0)+IFERROR(INDEX(Income!C$3:C$502,SMALL(IF((Income!D$3:D$502="INR")*(Income!A$3:A$502=DATE(2026,6,5)),ROW(Income!A$3:A$502)-2),5)),0))</f>
        <v/>
      </c>
      <c r="L118" s="38" t="str">
        <f aca="false">IF(IFERROR(INDEX(Expenses!B$3:B$1002,SMALL(IF((Expenses!E$3:E$1002="INR")*(Expenses!A$3:A$1002=DATE(2026,6,5)),ROW(Expenses!A$3:A$1002)-2),5)),"")&lt;&gt;"",IFERROR(INDEX(Expenses!B$3:B$1002,SMALL(IF((Expenses!E$3:E$1002="INR")*(Expenses!A$3:A$1002=DATE(2026,6,5)),ROW(Expenses!A$3:A$1002)-2),5)),""),IF(IFERROR(INDEX(Income!B$3:B$502,SMALL(IF((Income!D$3:D$502="INR")*(Income!A$3:A$502=DATE(2026,6,5)),ROW(Income!A$3:A$502)-2),5)),"")&lt;&gt;"",IFERROR(INDEX(Income!B$3:B$502,SMALL(IF((Income!D$3:D$502="INR")*(Income!A$3:A$502=DATE(2026,6,5)),ROW(Income!A$3:A$502)-2),5)),""),""))</f>
        <v/>
      </c>
      <c r="M118" s="63" t="str">
        <f aca="false">IF(IFERROR(-INDEX(Expenses!D$3:D$1002,SMALL(IF((Expenses!E$3:E$1002="INR")*(Expenses!A$3:A$1002=DATE(2026,6,6)),ROW(Expenses!A$3:A$1002)-2),5)),0)+IFERROR(INDEX(Income!C$3:C$502,SMALL(IF((Income!D$3:D$502="INR")*(Income!A$3:A$502=DATE(2026,6,6)),ROW(Income!A$3:A$502)-2),5)),0)=0,"",IFERROR(-INDEX(Expenses!D$3:D$1002,SMALL(IF((Expenses!E$3:E$1002="INR")*(Expenses!A$3:A$1002=DATE(2026,6,6)),ROW(Expenses!A$3:A$1002)-2),5)),0)+IFERROR(INDEX(Income!C$3:C$502,SMALL(IF((Income!D$3:D$502="INR")*(Income!A$3:A$502=DATE(2026,6,6)),ROW(Income!A$3:A$502)-2),5)),0))</f>
        <v/>
      </c>
      <c r="N118" s="38" t="str">
        <f aca="false">IF(IFERROR(INDEX(Expenses!B$3:B$1002,SMALL(IF((Expenses!E$3:E$1002="INR")*(Expenses!A$3:A$1002=DATE(2026,6,6)),ROW(Expenses!A$3:A$1002)-2),5)),"")&lt;&gt;"",IFERROR(INDEX(Expenses!B$3:B$1002,SMALL(IF((Expenses!E$3:E$1002="INR")*(Expenses!A$3:A$1002=DATE(2026,6,6)),ROW(Expenses!A$3:A$1002)-2),5)),""),IF(IFERROR(INDEX(Income!B$3:B$502,SMALL(IF((Income!D$3:D$502="INR")*(Income!A$3:A$502=DATE(2026,6,6)),ROW(Income!A$3:A$502)-2),5)),"")&lt;&gt;"",IFERROR(INDEX(Income!B$3:B$502,SMALL(IF((Income!D$3:D$502="INR")*(Income!A$3:A$502=DATE(2026,6,6)),ROW(Income!A$3:A$502)-2),5)),""),""))</f>
        <v/>
      </c>
      <c r="O118" s="63" t="str">
        <f aca="false">IF(IFERROR(-INDEX(Expenses!D$3:D$1002,SMALL(IF((Expenses!E$3:E$1002="INR")*(Expenses!A$3:A$1002=DATE(2026,6,7)),ROW(Expenses!A$3:A$1002)-2),5)),0)+IFERROR(INDEX(Income!C$3:C$502,SMALL(IF((Income!D$3:D$502="INR")*(Income!A$3:A$502=DATE(2026,6,7)),ROW(Income!A$3:A$502)-2),5)),0)=0,"",IFERROR(-INDEX(Expenses!D$3:D$1002,SMALL(IF((Expenses!E$3:E$1002="INR")*(Expenses!A$3:A$1002=DATE(2026,6,7)),ROW(Expenses!A$3:A$1002)-2),5)),0)+IFERROR(INDEX(Income!C$3:C$502,SMALL(IF((Income!D$3:D$502="INR")*(Income!A$3:A$502=DATE(2026,6,7)),ROW(Income!A$3:A$502)-2),5)),0))</f>
        <v/>
      </c>
      <c r="P118" s="38" t="str">
        <f aca="false">IF(IFERROR(INDEX(Expenses!B$3:B$1002,SMALL(IF((Expenses!E$3:E$1002="INR")*(Expenses!A$3:A$1002=DATE(2026,6,7)),ROW(Expenses!A$3:A$1002)-2),5)),"")&lt;&gt;"",IFERROR(INDEX(Expenses!B$3:B$1002,SMALL(IF((Expenses!E$3:E$1002="INR")*(Expenses!A$3:A$1002=DATE(2026,6,7)),ROW(Expenses!A$3:A$1002)-2),5)),""),IF(IFERROR(INDEX(Income!B$3:B$502,SMALL(IF((Income!D$3:D$502="INR")*(Income!A$3:A$502=DATE(2026,6,7)),ROW(Income!A$3:A$502)-2),5)),"")&lt;&gt;"",IFERROR(INDEX(Income!B$3:B$502,SMALL(IF((Income!D$3:D$502="INR")*(Income!A$3:A$502=DATE(2026,6,7)),ROW(Income!A$3:A$502)-2),5)),""),""))</f>
        <v/>
      </c>
      <c r="Q118" s="16"/>
      <c r="R118" s="16"/>
    </row>
    <row r="119" customFormat="false" ht="15" hidden="false" customHeight="false" outlineLevel="0" collapsed="false">
      <c r="A119" s="61" t="n">
        <v>46181</v>
      </c>
      <c r="B119" s="3" t="n">
        <v>24</v>
      </c>
      <c r="C119" s="63" t="str">
        <f aca="false">IF(IFERROR(-INDEX(Expenses!D$3:D$1002,SMALL(IF((Expenses!E$3:E$1002="INR")*(Expenses!A$3:A$1002=DATE(2026,6,8)),ROW(Expenses!A$3:A$1002)-2),1)),0)+IFERROR(INDEX(Income!C$3:C$502,SMALL(IF((Income!D$3:D$502="INR")*(Income!A$3:A$502=DATE(2026,6,8)),ROW(Income!A$3:A$502)-2),1)),0)=0,"",IFERROR(-INDEX(Expenses!D$3:D$1002,SMALL(IF((Expenses!E$3:E$1002="INR")*(Expenses!A$3:A$1002=DATE(2026,6,8)),ROW(Expenses!A$3:A$1002)-2),1)),0)+IFERROR(INDEX(Income!C$3:C$502,SMALL(IF((Income!D$3:D$502="INR")*(Income!A$3:A$502=DATE(2026,6,8)),ROW(Income!A$3:A$502)-2),1)),0))</f>
        <v/>
      </c>
      <c r="D119" s="38" t="str">
        <f aca="false">IF(IFERROR(INDEX(Expenses!B$3:B$1002,SMALL(IF((Expenses!E$3:E$1002="INR")*(Expenses!A$3:A$1002=DATE(2026,6,8)),ROW(Expenses!A$3:A$1002)-2),1)),"")&lt;&gt;"",IFERROR(INDEX(Expenses!B$3:B$1002,SMALL(IF((Expenses!E$3:E$1002="INR")*(Expenses!A$3:A$1002=DATE(2026,6,8)),ROW(Expenses!A$3:A$1002)-2),1)),""),IF(IFERROR(INDEX(Income!B$3:B$502,SMALL(IF((Income!D$3:D$502="INR")*(Income!A$3:A$502=DATE(2026,6,8)),ROW(Income!A$3:A$502)-2),1)),"")&lt;&gt;"",IFERROR(INDEX(Income!B$3:B$502,SMALL(IF((Income!D$3:D$502="INR")*(Income!A$3:A$502=DATE(2026,6,8)),ROW(Income!A$3:A$502)-2),1)),""),""))</f>
        <v/>
      </c>
      <c r="E119" s="63" t="str">
        <f aca="false">IF(IFERROR(-INDEX(Expenses!D$3:D$1002,SMALL(IF((Expenses!E$3:E$1002="INR")*(Expenses!A$3:A$1002=DATE(2026,6,9)),ROW(Expenses!A$3:A$1002)-2),1)),0)+IFERROR(INDEX(Income!C$3:C$502,SMALL(IF((Income!D$3:D$502="INR")*(Income!A$3:A$502=DATE(2026,6,9)),ROW(Income!A$3:A$502)-2),1)),0)=0,"",IFERROR(-INDEX(Expenses!D$3:D$1002,SMALL(IF((Expenses!E$3:E$1002="INR")*(Expenses!A$3:A$1002=DATE(2026,6,9)),ROW(Expenses!A$3:A$1002)-2),1)),0)+IFERROR(INDEX(Income!C$3:C$502,SMALL(IF((Income!D$3:D$502="INR")*(Income!A$3:A$502=DATE(2026,6,9)),ROW(Income!A$3:A$502)-2),1)),0))</f>
        <v/>
      </c>
      <c r="F119" s="38" t="str">
        <f aca="false">IF(IFERROR(INDEX(Expenses!B$3:B$1002,SMALL(IF((Expenses!E$3:E$1002="INR")*(Expenses!A$3:A$1002=DATE(2026,6,9)),ROW(Expenses!A$3:A$1002)-2),1)),"")&lt;&gt;"",IFERROR(INDEX(Expenses!B$3:B$1002,SMALL(IF((Expenses!E$3:E$1002="INR")*(Expenses!A$3:A$1002=DATE(2026,6,9)),ROW(Expenses!A$3:A$1002)-2),1)),""),IF(IFERROR(INDEX(Income!B$3:B$502,SMALL(IF((Income!D$3:D$502="INR")*(Income!A$3:A$502=DATE(2026,6,9)),ROW(Income!A$3:A$502)-2),1)),"")&lt;&gt;"",IFERROR(INDEX(Income!B$3:B$502,SMALL(IF((Income!D$3:D$502="INR")*(Income!A$3:A$502=DATE(2026,6,9)),ROW(Income!A$3:A$502)-2),1)),""),""))</f>
        <v/>
      </c>
      <c r="G119" s="63" t="str">
        <f aca="false">IF(IFERROR(-INDEX(Expenses!D$3:D$1002,SMALL(IF((Expenses!E$3:E$1002="INR")*(Expenses!A$3:A$1002=DATE(2026,6,10)),ROW(Expenses!A$3:A$1002)-2),1)),0)+IFERROR(INDEX(Income!C$3:C$502,SMALL(IF((Income!D$3:D$502="INR")*(Income!A$3:A$502=DATE(2026,6,10)),ROW(Income!A$3:A$502)-2),1)),0)=0,"",IFERROR(-INDEX(Expenses!D$3:D$1002,SMALL(IF((Expenses!E$3:E$1002="INR")*(Expenses!A$3:A$1002=DATE(2026,6,10)),ROW(Expenses!A$3:A$1002)-2),1)),0)+IFERROR(INDEX(Income!C$3:C$502,SMALL(IF((Income!D$3:D$502="INR")*(Income!A$3:A$502=DATE(2026,6,10)),ROW(Income!A$3:A$502)-2),1)),0))</f>
        <v/>
      </c>
      <c r="H119" s="38" t="str">
        <f aca="false">IF(IFERROR(INDEX(Expenses!B$3:B$1002,SMALL(IF((Expenses!E$3:E$1002="INR")*(Expenses!A$3:A$1002=DATE(2026,6,10)),ROW(Expenses!A$3:A$1002)-2),1)),"")&lt;&gt;"",IFERROR(INDEX(Expenses!B$3:B$1002,SMALL(IF((Expenses!E$3:E$1002="INR")*(Expenses!A$3:A$1002=DATE(2026,6,10)),ROW(Expenses!A$3:A$1002)-2),1)),""),IF(IFERROR(INDEX(Income!B$3:B$502,SMALL(IF((Income!D$3:D$502="INR")*(Income!A$3:A$502=DATE(2026,6,10)),ROW(Income!A$3:A$502)-2),1)),"")&lt;&gt;"",IFERROR(INDEX(Income!B$3:B$502,SMALL(IF((Income!D$3:D$502="INR")*(Income!A$3:A$502=DATE(2026,6,10)),ROW(Income!A$3:A$502)-2),1)),""),""))</f>
        <v/>
      </c>
      <c r="I119" s="63" t="str">
        <f aca="false">IF(IFERROR(-INDEX(Expenses!D$3:D$1002,SMALL(IF((Expenses!E$3:E$1002="INR")*(Expenses!A$3:A$1002=DATE(2026,6,11)),ROW(Expenses!A$3:A$1002)-2),1)),0)+IFERROR(INDEX(Income!C$3:C$502,SMALL(IF((Income!D$3:D$502="INR")*(Income!A$3:A$502=DATE(2026,6,11)),ROW(Income!A$3:A$502)-2),1)),0)=0,"",IFERROR(-INDEX(Expenses!D$3:D$1002,SMALL(IF((Expenses!E$3:E$1002="INR")*(Expenses!A$3:A$1002=DATE(2026,6,11)),ROW(Expenses!A$3:A$1002)-2),1)),0)+IFERROR(INDEX(Income!C$3:C$502,SMALL(IF((Income!D$3:D$502="INR")*(Income!A$3:A$502=DATE(2026,6,11)),ROW(Income!A$3:A$502)-2),1)),0))</f>
        <v/>
      </c>
      <c r="J119" s="38" t="str">
        <f aca="false">IF(IFERROR(INDEX(Expenses!B$3:B$1002,SMALL(IF((Expenses!E$3:E$1002="INR")*(Expenses!A$3:A$1002=DATE(2026,6,11)),ROW(Expenses!A$3:A$1002)-2),1)),"")&lt;&gt;"",IFERROR(INDEX(Expenses!B$3:B$1002,SMALL(IF((Expenses!E$3:E$1002="INR")*(Expenses!A$3:A$1002=DATE(2026,6,11)),ROW(Expenses!A$3:A$1002)-2),1)),""),IF(IFERROR(INDEX(Income!B$3:B$502,SMALL(IF((Income!D$3:D$502="INR")*(Income!A$3:A$502=DATE(2026,6,11)),ROW(Income!A$3:A$502)-2),1)),"")&lt;&gt;"",IFERROR(INDEX(Income!B$3:B$502,SMALL(IF((Income!D$3:D$502="INR")*(Income!A$3:A$502=DATE(2026,6,11)),ROW(Income!A$3:A$502)-2),1)),""),""))</f>
        <v/>
      </c>
      <c r="K119" s="63" t="str">
        <f aca="false">IF(IFERROR(-INDEX(Expenses!D$3:D$1002,SMALL(IF((Expenses!E$3:E$1002="INR")*(Expenses!A$3:A$1002=DATE(2026,6,12)),ROW(Expenses!A$3:A$1002)-2),1)),0)+IFERROR(INDEX(Income!C$3:C$502,SMALL(IF((Income!D$3:D$502="INR")*(Income!A$3:A$502=DATE(2026,6,12)),ROW(Income!A$3:A$502)-2),1)),0)=0,"",IFERROR(-INDEX(Expenses!D$3:D$1002,SMALL(IF((Expenses!E$3:E$1002="INR")*(Expenses!A$3:A$1002=DATE(2026,6,12)),ROW(Expenses!A$3:A$1002)-2),1)),0)+IFERROR(INDEX(Income!C$3:C$502,SMALL(IF((Income!D$3:D$502="INR")*(Income!A$3:A$502=DATE(2026,6,12)),ROW(Income!A$3:A$502)-2),1)),0))</f>
        <v/>
      </c>
      <c r="L119" s="38" t="str">
        <f aca="false">IF(IFERROR(INDEX(Expenses!B$3:B$1002,SMALL(IF((Expenses!E$3:E$1002="INR")*(Expenses!A$3:A$1002=DATE(2026,6,12)),ROW(Expenses!A$3:A$1002)-2),1)),"")&lt;&gt;"",IFERROR(INDEX(Expenses!B$3:B$1002,SMALL(IF((Expenses!E$3:E$1002="INR")*(Expenses!A$3:A$1002=DATE(2026,6,12)),ROW(Expenses!A$3:A$1002)-2),1)),""),IF(IFERROR(INDEX(Income!B$3:B$502,SMALL(IF((Income!D$3:D$502="INR")*(Income!A$3:A$502=DATE(2026,6,12)),ROW(Income!A$3:A$502)-2),1)),"")&lt;&gt;"",IFERROR(INDEX(Income!B$3:B$502,SMALL(IF((Income!D$3:D$502="INR")*(Income!A$3:A$502=DATE(2026,6,12)),ROW(Income!A$3:A$502)-2),1)),""),""))</f>
        <v/>
      </c>
      <c r="M119" s="63" t="str">
        <f aca="false">IF(IFERROR(-INDEX(Expenses!D$3:D$1002,SMALL(IF((Expenses!E$3:E$1002="INR")*(Expenses!A$3:A$1002=DATE(2026,6,13)),ROW(Expenses!A$3:A$1002)-2),1)),0)+IFERROR(INDEX(Income!C$3:C$502,SMALL(IF((Income!D$3:D$502="INR")*(Income!A$3:A$502=DATE(2026,6,13)),ROW(Income!A$3:A$502)-2),1)),0)=0,"",IFERROR(-INDEX(Expenses!D$3:D$1002,SMALL(IF((Expenses!E$3:E$1002="INR")*(Expenses!A$3:A$1002=DATE(2026,6,13)),ROW(Expenses!A$3:A$1002)-2),1)),0)+IFERROR(INDEX(Income!C$3:C$502,SMALL(IF((Income!D$3:D$502="INR")*(Income!A$3:A$502=DATE(2026,6,13)),ROW(Income!A$3:A$502)-2),1)),0))</f>
        <v/>
      </c>
      <c r="N119" s="38" t="str">
        <f aca="false">IF(IFERROR(INDEX(Expenses!B$3:B$1002,SMALL(IF((Expenses!E$3:E$1002="INR")*(Expenses!A$3:A$1002=DATE(2026,6,13)),ROW(Expenses!A$3:A$1002)-2),1)),"")&lt;&gt;"",IFERROR(INDEX(Expenses!B$3:B$1002,SMALL(IF((Expenses!E$3:E$1002="INR")*(Expenses!A$3:A$1002=DATE(2026,6,13)),ROW(Expenses!A$3:A$1002)-2),1)),""),IF(IFERROR(INDEX(Income!B$3:B$502,SMALL(IF((Income!D$3:D$502="INR")*(Income!A$3:A$502=DATE(2026,6,13)),ROW(Income!A$3:A$502)-2),1)),"")&lt;&gt;"",IFERROR(INDEX(Income!B$3:B$502,SMALL(IF((Income!D$3:D$502="INR")*(Income!A$3:A$502=DATE(2026,6,13)),ROW(Income!A$3:A$502)-2),1)),""),""))</f>
        <v/>
      </c>
      <c r="O119" s="63" t="str">
        <f aca="false">IF(IFERROR(-INDEX(Expenses!D$3:D$1002,SMALL(IF((Expenses!E$3:E$1002="INR")*(Expenses!A$3:A$1002=DATE(2026,6,14)),ROW(Expenses!A$3:A$1002)-2),1)),0)+IFERROR(INDEX(Income!C$3:C$502,SMALL(IF((Income!D$3:D$502="INR")*(Income!A$3:A$502=DATE(2026,6,14)),ROW(Income!A$3:A$502)-2),1)),0)=0,"",IFERROR(-INDEX(Expenses!D$3:D$1002,SMALL(IF((Expenses!E$3:E$1002="INR")*(Expenses!A$3:A$1002=DATE(2026,6,14)),ROW(Expenses!A$3:A$1002)-2),1)),0)+IFERROR(INDEX(Income!C$3:C$502,SMALL(IF((Income!D$3:D$502="INR")*(Income!A$3:A$502=DATE(2026,6,14)),ROW(Income!A$3:A$502)-2),1)),0))</f>
        <v/>
      </c>
      <c r="P119" s="38" t="str">
        <f aca="false">IF(IFERROR(INDEX(Expenses!B$3:B$1002,SMALL(IF((Expenses!E$3:E$1002="INR")*(Expenses!A$3:A$1002=DATE(2026,6,14)),ROW(Expenses!A$3:A$1002)-2),1)),"")&lt;&gt;"",IFERROR(INDEX(Expenses!B$3:B$1002,SMALL(IF((Expenses!E$3:E$1002="INR")*(Expenses!A$3:A$1002=DATE(2026,6,14)),ROW(Expenses!A$3:A$1002)-2),1)),""),IF(IFERROR(INDEX(Income!B$3:B$502,SMALL(IF((Income!D$3:D$502="INR")*(Income!A$3:A$502=DATE(2026,6,14)),ROW(Income!A$3:A$502)-2),1)),"")&lt;&gt;"",IFERROR(INDEX(Income!B$3:B$502,SMALL(IF((Income!D$3:D$502="INR")*(Income!A$3:A$502=DATE(2026,6,14)),ROW(Income!A$3:A$502)-2),1)),""),""))</f>
        <v/>
      </c>
      <c r="Q119" s="3" t="n">
        <v>24</v>
      </c>
      <c r="R119" s="53" t="n">
        <f aca="false">SUM(C119:C123)+SUM(E119:E123)+SUM(G119:G123)+SUM(I119:I123)+SUM(K119:K123)+SUM(M119:M123)+SUM(O119:O123)</f>
        <v>0</v>
      </c>
    </row>
    <row r="120" customFormat="false" ht="15" hidden="false" customHeight="false" outlineLevel="0" collapsed="false">
      <c r="A120" s="16"/>
      <c r="B120" s="16"/>
      <c r="C120" s="63" t="str">
        <f aca="false">IF(IFERROR(-INDEX(Expenses!D$3:D$1002,SMALL(IF((Expenses!E$3:E$1002="INR")*(Expenses!A$3:A$1002=DATE(2026,6,8)),ROW(Expenses!A$3:A$1002)-2),2)),0)+IFERROR(INDEX(Income!C$3:C$502,SMALL(IF((Income!D$3:D$502="INR")*(Income!A$3:A$502=DATE(2026,6,8)),ROW(Income!A$3:A$502)-2),2)),0)=0,"",IFERROR(-INDEX(Expenses!D$3:D$1002,SMALL(IF((Expenses!E$3:E$1002="INR")*(Expenses!A$3:A$1002=DATE(2026,6,8)),ROW(Expenses!A$3:A$1002)-2),2)),0)+IFERROR(INDEX(Income!C$3:C$502,SMALL(IF((Income!D$3:D$502="INR")*(Income!A$3:A$502=DATE(2026,6,8)),ROW(Income!A$3:A$502)-2),2)),0))</f>
        <v/>
      </c>
      <c r="D120" s="38" t="str">
        <f aca="false">IF(IFERROR(INDEX(Expenses!B$3:B$1002,SMALL(IF((Expenses!E$3:E$1002="INR")*(Expenses!A$3:A$1002=DATE(2026,6,8)),ROW(Expenses!A$3:A$1002)-2),2)),"")&lt;&gt;"",IFERROR(INDEX(Expenses!B$3:B$1002,SMALL(IF((Expenses!E$3:E$1002="INR")*(Expenses!A$3:A$1002=DATE(2026,6,8)),ROW(Expenses!A$3:A$1002)-2),2)),""),IF(IFERROR(INDEX(Income!B$3:B$502,SMALL(IF((Income!D$3:D$502="INR")*(Income!A$3:A$502=DATE(2026,6,8)),ROW(Income!A$3:A$502)-2),2)),"")&lt;&gt;"",IFERROR(INDEX(Income!B$3:B$502,SMALL(IF((Income!D$3:D$502="INR")*(Income!A$3:A$502=DATE(2026,6,8)),ROW(Income!A$3:A$502)-2),2)),""),""))</f>
        <v/>
      </c>
      <c r="E120" s="63" t="str">
        <f aca="false">IF(IFERROR(-INDEX(Expenses!D$3:D$1002,SMALL(IF((Expenses!E$3:E$1002="INR")*(Expenses!A$3:A$1002=DATE(2026,6,9)),ROW(Expenses!A$3:A$1002)-2),2)),0)+IFERROR(INDEX(Income!C$3:C$502,SMALL(IF((Income!D$3:D$502="INR")*(Income!A$3:A$502=DATE(2026,6,9)),ROW(Income!A$3:A$502)-2),2)),0)=0,"",IFERROR(-INDEX(Expenses!D$3:D$1002,SMALL(IF((Expenses!E$3:E$1002="INR")*(Expenses!A$3:A$1002=DATE(2026,6,9)),ROW(Expenses!A$3:A$1002)-2),2)),0)+IFERROR(INDEX(Income!C$3:C$502,SMALL(IF((Income!D$3:D$502="INR")*(Income!A$3:A$502=DATE(2026,6,9)),ROW(Income!A$3:A$502)-2),2)),0))</f>
        <v/>
      </c>
      <c r="F120" s="38" t="str">
        <f aca="false">IF(IFERROR(INDEX(Expenses!B$3:B$1002,SMALL(IF((Expenses!E$3:E$1002="INR")*(Expenses!A$3:A$1002=DATE(2026,6,9)),ROW(Expenses!A$3:A$1002)-2),2)),"")&lt;&gt;"",IFERROR(INDEX(Expenses!B$3:B$1002,SMALL(IF((Expenses!E$3:E$1002="INR")*(Expenses!A$3:A$1002=DATE(2026,6,9)),ROW(Expenses!A$3:A$1002)-2),2)),""),IF(IFERROR(INDEX(Income!B$3:B$502,SMALL(IF((Income!D$3:D$502="INR")*(Income!A$3:A$502=DATE(2026,6,9)),ROW(Income!A$3:A$502)-2),2)),"")&lt;&gt;"",IFERROR(INDEX(Income!B$3:B$502,SMALL(IF((Income!D$3:D$502="INR")*(Income!A$3:A$502=DATE(2026,6,9)),ROW(Income!A$3:A$502)-2),2)),""),""))</f>
        <v/>
      </c>
      <c r="G120" s="63" t="str">
        <f aca="false">IF(IFERROR(-INDEX(Expenses!D$3:D$1002,SMALL(IF((Expenses!E$3:E$1002="INR")*(Expenses!A$3:A$1002=DATE(2026,6,10)),ROW(Expenses!A$3:A$1002)-2),2)),0)+IFERROR(INDEX(Income!C$3:C$502,SMALL(IF((Income!D$3:D$502="INR")*(Income!A$3:A$502=DATE(2026,6,10)),ROW(Income!A$3:A$502)-2),2)),0)=0,"",IFERROR(-INDEX(Expenses!D$3:D$1002,SMALL(IF((Expenses!E$3:E$1002="INR")*(Expenses!A$3:A$1002=DATE(2026,6,10)),ROW(Expenses!A$3:A$1002)-2),2)),0)+IFERROR(INDEX(Income!C$3:C$502,SMALL(IF((Income!D$3:D$502="INR")*(Income!A$3:A$502=DATE(2026,6,10)),ROW(Income!A$3:A$502)-2),2)),0))</f>
        <v/>
      </c>
      <c r="H120" s="38" t="str">
        <f aca="false">IF(IFERROR(INDEX(Expenses!B$3:B$1002,SMALL(IF((Expenses!E$3:E$1002="INR")*(Expenses!A$3:A$1002=DATE(2026,6,10)),ROW(Expenses!A$3:A$1002)-2),2)),"")&lt;&gt;"",IFERROR(INDEX(Expenses!B$3:B$1002,SMALL(IF((Expenses!E$3:E$1002="INR")*(Expenses!A$3:A$1002=DATE(2026,6,10)),ROW(Expenses!A$3:A$1002)-2),2)),""),IF(IFERROR(INDEX(Income!B$3:B$502,SMALL(IF((Income!D$3:D$502="INR")*(Income!A$3:A$502=DATE(2026,6,10)),ROW(Income!A$3:A$502)-2),2)),"")&lt;&gt;"",IFERROR(INDEX(Income!B$3:B$502,SMALL(IF((Income!D$3:D$502="INR")*(Income!A$3:A$502=DATE(2026,6,10)),ROW(Income!A$3:A$502)-2),2)),""),""))</f>
        <v/>
      </c>
      <c r="I120" s="63" t="str">
        <f aca="false">IF(IFERROR(-INDEX(Expenses!D$3:D$1002,SMALL(IF((Expenses!E$3:E$1002="INR")*(Expenses!A$3:A$1002=DATE(2026,6,11)),ROW(Expenses!A$3:A$1002)-2),2)),0)+IFERROR(INDEX(Income!C$3:C$502,SMALL(IF((Income!D$3:D$502="INR")*(Income!A$3:A$502=DATE(2026,6,11)),ROW(Income!A$3:A$502)-2),2)),0)=0,"",IFERROR(-INDEX(Expenses!D$3:D$1002,SMALL(IF((Expenses!E$3:E$1002="INR")*(Expenses!A$3:A$1002=DATE(2026,6,11)),ROW(Expenses!A$3:A$1002)-2),2)),0)+IFERROR(INDEX(Income!C$3:C$502,SMALL(IF((Income!D$3:D$502="INR")*(Income!A$3:A$502=DATE(2026,6,11)),ROW(Income!A$3:A$502)-2),2)),0))</f>
        <v/>
      </c>
      <c r="J120" s="38" t="str">
        <f aca="false">IF(IFERROR(INDEX(Expenses!B$3:B$1002,SMALL(IF((Expenses!E$3:E$1002="INR")*(Expenses!A$3:A$1002=DATE(2026,6,11)),ROW(Expenses!A$3:A$1002)-2),2)),"")&lt;&gt;"",IFERROR(INDEX(Expenses!B$3:B$1002,SMALL(IF((Expenses!E$3:E$1002="INR")*(Expenses!A$3:A$1002=DATE(2026,6,11)),ROW(Expenses!A$3:A$1002)-2),2)),""),IF(IFERROR(INDEX(Income!B$3:B$502,SMALL(IF((Income!D$3:D$502="INR")*(Income!A$3:A$502=DATE(2026,6,11)),ROW(Income!A$3:A$502)-2),2)),"")&lt;&gt;"",IFERROR(INDEX(Income!B$3:B$502,SMALL(IF((Income!D$3:D$502="INR")*(Income!A$3:A$502=DATE(2026,6,11)),ROW(Income!A$3:A$502)-2),2)),""),""))</f>
        <v/>
      </c>
      <c r="K120" s="63" t="str">
        <f aca="false">IF(IFERROR(-INDEX(Expenses!D$3:D$1002,SMALL(IF((Expenses!E$3:E$1002="INR")*(Expenses!A$3:A$1002=DATE(2026,6,12)),ROW(Expenses!A$3:A$1002)-2),2)),0)+IFERROR(INDEX(Income!C$3:C$502,SMALL(IF((Income!D$3:D$502="INR")*(Income!A$3:A$502=DATE(2026,6,12)),ROW(Income!A$3:A$502)-2),2)),0)=0,"",IFERROR(-INDEX(Expenses!D$3:D$1002,SMALL(IF((Expenses!E$3:E$1002="INR")*(Expenses!A$3:A$1002=DATE(2026,6,12)),ROW(Expenses!A$3:A$1002)-2),2)),0)+IFERROR(INDEX(Income!C$3:C$502,SMALL(IF((Income!D$3:D$502="INR")*(Income!A$3:A$502=DATE(2026,6,12)),ROW(Income!A$3:A$502)-2),2)),0))</f>
        <v/>
      </c>
      <c r="L120" s="38" t="str">
        <f aca="false">IF(IFERROR(INDEX(Expenses!B$3:B$1002,SMALL(IF((Expenses!E$3:E$1002="INR")*(Expenses!A$3:A$1002=DATE(2026,6,12)),ROW(Expenses!A$3:A$1002)-2),2)),"")&lt;&gt;"",IFERROR(INDEX(Expenses!B$3:B$1002,SMALL(IF((Expenses!E$3:E$1002="INR")*(Expenses!A$3:A$1002=DATE(2026,6,12)),ROW(Expenses!A$3:A$1002)-2),2)),""),IF(IFERROR(INDEX(Income!B$3:B$502,SMALL(IF((Income!D$3:D$502="INR")*(Income!A$3:A$502=DATE(2026,6,12)),ROW(Income!A$3:A$502)-2),2)),"")&lt;&gt;"",IFERROR(INDEX(Income!B$3:B$502,SMALL(IF((Income!D$3:D$502="INR")*(Income!A$3:A$502=DATE(2026,6,12)),ROW(Income!A$3:A$502)-2),2)),""),""))</f>
        <v/>
      </c>
      <c r="M120" s="63" t="str">
        <f aca="false">IF(IFERROR(-INDEX(Expenses!D$3:D$1002,SMALL(IF((Expenses!E$3:E$1002="INR")*(Expenses!A$3:A$1002=DATE(2026,6,13)),ROW(Expenses!A$3:A$1002)-2),2)),0)+IFERROR(INDEX(Income!C$3:C$502,SMALL(IF((Income!D$3:D$502="INR")*(Income!A$3:A$502=DATE(2026,6,13)),ROW(Income!A$3:A$502)-2),2)),0)=0,"",IFERROR(-INDEX(Expenses!D$3:D$1002,SMALL(IF((Expenses!E$3:E$1002="INR")*(Expenses!A$3:A$1002=DATE(2026,6,13)),ROW(Expenses!A$3:A$1002)-2),2)),0)+IFERROR(INDEX(Income!C$3:C$502,SMALL(IF((Income!D$3:D$502="INR")*(Income!A$3:A$502=DATE(2026,6,13)),ROW(Income!A$3:A$502)-2),2)),0))</f>
        <v/>
      </c>
      <c r="N120" s="38" t="str">
        <f aca="false">IF(IFERROR(INDEX(Expenses!B$3:B$1002,SMALL(IF((Expenses!E$3:E$1002="INR")*(Expenses!A$3:A$1002=DATE(2026,6,13)),ROW(Expenses!A$3:A$1002)-2),2)),"")&lt;&gt;"",IFERROR(INDEX(Expenses!B$3:B$1002,SMALL(IF((Expenses!E$3:E$1002="INR")*(Expenses!A$3:A$1002=DATE(2026,6,13)),ROW(Expenses!A$3:A$1002)-2),2)),""),IF(IFERROR(INDEX(Income!B$3:B$502,SMALL(IF((Income!D$3:D$502="INR")*(Income!A$3:A$502=DATE(2026,6,13)),ROW(Income!A$3:A$502)-2),2)),"")&lt;&gt;"",IFERROR(INDEX(Income!B$3:B$502,SMALL(IF((Income!D$3:D$502="INR")*(Income!A$3:A$502=DATE(2026,6,13)),ROW(Income!A$3:A$502)-2),2)),""),""))</f>
        <v/>
      </c>
      <c r="O120" s="63" t="str">
        <f aca="false">IF(IFERROR(-INDEX(Expenses!D$3:D$1002,SMALL(IF((Expenses!E$3:E$1002="INR")*(Expenses!A$3:A$1002=DATE(2026,6,14)),ROW(Expenses!A$3:A$1002)-2),2)),0)+IFERROR(INDEX(Income!C$3:C$502,SMALL(IF((Income!D$3:D$502="INR")*(Income!A$3:A$502=DATE(2026,6,14)),ROW(Income!A$3:A$502)-2),2)),0)=0,"",IFERROR(-INDEX(Expenses!D$3:D$1002,SMALL(IF((Expenses!E$3:E$1002="INR")*(Expenses!A$3:A$1002=DATE(2026,6,14)),ROW(Expenses!A$3:A$1002)-2),2)),0)+IFERROR(INDEX(Income!C$3:C$502,SMALL(IF((Income!D$3:D$502="INR")*(Income!A$3:A$502=DATE(2026,6,14)),ROW(Income!A$3:A$502)-2),2)),0))</f>
        <v/>
      </c>
      <c r="P120" s="38" t="str">
        <f aca="false">IF(IFERROR(INDEX(Expenses!B$3:B$1002,SMALL(IF((Expenses!E$3:E$1002="INR")*(Expenses!A$3:A$1002=DATE(2026,6,14)),ROW(Expenses!A$3:A$1002)-2),2)),"")&lt;&gt;"",IFERROR(INDEX(Expenses!B$3:B$1002,SMALL(IF((Expenses!E$3:E$1002="INR")*(Expenses!A$3:A$1002=DATE(2026,6,14)),ROW(Expenses!A$3:A$1002)-2),2)),""),IF(IFERROR(INDEX(Income!B$3:B$502,SMALL(IF((Income!D$3:D$502="INR")*(Income!A$3:A$502=DATE(2026,6,14)),ROW(Income!A$3:A$502)-2),2)),"")&lt;&gt;"",IFERROR(INDEX(Income!B$3:B$502,SMALL(IF((Income!D$3:D$502="INR")*(Income!A$3:A$502=DATE(2026,6,14)),ROW(Income!A$3:A$502)-2),2)),""),""))</f>
        <v/>
      </c>
      <c r="Q120" s="16"/>
      <c r="R120" s="16"/>
    </row>
    <row r="121" customFormat="false" ht="15" hidden="false" customHeight="false" outlineLevel="0" collapsed="false">
      <c r="A121" s="16"/>
      <c r="B121" s="16"/>
      <c r="C121" s="63" t="str">
        <f aca="false">IF(IFERROR(-INDEX(Expenses!D$3:D$1002,SMALL(IF((Expenses!E$3:E$1002="INR")*(Expenses!A$3:A$1002=DATE(2026,6,8)),ROW(Expenses!A$3:A$1002)-2),3)),0)+IFERROR(INDEX(Income!C$3:C$502,SMALL(IF((Income!D$3:D$502="INR")*(Income!A$3:A$502=DATE(2026,6,8)),ROW(Income!A$3:A$502)-2),3)),0)=0,"",IFERROR(-INDEX(Expenses!D$3:D$1002,SMALL(IF((Expenses!E$3:E$1002="INR")*(Expenses!A$3:A$1002=DATE(2026,6,8)),ROW(Expenses!A$3:A$1002)-2),3)),0)+IFERROR(INDEX(Income!C$3:C$502,SMALL(IF((Income!D$3:D$502="INR")*(Income!A$3:A$502=DATE(2026,6,8)),ROW(Income!A$3:A$502)-2),3)),0))</f>
        <v/>
      </c>
      <c r="D121" s="38" t="str">
        <f aca="false">IF(IFERROR(INDEX(Expenses!B$3:B$1002,SMALL(IF((Expenses!E$3:E$1002="INR")*(Expenses!A$3:A$1002=DATE(2026,6,8)),ROW(Expenses!A$3:A$1002)-2),3)),"")&lt;&gt;"",IFERROR(INDEX(Expenses!B$3:B$1002,SMALL(IF((Expenses!E$3:E$1002="INR")*(Expenses!A$3:A$1002=DATE(2026,6,8)),ROW(Expenses!A$3:A$1002)-2),3)),""),IF(IFERROR(INDEX(Income!B$3:B$502,SMALL(IF((Income!D$3:D$502="INR")*(Income!A$3:A$502=DATE(2026,6,8)),ROW(Income!A$3:A$502)-2),3)),"")&lt;&gt;"",IFERROR(INDEX(Income!B$3:B$502,SMALL(IF((Income!D$3:D$502="INR")*(Income!A$3:A$502=DATE(2026,6,8)),ROW(Income!A$3:A$502)-2),3)),""),""))</f>
        <v/>
      </c>
      <c r="E121" s="63" t="str">
        <f aca="false">IF(IFERROR(-INDEX(Expenses!D$3:D$1002,SMALL(IF((Expenses!E$3:E$1002="INR")*(Expenses!A$3:A$1002=DATE(2026,6,9)),ROW(Expenses!A$3:A$1002)-2),3)),0)+IFERROR(INDEX(Income!C$3:C$502,SMALL(IF((Income!D$3:D$502="INR")*(Income!A$3:A$502=DATE(2026,6,9)),ROW(Income!A$3:A$502)-2),3)),0)=0,"",IFERROR(-INDEX(Expenses!D$3:D$1002,SMALL(IF((Expenses!E$3:E$1002="INR")*(Expenses!A$3:A$1002=DATE(2026,6,9)),ROW(Expenses!A$3:A$1002)-2),3)),0)+IFERROR(INDEX(Income!C$3:C$502,SMALL(IF((Income!D$3:D$502="INR")*(Income!A$3:A$502=DATE(2026,6,9)),ROW(Income!A$3:A$502)-2),3)),0))</f>
        <v/>
      </c>
      <c r="F121" s="38" t="str">
        <f aca="false">IF(IFERROR(INDEX(Expenses!B$3:B$1002,SMALL(IF((Expenses!E$3:E$1002="INR")*(Expenses!A$3:A$1002=DATE(2026,6,9)),ROW(Expenses!A$3:A$1002)-2),3)),"")&lt;&gt;"",IFERROR(INDEX(Expenses!B$3:B$1002,SMALL(IF((Expenses!E$3:E$1002="INR")*(Expenses!A$3:A$1002=DATE(2026,6,9)),ROW(Expenses!A$3:A$1002)-2),3)),""),IF(IFERROR(INDEX(Income!B$3:B$502,SMALL(IF((Income!D$3:D$502="INR")*(Income!A$3:A$502=DATE(2026,6,9)),ROW(Income!A$3:A$502)-2),3)),"")&lt;&gt;"",IFERROR(INDEX(Income!B$3:B$502,SMALL(IF((Income!D$3:D$502="INR")*(Income!A$3:A$502=DATE(2026,6,9)),ROW(Income!A$3:A$502)-2),3)),""),""))</f>
        <v/>
      </c>
      <c r="G121" s="63" t="str">
        <f aca="false">IF(IFERROR(-INDEX(Expenses!D$3:D$1002,SMALL(IF((Expenses!E$3:E$1002="INR")*(Expenses!A$3:A$1002=DATE(2026,6,10)),ROW(Expenses!A$3:A$1002)-2),3)),0)+IFERROR(INDEX(Income!C$3:C$502,SMALL(IF((Income!D$3:D$502="INR")*(Income!A$3:A$502=DATE(2026,6,10)),ROW(Income!A$3:A$502)-2),3)),0)=0,"",IFERROR(-INDEX(Expenses!D$3:D$1002,SMALL(IF((Expenses!E$3:E$1002="INR")*(Expenses!A$3:A$1002=DATE(2026,6,10)),ROW(Expenses!A$3:A$1002)-2),3)),0)+IFERROR(INDEX(Income!C$3:C$502,SMALL(IF((Income!D$3:D$502="INR")*(Income!A$3:A$502=DATE(2026,6,10)),ROW(Income!A$3:A$502)-2),3)),0))</f>
        <v/>
      </c>
      <c r="H121" s="38" t="str">
        <f aca="false">IF(IFERROR(INDEX(Expenses!B$3:B$1002,SMALL(IF((Expenses!E$3:E$1002="INR")*(Expenses!A$3:A$1002=DATE(2026,6,10)),ROW(Expenses!A$3:A$1002)-2),3)),"")&lt;&gt;"",IFERROR(INDEX(Expenses!B$3:B$1002,SMALL(IF((Expenses!E$3:E$1002="INR")*(Expenses!A$3:A$1002=DATE(2026,6,10)),ROW(Expenses!A$3:A$1002)-2),3)),""),IF(IFERROR(INDEX(Income!B$3:B$502,SMALL(IF((Income!D$3:D$502="INR")*(Income!A$3:A$502=DATE(2026,6,10)),ROW(Income!A$3:A$502)-2),3)),"")&lt;&gt;"",IFERROR(INDEX(Income!B$3:B$502,SMALL(IF((Income!D$3:D$502="INR")*(Income!A$3:A$502=DATE(2026,6,10)),ROW(Income!A$3:A$502)-2),3)),""),""))</f>
        <v/>
      </c>
      <c r="I121" s="63" t="str">
        <f aca="false">IF(IFERROR(-INDEX(Expenses!D$3:D$1002,SMALL(IF((Expenses!E$3:E$1002="INR")*(Expenses!A$3:A$1002=DATE(2026,6,11)),ROW(Expenses!A$3:A$1002)-2),3)),0)+IFERROR(INDEX(Income!C$3:C$502,SMALL(IF((Income!D$3:D$502="INR")*(Income!A$3:A$502=DATE(2026,6,11)),ROW(Income!A$3:A$502)-2),3)),0)=0,"",IFERROR(-INDEX(Expenses!D$3:D$1002,SMALL(IF((Expenses!E$3:E$1002="INR")*(Expenses!A$3:A$1002=DATE(2026,6,11)),ROW(Expenses!A$3:A$1002)-2),3)),0)+IFERROR(INDEX(Income!C$3:C$502,SMALL(IF((Income!D$3:D$502="INR")*(Income!A$3:A$502=DATE(2026,6,11)),ROW(Income!A$3:A$502)-2),3)),0))</f>
        <v/>
      </c>
      <c r="J121" s="38" t="str">
        <f aca="false">IF(IFERROR(INDEX(Expenses!B$3:B$1002,SMALL(IF((Expenses!E$3:E$1002="INR")*(Expenses!A$3:A$1002=DATE(2026,6,11)),ROW(Expenses!A$3:A$1002)-2),3)),"")&lt;&gt;"",IFERROR(INDEX(Expenses!B$3:B$1002,SMALL(IF((Expenses!E$3:E$1002="INR")*(Expenses!A$3:A$1002=DATE(2026,6,11)),ROW(Expenses!A$3:A$1002)-2),3)),""),IF(IFERROR(INDEX(Income!B$3:B$502,SMALL(IF((Income!D$3:D$502="INR")*(Income!A$3:A$502=DATE(2026,6,11)),ROW(Income!A$3:A$502)-2),3)),"")&lt;&gt;"",IFERROR(INDEX(Income!B$3:B$502,SMALL(IF((Income!D$3:D$502="INR")*(Income!A$3:A$502=DATE(2026,6,11)),ROW(Income!A$3:A$502)-2),3)),""),""))</f>
        <v/>
      </c>
      <c r="K121" s="63" t="str">
        <f aca="false">IF(IFERROR(-INDEX(Expenses!D$3:D$1002,SMALL(IF((Expenses!E$3:E$1002="INR")*(Expenses!A$3:A$1002=DATE(2026,6,12)),ROW(Expenses!A$3:A$1002)-2),3)),0)+IFERROR(INDEX(Income!C$3:C$502,SMALL(IF((Income!D$3:D$502="INR")*(Income!A$3:A$502=DATE(2026,6,12)),ROW(Income!A$3:A$502)-2),3)),0)=0,"",IFERROR(-INDEX(Expenses!D$3:D$1002,SMALL(IF((Expenses!E$3:E$1002="INR")*(Expenses!A$3:A$1002=DATE(2026,6,12)),ROW(Expenses!A$3:A$1002)-2),3)),0)+IFERROR(INDEX(Income!C$3:C$502,SMALL(IF((Income!D$3:D$502="INR")*(Income!A$3:A$502=DATE(2026,6,12)),ROW(Income!A$3:A$502)-2),3)),0))</f>
        <v/>
      </c>
      <c r="L121" s="38" t="str">
        <f aca="false">IF(IFERROR(INDEX(Expenses!B$3:B$1002,SMALL(IF((Expenses!E$3:E$1002="INR")*(Expenses!A$3:A$1002=DATE(2026,6,12)),ROW(Expenses!A$3:A$1002)-2),3)),"")&lt;&gt;"",IFERROR(INDEX(Expenses!B$3:B$1002,SMALL(IF((Expenses!E$3:E$1002="INR")*(Expenses!A$3:A$1002=DATE(2026,6,12)),ROW(Expenses!A$3:A$1002)-2),3)),""),IF(IFERROR(INDEX(Income!B$3:B$502,SMALL(IF((Income!D$3:D$502="INR")*(Income!A$3:A$502=DATE(2026,6,12)),ROW(Income!A$3:A$502)-2),3)),"")&lt;&gt;"",IFERROR(INDEX(Income!B$3:B$502,SMALL(IF((Income!D$3:D$502="INR")*(Income!A$3:A$502=DATE(2026,6,12)),ROW(Income!A$3:A$502)-2),3)),""),""))</f>
        <v/>
      </c>
      <c r="M121" s="63" t="str">
        <f aca="false">IF(IFERROR(-INDEX(Expenses!D$3:D$1002,SMALL(IF((Expenses!E$3:E$1002="INR")*(Expenses!A$3:A$1002=DATE(2026,6,13)),ROW(Expenses!A$3:A$1002)-2),3)),0)+IFERROR(INDEX(Income!C$3:C$502,SMALL(IF((Income!D$3:D$502="INR")*(Income!A$3:A$502=DATE(2026,6,13)),ROW(Income!A$3:A$502)-2),3)),0)=0,"",IFERROR(-INDEX(Expenses!D$3:D$1002,SMALL(IF((Expenses!E$3:E$1002="INR")*(Expenses!A$3:A$1002=DATE(2026,6,13)),ROW(Expenses!A$3:A$1002)-2),3)),0)+IFERROR(INDEX(Income!C$3:C$502,SMALL(IF((Income!D$3:D$502="INR")*(Income!A$3:A$502=DATE(2026,6,13)),ROW(Income!A$3:A$502)-2),3)),0))</f>
        <v/>
      </c>
      <c r="N121" s="38" t="str">
        <f aca="false">IF(IFERROR(INDEX(Expenses!B$3:B$1002,SMALL(IF((Expenses!E$3:E$1002="INR")*(Expenses!A$3:A$1002=DATE(2026,6,13)),ROW(Expenses!A$3:A$1002)-2),3)),"")&lt;&gt;"",IFERROR(INDEX(Expenses!B$3:B$1002,SMALL(IF((Expenses!E$3:E$1002="INR")*(Expenses!A$3:A$1002=DATE(2026,6,13)),ROW(Expenses!A$3:A$1002)-2),3)),""),IF(IFERROR(INDEX(Income!B$3:B$502,SMALL(IF((Income!D$3:D$502="INR")*(Income!A$3:A$502=DATE(2026,6,13)),ROW(Income!A$3:A$502)-2),3)),"")&lt;&gt;"",IFERROR(INDEX(Income!B$3:B$502,SMALL(IF((Income!D$3:D$502="INR")*(Income!A$3:A$502=DATE(2026,6,13)),ROW(Income!A$3:A$502)-2),3)),""),""))</f>
        <v/>
      </c>
      <c r="O121" s="63" t="str">
        <f aca="false">IF(IFERROR(-INDEX(Expenses!D$3:D$1002,SMALL(IF((Expenses!E$3:E$1002="INR")*(Expenses!A$3:A$1002=DATE(2026,6,14)),ROW(Expenses!A$3:A$1002)-2),3)),0)+IFERROR(INDEX(Income!C$3:C$502,SMALL(IF((Income!D$3:D$502="INR")*(Income!A$3:A$502=DATE(2026,6,14)),ROW(Income!A$3:A$502)-2),3)),0)=0,"",IFERROR(-INDEX(Expenses!D$3:D$1002,SMALL(IF((Expenses!E$3:E$1002="INR")*(Expenses!A$3:A$1002=DATE(2026,6,14)),ROW(Expenses!A$3:A$1002)-2),3)),0)+IFERROR(INDEX(Income!C$3:C$502,SMALL(IF((Income!D$3:D$502="INR")*(Income!A$3:A$502=DATE(2026,6,14)),ROW(Income!A$3:A$502)-2),3)),0))</f>
        <v/>
      </c>
      <c r="P121" s="38" t="str">
        <f aca="false">IF(IFERROR(INDEX(Expenses!B$3:B$1002,SMALL(IF((Expenses!E$3:E$1002="INR")*(Expenses!A$3:A$1002=DATE(2026,6,14)),ROW(Expenses!A$3:A$1002)-2),3)),"")&lt;&gt;"",IFERROR(INDEX(Expenses!B$3:B$1002,SMALL(IF((Expenses!E$3:E$1002="INR")*(Expenses!A$3:A$1002=DATE(2026,6,14)),ROW(Expenses!A$3:A$1002)-2),3)),""),IF(IFERROR(INDEX(Income!B$3:B$502,SMALL(IF((Income!D$3:D$502="INR")*(Income!A$3:A$502=DATE(2026,6,14)),ROW(Income!A$3:A$502)-2),3)),"")&lt;&gt;"",IFERROR(INDEX(Income!B$3:B$502,SMALL(IF((Income!D$3:D$502="INR")*(Income!A$3:A$502=DATE(2026,6,14)),ROW(Income!A$3:A$502)-2),3)),""),""))</f>
        <v/>
      </c>
      <c r="Q121" s="16"/>
      <c r="R121" s="16"/>
    </row>
    <row r="122" customFormat="false" ht="15" hidden="false" customHeight="false" outlineLevel="0" collapsed="false">
      <c r="A122" s="16"/>
      <c r="B122" s="16"/>
      <c r="C122" s="63" t="str">
        <f aca="false">IF(IFERROR(-INDEX(Expenses!D$3:D$1002,SMALL(IF((Expenses!E$3:E$1002="INR")*(Expenses!A$3:A$1002=DATE(2026,6,8)),ROW(Expenses!A$3:A$1002)-2),4)),0)+IFERROR(INDEX(Income!C$3:C$502,SMALL(IF((Income!D$3:D$502="INR")*(Income!A$3:A$502=DATE(2026,6,8)),ROW(Income!A$3:A$502)-2),4)),0)=0,"",IFERROR(-INDEX(Expenses!D$3:D$1002,SMALL(IF((Expenses!E$3:E$1002="INR")*(Expenses!A$3:A$1002=DATE(2026,6,8)),ROW(Expenses!A$3:A$1002)-2),4)),0)+IFERROR(INDEX(Income!C$3:C$502,SMALL(IF((Income!D$3:D$502="INR")*(Income!A$3:A$502=DATE(2026,6,8)),ROW(Income!A$3:A$502)-2),4)),0))</f>
        <v/>
      </c>
      <c r="D122" s="38" t="str">
        <f aca="false">IF(IFERROR(INDEX(Expenses!B$3:B$1002,SMALL(IF((Expenses!E$3:E$1002="INR")*(Expenses!A$3:A$1002=DATE(2026,6,8)),ROW(Expenses!A$3:A$1002)-2),4)),"")&lt;&gt;"",IFERROR(INDEX(Expenses!B$3:B$1002,SMALL(IF((Expenses!E$3:E$1002="INR")*(Expenses!A$3:A$1002=DATE(2026,6,8)),ROW(Expenses!A$3:A$1002)-2),4)),""),IF(IFERROR(INDEX(Income!B$3:B$502,SMALL(IF((Income!D$3:D$502="INR")*(Income!A$3:A$502=DATE(2026,6,8)),ROW(Income!A$3:A$502)-2),4)),"")&lt;&gt;"",IFERROR(INDEX(Income!B$3:B$502,SMALL(IF((Income!D$3:D$502="INR")*(Income!A$3:A$502=DATE(2026,6,8)),ROW(Income!A$3:A$502)-2),4)),""),""))</f>
        <v/>
      </c>
      <c r="E122" s="63" t="str">
        <f aca="false">IF(IFERROR(-INDEX(Expenses!D$3:D$1002,SMALL(IF((Expenses!E$3:E$1002="INR")*(Expenses!A$3:A$1002=DATE(2026,6,9)),ROW(Expenses!A$3:A$1002)-2),4)),0)+IFERROR(INDEX(Income!C$3:C$502,SMALL(IF((Income!D$3:D$502="INR")*(Income!A$3:A$502=DATE(2026,6,9)),ROW(Income!A$3:A$502)-2),4)),0)=0,"",IFERROR(-INDEX(Expenses!D$3:D$1002,SMALL(IF((Expenses!E$3:E$1002="INR")*(Expenses!A$3:A$1002=DATE(2026,6,9)),ROW(Expenses!A$3:A$1002)-2),4)),0)+IFERROR(INDEX(Income!C$3:C$502,SMALL(IF((Income!D$3:D$502="INR")*(Income!A$3:A$502=DATE(2026,6,9)),ROW(Income!A$3:A$502)-2),4)),0))</f>
        <v/>
      </c>
      <c r="F122" s="38" t="str">
        <f aca="false">IF(IFERROR(INDEX(Expenses!B$3:B$1002,SMALL(IF((Expenses!E$3:E$1002="INR")*(Expenses!A$3:A$1002=DATE(2026,6,9)),ROW(Expenses!A$3:A$1002)-2),4)),"")&lt;&gt;"",IFERROR(INDEX(Expenses!B$3:B$1002,SMALL(IF((Expenses!E$3:E$1002="INR")*(Expenses!A$3:A$1002=DATE(2026,6,9)),ROW(Expenses!A$3:A$1002)-2),4)),""),IF(IFERROR(INDEX(Income!B$3:B$502,SMALL(IF((Income!D$3:D$502="INR")*(Income!A$3:A$502=DATE(2026,6,9)),ROW(Income!A$3:A$502)-2),4)),"")&lt;&gt;"",IFERROR(INDEX(Income!B$3:B$502,SMALL(IF((Income!D$3:D$502="INR")*(Income!A$3:A$502=DATE(2026,6,9)),ROW(Income!A$3:A$502)-2),4)),""),""))</f>
        <v/>
      </c>
      <c r="G122" s="63" t="str">
        <f aca="false">IF(IFERROR(-INDEX(Expenses!D$3:D$1002,SMALL(IF((Expenses!E$3:E$1002="INR")*(Expenses!A$3:A$1002=DATE(2026,6,10)),ROW(Expenses!A$3:A$1002)-2),4)),0)+IFERROR(INDEX(Income!C$3:C$502,SMALL(IF((Income!D$3:D$502="INR")*(Income!A$3:A$502=DATE(2026,6,10)),ROW(Income!A$3:A$502)-2),4)),0)=0,"",IFERROR(-INDEX(Expenses!D$3:D$1002,SMALL(IF((Expenses!E$3:E$1002="INR")*(Expenses!A$3:A$1002=DATE(2026,6,10)),ROW(Expenses!A$3:A$1002)-2),4)),0)+IFERROR(INDEX(Income!C$3:C$502,SMALL(IF((Income!D$3:D$502="INR")*(Income!A$3:A$502=DATE(2026,6,10)),ROW(Income!A$3:A$502)-2),4)),0))</f>
        <v/>
      </c>
      <c r="H122" s="38" t="str">
        <f aca="false">IF(IFERROR(INDEX(Expenses!B$3:B$1002,SMALL(IF((Expenses!E$3:E$1002="INR")*(Expenses!A$3:A$1002=DATE(2026,6,10)),ROW(Expenses!A$3:A$1002)-2),4)),"")&lt;&gt;"",IFERROR(INDEX(Expenses!B$3:B$1002,SMALL(IF((Expenses!E$3:E$1002="INR")*(Expenses!A$3:A$1002=DATE(2026,6,10)),ROW(Expenses!A$3:A$1002)-2),4)),""),IF(IFERROR(INDEX(Income!B$3:B$502,SMALL(IF((Income!D$3:D$502="INR")*(Income!A$3:A$502=DATE(2026,6,10)),ROW(Income!A$3:A$502)-2),4)),"")&lt;&gt;"",IFERROR(INDEX(Income!B$3:B$502,SMALL(IF((Income!D$3:D$502="INR")*(Income!A$3:A$502=DATE(2026,6,10)),ROW(Income!A$3:A$502)-2),4)),""),""))</f>
        <v/>
      </c>
      <c r="I122" s="63" t="str">
        <f aca="false">IF(IFERROR(-INDEX(Expenses!D$3:D$1002,SMALL(IF((Expenses!E$3:E$1002="INR")*(Expenses!A$3:A$1002=DATE(2026,6,11)),ROW(Expenses!A$3:A$1002)-2),4)),0)+IFERROR(INDEX(Income!C$3:C$502,SMALL(IF((Income!D$3:D$502="INR")*(Income!A$3:A$502=DATE(2026,6,11)),ROW(Income!A$3:A$502)-2),4)),0)=0,"",IFERROR(-INDEX(Expenses!D$3:D$1002,SMALL(IF((Expenses!E$3:E$1002="INR")*(Expenses!A$3:A$1002=DATE(2026,6,11)),ROW(Expenses!A$3:A$1002)-2),4)),0)+IFERROR(INDEX(Income!C$3:C$502,SMALL(IF((Income!D$3:D$502="INR")*(Income!A$3:A$502=DATE(2026,6,11)),ROW(Income!A$3:A$502)-2),4)),0))</f>
        <v/>
      </c>
      <c r="J122" s="38" t="str">
        <f aca="false">IF(IFERROR(INDEX(Expenses!B$3:B$1002,SMALL(IF((Expenses!E$3:E$1002="INR")*(Expenses!A$3:A$1002=DATE(2026,6,11)),ROW(Expenses!A$3:A$1002)-2),4)),"")&lt;&gt;"",IFERROR(INDEX(Expenses!B$3:B$1002,SMALL(IF((Expenses!E$3:E$1002="INR")*(Expenses!A$3:A$1002=DATE(2026,6,11)),ROW(Expenses!A$3:A$1002)-2),4)),""),IF(IFERROR(INDEX(Income!B$3:B$502,SMALL(IF((Income!D$3:D$502="INR")*(Income!A$3:A$502=DATE(2026,6,11)),ROW(Income!A$3:A$502)-2),4)),"")&lt;&gt;"",IFERROR(INDEX(Income!B$3:B$502,SMALL(IF((Income!D$3:D$502="INR")*(Income!A$3:A$502=DATE(2026,6,11)),ROW(Income!A$3:A$502)-2),4)),""),""))</f>
        <v/>
      </c>
      <c r="K122" s="63" t="str">
        <f aca="false">IF(IFERROR(-INDEX(Expenses!D$3:D$1002,SMALL(IF((Expenses!E$3:E$1002="INR")*(Expenses!A$3:A$1002=DATE(2026,6,12)),ROW(Expenses!A$3:A$1002)-2),4)),0)+IFERROR(INDEX(Income!C$3:C$502,SMALL(IF((Income!D$3:D$502="INR")*(Income!A$3:A$502=DATE(2026,6,12)),ROW(Income!A$3:A$502)-2),4)),0)=0,"",IFERROR(-INDEX(Expenses!D$3:D$1002,SMALL(IF((Expenses!E$3:E$1002="INR")*(Expenses!A$3:A$1002=DATE(2026,6,12)),ROW(Expenses!A$3:A$1002)-2),4)),0)+IFERROR(INDEX(Income!C$3:C$502,SMALL(IF((Income!D$3:D$502="INR")*(Income!A$3:A$502=DATE(2026,6,12)),ROW(Income!A$3:A$502)-2),4)),0))</f>
        <v/>
      </c>
      <c r="L122" s="38" t="str">
        <f aca="false">IF(IFERROR(INDEX(Expenses!B$3:B$1002,SMALL(IF((Expenses!E$3:E$1002="INR")*(Expenses!A$3:A$1002=DATE(2026,6,12)),ROW(Expenses!A$3:A$1002)-2),4)),"")&lt;&gt;"",IFERROR(INDEX(Expenses!B$3:B$1002,SMALL(IF((Expenses!E$3:E$1002="INR")*(Expenses!A$3:A$1002=DATE(2026,6,12)),ROW(Expenses!A$3:A$1002)-2),4)),""),IF(IFERROR(INDEX(Income!B$3:B$502,SMALL(IF((Income!D$3:D$502="INR")*(Income!A$3:A$502=DATE(2026,6,12)),ROW(Income!A$3:A$502)-2),4)),"")&lt;&gt;"",IFERROR(INDEX(Income!B$3:B$502,SMALL(IF((Income!D$3:D$502="INR")*(Income!A$3:A$502=DATE(2026,6,12)),ROW(Income!A$3:A$502)-2),4)),""),""))</f>
        <v/>
      </c>
      <c r="M122" s="63" t="str">
        <f aca="false">IF(IFERROR(-INDEX(Expenses!D$3:D$1002,SMALL(IF((Expenses!E$3:E$1002="INR")*(Expenses!A$3:A$1002=DATE(2026,6,13)),ROW(Expenses!A$3:A$1002)-2),4)),0)+IFERROR(INDEX(Income!C$3:C$502,SMALL(IF((Income!D$3:D$502="INR")*(Income!A$3:A$502=DATE(2026,6,13)),ROW(Income!A$3:A$502)-2),4)),0)=0,"",IFERROR(-INDEX(Expenses!D$3:D$1002,SMALL(IF((Expenses!E$3:E$1002="INR")*(Expenses!A$3:A$1002=DATE(2026,6,13)),ROW(Expenses!A$3:A$1002)-2),4)),0)+IFERROR(INDEX(Income!C$3:C$502,SMALL(IF((Income!D$3:D$502="INR")*(Income!A$3:A$502=DATE(2026,6,13)),ROW(Income!A$3:A$502)-2),4)),0))</f>
        <v/>
      </c>
      <c r="N122" s="38" t="str">
        <f aca="false">IF(IFERROR(INDEX(Expenses!B$3:B$1002,SMALL(IF((Expenses!E$3:E$1002="INR")*(Expenses!A$3:A$1002=DATE(2026,6,13)),ROW(Expenses!A$3:A$1002)-2),4)),"")&lt;&gt;"",IFERROR(INDEX(Expenses!B$3:B$1002,SMALL(IF((Expenses!E$3:E$1002="INR")*(Expenses!A$3:A$1002=DATE(2026,6,13)),ROW(Expenses!A$3:A$1002)-2),4)),""),IF(IFERROR(INDEX(Income!B$3:B$502,SMALL(IF((Income!D$3:D$502="INR")*(Income!A$3:A$502=DATE(2026,6,13)),ROW(Income!A$3:A$502)-2),4)),"")&lt;&gt;"",IFERROR(INDEX(Income!B$3:B$502,SMALL(IF((Income!D$3:D$502="INR")*(Income!A$3:A$502=DATE(2026,6,13)),ROW(Income!A$3:A$502)-2),4)),""),""))</f>
        <v/>
      </c>
      <c r="O122" s="63" t="str">
        <f aca="false">IF(IFERROR(-INDEX(Expenses!D$3:D$1002,SMALL(IF((Expenses!E$3:E$1002="INR")*(Expenses!A$3:A$1002=DATE(2026,6,14)),ROW(Expenses!A$3:A$1002)-2),4)),0)+IFERROR(INDEX(Income!C$3:C$502,SMALL(IF((Income!D$3:D$502="INR")*(Income!A$3:A$502=DATE(2026,6,14)),ROW(Income!A$3:A$502)-2),4)),0)=0,"",IFERROR(-INDEX(Expenses!D$3:D$1002,SMALL(IF((Expenses!E$3:E$1002="INR")*(Expenses!A$3:A$1002=DATE(2026,6,14)),ROW(Expenses!A$3:A$1002)-2),4)),0)+IFERROR(INDEX(Income!C$3:C$502,SMALL(IF((Income!D$3:D$502="INR")*(Income!A$3:A$502=DATE(2026,6,14)),ROW(Income!A$3:A$502)-2),4)),0))</f>
        <v/>
      </c>
      <c r="P122" s="38" t="str">
        <f aca="false">IF(IFERROR(INDEX(Expenses!B$3:B$1002,SMALL(IF((Expenses!E$3:E$1002="INR")*(Expenses!A$3:A$1002=DATE(2026,6,14)),ROW(Expenses!A$3:A$1002)-2),4)),"")&lt;&gt;"",IFERROR(INDEX(Expenses!B$3:B$1002,SMALL(IF((Expenses!E$3:E$1002="INR")*(Expenses!A$3:A$1002=DATE(2026,6,14)),ROW(Expenses!A$3:A$1002)-2),4)),""),IF(IFERROR(INDEX(Income!B$3:B$502,SMALL(IF((Income!D$3:D$502="INR")*(Income!A$3:A$502=DATE(2026,6,14)),ROW(Income!A$3:A$502)-2),4)),"")&lt;&gt;"",IFERROR(INDEX(Income!B$3:B$502,SMALL(IF((Income!D$3:D$502="INR")*(Income!A$3:A$502=DATE(2026,6,14)),ROW(Income!A$3:A$502)-2),4)),""),""))</f>
        <v/>
      </c>
      <c r="Q122" s="16"/>
      <c r="R122" s="16"/>
    </row>
    <row r="123" customFormat="false" ht="15" hidden="false" customHeight="false" outlineLevel="0" collapsed="false">
      <c r="A123" s="16"/>
      <c r="B123" s="16"/>
      <c r="C123" s="63" t="str">
        <f aca="false">IF(IFERROR(-INDEX(Expenses!D$3:D$1002,SMALL(IF((Expenses!E$3:E$1002="INR")*(Expenses!A$3:A$1002=DATE(2026,6,8)),ROW(Expenses!A$3:A$1002)-2),5)),0)+IFERROR(INDEX(Income!C$3:C$502,SMALL(IF((Income!D$3:D$502="INR")*(Income!A$3:A$502=DATE(2026,6,8)),ROW(Income!A$3:A$502)-2),5)),0)=0,"",IFERROR(-INDEX(Expenses!D$3:D$1002,SMALL(IF((Expenses!E$3:E$1002="INR")*(Expenses!A$3:A$1002=DATE(2026,6,8)),ROW(Expenses!A$3:A$1002)-2),5)),0)+IFERROR(INDEX(Income!C$3:C$502,SMALL(IF((Income!D$3:D$502="INR")*(Income!A$3:A$502=DATE(2026,6,8)),ROW(Income!A$3:A$502)-2),5)),0))</f>
        <v/>
      </c>
      <c r="D123" s="38" t="str">
        <f aca="false">IF(IFERROR(INDEX(Expenses!B$3:B$1002,SMALL(IF((Expenses!E$3:E$1002="INR")*(Expenses!A$3:A$1002=DATE(2026,6,8)),ROW(Expenses!A$3:A$1002)-2),5)),"")&lt;&gt;"",IFERROR(INDEX(Expenses!B$3:B$1002,SMALL(IF((Expenses!E$3:E$1002="INR")*(Expenses!A$3:A$1002=DATE(2026,6,8)),ROW(Expenses!A$3:A$1002)-2),5)),""),IF(IFERROR(INDEX(Income!B$3:B$502,SMALL(IF((Income!D$3:D$502="INR")*(Income!A$3:A$502=DATE(2026,6,8)),ROW(Income!A$3:A$502)-2),5)),"")&lt;&gt;"",IFERROR(INDEX(Income!B$3:B$502,SMALL(IF((Income!D$3:D$502="INR")*(Income!A$3:A$502=DATE(2026,6,8)),ROW(Income!A$3:A$502)-2),5)),""),""))</f>
        <v/>
      </c>
      <c r="E123" s="63" t="str">
        <f aca="false">IF(IFERROR(-INDEX(Expenses!D$3:D$1002,SMALL(IF((Expenses!E$3:E$1002="INR")*(Expenses!A$3:A$1002=DATE(2026,6,9)),ROW(Expenses!A$3:A$1002)-2),5)),0)+IFERROR(INDEX(Income!C$3:C$502,SMALL(IF((Income!D$3:D$502="INR")*(Income!A$3:A$502=DATE(2026,6,9)),ROW(Income!A$3:A$502)-2),5)),0)=0,"",IFERROR(-INDEX(Expenses!D$3:D$1002,SMALL(IF((Expenses!E$3:E$1002="INR")*(Expenses!A$3:A$1002=DATE(2026,6,9)),ROW(Expenses!A$3:A$1002)-2),5)),0)+IFERROR(INDEX(Income!C$3:C$502,SMALL(IF((Income!D$3:D$502="INR")*(Income!A$3:A$502=DATE(2026,6,9)),ROW(Income!A$3:A$502)-2),5)),0))</f>
        <v/>
      </c>
      <c r="F123" s="38" t="str">
        <f aca="false">IF(IFERROR(INDEX(Expenses!B$3:B$1002,SMALL(IF((Expenses!E$3:E$1002="INR")*(Expenses!A$3:A$1002=DATE(2026,6,9)),ROW(Expenses!A$3:A$1002)-2),5)),"")&lt;&gt;"",IFERROR(INDEX(Expenses!B$3:B$1002,SMALL(IF((Expenses!E$3:E$1002="INR")*(Expenses!A$3:A$1002=DATE(2026,6,9)),ROW(Expenses!A$3:A$1002)-2),5)),""),IF(IFERROR(INDEX(Income!B$3:B$502,SMALL(IF((Income!D$3:D$502="INR")*(Income!A$3:A$502=DATE(2026,6,9)),ROW(Income!A$3:A$502)-2),5)),"")&lt;&gt;"",IFERROR(INDEX(Income!B$3:B$502,SMALL(IF((Income!D$3:D$502="INR")*(Income!A$3:A$502=DATE(2026,6,9)),ROW(Income!A$3:A$502)-2),5)),""),""))</f>
        <v/>
      </c>
      <c r="G123" s="63" t="str">
        <f aca="false">IF(IFERROR(-INDEX(Expenses!D$3:D$1002,SMALL(IF((Expenses!E$3:E$1002="INR")*(Expenses!A$3:A$1002=DATE(2026,6,10)),ROW(Expenses!A$3:A$1002)-2),5)),0)+IFERROR(INDEX(Income!C$3:C$502,SMALL(IF((Income!D$3:D$502="INR")*(Income!A$3:A$502=DATE(2026,6,10)),ROW(Income!A$3:A$502)-2),5)),0)=0,"",IFERROR(-INDEX(Expenses!D$3:D$1002,SMALL(IF((Expenses!E$3:E$1002="INR")*(Expenses!A$3:A$1002=DATE(2026,6,10)),ROW(Expenses!A$3:A$1002)-2),5)),0)+IFERROR(INDEX(Income!C$3:C$502,SMALL(IF((Income!D$3:D$502="INR")*(Income!A$3:A$502=DATE(2026,6,10)),ROW(Income!A$3:A$502)-2),5)),0))</f>
        <v/>
      </c>
      <c r="H123" s="38" t="str">
        <f aca="false">IF(IFERROR(INDEX(Expenses!B$3:B$1002,SMALL(IF((Expenses!E$3:E$1002="INR")*(Expenses!A$3:A$1002=DATE(2026,6,10)),ROW(Expenses!A$3:A$1002)-2),5)),"")&lt;&gt;"",IFERROR(INDEX(Expenses!B$3:B$1002,SMALL(IF((Expenses!E$3:E$1002="INR")*(Expenses!A$3:A$1002=DATE(2026,6,10)),ROW(Expenses!A$3:A$1002)-2),5)),""),IF(IFERROR(INDEX(Income!B$3:B$502,SMALL(IF((Income!D$3:D$502="INR")*(Income!A$3:A$502=DATE(2026,6,10)),ROW(Income!A$3:A$502)-2),5)),"")&lt;&gt;"",IFERROR(INDEX(Income!B$3:B$502,SMALL(IF((Income!D$3:D$502="INR")*(Income!A$3:A$502=DATE(2026,6,10)),ROW(Income!A$3:A$502)-2),5)),""),""))</f>
        <v/>
      </c>
      <c r="I123" s="63" t="str">
        <f aca="false">IF(IFERROR(-INDEX(Expenses!D$3:D$1002,SMALL(IF((Expenses!E$3:E$1002="INR")*(Expenses!A$3:A$1002=DATE(2026,6,11)),ROW(Expenses!A$3:A$1002)-2),5)),0)+IFERROR(INDEX(Income!C$3:C$502,SMALL(IF((Income!D$3:D$502="INR")*(Income!A$3:A$502=DATE(2026,6,11)),ROW(Income!A$3:A$502)-2),5)),0)=0,"",IFERROR(-INDEX(Expenses!D$3:D$1002,SMALL(IF((Expenses!E$3:E$1002="INR")*(Expenses!A$3:A$1002=DATE(2026,6,11)),ROW(Expenses!A$3:A$1002)-2),5)),0)+IFERROR(INDEX(Income!C$3:C$502,SMALL(IF((Income!D$3:D$502="INR")*(Income!A$3:A$502=DATE(2026,6,11)),ROW(Income!A$3:A$502)-2),5)),0))</f>
        <v/>
      </c>
      <c r="J123" s="38" t="str">
        <f aca="false">IF(IFERROR(INDEX(Expenses!B$3:B$1002,SMALL(IF((Expenses!E$3:E$1002="INR")*(Expenses!A$3:A$1002=DATE(2026,6,11)),ROW(Expenses!A$3:A$1002)-2),5)),"")&lt;&gt;"",IFERROR(INDEX(Expenses!B$3:B$1002,SMALL(IF((Expenses!E$3:E$1002="INR")*(Expenses!A$3:A$1002=DATE(2026,6,11)),ROW(Expenses!A$3:A$1002)-2),5)),""),IF(IFERROR(INDEX(Income!B$3:B$502,SMALL(IF((Income!D$3:D$502="INR")*(Income!A$3:A$502=DATE(2026,6,11)),ROW(Income!A$3:A$502)-2),5)),"")&lt;&gt;"",IFERROR(INDEX(Income!B$3:B$502,SMALL(IF((Income!D$3:D$502="INR")*(Income!A$3:A$502=DATE(2026,6,11)),ROW(Income!A$3:A$502)-2),5)),""),""))</f>
        <v/>
      </c>
      <c r="K123" s="63" t="str">
        <f aca="false">IF(IFERROR(-INDEX(Expenses!D$3:D$1002,SMALL(IF((Expenses!E$3:E$1002="INR")*(Expenses!A$3:A$1002=DATE(2026,6,12)),ROW(Expenses!A$3:A$1002)-2),5)),0)+IFERROR(INDEX(Income!C$3:C$502,SMALL(IF((Income!D$3:D$502="INR")*(Income!A$3:A$502=DATE(2026,6,12)),ROW(Income!A$3:A$502)-2),5)),0)=0,"",IFERROR(-INDEX(Expenses!D$3:D$1002,SMALL(IF((Expenses!E$3:E$1002="INR")*(Expenses!A$3:A$1002=DATE(2026,6,12)),ROW(Expenses!A$3:A$1002)-2),5)),0)+IFERROR(INDEX(Income!C$3:C$502,SMALL(IF((Income!D$3:D$502="INR")*(Income!A$3:A$502=DATE(2026,6,12)),ROW(Income!A$3:A$502)-2),5)),0))</f>
        <v/>
      </c>
      <c r="L123" s="38" t="str">
        <f aca="false">IF(IFERROR(INDEX(Expenses!B$3:B$1002,SMALL(IF((Expenses!E$3:E$1002="INR")*(Expenses!A$3:A$1002=DATE(2026,6,12)),ROW(Expenses!A$3:A$1002)-2),5)),"")&lt;&gt;"",IFERROR(INDEX(Expenses!B$3:B$1002,SMALL(IF((Expenses!E$3:E$1002="INR")*(Expenses!A$3:A$1002=DATE(2026,6,12)),ROW(Expenses!A$3:A$1002)-2),5)),""),IF(IFERROR(INDEX(Income!B$3:B$502,SMALL(IF((Income!D$3:D$502="INR")*(Income!A$3:A$502=DATE(2026,6,12)),ROW(Income!A$3:A$502)-2),5)),"")&lt;&gt;"",IFERROR(INDEX(Income!B$3:B$502,SMALL(IF((Income!D$3:D$502="INR")*(Income!A$3:A$502=DATE(2026,6,12)),ROW(Income!A$3:A$502)-2),5)),""),""))</f>
        <v/>
      </c>
      <c r="M123" s="63" t="str">
        <f aca="false">IF(IFERROR(-INDEX(Expenses!D$3:D$1002,SMALL(IF((Expenses!E$3:E$1002="INR")*(Expenses!A$3:A$1002=DATE(2026,6,13)),ROW(Expenses!A$3:A$1002)-2),5)),0)+IFERROR(INDEX(Income!C$3:C$502,SMALL(IF((Income!D$3:D$502="INR")*(Income!A$3:A$502=DATE(2026,6,13)),ROW(Income!A$3:A$502)-2),5)),0)=0,"",IFERROR(-INDEX(Expenses!D$3:D$1002,SMALL(IF((Expenses!E$3:E$1002="INR")*(Expenses!A$3:A$1002=DATE(2026,6,13)),ROW(Expenses!A$3:A$1002)-2),5)),0)+IFERROR(INDEX(Income!C$3:C$502,SMALL(IF((Income!D$3:D$502="INR")*(Income!A$3:A$502=DATE(2026,6,13)),ROW(Income!A$3:A$502)-2),5)),0))</f>
        <v/>
      </c>
      <c r="N123" s="38" t="str">
        <f aca="false">IF(IFERROR(INDEX(Expenses!B$3:B$1002,SMALL(IF((Expenses!E$3:E$1002="INR")*(Expenses!A$3:A$1002=DATE(2026,6,13)),ROW(Expenses!A$3:A$1002)-2),5)),"")&lt;&gt;"",IFERROR(INDEX(Expenses!B$3:B$1002,SMALL(IF((Expenses!E$3:E$1002="INR")*(Expenses!A$3:A$1002=DATE(2026,6,13)),ROW(Expenses!A$3:A$1002)-2),5)),""),IF(IFERROR(INDEX(Income!B$3:B$502,SMALL(IF((Income!D$3:D$502="INR")*(Income!A$3:A$502=DATE(2026,6,13)),ROW(Income!A$3:A$502)-2),5)),"")&lt;&gt;"",IFERROR(INDEX(Income!B$3:B$502,SMALL(IF((Income!D$3:D$502="INR")*(Income!A$3:A$502=DATE(2026,6,13)),ROW(Income!A$3:A$502)-2),5)),""),""))</f>
        <v/>
      </c>
      <c r="O123" s="63" t="str">
        <f aca="false">IF(IFERROR(-INDEX(Expenses!D$3:D$1002,SMALL(IF((Expenses!E$3:E$1002="INR")*(Expenses!A$3:A$1002=DATE(2026,6,14)),ROW(Expenses!A$3:A$1002)-2),5)),0)+IFERROR(INDEX(Income!C$3:C$502,SMALL(IF((Income!D$3:D$502="INR")*(Income!A$3:A$502=DATE(2026,6,14)),ROW(Income!A$3:A$502)-2),5)),0)=0,"",IFERROR(-INDEX(Expenses!D$3:D$1002,SMALL(IF((Expenses!E$3:E$1002="INR")*(Expenses!A$3:A$1002=DATE(2026,6,14)),ROW(Expenses!A$3:A$1002)-2),5)),0)+IFERROR(INDEX(Income!C$3:C$502,SMALL(IF((Income!D$3:D$502="INR")*(Income!A$3:A$502=DATE(2026,6,14)),ROW(Income!A$3:A$502)-2),5)),0))</f>
        <v/>
      </c>
      <c r="P123" s="38" t="str">
        <f aca="false">IF(IFERROR(INDEX(Expenses!B$3:B$1002,SMALL(IF((Expenses!E$3:E$1002="INR")*(Expenses!A$3:A$1002=DATE(2026,6,14)),ROW(Expenses!A$3:A$1002)-2),5)),"")&lt;&gt;"",IFERROR(INDEX(Expenses!B$3:B$1002,SMALL(IF((Expenses!E$3:E$1002="INR")*(Expenses!A$3:A$1002=DATE(2026,6,14)),ROW(Expenses!A$3:A$1002)-2),5)),""),IF(IFERROR(INDEX(Income!B$3:B$502,SMALL(IF((Income!D$3:D$502="INR")*(Income!A$3:A$502=DATE(2026,6,14)),ROW(Income!A$3:A$502)-2),5)),"")&lt;&gt;"",IFERROR(INDEX(Income!B$3:B$502,SMALL(IF((Income!D$3:D$502="INR")*(Income!A$3:A$502=DATE(2026,6,14)),ROW(Income!A$3:A$502)-2),5)),""),""))</f>
        <v/>
      </c>
      <c r="Q123" s="16"/>
      <c r="R123" s="16"/>
    </row>
    <row r="124" customFormat="false" ht="15" hidden="false" customHeight="false" outlineLevel="0" collapsed="false">
      <c r="A124" s="61" t="n">
        <v>46188</v>
      </c>
      <c r="B124" s="3" t="n">
        <v>25</v>
      </c>
      <c r="C124" s="63" t="str">
        <f aca="false">IF(IFERROR(-INDEX(Expenses!D$3:D$1002,SMALL(IF((Expenses!E$3:E$1002="INR")*(Expenses!A$3:A$1002=DATE(2026,6,15)),ROW(Expenses!A$3:A$1002)-2),1)),0)+IFERROR(INDEX(Income!C$3:C$502,SMALL(IF((Income!D$3:D$502="INR")*(Income!A$3:A$502=DATE(2026,6,15)),ROW(Income!A$3:A$502)-2),1)),0)=0,"",IFERROR(-INDEX(Expenses!D$3:D$1002,SMALL(IF((Expenses!E$3:E$1002="INR")*(Expenses!A$3:A$1002=DATE(2026,6,15)),ROW(Expenses!A$3:A$1002)-2),1)),0)+IFERROR(INDEX(Income!C$3:C$502,SMALL(IF((Income!D$3:D$502="INR")*(Income!A$3:A$502=DATE(2026,6,15)),ROW(Income!A$3:A$502)-2),1)),0))</f>
        <v/>
      </c>
      <c r="D124" s="38" t="str">
        <f aca="false">IF(IFERROR(INDEX(Expenses!B$3:B$1002,SMALL(IF((Expenses!E$3:E$1002="INR")*(Expenses!A$3:A$1002=DATE(2026,6,15)),ROW(Expenses!A$3:A$1002)-2),1)),"")&lt;&gt;"",IFERROR(INDEX(Expenses!B$3:B$1002,SMALL(IF((Expenses!E$3:E$1002="INR")*(Expenses!A$3:A$1002=DATE(2026,6,15)),ROW(Expenses!A$3:A$1002)-2),1)),""),IF(IFERROR(INDEX(Income!B$3:B$502,SMALL(IF((Income!D$3:D$502="INR")*(Income!A$3:A$502=DATE(2026,6,15)),ROW(Income!A$3:A$502)-2),1)),"")&lt;&gt;"",IFERROR(INDEX(Income!B$3:B$502,SMALL(IF((Income!D$3:D$502="INR")*(Income!A$3:A$502=DATE(2026,6,15)),ROW(Income!A$3:A$502)-2),1)),""),""))</f>
        <v/>
      </c>
      <c r="E124" s="63" t="str">
        <f aca="false">IF(IFERROR(-INDEX(Expenses!D$3:D$1002,SMALL(IF((Expenses!E$3:E$1002="INR")*(Expenses!A$3:A$1002=DATE(2026,6,16)),ROW(Expenses!A$3:A$1002)-2),1)),0)+IFERROR(INDEX(Income!C$3:C$502,SMALL(IF((Income!D$3:D$502="INR")*(Income!A$3:A$502=DATE(2026,6,16)),ROW(Income!A$3:A$502)-2),1)),0)=0,"",IFERROR(-INDEX(Expenses!D$3:D$1002,SMALL(IF((Expenses!E$3:E$1002="INR")*(Expenses!A$3:A$1002=DATE(2026,6,16)),ROW(Expenses!A$3:A$1002)-2),1)),0)+IFERROR(INDEX(Income!C$3:C$502,SMALL(IF((Income!D$3:D$502="INR")*(Income!A$3:A$502=DATE(2026,6,16)),ROW(Income!A$3:A$502)-2),1)),0))</f>
        <v/>
      </c>
      <c r="F124" s="38" t="str">
        <f aca="false">IF(IFERROR(INDEX(Expenses!B$3:B$1002,SMALL(IF((Expenses!E$3:E$1002="INR")*(Expenses!A$3:A$1002=DATE(2026,6,16)),ROW(Expenses!A$3:A$1002)-2),1)),"")&lt;&gt;"",IFERROR(INDEX(Expenses!B$3:B$1002,SMALL(IF((Expenses!E$3:E$1002="INR")*(Expenses!A$3:A$1002=DATE(2026,6,16)),ROW(Expenses!A$3:A$1002)-2),1)),""),IF(IFERROR(INDEX(Income!B$3:B$502,SMALL(IF((Income!D$3:D$502="INR")*(Income!A$3:A$502=DATE(2026,6,16)),ROW(Income!A$3:A$502)-2),1)),"")&lt;&gt;"",IFERROR(INDEX(Income!B$3:B$502,SMALL(IF((Income!D$3:D$502="INR")*(Income!A$3:A$502=DATE(2026,6,16)),ROW(Income!A$3:A$502)-2),1)),""),""))</f>
        <v/>
      </c>
      <c r="G124" s="63" t="str">
        <f aca="false">IF(IFERROR(-INDEX(Expenses!D$3:D$1002,SMALL(IF((Expenses!E$3:E$1002="INR")*(Expenses!A$3:A$1002=DATE(2026,6,17)),ROW(Expenses!A$3:A$1002)-2),1)),0)+IFERROR(INDEX(Income!C$3:C$502,SMALL(IF((Income!D$3:D$502="INR")*(Income!A$3:A$502=DATE(2026,6,17)),ROW(Income!A$3:A$502)-2),1)),0)=0,"",IFERROR(-INDEX(Expenses!D$3:D$1002,SMALL(IF((Expenses!E$3:E$1002="INR")*(Expenses!A$3:A$1002=DATE(2026,6,17)),ROW(Expenses!A$3:A$1002)-2),1)),0)+IFERROR(INDEX(Income!C$3:C$502,SMALL(IF((Income!D$3:D$502="INR")*(Income!A$3:A$502=DATE(2026,6,17)),ROW(Income!A$3:A$502)-2),1)),0))</f>
        <v/>
      </c>
      <c r="H124" s="38" t="str">
        <f aca="false">IF(IFERROR(INDEX(Expenses!B$3:B$1002,SMALL(IF((Expenses!E$3:E$1002="INR")*(Expenses!A$3:A$1002=DATE(2026,6,17)),ROW(Expenses!A$3:A$1002)-2),1)),"")&lt;&gt;"",IFERROR(INDEX(Expenses!B$3:B$1002,SMALL(IF((Expenses!E$3:E$1002="INR")*(Expenses!A$3:A$1002=DATE(2026,6,17)),ROW(Expenses!A$3:A$1002)-2),1)),""),IF(IFERROR(INDEX(Income!B$3:B$502,SMALL(IF((Income!D$3:D$502="INR")*(Income!A$3:A$502=DATE(2026,6,17)),ROW(Income!A$3:A$502)-2),1)),"")&lt;&gt;"",IFERROR(INDEX(Income!B$3:B$502,SMALL(IF((Income!D$3:D$502="INR")*(Income!A$3:A$502=DATE(2026,6,17)),ROW(Income!A$3:A$502)-2),1)),""),""))</f>
        <v/>
      </c>
      <c r="I124" s="63" t="str">
        <f aca="false">IF(IFERROR(-INDEX(Expenses!D$3:D$1002,SMALL(IF((Expenses!E$3:E$1002="INR")*(Expenses!A$3:A$1002=DATE(2026,6,18)),ROW(Expenses!A$3:A$1002)-2),1)),0)+IFERROR(INDEX(Income!C$3:C$502,SMALL(IF((Income!D$3:D$502="INR")*(Income!A$3:A$502=DATE(2026,6,18)),ROW(Income!A$3:A$502)-2),1)),0)=0,"",IFERROR(-INDEX(Expenses!D$3:D$1002,SMALL(IF((Expenses!E$3:E$1002="INR")*(Expenses!A$3:A$1002=DATE(2026,6,18)),ROW(Expenses!A$3:A$1002)-2),1)),0)+IFERROR(INDEX(Income!C$3:C$502,SMALL(IF((Income!D$3:D$502="INR")*(Income!A$3:A$502=DATE(2026,6,18)),ROW(Income!A$3:A$502)-2),1)),0))</f>
        <v/>
      </c>
      <c r="J124" s="38" t="str">
        <f aca="false">IF(IFERROR(INDEX(Expenses!B$3:B$1002,SMALL(IF((Expenses!E$3:E$1002="INR")*(Expenses!A$3:A$1002=DATE(2026,6,18)),ROW(Expenses!A$3:A$1002)-2),1)),"")&lt;&gt;"",IFERROR(INDEX(Expenses!B$3:B$1002,SMALL(IF((Expenses!E$3:E$1002="INR")*(Expenses!A$3:A$1002=DATE(2026,6,18)),ROW(Expenses!A$3:A$1002)-2),1)),""),IF(IFERROR(INDEX(Income!B$3:B$502,SMALL(IF((Income!D$3:D$502="INR")*(Income!A$3:A$502=DATE(2026,6,18)),ROW(Income!A$3:A$502)-2),1)),"")&lt;&gt;"",IFERROR(INDEX(Income!B$3:B$502,SMALL(IF((Income!D$3:D$502="INR")*(Income!A$3:A$502=DATE(2026,6,18)),ROW(Income!A$3:A$502)-2),1)),""),""))</f>
        <v/>
      </c>
      <c r="K124" s="63" t="str">
        <f aca="false">IF(IFERROR(-INDEX(Expenses!D$3:D$1002,SMALL(IF((Expenses!E$3:E$1002="INR")*(Expenses!A$3:A$1002=DATE(2026,6,19)),ROW(Expenses!A$3:A$1002)-2),1)),0)+IFERROR(INDEX(Income!C$3:C$502,SMALL(IF((Income!D$3:D$502="INR")*(Income!A$3:A$502=DATE(2026,6,19)),ROW(Income!A$3:A$502)-2),1)),0)=0,"",IFERROR(-INDEX(Expenses!D$3:D$1002,SMALL(IF((Expenses!E$3:E$1002="INR")*(Expenses!A$3:A$1002=DATE(2026,6,19)),ROW(Expenses!A$3:A$1002)-2),1)),0)+IFERROR(INDEX(Income!C$3:C$502,SMALL(IF((Income!D$3:D$502="INR")*(Income!A$3:A$502=DATE(2026,6,19)),ROW(Income!A$3:A$502)-2),1)),0))</f>
        <v/>
      </c>
      <c r="L124" s="38" t="str">
        <f aca="false">IF(IFERROR(INDEX(Expenses!B$3:B$1002,SMALL(IF((Expenses!E$3:E$1002="INR")*(Expenses!A$3:A$1002=DATE(2026,6,19)),ROW(Expenses!A$3:A$1002)-2),1)),"")&lt;&gt;"",IFERROR(INDEX(Expenses!B$3:B$1002,SMALL(IF((Expenses!E$3:E$1002="INR")*(Expenses!A$3:A$1002=DATE(2026,6,19)),ROW(Expenses!A$3:A$1002)-2),1)),""),IF(IFERROR(INDEX(Income!B$3:B$502,SMALL(IF((Income!D$3:D$502="INR")*(Income!A$3:A$502=DATE(2026,6,19)),ROW(Income!A$3:A$502)-2),1)),"")&lt;&gt;"",IFERROR(INDEX(Income!B$3:B$502,SMALL(IF((Income!D$3:D$502="INR")*(Income!A$3:A$502=DATE(2026,6,19)),ROW(Income!A$3:A$502)-2),1)),""),""))</f>
        <v/>
      </c>
      <c r="M124" s="63" t="str">
        <f aca="false">IF(IFERROR(-INDEX(Expenses!D$3:D$1002,SMALL(IF((Expenses!E$3:E$1002="INR")*(Expenses!A$3:A$1002=DATE(2026,6,20)),ROW(Expenses!A$3:A$1002)-2),1)),0)+IFERROR(INDEX(Income!C$3:C$502,SMALL(IF((Income!D$3:D$502="INR")*(Income!A$3:A$502=DATE(2026,6,20)),ROW(Income!A$3:A$502)-2),1)),0)=0,"",IFERROR(-INDEX(Expenses!D$3:D$1002,SMALL(IF((Expenses!E$3:E$1002="INR")*(Expenses!A$3:A$1002=DATE(2026,6,20)),ROW(Expenses!A$3:A$1002)-2),1)),0)+IFERROR(INDEX(Income!C$3:C$502,SMALL(IF((Income!D$3:D$502="INR")*(Income!A$3:A$502=DATE(2026,6,20)),ROW(Income!A$3:A$502)-2),1)),0))</f>
        <v/>
      </c>
      <c r="N124" s="38" t="str">
        <f aca="false">IF(IFERROR(INDEX(Expenses!B$3:B$1002,SMALL(IF((Expenses!E$3:E$1002="INR")*(Expenses!A$3:A$1002=DATE(2026,6,20)),ROW(Expenses!A$3:A$1002)-2),1)),"")&lt;&gt;"",IFERROR(INDEX(Expenses!B$3:B$1002,SMALL(IF((Expenses!E$3:E$1002="INR")*(Expenses!A$3:A$1002=DATE(2026,6,20)),ROW(Expenses!A$3:A$1002)-2),1)),""),IF(IFERROR(INDEX(Income!B$3:B$502,SMALL(IF((Income!D$3:D$502="INR")*(Income!A$3:A$502=DATE(2026,6,20)),ROW(Income!A$3:A$502)-2),1)),"")&lt;&gt;"",IFERROR(INDEX(Income!B$3:B$502,SMALL(IF((Income!D$3:D$502="INR")*(Income!A$3:A$502=DATE(2026,6,20)),ROW(Income!A$3:A$502)-2),1)),""),""))</f>
        <v/>
      </c>
      <c r="O124" s="63" t="str">
        <f aca="false">IF(IFERROR(-INDEX(Expenses!D$3:D$1002,SMALL(IF((Expenses!E$3:E$1002="INR")*(Expenses!A$3:A$1002=DATE(2026,6,21)),ROW(Expenses!A$3:A$1002)-2),1)),0)+IFERROR(INDEX(Income!C$3:C$502,SMALL(IF((Income!D$3:D$502="INR")*(Income!A$3:A$502=DATE(2026,6,21)),ROW(Income!A$3:A$502)-2),1)),0)=0,"",IFERROR(-INDEX(Expenses!D$3:D$1002,SMALL(IF((Expenses!E$3:E$1002="INR")*(Expenses!A$3:A$1002=DATE(2026,6,21)),ROW(Expenses!A$3:A$1002)-2),1)),0)+IFERROR(INDEX(Income!C$3:C$502,SMALL(IF((Income!D$3:D$502="INR")*(Income!A$3:A$502=DATE(2026,6,21)),ROW(Income!A$3:A$502)-2),1)),0))</f>
        <v/>
      </c>
      <c r="P124" s="38" t="str">
        <f aca="false">IF(IFERROR(INDEX(Expenses!B$3:B$1002,SMALL(IF((Expenses!E$3:E$1002="INR")*(Expenses!A$3:A$1002=DATE(2026,6,21)),ROW(Expenses!A$3:A$1002)-2),1)),"")&lt;&gt;"",IFERROR(INDEX(Expenses!B$3:B$1002,SMALL(IF((Expenses!E$3:E$1002="INR")*(Expenses!A$3:A$1002=DATE(2026,6,21)),ROW(Expenses!A$3:A$1002)-2),1)),""),IF(IFERROR(INDEX(Income!B$3:B$502,SMALL(IF((Income!D$3:D$502="INR")*(Income!A$3:A$502=DATE(2026,6,21)),ROW(Income!A$3:A$502)-2),1)),"")&lt;&gt;"",IFERROR(INDEX(Income!B$3:B$502,SMALL(IF((Income!D$3:D$502="INR")*(Income!A$3:A$502=DATE(2026,6,21)),ROW(Income!A$3:A$502)-2),1)),""),""))</f>
        <v/>
      </c>
      <c r="Q124" s="3" t="n">
        <v>25</v>
      </c>
      <c r="R124" s="53" t="n">
        <f aca="false">SUM(C124:C128)+SUM(E124:E128)+SUM(G124:G128)+SUM(I124:I128)+SUM(K124:K128)+SUM(M124:M128)+SUM(O124:O128)</f>
        <v>0</v>
      </c>
    </row>
    <row r="125" customFormat="false" ht="15" hidden="false" customHeight="false" outlineLevel="0" collapsed="false">
      <c r="A125" s="16"/>
      <c r="B125" s="16"/>
      <c r="C125" s="63" t="str">
        <f aca="false">IF(IFERROR(-INDEX(Expenses!D$3:D$1002,SMALL(IF((Expenses!E$3:E$1002="INR")*(Expenses!A$3:A$1002=DATE(2026,6,15)),ROW(Expenses!A$3:A$1002)-2),2)),0)+IFERROR(INDEX(Income!C$3:C$502,SMALL(IF((Income!D$3:D$502="INR")*(Income!A$3:A$502=DATE(2026,6,15)),ROW(Income!A$3:A$502)-2),2)),0)=0,"",IFERROR(-INDEX(Expenses!D$3:D$1002,SMALL(IF((Expenses!E$3:E$1002="INR")*(Expenses!A$3:A$1002=DATE(2026,6,15)),ROW(Expenses!A$3:A$1002)-2),2)),0)+IFERROR(INDEX(Income!C$3:C$502,SMALL(IF((Income!D$3:D$502="INR")*(Income!A$3:A$502=DATE(2026,6,15)),ROW(Income!A$3:A$502)-2),2)),0))</f>
        <v/>
      </c>
      <c r="D125" s="38" t="str">
        <f aca="false">IF(IFERROR(INDEX(Expenses!B$3:B$1002,SMALL(IF((Expenses!E$3:E$1002="INR")*(Expenses!A$3:A$1002=DATE(2026,6,15)),ROW(Expenses!A$3:A$1002)-2),2)),"")&lt;&gt;"",IFERROR(INDEX(Expenses!B$3:B$1002,SMALL(IF((Expenses!E$3:E$1002="INR")*(Expenses!A$3:A$1002=DATE(2026,6,15)),ROW(Expenses!A$3:A$1002)-2),2)),""),IF(IFERROR(INDEX(Income!B$3:B$502,SMALL(IF((Income!D$3:D$502="INR")*(Income!A$3:A$502=DATE(2026,6,15)),ROW(Income!A$3:A$502)-2),2)),"")&lt;&gt;"",IFERROR(INDEX(Income!B$3:B$502,SMALL(IF((Income!D$3:D$502="INR")*(Income!A$3:A$502=DATE(2026,6,15)),ROW(Income!A$3:A$502)-2),2)),""),""))</f>
        <v/>
      </c>
      <c r="E125" s="63" t="str">
        <f aca="false">IF(IFERROR(-INDEX(Expenses!D$3:D$1002,SMALL(IF((Expenses!E$3:E$1002="INR")*(Expenses!A$3:A$1002=DATE(2026,6,16)),ROW(Expenses!A$3:A$1002)-2),2)),0)+IFERROR(INDEX(Income!C$3:C$502,SMALL(IF((Income!D$3:D$502="INR")*(Income!A$3:A$502=DATE(2026,6,16)),ROW(Income!A$3:A$502)-2),2)),0)=0,"",IFERROR(-INDEX(Expenses!D$3:D$1002,SMALL(IF((Expenses!E$3:E$1002="INR")*(Expenses!A$3:A$1002=DATE(2026,6,16)),ROW(Expenses!A$3:A$1002)-2),2)),0)+IFERROR(INDEX(Income!C$3:C$502,SMALL(IF((Income!D$3:D$502="INR")*(Income!A$3:A$502=DATE(2026,6,16)),ROW(Income!A$3:A$502)-2),2)),0))</f>
        <v/>
      </c>
      <c r="F125" s="38" t="str">
        <f aca="false">IF(IFERROR(INDEX(Expenses!B$3:B$1002,SMALL(IF((Expenses!E$3:E$1002="INR")*(Expenses!A$3:A$1002=DATE(2026,6,16)),ROW(Expenses!A$3:A$1002)-2),2)),"")&lt;&gt;"",IFERROR(INDEX(Expenses!B$3:B$1002,SMALL(IF((Expenses!E$3:E$1002="INR")*(Expenses!A$3:A$1002=DATE(2026,6,16)),ROW(Expenses!A$3:A$1002)-2),2)),""),IF(IFERROR(INDEX(Income!B$3:B$502,SMALL(IF((Income!D$3:D$502="INR")*(Income!A$3:A$502=DATE(2026,6,16)),ROW(Income!A$3:A$502)-2),2)),"")&lt;&gt;"",IFERROR(INDEX(Income!B$3:B$502,SMALL(IF((Income!D$3:D$502="INR")*(Income!A$3:A$502=DATE(2026,6,16)),ROW(Income!A$3:A$502)-2),2)),""),""))</f>
        <v/>
      </c>
      <c r="G125" s="63" t="str">
        <f aca="false">IF(IFERROR(-INDEX(Expenses!D$3:D$1002,SMALL(IF((Expenses!E$3:E$1002="INR")*(Expenses!A$3:A$1002=DATE(2026,6,17)),ROW(Expenses!A$3:A$1002)-2),2)),0)+IFERROR(INDEX(Income!C$3:C$502,SMALL(IF((Income!D$3:D$502="INR")*(Income!A$3:A$502=DATE(2026,6,17)),ROW(Income!A$3:A$502)-2),2)),0)=0,"",IFERROR(-INDEX(Expenses!D$3:D$1002,SMALL(IF((Expenses!E$3:E$1002="INR")*(Expenses!A$3:A$1002=DATE(2026,6,17)),ROW(Expenses!A$3:A$1002)-2),2)),0)+IFERROR(INDEX(Income!C$3:C$502,SMALL(IF((Income!D$3:D$502="INR")*(Income!A$3:A$502=DATE(2026,6,17)),ROW(Income!A$3:A$502)-2),2)),0))</f>
        <v/>
      </c>
      <c r="H125" s="38" t="str">
        <f aca="false">IF(IFERROR(INDEX(Expenses!B$3:B$1002,SMALL(IF((Expenses!E$3:E$1002="INR")*(Expenses!A$3:A$1002=DATE(2026,6,17)),ROW(Expenses!A$3:A$1002)-2),2)),"")&lt;&gt;"",IFERROR(INDEX(Expenses!B$3:B$1002,SMALL(IF((Expenses!E$3:E$1002="INR")*(Expenses!A$3:A$1002=DATE(2026,6,17)),ROW(Expenses!A$3:A$1002)-2),2)),""),IF(IFERROR(INDEX(Income!B$3:B$502,SMALL(IF((Income!D$3:D$502="INR")*(Income!A$3:A$502=DATE(2026,6,17)),ROW(Income!A$3:A$502)-2),2)),"")&lt;&gt;"",IFERROR(INDEX(Income!B$3:B$502,SMALL(IF((Income!D$3:D$502="INR")*(Income!A$3:A$502=DATE(2026,6,17)),ROW(Income!A$3:A$502)-2),2)),""),""))</f>
        <v/>
      </c>
      <c r="I125" s="63" t="str">
        <f aca="false">IF(IFERROR(-INDEX(Expenses!D$3:D$1002,SMALL(IF((Expenses!E$3:E$1002="INR")*(Expenses!A$3:A$1002=DATE(2026,6,18)),ROW(Expenses!A$3:A$1002)-2),2)),0)+IFERROR(INDEX(Income!C$3:C$502,SMALL(IF((Income!D$3:D$502="INR")*(Income!A$3:A$502=DATE(2026,6,18)),ROW(Income!A$3:A$502)-2),2)),0)=0,"",IFERROR(-INDEX(Expenses!D$3:D$1002,SMALL(IF((Expenses!E$3:E$1002="INR")*(Expenses!A$3:A$1002=DATE(2026,6,18)),ROW(Expenses!A$3:A$1002)-2),2)),0)+IFERROR(INDEX(Income!C$3:C$502,SMALL(IF((Income!D$3:D$502="INR")*(Income!A$3:A$502=DATE(2026,6,18)),ROW(Income!A$3:A$502)-2),2)),0))</f>
        <v/>
      </c>
      <c r="J125" s="38" t="str">
        <f aca="false">IF(IFERROR(INDEX(Expenses!B$3:B$1002,SMALL(IF((Expenses!E$3:E$1002="INR")*(Expenses!A$3:A$1002=DATE(2026,6,18)),ROW(Expenses!A$3:A$1002)-2),2)),"")&lt;&gt;"",IFERROR(INDEX(Expenses!B$3:B$1002,SMALL(IF((Expenses!E$3:E$1002="INR")*(Expenses!A$3:A$1002=DATE(2026,6,18)),ROW(Expenses!A$3:A$1002)-2),2)),""),IF(IFERROR(INDEX(Income!B$3:B$502,SMALL(IF((Income!D$3:D$502="INR")*(Income!A$3:A$502=DATE(2026,6,18)),ROW(Income!A$3:A$502)-2),2)),"")&lt;&gt;"",IFERROR(INDEX(Income!B$3:B$502,SMALL(IF((Income!D$3:D$502="INR")*(Income!A$3:A$502=DATE(2026,6,18)),ROW(Income!A$3:A$502)-2),2)),""),""))</f>
        <v/>
      </c>
      <c r="K125" s="63" t="str">
        <f aca="false">IF(IFERROR(-INDEX(Expenses!D$3:D$1002,SMALL(IF((Expenses!E$3:E$1002="INR")*(Expenses!A$3:A$1002=DATE(2026,6,19)),ROW(Expenses!A$3:A$1002)-2),2)),0)+IFERROR(INDEX(Income!C$3:C$502,SMALL(IF((Income!D$3:D$502="INR")*(Income!A$3:A$502=DATE(2026,6,19)),ROW(Income!A$3:A$502)-2),2)),0)=0,"",IFERROR(-INDEX(Expenses!D$3:D$1002,SMALL(IF((Expenses!E$3:E$1002="INR")*(Expenses!A$3:A$1002=DATE(2026,6,19)),ROW(Expenses!A$3:A$1002)-2),2)),0)+IFERROR(INDEX(Income!C$3:C$502,SMALL(IF((Income!D$3:D$502="INR")*(Income!A$3:A$502=DATE(2026,6,19)),ROW(Income!A$3:A$502)-2),2)),0))</f>
        <v/>
      </c>
      <c r="L125" s="38" t="str">
        <f aca="false">IF(IFERROR(INDEX(Expenses!B$3:B$1002,SMALL(IF((Expenses!E$3:E$1002="INR")*(Expenses!A$3:A$1002=DATE(2026,6,19)),ROW(Expenses!A$3:A$1002)-2),2)),"")&lt;&gt;"",IFERROR(INDEX(Expenses!B$3:B$1002,SMALL(IF((Expenses!E$3:E$1002="INR")*(Expenses!A$3:A$1002=DATE(2026,6,19)),ROW(Expenses!A$3:A$1002)-2),2)),""),IF(IFERROR(INDEX(Income!B$3:B$502,SMALL(IF((Income!D$3:D$502="INR")*(Income!A$3:A$502=DATE(2026,6,19)),ROW(Income!A$3:A$502)-2),2)),"")&lt;&gt;"",IFERROR(INDEX(Income!B$3:B$502,SMALL(IF((Income!D$3:D$502="INR")*(Income!A$3:A$502=DATE(2026,6,19)),ROW(Income!A$3:A$502)-2),2)),""),""))</f>
        <v/>
      </c>
      <c r="M125" s="63" t="str">
        <f aca="false">IF(IFERROR(-INDEX(Expenses!D$3:D$1002,SMALL(IF((Expenses!E$3:E$1002="INR")*(Expenses!A$3:A$1002=DATE(2026,6,20)),ROW(Expenses!A$3:A$1002)-2),2)),0)+IFERROR(INDEX(Income!C$3:C$502,SMALL(IF((Income!D$3:D$502="INR")*(Income!A$3:A$502=DATE(2026,6,20)),ROW(Income!A$3:A$502)-2),2)),0)=0,"",IFERROR(-INDEX(Expenses!D$3:D$1002,SMALL(IF((Expenses!E$3:E$1002="INR")*(Expenses!A$3:A$1002=DATE(2026,6,20)),ROW(Expenses!A$3:A$1002)-2),2)),0)+IFERROR(INDEX(Income!C$3:C$502,SMALL(IF((Income!D$3:D$502="INR")*(Income!A$3:A$502=DATE(2026,6,20)),ROW(Income!A$3:A$502)-2),2)),0))</f>
        <v/>
      </c>
      <c r="N125" s="38" t="str">
        <f aca="false">IF(IFERROR(INDEX(Expenses!B$3:B$1002,SMALL(IF((Expenses!E$3:E$1002="INR")*(Expenses!A$3:A$1002=DATE(2026,6,20)),ROW(Expenses!A$3:A$1002)-2),2)),"")&lt;&gt;"",IFERROR(INDEX(Expenses!B$3:B$1002,SMALL(IF((Expenses!E$3:E$1002="INR")*(Expenses!A$3:A$1002=DATE(2026,6,20)),ROW(Expenses!A$3:A$1002)-2),2)),""),IF(IFERROR(INDEX(Income!B$3:B$502,SMALL(IF((Income!D$3:D$502="INR")*(Income!A$3:A$502=DATE(2026,6,20)),ROW(Income!A$3:A$502)-2),2)),"")&lt;&gt;"",IFERROR(INDEX(Income!B$3:B$502,SMALL(IF((Income!D$3:D$502="INR")*(Income!A$3:A$502=DATE(2026,6,20)),ROW(Income!A$3:A$502)-2),2)),""),""))</f>
        <v/>
      </c>
      <c r="O125" s="63" t="str">
        <f aca="false">IF(IFERROR(-INDEX(Expenses!D$3:D$1002,SMALL(IF((Expenses!E$3:E$1002="INR")*(Expenses!A$3:A$1002=DATE(2026,6,21)),ROW(Expenses!A$3:A$1002)-2),2)),0)+IFERROR(INDEX(Income!C$3:C$502,SMALL(IF((Income!D$3:D$502="INR")*(Income!A$3:A$502=DATE(2026,6,21)),ROW(Income!A$3:A$502)-2),2)),0)=0,"",IFERROR(-INDEX(Expenses!D$3:D$1002,SMALL(IF((Expenses!E$3:E$1002="INR")*(Expenses!A$3:A$1002=DATE(2026,6,21)),ROW(Expenses!A$3:A$1002)-2),2)),0)+IFERROR(INDEX(Income!C$3:C$502,SMALL(IF((Income!D$3:D$502="INR")*(Income!A$3:A$502=DATE(2026,6,21)),ROW(Income!A$3:A$502)-2),2)),0))</f>
        <v/>
      </c>
      <c r="P125" s="38" t="str">
        <f aca="false">IF(IFERROR(INDEX(Expenses!B$3:B$1002,SMALL(IF((Expenses!E$3:E$1002="INR")*(Expenses!A$3:A$1002=DATE(2026,6,21)),ROW(Expenses!A$3:A$1002)-2),2)),"")&lt;&gt;"",IFERROR(INDEX(Expenses!B$3:B$1002,SMALL(IF((Expenses!E$3:E$1002="INR")*(Expenses!A$3:A$1002=DATE(2026,6,21)),ROW(Expenses!A$3:A$1002)-2),2)),""),IF(IFERROR(INDEX(Income!B$3:B$502,SMALL(IF((Income!D$3:D$502="INR")*(Income!A$3:A$502=DATE(2026,6,21)),ROW(Income!A$3:A$502)-2),2)),"")&lt;&gt;"",IFERROR(INDEX(Income!B$3:B$502,SMALL(IF((Income!D$3:D$502="INR")*(Income!A$3:A$502=DATE(2026,6,21)),ROW(Income!A$3:A$502)-2),2)),""),""))</f>
        <v/>
      </c>
      <c r="Q125" s="16"/>
      <c r="R125" s="16"/>
    </row>
    <row r="126" customFormat="false" ht="15" hidden="false" customHeight="false" outlineLevel="0" collapsed="false">
      <c r="A126" s="16"/>
      <c r="B126" s="16"/>
      <c r="C126" s="63" t="str">
        <f aca="false">IF(IFERROR(-INDEX(Expenses!D$3:D$1002,SMALL(IF((Expenses!E$3:E$1002="INR")*(Expenses!A$3:A$1002=DATE(2026,6,15)),ROW(Expenses!A$3:A$1002)-2),3)),0)+IFERROR(INDEX(Income!C$3:C$502,SMALL(IF((Income!D$3:D$502="INR")*(Income!A$3:A$502=DATE(2026,6,15)),ROW(Income!A$3:A$502)-2),3)),0)=0,"",IFERROR(-INDEX(Expenses!D$3:D$1002,SMALL(IF((Expenses!E$3:E$1002="INR")*(Expenses!A$3:A$1002=DATE(2026,6,15)),ROW(Expenses!A$3:A$1002)-2),3)),0)+IFERROR(INDEX(Income!C$3:C$502,SMALL(IF((Income!D$3:D$502="INR")*(Income!A$3:A$502=DATE(2026,6,15)),ROW(Income!A$3:A$502)-2),3)),0))</f>
        <v/>
      </c>
      <c r="D126" s="38" t="str">
        <f aca="false">IF(IFERROR(INDEX(Expenses!B$3:B$1002,SMALL(IF((Expenses!E$3:E$1002="INR")*(Expenses!A$3:A$1002=DATE(2026,6,15)),ROW(Expenses!A$3:A$1002)-2),3)),"")&lt;&gt;"",IFERROR(INDEX(Expenses!B$3:B$1002,SMALL(IF((Expenses!E$3:E$1002="INR")*(Expenses!A$3:A$1002=DATE(2026,6,15)),ROW(Expenses!A$3:A$1002)-2),3)),""),IF(IFERROR(INDEX(Income!B$3:B$502,SMALL(IF((Income!D$3:D$502="INR")*(Income!A$3:A$502=DATE(2026,6,15)),ROW(Income!A$3:A$502)-2),3)),"")&lt;&gt;"",IFERROR(INDEX(Income!B$3:B$502,SMALL(IF((Income!D$3:D$502="INR")*(Income!A$3:A$502=DATE(2026,6,15)),ROW(Income!A$3:A$502)-2),3)),""),""))</f>
        <v/>
      </c>
      <c r="E126" s="63" t="str">
        <f aca="false">IF(IFERROR(-INDEX(Expenses!D$3:D$1002,SMALL(IF((Expenses!E$3:E$1002="INR")*(Expenses!A$3:A$1002=DATE(2026,6,16)),ROW(Expenses!A$3:A$1002)-2),3)),0)+IFERROR(INDEX(Income!C$3:C$502,SMALL(IF((Income!D$3:D$502="INR")*(Income!A$3:A$502=DATE(2026,6,16)),ROW(Income!A$3:A$502)-2),3)),0)=0,"",IFERROR(-INDEX(Expenses!D$3:D$1002,SMALL(IF((Expenses!E$3:E$1002="INR")*(Expenses!A$3:A$1002=DATE(2026,6,16)),ROW(Expenses!A$3:A$1002)-2),3)),0)+IFERROR(INDEX(Income!C$3:C$502,SMALL(IF((Income!D$3:D$502="INR")*(Income!A$3:A$502=DATE(2026,6,16)),ROW(Income!A$3:A$502)-2),3)),0))</f>
        <v/>
      </c>
      <c r="F126" s="38" t="str">
        <f aca="false">IF(IFERROR(INDEX(Expenses!B$3:B$1002,SMALL(IF((Expenses!E$3:E$1002="INR")*(Expenses!A$3:A$1002=DATE(2026,6,16)),ROW(Expenses!A$3:A$1002)-2),3)),"")&lt;&gt;"",IFERROR(INDEX(Expenses!B$3:B$1002,SMALL(IF((Expenses!E$3:E$1002="INR")*(Expenses!A$3:A$1002=DATE(2026,6,16)),ROW(Expenses!A$3:A$1002)-2),3)),""),IF(IFERROR(INDEX(Income!B$3:B$502,SMALL(IF((Income!D$3:D$502="INR")*(Income!A$3:A$502=DATE(2026,6,16)),ROW(Income!A$3:A$502)-2),3)),"")&lt;&gt;"",IFERROR(INDEX(Income!B$3:B$502,SMALL(IF((Income!D$3:D$502="INR")*(Income!A$3:A$502=DATE(2026,6,16)),ROW(Income!A$3:A$502)-2),3)),""),""))</f>
        <v/>
      </c>
      <c r="G126" s="63" t="str">
        <f aca="false">IF(IFERROR(-INDEX(Expenses!D$3:D$1002,SMALL(IF((Expenses!E$3:E$1002="INR")*(Expenses!A$3:A$1002=DATE(2026,6,17)),ROW(Expenses!A$3:A$1002)-2),3)),0)+IFERROR(INDEX(Income!C$3:C$502,SMALL(IF((Income!D$3:D$502="INR")*(Income!A$3:A$502=DATE(2026,6,17)),ROW(Income!A$3:A$502)-2),3)),0)=0,"",IFERROR(-INDEX(Expenses!D$3:D$1002,SMALL(IF((Expenses!E$3:E$1002="INR")*(Expenses!A$3:A$1002=DATE(2026,6,17)),ROW(Expenses!A$3:A$1002)-2),3)),0)+IFERROR(INDEX(Income!C$3:C$502,SMALL(IF((Income!D$3:D$502="INR")*(Income!A$3:A$502=DATE(2026,6,17)),ROW(Income!A$3:A$502)-2),3)),0))</f>
        <v/>
      </c>
      <c r="H126" s="38" t="str">
        <f aca="false">IF(IFERROR(INDEX(Expenses!B$3:B$1002,SMALL(IF((Expenses!E$3:E$1002="INR")*(Expenses!A$3:A$1002=DATE(2026,6,17)),ROW(Expenses!A$3:A$1002)-2),3)),"")&lt;&gt;"",IFERROR(INDEX(Expenses!B$3:B$1002,SMALL(IF((Expenses!E$3:E$1002="INR")*(Expenses!A$3:A$1002=DATE(2026,6,17)),ROW(Expenses!A$3:A$1002)-2),3)),""),IF(IFERROR(INDEX(Income!B$3:B$502,SMALL(IF((Income!D$3:D$502="INR")*(Income!A$3:A$502=DATE(2026,6,17)),ROW(Income!A$3:A$502)-2),3)),"")&lt;&gt;"",IFERROR(INDEX(Income!B$3:B$502,SMALL(IF((Income!D$3:D$502="INR")*(Income!A$3:A$502=DATE(2026,6,17)),ROW(Income!A$3:A$502)-2),3)),""),""))</f>
        <v/>
      </c>
      <c r="I126" s="63" t="str">
        <f aca="false">IF(IFERROR(-INDEX(Expenses!D$3:D$1002,SMALL(IF((Expenses!E$3:E$1002="INR")*(Expenses!A$3:A$1002=DATE(2026,6,18)),ROW(Expenses!A$3:A$1002)-2),3)),0)+IFERROR(INDEX(Income!C$3:C$502,SMALL(IF((Income!D$3:D$502="INR")*(Income!A$3:A$502=DATE(2026,6,18)),ROW(Income!A$3:A$502)-2),3)),0)=0,"",IFERROR(-INDEX(Expenses!D$3:D$1002,SMALL(IF((Expenses!E$3:E$1002="INR")*(Expenses!A$3:A$1002=DATE(2026,6,18)),ROW(Expenses!A$3:A$1002)-2),3)),0)+IFERROR(INDEX(Income!C$3:C$502,SMALL(IF((Income!D$3:D$502="INR")*(Income!A$3:A$502=DATE(2026,6,18)),ROW(Income!A$3:A$502)-2),3)),0))</f>
        <v/>
      </c>
      <c r="J126" s="38" t="str">
        <f aca="false">IF(IFERROR(INDEX(Expenses!B$3:B$1002,SMALL(IF((Expenses!E$3:E$1002="INR")*(Expenses!A$3:A$1002=DATE(2026,6,18)),ROW(Expenses!A$3:A$1002)-2),3)),"")&lt;&gt;"",IFERROR(INDEX(Expenses!B$3:B$1002,SMALL(IF((Expenses!E$3:E$1002="INR")*(Expenses!A$3:A$1002=DATE(2026,6,18)),ROW(Expenses!A$3:A$1002)-2),3)),""),IF(IFERROR(INDEX(Income!B$3:B$502,SMALL(IF((Income!D$3:D$502="INR")*(Income!A$3:A$502=DATE(2026,6,18)),ROW(Income!A$3:A$502)-2),3)),"")&lt;&gt;"",IFERROR(INDEX(Income!B$3:B$502,SMALL(IF((Income!D$3:D$502="INR")*(Income!A$3:A$502=DATE(2026,6,18)),ROW(Income!A$3:A$502)-2),3)),""),""))</f>
        <v/>
      </c>
      <c r="K126" s="63" t="str">
        <f aca="false">IF(IFERROR(-INDEX(Expenses!D$3:D$1002,SMALL(IF((Expenses!E$3:E$1002="INR")*(Expenses!A$3:A$1002=DATE(2026,6,19)),ROW(Expenses!A$3:A$1002)-2),3)),0)+IFERROR(INDEX(Income!C$3:C$502,SMALL(IF((Income!D$3:D$502="INR")*(Income!A$3:A$502=DATE(2026,6,19)),ROW(Income!A$3:A$502)-2),3)),0)=0,"",IFERROR(-INDEX(Expenses!D$3:D$1002,SMALL(IF((Expenses!E$3:E$1002="INR")*(Expenses!A$3:A$1002=DATE(2026,6,19)),ROW(Expenses!A$3:A$1002)-2),3)),0)+IFERROR(INDEX(Income!C$3:C$502,SMALL(IF((Income!D$3:D$502="INR")*(Income!A$3:A$502=DATE(2026,6,19)),ROW(Income!A$3:A$502)-2),3)),0))</f>
        <v/>
      </c>
      <c r="L126" s="38" t="str">
        <f aca="false">IF(IFERROR(INDEX(Expenses!B$3:B$1002,SMALL(IF((Expenses!E$3:E$1002="INR")*(Expenses!A$3:A$1002=DATE(2026,6,19)),ROW(Expenses!A$3:A$1002)-2),3)),"")&lt;&gt;"",IFERROR(INDEX(Expenses!B$3:B$1002,SMALL(IF((Expenses!E$3:E$1002="INR")*(Expenses!A$3:A$1002=DATE(2026,6,19)),ROW(Expenses!A$3:A$1002)-2),3)),""),IF(IFERROR(INDEX(Income!B$3:B$502,SMALL(IF((Income!D$3:D$502="INR")*(Income!A$3:A$502=DATE(2026,6,19)),ROW(Income!A$3:A$502)-2),3)),"")&lt;&gt;"",IFERROR(INDEX(Income!B$3:B$502,SMALL(IF((Income!D$3:D$502="INR")*(Income!A$3:A$502=DATE(2026,6,19)),ROW(Income!A$3:A$502)-2),3)),""),""))</f>
        <v/>
      </c>
      <c r="M126" s="63" t="str">
        <f aca="false">IF(IFERROR(-INDEX(Expenses!D$3:D$1002,SMALL(IF((Expenses!E$3:E$1002="INR")*(Expenses!A$3:A$1002=DATE(2026,6,20)),ROW(Expenses!A$3:A$1002)-2),3)),0)+IFERROR(INDEX(Income!C$3:C$502,SMALL(IF((Income!D$3:D$502="INR")*(Income!A$3:A$502=DATE(2026,6,20)),ROW(Income!A$3:A$502)-2),3)),0)=0,"",IFERROR(-INDEX(Expenses!D$3:D$1002,SMALL(IF((Expenses!E$3:E$1002="INR")*(Expenses!A$3:A$1002=DATE(2026,6,20)),ROW(Expenses!A$3:A$1002)-2),3)),0)+IFERROR(INDEX(Income!C$3:C$502,SMALL(IF((Income!D$3:D$502="INR")*(Income!A$3:A$502=DATE(2026,6,20)),ROW(Income!A$3:A$502)-2),3)),0))</f>
        <v/>
      </c>
      <c r="N126" s="38" t="str">
        <f aca="false">IF(IFERROR(INDEX(Expenses!B$3:B$1002,SMALL(IF((Expenses!E$3:E$1002="INR")*(Expenses!A$3:A$1002=DATE(2026,6,20)),ROW(Expenses!A$3:A$1002)-2),3)),"")&lt;&gt;"",IFERROR(INDEX(Expenses!B$3:B$1002,SMALL(IF((Expenses!E$3:E$1002="INR")*(Expenses!A$3:A$1002=DATE(2026,6,20)),ROW(Expenses!A$3:A$1002)-2),3)),""),IF(IFERROR(INDEX(Income!B$3:B$502,SMALL(IF((Income!D$3:D$502="INR")*(Income!A$3:A$502=DATE(2026,6,20)),ROW(Income!A$3:A$502)-2),3)),"")&lt;&gt;"",IFERROR(INDEX(Income!B$3:B$502,SMALL(IF((Income!D$3:D$502="INR")*(Income!A$3:A$502=DATE(2026,6,20)),ROW(Income!A$3:A$502)-2),3)),""),""))</f>
        <v/>
      </c>
      <c r="O126" s="63" t="str">
        <f aca="false">IF(IFERROR(-INDEX(Expenses!D$3:D$1002,SMALL(IF((Expenses!E$3:E$1002="INR")*(Expenses!A$3:A$1002=DATE(2026,6,21)),ROW(Expenses!A$3:A$1002)-2),3)),0)+IFERROR(INDEX(Income!C$3:C$502,SMALL(IF((Income!D$3:D$502="INR")*(Income!A$3:A$502=DATE(2026,6,21)),ROW(Income!A$3:A$502)-2),3)),0)=0,"",IFERROR(-INDEX(Expenses!D$3:D$1002,SMALL(IF((Expenses!E$3:E$1002="INR")*(Expenses!A$3:A$1002=DATE(2026,6,21)),ROW(Expenses!A$3:A$1002)-2),3)),0)+IFERROR(INDEX(Income!C$3:C$502,SMALL(IF((Income!D$3:D$502="INR")*(Income!A$3:A$502=DATE(2026,6,21)),ROW(Income!A$3:A$502)-2),3)),0))</f>
        <v/>
      </c>
      <c r="P126" s="38" t="str">
        <f aca="false">IF(IFERROR(INDEX(Expenses!B$3:B$1002,SMALL(IF((Expenses!E$3:E$1002="INR")*(Expenses!A$3:A$1002=DATE(2026,6,21)),ROW(Expenses!A$3:A$1002)-2),3)),"")&lt;&gt;"",IFERROR(INDEX(Expenses!B$3:B$1002,SMALL(IF((Expenses!E$3:E$1002="INR")*(Expenses!A$3:A$1002=DATE(2026,6,21)),ROW(Expenses!A$3:A$1002)-2),3)),""),IF(IFERROR(INDEX(Income!B$3:B$502,SMALL(IF((Income!D$3:D$502="INR")*(Income!A$3:A$502=DATE(2026,6,21)),ROW(Income!A$3:A$502)-2),3)),"")&lt;&gt;"",IFERROR(INDEX(Income!B$3:B$502,SMALL(IF((Income!D$3:D$502="INR")*(Income!A$3:A$502=DATE(2026,6,21)),ROW(Income!A$3:A$502)-2),3)),""),""))</f>
        <v/>
      </c>
      <c r="Q126" s="16"/>
      <c r="R126" s="16"/>
    </row>
    <row r="127" customFormat="false" ht="15" hidden="false" customHeight="false" outlineLevel="0" collapsed="false">
      <c r="A127" s="16"/>
      <c r="B127" s="16"/>
      <c r="C127" s="63" t="str">
        <f aca="false">IF(IFERROR(-INDEX(Expenses!D$3:D$1002,SMALL(IF((Expenses!E$3:E$1002="INR")*(Expenses!A$3:A$1002=DATE(2026,6,15)),ROW(Expenses!A$3:A$1002)-2),4)),0)+IFERROR(INDEX(Income!C$3:C$502,SMALL(IF((Income!D$3:D$502="INR")*(Income!A$3:A$502=DATE(2026,6,15)),ROW(Income!A$3:A$502)-2),4)),0)=0,"",IFERROR(-INDEX(Expenses!D$3:D$1002,SMALL(IF((Expenses!E$3:E$1002="INR")*(Expenses!A$3:A$1002=DATE(2026,6,15)),ROW(Expenses!A$3:A$1002)-2),4)),0)+IFERROR(INDEX(Income!C$3:C$502,SMALL(IF((Income!D$3:D$502="INR")*(Income!A$3:A$502=DATE(2026,6,15)),ROW(Income!A$3:A$502)-2),4)),0))</f>
        <v/>
      </c>
      <c r="D127" s="38" t="str">
        <f aca="false">IF(IFERROR(INDEX(Expenses!B$3:B$1002,SMALL(IF((Expenses!E$3:E$1002="INR")*(Expenses!A$3:A$1002=DATE(2026,6,15)),ROW(Expenses!A$3:A$1002)-2),4)),"")&lt;&gt;"",IFERROR(INDEX(Expenses!B$3:B$1002,SMALL(IF((Expenses!E$3:E$1002="INR")*(Expenses!A$3:A$1002=DATE(2026,6,15)),ROW(Expenses!A$3:A$1002)-2),4)),""),IF(IFERROR(INDEX(Income!B$3:B$502,SMALL(IF((Income!D$3:D$502="INR")*(Income!A$3:A$502=DATE(2026,6,15)),ROW(Income!A$3:A$502)-2),4)),"")&lt;&gt;"",IFERROR(INDEX(Income!B$3:B$502,SMALL(IF((Income!D$3:D$502="INR")*(Income!A$3:A$502=DATE(2026,6,15)),ROW(Income!A$3:A$502)-2),4)),""),""))</f>
        <v/>
      </c>
      <c r="E127" s="63" t="str">
        <f aca="false">IF(IFERROR(-INDEX(Expenses!D$3:D$1002,SMALL(IF((Expenses!E$3:E$1002="INR")*(Expenses!A$3:A$1002=DATE(2026,6,16)),ROW(Expenses!A$3:A$1002)-2),4)),0)+IFERROR(INDEX(Income!C$3:C$502,SMALL(IF((Income!D$3:D$502="INR")*(Income!A$3:A$502=DATE(2026,6,16)),ROW(Income!A$3:A$502)-2),4)),0)=0,"",IFERROR(-INDEX(Expenses!D$3:D$1002,SMALL(IF((Expenses!E$3:E$1002="INR")*(Expenses!A$3:A$1002=DATE(2026,6,16)),ROW(Expenses!A$3:A$1002)-2),4)),0)+IFERROR(INDEX(Income!C$3:C$502,SMALL(IF((Income!D$3:D$502="INR")*(Income!A$3:A$502=DATE(2026,6,16)),ROW(Income!A$3:A$502)-2),4)),0))</f>
        <v/>
      </c>
      <c r="F127" s="38" t="str">
        <f aca="false">IF(IFERROR(INDEX(Expenses!B$3:B$1002,SMALL(IF((Expenses!E$3:E$1002="INR")*(Expenses!A$3:A$1002=DATE(2026,6,16)),ROW(Expenses!A$3:A$1002)-2),4)),"")&lt;&gt;"",IFERROR(INDEX(Expenses!B$3:B$1002,SMALL(IF((Expenses!E$3:E$1002="INR")*(Expenses!A$3:A$1002=DATE(2026,6,16)),ROW(Expenses!A$3:A$1002)-2),4)),""),IF(IFERROR(INDEX(Income!B$3:B$502,SMALL(IF((Income!D$3:D$502="INR")*(Income!A$3:A$502=DATE(2026,6,16)),ROW(Income!A$3:A$502)-2),4)),"")&lt;&gt;"",IFERROR(INDEX(Income!B$3:B$502,SMALL(IF((Income!D$3:D$502="INR")*(Income!A$3:A$502=DATE(2026,6,16)),ROW(Income!A$3:A$502)-2),4)),""),""))</f>
        <v/>
      </c>
      <c r="G127" s="63" t="str">
        <f aca="false">IF(IFERROR(-INDEX(Expenses!D$3:D$1002,SMALL(IF((Expenses!E$3:E$1002="INR")*(Expenses!A$3:A$1002=DATE(2026,6,17)),ROW(Expenses!A$3:A$1002)-2),4)),0)+IFERROR(INDEX(Income!C$3:C$502,SMALL(IF((Income!D$3:D$502="INR")*(Income!A$3:A$502=DATE(2026,6,17)),ROW(Income!A$3:A$502)-2),4)),0)=0,"",IFERROR(-INDEX(Expenses!D$3:D$1002,SMALL(IF((Expenses!E$3:E$1002="INR")*(Expenses!A$3:A$1002=DATE(2026,6,17)),ROW(Expenses!A$3:A$1002)-2),4)),0)+IFERROR(INDEX(Income!C$3:C$502,SMALL(IF((Income!D$3:D$502="INR")*(Income!A$3:A$502=DATE(2026,6,17)),ROW(Income!A$3:A$502)-2),4)),0))</f>
        <v/>
      </c>
      <c r="H127" s="38" t="str">
        <f aca="false">IF(IFERROR(INDEX(Expenses!B$3:B$1002,SMALL(IF((Expenses!E$3:E$1002="INR")*(Expenses!A$3:A$1002=DATE(2026,6,17)),ROW(Expenses!A$3:A$1002)-2),4)),"")&lt;&gt;"",IFERROR(INDEX(Expenses!B$3:B$1002,SMALL(IF((Expenses!E$3:E$1002="INR")*(Expenses!A$3:A$1002=DATE(2026,6,17)),ROW(Expenses!A$3:A$1002)-2),4)),""),IF(IFERROR(INDEX(Income!B$3:B$502,SMALL(IF((Income!D$3:D$502="INR")*(Income!A$3:A$502=DATE(2026,6,17)),ROW(Income!A$3:A$502)-2),4)),"")&lt;&gt;"",IFERROR(INDEX(Income!B$3:B$502,SMALL(IF((Income!D$3:D$502="INR")*(Income!A$3:A$502=DATE(2026,6,17)),ROW(Income!A$3:A$502)-2),4)),""),""))</f>
        <v/>
      </c>
      <c r="I127" s="63" t="str">
        <f aca="false">IF(IFERROR(-INDEX(Expenses!D$3:D$1002,SMALL(IF((Expenses!E$3:E$1002="INR")*(Expenses!A$3:A$1002=DATE(2026,6,18)),ROW(Expenses!A$3:A$1002)-2),4)),0)+IFERROR(INDEX(Income!C$3:C$502,SMALL(IF((Income!D$3:D$502="INR")*(Income!A$3:A$502=DATE(2026,6,18)),ROW(Income!A$3:A$502)-2),4)),0)=0,"",IFERROR(-INDEX(Expenses!D$3:D$1002,SMALL(IF((Expenses!E$3:E$1002="INR")*(Expenses!A$3:A$1002=DATE(2026,6,18)),ROW(Expenses!A$3:A$1002)-2),4)),0)+IFERROR(INDEX(Income!C$3:C$502,SMALL(IF((Income!D$3:D$502="INR")*(Income!A$3:A$502=DATE(2026,6,18)),ROW(Income!A$3:A$502)-2),4)),0))</f>
        <v/>
      </c>
      <c r="J127" s="38" t="str">
        <f aca="false">IF(IFERROR(INDEX(Expenses!B$3:B$1002,SMALL(IF((Expenses!E$3:E$1002="INR")*(Expenses!A$3:A$1002=DATE(2026,6,18)),ROW(Expenses!A$3:A$1002)-2),4)),"")&lt;&gt;"",IFERROR(INDEX(Expenses!B$3:B$1002,SMALL(IF((Expenses!E$3:E$1002="INR")*(Expenses!A$3:A$1002=DATE(2026,6,18)),ROW(Expenses!A$3:A$1002)-2),4)),""),IF(IFERROR(INDEX(Income!B$3:B$502,SMALL(IF((Income!D$3:D$502="INR")*(Income!A$3:A$502=DATE(2026,6,18)),ROW(Income!A$3:A$502)-2),4)),"")&lt;&gt;"",IFERROR(INDEX(Income!B$3:B$502,SMALL(IF((Income!D$3:D$502="INR")*(Income!A$3:A$502=DATE(2026,6,18)),ROW(Income!A$3:A$502)-2),4)),""),""))</f>
        <v/>
      </c>
      <c r="K127" s="63" t="str">
        <f aca="false">IF(IFERROR(-INDEX(Expenses!D$3:D$1002,SMALL(IF((Expenses!E$3:E$1002="INR")*(Expenses!A$3:A$1002=DATE(2026,6,19)),ROW(Expenses!A$3:A$1002)-2),4)),0)+IFERROR(INDEX(Income!C$3:C$502,SMALL(IF((Income!D$3:D$502="INR")*(Income!A$3:A$502=DATE(2026,6,19)),ROW(Income!A$3:A$502)-2),4)),0)=0,"",IFERROR(-INDEX(Expenses!D$3:D$1002,SMALL(IF((Expenses!E$3:E$1002="INR")*(Expenses!A$3:A$1002=DATE(2026,6,19)),ROW(Expenses!A$3:A$1002)-2),4)),0)+IFERROR(INDEX(Income!C$3:C$502,SMALL(IF((Income!D$3:D$502="INR")*(Income!A$3:A$502=DATE(2026,6,19)),ROW(Income!A$3:A$502)-2),4)),0))</f>
        <v/>
      </c>
      <c r="L127" s="38" t="str">
        <f aca="false">IF(IFERROR(INDEX(Expenses!B$3:B$1002,SMALL(IF((Expenses!E$3:E$1002="INR")*(Expenses!A$3:A$1002=DATE(2026,6,19)),ROW(Expenses!A$3:A$1002)-2),4)),"")&lt;&gt;"",IFERROR(INDEX(Expenses!B$3:B$1002,SMALL(IF((Expenses!E$3:E$1002="INR")*(Expenses!A$3:A$1002=DATE(2026,6,19)),ROW(Expenses!A$3:A$1002)-2),4)),""),IF(IFERROR(INDEX(Income!B$3:B$502,SMALL(IF((Income!D$3:D$502="INR")*(Income!A$3:A$502=DATE(2026,6,19)),ROW(Income!A$3:A$502)-2),4)),"")&lt;&gt;"",IFERROR(INDEX(Income!B$3:B$502,SMALL(IF((Income!D$3:D$502="INR")*(Income!A$3:A$502=DATE(2026,6,19)),ROW(Income!A$3:A$502)-2),4)),""),""))</f>
        <v/>
      </c>
      <c r="M127" s="63" t="str">
        <f aca="false">IF(IFERROR(-INDEX(Expenses!D$3:D$1002,SMALL(IF((Expenses!E$3:E$1002="INR")*(Expenses!A$3:A$1002=DATE(2026,6,20)),ROW(Expenses!A$3:A$1002)-2),4)),0)+IFERROR(INDEX(Income!C$3:C$502,SMALL(IF((Income!D$3:D$502="INR")*(Income!A$3:A$502=DATE(2026,6,20)),ROW(Income!A$3:A$502)-2),4)),0)=0,"",IFERROR(-INDEX(Expenses!D$3:D$1002,SMALL(IF((Expenses!E$3:E$1002="INR")*(Expenses!A$3:A$1002=DATE(2026,6,20)),ROW(Expenses!A$3:A$1002)-2),4)),0)+IFERROR(INDEX(Income!C$3:C$502,SMALL(IF((Income!D$3:D$502="INR")*(Income!A$3:A$502=DATE(2026,6,20)),ROW(Income!A$3:A$502)-2),4)),0))</f>
        <v/>
      </c>
      <c r="N127" s="38" t="str">
        <f aca="false">IF(IFERROR(INDEX(Expenses!B$3:B$1002,SMALL(IF((Expenses!E$3:E$1002="INR")*(Expenses!A$3:A$1002=DATE(2026,6,20)),ROW(Expenses!A$3:A$1002)-2),4)),"")&lt;&gt;"",IFERROR(INDEX(Expenses!B$3:B$1002,SMALL(IF((Expenses!E$3:E$1002="INR")*(Expenses!A$3:A$1002=DATE(2026,6,20)),ROW(Expenses!A$3:A$1002)-2),4)),""),IF(IFERROR(INDEX(Income!B$3:B$502,SMALL(IF((Income!D$3:D$502="INR")*(Income!A$3:A$502=DATE(2026,6,20)),ROW(Income!A$3:A$502)-2),4)),"")&lt;&gt;"",IFERROR(INDEX(Income!B$3:B$502,SMALL(IF((Income!D$3:D$502="INR")*(Income!A$3:A$502=DATE(2026,6,20)),ROW(Income!A$3:A$502)-2),4)),""),""))</f>
        <v/>
      </c>
      <c r="O127" s="63" t="str">
        <f aca="false">IF(IFERROR(-INDEX(Expenses!D$3:D$1002,SMALL(IF((Expenses!E$3:E$1002="INR")*(Expenses!A$3:A$1002=DATE(2026,6,21)),ROW(Expenses!A$3:A$1002)-2),4)),0)+IFERROR(INDEX(Income!C$3:C$502,SMALL(IF((Income!D$3:D$502="INR")*(Income!A$3:A$502=DATE(2026,6,21)),ROW(Income!A$3:A$502)-2),4)),0)=0,"",IFERROR(-INDEX(Expenses!D$3:D$1002,SMALL(IF((Expenses!E$3:E$1002="INR")*(Expenses!A$3:A$1002=DATE(2026,6,21)),ROW(Expenses!A$3:A$1002)-2),4)),0)+IFERROR(INDEX(Income!C$3:C$502,SMALL(IF((Income!D$3:D$502="INR")*(Income!A$3:A$502=DATE(2026,6,21)),ROW(Income!A$3:A$502)-2),4)),0))</f>
        <v/>
      </c>
      <c r="P127" s="38" t="str">
        <f aca="false">IF(IFERROR(INDEX(Expenses!B$3:B$1002,SMALL(IF((Expenses!E$3:E$1002="INR")*(Expenses!A$3:A$1002=DATE(2026,6,21)),ROW(Expenses!A$3:A$1002)-2),4)),"")&lt;&gt;"",IFERROR(INDEX(Expenses!B$3:B$1002,SMALL(IF((Expenses!E$3:E$1002="INR")*(Expenses!A$3:A$1002=DATE(2026,6,21)),ROW(Expenses!A$3:A$1002)-2),4)),""),IF(IFERROR(INDEX(Income!B$3:B$502,SMALL(IF((Income!D$3:D$502="INR")*(Income!A$3:A$502=DATE(2026,6,21)),ROW(Income!A$3:A$502)-2),4)),"")&lt;&gt;"",IFERROR(INDEX(Income!B$3:B$502,SMALL(IF((Income!D$3:D$502="INR")*(Income!A$3:A$502=DATE(2026,6,21)),ROW(Income!A$3:A$502)-2),4)),""),""))</f>
        <v/>
      </c>
      <c r="Q127" s="16"/>
      <c r="R127" s="16"/>
    </row>
    <row r="128" customFormat="false" ht="15" hidden="false" customHeight="false" outlineLevel="0" collapsed="false">
      <c r="A128" s="16"/>
      <c r="B128" s="16"/>
      <c r="C128" s="63" t="str">
        <f aca="false">IF(IFERROR(-INDEX(Expenses!D$3:D$1002,SMALL(IF((Expenses!E$3:E$1002="INR")*(Expenses!A$3:A$1002=DATE(2026,6,15)),ROW(Expenses!A$3:A$1002)-2),5)),0)+IFERROR(INDEX(Income!C$3:C$502,SMALL(IF((Income!D$3:D$502="INR")*(Income!A$3:A$502=DATE(2026,6,15)),ROW(Income!A$3:A$502)-2),5)),0)=0,"",IFERROR(-INDEX(Expenses!D$3:D$1002,SMALL(IF((Expenses!E$3:E$1002="INR")*(Expenses!A$3:A$1002=DATE(2026,6,15)),ROW(Expenses!A$3:A$1002)-2),5)),0)+IFERROR(INDEX(Income!C$3:C$502,SMALL(IF((Income!D$3:D$502="INR")*(Income!A$3:A$502=DATE(2026,6,15)),ROW(Income!A$3:A$502)-2),5)),0))</f>
        <v/>
      </c>
      <c r="D128" s="38" t="str">
        <f aca="false">IF(IFERROR(INDEX(Expenses!B$3:B$1002,SMALL(IF((Expenses!E$3:E$1002="INR")*(Expenses!A$3:A$1002=DATE(2026,6,15)),ROW(Expenses!A$3:A$1002)-2),5)),"")&lt;&gt;"",IFERROR(INDEX(Expenses!B$3:B$1002,SMALL(IF((Expenses!E$3:E$1002="INR")*(Expenses!A$3:A$1002=DATE(2026,6,15)),ROW(Expenses!A$3:A$1002)-2),5)),""),IF(IFERROR(INDEX(Income!B$3:B$502,SMALL(IF((Income!D$3:D$502="INR")*(Income!A$3:A$502=DATE(2026,6,15)),ROW(Income!A$3:A$502)-2),5)),"")&lt;&gt;"",IFERROR(INDEX(Income!B$3:B$502,SMALL(IF((Income!D$3:D$502="INR")*(Income!A$3:A$502=DATE(2026,6,15)),ROW(Income!A$3:A$502)-2),5)),""),""))</f>
        <v/>
      </c>
      <c r="E128" s="63" t="str">
        <f aca="false">IF(IFERROR(-INDEX(Expenses!D$3:D$1002,SMALL(IF((Expenses!E$3:E$1002="INR")*(Expenses!A$3:A$1002=DATE(2026,6,16)),ROW(Expenses!A$3:A$1002)-2),5)),0)+IFERROR(INDEX(Income!C$3:C$502,SMALL(IF((Income!D$3:D$502="INR")*(Income!A$3:A$502=DATE(2026,6,16)),ROW(Income!A$3:A$502)-2),5)),0)=0,"",IFERROR(-INDEX(Expenses!D$3:D$1002,SMALL(IF((Expenses!E$3:E$1002="INR")*(Expenses!A$3:A$1002=DATE(2026,6,16)),ROW(Expenses!A$3:A$1002)-2),5)),0)+IFERROR(INDEX(Income!C$3:C$502,SMALL(IF((Income!D$3:D$502="INR")*(Income!A$3:A$502=DATE(2026,6,16)),ROW(Income!A$3:A$502)-2),5)),0))</f>
        <v/>
      </c>
      <c r="F128" s="38" t="str">
        <f aca="false">IF(IFERROR(INDEX(Expenses!B$3:B$1002,SMALL(IF((Expenses!E$3:E$1002="INR")*(Expenses!A$3:A$1002=DATE(2026,6,16)),ROW(Expenses!A$3:A$1002)-2),5)),"")&lt;&gt;"",IFERROR(INDEX(Expenses!B$3:B$1002,SMALL(IF((Expenses!E$3:E$1002="INR")*(Expenses!A$3:A$1002=DATE(2026,6,16)),ROW(Expenses!A$3:A$1002)-2),5)),""),IF(IFERROR(INDEX(Income!B$3:B$502,SMALL(IF((Income!D$3:D$502="INR")*(Income!A$3:A$502=DATE(2026,6,16)),ROW(Income!A$3:A$502)-2),5)),"")&lt;&gt;"",IFERROR(INDEX(Income!B$3:B$502,SMALL(IF((Income!D$3:D$502="INR")*(Income!A$3:A$502=DATE(2026,6,16)),ROW(Income!A$3:A$502)-2),5)),""),""))</f>
        <v/>
      </c>
      <c r="G128" s="63" t="str">
        <f aca="false">IF(IFERROR(-INDEX(Expenses!D$3:D$1002,SMALL(IF((Expenses!E$3:E$1002="INR")*(Expenses!A$3:A$1002=DATE(2026,6,17)),ROW(Expenses!A$3:A$1002)-2),5)),0)+IFERROR(INDEX(Income!C$3:C$502,SMALL(IF((Income!D$3:D$502="INR")*(Income!A$3:A$502=DATE(2026,6,17)),ROW(Income!A$3:A$502)-2),5)),0)=0,"",IFERROR(-INDEX(Expenses!D$3:D$1002,SMALL(IF((Expenses!E$3:E$1002="INR")*(Expenses!A$3:A$1002=DATE(2026,6,17)),ROW(Expenses!A$3:A$1002)-2),5)),0)+IFERROR(INDEX(Income!C$3:C$502,SMALL(IF((Income!D$3:D$502="INR")*(Income!A$3:A$502=DATE(2026,6,17)),ROW(Income!A$3:A$502)-2),5)),0))</f>
        <v/>
      </c>
      <c r="H128" s="38" t="str">
        <f aca="false">IF(IFERROR(INDEX(Expenses!B$3:B$1002,SMALL(IF((Expenses!E$3:E$1002="INR")*(Expenses!A$3:A$1002=DATE(2026,6,17)),ROW(Expenses!A$3:A$1002)-2),5)),"")&lt;&gt;"",IFERROR(INDEX(Expenses!B$3:B$1002,SMALL(IF((Expenses!E$3:E$1002="INR")*(Expenses!A$3:A$1002=DATE(2026,6,17)),ROW(Expenses!A$3:A$1002)-2),5)),""),IF(IFERROR(INDEX(Income!B$3:B$502,SMALL(IF((Income!D$3:D$502="INR")*(Income!A$3:A$502=DATE(2026,6,17)),ROW(Income!A$3:A$502)-2),5)),"")&lt;&gt;"",IFERROR(INDEX(Income!B$3:B$502,SMALL(IF((Income!D$3:D$502="INR")*(Income!A$3:A$502=DATE(2026,6,17)),ROW(Income!A$3:A$502)-2),5)),""),""))</f>
        <v/>
      </c>
      <c r="I128" s="63" t="str">
        <f aca="false">IF(IFERROR(-INDEX(Expenses!D$3:D$1002,SMALL(IF((Expenses!E$3:E$1002="INR")*(Expenses!A$3:A$1002=DATE(2026,6,18)),ROW(Expenses!A$3:A$1002)-2),5)),0)+IFERROR(INDEX(Income!C$3:C$502,SMALL(IF((Income!D$3:D$502="INR")*(Income!A$3:A$502=DATE(2026,6,18)),ROW(Income!A$3:A$502)-2),5)),0)=0,"",IFERROR(-INDEX(Expenses!D$3:D$1002,SMALL(IF((Expenses!E$3:E$1002="INR")*(Expenses!A$3:A$1002=DATE(2026,6,18)),ROW(Expenses!A$3:A$1002)-2),5)),0)+IFERROR(INDEX(Income!C$3:C$502,SMALL(IF((Income!D$3:D$502="INR")*(Income!A$3:A$502=DATE(2026,6,18)),ROW(Income!A$3:A$502)-2),5)),0))</f>
        <v/>
      </c>
      <c r="J128" s="38" t="str">
        <f aca="false">IF(IFERROR(INDEX(Expenses!B$3:B$1002,SMALL(IF((Expenses!E$3:E$1002="INR")*(Expenses!A$3:A$1002=DATE(2026,6,18)),ROW(Expenses!A$3:A$1002)-2),5)),"")&lt;&gt;"",IFERROR(INDEX(Expenses!B$3:B$1002,SMALL(IF((Expenses!E$3:E$1002="INR")*(Expenses!A$3:A$1002=DATE(2026,6,18)),ROW(Expenses!A$3:A$1002)-2),5)),""),IF(IFERROR(INDEX(Income!B$3:B$502,SMALL(IF((Income!D$3:D$502="INR")*(Income!A$3:A$502=DATE(2026,6,18)),ROW(Income!A$3:A$502)-2),5)),"")&lt;&gt;"",IFERROR(INDEX(Income!B$3:B$502,SMALL(IF((Income!D$3:D$502="INR")*(Income!A$3:A$502=DATE(2026,6,18)),ROW(Income!A$3:A$502)-2),5)),""),""))</f>
        <v/>
      </c>
      <c r="K128" s="63" t="str">
        <f aca="false">IF(IFERROR(-INDEX(Expenses!D$3:D$1002,SMALL(IF((Expenses!E$3:E$1002="INR")*(Expenses!A$3:A$1002=DATE(2026,6,19)),ROW(Expenses!A$3:A$1002)-2),5)),0)+IFERROR(INDEX(Income!C$3:C$502,SMALL(IF((Income!D$3:D$502="INR")*(Income!A$3:A$502=DATE(2026,6,19)),ROW(Income!A$3:A$502)-2),5)),0)=0,"",IFERROR(-INDEX(Expenses!D$3:D$1002,SMALL(IF((Expenses!E$3:E$1002="INR")*(Expenses!A$3:A$1002=DATE(2026,6,19)),ROW(Expenses!A$3:A$1002)-2),5)),0)+IFERROR(INDEX(Income!C$3:C$502,SMALL(IF((Income!D$3:D$502="INR")*(Income!A$3:A$502=DATE(2026,6,19)),ROW(Income!A$3:A$502)-2),5)),0))</f>
        <v/>
      </c>
      <c r="L128" s="38" t="str">
        <f aca="false">IF(IFERROR(INDEX(Expenses!B$3:B$1002,SMALL(IF((Expenses!E$3:E$1002="INR")*(Expenses!A$3:A$1002=DATE(2026,6,19)),ROW(Expenses!A$3:A$1002)-2),5)),"")&lt;&gt;"",IFERROR(INDEX(Expenses!B$3:B$1002,SMALL(IF((Expenses!E$3:E$1002="INR")*(Expenses!A$3:A$1002=DATE(2026,6,19)),ROW(Expenses!A$3:A$1002)-2),5)),""),IF(IFERROR(INDEX(Income!B$3:B$502,SMALL(IF((Income!D$3:D$502="INR")*(Income!A$3:A$502=DATE(2026,6,19)),ROW(Income!A$3:A$502)-2),5)),"")&lt;&gt;"",IFERROR(INDEX(Income!B$3:B$502,SMALL(IF((Income!D$3:D$502="INR")*(Income!A$3:A$502=DATE(2026,6,19)),ROW(Income!A$3:A$502)-2),5)),""),""))</f>
        <v/>
      </c>
      <c r="M128" s="63" t="str">
        <f aca="false">IF(IFERROR(-INDEX(Expenses!D$3:D$1002,SMALL(IF((Expenses!E$3:E$1002="INR")*(Expenses!A$3:A$1002=DATE(2026,6,20)),ROW(Expenses!A$3:A$1002)-2),5)),0)+IFERROR(INDEX(Income!C$3:C$502,SMALL(IF((Income!D$3:D$502="INR")*(Income!A$3:A$502=DATE(2026,6,20)),ROW(Income!A$3:A$502)-2),5)),0)=0,"",IFERROR(-INDEX(Expenses!D$3:D$1002,SMALL(IF((Expenses!E$3:E$1002="INR")*(Expenses!A$3:A$1002=DATE(2026,6,20)),ROW(Expenses!A$3:A$1002)-2),5)),0)+IFERROR(INDEX(Income!C$3:C$502,SMALL(IF((Income!D$3:D$502="INR")*(Income!A$3:A$502=DATE(2026,6,20)),ROW(Income!A$3:A$502)-2),5)),0))</f>
        <v/>
      </c>
      <c r="N128" s="38" t="str">
        <f aca="false">IF(IFERROR(INDEX(Expenses!B$3:B$1002,SMALL(IF((Expenses!E$3:E$1002="INR")*(Expenses!A$3:A$1002=DATE(2026,6,20)),ROW(Expenses!A$3:A$1002)-2),5)),"")&lt;&gt;"",IFERROR(INDEX(Expenses!B$3:B$1002,SMALL(IF((Expenses!E$3:E$1002="INR")*(Expenses!A$3:A$1002=DATE(2026,6,20)),ROW(Expenses!A$3:A$1002)-2),5)),""),IF(IFERROR(INDEX(Income!B$3:B$502,SMALL(IF((Income!D$3:D$502="INR")*(Income!A$3:A$502=DATE(2026,6,20)),ROW(Income!A$3:A$502)-2),5)),"")&lt;&gt;"",IFERROR(INDEX(Income!B$3:B$502,SMALL(IF((Income!D$3:D$502="INR")*(Income!A$3:A$502=DATE(2026,6,20)),ROW(Income!A$3:A$502)-2),5)),""),""))</f>
        <v/>
      </c>
      <c r="O128" s="63" t="str">
        <f aca="false">IF(IFERROR(-INDEX(Expenses!D$3:D$1002,SMALL(IF((Expenses!E$3:E$1002="INR")*(Expenses!A$3:A$1002=DATE(2026,6,21)),ROW(Expenses!A$3:A$1002)-2),5)),0)+IFERROR(INDEX(Income!C$3:C$502,SMALL(IF((Income!D$3:D$502="INR")*(Income!A$3:A$502=DATE(2026,6,21)),ROW(Income!A$3:A$502)-2),5)),0)=0,"",IFERROR(-INDEX(Expenses!D$3:D$1002,SMALL(IF((Expenses!E$3:E$1002="INR")*(Expenses!A$3:A$1002=DATE(2026,6,21)),ROW(Expenses!A$3:A$1002)-2),5)),0)+IFERROR(INDEX(Income!C$3:C$502,SMALL(IF((Income!D$3:D$502="INR")*(Income!A$3:A$502=DATE(2026,6,21)),ROW(Income!A$3:A$502)-2),5)),0))</f>
        <v/>
      </c>
      <c r="P128" s="38" t="str">
        <f aca="false">IF(IFERROR(INDEX(Expenses!B$3:B$1002,SMALL(IF((Expenses!E$3:E$1002="INR")*(Expenses!A$3:A$1002=DATE(2026,6,21)),ROW(Expenses!A$3:A$1002)-2),5)),"")&lt;&gt;"",IFERROR(INDEX(Expenses!B$3:B$1002,SMALL(IF((Expenses!E$3:E$1002="INR")*(Expenses!A$3:A$1002=DATE(2026,6,21)),ROW(Expenses!A$3:A$1002)-2),5)),""),IF(IFERROR(INDEX(Income!B$3:B$502,SMALL(IF((Income!D$3:D$502="INR")*(Income!A$3:A$502=DATE(2026,6,21)),ROW(Income!A$3:A$502)-2),5)),"")&lt;&gt;"",IFERROR(INDEX(Income!B$3:B$502,SMALL(IF((Income!D$3:D$502="INR")*(Income!A$3:A$502=DATE(2026,6,21)),ROW(Income!A$3:A$502)-2),5)),""),""))</f>
        <v/>
      </c>
      <c r="Q128" s="16"/>
      <c r="R128" s="16"/>
    </row>
    <row r="129" customFormat="false" ht="15" hidden="false" customHeight="false" outlineLevel="0" collapsed="false">
      <c r="A129" s="61" t="n">
        <v>46195</v>
      </c>
      <c r="B129" s="3" t="n">
        <v>26</v>
      </c>
      <c r="C129" s="63" t="str">
        <f aca="false">IF(IFERROR(-INDEX(Expenses!D$3:D$1002,SMALL(IF((Expenses!E$3:E$1002="INR")*(Expenses!A$3:A$1002=DATE(2026,6,22)),ROW(Expenses!A$3:A$1002)-2),1)),0)+IFERROR(INDEX(Income!C$3:C$502,SMALL(IF((Income!D$3:D$502="INR")*(Income!A$3:A$502=DATE(2026,6,22)),ROW(Income!A$3:A$502)-2),1)),0)=0,"",IFERROR(-INDEX(Expenses!D$3:D$1002,SMALL(IF((Expenses!E$3:E$1002="INR")*(Expenses!A$3:A$1002=DATE(2026,6,22)),ROW(Expenses!A$3:A$1002)-2),1)),0)+IFERROR(INDEX(Income!C$3:C$502,SMALL(IF((Income!D$3:D$502="INR")*(Income!A$3:A$502=DATE(2026,6,22)),ROW(Income!A$3:A$502)-2),1)),0))</f>
        <v/>
      </c>
      <c r="D129" s="38" t="str">
        <f aca="false">IF(IFERROR(INDEX(Expenses!B$3:B$1002,SMALL(IF((Expenses!E$3:E$1002="INR")*(Expenses!A$3:A$1002=DATE(2026,6,22)),ROW(Expenses!A$3:A$1002)-2),1)),"")&lt;&gt;"",IFERROR(INDEX(Expenses!B$3:B$1002,SMALL(IF((Expenses!E$3:E$1002="INR")*(Expenses!A$3:A$1002=DATE(2026,6,22)),ROW(Expenses!A$3:A$1002)-2),1)),""),IF(IFERROR(INDEX(Income!B$3:B$502,SMALL(IF((Income!D$3:D$502="INR")*(Income!A$3:A$502=DATE(2026,6,22)),ROW(Income!A$3:A$502)-2),1)),"")&lt;&gt;"",IFERROR(INDEX(Income!B$3:B$502,SMALL(IF((Income!D$3:D$502="INR")*(Income!A$3:A$502=DATE(2026,6,22)),ROW(Income!A$3:A$502)-2),1)),""),""))</f>
        <v/>
      </c>
      <c r="E129" s="63" t="str">
        <f aca="false">IF(IFERROR(-INDEX(Expenses!D$3:D$1002,SMALL(IF((Expenses!E$3:E$1002="INR")*(Expenses!A$3:A$1002=DATE(2026,6,23)),ROW(Expenses!A$3:A$1002)-2),1)),0)+IFERROR(INDEX(Income!C$3:C$502,SMALL(IF((Income!D$3:D$502="INR")*(Income!A$3:A$502=DATE(2026,6,23)),ROW(Income!A$3:A$502)-2),1)),0)=0,"",IFERROR(-INDEX(Expenses!D$3:D$1002,SMALL(IF((Expenses!E$3:E$1002="INR")*(Expenses!A$3:A$1002=DATE(2026,6,23)),ROW(Expenses!A$3:A$1002)-2),1)),0)+IFERROR(INDEX(Income!C$3:C$502,SMALL(IF((Income!D$3:D$502="INR")*(Income!A$3:A$502=DATE(2026,6,23)),ROW(Income!A$3:A$502)-2),1)),0))</f>
        <v/>
      </c>
      <c r="F129" s="38" t="str">
        <f aca="false">IF(IFERROR(INDEX(Expenses!B$3:B$1002,SMALL(IF((Expenses!E$3:E$1002="INR")*(Expenses!A$3:A$1002=DATE(2026,6,23)),ROW(Expenses!A$3:A$1002)-2),1)),"")&lt;&gt;"",IFERROR(INDEX(Expenses!B$3:B$1002,SMALL(IF((Expenses!E$3:E$1002="INR")*(Expenses!A$3:A$1002=DATE(2026,6,23)),ROW(Expenses!A$3:A$1002)-2),1)),""),IF(IFERROR(INDEX(Income!B$3:B$502,SMALL(IF((Income!D$3:D$502="INR")*(Income!A$3:A$502=DATE(2026,6,23)),ROW(Income!A$3:A$502)-2),1)),"")&lt;&gt;"",IFERROR(INDEX(Income!B$3:B$502,SMALL(IF((Income!D$3:D$502="INR")*(Income!A$3:A$502=DATE(2026,6,23)),ROW(Income!A$3:A$502)-2),1)),""),""))</f>
        <v/>
      </c>
      <c r="G129" s="63" t="str">
        <f aca="false">IF(IFERROR(-INDEX(Expenses!D$3:D$1002,SMALL(IF((Expenses!E$3:E$1002="INR")*(Expenses!A$3:A$1002=DATE(2026,6,24)),ROW(Expenses!A$3:A$1002)-2),1)),0)+IFERROR(INDEX(Income!C$3:C$502,SMALL(IF((Income!D$3:D$502="INR")*(Income!A$3:A$502=DATE(2026,6,24)),ROW(Income!A$3:A$502)-2),1)),0)=0,"",IFERROR(-INDEX(Expenses!D$3:D$1002,SMALL(IF((Expenses!E$3:E$1002="INR")*(Expenses!A$3:A$1002=DATE(2026,6,24)),ROW(Expenses!A$3:A$1002)-2),1)),0)+IFERROR(INDEX(Income!C$3:C$502,SMALL(IF((Income!D$3:D$502="INR")*(Income!A$3:A$502=DATE(2026,6,24)),ROW(Income!A$3:A$502)-2),1)),0))</f>
        <v/>
      </c>
      <c r="H129" s="38" t="str">
        <f aca="false">IF(IFERROR(INDEX(Expenses!B$3:B$1002,SMALL(IF((Expenses!E$3:E$1002="INR")*(Expenses!A$3:A$1002=DATE(2026,6,24)),ROW(Expenses!A$3:A$1002)-2),1)),"")&lt;&gt;"",IFERROR(INDEX(Expenses!B$3:B$1002,SMALL(IF((Expenses!E$3:E$1002="INR")*(Expenses!A$3:A$1002=DATE(2026,6,24)),ROW(Expenses!A$3:A$1002)-2),1)),""),IF(IFERROR(INDEX(Income!B$3:B$502,SMALL(IF((Income!D$3:D$502="INR")*(Income!A$3:A$502=DATE(2026,6,24)),ROW(Income!A$3:A$502)-2),1)),"")&lt;&gt;"",IFERROR(INDEX(Income!B$3:B$502,SMALL(IF((Income!D$3:D$502="INR")*(Income!A$3:A$502=DATE(2026,6,24)),ROW(Income!A$3:A$502)-2),1)),""),""))</f>
        <v/>
      </c>
      <c r="I129" s="63" t="str">
        <f aca="false">IF(IFERROR(-INDEX(Expenses!D$3:D$1002,SMALL(IF((Expenses!E$3:E$1002="INR")*(Expenses!A$3:A$1002=DATE(2026,6,25)),ROW(Expenses!A$3:A$1002)-2),1)),0)+IFERROR(INDEX(Income!C$3:C$502,SMALL(IF((Income!D$3:D$502="INR")*(Income!A$3:A$502=DATE(2026,6,25)),ROW(Income!A$3:A$502)-2),1)),0)=0,"",IFERROR(-INDEX(Expenses!D$3:D$1002,SMALL(IF((Expenses!E$3:E$1002="INR")*(Expenses!A$3:A$1002=DATE(2026,6,25)),ROW(Expenses!A$3:A$1002)-2),1)),0)+IFERROR(INDEX(Income!C$3:C$502,SMALL(IF((Income!D$3:D$502="INR")*(Income!A$3:A$502=DATE(2026,6,25)),ROW(Income!A$3:A$502)-2),1)),0))</f>
        <v/>
      </c>
      <c r="J129" s="38" t="str">
        <f aca="false">IF(IFERROR(INDEX(Expenses!B$3:B$1002,SMALL(IF((Expenses!E$3:E$1002="INR")*(Expenses!A$3:A$1002=DATE(2026,6,25)),ROW(Expenses!A$3:A$1002)-2),1)),"")&lt;&gt;"",IFERROR(INDEX(Expenses!B$3:B$1002,SMALL(IF((Expenses!E$3:E$1002="INR")*(Expenses!A$3:A$1002=DATE(2026,6,25)),ROW(Expenses!A$3:A$1002)-2),1)),""),IF(IFERROR(INDEX(Income!B$3:B$502,SMALL(IF((Income!D$3:D$502="INR")*(Income!A$3:A$502=DATE(2026,6,25)),ROW(Income!A$3:A$502)-2),1)),"")&lt;&gt;"",IFERROR(INDEX(Income!B$3:B$502,SMALL(IF((Income!D$3:D$502="INR")*(Income!A$3:A$502=DATE(2026,6,25)),ROW(Income!A$3:A$502)-2),1)),""),""))</f>
        <v/>
      </c>
      <c r="K129" s="63" t="str">
        <f aca="false">IF(IFERROR(-INDEX(Expenses!D$3:D$1002,SMALL(IF((Expenses!E$3:E$1002="INR")*(Expenses!A$3:A$1002=DATE(2026,6,26)),ROW(Expenses!A$3:A$1002)-2),1)),0)+IFERROR(INDEX(Income!C$3:C$502,SMALL(IF((Income!D$3:D$502="INR")*(Income!A$3:A$502=DATE(2026,6,26)),ROW(Income!A$3:A$502)-2),1)),0)=0,"",IFERROR(-INDEX(Expenses!D$3:D$1002,SMALL(IF((Expenses!E$3:E$1002="INR")*(Expenses!A$3:A$1002=DATE(2026,6,26)),ROW(Expenses!A$3:A$1002)-2),1)),0)+IFERROR(INDEX(Income!C$3:C$502,SMALL(IF((Income!D$3:D$502="INR")*(Income!A$3:A$502=DATE(2026,6,26)),ROW(Income!A$3:A$502)-2),1)),0))</f>
        <v/>
      </c>
      <c r="L129" s="38" t="str">
        <f aca="false">IF(IFERROR(INDEX(Expenses!B$3:B$1002,SMALL(IF((Expenses!E$3:E$1002="INR")*(Expenses!A$3:A$1002=DATE(2026,6,26)),ROW(Expenses!A$3:A$1002)-2),1)),"")&lt;&gt;"",IFERROR(INDEX(Expenses!B$3:B$1002,SMALL(IF((Expenses!E$3:E$1002="INR")*(Expenses!A$3:A$1002=DATE(2026,6,26)),ROW(Expenses!A$3:A$1002)-2),1)),""),IF(IFERROR(INDEX(Income!B$3:B$502,SMALL(IF((Income!D$3:D$502="INR")*(Income!A$3:A$502=DATE(2026,6,26)),ROW(Income!A$3:A$502)-2),1)),"")&lt;&gt;"",IFERROR(INDEX(Income!B$3:B$502,SMALL(IF((Income!D$3:D$502="INR")*(Income!A$3:A$502=DATE(2026,6,26)),ROW(Income!A$3:A$502)-2),1)),""),""))</f>
        <v/>
      </c>
      <c r="M129" s="63" t="str">
        <f aca="false">IF(IFERROR(-INDEX(Expenses!D$3:D$1002,SMALL(IF((Expenses!E$3:E$1002="INR")*(Expenses!A$3:A$1002=DATE(2026,6,27)),ROW(Expenses!A$3:A$1002)-2),1)),0)+IFERROR(INDEX(Income!C$3:C$502,SMALL(IF((Income!D$3:D$502="INR")*(Income!A$3:A$502=DATE(2026,6,27)),ROW(Income!A$3:A$502)-2),1)),0)=0,"",IFERROR(-INDEX(Expenses!D$3:D$1002,SMALL(IF((Expenses!E$3:E$1002="INR")*(Expenses!A$3:A$1002=DATE(2026,6,27)),ROW(Expenses!A$3:A$1002)-2),1)),0)+IFERROR(INDEX(Income!C$3:C$502,SMALL(IF((Income!D$3:D$502="INR")*(Income!A$3:A$502=DATE(2026,6,27)),ROW(Income!A$3:A$502)-2),1)),0))</f>
        <v/>
      </c>
      <c r="N129" s="38" t="str">
        <f aca="false">IF(IFERROR(INDEX(Expenses!B$3:B$1002,SMALL(IF((Expenses!E$3:E$1002="INR")*(Expenses!A$3:A$1002=DATE(2026,6,27)),ROW(Expenses!A$3:A$1002)-2),1)),"")&lt;&gt;"",IFERROR(INDEX(Expenses!B$3:B$1002,SMALL(IF((Expenses!E$3:E$1002="INR")*(Expenses!A$3:A$1002=DATE(2026,6,27)),ROW(Expenses!A$3:A$1002)-2),1)),""),IF(IFERROR(INDEX(Income!B$3:B$502,SMALL(IF((Income!D$3:D$502="INR")*(Income!A$3:A$502=DATE(2026,6,27)),ROW(Income!A$3:A$502)-2),1)),"")&lt;&gt;"",IFERROR(INDEX(Income!B$3:B$502,SMALL(IF((Income!D$3:D$502="INR")*(Income!A$3:A$502=DATE(2026,6,27)),ROW(Income!A$3:A$502)-2),1)),""),""))</f>
        <v/>
      </c>
      <c r="O129" s="63" t="str">
        <f aca="false">IF(IFERROR(-INDEX(Expenses!D$3:D$1002,SMALL(IF((Expenses!E$3:E$1002="INR")*(Expenses!A$3:A$1002=DATE(2026,6,28)),ROW(Expenses!A$3:A$1002)-2),1)),0)+IFERROR(INDEX(Income!C$3:C$502,SMALL(IF((Income!D$3:D$502="INR")*(Income!A$3:A$502=DATE(2026,6,28)),ROW(Income!A$3:A$502)-2),1)),0)=0,"",IFERROR(-INDEX(Expenses!D$3:D$1002,SMALL(IF((Expenses!E$3:E$1002="INR")*(Expenses!A$3:A$1002=DATE(2026,6,28)),ROW(Expenses!A$3:A$1002)-2),1)),0)+IFERROR(INDEX(Income!C$3:C$502,SMALL(IF((Income!D$3:D$502="INR")*(Income!A$3:A$502=DATE(2026,6,28)),ROW(Income!A$3:A$502)-2),1)),0))</f>
        <v/>
      </c>
      <c r="P129" s="38" t="str">
        <f aca="false">IF(IFERROR(INDEX(Expenses!B$3:B$1002,SMALL(IF((Expenses!E$3:E$1002="INR")*(Expenses!A$3:A$1002=DATE(2026,6,28)),ROW(Expenses!A$3:A$1002)-2),1)),"")&lt;&gt;"",IFERROR(INDEX(Expenses!B$3:B$1002,SMALL(IF((Expenses!E$3:E$1002="INR")*(Expenses!A$3:A$1002=DATE(2026,6,28)),ROW(Expenses!A$3:A$1002)-2),1)),""),IF(IFERROR(INDEX(Income!B$3:B$502,SMALL(IF((Income!D$3:D$502="INR")*(Income!A$3:A$502=DATE(2026,6,28)),ROW(Income!A$3:A$502)-2),1)),"")&lt;&gt;"",IFERROR(INDEX(Income!B$3:B$502,SMALL(IF((Income!D$3:D$502="INR")*(Income!A$3:A$502=DATE(2026,6,28)),ROW(Income!A$3:A$502)-2),1)),""),""))</f>
        <v/>
      </c>
      <c r="Q129" s="3" t="n">
        <v>26</v>
      </c>
      <c r="R129" s="53" t="n">
        <f aca="false">SUM(C129:C133)+SUM(E129:E133)+SUM(G129:G133)+SUM(I129:I133)+SUM(K129:K133)+SUM(M129:M133)+SUM(O129:O133)</f>
        <v>0</v>
      </c>
    </row>
    <row r="130" customFormat="false" ht="15" hidden="false" customHeight="false" outlineLevel="0" collapsed="false">
      <c r="A130" s="16"/>
      <c r="B130" s="16"/>
      <c r="C130" s="63" t="str">
        <f aca="false">IF(IFERROR(-INDEX(Expenses!D$3:D$1002,SMALL(IF((Expenses!E$3:E$1002="INR")*(Expenses!A$3:A$1002=DATE(2026,6,22)),ROW(Expenses!A$3:A$1002)-2),2)),0)+IFERROR(INDEX(Income!C$3:C$502,SMALL(IF((Income!D$3:D$502="INR")*(Income!A$3:A$502=DATE(2026,6,22)),ROW(Income!A$3:A$502)-2),2)),0)=0,"",IFERROR(-INDEX(Expenses!D$3:D$1002,SMALL(IF((Expenses!E$3:E$1002="INR")*(Expenses!A$3:A$1002=DATE(2026,6,22)),ROW(Expenses!A$3:A$1002)-2),2)),0)+IFERROR(INDEX(Income!C$3:C$502,SMALL(IF((Income!D$3:D$502="INR")*(Income!A$3:A$502=DATE(2026,6,22)),ROW(Income!A$3:A$502)-2),2)),0))</f>
        <v/>
      </c>
      <c r="D130" s="38" t="str">
        <f aca="false">IF(IFERROR(INDEX(Expenses!B$3:B$1002,SMALL(IF((Expenses!E$3:E$1002="INR")*(Expenses!A$3:A$1002=DATE(2026,6,22)),ROW(Expenses!A$3:A$1002)-2),2)),"")&lt;&gt;"",IFERROR(INDEX(Expenses!B$3:B$1002,SMALL(IF((Expenses!E$3:E$1002="INR")*(Expenses!A$3:A$1002=DATE(2026,6,22)),ROW(Expenses!A$3:A$1002)-2),2)),""),IF(IFERROR(INDEX(Income!B$3:B$502,SMALL(IF((Income!D$3:D$502="INR")*(Income!A$3:A$502=DATE(2026,6,22)),ROW(Income!A$3:A$502)-2),2)),"")&lt;&gt;"",IFERROR(INDEX(Income!B$3:B$502,SMALL(IF((Income!D$3:D$502="INR")*(Income!A$3:A$502=DATE(2026,6,22)),ROW(Income!A$3:A$502)-2),2)),""),""))</f>
        <v/>
      </c>
      <c r="E130" s="63" t="str">
        <f aca="false">IF(IFERROR(-INDEX(Expenses!D$3:D$1002,SMALL(IF((Expenses!E$3:E$1002="INR")*(Expenses!A$3:A$1002=DATE(2026,6,23)),ROW(Expenses!A$3:A$1002)-2),2)),0)+IFERROR(INDEX(Income!C$3:C$502,SMALL(IF((Income!D$3:D$502="INR")*(Income!A$3:A$502=DATE(2026,6,23)),ROW(Income!A$3:A$502)-2),2)),0)=0,"",IFERROR(-INDEX(Expenses!D$3:D$1002,SMALL(IF((Expenses!E$3:E$1002="INR")*(Expenses!A$3:A$1002=DATE(2026,6,23)),ROW(Expenses!A$3:A$1002)-2),2)),0)+IFERROR(INDEX(Income!C$3:C$502,SMALL(IF((Income!D$3:D$502="INR")*(Income!A$3:A$502=DATE(2026,6,23)),ROW(Income!A$3:A$502)-2),2)),0))</f>
        <v/>
      </c>
      <c r="F130" s="38" t="str">
        <f aca="false">IF(IFERROR(INDEX(Expenses!B$3:B$1002,SMALL(IF((Expenses!E$3:E$1002="INR")*(Expenses!A$3:A$1002=DATE(2026,6,23)),ROW(Expenses!A$3:A$1002)-2),2)),"")&lt;&gt;"",IFERROR(INDEX(Expenses!B$3:B$1002,SMALL(IF((Expenses!E$3:E$1002="INR")*(Expenses!A$3:A$1002=DATE(2026,6,23)),ROW(Expenses!A$3:A$1002)-2),2)),""),IF(IFERROR(INDEX(Income!B$3:B$502,SMALL(IF((Income!D$3:D$502="INR")*(Income!A$3:A$502=DATE(2026,6,23)),ROW(Income!A$3:A$502)-2),2)),"")&lt;&gt;"",IFERROR(INDEX(Income!B$3:B$502,SMALL(IF((Income!D$3:D$502="INR")*(Income!A$3:A$502=DATE(2026,6,23)),ROW(Income!A$3:A$502)-2),2)),""),""))</f>
        <v/>
      </c>
      <c r="G130" s="63" t="str">
        <f aca="false">IF(IFERROR(-INDEX(Expenses!D$3:D$1002,SMALL(IF((Expenses!E$3:E$1002="INR")*(Expenses!A$3:A$1002=DATE(2026,6,24)),ROW(Expenses!A$3:A$1002)-2),2)),0)+IFERROR(INDEX(Income!C$3:C$502,SMALL(IF((Income!D$3:D$502="INR")*(Income!A$3:A$502=DATE(2026,6,24)),ROW(Income!A$3:A$502)-2),2)),0)=0,"",IFERROR(-INDEX(Expenses!D$3:D$1002,SMALL(IF((Expenses!E$3:E$1002="INR")*(Expenses!A$3:A$1002=DATE(2026,6,24)),ROW(Expenses!A$3:A$1002)-2),2)),0)+IFERROR(INDEX(Income!C$3:C$502,SMALL(IF((Income!D$3:D$502="INR")*(Income!A$3:A$502=DATE(2026,6,24)),ROW(Income!A$3:A$502)-2),2)),0))</f>
        <v/>
      </c>
      <c r="H130" s="38" t="str">
        <f aca="false">IF(IFERROR(INDEX(Expenses!B$3:B$1002,SMALL(IF((Expenses!E$3:E$1002="INR")*(Expenses!A$3:A$1002=DATE(2026,6,24)),ROW(Expenses!A$3:A$1002)-2),2)),"")&lt;&gt;"",IFERROR(INDEX(Expenses!B$3:B$1002,SMALL(IF((Expenses!E$3:E$1002="INR")*(Expenses!A$3:A$1002=DATE(2026,6,24)),ROW(Expenses!A$3:A$1002)-2),2)),""),IF(IFERROR(INDEX(Income!B$3:B$502,SMALL(IF((Income!D$3:D$502="INR")*(Income!A$3:A$502=DATE(2026,6,24)),ROW(Income!A$3:A$502)-2),2)),"")&lt;&gt;"",IFERROR(INDEX(Income!B$3:B$502,SMALL(IF((Income!D$3:D$502="INR")*(Income!A$3:A$502=DATE(2026,6,24)),ROW(Income!A$3:A$502)-2),2)),""),""))</f>
        <v/>
      </c>
      <c r="I130" s="63" t="str">
        <f aca="false">IF(IFERROR(-INDEX(Expenses!D$3:D$1002,SMALL(IF((Expenses!E$3:E$1002="INR")*(Expenses!A$3:A$1002=DATE(2026,6,25)),ROW(Expenses!A$3:A$1002)-2),2)),0)+IFERROR(INDEX(Income!C$3:C$502,SMALL(IF((Income!D$3:D$502="INR")*(Income!A$3:A$502=DATE(2026,6,25)),ROW(Income!A$3:A$502)-2),2)),0)=0,"",IFERROR(-INDEX(Expenses!D$3:D$1002,SMALL(IF((Expenses!E$3:E$1002="INR")*(Expenses!A$3:A$1002=DATE(2026,6,25)),ROW(Expenses!A$3:A$1002)-2),2)),0)+IFERROR(INDEX(Income!C$3:C$502,SMALL(IF((Income!D$3:D$502="INR")*(Income!A$3:A$502=DATE(2026,6,25)),ROW(Income!A$3:A$502)-2),2)),0))</f>
        <v/>
      </c>
      <c r="J130" s="38" t="str">
        <f aca="false">IF(IFERROR(INDEX(Expenses!B$3:B$1002,SMALL(IF((Expenses!E$3:E$1002="INR")*(Expenses!A$3:A$1002=DATE(2026,6,25)),ROW(Expenses!A$3:A$1002)-2),2)),"")&lt;&gt;"",IFERROR(INDEX(Expenses!B$3:B$1002,SMALL(IF((Expenses!E$3:E$1002="INR")*(Expenses!A$3:A$1002=DATE(2026,6,25)),ROW(Expenses!A$3:A$1002)-2),2)),""),IF(IFERROR(INDEX(Income!B$3:B$502,SMALL(IF((Income!D$3:D$502="INR")*(Income!A$3:A$502=DATE(2026,6,25)),ROW(Income!A$3:A$502)-2),2)),"")&lt;&gt;"",IFERROR(INDEX(Income!B$3:B$502,SMALL(IF((Income!D$3:D$502="INR")*(Income!A$3:A$502=DATE(2026,6,25)),ROW(Income!A$3:A$502)-2),2)),""),""))</f>
        <v/>
      </c>
      <c r="K130" s="63" t="str">
        <f aca="false">IF(IFERROR(-INDEX(Expenses!D$3:D$1002,SMALL(IF((Expenses!E$3:E$1002="INR")*(Expenses!A$3:A$1002=DATE(2026,6,26)),ROW(Expenses!A$3:A$1002)-2),2)),0)+IFERROR(INDEX(Income!C$3:C$502,SMALL(IF((Income!D$3:D$502="INR")*(Income!A$3:A$502=DATE(2026,6,26)),ROW(Income!A$3:A$502)-2),2)),0)=0,"",IFERROR(-INDEX(Expenses!D$3:D$1002,SMALL(IF((Expenses!E$3:E$1002="INR")*(Expenses!A$3:A$1002=DATE(2026,6,26)),ROW(Expenses!A$3:A$1002)-2),2)),0)+IFERROR(INDEX(Income!C$3:C$502,SMALL(IF((Income!D$3:D$502="INR")*(Income!A$3:A$502=DATE(2026,6,26)),ROW(Income!A$3:A$502)-2),2)),0))</f>
        <v/>
      </c>
      <c r="L130" s="38" t="str">
        <f aca="false">IF(IFERROR(INDEX(Expenses!B$3:B$1002,SMALL(IF((Expenses!E$3:E$1002="INR")*(Expenses!A$3:A$1002=DATE(2026,6,26)),ROW(Expenses!A$3:A$1002)-2),2)),"")&lt;&gt;"",IFERROR(INDEX(Expenses!B$3:B$1002,SMALL(IF((Expenses!E$3:E$1002="INR")*(Expenses!A$3:A$1002=DATE(2026,6,26)),ROW(Expenses!A$3:A$1002)-2),2)),""),IF(IFERROR(INDEX(Income!B$3:B$502,SMALL(IF((Income!D$3:D$502="INR")*(Income!A$3:A$502=DATE(2026,6,26)),ROW(Income!A$3:A$502)-2),2)),"")&lt;&gt;"",IFERROR(INDEX(Income!B$3:B$502,SMALL(IF((Income!D$3:D$502="INR")*(Income!A$3:A$502=DATE(2026,6,26)),ROW(Income!A$3:A$502)-2),2)),""),""))</f>
        <v/>
      </c>
      <c r="M130" s="63" t="str">
        <f aca="false">IF(IFERROR(-INDEX(Expenses!D$3:D$1002,SMALL(IF((Expenses!E$3:E$1002="INR")*(Expenses!A$3:A$1002=DATE(2026,6,27)),ROW(Expenses!A$3:A$1002)-2),2)),0)+IFERROR(INDEX(Income!C$3:C$502,SMALL(IF((Income!D$3:D$502="INR")*(Income!A$3:A$502=DATE(2026,6,27)),ROW(Income!A$3:A$502)-2),2)),0)=0,"",IFERROR(-INDEX(Expenses!D$3:D$1002,SMALL(IF((Expenses!E$3:E$1002="INR")*(Expenses!A$3:A$1002=DATE(2026,6,27)),ROW(Expenses!A$3:A$1002)-2),2)),0)+IFERROR(INDEX(Income!C$3:C$502,SMALL(IF((Income!D$3:D$502="INR")*(Income!A$3:A$502=DATE(2026,6,27)),ROW(Income!A$3:A$502)-2),2)),0))</f>
        <v/>
      </c>
      <c r="N130" s="38" t="str">
        <f aca="false">IF(IFERROR(INDEX(Expenses!B$3:B$1002,SMALL(IF((Expenses!E$3:E$1002="INR")*(Expenses!A$3:A$1002=DATE(2026,6,27)),ROW(Expenses!A$3:A$1002)-2),2)),"")&lt;&gt;"",IFERROR(INDEX(Expenses!B$3:B$1002,SMALL(IF((Expenses!E$3:E$1002="INR")*(Expenses!A$3:A$1002=DATE(2026,6,27)),ROW(Expenses!A$3:A$1002)-2),2)),""),IF(IFERROR(INDEX(Income!B$3:B$502,SMALL(IF((Income!D$3:D$502="INR")*(Income!A$3:A$502=DATE(2026,6,27)),ROW(Income!A$3:A$502)-2),2)),"")&lt;&gt;"",IFERROR(INDEX(Income!B$3:B$502,SMALL(IF((Income!D$3:D$502="INR")*(Income!A$3:A$502=DATE(2026,6,27)),ROW(Income!A$3:A$502)-2),2)),""),""))</f>
        <v/>
      </c>
      <c r="O130" s="63" t="str">
        <f aca="false">IF(IFERROR(-INDEX(Expenses!D$3:D$1002,SMALL(IF((Expenses!E$3:E$1002="INR")*(Expenses!A$3:A$1002=DATE(2026,6,28)),ROW(Expenses!A$3:A$1002)-2),2)),0)+IFERROR(INDEX(Income!C$3:C$502,SMALL(IF((Income!D$3:D$502="INR")*(Income!A$3:A$502=DATE(2026,6,28)),ROW(Income!A$3:A$502)-2),2)),0)=0,"",IFERROR(-INDEX(Expenses!D$3:D$1002,SMALL(IF((Expenses!E$3:E$1002="INR")*(Expenses!A$3:A$1002=DATE(2026,6,28)),ROW(Expenses!A$3:A$1002)-2),2)),0)+IFERROR(INDEX(Income!C$3:C$502,SMALL(IF((Income!D$3:D$502="INR")*(Income!A$3:A$502=DATE(2026,6,28)),ROW(Income!A$3:A$502)-2),2)),0))</f>
        <v/>
      </c>
      <c r="P130" s="38" t="str">
        <f aca="false">IF(IFERROR(INDEX(Expenses!B$3:B$1002,SMALL(IF((Expenses!E$3:E$1002="INR")*(Expenses!A$3:A$1002=DATE(2026,6,28)),ROW(Expenses!A$3:A$1002)-2),2)),"")&lt;&gt;"",IFERROR(INDEX(Expenses!B$3:B$1002,SMALL(IF((Expenses!E$3:E$1002="INR")*(Expenses!A$3:A$1002=DATE(2026,6,28)),ROW(Expenses!A$3:A$1002)-2),2)),""),IF(IFERROR(INDEX(Income!B$3:B$502,SMALL(IF((Income!D$3:D$502="INR")*(Income!A$3:A$502=DATE(2026,6,28)),ROW(Income!A$3:A$502)-2),2)),"")&lt;&gt;"",IFERROR(INDEX(Income!B$3:B$502,SMALL(IF((Income!D$3:D$502="INR")*(Income!A$3:A$502=DATE(2026,6,28)),ROW(Income!A$3:A$502)-2),2)),""),""))</f>
        <v/>
      </c>
      <c r="Q130" s="16"/>
      <c r="R130" s="16"/>
    </row>
    <row r="131" customFormat="false" ht="15" hidden="false" customHeight="false" outlineLevel="0" collapsed="false">
      <c r="A131" s="16"/>
      <c r="B131" s="16"/>
      <c r="C131" s="63" t="str">
        <f aca="false">IF(IFERROR(-INDEX(Expenses!D$3:D$1002,SMALL(IF((Expenses!E$3:E$1002="INR")*(Expenses!A$3:A$1002=DATE(2026,6,22)),ROW(Expenses!A$3:A$1002)-2),3)),0)+IFERROR(INDEX(Income!C$3:C$502,SMALL(IF((Income!D$3:D$502="INR")*(Income!A$3:A$502=DATE(2026,6,22)),ROW(Income!A$3:A$502)-2),3)),0)=0,"",IFERROR(-INDEX(Expenses!D$3:D$1002,SMALL(IF((Expenses!E$3:E$1002="INR")*(Expenses!A$3:A$1002=DATE(2026,6,22)),ROW(Expenses!A$3:A$1002)-2),3)),0)+IFERROR(INDEX(Income!C$3:C$502,SMALL(IF((Income!D$3:D$502="INR")*(Income!A$3:A$502=DATE(2026,6,22)),ROW(Income!A$3:A$502)-2),3)),0))</f>
        <v/>
      </c>
      <c r="D131" s="38" t="str">
        <f aca="false">IF(IFERROR(INDEX(Expenses!B$3:B$1002,SMALL(IF((Expenses!E$3:E$1002="INR")*(Expenses!A$3:A$1002=DATE(2026,6,22)),ROW(Expenses!A$3:A$1002)-2),3)),"")&lt;&gt;"",IFERROR(INDEX(Expenses!B$3:B$1002,SMALL(IF((Expenses!E$3:E$1002="INR")*(Expenses!A$3:A$1002=DATE(2026,6,22)),ROW(Expenses!A$3:A$1002)-2),3)),""),IF(IFERROR(INDEX(Income!B$3:B$502,SMALL(IF((Income!D$3:D$502="INR")*(Income!A$3:A$502=DATE(2026,6,22)),ROW(Income!A$3:A$502)-2),3)),"")&lt;&gt;"",IFERROR(INDEX(Income!B$3:B$502,SMALL(IF((Income!D$3:D$502="INR")*(Income!A$3:A$502=DATE(2026,6,22)),ROW(Income!A$3:A$502)-2),3)),""),""))</f>
        <v/>
      </c>
      <c r="E131" s="63" t="str">
        <f aca="false">IF(IFERROR(-INDEX(Expenses!D$3:D$1002,SMALL(IF((Expenses!E$3:E$1002="INR")*(Expenses!A$3:A$1002=DATE(2026,6,23)),ROW(Expenses!A$3:A$1002)-2),3)),0)+IFERROR(INDEX(Income!C$3:C$502,SMALL(IF((Income!D$3:D$502="INR")*(Income!A$3:A$502=DATE(2026,6,23)),ROW(Income!A$3:A$502)-2),3)),0)=0,"",IFERROR(-INDEX(Expenses!D$3:D$1002,SMALL(IF((Expenses!E$3:E$1002="INR")*(Expenses!A$3:A$1002=DATE(2026,6,23)),ROW(Expenses!A$3:A$1002)-2),3)),0)+IFERROR(INDEX(Income!C$3:C$502,SMALL(IF((Income!D$3:D$502="INR")*(Income!A$3:A$502=DATE(2026,6,23)),ROW(Income!A$3:A$502)-2),3)),0))</f>
        <v/>
      </c>
      <c r="F131" s="38" t="str">
        <f aca="false">IF(IFERROR(INDEX(Expenses!B$3:B$1002,SMALL(IF((Expenses!E$3:E$1002="INR")*(Expenses!A$3:A$1002=DATE(2026,6,23)),ROW(Expenses!A$3:A$1002)-2),3)),"")&lt;&gt;"",IFERROR(INDEX(Expenses!B$3:B$1002,SMALL(IF((Expenses!E$3:E$1002="INR")*(Expenses!A$3:A$1002=DATE(2026,6,23)),ROW(Expenses!A$3:A$1002)-2),3)),""),IF(IFERROR(INDEX(Income!B$3:B$502,SMALL(IF((Income!D$3:D$502="INR")*(Income!A$3:A$502=DATE(2026,6,23)),ROW(Income!A$3:A$502)-2),3)),"")&lt;&gt;"",IFERROR(INDEX(Income!B$3:B$502,SMALL(IF((Income!D$3:D$502="INR")*(Income!A$3:A$502=DATE(2026,6,23)),ROW(Income!A$3:A$502)-2),3)),""),""))</f>
        <v/>
      </c>
      <c r="G131" s="63" t="str">
        <f aca="false">IF(IFERROR(-INDEX(Expenses!D$3:D$1002,SMALL(IF((Expenses!E$3:E$1002="INR")*(Expenses!A$3:A$1002=DATE(2026,6,24)),ROW(Expenses!A$3:A$1002)-2),3)),0)+IFERROR(INDEX(Income!C$3:C$502,SMALL(IF((Income!D$3:D$502="INR")*(Income!A$3:A$502=DATE(2026,6,24)),ROW(Income!A$3:A$502)-2),3)),0)=0,"",IFERROR(-INDEX(Expenses!D$3:D$1002,SMALL(IF((Expenses!E$3:E$1002="INR")*(Expenses!A$3:A$1002=DATE(2026,6,24)),ROW(Expenses!A$3:A$1002)-2),3)),0)+IFERROR(INDEX(Income!C$3:C$502,SMALL(IF((Income!D$3:D$502="INR")*(Income!A$3:A$502=DATE(2026,6,24)),ROW(Income!A$3:A$502)-2),3)),0))</f>
        <v/>
      </c>
      <c r="H131" s="38" t="str">
        <f aca="false">IF(IFERROR(INDEX(Expenses!B$3:B$1002,SMALL(IF((Expenses!E$3:E$1002="INR")*(Expenses!A$3:A$1002=DATE(2026,6,24)),ROW(Expenses!A$3:A$1002)-2),3)),"")&lt;&gt;"",IFERROR(INDEX(Expenses!B$3:B$1002,SMALL(IF((Expenses!E$3:E$1002="INR")*(Expenses!A$3:A$1002=DATE(2026,6,24)),ROW(Expenses!A$3:A$1002)-2),3)),""),IF(IFERROR(INDEX(Income!B$3:B$502,SMALL(IF((Income!D$3:D$502="INR")*(Income!A$3:A$502=DATE(2026,6,24)),ROW(Income!A$3:A$502)-2),3)),"")&lt;&gt;"",IFERROR(INDEX(Income!B$3:B$502,SMALL(IF((Income!D$3:D$502="INR")*(Income!A$3:A$502=DATE(2026,6,24)),ROW(Income!A$3:A$502)-2),3)),""),""))</f>
        <v/>
      </c>
      <c r="I131" s="63" t="str">
        <f aca="false">IF(IFERROR(-INDEX(Expenses!D$3:D$1002,SMALL(IF((Expenses!E$3:E$1002="INR")*(Expenses!A$3:A$1002=DATE(2026,6,25)),ROW(Expenses!A$3:A$1002)-2),3)),0)+IFERROR(INDEX(Income!C$3:C$502,SMALL(IF((Income!D$3:D$502="INR")*(Income!A$3:A$502=DATE(2026,6,25)),ROW(Income!A$3:A$502)-2),3)),0)=0,"",IFERROR(-INDEX(Expenses!D$3:D$1002,SMALL(IF((Expenses!E$3:E$1002="INR")*(Expenses!A$3:A$1002=DATE(2026,6,25)),ROW(Expenses!A$3:A$1002)-2),3)),0)+IFERROR(INDEX(Income!C$3:C$502,SMALL(IF((Income!D$3:D$502="INR")*(Income!A$3:A$502=DATE(2026,6,25)),ROW(Income!A$3:A$502)-2),3)),0))</f>
        <v/>
      </c>
      <c r="J131" s="38" t="str">
        <f aca="false">IF(IFERROR(INDEX(Expenses!B$3:B$1002,SMALL(IF((Expenses!E$3:E$1002="INR")*(Expenses!A$3:A$1002=DATE(2026,6,25)),ROW(Expenses!A$3:A$1002)-2),3)),"")&lt;&gt;"",IFERROR(INDEX(Expenses!B$3:B$1002,SMALL(IF((Expenses!E$3:E$1002="INR")*(Expenses!A$3:A$1002=DATE(2026,6,25)),ROW(Expenses!A$3:A$1002)-2),3)),""),IF(IFERROR(INDEX(Income!B$3:B$502,SMALL(IF((Income!D$3:D$502="INR")*(Income!A$3:A$502=DATE(2026,6,25)),ROW(Income!A$3:A$502)-2),3)),"")&lt;&gt;"",IFERROR(INDEX(Income!B$3:B$502,SMALL(IF((Income!D$3:D$502="INR")*(Income!A$3:A$502=DATE(2026,6,25)),ROW(Income!A$3:A$502)-2),3)),""),""))</f>
        <v/>
      </c>
      <c r="K131" s="63" t="str">
        <f aca="false">IF(IFERROR(-INDEX(Expenses!D$3:D$1002,SMALL(IF((Expenses!E$3:E$1002="INR")*(Expenses!A$3:A$1002=DATE(2026,6,26)),ROW(Expenses!A$3:A$1002)-2),3)),0)+IFERROR(INDEX(Income!C$3:C$502,SMALL(IF((Income!D$3:D$502="INR")*(Income!A$3:A$502=DATE(2026,6,26)),ROW(Income!A$3:A$502)-2),3)),0)=0,"",IFERROR(-INDEX(Expenses!D$3:D$1002,SMALL(IF((Expenses!E$3:E$1002="INR")*(Expenses!A$3:A$1002=DATE(2026,6,26)),ROW(Expenses!A$3:A$1002)-2),3)),0)+IFERROR(INDEX(Income!C$3:C$502,SMALL(IF((Income!D$3:D$502="INR")*(Income!A$3:A$502=DATE(2026,6,26)),ROW(Income!A$3:A$502)-2),3)),0))</f>
        <v/>
      </c>
      <c r="L131" s="38" t="str">
        <f aca="false">IF(IFERROR(INDEX(Expenses!B$3:B$1002,SMALL(IF((Expenses!E$3:E$1002="INR")*(Expenses!A$3:A$1002=DATE(2026,6,26)),ROW(Expenses!A$3:A$1002)-2),3)),"")&lt;&gt;"",IFERROR(INDEX(Expenses!B$3:B$1002,SMALL(IF((Expenses!E$3:E$1002="INR")*(Expenses!A$3:A$1002=DATE(2026,6,26)),ROW(Expenses!A$3:A$1002)-2),3)),""),IF(IFERROR(INDEX(Income!B$3:B$502,SMALL(IF((Income!D$3:D$502="INR")*(Income!A$3:A$502=DATE(2026,6,26)),ROW(Income!A$3:A$502)-2),3)),"")&lt;&gt;"",IFERROR(INDEX(Income!B$3:B$502,SMALL(IF((Income!D$3:D$502="INR")*(Income!A$3:A$502=DATE(2026,6,26)),ROW(Income!A$3:A$502)-2),3)),""),""))</f>
        <v/>
      </c>
      <c r="M131" s="63" t="str">
        <f aca="false">IF(IFERROR(-INDEX(Expenses!D$3:D$1002,SMALL(IF((Expenses!E$3:E$1002="INR")*(Expenses!A$3:A$1002=DATE(2026,6,27)),ROW(Expenses!A$3:A$1002)-2),3)),0)+IFERROR(INDEX(Income!C$3:C$502,SMALL(IF((Income!D$3:D$502="INR")*(Income!A$3:A$502=DATE(2026,6,27)),ROW(Income!A$3:A$502)-2),3)),0)=0,"",IFERROR(-INDEX(Expenses!D$3:D$1002,SMALL(IF((Expenses!E$3:E$1002="INR")*(Expenses!A$3:A$1002=DATE(2026,6,27)),ROW(Expenses!A$3:A$1002)-2),3)),0)+IFERROR(INDEX(Income!C$3:C$502,SMALL(IF((Income!D$3:D$502="INR")*(Income!A$3:A$502=DATE(2026,6,27)),ROW(Income!A$3:A$502)-2),3)),0))</f>
        <v/>
      </c>
      <c r="N131" s="38" t="str">
        <f aca="false">IF(IFERROR(INDEX(Expenses!B$3:B$1002,SMALL(IF((Expenses!E$3:E$1002="INR")*(Expenses!A$3:A$1002=DATE(2026,6,27)),ROW(Expenses!A$3:A$1002)-2),3)),"")&lt;&gt;"",IFERROR(INDEX(Expenses!B$3:B$1002,SMALL(IF((Expenses!E$3:E$1002="INR")*(Expenses!A$3:A$1002=DATE(2026,6,27)),ROW(Expenses!A$3:A$1002)-2),3)),""),IF(IFERROR(INDEX(Income!B$3:B$502,SMALL(IF((Income!D$3:D$502="INR")*(Income!A$3:A$502=DATE(2026,6,27)),ROW(Income!A$3:A$502)-2),3)),"")&lt;&gt;"",IFERROR(INDEX(Income!B$3:B$502,SMALL(IF((Income!D$3:D$502="INR")*(Income!A$3:A$502=DATE(2026,6,27)),ROW(Income!A$3:A$502)-2),3)),""),""))</f>
        <v/>
      </c>
      <c r="O131" s="63" t="str">
        <f aca="false">IF(IFERROR(-INDEX(Expenses!D$3:D$1002,SMALL(IF((Expenses!E$3:E$1002="INR")*(Expenses!A$3:A$1002=DATE(2026,6,28)),ROW(Expenses!A$3:A$1002)-2),3)),0)+IFERROR(INDEX(Income!C$3:C$502,SMALL(IF((Income!D$3:D$502="INR")*(Income!A$3:A$502=DATE(2026,6,28)),ROW(Income!A$3:A$502)-2),3)),0)=0,"",IFERROR(-INDEX(Expenses!D$3:D$1002,SMALL(IF((Expenses!E$3:E$1002="INR")*(Expenses!A$3:A$1002=DATE(2026,6,28)),ROW(Expenses!A$3:A$1002)-2),3)),0)+IFERROR(INDEX(Income!C$3:C$502,SMALL(IF((Income!D$3:D$502="INR")*(Income!A$3:A$502=DATE(2026,6,28)),ROW(Income!A$3:A$502)-2),3)),0))</f>
        <v/>
      </c>
      <c r="P131" s="38" t="str">
        <f aca="false">IF(IFERROR(INDEX(Expenses!B$3:B$1002,SMALL(IF((Expenses!E$3:E$1002="INR")*(Expenses!A$3:A$1002=DATE(2026,6,28)),ROW(Expenses!A$3:A$1002)-2),3)),"")&lt;&gt;"",IFERROR(INDEX(Expenses!B$3:B$1002,SMALL(IF((Expenses!E$3:E$1002="INR")*(Expenses!A$3:A$1002=DATE(2026,6,28)),ROW(Expenses!A$3:A$1002)-2),3)),""),IF(IFERROR(INDEX(Income!B$3:B$502,SMALL(IF((Income!D$3:D$502="INR")*(Income!A$3:A$502=DATE(2026,6,28)),ROW(Income!A$3:A$502)-2),3)),"")&lt;&gt;"",IFERROR(INDEX(Income!B$3:B$502,SMALL(IF((Income!D$3:D$502="INR")*(Income!A$3:A$502=DATE(2026,6,28)),ROW(Income!A$3:A$502)-2),3)),""),""))</f>
        <v/>
      </c>
      <c r="Q131" s="16"/>
      <c r="R131" s="16"/>
    </row>
    <row r="132" customFormat="false" ht="15" hidden="false" customHeight="false" outlineLevel="0" collapsed="false">
      <c r="A132" s="16"/>
      <c r="B132" s="16"/>
      <c r="C132" s="63" t="str">
        <f aca="false">IF(IFERROR(-INDEX(Expenses!D$3:D$1002,SMALL(IF((Expenses!E$3:E$1002="INR")*(Expenses!A$3:A$1002=DATE(2026,6,22)),ROW(Expenses!A$3:A$1002)-2),4)),0)+IFERROR(INDEX(Income!C$3:C$502,SMALL(IF((Income!D$3:D$502="INR")*(Income!A$3:A$502=DATE(2026,6,22)),ROW(Income!A$3:A$502)-2),4)),0)=0,"",IFERROR(-INDEX(Expenses!D$3:D$1002,SMALL(IF((Expenses!E$3:E$1002="INR")*(Expenses!A$3:A$1002=DATE(2026,6,22)),ROW(Expenses!A$3:A$1002)-2),4)),0)+IFERROR(INDEX(Income!C$3:C$502,SMALL(IF((Income!D$3:D$502="INR")*(Income!A$3:A$502=DATE(2026,6,22)),ROW(Income!A$3:A$502)-2),4)),0))</f>
        <v/>
      </c>
      <c r="D132" s="38" t="str">
        <f aca="false">IF(IFERROR(INDEX(Expenses!B$3:B$1002,SMALL(IF((Expenses!E$3:E$1002="INR")*(Expenses!A$3:A$1002=DATE(2026,6,22)),ROW(Expenses!A$3:A$1002)-2),4)),"")&lt;&gt;"",IFERROR(INDEX(Expenses!B$3:B$1002,SMALL(IF((Expenses!E$3:E$1002="INR")*(Expenses!A$3:A$1002=DATE(2026,6,22)),ROW(Expenses!A$3:A$1002)-2),4)),""),IF(IFERROR(INDEX(Income!B$3:B$502,SMALL(IF((Income!D$3:D$502="INR")*(Income!A$3:A$502=DATE(2026,6,22)),ROW(Income!A$3:A$502)-2),4)),"")&lt;&gt;"",IFERROR(INDEX(Income!B$3:B$502,SMALL(IF((Income!D$3:D$502="INR")*(Income!A$3:A$502=DATE(2026,6,22)),ROW(Income!A$3:A$502)-2),4)),""),""))</f>
        <v/>
      </c>
      <c r="E132" s="63" t="str">
        <f aca="false">IF(IFERROR(-INDEX(Expenses!D$3:D$1002,SMALL(IF((Expenses!E$3:E$1002="INR")*(Expenses!A$3:A$1002=DATE(2026,6,23)),ROW(Expenses!A$3:A$1002)-2),4)),0)+IFERROR(INDEX(Income!C$3:C$502,SMALL(IF((Income!D$3:D$502="INR")*(Income!A$3:A$502=DATE(2026,6,23)),ROW(Income!A$3:A$502)-2),4)),0)=0,"",IFERROR(-INDEX(Expenses!D$3:D$1002,SMALL(IF((Expenses!E$3:E$1002="INR")*(Expenses!A$3:A$1002=DATE(2026,6,23)),ROW(Expenses!A$3:A$1002)-2),4)),0)+IFERROR(INDEX(Income!C$3:C$502,SMALL(IF((Income!D$3:D$502="INR")*(Income!A$3:A$502=DATE(2026,6,23)),ROW(Income!A$3:A$502)-2),4)),0))</f>
        <v/>
      </c>
      <c r="F132" s="38" t="str">
        <f aca="false">IF(IFERROR(INDEX(Expenses!B$3:B$1002,SMALL(IF((Expenses!E$3:E$1002="INR")*(Expenses!A$3:A$1002=DATE(2026,6,23)),ROW(Expenses!A$3:A$1002)-2),4)),"")&lt;&gt;"",IFERROR(INDEX(Expenses!B$3:B$1002,SMALL(IF((Expenses!E$3:E$1002="INR")*(Expenses!A$3:A$1002=DATE(2026,6,23)),ROW(Expenses!A$3:A$1002)-2),4)),""),IF(IFERROR(INDEX(Income!B$3:B$502,SMALL(IF((Income!D$3:D$502="INR")*(Income!A$3:A$502=DATE(2026,6,23)),ROW(Income!A$3:A$502)-2),4)),"")&lt;&gt;"",IFERROR(INDEX(Income!B$3:B$502,SMALL(IF((Income!D$3:D$502="INR")*(Income!A$3:A$502=DATE(2026,6,23)),ROW(Income!A$3:A$502)-2),4)),""),""))</f>
        <v/>
      </c>
      <c r="G132" s="63" t="str">
        <f aca="false">IF(IFERROR(-INDEX(Expenses!D$3:D$1002,SMALL(IF((Expenses!E$3:E$1002="INR")*(Expenses!A$3:A$1002=DATE(2026,6,24)),ROW(Expenses!A$3:A$1002)-2),4)),0)+IFERROR(INDEX(Income!C$3:C$502,SMALL(IF((Income!D$3:D$502="INR")*(Income!A$3:A$502=DATE(2026,6,24)),ROW(Income!A$3:A$502)-2),4)),0)=0,"",IFERROR(-INDEX(Expenses!D$3:D$1002,SMALL(IF((Expenses!E$3:E$1002="INR")*(Expenses!A$3:A$1002=DATE(2026,6,24)),ROW(Expenses!A$3:A$1002)-2),4)),0)+IFERROR(INDEX(Income!C$3:C$502,SMALL(IF((Income!D$3:D$502="INR")*(Income!A$3:A$502=DATE(2026,6,24)),ROW(Income!A$3:A$502)-2),4)),0))</f>
        <v/>
      </c>
      <c r="H132" s="38" t="str">
        <f aca="false">IF(IFERROR(INDEX(Expenses!B$3:B$1002,SMALL(IF((Expenses!E$3:E$1002="INR")*(Expenses!A$3:A$1002=DATE(2026,6,24)),ROW(Expenses!A$3:A$1002)-2),4)),"")&lt;&gt;"",IFERROR(INDEX(Expenses!B$3:B$1002,SMALL(IF((Expenses!E$3:E$1002="INR")*(Expenses!A$3:A$1002=DATE(2026,6,24)),ROW(Expenses!A$3:A$1002)-2),4)),""),IF(IFERROR(INDEX(Income!B$3:B$502,SMALL(IF((Income!D$3:D$502="INR")*(Income!A$3:A$502=DATE(2026,6,24)),ROW(Income!A$3:A$502)-2),4)),"")&lt;&gt;"",IFERROR(INDEX(Income!B$3:B$502,SMALL(IF((Income!D$3:D$502="INR")*(Income!A$3:A$502=DATE(2026,6,24)),ROW(Income!A$3:A$502)-2),4)),""),""))</f>
        <v/>
      </c>
      <c r="I132" s="63" t="str">
        <f aca="false">IF(IFERROR(-INDEX(Expenses!D$3:D$1002,SMALL(IF((Expenses!E$3:E$1002="INR")*(Expenses!A$3:A$1002=DATE(2026,6,25)),ROW(Expenses!A$3:A$1002)-2),4)),0)+IFERROR(INDEX(Income!C$3:C$502,SMALL(IF((Income!D$3:D$502="INR")*(Income!A$3:A$502=DATE(2026,6,25)),ROW(Income!A$3:A$502)-2),4)),0)=0,"",IFERROR(-INDEX(Expenses!D$3:D$1002,SMALL(IF((Expenses!E$3:E$1002="INR")*(Expenses!A$3:A$1002=DATE(2026,6,25)),ROW(Expenses!A$3:A$1002)-2),4)),0)+IFERROR(INDEX(Income!C$3:C$502,SMALL(IF((Income!D$3:D$502="INR")*(Income!A$3:A$502=DATE(2026,6,25)),ROW(Income!A$3:A$502)-2),4)),0))</f>
        <v/>
      </c>
      <c r="J132" s="38" t="str">
        <f aca="false">IF(IFERROR(INDEX(Expenses!B$3:B$1002,SMALL(IF((Expenses!E$3:E$1002="INR")*(Expenses!A$3:A$1002=DATE(2026,6,25)),ROW(Expenses!A$3:A$1002)-2),4)),"")&lt;&gt;"",IFERROR(INDEX(Expenses!B$3:B$1002,SMALL(IF((Expenses!E$3:E$1002="INR")*(Expenses!A$3:A$1002=DATE(2026,6,25)),ROW(Expenses!A$3:A$1002)-2),4)),""),IF(IFERROR(INDEX(Income!B$3:B$502,SMALL(IF((Income!D$3:D$502="INR")*(Income!A$3:A$502=DATE(2026,6,25)),ROW(Income!A$3:A$502)-2),4)),"")&lt;&gt;"",IFERROR(INDEX(Income!B$3:B$502,SMALL(IF((Income!D$3:D$502="INR")*(Income!A$3:A$502=DATE(2026,6,25)),ROW(Income!A$3:A$502)-2),4)),""),""))</f>
        <v/>
      </c>
      <c r="K132" s="63" t="str">
        <f aca="false">IF(IFERROR(-INDEX(Expenses!D$3:D$1002,SMALL(IF((Expenses!E$3:E$1002="INR")*(Expenses!A$3:A$1002=DATE(2026,6,26)),ROW(Expenses!A$3:A$1002)-2),4)),0)+IFERROR(INDEX(Income!C$3:C$502,SMALL(IF((Income!D$3:D$502="INR")*(Income!A$3:A$502=DATE(2026,6,26)),ROW(Income!A$3:A$502)-2),4)),0)=0,"",IFERROR(-INDEX(Expenses!D$3:D$1002,SMALL(IF((Expenses!E$3:E$1002="INR")*(Expenses!A$3:A$1002=DATE(2026,6,26)),ROW(Expenses!A$3:A$1002)-2),4)),0)+IFERROR(INDEX(Income!C$3:C$502,SMALL(IF((Income!D$3:D$502="INR")*(Income!A$3:A$502=DATE(2026,6,26)),ROW(Income!A$3:A$502)-2),4)),0))</f>
        <v/>
      </c>
      <c r="L132" s="38" t="str">
        <f aca="false">IF(IFERROR(INDEX(Expenses!B$3:B$1002,SMALL(IF((Expenses!E$3:E$1002="INR")*(Expenses!A$3:A$1002=DATE(2026,6,26)),ROW(Expenses!A$3:A$1002)-2),4)),"")&lt;&gt;"",IFERROR(INDEX(Expenses!B$3:B$1002,SMALL(IF((Expenses!E$3:E$1002="INR")*(Expenses!A$3:A$1002=DATE(2026,6,26)),ROW(Expenses!A$3:A$1002)-2),4)),""),IF(IFERROR(INDEX(Income!B$3:B$502,SMALL(IF((Income!D$3:D$502="INR")*(Income!A$3:A$502=DATE(2026,6,26)),ROW(Income!A$3:A$502)-2),4)),"")&lt;&gt;"",IFERROR(INDEX(Income!B$3:B$502,SMALL(IF((Income!D$3:D$502="INR")*(Income!A$3:A$502=DATE(2026,6,26)),ROW(Income!A$3:A$502)-2),4)),""),""))</f>
        <v/>
      </c>
      <c r="M132" s="63" t="str">
        <f aca="false">IF(IFERROR(-INDEX(Expenses!D$3:D$1002,SMALL(IF((Expenses!E$3:E$1002="INR")*(Expenses!A$3:A$1002=DATE(2026,6,27)),ROW(Expenses!A$3:A$1002)-2),4)),0)+IFERROR(INDEX(Income!C$3:C$502,SMALL(IF((Income!D$3:D$502="INR")*(Income!A$3:A$502=DATE(2026,6,27)),ROW(Income!A$3:A$502)-2),4)),0)=0,"",IFERROR(-INDEX(Expenses!D$3:D$1002,SMALL(IF((Expenses!E$3:E$1002="INR")*(Expenses!A$3:A$1002=DATE(2026,6,27)),ROW(Expenses!A$3:A$1002)-2),4)),0)+IFERROR(INDEX(Income!C$3:C$502,SMALL(IF((Income!D$3:D$502="INR")*(Income!A$3:A$502=DATE(2026,6,27)),ROW(Income!A$3:A$502)-2),4)),0))</f>
        <v/>
      </c>
      <c r="N132" s="38" t="str">
        <f aca="false">IF(IFERROR(INDEX(Expenses!B$3:B$1002,SMALL(IF((Expenses!E$3:E$1002="INR")*(Expenses!A$3:A$1002=DATE(2026,6,27)),ROW(Expenses!A$3:A$1002)-2),4)),"")&lt;&gt;"",IFERROR(INDEX(Expenses!B$3:B$1002,SMALL(IF((Expenses!E$3:E$1002="INR")*(Expenses!A$3:A$1002=DATE(2026,6,27)),ROW(Expenses!A$3:A$1002)-2),4)),""),IF(IFERROR(INDEX(Income!B$3:B$502,SMALL(IF((Income!D$3:D$502="INR")*(Income!A$3:A$502=DATE(2026,6,27)),ROW(Income!A$3:A$502)-2),4)),"")&lt;&gt;"",IFERROR(INDEX(Income!B$3:B$502,SMALL(IF((Income!D$3:D$502="INR")*(Income!A$3:A$502=DATE(2026,6,27)),ROW(Income!A$3:A$502)-2),4)),""),""))</f>
        <v/>
      </c>
      <c r="O132" s="63" t="str">
        <f aca="false">IF(IFERROR(-INDEX(Expenses!D$3:D$1002,SMALL(IF((Expenses!E$3:E$1002="INR")*(Expenses!A$3:A$1002=DATE(2026,6,28)),ROW(Expenses!A$3:A$1002)-2),4)),0)+IFERROR(INDEX(Income!C$3:C$502,SMALL(IF((Income!D$3:D$502="INR")*(Income!A$3:A$502=DATE(2026,6,28)),ROW(Income!A$3:A$502)-2),4)),0)=0,"",IFERROR(-INDEX(Expenses!D$3:D$1002,SMALL(IF((Expenses!E$3:E$1002="INR")*(Expenses!A$3:A$1002=DATE(2026,6,28)),ROW(Expenses!A$3:A$1002)-2),4)),0)+IFERROR(INDEX(Income!C$3:C$502,SMALL(IF((Income!D$3:D$502="INR")*(Income!A$3:A$502=DATE(2026,6,28)),ROW(Income!A$3:A$502)-2),4)),0))</f>
        <v/>
      </c>
      <c r="P132" s="38" t="str">
        <f aca="false">IF(IFERROR(INDEX(Expenses!B$3:B$1002,SMALL(IF((Expenses!E$3:E$1002="INR")*(Expenses!A$3:A$1002=DATE(2026,6,28)),ROW(Expenses!A$3:A$1002)-2),4)),"")&lt;&gt;"",IFERROR(INDEX(Expenses!B$3:B$1002,SMALL(IF((Expenses!E$3:E$1002="INR")*(Expenses!A$3:A$1002=DATE(2026,6,28)),ROW(Expenses!A$3:A$1002)-2),4)),""),IF(IFERROR(INDEX(Income!B$3:B$502,SMALL(IF((Income!D$3:D$502="INR")*(Income!A$3:A$502=DATE(2026,6,28)),ROW(Income!A$3:A$502)-2),4)),"")&lt;&gt;"",IFERROR(INDEX(Income!B$3:B$502,SMALL(IF((Income!D$3:D$502="INR")*(Income!A$3:A$502=DATE(2026,6,28)),ROW(Income!A$3:A$502)-2),4)),""),""))</f>
        <v/>
      </c>
      <c r="Q132" s="16"/>
      <c r="R132" s="16"/>
    </row>
    <row r="133" customFormat="false" ht="15" hidden="false" customHeight="false" outlineLevel="0" collapsed="false">
      <c r="A133" s="16"/>
      <c r="B133" s="16"/>
      <c r="C133" s="63" t="str">
        <f aca="false">IF(IFERROR(-INDEX(Expenses!D$3:D$1002,SMALL(IF((Expenses!E$3:E$1002="INR")*(Expenses!A$3:A$1002=DATE(2026,6,22)),ROW(Expenses!A$3:A$1002)-2),5)),0)+IFERROR(INDEX(Income!C$3:C$502,SMALL(IF((Income!D$3:D$502="INR")*(Income!A$3:A$502=DATE(2026,6,22)),ROW(Income!A$3:A$502)-2),5)),0)=0,"",IFERROR(-INDEX(Expenses!D$3:D$1002,SMALL(IF((Expenses!E$3:E$1002="INR")*(Expenses!A$3:A$1002=DATE(2026,6,22)),ROW(Expenses!A$3:A$1002)-2),5)),0)+IFERROR(INDEX(Income!C$3:C$502,SMALL(IF((Income!D$3:D$502="INR")*(Income!A$3:A$502=DATE(2026,6,22)),ROW(Income!A$3:A$502)-2),5)),0))</f>
        <v/>
      </c>
      <c r="D133" s="38" t="str">
        <f aca="false">IF(IFERROR(INDEX(Expenses!B$3:B$1002,SMALL(IF((Expenses!E$3:E$1002="INR")*(Expenses!A$3:A$1002=DATE(2026,6,22)),ROW(Expenses!A$3:A$1002)-2),5)),"")&lt;&gt;"",IFERROR(INDEX(Expenses!B$3:B$1002,SMALL(IF((Expenses!E$3:E$1002="INR")*(Expenses!A$3:A$1002=DATE(2026,6,22)),ROW(Expenses!A$3:A$1002)-2),5)),""),IF(IFERROR(INDEX(Income!B$3:B$502,SMALL(IF((Income!D$3:D$502="INR")*(Income!A$3:A$502=DATE(2026,6,22)),ROW(Income!A$3:A$502)-2),5)),"")&lt;&gt;"",IFERROR(INDEX(Income!B$3:B$502,SMALL(IF((Income!D$3:D$502="INR")*(Income!A$3:A$502=DATE(2026,6,22)),ROW(Income!A$3:A$502)-2),5)),""),""))</f>
        <v/>
      </c>
      <c r="E133" s="63" t="str">
        <f aca="false">IF(IFERROR(-INDEX(Expenses!D$3:D$1002,SMALL(IF((Expenses!E$3:E$1002="INR")*(Expenses!A$3:A$1002=DATE(2026,6,23)),ROW(Expenses!A$3:A$1002)-2),5)),0)+IFERROR(INDEX(Income!C$3:C$502,SMALL(IF((Income!D$3:D$502="INR")*(Income!A$3:A$502=DATE(2026,6,23)),ROW(Income!A$3:A$502)-2),5)),0)=0,"",IFERROR(-INDEX(Expenses!D$3:D$1002,SMALL(IF((Expenses!E$3:E$1002="INR")*(Expenses!A$3:A$1002=DATE(2026,6,23)),ROW(Expenses!A$3:A$1002)-2),5)),0)+IFERROR(INDEX(Income!C$3:C$502,SMALL(IF((Income!D$3:D$502="INR")*(Income!A$3:A$502=DATE(2026,6,23)),ROW(Income!A$3:A$502)-2),5)),0))</f>
        <v/>
      </c>
      <c r="F133" s="38" t="str">
        <f aca="false">IF(IFERROR(INDEX(Expenses!B$3:B$1002,SMALL(IF((Expenses!E$3:E$1002="INR")*(Expenses!A$3:A$1002=DATE(2026,6,23)),ROW(Expenses!A$3:A$1002)-2),5)),"")&lt;&gt;"",IFERROR(INDEX(Expenses!B$3:B$1002,SMALL(IF((Expenses!E$3:E$1002="INR")*(Expenses!A$3:A$1002=DATE(2026,6,23)),ROW(Expenses!A$3:A$1002)-2),5)),""),IF(IFERROR(INDEX(Income!B$3:B$502,SMALL(IF((Income!D$3:D$502="INR")*(Income!A$3:A$502=DATE(2026,6,23)),ROW(Income!A$3:A$502)-2),5)),"")&lt;&gt;"",IFERROR(INDEX(Income!B$3:B$502,SMALL(IF((Income!D$3:D$502="INR")*(Income!A$3:A$502=DATE(2026,6,23)),ROW(Income!A$3:A$502)-2),5)),""),""))</f>
        <v/>
      </c>
      <c r="G133" s="63" t="str">
        <f aca="false">IF(IFERROR(-INDEX(Expenses!D$3:D$1002,SMALL(IF((Expenses!E$3:E$1002="INR")*(Expenses!A$3:A$1002=DATE(2026,6,24)),ROW(Expenses!A$3:A$1002)-2),5)),0)+IFERROR(INDEX(Income!C$3:C$502,SMALL(IF((Income!D$3:D$502="INR")*(Income!A$3:A$502=DATE(2026,6,24)),ROW(Income!A$3:A$502)-2),5)),0)=0,"",IFERROR(-INDEX(Expenses!D$3:D$1002,SMALL(IF((Expenses!E$3:E$1002="INR")*(Expenses!A$3:A$1002=DATE(2026,6,24)),ROW(Expenses!A$3:A$1002)-2),5)),0)+IFERROR(INDEX(Income!C$3:C$502,SMALL(IF((Income!D$3:D$502="INR")*(Income!A$3:A$502=DATE(2026,6,24)),ROW(Income!A$3:A$502)-2),5)),0))</f>
        <v/>
      </c>
      <c r="H133" s="38" t="str">
        <f aca="false">IF(IFERROR(INDEX(Expenses!B$3:B$1002,SMALL(IF((Expenses!E$3:E$1002="INR")*(Expenses!A$3:A$1002=DATE(2026,6,24)),ROW(Expenses!A$3:A$1002)-2),5)),"")&lt;&gt;"",IFERROR(INDEX(Expenses!B$3:B$1002,SMALL(IF((Expenses!E$3:E$1002="INR")*(Expenses!A$3:A$1002=DATE(2026,6,24)),ROW(Expenses!A$3:A$1002)-2),5)),""),IF(IFERROR(INDEX(Income!B$3:B$502,SMALL(IF((Income!D$3:D$502="INR")*(Income!A$3:A$502=DATE(2026,6,24)),ROW(Income!A$3:A$502)-2),5)),"")&lt;&gt;"",IFERROR(INDEX(Income!B$3:B$502,SMALL(IF((Income!D$3:D$502="INR")*(Income!A$3:A$502=DATE(2026,6,24)),ROW(Income!A$3:A$502)-2),5)),""),""))</f>
        <v/>
      </c>
      <c r="I133" s="63" t="str">
        <f aca="false">IF(IFERROR(-INDEX(Expenses!D$3:D$1002,SMALL(IF((Expenses!E$3:E$1002="INR")*(Expenses!A$3:A$1002=DATE(2026,6,25)),ROW(Expenses!A$3:A$1002)-2),5)),0)+IFERROR(INDEX(Income!C$3:C$502,SMALL(IF((Income!D$3:D$502="INR")*(Income!A$3:A$502=DATE(2026,6,25)),ROW(Income!A$3:A$502)-2),5)),0)=0,"",IFERROR(-INDEX(Expenses!D$3:D$1002,SMALL(IF((Expenses!E$3:E$1002="INR")*(Expenses!A$3:A$1002=DATE(2026,6,25)),ROW(Expenses!A$3:A$1002)-2),5)),0)+IFERROR(INDEX(Income!C$3:C$502,SMALL(IF((Income!D$3:D$502="INR")*(Income!A$3:A$502=DATE(2026,6,25)),ROW(Income!A$3:A$502)-2),5)),0))</f>
        <v/>
      </c>
      <c r="J133" s="38" t="str">
        <f aca="false">IF(IFERROR(INDEX(Expenses!B$3:B$1002,SMALL(IF((Expenses!E$3:E$1002="INR")*(Expenses!A$3:A$1002=DATE(2026,6,25)),ROW(Expenses!A$3:A$1002)-2),5)),"")&lt;&gt;"",IFERROR(INDEX(Expenses!B$3:B$1002,SMALL(IF((Expenses!E$3:E$1002="INR")*(Expenses!A$3:A$1002=DATE(2026,6,25)),ROW(Expenses!A$3:A$1002)-2),5)),""),IF(IFERROR(INDEX(Income!B$3:B$502,SMALL(IF((Income!D$3:D$502="INR")*(Income!A$3:A$502=DATE(2026,6,25)),ROW(Income!A$3:A$502)-2),5)),"")&lt;&gt;"",IFERROR(INDEX(Income!B$3:B$502,SMALL(IF((Income!D$3:D$502="INR")*(Income!A$3:A$502=DATE(2026,6,25)),ROW(Income!A$3:A$502)-2),5)),""),""))</f>
        <v/>
      </c>
      <c r="K133" s="63" t="str">
        <f aca="false">IF(IFERROR(-INDEX(Expenses!D$3:D$1002,SMALL(IF((Expenses!E$3:E$1002="INR")*(Expenses!A$3:A$1002=DATE(2026,6,26)),ROW(Expenses!A$3:A$1002)-2),5)),0)+IFERROR(INDEX(Income!C$3:C$502,SMALL(IF((Income!D$3:D$502="INR")*(Income!A$3:A$502=DATE(2026,6,26)),ROW(Income!A$3:A$502)-2),5)),0)=0,"",IFERROR(-INDEX(Expenses!D$3:D$1002,SMALL(IF((Expenses!E$3:E$1002="INR")*(Expenses!A$3:A$1002=DATE(2026,6,26)),ROW(Expenses!A$3:A$1002)-2),5)),0)+IFERROR(INDEX(Income!C$3:C$502,SMALL(IF((Income!D$3:D$502="INR")*(Income!A$3:A$502=DATE(2026,6,26)),ROW(Income!A$3:A$502)-2),5)),0))</f>
        <v/>
      </c>
      <c r="L133" s="38" t="str">
        <f aca="false">IF(IFERROR(INDEX(Expenses!B$3:B$1002,SMALL(IF((Expenses!E$3:E$1002="INR")*(Expenses!A$3:A$1002=DATE(2026,6,26)),ROW(Expenses!A$3:A$1002)-2),5)),"")&lt;&gt;"",IFERROR(INDEX(Expenses!B$3:B$1002,SMALL(IF((Expenses!E$3:E$1002="INR")*(Expenses!A$3:A$1002=DATE(2026,6,26)),ROW(Expenses!A$3:A$1002)-2),5)),""),IF(IFERROR(INDEX(Income!B$3:B$502,SMALL(IF((Income!D$3:D$502="INR")*(Income!A$3:A$502=DATE(2026,6,26)),ROW(Income!A$3:A$502)-2),5)),"")&lt;&gt;"",IFERROR(INDEX(Income!B$3:B$502,SMALL(IF((Income!D$3:D$502="INR")*(Income!A$3:A$502=DATE(2026,6,26)),ROW(Income!A$3:A$502)-2),5)),""),""))</f>
        <v/>
      </c>
      <c r="M133" s="63" t="str">
        <f aca="false">IF(IFERROR(-INDEX(Expenses!D$3:D$1002,SMALL(IF((Expenses!E$3:E$1002="INR")*(Expenses!A$3:A$1002=DATE(2026,6,27)),ROW(Expenses!A$3:A$1002)-2),5)),0)+IFERROR(INDEX(Income!C$3:C$502,SMALL(IF((Income!D$3:D$502="INR")*(Income!A$3:A$502=DATE(2026,6,27)),ROW(Income!A$3:A$502)-2),5)),0)=0,"",IFERROR(-INDEX(Expenses!D$3:D$1002,SMALL(IF((Expenses!E$3:E$1002="INR")*(Expenses!A$3:A$1002=DATE(2026,6,27)),ROW(Expenses!A$3:A$1002)-2),5)),0)+IFERROR(INDEX(Income!C$3:C$502,SMALL(IF((Income!D$3:D$502="INR")*(Income!A$3:A$502=DATE(2026,6,27)),ROW(Income!A$3:A$502)-2),5)),0))</f>
        <v/>
      </c>
      <c r="N133" s="38" t="str">
        <f aca="false">IF(IFERROR(INDEX(Expenses!B$3:B$1002,SMALL(IF((Expenses!E$3:E$1002="INR")*(Expenses!A$3:A$1002=DATE(2026,6,27)),ROW(Expenses!A$3:A$1002)-2),5)),"")&lt;&gt;"",IFERROR(INDEX(Expenses!B$3:B$1002,SMALL(IF((Expenses!E$3:E$1002="INR")*(Expenses!A$3:A$1002=DATE(2026,6,27)),ROW(Expenses!A$3:A$1002)-2),5)),""),IF(IFERROR(INDEX(Income!B$3:B$502,SMALL(IF((Income!D$3:D$502="INR")*(Income!A$3:A$502=DATE(2026,6,27)),ROW(Income!A$3:A$502)-2),5)),"")&lt;&gt;"",IFERROR(INDEX(Income!B$3:B$502,SMALL(IF((Income!D$3:D$502="INR")*(Income!A$3:A$502=DATE(2026,6,27)),ROW(Income!A$3:A$502)-2),5)),""),""))</f>
        <v/>
      </c>
      <c r="O133" s="63" t="str">
        <f aca="false">IF(IFERROR(-INDEX(Expenses!D$3:D$1002,SMALL(IF((Expenses!E$3:E$1002="INR")*(Expenses!A$3:A$1002=DATE(2026,6,28)),ROW(Expenses!A$3:A$1002)-2),5)),0)+IFERROR(INDEX(Income!C$3:C$502,SMALL(IF((Income!D$3:D$502="INR")*(Income!A$3:A$502=DATE(2026,6,28)),ROW(Income!A$3:A$502)-2),5)),0)=0,"",IFERROR(-INDEX(Expenses!D$3:D$1002,SMALL(IF((Expenses!E$3:E$1002="INR")*(Expenses!A$3:A$1002=DATE(2026,6,28)),ROW(Expenses!A$3:A$1002)-2),5)),0)+IFERROR(INDEX(Income!C$3:C$502,SMALL(IF((Income!D$3:D$502="INR")*(Income!A$3:A$502=DATE(2026,6,28)),ROW(Income!A$3:A$502)-2),5)),0))</f>
        <v/>
      </c>
      <c r="P133" s="38" t="str">
        <f aca="false">IF(IFERROR(INDEX(Expenses!B$3:B$1002,SMALL(IF((Expenses!E$3:E$1002="INR")*(Expenses!A$3:A$1002=DATE(2026,6,28)),ROW(Expenses!A$3:A$1002)-2),5)),"")&lt;&gt;"",IFERROR(INDEX(Expenses!B$3:B$1002,SMALL(IF((Expenses!E$3:E$1002="INR")*(Expenses!A$3:A$1002=DATE(2026,6,28)),ROW(Expenses!A$3:A$1002)-2),5)),""),IF(IFERROR(INDEX(Income!B$3:B$502,SMALL(IF((Income!D$3:D$502="INR")*(Income!A$3:A$502=DATE(2026,6,28)),ROW(Income!A$3:A$502)-2),5)),"")&lt;&gt;"",IFERROR(INDEX(Income!B$3:B$502,SMALL(IF((Income!D$3:D$502="INR")*(Income!A$3:A$502=DATE(2026,6,28)),ROW(Income!A$3:A$502)-2),5)),""),""))</f>
        <v/>
      </c>
      <c r="Q133" s="16"/>
      <c r="R133" s="16"/>
    </row>
    <row r="134" customFormat="false" ht="15" hidden="false" customHeight="false" outlineLevel="0" collapsed="false">
      <c r="A134" s="61" t="n">
        <v>46202</v>
      </c>
      <c r="B134" s="3" t="n">
        <v>27</v>
      </c>
      <c r="C134" s="63" t="str">
        <f aca="false">IF(IFERROR(-INDEX(Expenses!D$3:D$1002,SMALL(IF((Expenses!E$3:E$1002="INR")*(Expenses!A$3:A$1002=DATE(2026,6,29)),ROW(Expenses!A$3:A$1002)-2),1)),0)+IFERROR(INDEX(Income!C$3:C$502,SMALL(IF((Income!D$3:D$502="INR")*(Income!A$3:A$502=DATE(2026,6,29)),ROW(Income!A$3:A$502)-2),1)),0)=0,"",IFERROR(-INDEX(Expenses!D$3:D$1002,SMALL(IF((Expenses!E$3:E$1002="INR")*(Expenses!A$3:A$1002=DATE(2026,6,29)),ROW(Expenses!A$3:A$1002)-2),1)),0)+IFERROR(INDEX(Income!C$3:C$502,SMALL(IF((Income!D$3:D$502="INR")*(Income!A$3:A$502=DATE(2026,6,29)),ROW(Income!A$3:A$502)-2),1)),0))</f>
        <v/>
      </c>
      <c r="D134" s="38" t="str">
        <f aca="false">IF(IFERROR(INDEX(Expenses!B$3:B$1002,SMALL(IF((Expenses!E$3:E$1002="INR")*(Expenses!A$3:A$1002=DATE(2026,6,29)),ROW(Expenses!A$3:A$1002)-2),1)),"")&lt;&gt;"",IFERROR(INDEX(Expenses!B$3:B$1002,SMALL(IF((Expenses!E$3:E$1002="INR")*(Expenses!A$3:A$1002=DATE(2026,6,29)),ROW(Expenses!A$3:A$1002)-2),1)),""),IF(IFERROR(INDEX(Income!B$3:B$502,SMALL(IF((Income!D$3:D$502="INR")*(Income!A$3:A$502=DATE(2026,6,29)),ROW(Income!A$3:A$502)-2),1)),"")&lt;&gt;"",IFERROR(INDEX(Income!B$3:B$502,SMALL(IF((Income!D$3:D$502="INR")*(Income!A$3:A$502=DATE(2026,6,29)),ROW(Income!A$3:A$502)-2),1)),""),""))</f>
        <v/>
      </c>
      <c r="E134" s="63" t="str">
        <f aca="false">IF(IFERROR(-INDEX(Expenses!D$3:D$1002,SMALL(IF((Expenses!E$3:E$1002="INR")*(Expenses!A$3:A$1002=DATE(2026,6,30)),ROW(Expenses!A$3:A$1002)-2),1)),0)+IFERROR(INDEX(Income!C$3:C$502,SMALL(IF((Income!D$3:D$502="INR")*(Income!A$3:A$502=DATE(2026,6,30)),ROW(Income!A$3:A$502)-2),1)),0)=0,"",IFERROR(-INDEX(Expenses!D$3:D$1002,SMALL(IF((Expenses!E$3:E$1002="INR")*(Expenses!A$3:A$1002=DATE(2026,6,30)),ROW(Expenses!A$3:A$1002)-2),1)),0)+IFERROR(INDEX(Income!C$3:C$502,SMALL(IF((Income!D$3:D$502="INR")*(Income!A$3:A$502=DATE(2026,6,30)),ROW(Income!A$3:A$502)-2),1)),0))</f>
        <v/>
      </c>
      <c r="F134" s="38" t="str">
        <f aca="false">IF(IFERROR(INDEX(Expenses!B$3:B$1002,SMALL(IF((Expenses!E$3:E$1002="INR")*(Expenses!A$3:A$1002=DATE(2026,6,30)),ROW(Expenses!A$3:A$1002)-2),1)),"")&lt;&gt;"",IFERROR(INDEX(Expenses!B$3:B$1002,SMALL(IF((Expenses!E$3:E$1002="INR")*(Expenses!A$3:A$1002=DATE(2026,6,30)),ROW(Expenses!A$3:A$1002)-2),1)),""),IF(IFERROR(INDEX(Income!B$3:B$502,SMALL(IF((Income!D$3:D$502="INR")*(Income!A$3:A$502=DATE(2026,6,30)),ROW(Income!A$3:A$502)-2),1)),"")&lt;&gt;"",IFERROR(INDEX(Income!B$3:B$502,SMALL(IF((Income!D$3:D$502="INR")*(Income!A$3:A$502=DATE(2026,6,30)),ROW(Income!A$3:A$502)-2),1)),""),""))</f>
        <v/>
      </c>
      <c r="G134" s="63" t="str">
        <f aca="false">IF(IFERROR(-INDEX(Expenses!D$3:D$1002,SMALL(IF((Expenses!E$3:E$1002="INR")*(Expenses!A$3:A$1002=DATE(2026,7,1)),ROW(Expenses!A$3:A$1002)-2),1)),0)+IFERROR(INDEX(Income!C$3:C$502,SMALL(IF((Income!D$3:D$502="INR")*(Income!A$3:A$502=DATE(2026,7,1)),ROW(Income!A$3:A$502)-2),1)),0)=0,"",IFERROR(-INDEX(Expenses!D$3:D$1002,SMALL(IF((Expenses!E$3:E$1002="INR")*(Expenses!A$3:A$1002=DATE(2026,7,1)),ROW(Expenses!A$3:A$1002)-2),1)),0)+IFERROR(INDEX(Income!C$3:C$502,SMALL(IF((Income!D$3:D$502="INR")*(Income!A$3:A$502=DATE(2026,7,1)),ROW(Income!A$3:A$502)-2),1)),0))</f>
        <v/>
      </c>
      <c r="H134" s="38" t="str">
        <f aca="false">IF(IFERROR(INDEX(Expenses!B$3:B$1002,SMALL(IF((Expenses!E$3:E$1002="INR")*(Expenses!A$3:A$1002=DATE(2026,7,1)),ROW(Expenses!A$3:A$1002)-2),1)),"")&lt;&gt;"",IFERROR(INDEX(Expenses!B$3:B$1002,SMALL(IF((Expenses!E$3:E$1002="INR")*(Expenses!A$3:A$1002=DATE(2026,7,1)),ROW(Expenses!A$3:A$1002)-2),1)),""),IF(IFERROR(INDEX(Income!B$3:B$502,SMALL(IF((Income!D$3:D$502="INR")*(Income!A$3:A$502=DATE(2026,7,1)),ROW(Income!A$3:A$502)-2),1)),"")&lt;&gt;"",IFERROR(INDEX(Income!B$3:B$502,SMALL(IF((Income!D$3:D$502="INR")*(Income!A$3:A$502=DATE(2026,7,1)),ROW(Income!A$3:A$502)-2),1)),""),""))</f>
        <v/>
      </c>
      <c r="I134" s="63" t="str">
        <f aca="false">IF(IFERROR(-INDEX(Expenses!D$3:D$1002,SMALL(IF((Expenses!E$3:E$1002="INR")*(Expenses!A$3:A$1002=DATE(2026,7,2)),ROW(Expenses!A$3:A$1002)-2),1)),0)+IFERROR(INDEX(Income!C$3:C$502,SMALL(IF((Income!D$3:D$502="INR")*(Income!A$3:A$502=DATE(2026,7,2)),ROW(Income!A$3:A$502)-2),1)),0)=0,"",IFERROR(-INDEX(Expenses!D$3:D$1002,SMALL(IF((Expenses!E$3:E$1002="INR")*(Expenses!A$3:A$1002=DATE(2026,7,2)),ROW(Expenses!A$3:A$1002)-2),1)),0)+IFERROR(INDEX(Income!C$3:C$502,SMALL(IF((Income!D$3:D$502="INR")*(Income!A$3:A$502=DATE(2026,7,2)),ROW(Income!A$3:A$502)-2),1)),0))</f>
        <v/>
      </c>
      <c r="J134" s="38" t="str">
        <f aca="false">IF(IFERROR(INDEX(Expenses!B$3:B$1002,SMALL(IF((Expenses!E$3:E$1002="INR")*(Expenses!A$3:A$1002=DATE(2026,7,2)),ROW(Expenses!A$3:A$1002)-2),1)),"")&lt;&gt;"",IFERROR(INDEX(Expenses!B$3:B$1002,SMALL(IF((Expenses!E$3:E$1002="INR")*(Expenses!A$3:A$1002=DATE(2026,7,2)),ROW(Expenses!A$3:A$1002)-2),1)),""),IF(IFERROR(INDEX(Income!B$3:B$502,SMALL(IF((Income!D$3:D$502="INR")*(Income!A$3:A$502=DATE(2026,7,2)),ROW(Income!A$3:A$502)-2),1)),"")&lt;&gt;"",IFERROR(INDEX(Income!B$3:B$502,SMALL(IF((Income!D$3:D$502="INR")*(Income!A$3:A$502=DATE(2026,7,2)),ROW(Income!A$3:A$502)-2),1)),""),""))</f>
        <v/>
      </c>
      <c r="K134" s="63" t="str">
        <f aca="false">IF(IFERROR(-INDEX(Expenses!D$3:D$1002,SMALL(IF((Expenses!E$3:E$1002="INR")*(Expenses!A$3:A$1002=DATE(2026,7,3)),ROW(Expenses!A$3:A$1002)-2),1)),0)+IFERROR(INDEX(Income!C$3:C$502,SMALL(IF((Income!D$3:D$502="INR")*(Income!A$3:A$502=DATE(2026,7,3)),ROW(Income!A$3:A$502)-2),1)),0)=0,"",IFERROR(-INDEX(Expenses!D$3:D$1002,SMALL(IF((Expenses!E$3:E$1002="INR")*(Expenses!A$3:A$1002=DATE(2026,7,3)),ROW(Expenses!A$3:A$1002)-2),1)),0)+IFERROR(INDEX(Income!C$3:C$502,SMALL(IF((Income!D$3:D$502="INR")*(Income!A$3:A$502=DATE(2026,7,3)),ROW(Income!A$3:A$502)-2),1)),0))</f>
        <v/>
      </c>
      <c r="L134" s="38" t="str">
        <f aca="false">IF(IFERROR(INDEX(Expenses!B$3:B$1002,SMALL(IF((Expenses!E$3:E$1002="INR")*(Expenses!A$3:A$1002=DATE(2026,7,3)),ROW(Expenses!A$3:A$1002)-2),1)),"")&lt;&gt;"",IFERROR(INDEX(Expenses!B$3:B$1002,SMALL(IF((Expenses!E$3:E$1002="INR")*(Expenses!A$3:A$1002=DATE(2026,7,3)),ROW(Expenses!A$3:A$1002)-2),1)),""),IF(IFERROR(INDEX(Income!B$3:B$502,SMALL(IF((Income!D$3:D$502="INR")*(Income!A$3:A$502=DATE(2026,7,3)),ROW(Income!A$3:A$502)-2),1)),"")&lt;&gt;"",IFERROR(INDEX(Income!B$3:B$502,SMALL(IF((Income!D$3:D$502="INR")*(Income!A$3:A$502=DATE(2026,7,3)),ROW(Income!A$3:A$502)-2),1)),""),""))</f>
        <v/>
      </c>
      <c r="M134" s="63" t="str">
        <f aca="false">IF(IFERROR(-INDEX(Expenses!D$3:D$1002,SMALL(IF((Expenses!E$3:E$1002="INR")*(Expenses!A$3:A$1002=DATE(2026,7,4)),ROW(Expenses!A$3:A$1002)-2),1)),0)+IFERROR(INDEX(Income!C$3:C$502,SMALL(IF((Income!D$3:D$502="INR")*(Income!A$3:A$502=DATE(2026,7,4)),ROW(Income!A$3:A$502)-2),1)),0)=0,"",IFERROR(-INDEX(Expenses!D$3:D$1002,SMALL(IF((Expenses!E$3:E$1002="INR")*(Expenses!A$3:A$1002=DATE(2026,7,4)),ROW(Expenses!A$3:A$1002)-2),1)),0)+IFERROR(INDEX(Income!C$3:C$502,SMALL(IF((Income!D$3:D$502="INR")*(Income!A$3:A$502=DATE(2026,7,4)),ROW(Income!A$3:A$502)-2),1)),0))</f>
        <v/>
      </c>
      <c r="N134" s="38" t="str">
        <f aca="false">IF(IFERROR(INDEX(Expenses!B$3:B$1002,SMALL(IF((Expenses!E$3:E$1002="INR")*(Expenses!A$3:A$1002=DATE(2026,7,4)),ROW(Expenses!A$3:A$1002)-2),1)),"")&lt;&gt;"",IFERROR(INDEX(Expenses!B$3:B$1002,SMALL(IF((Expenses!E$3:E$1002="INR")*(Expenses!A$3:A$1002=DATE(2026,7,4)),ROW(Expenses!A$3:A$1002)-2),1)),""),IF(IFERROR(INDEX(Income!B$3:B$502,SMALL(IF((Income!D$3:D$502="INR")*(Income!A$3:A$502=DATE(2026,7,4)),ROW(Income!A$3:A$502)-2),1)),"")&lt;&gt;"",IFERROR(INDEX(Income!B$3:B$502,SMALL(IF((Income!D$3:D$502="INR")*(Income!A$3:A$502=DATE(2026,7,4)),ROW(Income!A$3:A$502)-2),1)),""),""))</f>
        <v/>
      </c>
      <c r="O134" s="63" t="str">
        <f aca="false">IF(IFERROR(-INDEX(Expenses!D$3:D$1002,SMALL(IF((Expenses!E$3:E$1002="INR")*(Expenses!A$3:A$1002=DATE(2026,7,5)),ROW(Expenses!A$3:A$1002)-2),1)),0)+IFERROR(INDEX(Income!C$3:C$502,SMALL(IF((Income!D$3:D$502="INR")*(Income!A$3:A$502=DATE(2026,7,5)),ROW(Income!A$3:A$502)-2),1)),0)=0,"",IFERROR(-INDEX(Expenses!D$3:D$1002,SMALL(IF((Expenses!E$3:E$1002="INR")*(Expenses!A$3:A$1002=DATE(2026,7,5)),ROW(Expenses!A$3:A$1002)-2),1)),0)+IFERROR(INDEX(Income!C$3:C$502,SMALL(IF((Income!D$3:D$502="INR")*(Income!A$3:A$502=DATE(2026,7,5)),ROW(Income!A$3:A$502)-2),1)),0))</f>
        <v/>
      </c>
      <c r="P134" s="38" t="str">
        <f aca="false">IF(IFERROR(INDEX(Expenses!B$3:B$1002,SMALL(IF((Expenses!E$3:E$1002="INR")*(Expenses!A$3:A$1002=DATE(2026,7,5)),ROW(Expenses!A$3:A$1002)-2),1)),"")&lt;&gt;"",IFERROR(INDEX(Expenses!B$3:B$1002,SMALL(IF((Expenses!E$3:E$1002="INR")*(Expenses!A$3:A$1002=DATE(2026,7,5)),ROW(Expenses!A$3:A$1002)-2),1)),""),IF(IFERROR(INDEX(Income!B$3:B$502,SMALL(IF((Income!D$3:D$502="INR")*(Income!A$3:A$502=DATE(2026,7,5)),ROW(Income!A$3:A$502)-2),1)),"")&lt;&gt;"",IFERROR(INDEX(Income!B$3:B$502,SMALL(IF((Income!D$3:D$502="INR")*(Income!A$3:A$502=DATE(2026,7,5)),ROW(Income!A$3:A$502)-2),1)),""),""))</f>
        <v/>
      </c>
      <c r="Q134" s="3" t="n">
        <v>27</v>
      </c>
      <c r="R134" s="53" t="n">
        <f aca="false">SUM(C134:C138)+SUM(E134:E138)+SUM(G134:G138)+SUM(I134:I138)+SUM(K134:K138)+SUM(M134:M138)+SUM(O134:O138)</f>
        <v>0</v>
      </c>
    </row>
    <row r="135" customFormat="false" ht="15" hidden="false" customHeight="false" outlineLevel="0" collapsed="false">
      <c r="A135" s="16"/>
      <c r="B135" s="16"/>
      <c r="C135" s="63" t="str">
        <f aca="false">IF(IFERROR(-INDEX(Expenses!D$3:D$1002,SMALL(IF((Expenses!E$3:E$1002="INR")*(Expenses!A$3:A$1002=DATE(2026,6,29)),ROW(Expenses!A$3:A$1002)-2),2)),0)+IFERROR(INDEX(Income!C$3:C$502,SMALL(IF((Income!D$3:D$502="INR")*(Income!A$3:A$502=DATE(2026,6,29)),ROW(Income!A$3:A$502)-2),2)),0)=0,"",IFERROR(-INDEX(Expenses!D$3:D$1002,SMALL(IF((Expenses!E$3:E$1002="INR")*(Expenses!A$3:A$1002=DATE(2026,6,29)),ROW(Expenses!A$3:A$1002)-2),2)),0)+IFERROR(INDEX(Income!C$3:C$502,SMALL(IF((Income!D$3:D$502="INR")*(Income!A$3:A$502=DATE(2026,6,29)),ROW(Income!A$3:A$502)-2),2)),0))</f>
        <v/>
      </c>
      <c r="D135" s="38" t="str">
        <f aca="false">IF(IFERROR(INDEX(Expenses!B$3:B$1002,SMALL(IF((Expenses!E$3:E$1002="INR")*(Expenses!A$3:A$1002=DATE(2026,6,29)),ROW(Expenses!A$3:A$1002)-2),2)),"")&lt;&gt;"",IFERROR(INDEX(Expenses!B$3:B$1002,SMALL(IF((Expenses!E$3:E$1002="INR")*(Expenses!A$3:A$1002=DATE(2026,6,29)),ROW(Expenses!A$3:A$1002)-2),2)),""),IF(IFERROR(INDEX(Income!B$3:B$502,SMALL(IF((Income!D$3:D$502="INR")*(Income!A$3:A$502=DATE(2026,6,29)),ROW(Income!A$3:A$502)-2),2)),"")&lt;&gt;"",IFERROR(INDEX(Income!B$3:B$502,SMALL(IF((Income!D$3:D$502="INR")*(Income!A$3:A$502=DATE(2026,6,29)),ROW(Income!A$3:A$502)-2),2)),""),""))</f>
        <v/>
      </c>
      <c r="E135" s="63" t="str">
        <f aca="false">IF(IFERROR(-INDEX(Expenses!D$3:D$1002,SMALL(IF((Expenses!E$3:E$1002="INR")*(Expenses!A$3:A$1002=DATE(2026,6,30)),ROW(Expenses!A$3:A$1002)-2),2)),0)+IFERROR(INDEX(Income!C$3:C$502,SMALL(IF((Income!D$3:D$502="INR")*(Income!A$3:A$502=DATE(2026,6,30)),ROW(Income!A$3:A$502)-2),2)),0)=0,"",IFERROR(-INDEX(Expenses!D$3:D$1002,SMALL(IF((Expenses!E$3:E$1002="INR")*(Expenses!A$3:A$1002=DATE(2026,6,30)),ROW(Expenses!A$3:A$1002)-2),2)),0)+IFERROR(INDEX(Income!C$3:C$502,SMALL(IF((Income!D$3:D$502="INR")*(Income!A$3:A$502=DATE(2026,6,30)),ROW(Income!A$3:A$502)-2),2)),0))</f>
        <v/>
      </c>
      <c r="F135" s="38" t="str">
        <f aca="false">IF(IFERROR(INDEX(Expenses!B$3:B$1002,SMALL(IF((Expenses!E$3:E$1002="INR")*(Expenses!A$3:A$1002=DATE(2026,6,30)),ROW(Expenses!A$3:A$1002)-2),2)),"")&lt;&gt;"",IFERROR(INDEX(Expenses!B$3:B$1002,SMALL(IF((Expenses!E$3:E$1002="INR")*(Expenses!A$3:A$1002=DATE(2026,6,30)),ROW(Expenses!A$3:A$1002)-2),2)),""),IF(IFERROR(INDEX(Income!B$3:B$502,SMALL(IF((Income!D$3:D$502="INR")*(Income!A$3:A$502=DATE(2026,6,30)),ROW(Income!A$3:A$502)-2),2)),"")&lt;&gt;"",IFERROR(INDEX(Income!B$3:B$502,SMALL(IF((Income!D$3:D$502="INR")*(Income!A$3:A$502=DATE(2026,6,30)),ROW(Income!A$3:A$502)-2),2)),""),""))</f>
        <v/>
      </c>
      <c r="G135" s="63" t="str">
        <f aca="false">IF(IFERROR(-INDEX(Expenses!D$3:D$1002,SMALL(IF((Expenses!E$3:E$1002="INR")*(Expenses!A$3:A$1002=DATE(2026,7,1)),ROW(Expenses!A$3:A$1002)-2),2)),0)+IFERROR(INDEX(Income!C$3:C$502,SMALL(IF((Income!D$3:D$502="INR")*(Income!A$3:A$502=DATE(2026,7,1)),ROW(Income!A$3:A$502)-2),2)),0)=0,"",IFERROR(-INDEX(Expenses!D$3:D$1002,SMALL(IF((Expenses!E$3:E$1002="INR")*(Expenses!A$3:A$1002=DATE(2026,7,1)),ROW(Expenses!A$3:A$1002)-2),2)),0)+IFERROR(INDEX(Income!C$3:C$502,SMALL(IF((Income!D$3:D$502="INR")*(Income!A$3:A$502=DATE(2026,7,1)),ROW(Income!A$3:A$502)-2),2)),0))</f>
        <v/>
      </c>
      <c r="H135" s="38" t="str">
        <f aca="false">IF(IFERROR(INDEX(Expenses!B$3:B$1002,SMALL(IF((Expenses!E$3:E$1002="INR")*(Expenses!A$3:A$1002=DATE(2026,7,1)),ROW(Expenses!A$3:A$1002)-2),2)),"")&lt;&gt;"",IFERROR(INDEX(Expenses!B$3:B$1002,SMALL(IF((Expenses!E$3:E$1002="INR")*(Expenses!A$3:A$1002=DATE(2026,7,1)),ROW(Expenses!A$3:A$1002)-2),2)),""),IF(IFERROR(INDEX(Income!B$3:B$502,SMALL(IF((Income!D$3:D$502="INR")*(Income!A$3:A$502=DATE(2026,7,1)),ROW(Income!A$3:A$502)-2),2)),"")&lt;&gt;"",IFERROR(INDEX(Income!B$3:B$502,SMALL(IF((Income!D$3:D$502="INR")*(Income!A$3:A$502=DATE(2026,7,1)),ROW(Income!A$3:A$502)-2),2)),""),""))</f>
        <v/>
      </c>
      <c r="I135" s="63" t="str">
        <f aca="false">IF(IFERROR(-INDEX(Expenses!D$3:D$1002,SMALL(IF((Expenses!E$3:E$1002="INR")*(Expenses!A$3:A$1002=DATE(2026,7,2)),ROW(Expenses!A$3:A$1002)-2),2)),0)+IFERROR(INDEX(Income!C$3:C$502,SMALL(IF((Income!D$3:D$502="INR")*(Income!A$3:A$502=DATE(2026,7,2)),ROW(Income!A$3:A$502)-2),2)),0)=0,"",IFERROR(-INDEX(Expenses!D$3:D$1002,SMALL(IF((Expenses!E$3:E$1002="INR")*(Expenses!A$3:A$1002=DATE(2026,7,2)),ROW(Expenses!A$3:A$1002)-2),2)),0)+IFERROR(INDEX(Income!C$3:C$502,SMALL(IF((Income!D$3:D$502="INR")*(Income!A$3:A$502=DATE(2026,7,2)),ROW(Income!A$3:A$502)-2),2)),0))</f>
        <v/>
      </c>
      <c r="J135" s="38" t="str">
        <f aca="false">IF(IFERROR(INDEX(Expenses!B$3:B$1002,SMALL(IF((Expenses!E$3:E$1002="INR")*(Expenses!A$3:A$1002=DATE(2026,7,2)),ROW(Expenses!A$3:A$1002)-2),2)),"")&lt;&gt;"",IFERROR(INDEX(Expenses!B$3:B$1002,SMALL(IF((Expenses!E$3:E$1002="INR")*(Expenses!A$3:A$1002=DATE(2026,7,2)),ROW(Expenses!A$3:A$1002)-2),2)),""),IF(IFERROR(INDEX(Income!B$3:B$502,SMALL(IF((Income!D$3:D$502="INR")*(Income!A$3:A$502=DATE(2026,7,2)),ROW(Income!A$3:A$502)-2),2)),"")&lt;&gt;"",IFERROR(INDEX(Income!B$3:B$502,SMALL(IF((Income!D$3:D$502="INR")*(Income!A$3:A$502=DATE(2026,7,2)),ROW(Income!A$3:A$502)-2),2)),""),""))</f>
        <v/>
      </c>
      <c r="K135" s="63" t="str">
        <f aca="false">IF(IFERROR(-INDEX(Expenses!D$3:D$1002,SMALL(IF((Expenses!E$3:E$1002="INR")*(Expenses!A$3:A$1002=DATE(2026,7,3)),ROW(Expenses!A$3:A$1002)-2),2)),0)+IFERROR(INDEX(Income!C$3:C$502,SMALL(IF((Income!D$3:D$502="INR")*(Income!A$3:A$502=DATE(2026,7,3)),ROW(Income!A$3:A$502)-2),2)),0)=0,"",IFERROR(-INDEX(Expenses!D$3:D$1002,SMALL(IF((Expenses!E$3:E$1002="INR")*(Expenses!A$3:A$1002=DATE(2026,7,3)),ROW(Expenses!A$3:A$1002)-2),2)),0)+IFERROR(INDEX(Income!C$3:C$502,SMALL(IF((Income!D$3:D$502="INR")*(Income!A$3:A$502=DATE(2026,7,3)),ROW(Income!A$3:A$502)-2),2)),0))</f>
        <v/>
      </c>
      <c r="L135" s="38" t="str">
        <f aca="false">IF(IFERROR(INDEX(Expenses!B$3:B$1002,SMALL(IF((Expenses!E$3:E$1002="INR")*(Expenses!A$3:A$1002=DATE(2026,7,3)),ROW(Expenses!A$3:A$1002)-2),2)),"")&lt;&gt;"",IFERROR(INDEX(Expenses!B$3:B$1002,SMALL(IF((Expenses!E$3:E$1002="INR")*(Expenses!A$3:A$1002=DATE(2026,7,3)),ROW(Expenses!A$3:A$1002)-2),2)),""),IF(IFERROR(INDEX(Income!B$3:B$502,SMALL(IF((Income!D$3:D$502="INR")*(Income!A$3:A$502=DATE(2026,7,3)),ROW(Income!A$3:A$502)-2),2)),"")&lt;&gt;"",IFERROR(INDEX(Income!B$3:B$502,SMALL(IF((Income!D$3:D$502="INR")*(Income!A$3:A$502=DATE(2026,7,3)),ROW(Income!A$3:A$502)-2),2)),""),""))</f>
        <v/>
      </c>
      <c r="M135" s="63" t="str">
        <f aca="false">IF(IFERROR(-INDEX(Expenses!D$3:D$1002,SMALL(IF((Expenses!E$3:E$1002="INR")*(Expenses!A$3:A$1002=DATE(2026,7,4)),ROW(Expenses!A$3:A$1002)-2),2)),0)+IFERROR(INDEX(Income!C$3:C$502,SMALL(IF((Income!D$3:D$502="INR")*(Income!A$3:A$502=DATE(2026,7,4)),ROW(Income!A$3:A$502)-2),2)),0)=0,"",IFERROR(-INDEX(Expenses!D$3:D$1002,SMALL(IF((Expenses!E$3:E$1002="INR")*(Expenses!A$3:A$1002=DATE(2026,7,4)),ROW(Expenses!A$3:A$1002)-2),2)),0)+IFERROR(INDEX(Income!C$3:C$502,SMALL(IF((Income!D$3:D$502="INR")*(Income!A$3:A$502=DATE(2026,7,4)),ROW(Income!A$3:A$502)-2),2)),0))</f>
        <v/>
      </c>
      <c r="N135" s="38" t="str">
        <f aca="false">IF(IFERROR(INDEX(Expenses!B$3:B$1002,SMALL(IF((Expenses!E$3:E$1002="INR")*(Expenses!A$3:A$1002=DATE(2026,7,4)),ROW(Expenses!A$3:A$1002)-2),2)),"")&lt;&gt;"",IFERROR(INDEX(Expenses!B$3:B$1002,SMALL(IF((Expenses!E$3:E$1002="INR")*(Expenses!A$3:A$1002=DATE(2026,7,4)),ROW(Expenses!A$3:A$1002)-2),2)),""),IF(IFERROR(INDEX(Income!B$3:B$502,SMALL(IF((Income!D$3:D$502="INR")*(Income!A$3:A$502=DATE(2026,7,4)),ROW(Income!A$3:A$502)-2),2)),"")&lt;&gt;"",IFERROR(INDEX(Income!B$3:B$502,SMALL(IF((Income!D$3:D$502="INR")*(Income!A$3:A$502=DATE(2026,7,4)),ROW(Income!A$3:A$502)-2),2)),""),""))</f>
        <v/>
      </c>
      <c r="O135" s="63" t="str">
        <f aca="false">IF(IFERROR(-INDEX(Expenses!D$3:D$1002,SMALL(IF((Expenses!E$3:E$1002="INR")*(Expenses!A$3:A$1002=DATE(2026,7,5)),ROW(Expenses!A$3:A$1002)-2),2)),0)+IFERROR(INDEX(Income!C$3:C$502,SMALL(IF((Income!D$3:D$502="INR")*(Income!A$3:A$502=DATE(2026,7,5)),ROW(Income!A$3:A$502)-2),2)),0)=0,"",IFERROR(-INDEX(Expenses!D$3:D$1002,SMALL(IF((Expenses!E$3:E$1002="INR")*(Expenses!A$3:A$1002=DATE(2026,7,5)),ROW(Expenses!A$3:A$1002)-2),2)),0)+IFERROR(INDEX(Income!C$3:C$502,SMALL(IF((Income!D$3:D$502="INR")*(Income!A$3:A$502=DATE(2026,7,5)),ROW(Income!A$3:A$502)-2),2)),0))</f>
        <v/>
      </c>
      <c r="P135" s="38" t="str">
        <f aca="false">IF(IFERROR(INDEX(Expenses!B$3:B$1002,SMALL(IF((Expenses!E$3:E$1002="INR")*(Expenses!A$3:A$1002=DATE(2026,7,5)),ROW(Expenses!A$3:A$1002)-2),2)),"")&lt;&gt;"",IFERROR(INDEX(Expenses!B$3:B$1002,SMALL(IF((Expenses!E$3:E$1002="INR")*(Expenses!A$3:A$1002=DATE(2026,7,5)),ROW(Expenses!A$3:A$1002)-2),2)),""),IF(IFERROR(INDEX(Income!B$3:B$502,SMALL(IF((Income!D$3:D$502="INR")*(Income!A$3:A$502=DATE(2026,7,5)),ROW(Income!A$3:A$502)-2),2)),"")&lt;&gt;"",IFERROR(INDEX(Income!B$3:B$502,SMALL(IF((Income!D$3:D$502="INR")*(Income!A$3:A$502=DATE(2026,7,5)),ROW(Income!A$3:A$502)-2),2)),""),""))</f>
        <v/>
      </c>
      <c r="Q135" s="16"/>
      <c r="R135" s="16"/>
    </row>
    <row r="136" customFormat="false" ht="15" hidden="false" customHeight="false" outlineLevel="0" collapsed="false">
      <c r="A136" s="16"/>
      <c r="B136" s="16"/>
      <c r="C136" s="63" t="str">
        <f aca="false">IF(IFERROR(-INDEX(Expenses!D$3:D$1002,SMALL(IF((Expenses!E$3:E$1002="INR")*(Expenses!A$3:A$1002=DATE(2026,6,29)),ROW(Expenses!A$3:A$1002)-2),3)),0)+IFERROR(INDEX(Income!C$3:C$502,SMALL(IF((Income!D$3:D$502="INR")*(Income!A$3:A$502=DATE(2026,6,29)),ROW(Income!A$3:A$502)-2),3)),0)=0,"",IFERROR(-INDEX(Expenses!D$3:D$1002,SMALL(IF((Expenses!E$3:E$1002="INR")*(Expenses!A$3:A$1002=DATE(2026,6,29)),ROW(Expenses!A$3:A$1002)-2),3)),0)+IFERROR(INDEX(Income!C$3:C$502,SMALL(IF((Income!D$3:D$502="INR")*(Income!A$3:A$502=DATE(2026,6,29)),ROW(Income!A$3:A$502)-2),3)),0))</f>
        <v/>
      </c>
      <c r="D136" s="38" t="str">
        <f aca="false">IF(IFERROR(INDEX(Expenses!B$3:B$1002,SMALL(IF((Expenses!E$3:E$1002="INR")*(Expenses!A$3:A$1002=DATE(2026,6,29)),ROW(Expenses!A$3:A$1002)-2),3)),"")&lt;&gt;"",IFERROR(INDEX(Expenses!B$3:B$1002,SMALL(IF((Expenses!E$3:E$1002="INR")*(Expenses!A$3:A$1002=DATE(2026,6,29)),ROW(Expenses!A$3:A$1002)-2),3)),""),IF(IFERROR(INDEX(Income!B$3:B$502,SMALL(IF((Income!D$3:D$502="INR")*(Income!A$3:A$502=DATE(2026,6,29)),ROW(Income!A$3:A$502)-2),3)),"")&lt;&gt;"",IFERROR(INDEX(Income!B$3:B$502,SMALL(IF((Income!D$3:D$502="INR")*(Income!A$3:A$502=DATE(2026,6,29)),ROW(Income!A$3:A$502)-2),3)),""),""))</f>
        <v/>
      </c>
      <c r="E136" s="63" t="str">
        <f aca="false">IF(IFERROR(-INDEX(Expenses!D$3:D$1002,SMALL(IF((Expenses!E$3:E$1002="INR")*(Expenses!A$3:A$1002=DATE(2026,6,30)),ROW(Expenses!A$3:A$1002)-2),3)),0)+IFERROR(INDEX(Income!C$3:C$502,SMALL(IF((Income!D$3:D$502="INR")*(Income!A$3:A$502=DATE(2026,6,30)),ROW(Income!A$3:A$502)-2),3)),0)=0,"",IFERROR(-INDEX(Expenses!D$3:D$1002,SMALL(IF((Expenses!E$3:E$1002="INR")*(Expenses!A$3:A$1002=DATE(2026,6,30)),ROW(Expenses!A$3:A$1002)-2),3)),0)+IFERROR(INDEX(Income!C$3:C$502,SMALL(IF((Income!D$3:D$502="INR")*(Income!A$3:A$502=DATE(2026,6,30)),ROW(Income!A$3:A$502)-2),3)),0))</f>
        <v/>
      </c>
      <c r="F136" s="38" t="str">
        <f aca="false">IF(IFERROR(INDEX(Expenses!B$3:B$1002,SMALL(IF((Expenses!E$3:E$1002="INR")*(Expenses!A$3:A$1002=DATE(2026,6,30)),ROW(Expenses!A$3:A$1002)-2),3)),"")&lt;&gt;"",IFERROR(INDEX(Expenses!B$3:B$1002,SMALL(IF((Expenses!E$3:E$1002="INR")*(Expenses!A$3:A$1002=DATE(2026,6,30)),ROW(Expenses!A$3:A$1002)-2),3)),""),IF(IFERROR(INDEX(Income!B$3:B$502,SMALL(IF((Income!D$3:D$502="INR")*(Income!A$3:A$502=DATE(2026,6,30)),ROW(Income!A$3:A$502)-2),3)),"")&lt;&gt;"",IFERROR(INDEX(Income!B$3:B$502,SMALL(IF((Income!D$3:D$502="INR")*(Income!A$3:A$502=DATE(2026,6,30)),ROW(Income!A$3:A$502)-2),3)),""),""))</f>
        <v/>
      </c>
      <c r="G136" s="63" t="str">
        <f aca="false">IF(IFERROR(-INDEX(Expenses!D$3:D$1002,SMALL(IF((Expenses!E$3:E$1002="INR")*(Expenses!A$3:A$1002=DATE(2026,7,1)),ROW(Expenses!A$3:A$1002)-2),3)),0)+IFERROR(INDEX(Income!C$3:C$502,SMALL(IF((Income!D$3:D$502="INR")*(Income!A$3:A$502=DATE(2026,7,1)),ROW(Income!A$3:A$502)-2),3)),0)=0,"",IFERROR(-INDEX(Expenses!D$3:D$1002,SMALL(IF((Expenses!E$3:E$1002="INR")*(Expenses!A$3:A$1002=DATE(2026,7,1)),ROW(Expenses!A$3:A$1002)-2),3)),0)+IFERROR(INDEX(Income!C$3:C$502,SMALL(IF((Income!D$3:D$502="INR")*(Income!A$3:A$502=DATE(2026,7,1)),ROW(Income!A$3:A$502)-2),3)),0))</f>
        <v/>
      </c>
      <c r="H136" s="38" t="str">
        <f aca="false">IF(IFERROR(INDEX(Expenses!B$3:B$1002,SMALL(IF((Expenses!E$3:E$1002="INR")*(Expenses!A$3:A$1002=DATE(2026,7,1)),ROW(Expenses!A$3:A$1002)-2),3)),"")&lt;&gt;"",IFERROR(INDEX(Expenses!B$3:B$1002,SMALL(IF((Expenses!E$3:E$1002="INR")*(Expenses!A$3:A$1002=DATE(2026,7,1)),ROW(Expenses!A$3:A$1002)-2),3)),""),IF(IFERROR(INDEX(Income!B$3:B$502,SMALL(IF((Income!D$3:D$502="INR")*(Income!A$3:A$502=DATE(2026,7,1)),ROW(Income!A$3:A$502)-2),3)),"")&lt;&gt;"",IFERROR(INDEX(Income!B$3:B$502,SMALL(IF((Income!D$3:D$502="INR")*(Income!A$3:A$502=DATE(2026,7,1)),ROW(Income!A$3:A$502)-2),3)),""),""))</f>
        <v/>
      </c>
      <c r="I136" s="63" t="str">
        <f aca="false">IF(IFERROR(-INDEX(Expenses!D$3:D$1002,SMALL(IF((Expenses!E$3:E$1002="INR")*(Expenses!A$3:A$1002=DATE(2026,7,2)),ROW(Expenses!A$3:A$1002)-2),3)),0)+IFERROR(INDEX(Income!C$3:C$502,SMALL(IF((Income!D$3:D$502="INR")*(Income!A$3:A$502=DATE(2026,7,2)),ROW(Income!A$3:A$502)-2),3)),0)=0,"",IFERROR(-INDEX(Expenses!D$3:D$1002,SMALL(IF((Expenses!E$3:E$1002="INR")*(Expenses!A$3:A$1002=DATE(2026,7,2)),ROW(Expenses!A$3:A$1002)-2),3)),0)+IFERROR(INDEX(Income!C$3:C$502,SMALL(IF((Income!D$3:D$502="INR")*(Income!A$3:A$502=DATE(2026,7,2)),ROW(Income!A$3:A$502)-2),3)),0))</f>
        <v/>
      </c>
      <c r="J136" s="38" t="str">
        <f aca="false">IF(IFERROR(INDEX(Expenses!B$3:B$1002,SMALL(IF((Expenses!E$3:E$1002="INR")*(Expenses!A$3:A$1002=DATE(2026,7,2)),ROW(Expenses!A$3:A$1002)-2),3)),"")&lt;&gt;"",IFERROR(INDEX(Expenses!B$3:B$1002,SMALL(IF((Expenses!E$3:E$1002="INR")*(Expenses!A$3:A$1002=DATE(2026,7,2)),ROW(Expenses!A$3:A$1002)-2),3)),""),IF(IFERROR(INDEX(Income!B$3:B$502,SMALL(IF((Income!D$3:D$502="INR")*(Income!A$3:A$502=DATE(2026,7,2)),ROW(Income!A$3:A$502)-2),3)),"")&lt;&gt;"",IFERROR(INDEX(Income!B$3:B$502,SMALL(IF((Income!D$3:D$502="INR")*(Income!A$3:A$502=DATE(2026,7,2)),ROW(Income!A$3:A$502)-2),3)),""),""))</f>
        <v/>
      </c>
      <c r="K136" s="63" t="str">
        <f aca="false">IF(IFERROR(-INDEX(Expenses!D$3:D$1002,SMALL(IF((Expenses!E$3:E$1002="INR")*(Expenses!A$3:A$1002=DATE(2026,7,3)),ROW(Expenses!A$3:A$1002)-2),3)),0)+IFERROR(INDEX(Income!C$3:C$502,SMALL(IF((Income!D$3:D$502="INR")*(Income!A$3:A$502=DATE(2026,7,3)),ROW(Income!A$3:A$502)-2),3)),0)=0,"",IFERROR(-INDEX(Expenses!D$3:D$1002,SMALL(IF((Expenses!E$3:E$1002="INR")*(Expenses!A$3:A$1002=DATE(2026,7,3)),ROW(Expenses!A$3:A$1002)-2),3)),0)+IFERROR(INDEX(Income!C$3:C$502,SMALL(IF((Income!D$3:D$502="INR")*(Income!A$3:A$502=DATE(2026,7,3)),ROW(Income!A$3:A$502)-2),3)),0))</f>
        <v/>
      </c>
      <c r="L136" s="38" t="str">
        <f aca="false">IF(IFERROR(INDEX(Expenses!B$3:B$1002,SMALL(IF((Expenses!E$3:E$1002="INR")*(Expenses!A$3:A$1002=DATE(2026,7,3)),ROW(Expenses!A$3:A$1002)-2),3)),"")&lt;&gt;"",IFERROR(INDEX(Expenses!B$3:B$1002,SMALL(IF((Expenses!E$3:E$1002="INR")*(Expenses!A$3:A$1002=DATE(2026,7,3)),ROW(Expenses!A$3:A$1002)-2),3)),""),IF(IFERROR(INDEX(Income!B$3:B$502,SMALL(IF((Income!D$3:D$502="INR")*(Income!A$3:A$502=DATE(2026,7,3)),ROW(Income!A$3:A$502)-2),3)),"")&lt;&gt;"",IFERROR(INDEX(Income!B$3:B$502,SMALL(IF((Income!D$3:D$502="INR")*(Income!A$3:A$502=DATE(2026,7,3)),ROW(Income!A$3:A$502)-2),3)),""),""))</f>
        <v/>
      </c>
      <c r="M136" s="63" t="str">
        <f aca="false">IF(IFERROR(-INDEX(Expenses!D$3:D$1002,SMALL(IF((Expenses!E$3:E$1002="INR")*(Expenses!A$3:A$1002=DATE(2026,7,4)),ROW(Expenses!A$3:A$1002)-2),3)),0)+IFERROR(INDEX(Income!C$3:C$502,SMALL(IF((Income!D$3:D$502="INR")*(Income!A$3:A$502=DATE(2026,7,4)),ROW(Income!A$3:A$502)-2),3)),0)=0,"",IFERROR(-INDEX(Expenses!D$3:D$1002,SMALL(IF((Expenses!E$3:E$1002="INR")*(Expenses!A$3:A$1002=DATE(2026,7,4)),ROW(Expenses!A$3:A$1002)-2),3)),0)+IFERROR(INDEX(Income!C$3:C$502,SMALL(IF((Income!D$3:D$502="INR")*(Income!A$3:A$502=DATE(2026,7,4)),ROW(Income!A$3:A$502)-2),3)),0))</f>
        <v/>
      </c>
      <c r="N136" s="38" t="str">
        <f aca="false">IF(IFERROR(INDEX(Expenses!B$3:B$1002,SMALL(IF((Expenses!E$3:E$1002="INR")*(Expenses!A$3:A$1002=DATE(2026,7,4)),ROW(Expenses!A$3:A$1002)-2),3)),"")&lt;&gt;"",IFERROR(INDEX(Expenses!B$3:B$1002,SMALL(IF((Expenses!E$3:E$1002="INR")*(Expenses!A$3:A$1002=DATE(2026,7,4)),ROW(Expenses!A$3:A$1002)-2),3)),""),IF(IFERROR(INDEX(Income!B$3:B$502,SMALL(IF((Income!D$3:D$502="INR")*(Income!A$3:A$502=DATE(2026,7,4)),ROW(Income!A$3:A$502)-2),3)),"")&lt;&gt;"",IFERROR(INDEX(Income!B$3:B$502,SMALL(IF((Income!D$3:D$502="INR")*(Income!A$3:A$502=DATE(2026,7,4)),ROW(Income!A$3:A$502)-2),3)),""),""))</f>
        <v/>
      </c>
      <c r="O136" s="63" t="str">
        <f aca="false">IF(IFERROR(-INDEX(Expenses!D$3:D$1002,SMALL(IF((Expenses!E$3:E$1002="INR")*(Expenses!A$3:A$1002=DATE(2026,7,5)),ROW(Expenses!A$3:A$1002)-2),3)),0)+IFERROR(INDEX(Income!C$3:C$502,SMALL(IF((Income!D$3:D$502="INR")*(Income!A$3:A$502=DATE(2026,7,5)),ROW(Income!A$3:A$502)-2),3)),0)=0,"",IFERROR(-INDEX(Expenses!D$3:D$1002,SMALL(IF((Expenses!E$3:E$1002="INR")*(Expenses!A$3:A$1002=DATE(2026,7,5)),ROW(Expenses!A$3:A$1002)-2),3)),0)+IFERROR(INDEX(Income!C$3:C$502,SMALL(IF((Income!D$3:D$502="INR")*(Income!A$3:A$502=DATE(2026,7,5)),ROW(Income!A$3:A$502)-2),3)),0))</f>
        <v/>
      </c>
      <c r="P136" s="38" t="str">
        <f aca="false">IF(IFERROR(INDEX(Expenses!B$3:B$1002,SMALL(IF((Expenses!E$3:E$1002="INR")*(Expenses!A$3:A$1002=DATE(2026,7,5)),ROW(Expenses!A$3:A$1002)-2),3)),"")&lt;&gt;"",IFERROR(INDEX(Expenses!B$3:B$1002,SMALL(IF((Expenses!E$3:E$1002="INR")*(Expenses!A$3:A$1002=DATE(2026,7,5)),ROW(Expenses!A$3:A$1002)-2),3)),""),IF(IFERROR(INDEX(Income!B$3:B$502,SMALL(IF((Income!D$3:D$502="INR")*(Income!A$3:A$502=DATE(2026,7,5)),ROW(Income!A$3:A$502)-2),3)),"")&lt;&gt;"",IFERROR(INDEX(Income!B$3:B$502,SMALL(IF((Income!D$3:D$502="INR")*(Income!A$3:A$502=DATE(2026,7,5)),ROW(Income!A$3:A$502)-2),3)),""),""))</f>
        <v/>
      </c>
      <c r="Q136" s="16"/>
      <c r="R136" s="16"/>
    </row>
    <row r="137" customFormat="false" ht="15" hidden="false" customHeight="false" outlineLevel="0" collapsed="false">
      <c r="A137" s="16"/>
      <c r="B137" s="16"/>
      <c r="C137" s="63" t="str">
        <f aca="false">IF(IFERROR(-INDEX(Expenses!D$3:D$1002,SMALL(IF((Expenses!E$3:E$1002="INR")*(Expenses!A$3:A$1002=DATE(2026,6,29)),ROW(Expenses!A$3:A$1002)-2),4)),0)+IFERROR(INDEX(Income!C$3:C$502,SMALL(IF((Income!D$3:D$502="INR")*(Income!A$3:A$502=DATE(2026,6,29)),ROW(Income!A$3:A$502)-2),4)),0)=0,"",IFERROR(-INDEX(Expenses!D$3:D$1002,SMALL(IF((Expenses!E$3:E$1002="INR")*(Expenses!A$3:A$1002=DATE(2026,6,29)),ROW(Expenses!A$3:A$1002)-2),4)),0)+IFERROR(INDEX(Income!C$3:C$502,SMALL(IF((Income!D$3:D$502="INR")*(Income!A$3:A$502=DATE(2026,6,29)),ROW(Income!A$3:A$502)-2),4)),0))</f>
        <v/>
      </c>
      <c r="D137" s="38" t="str">
        <f aca="false">IF(IFERROR(INDEX(Expenses!B$3:B$1002,SMALL(IF((Expenses!E$3:E$1002="INR")*(Expenses!A$3:A$1002=DATE(2026,6,29)),ROW(Expenses!A$3:A$1002)-2),4)),"")&lt;&gt;"",IFERROR(INDEX(Expenses!B$3:B$1002,SMALL(IF((Expenses!E$3:E$1002="INR")*(Expenses!A$3:A$1002=DATE(2026,6,29)),ROW(Expenses!A$3:A$1002)-2),4)),""),IF(IFERROR(INDEX(Income!B$3:B$502,SMALL(IF((Income!D$3:D$502="INR")*(Income!A$3:A$502=DATE(2026,6,29)),ROW(Income!A$3:A$502)-2),4)),"")&lt;&gt;"",IFERROR(INDEX(Income!B$3:B$502,SMALL(IF((Income!D$3:D$502="INR")*(Income!A$3:A$502=DATE(2026,6,29)),ROW(Income!A$3:A$502)-2),4)),""),""))</f>
        <v/>
      </c>
      <c r="E137" s="63" t="str">
        <f aca="false">IF(IFERROR(-INDEX(Expenses!D$3:D$1002,SMALL(IF((Expenses!E$3:E$1002="INR")*(Expenses!A$3:A$1002=DATE(2026,6,30)),ROW(Expenses!A$3:A$1002)-2),4)),0)+IFERROR(INDEX(Income!C$3:C$502,SMALL(IF((Income!D$3:D$502="INR")*(Income!A$3:A$502=DATE(2026,6,30)),ROW(Income!A$3:A$502)-2),4)),0)=0,"",IFERROR(-INDEX(Expenses!D$3:D$1002,SMALL(IF((Expenses!E$3:E$1002="INR")*(Expenses!A$3:A$1002=DATE(2026,6,30)),ROW(Expenses!A$3:A$1002)-2),4)),0)+IFERROR(INDEX(Income!C$3:C$502,SMALL(IF((Income!D$3:D$502="INR")*(Income!A$3:A$502=DATE(2026,6,30)),ROW(Income!A$3:A$502)-2),4)),0))</f>
        <v/>
      </c>
      <c r="F137" s="38" t="str">
        <f aca="false">IF(IFERROR(INDEX(Expenses!B$3:B$1002,SMALL(IF((Expenses!E$3:E$1002="INR")*(Expenses!A$3:A$1002=DATE(2026,6,30)),ROW(Expenses!A$3:A$1002)-2),4)),"")&lt;&gt;"",IFERROR(INDEX(Expenses!B$3:B$1002,SMALL(IF((Expenses!E$3:E$1002="INR")*(Expenses!A$3:A$1002=DATE(2026,6,30)),ROW(Expenses!A$3:A$1002)-2),4)),""),IF(IFERROR(INDEX(Income!B$3:B$502,SMALL(IF((Income!D$3:D$502="INR")*(Income!A$3:A$502=DATE(2026,6,30)),ROW(Income!A$3:A$502)-2),4)),"")&lt;&gt;"",IFERROR(INDEX(Income!B$3:B$502,SMALL(IF((Income!D$3:D$502="INR")*(Income!A$3:A$502=DATE(2026,6,30)),ROW(Income!A$3:A$502)-2),4)),""),""))</f>
        <v/>
      </c>
      <c r="G137" s="63" t="str">
        <f aca="false">IF(IFERROR(-INDEX(Expenses!D$3:D$1002,SMALL(IF((Expenses!E$3:E$1002="INR")*(Expenses!A$3:A$1002=DATE(2026,7,1)),ROW(Expenses!A$3:A$1002)-2),4)),0)+IFERROR(INDEX(Income!C$3:C$502,SMALL(IF((Income!D$3:D$502="INR")*(Income!A$3:A$502=DATE(2026,7,1)),ROW(Income!A$3:A$502)-2),4)),0)=0,"",IFERROR(-INDEX(Expenses!D$3:D$1002,SMALL(IF((Expenses!E$3:E$1002="INR")*(Expenses!A$3:A$1002=DATE(2026,7,1)),ROW(Expenses!A$3:A$1002)-2),4)),0)+IFERROR(INDEX(Income!C$3:C$502,SMALL(IF((Income!D$3:D$502="INR")*(Income!A$3:A$502=DATE(2026,7,1)),ROW(Income!A$3:A$502)-2),4)),0))</f>
        <v/>
      </c>
      <c r="H137" s="38" t="str">
        <f aca="false">IF(IFERROR(INDEX(Expenses!B$3:B$1002,SMALL(IF((Expenses!E$3:E$1002="INR")*(Expenses!A$3:A$1002=DATE(2026,7,1)),ROW(Expenses!A$3:A$1002)-2),4)),"")&lt;&gt;"",IFERROR(INDEX(Expenses!B$3:B$1002,SMALL(IF((Expenses!E$3:E$1002="INR")*(Expenses!A$3:A$1002=DATE(2026,7,1)),ROW(Expenses!A$3:A$1002)-2),4)),""),IF(IFERROR(INDEX(Income!B$3:B$502,SMALL(IF((Income!D$3:D$502="INR")*(Income!A$3:A$502=DATE(2026,7,1)),ROW(Income!A$3:A$502)-2),4)),"")&lt;&gt;"",IFERROR(INDEX(Income!B$3:B$502,SMALL(IF((Income!D$3:D$502="INR")*(Income!A$3:A$502=DATE(2026,7,1)),ROW(Income!A$3:A$502)-2),4)),""),""))</f>
        <v/>
      </c>
      <c r="I137" s="63" t="str">
        <f aca="false">IF(IFERROR(-INDEX(Expenses!D$3:D$1002,SMALL(IF((Expenses!E$3:E$1002="INR")*(Expenses!A$3:A$1002=DATE(2026,7,2)),ROW(Expenses!A$3:A$1002)-2),4)),0)+IFERROR(INDEX(Income!C$3:C$502,SMALL(IF((Income!D$3:D$502="INR")*(Income!A$3:A$502=DATE(2026,7,2)),ROW(Income!A$3:A$502)-2),4)),0)=0,"",IFERROR(-INDEX(Expenses!D$3:D$1002,SMALL(IF((Expenses!E$3:E$1002="INR")*(Expenses!A$3:A$1002=DATE(2026,7,2)),ROW(Expenses!A$3:A$1002)-2),4)),0)+IFERROR(INDEX(Income!C$3:C$502,SMALL(IF((Income!D$3:D$502="INR")*(Income!A$3:A$502=DATE(2026,7,2)),ROW(Income!A$3:A$502)-2),4)),0))</f>
        <v/>
      </c>
      <c r="J137" s="38" t="str">
        <f aca="false">IF(IFERROR(INDEX(Expenses!B$3:B$1002,SMALL(IF((Expenses!E$3:E$1002="INR")*(Expenses!A$3:A$1002=DATE(2026,7,2)),ROW(Expenses!A$3:A$1002)-2),4)),"")&lt;&gt;"",IFERROR(INDEX(Expenses!B$3:B$1002,SMALL(IF((Expenses!E$3:E$1002="INR")*(Expenses!A$3:A$1002=DATE(2026,7,2)),ROW(Expenses!A$3:A$1002)-2),4)),""),IF(IFERROR(INDEX(Income!B$3:B$502,SMALL(IF((Income!D$3:D$502="INR")*(Income!A$3:A$502=DATE(2026,7,2)),ROW(Income!A$3:A$502)-2),4)),"")&lt;&gt;"",IFERROR(INDEX(Income!B$3:B$502,SMALL(IF((Income!D$3:D$502="INR")*(Income!A$3:A$502=DATE(2026,7,2)),ROW(Income!A$3:A$502)-2),4)),""),""))</f>
        <v/>
      </c>
      <c r="K137" s="63" t="str">
        <f aca="false">IF(IFERROR(-INDEX(Expenses!D$3:D$1002,SMALL(IF((Expenses!E$3:E$1002="INR")*(Expenses!A$3:A$1002=DATE(2026,7,3)),ROW(Expenses!A$3:A$1002)-2),4)),0)+IFERROR(INDEX(Income!C$3:C$502,SMALL(IF((Income!D$3:D$502="INR")*(Income!A$3:A$502=DATE(2026,7,3)),ROW(Income!A$3:A$502)-2),4)),0)=0,"",IFERROR(-INDEX(Expenses!D$3:D$1002,SMALL(IF((Expenses!E$3:E$1002="INR")*(Expenses!A$3:A$1002=DATE(2026,7,3)),ROW(Expenses!A$3:A$1002)-2),4)),0)+IFERROR(INDEX(Income!C$3:C$502,SMALL(IF((Income!D$3:D$502="INR")*(Income!A$3:A$502=DATE(2026,7,3)),ROW(Income!A$3:A$502)-2),4)),0))</f>
        <v/>
      </c>
      <c r="L137" s="38" t="str">
        <f aca="false">IF(IFERROR(INDEX(Expenses!B$3:B$1002,SMALL(IF((Expenses!E$3:E$1002="INR")*(Expenses!A$3:A$1002=DATE(2026,7,3)),ROW(Expenses!A$3:A$1002)-2),4)),"")&lt;&gt;"",IFERROR(INDEX(Expenses!B$3:B$1002,SMALL(IF((Expenses!E$3:E$1002="INR")*(Expenses!A$3:A$1002=DATE(2026,7,3)),ROW(Expenses!A$3:A$1002)-2),4)),""),IF(IFERROR(INDEX(Income!B$3:B$502,SMALL(IF((Income!D$3:D$502="INR")*(Income!A$3:A$502=DATE(2026,7,3)),ROW(Income!A$3:A$502)-2),4)),"")&lt;&gt;"",IFERROR(INDEX(Income!B$3:B$502,SMALL(IF((Income!D$3:D$502="INR")*(Income!A$3:A$502=DATE(2026,7,3)),ROW(Income!A$3:A$502)-2),4)),""),""))</f>
        <v/>
      </c>
      <c r="M137" s="63" t="str">
        <f aca="false">IF(IFERROR(-INDEX(Expenses!D$3:D$1002,SMALL(IF((Expenses!E$3:E$1002="INR")*(Expenses!A$3:A$1002=DATE(2026,7,4)),ROW(Expenses!A$3:A$1002)-2),4)),0)+IFERROR(INDEX(Income!C$3:C$502,SMALL(IF((Income!D$3:D$502="INR")*(Income!A$3:A$502=DATE(2026,7,4)),ROW(Income!A$3:A$502)-2),4)),0)=0,"",IFERROR(-INDEX(Expenses!D$3:D$1002,SMALL(IF((Expenses!E$3:E$1002="INR")*(Expenses!A$3:A$1002=DATE(2026,7,4)),ROW(Expenses!A$3:A$1002)-2),4)),0)+IFERROR(INDEX(Income!C$3:C$502,SMALL(IF((Income!D$3:D$502="INR")*(Income!A$3:A$502=DATE(2026,7,4)),ROW(Income!A$3:A$502)-2),4)),0))</f>
        <v/>
      </c>
      <c r="N137" s="38" t="str">
        <f aca="false">IF(IFERROR(INDEX(Expenses!B$3:B$1002,SMALL(IF((Expenses!E$3:E$1002="INR")*(Expenses!A$3:A$1002=DATE(2026,7,4)),ROW(Expenses!A$3:A$1002)-2),4)),"")&lt;&gt;"",IFERROR(INDEX(Expenses!B$3:B$1002,SMALL(IF((Expenses!E$3:E$1002="INR")*(Expenses!A$3:A$1002=DATE(2026,7,4)),ROW(Expenses!A$3:A$1002)-2),4)),""),IF(IFERROR(INDEX(Income!B$3:B$502,SMALL(IF((Income!D$3:D$502="INR")*(Income!A$3:A$502=DATE(2026,7,4)),ROW(Income!A$3:A$502)-2),4)),"")&lt;&gt;"",IFERROR(INDEX(Income!B$3:B$502,SMALL(IF((Income!D$3:D$502="INR")*(Income!A$3:A$502=DATE(2026,7,4)),ROW(Income!A$3:A$502)-2),4)),""),""))</f>
        <v/>
      </c>
      <c r="O137" s="63" t="str">
        <f aca="false">IF(IFERROR(-INDEX(Expenses!D$3:D$1002,SMALL(IF((Expenses!E$3:E$1002="INR")*(Expenses!A$3:A$1002=DATE(2026,7,5)),ROW(Expenses!A$3:A$1002)-2),4)),0)+IFERROR(INDEX(Income!C$3:C$502,SMALL(IF((Income!D$3:D$502="INR")*(Income!A$3:A$502=DATE(2026,7,5)),ROW(Income!A$3:A$502)-2),4)),0)=0,"",IFERROR(-INDEX(Expenses!D$3:D$1002,SMALL(IF((Expenses!E$3:E$1002="INR")*(Expenses!A$3:A$1002=DATE(2026,7,5)),ROW(Expenses!A$3:A$1002)-2),4)),0)+IFERROR(INDEX(Income!C$3:C$502,SMALL(IF((Income!D$3:D$502="INR")*(Income!A$3:A$502=DATE(2026,7,5)),ROW(Income!A$3:A$502)-2),4)),0))</f>
        <v/>
      </c>
      <c r="P137" s="38" t="str">
        <f aca="false">IF(IFERROR(INDEX(Expenses!B$3:B$1002,SMALL(IF((Expenses!E$3:E$1002="INR")*(Expenses!A$3:A$1002=DATE(2026,7,5)),ROW(Expenses!A$3:A$1002)-2),4)),"")&lt;&gt;"",IFERROR(INDEX(Expenses!B$3:B$1002,SMALL(IF((Expenses!E$3:E$1002="INR")*(Expenses!A$3:A$1002=DATE(2026,7,5)),ROW(Expenses!A$3:A$1002)-2),4)),""),IF(IFERROR(INDEX(Income!B$3:B$502,SMALL(IF((Income!D$3:D$502="INR")*(Income!A$3:A$502=DATE(2026,7,5)),ROW(Income!A$3:A$502)-2),4)),"")&lt;&gt;"",IFERROR(INDEX(Income!B$3:B$502,SMALL(IF((Income!D$3:D$502="INR")*(Income!A$3:A$502=DATE(2026,7,5)),ROW(Income!A$3:A$502)-2),4)),""),""))</f>
        <v/>
      </c>
      <c r="Q137" s="16"/>
      <c r="R137" s="16"/>
    </row>
    <row r="138" customFormat="false" ht="15" hidden="false" customHeight="false" outlineLevel="0" collapsed="false">
      <c r="A138" s="16"/>
      <c r="B138" s="16"/>
      <c r="C138" s="63" t="str">
        <f aca="false">IF(IFERROR(-INDEX(Expenses!D$3:D$1002,SMALL(IF((Expenses!E$3:E$1002="INR")*(Expenses!A$3:A$1002=DATE(2026,6,29)),ROW(Expenses!A$3:A$1002)-2),5)),0)+IFERROR(INDEX(Income!C$3:C$502,SMALL(IF((Income!D$3:D$502="INR")*(Income!A$3:A$502=DATE(2026,6,29)),ROW(Income!A$3:A$502)-2),5)),0)=0,"",IFERROR(-INDEX(Expenses!D$3:D$1002,SMALL(IF((Expenses!E$3:E$1002="INR")*(Expenses!A$3:A$1002=DATE(2026,6,29)),ROW(Expenses!A$3:A$1002)-2),5)),0)+IFERROR(INDEX(Income!C$3:C$502,SMALL(IF((Income!D$3:D$502="INR")*(Income!A$3:A$502=DATE(2026,6,29)),ROW(Income!A$3:A$502)-2),5)),0))</f>
        <v/>
      </c>
      <c r="D138" s="38" t="str">
        <f aca="false">IF(IFERROR(INDEX(Expenses!B$3:B$1002,SMALL(IF((Expenses!E$3:E$1002="INR")*(Expenses!A$3:A$1002=DATE(2026,6,29)),ROW(Expenses!A$3:A$1002)-2),5)),"")&lt;&gt;"",IFERROR(INDEX(Expenses!B$3:B$1002,SMALL(IF((Expenses!E$3:E$1002="INR")*(Expenses!A$3:A$1002=DATE(2026,6,29)),ROW(Expenses!A$3:A$1002)-2),5)),""),IF(IFERROR(INDEX(Income!B$3:B$502,SMALL(IF((Income!D$3:D$502="INR")*(Income!A$3:A$502=DATE(2026,6,29)),ROW(Income!A$3:A$502)-2),5)),"")&lt;&gt;"",IFERROR(INDEX(Income!B$3:B$502,SMALL(IF((Income!D$3:D$502="INR")*(Income!A$3:A$502=DATE(2026,6,29)),ROW(Income!A$3:A$502)-2),5)),""),""))</f>
        <v/>
      </c>
      <c r="E138" s="63" t="str">
        <f aca="false">IF(IFERROR(-INDEX(Expenses!D$3:D$1002,SMALL(IF((Expenses!E$3:E$1002="INR")*(Expenses!A$3:A$1002=DATE(2026,6,30)),ROW(Expenses!A$3:A$1002)-2),5)),0)+IFERROR(INDEX(Income!C$3:C$502,SMALL(IF((Income!D$3:D$502="INR")*(Income!A$3:A$502=DATE(2026,6,30)),ROW(Income!A$3:A$502)-2),5)),0)=0,"",IFERROR(-INDEX(Expenses!D$3:D$1002,SMALL(IF((Expenses!E$3:E$1002="INR")*(Expenses!A$3:A$1002=DATE(2026,6,30)),ROW(Expenses!A$3:A$1002)-2),5)),0)+IFERROR(INDEX(Income!C$3:C$502,SMALL(IF((Income!D$3:D$502="INR")*(Income!A$3:A$502=DATE(2026,6,30)),ROW(Income!A$3:A$502)-2),5)),0))</f>
        <v/>
      </c>
      <c r="F138" s="38" t="str">
        <f aca="false">IF(IFERROR(INDEX(Expenses!B$3:B$1002,SMALL(IF((Expenses!E$3:E$1002="INR")*(Expenses!A$3:A$1002=DATE(2026,6,30)),ROW(Expenses!A$3:A$1002)-2),5)),"")&lt;&gt;"",IFERROR(INDEX(Expenses!B$3:B$1002,SMALL(IF((Expenses!E$3:E$1002="INR")*(Expenses!A$3:A$1002=DATE(2026,6,30)),ROW(Expenses!A$3:A$1002)-2),5)),""),IF(IFERROR(INDEX(Income!B$3:B$502,SMALL(IF((Income!D$3:D$502="INR")*(Income!A$3:A$502=DATE(2026,6,30)),ROW(Income!A$3:A$502)-2),5)),"")&lt;&gt;"",IFERROR(INDEX(Income!B$3:B$502,SMALL(IF((Income!D$3:D$502="INR")*(Income!A$3:A$502=DATE(2026,6,30)),ROW(Income!A$3:A$502)-2),5)),""),""))</f>
        <v/>
      </c>
      <c r="G138" s="63" t="str">
        <f aca="false">IF(IFERROR(-INDEX(Expenses!D$3:D$1002,SMALL(IF((Expenses!E$3:E$1002="INR")*(Expenses!A$3:A$1002=DATE(2026,7,1)),ROW(Expenses!A$3:A$1002)-2),5)),0)+IFERROR(INDEX(Income!C$3:C$502,SMALL(IF((Income!D$3:D$502="INR")*(Income!A$3:A$502=DATE(2026,7,1)),ROW(Income!A$3:A$502)-2),5)),0)=0,"",IFERROR(-INDEX(Expenses!D$3:D$1002,SMALL(IF((Expenses!E$3:E$1002="INR")*(Expenses!A$3:A$1002=DATE(2026,7,1)),ROW(Expenses!A$3:A$1002)-2),5)),0)+IFERROR(INDEX(Income!C$3:C$502,SMALL(IF((Income!D$3:D$502="INR")*(Income!A$3:A$502=DATE(2026,7,1)),ROW(Income!A$3:A$502)-2),5)),0))</f>
        <v/>
      </c>
      <c r="H138" s="38" t="str">
        <f aca="false">IF(IFERROR(INDEX(Expenses!B$3:B$1002,SMALL(IF((Expenses!E$3:E$1002="INR")*(Expenses!A$3:A$1002=DATE(2026,7,1)),ROW(Expenses!A$3:A$1002)-2),5)),"")&lt;&gt;"",IFERROR(INDEX(Expenses!B$3:B$1002,SMALL(IF((Expenses!E$3:E$1002="INR")*(Expenses!A$3:A$1002=DATE(2026,7,1)),ROW(Expenses!A$3:A$1002)-2),5)),""),IF(IFERROR(INDEX(Income!B$3:B$502,SMALL(IF((Income!D$3:D$502="INR")*(Income!A$3:A$502=DATE(2026,7,1)),ROW(Income!A$3:A$502)-2),5)),"")&lt;&gt;"",IFERROR(INDEX(Income!B$3:B$502,SMALL(IF((Income!D$3:D$502="INR")*(Income!A$3:A$502=DATE(2026,7,1)),ROW(Income!A$3:A$502)-2),5)),""),""))</f>
        <v/>
      </c>
      <c r="I138" s="63" t="str">
        <f aca="false">IF(IFERROR(-INDEX(Expenses!D$3:D$1002,SMALL(IF((Expenses!E$3:E$1002="INR")*(Expenses!A$3:A$1002=DATE(2026,7,2)),ROW(Expenses!A$3:A$1002)-2),5)),0)+IFERROR(INDEX(Income!C$3:C$502,SMALL(IF((Income!D$3:D$502="INR")*(Income!A$3:A$502=DATE(2026,7,2)),ROW(Income!A$3:A$502)-2),5)),0)=0,"",IFERROR(-INDEX(Expenses!D$3:D$1002,SMALL(IF((Expenses!E$3:E$1002="INR")*(Expenses!A$3:A$1002=DATE(2026,7,2)),ROW(Expenses!A$3:A$1002)-2),5)),0)+IFERROR(INDEX(Income!C$3:C$502,SMALL(IF((Income!D$3:D$502="INR")*(Income!A$3:A$502=DATE(2026,7,2)),ROW(Income!A$3:A$502)-2),5)),0))</f>
        <v/>
      </c>
      <c r="J138" s="38" t="str">
        <f aca="false">IF(IFERROR(INDEX(Expenses!B$3:B$1002,SMALL(IF((Expenses!E$3:E$1002="INR")*(Expenses!A$3:A$1002=DATE(2026,7,2)),ROW(Expenses!A$3:A$1002)-2),5)),"")&lt;&gt;"",IFERROR(INDEX(Expenses!B$3:B$1002,SMALL(IF((Expenses!E$3:E$1002="INR")*(Expenses!A$3:A$1002=DATE(2026,7,2)),ROW(Expenses!A$3:A$1002)-2),5)),""),IF(IFERROR(INDEX(Income!B$3:B$502,SMALL(IF((Income!D$3:D$502="INR")*(Income!A$3:A$502=DATE(2026,7,2)),ROW(Income!A$3:A$502)-2),5)),"")&lt;&gt;"",IFERROR(INDEX(Income!B$3:B$502,SMALL(IF((Income!D$3:D$502="INR")*(Income!A$3:A$502=DATE(2026,7,2)),ROW(Income!A$3:A$502)-2),5)),""),""))</f>
        <v/>
      </c>
      <c r="K138" s="63" t="str">
        <f aca="false">IF(IFERROR(-INDEX(Expenses!D$3:D$1002,SMALL(IF((Expenses!E$3:E$1002="INR")*(Expenses!A$3:A$1002=DATE(2026,7,3)),ROW(Expenses!A$3:A$1002)-2),5)),0)+IFERROR(INDEX(Income!C$3:C$502,SMALL(IF((Income!D$3:D$502="INR")*(Income!A$3:A$502=DATE(2026,7,3)),ROW(Income!A$3:A$502)-2),5)),0)=0,"",IFERROR(-INDEX(Expenses!D$3:D$1002,SMALL(IF((Expenses!E$3:E$1002="INR")*(Expenses!A$3:A$1002=DATE(2026,7,3)),ROW(Expenses!A$3:A$1002)-2),5)),0)+IFERROR(INDEX(Income!C$3:C$502,SMALL(IF((Income!D$3:D$502="INR")*(Income!A$3:A$502=DATE(2026,7,3)),ROW(Income!A$3:A$502)-2),5)),0))</f>
        <v/>
      </c>
      <c r="L138" s="38" t="str">
        <f aca="false">IF(IFERROR(INDEX(Expenses!B$3:B$1002,SMALL(IF((Expenses!E$3:E$1002="INR")*(Expenses!A$3:A$1002=DATE(2026,7,3)),ROW(Expenses!A$3:A$1002)-2),5)),"")&lt;&gt;"",IFERROR(INDEX(Expenses!B$3:B$1002,SMALL(IF((Expenses!E$3:E$1002="INR")*(Expenses!A$3:A$1002=DATE(2026,7,3)),ROW(Expenses!A$3:A$1002)-2),5)),""),IF(IFERROR(INDEX(Income!B$3:B$502,SMALL(IF((Income!D$3:D$502="INR")*(Income!A$3:A$502=DATE(2026,7,3)),ROW(Income!A$3:A$502)-2),5)),"")&lt;&gt;"",IFERROR(INDEX(Income!B$3:B$502,SMALL(IF((Income!D$3:D$502="INR")*(Income!A$3:A$502=DATE(2026,7,3)),ROW(Income!A$3:A$502)-2),5)),""),""))</f>
        <v/>
      </c>
      <c r="M138" s="63" t="str">
        <f aca="false">IF(IFERROR(-INDEX(Expenses!D$3:D$1002,SMALL(IF((Expenses!E$3:E$1002="INR")*(Expenses!A$3:A$1002=DATE(2026,7,4)),ROW(Expenses!A$3:A$1002)-2),5)),0)+IFERROR(INDEX(Income!C$3:C$502,SMALL(IF((Income!D$3:D$502="INR")*(Income!A$3:A$502=DATE(2026,7,4)),ROW(Income!A$3:A$502)-2),5)),0)=0,"",IFERROR(-INDEX(Expenses!D$3:D$1002,SMALL(IF((Expenses!E$3:E$1002="INR")*(Expenses!A$3:A$1002=DATE(2026,7,4)),ROW(Expenses!A$3:A$1002)-2),5)),0)+IFERROR(INDEX(Income!C$3:C$502,SMALL(IF((Income!D$3:D$502="INR")*(Income!A$3:A$502=DATE(2026,7,4)),ROW(Income!A$3:A$502)-2),5)),0))</f>
        <v/>
      </c>
      <c r="N138" s="38" t="str">
        <f aca="false">IF(IFERROR(INDEX(Expenses!B$3:B$1002,SMALL(IF((Expenses!E$3:E$1002="INR")*(Expenses!A$3:A$1002=DATE(2026,7,4)),ROW(Expenses!A$3:A$1002)-2),5)),"")&lt;&gt;"",IFERROR(INDEX(Expenses!B$3:B$1002,SMALL(IF((Expenses!E$3:E$1002="INR")*(Expenses!A$3:A$1002=DATE(2026,7,4)),ROW(Expenses!A$3:A$1002)-2),5)),""),IF(IFERROR(INDEX(Income!B$3:B$502,SMALL(IF((Income!D$3:D$502="INR")*(Income!A$3:A$502=DATE(2026,7,4)),ROW(Income!A$3:A$502)-2),5)),"")&lt;&gt;"",IFERROR(INDEX(Income!B$3:B$502,SMALL(IF((Income!D$3:D$502="INR")*(Income!A$3:A$502=DATE(2026,7,4)),ROW(Income!A$3:A$502)-2),5)),""),""))</f>
        <v/>
      </c>
      <c r="O138" s="63" t="str">
        <f aca="false">IF(IFERROR(-INDEX(Expenses!D$3:D$1002,SMALL(IF((Expenses!E$3:E$1002="INR")*(Expenses!A$3:A$1002=DATE(2026,7,5)),ROW(Expenses!A$3:A$1002)-2),5)),0)+IFERROR(INDEX(Income!C$3:C$502,SMALL(IF((Income!D$3:D$502="INR")*(Income!A$3:A$502=DATE(2026,7,5)),ROW(Income!A$3:A$502)-2),5)),0)=0,"",IFERROR(-INDEX(Expenses!D$3:D$1002,SMALL(IF((Expenses!E$3:E$1002="INR")*(Expenses!A$3:A$1002=DATE(2026,7,5)),ROW(Expenses!A$3:A$1002)-2),5)),0)+IFERROR(INDEX(Income!C$3:C$502,SMALL(IF((Income!D$3:D$502="INR")*(Income!A$3:A$502=DATE(2026,7,5)),ROW(Income!A$3:A$502)-2),5)),0))</f>
        <v/>
      </c>
      <c r="P138" s="38" t="str">
        <f aca="false">IF(IFERROR(INDEX(Expenses!B$3:B$1002,SMALL(IF((Expenses!E$3:E$1002="INR")*(Expenses!A$3:A$1002=DATE(2026,7,5)),ROW(Expenses!A$3:A$1002)-2),5)),"")&lt;&gt;"",IFERROR(INDEX(Expenses!B$3:B$1002,SMALL(IF((Expenses!E$3:E$1002="INR")*(Expenses!A$3:A$1002=DATE(2026,7,5)),ROW(Expenses!A$3:A$1002)-2),5)),""),IF(IFERROR(INDEX(Income!B$3:B$502,SMALL(IF((Income!D$3:D$502="INR")*(Income!A$3:A$502=DATE(2026,7,5)),ROW(Income!A$3:A$502)-2),5)),"")&lt;&gt;"",IFERROR(INDEX(Income!B$3:B$502,SMALL(IF((Income!D$3:D$502="INR")*(Income!A$3:A$502=DATE(2026,7,5)),ROW(Income!A$3:A$502)-2),5)),""),""))</f>
        <v/>
      </c>
      <c r="Q138" s="16"/>
      <c r="R138" s="16"/>
    </row>
    <row r="139" customFormat="false" ht="15" hidden="false" customHeight="false" outlineLevel="0" collapsed="false">
      <c r="A139" s="61" t="n">
        <v>46209</v>
      </c>
      <c r="B139" s="3" t="n">
        <v>28</v>
      </c>
      <c r="C139" s="63" t="str">
        <f aca="false">IF(IFERROR(-INDEX(Expenses!D$3:D$1002,SMALL(IF((Expenses!E$3:E$1002="INR")*(Expenses!A$3:A$1002=DATE(2026,7,6)),ROW(Expenses!A$3:A$1002)-2),1)),0)+IFERROR(INDEX(Income!C$3:C$502,SMALL(IF((Income!D$3:D$502="INR")*(Income!A$3:A$502=DATE(2026,7,6)),ROW(Income!A$3:A$502)-2),1)),0)=0,"",IFERROR(-INDEX(Expenses!D$3:D$1002,SMALL(IF((Expenses!E$3:E$1002="INR")*(Expenses!A$3:A$1002=DATE(2026,7,6)),ROW(Expenses!A$3:A$1002)-2),1)),0)+IFERROR(INDEX(Income!C$3:C$502,SMALL(IF((Income!D$3:D$502="INR")*(Income!A$3:A$502=DATE(2026,7,6)),ROW(Income!A$3:A$502)-2),1)),0))</f>
        <v/>
      </c>
      <c r="D139" s="38" t="str">
        <f aca="false">IF(IFERROR(INDEX(Expenses!B$3:B$1002,SMALL(IF((Expenses!E$3:E$1002="INR")*(Expenses!A$3:A$1002=DATE(2026,7,6)),ROW(Expenses!A$3:A$1002)-2),1)),"")&lt;&gt;"",IFERROR(INDEX(Expenses!B$3:B$1002,SMALL(IF((Expenses!E$3:E$1002="INR")*(Expenses!A$3:A$1002=DATE(2026,7,6)),ROW(Expenses!A$3:A$1002)-2),1)),""),IF(IFERROR(INDEX(Income!B$3:B$502,SMALL(IF((Income!D$3:D$502="INR")*(Income!A$3:A$502=DATE(2026,7,6)),ROW(Income!A$3:A$502)-2),1)),"")&lt;&gt;"",IFERROR(INDEX(Income!B$3:B$502,SMALL(IF((Income!D$3:D$502="INR")*(Income!A$3:A$502=DATE(2026,7,6)),ROW(Income!A$3:A$502)-2),1)),""),""))</f>
        <v/>
      </c>
      <c r="E139" s="63" t="str">
        <f aca="false">IF(IFERROR(-INDEX(Expenses!D$3:D$1002,SMALL(IF((Expenses!E$3:E$1002="INR")*(Expenses!A$3:A$1002=DATE(2026,7,7)),ROW(Expenses!A$3:A$1002)-2),1)),0)+IFERROR(INDEX(Income!C$3:C$502,SMALL(IF((Income!D$3:D$502="INR")*(Income!A$3:A$502=DATE(2026,7,7)),ROW(Income!A$3:A$502)-2),1)),0)=0,"",IFERROR(-INDEX(Expenses!D$3:D$1002,SMALL(IF((Expenses!E$3:E$1002="INR")*(Expenses!A$3:A$1002=DATE(2026,7,7)),ROW(Expenses!A$3:A$1002)-2),1)),0)+IFERROR(INDEX(Income!C$3:C$502,SMALL(IF((Income!D$3:D$502="INR")*(Income!A$3:A$502=DATE(2026,7,7)),ROW(Income!A$3:A$502)-2),1)),0))</f>
        <v/>
      </c>
      <c r="F139" s="38" t="str">
        <f aca="false">IF(IFERROR(INDEX(Expenses!B$3:B$1002,SMALL(IF((Expenses!E$3:E$1002="INR")*(Expenses!A$3:A$1002=DATE(2026,7,7)),ROW(Expenses!A$3:A$1002)-2),1)),"")&lt;&gt;"",IFERROR(INDEX(Expenses!B$3:B$1002,SMALL(IF((Expenses!E$3:E$1002="INR")*(Expenses!A$3:A$1002=DATE(2026,7,7)),ROW(Expenses!A$3:A$1002)-2),1)),""),IF(IFERROR(INDEX(Income!B$3:B$502,SMALL(IF((Income!D$3:D$502="INR")*(Income!A$3:A$502=DATE(2026,7,7)),ROW(Income!A$3:A$502)-2),1)),"")&lt;&gt;"",IFERROR(INDEX(Income!B$3:B$502,SMALL(IF((Income!D$3:D$502="INR")*(Income!A$3:A$502=DATE(2026,7,7)),ROW(Income!A$3:A$502)-2),1)),""),""))</f>
        <v/>
      </c>
      <c r="G139" s="63" t="str">
        <f aca="false">IF(IFERROR(-INDEX(Expenses!D$3:D$1002,SMALL(IF((Expenses!E$3:E$1002="INR")*(Expenses!A$3:A$1002=DATE(2026,7,8)),ROW(Expenses!A$3:A$1002)-2),1)),0)+IFERROR(INDEX(Income!C$3:C$502,SMALL(IF((Income!D$3:D$502="INR")*(Income!A$3:A$502=DATE(2026,7,8)),ROW(Income!A$3:A$502)-2),1)),0)=0,"",IFERROR(-INDEX(Expenses!D$3:D$1002,SMALL(IF((Expenses!E$3:E$1002="INR")*(Expenses!A$3:A$1002=DATE(2026,7,8)),ROW(Expenses!A$3:A$1002)-2),1)),0)+IFERROR(INDEX(Income!C$3:C$502,SMALL(IF((Income!D$3:D$502="INR")*(Income!A$3:A$502=DATE(2026,7,8)),ROW(Income!A$3:A$502)-2),1)),0))</f>
        <v/>
      </c>
      <c r="H139" s="38" t="str">
        <f aca="false">IF(IFERROR(INDEX(Expenses!B$3:B$1002,SMALL(IF((Expenses!E$3:E$1002="INR")*(Expenses!A$3:A$1002=DATE(2026,7,8)),ROW(Expenses!A$3:A$1002)-2),1)),"")&lt;&gt;"",IFERROR(INDEX(Expenses!B$3:B$1002,SMALL(IF((Expenses!E$3:E$1002="INR")*(Expenses!A$3:A$1002=DATE(2026,7,8)),ROW(Expenses!A$3:A$1002)-2),1)),""),IF(IFERROR(INDEX(Income!B$3:B$502,SMALL(IF((Income!D$3:D$502="INR")*(Income!A$3:A$502=DATE(2026,7,8)),ROW(Income!A$3:A$502)-2),1)),"")&lt;&gt;"",IFERROR(INDEX(Income!B$3:B$502,SMALL(IF((Income!D$3:D$502="INR")*(Income!A$3:A$502=DATE(2026,7,8)),ROW(Income!A$3:A$502)-2),1)),""),""))</f>
        <v/>
      </c>
      <c r="I139" s="63" t="str">
        <f aca="false">IF(IFERROR(-INDEX(Expenses!D$3:D$1002,SMALL(IF((Expenses!E$3:E$1002="INR")*(Expenses!A$3:A$1002=DATE(2026,7,9)),ROW(Expenses!A$3:A$1002)-2),1)),0)+IFERROR(INDEX(Income!C$3:C$502,SMALL(IF((Income!D$3:D$502="INR")*(Income!A$3:A$502=DATE(2026,7,9)),ROW(Income!A$3:A$502)-2),1)),0)=0,"",IFERROR(-INDEX(Expenses!D$3:D$1002,SMALL(IF((Expenses!E$3:E$1002="INR")*(Expenses!A$3:A$1002=DATE(2026,7,9)),ROW(Expenses!A$3:A$1002)-2),1)),0)+IFERROR(INDEX(Income!C$3:C$502,SMALL(IF((Income!D$3:D$502="INR")*(Income!A$3:A$502=DATE(2026,7,9)),ROW(Income!A$3:A$502)-2),1)),0))</f>
        <v/>
      </c>
      <c r="J139" s="38" t="str">
        <f aca="false">IF(IFERROR(INDEX(Expenses!B$3:B$1002,SMALL(IF((Expenses!E$3:E$1002="INR")*(Expenses!A$3:A$1002=DATE(2026,7,9)),ROW(Expenses!A$3:A$1002)-2),1)),"")&lt;&gt;"",IFERROR(INDEX(Expenses!B$3:B$1002,SMALL(IF((Expenses!E$3:E$1002="INR")*(Expenses!A$3:A$1002=DATE(2026,7,9)),ROW(Expenses!A$3:A$1002)-2),1)),""),IF(IFERROR(INDEX(Income!B$3:B$502,SMALL(IF((Income!D$3:D$502="INR")*(Income!A$3:A$502=DATE(2026,7,9)),ROW(Income!A$3:A$502)-2),1)),"")&lt;&gt;"",IFERROR(INDEX(Income!B$3:B$502,SMALL(IF((Income!D$3:D$502="INR")*(Income!A$3:A$502=DATE(2026,7,9)),ROW(Income!A$3:A$502)-2),1)),""),""))</f>
        <v/>
      </c>
      <c r="K139" s="63" t="str">
        <f aca="false">IF(IFERROR(-INDEX(Expenses!D$3:D$1002,SMALL(IF((Expenses!E$3:E$1002="INR")*(Expenses!A$3:A$1002=DATE(2026,7,10)),ROW(Expenses!A$3:A$1002)-2),1)),0)+IFERROR(INDEX(Income!C$3:C$502,SMALL(IF((Income!D$3:D$502="INR")*(Income!A$3:A$502=DATE(2026,7,10)),ROW(Income!A$3:A$502)-2),1)),0)=0,"",IFERROR(-INDEX(Expenses!D$3:D$1002,SMALL(IF((Expenses!E$3:E$1002="INR")*(Expenses!A$3:A$1002=DATE(2026,7,10)),ROW(Expenses!A$3:A$1002)-2),1)),0)+IFERROR(INDEX(Income!C$3:C$502,SMALL(IF((Income!D$3:D$502="INR")*(Income!A$3:A$502=DATE(2026,7,10)),ROW(Income!A$3:A$502)-2),1)),0))</f>
        <v/>
      </c>
      <c r="L139" s="38" t="str">
        <f aca="false">IF(IFERROR(INDEX(Expenses!B$3:B$1002,SMALL(IF((Expenses!E$3:E$1002="INR")*(Expenses!A$3:A$1002=DATE(2026,7,10)),ROW(Expenses!A$3:A$1002)-2),1)),"")&lt;&gt;"",IFERROR(INDEX(Expenses!B$3:B$1002,SMALL(IF((Expenses!E$3:E$1002="INR")*(Expenses!A$3:A$1002=DATE(2026,7,10)),ROW(Expenses!A$3:A$1002)-2),1)),""),IF(IFERROR(INDEX(Income!B$3:B$502,SMALL(IF((Income!D$3:D$502="INR")*(Income!A$3:A$502=DATE(2026,7,10)),ROW(Income!A$3:A$502)-2),1)),"")&lt;&gt;"",IFERROR(INDEX(Income!B$3:B$502,SMALL(IF((Income!D$3:D$502="INR")*(Income!A$3:A$502=DATE(2026,7,10)),ROW(Income!A$3:A$502)-2),1)),""),""))</f>
        <v/>
      </c>
      <c r="M139" s="63" t="str">
        <f aca="false">IF(IFERROR(-INDEX(Expenses!D$3:D$1002,SMALL(IF((Expenses!E$3:E$1002="INR")*(Expenses!A$3:A$1002=DATE(2026,7,11)),ROW(Expenses!A$3:A$1002)-2),1)),0)+IFERROR(INDEX(Income!C$3:C$502,SMALL(IF((Income!D$3:D$502="INR")*(Income!A$3:A$502=DATE(2026,7,11)),ROW(Income!A$3:A$502)-2),1)),0)=0,"",IFERROR(-INDEX(Expenses!D$3:D$1002,SMALL(IF((Expenses!E$3:E$1002="INR")*(Expenses!A$3:A$1002=DATE(2026,7,11)),ROW(Expenses!A$3:A$1002)-2),1)),0)+IFERROR(INDEX(Income!C$3:C$502,SMALL(IF((Income!D$3:D$502="INR")*(Income!A$3:A$502=DATE(2026,7,11)),ROW(Income!A$3:A$502)-2),1)),0))</f>
        <v/>
      </c>
      <c r="N139" s="38" t="str">
        <f aca="false">IF(IFERROR(INDEX(Expenses!B$3:B$1002,SMALL(IF((Expenses!E$3:E$1002="INR")*(Expenses!A$3:A$1002=DATE(2026,7,11)),ROW(Expenses!A$3:A$1002)-2),1)),"")&lt;&gt;"",IFERROR(INDEX(Expenses!B$3:B$1002,SMALL(IF((Expenses!E$3:E$1002="INR")*(Expenses!A$3:A$1002=DATE(2026,7,11)),ROW(Expenses!A$3:A$1002)-2),1)),""),IF(IFERROR(INDEX(Income!B$3:B$502,SMALL(IF((Income!D$3:D$502="INR")*(Income!A$3:A$502=DATE(2026,7,11)),ROW(Income!A$3:A$502)-2),1)),"")&lt;&gt;"",IFERROR(INDEX(Income!B$3:B$502,SMALL(IF((Income!D$3:D$502="INR")*(Income!A$3:A$502=DATE(2026,7,11)),ROW(Income!A$3:A$502)-2),1)),""),""))</f>
        <v/>
      </c>
      <c r="O139" s="63" t="str">
        <f aca="false">IF(IFERROR(-INDEX(Expenses!D$3:D$1002,SMALL(IF((Expenses!E$3:E$1002="INR")*(Expenses!A$3:A$1002=DATE(2026,7,12)),ROW(Expenses!A$3:A$1002)-2),1)),0)+IFERROR(INDEX(Income!C$3:C$502,SMALL(IF((Income!D$3:D$502="INR")*(Income!A$3:A$502=DATE(2026,7,12)),ROW(Income!A$3:A$502)-2),1)),0)=0,"",IFERROR(-INDEX(Expenses!D$3:D$1002,SMALL(IF((Expenses!E$3:E$1002="INR")*(Expenses!A$3:A$1002=DATE(2026,7,12)),ROW(Expenses!A$3:A$1002)-2),1)),0)+IFERROR(INDEX(Income!C$3:C$502,SMALL(IF((Income!D$3:D$502="INR")*(Income!A$3:A$502=DATE(2026,7,12)),ROW(Income!A$3:A$502)-2),1)),0))</f>
        <v/>
      </c>
      <c r="P139" s="38" t="str">
        <f aca="false">IF(IFERROR(INDEX(Expenses!B$3:B$1002,SMALL(IF((Expenses!E$3:E$1002="INR")*(Expenses!A$3:A$1002=DATE(2026,7,12)),ROW(Expenses!A$3:A$1002)-2),1)),"")&lt;&gt;"",IFERROR(INDEX(Expenses!B$3:B$1002,SMALL(IF((Expenses!E$3:E$1002="INR")*(Expenses!A$3:A$1002=DATE(2026,7,12)),ROW(Expenses!A$3:A$1002)-2),1)),""),IF(IFERROR(INDEX(Income!B$3:B$502,SMALL(IF((Income!D$3:D$502="INR")*(Income!A$3:A$502=DATE(2026,7,12)),ROW(Income!A$3:A$502)-2),1)),"")&lt;&gt;"",IFERROR(INDEX(Income!B$3:B$502,SMALL(IF((Income!D$3:D$502="INR")*(Income!A$3:A$502=DATE(2026,7,12)),ROW(Income!A$3:A$502)-2),1)),""),""))</f>
        <v/>
      </c>
      <c r="Q139" s="3" t="n">
        <v>28</v>
      </c>
      <c r="R139" s="53" t="n">
        <f aca="false">SUM(C139:C143)+SUM(E139:E143)+SUM(G139:G143)+SUM(I139:I143)+SUM(K139:K143)+SUM(M139:M143)+SUM(O139:O143)</f>
        <v>0</v>
      </c>
    </row>
    <row r="140" customFormat="false" ht="15" hidden="false" customHeight="false" outlineLevel="0" collapsed="false">
      <c r="A140" s="16"/>
      <c r="B140" s="16"/>
      <c r="C140" s="63" t="str">
        <f aca="false">IF(IFERROR(-INDEX(Expenses!D$3:D$1002,SMALL(IF((Expenses!E$3:E$1002="INR")*(Expenses!A$3:A$1002=DATE(2026,7,6)),ROW(Expenses!A$3:A$1002)-2),2)),0)+IFERROR(INDEX(Income!C$3:C$502,SMALL(IF((Income!D$3:D$502="INR")*(Income!A$3:A$502=DATE(2026,7,6)),ROW(Income!A$3:A$502)-2),2)),0)=0,"",IFERROR(-INDEX(Expenses!D$3:D$1002,SMALL(IF((Expenses!E$3:E$1002="INR")*(Expenses!A$3:A$1002=DATE(2026,7,6)),ROW(Expenses!A$3:A$1002)-2),2)),0)+IFERROR(INDEX(Income!C$3:C$502,SMALL(IF((Income!D$3:D$502="INR")*(Income!A$3:A$502=DATE(2026,7,6)),ROW(Income!A$3:A$502)-2),2)),0))</f>
        <v/>
      </c>
      <c r="D140" s="38" t="str">
        <f aca="false">IF(IFERROR(INDEX(Expenses!B$3:B$1002,SMALL(IF((Expenses!E$3:E$1002="INR")*(Expenses!A$3:A$1002=DATE(2026,7,6)),ROW(Expenses!A$3:A$1002)-2),2)),"")&lt;&gt;"",IFERROR(INDEX(Expenses!B$3:B$1002,SMALL(IF((Expenses!E$3:E$1002="INR")*(Expenses!A$3:A$1002=DATE(2026,7,6)),ROW(Expenses!A$3:A$1002)-2),2)),""),IF(IFERROR(INDEX(Income!B$3:B$502,SMALL(IF((Income!D$3:D$502="INR")*(Income!A$3:A$502=DATE(2026,7,6)),ROW(Income!A$3:A$502)-2),2)),"")&lt;&gt;"",IFERROR(INDEX(Income!B$3:B$502,SMALL(IF((Income!D$3:D$502="INR")*(Income!A$3:A$502=DATE(2026,7,6)),ROW(Income!A$3:A$502)-2),2)),""),""))</f>
        <v/>
      </c>
      <c r="E140" s="63" t="str">
        <f aca="false">IF(IFERROR(-INDEX(Expenses!D$3:D$1002,SMALL(IF((Expenses!E$3:E$1002="INR")*(Expenses!A$3:A$1002=DATE(2026,7,7)),ROW(Expenses!A$3:A$1002)-2),2)),0)+IFERROR(INDEX(Income!C$3:C$502,SMALL(IF((Income!D$3:D$502="INR")*(Income!A$3:A$502=DATE(2026,7,7)),ROW(Income!A$3:A$502)-2),2)),0)=0,"",IFERROR(-INDEX(Expenses!D$3:D$1002,SMALL(IF((Expenses!E$3:E$1002="INR")*(Expenses!A$3:A$1002=DATE(2026,7,7)),ROW(Expenses!A$3:A$1002)-2),2)),0)+IFERROR(INDEX(Income!C$3:C$502,SMALL(IF((Income!D$3:D$502="INR")*(Income!A$3:A$502=DATE(2026,7,7)),ROW(Income!A$3:A$502)-2),2)),0))</f>
        <v/>
      </c>
      <c r="F140" s="38" t="str">
        <f aca="false">IF(IFERROR(INDEX(Expenses!B$3:B$1002,SMALL(IF((Expenses!E$3:E$1002="INR")*(Expenses!A$3:A$1002=DATE(2026,7,7)),ROW(Expenses!A$3:A$1002)-2),2)),"")&lt;&gt;"",IFERROR(INDEX(Expenses!B$3:B$1002,SMALL(IF((Expenses!E$3:E$1002="INR")*(Expenses!A$3:A$1002=DATE(2026,7,7)),ROW(Expenses!A$3:A$1002)-2),2)),""),IF(IFERROR(INDEX(Income!B$3:B$502,SMALL(IF((Income!D$3:D$502="INR")*(Income!A$3:A$502=DATE(2026,7,7)),ROW(Income!A$3:A$502)-2),2)),"")&lt;&gt;"",IFERROR(INDEX(Income!B$3:B$502,SMALL(IF((Income!D$3:D$502="INR")*(Income!A$3:A$502=DATE(2026,7,7)),ROW(Income!A$3:A$502)-2),2)),""),""))</f>
        <v/>
      </c>
      <c r="G140" s="63" t="str">
        <f aca="false">IF(IFERROR(-INDEX(Expenses!D$3:D$1002,SMALL(IF((Expenses!E$3:E$1002="INR")*(Expenses!A$3:A$1002=DATE(2026,7,8)),ROW(Expenses!A$3:A$1002)-2),2)),0)+IFERROR(INDEX(Income!C$3:C$502,SMALL(IF((Income!D$3:D$502="INR")*(Income!A$3:A$502=DATE(2026,7,8)),ROW(Income!A$3:A$502)-2),2)),0)=0,"",IFERROR(-INDEX(Expenses!D$3:D$1002,SMALL(IF((Expenses!E$3:E$1002="INR")*(Expenses!A$3:A$1002=DATE(2026,7,8)),ROW(Expenses!A$3:A$1002)-2),2)),0)+IFERROR(INDEX(Income!C$3:C$502,SMALL(IF((Income!D$3:D$502="INR")*(Income!A$3:A$502=DATE(2026,7,8)),ROW(Income!A$3:A$502)-2),2)),0))</f>
        <v/>
      </c>
      <c r="H140" s="38" t="str">
        <f aca="false">IF(IFERROR(INDEX(Expenses!B$3:B$1002,SMALL(IF((Expenses!E$3:E$1002="INR")*(Expenses!A$3:A$1002=DATE(2026,7,8)),ROW(Expenses!A$3:A$1002)-2),2)),"")&lt;&gt;"",IFERROR(INDEX(Expenses!B$3:B$1002,SMALL(IF((Expenses!E$3:E$1002="INR")*(Expenses!A$3:A$1002=DATE(2026,7,8)),ROW(Expenses!A$3:A$1002)-2),2)),""),IF(IFERROR(INDEX(Income!B$3:B$502,SMALL(IF((Income!D$3:D$502="INR")*(Income!A$3:A$502=DATE(2026,7,8)),ROW(Income!A$3:A$502)-2),2)),"")&lt;&gt;"",IFERROR(INDEX(Income!B$3:B$502,SMALL(IF((Income!D$3:D$502="INR")*(Income!A$3:A$502=DATE(2026,7,8)),ROW(Income!A$3:A$502)-2),2)),""),""))</f>
        <v/>
      </c>
      <c r="I140" s="63" t="str">
        <f aca="false">IF(IFERROR(-INDEX(Expenses!D$3:D$1002,SMALL(IF((Expenses!E$3:E$1002="INR")*(Expenses!A$3:A$1002=DATE(2026,7,9)),ROW(Expenses!A$3:A$1002)-2),2)),0)+IFERROR(INDEX(Income!C$3:C$502,SMALL(IF((Income!D$3:D$502="INR")*(Income!A$3:A$502=DATE(2026,7,9)),ROW(Income!A$3:A$502)-2),2)),0)=0,"",IFERROR(-INDEX(Expenses!D$3:D$1002,SMALL(IF((Expenses!E$3:E$1002="INR")*(Expenses!A$3:A$1002=DATE(2026,7,9)),ROW(Expenses!A$3:A$1002)-2),2)),0)+IFERROR(INDEX(Income!C$3:C$502,SMALL(IF((Income!D$3:D$502="INR")*(Income!A$3:A$502=DATE(2026,7,9)),ROW(Income!A$3:A$502)-2),2)),0))</f>
        <v/>
      </c>
      <c r="J140" s="38" t="str">
        <f aca="false">IF(IFERROR(INDEX(Expenses!B$3:B$1002,SMALL(IF((Expenses!E$3:E$1002="INR")*(Expenses!A$3:A$1002=DATE(2026,7,9)),ROW(Expenses!A$3:A$1002)-2),2)),"")&lt;&gt;"",IFERROR(INDEX(Expenses!B$3:B$1002,SMALL(IF((Expenses!E$3:E$1002="INR")*(Expenses!A$3:A$1002=DATE(2026,7,9)),ROW(Expenses!A$3:A$1002)-2),2)),""),IF(IFERROR(INDEX(Income!B$3:B$502,SMALL(IF((Income!D$3:D$502="INR")*(Income!A$3:A$502=DATE(2026,7,9)),ROW(Income!A$3:A$502)-2),2)),"")&lt;&gt;"",IFERROR(INDEX(Income!B$3:B$502,SMALL(IF((Income!D$3:D$502="INR")*(Income!A$3:A$502=DATE(2026,7,9)),ROW(Income!A$3:A$502)-2),2)),""),""))</f>
        <v/>
      </c>
      <c r="K140" s="63" t="str">
        <f aca="false">IF(IFERROR(-INDEX(Expenses!D$3:D$1002,SMALL(IF((Expenses!E$3:E$1002="INR")*(Expenses!A$3:A$1002=DATE(2026,7,10)),ROW(Expenses!A$3:A$1002)-2),2)),0)+IFERROR(INDEX(Income!C$3:C$502,SMALL(IF((Income!D$3:D$502="INR")*(Income!A$3:A$502=DATE(2026,7,10)),ROW(Income!A$3:A$502)-2),2)),0)=0,"",IFERROR(-INDEX(Expenses!D$3:D$1002,SMALL(IF((Expenses!E$3:E$1002="INR")*(Expenses!A$3:A$1002=DATE(2026,7,10)),ROW(Expenses!A$3:A$1002)-2),2)),0)+IFERROR(INDEX(Income!C$3:C$502,SMALL(IF((Income!D$3:D$502="INR")*(Income!A$3:A$502=DATE(2026,7,10)),ROW(Income!A$3:A$502)-2),2)),0))</f>
        <v/>
      </c>
      <c r="L140" s="38" t="str">
        <f aca="false">IF(IFERROR(INDEX(Expenses!B$3:B$1002,SMALL(IF((Expenses!E$3:E$1002="INR")*(Expenses!A$3:A$1002=DATE(2026,7,10)),ROW(Expenses!A$3:A$1002)-2),2)),"")&lt;&gt;"",IFERROR(INDEX(Expenses!B$3:B$1002,SMALL(IF((Expenses!E$3:E$1002="INR")*(Expenses!A$3:A$1002=DATE(2026,7,10)),ROW(Expenses!A$3:A$1002)-2),2)),""),IF(IFERROR(INDEX(Income!B$3:B$502,SMALL(IF((Income!D$3:D$502="INR")*(Income!A$3:A$502=DATE(2026,7,10)),ROW(Income!A$3:A$502)-2),2)),"")&lt;&gt;"",IFERROR(INDEX(Income!B$3:B$502,SMALL(IF((Income!D$3:D$502="INR")*(Income!A$3:A$502=DATE(2026,7,10)),ROW(Income!A$3:A$502)-2),2)),""),""))</f>
        <v/>
      </c>
      <c r="M140" s="63" t="str">
        <f aca="false">IF(IFERROR(-INDEX(Expenses!D$3:D$1002,SMALL(IF((Expenses!E$3:E$1002="INR")*(Expenses!A$3:A$1002=DATE(2026,7,11)),ROW(Expenses!A$3:A$1002)-2),2)),0)+IFERROR(INDEX(Income!C$3:C$502,SMALL(IF((Income!D$3:D$502="INR")*(Income!A$3:A$502=DATE(2026,7,11)),ROW(Income!A$3:A$502)-2),2)),0)=0,"",IFERROR(-INDEX(Expenses!D$3:D$1002,SMALL(IF((Expenses!E$3:E$1002="INR")*(Expenses!A$3:A$1002=DATE(2026,7,11)),ROW(Expenses!A$3:A$1002)-2),2)),0)+IFERROR(INDEX(Income!C$3:C$502,SMALL(IF((Income!D$3:D$502="INR")*(Income!A$3:A$502=DATE(2026,7,11)),ROW(Income!A$3:A$502)-2),2)),0))</f>
        <v/>
      </c>
      <c r="N140" s="38" t="str">
        <f aca="false">IF(IFERROR(INDEX(Expenses!B$3:B$1002,SMALL(IF((Expenses!E$3:E$1002="INR")*(Expenses!A$3:A$1002=DATE(2026,7,11)),ROW(Expenses!A$3:A$1002)-2),2)),"")&lt;&gt;"",IFERROR(INDEX(Expenses!B$3:B$1002,SMALL(IF((Expenses!E$3:E$1002="INR")*(Expenses!A$3:A$1002=DATE(2026,7,11)),ROW(Expenses!A$3:A$1002)-2),2)),""),IF(IFERROR(INDEX(Income!B$3:B$502,SMALL(IF((Income!D$3:D$502="INR")*(Income!A$3:A$502=DATE(2026,7,11)),ROW(Income!A$3:A$502)-2),2)),"")&lt;&gt;"",IFERROR(INDEX(Income!B$3:B$502,SMALL(IF((Income!D$3:D$502="INR")*(Income!A$3:A$502=DATE(2026,7,11)),ROW(Income!A$3:A$502)-2),2)),""),""))</f>
        <v/>
      </c>
      <c r="O140" s="63" t="str">
        <f aca="false">IF(IFERROR(-INDEX(Expenses!D$3:D$1002,SMALL(IF((Expenses!E$3:E$1002="INR")*(Expenses!A$3:A$1002=DATE(2026,7,12)),ROW(Expenses!A$3:A$1002)-2),2)),0)+IFERROR(INDEX(Income!C$3:C$502,SMALL(IF((Income!D$3:D$502="INR")*(Income!A$3:A$502=DATE(2026,7,12)),ROW(Income!A$3:A$502)-2),2)),0)=0,"",IFERROR(-INDEX(Expenses!D$3:D$1002,SMALL(IF((Expenses!E$3:E$1002="INR")*(Expenses!A$3:A$1002=DATE(2026,7,12)),ROW(Expenses!A$3:A$1002)-2),2)),0)+IFERROR(INDEX(Income!C$3:C$502,SMALL(IF((Income!D$3:D$502="INR")*(Income!A$3:A$502=DATE(2026,7,12)),ROW(Income!A$3:A$502)-2),2)),0))</f>
        <v/>
      </c>
      <c r="P140" s="38" t="str">
        <f aca="false">IF(IFERROR(INDEX(Expenses!B$3:B$1002,SMALL(IF((Expenses!E$3:E$1002="INR")*(Expenses!A$3:A$1002=DATE(2026,7,12)),ROW(Expenses!A$3:A$1002)-2),2)),"")&lt;&gt;"",IFERROR(INDEX(Expenses!B$3:B$1002,SMALL(IF((Expenses!E$3:E$1002="INR")*(Expenses!A$3:A$1002=DATE(2026,7,12)),ROW(Expenses!A$3:A$1002)-2),2)),""),IF(IFERROR(INDEX(Income!B$3:B$502,SMALL(IF((Income!D$3:D$502="INR")*(Income!A$3:A$502=DATE(2026,7,12)),ROW(Income!A$3:A$502)-2),2)),"")&lt;&gt;"",IFERROR(INDEX(Income!B$3:B$502,SMALL(IF((Income!D$3:D$502="INR")*(Income!A$3:A$502=DATE(2026,7,12)),ROW(Income!A$3:A$502)-2),2)),""),""))</f>
        <v/>
      </c>
      <c r="Q140" s="16"/>
      <c r="R140" s="16"/>
    </row>
    <row r="141" customFormat="false" ht="15" hidden="false" customHeight="false" outlineLevel="0" collapsed="false">
      <c r="A141" s="16"/>
      <c r="B141" s="16"/>
      <c r="C141" s="63" t="str">
        <f aca="false">IF(IFERROR(-INDEX(Expenses!D$3:D$1002,SMALL(IF((Expenses!E$3:E$1002="INR")*(Expenses!A$3:A$1002=DATE(2026,7,6)),ROW(Expenses!A$3:A$1002)-2),3)),0)+IFERROR(INDEX(Income!C$3:C$502,SMALL(IF((Income!D$3:D$502="INR")*(Income!A$3:A$502=DATE(2026,7,6)),ROW(Income!A$3:A$502)-2),3)),0)=0,"",IFERROR(-INDEX(Expenses!D$3:D$1002,SMALL(IF((Expenses!E$3:E$1002="INR")*(Expenses!A$3:A$1002=DATE(2026,7,6)),ROW(Expenses!A$3:A$1002)-2),3)),0)+IFERROR(INDEX(Income!C$3:C$502,SMALL(IF((Income!D$3:D$502="INR")*(Income!A$3:A$502=DATE(2026,7,6)),ROW(Income!A$3:A$502)-2),3)),0))</f>
        <v/>
      </c>
      <c r="D141" s="38" t="str">
        <f aca="false">IF(IFERROR(INDEX(Expenses!B$3:B$1002,SMALL(IF((Expenses!E$3:E$1002="INR")*(Expenses!A$3:A$1002=DATE(2026,7,6)),ROW(Expenses!A$3:A$1002)-2),3)),"")&lt;&gt;"",IFERROR(INDEX(Expenses!B$3:B$1002,SMALL(IF((Expenses!E$3:E$1002="INR")*(Expenses!A$3:A$1002=DATE(2026,7,6)),ROW(Expenses!A$3:A$1002)-2),3)),""),IF(IFERROR(INDEX(Income!B$3:B$502,SMALL(IF((Income!D$3:D$502="INR")*(Income!A$3:A$502=DATE(2026,7,6)),ROW(Income!A$3:A$502)-2),3)),"")&lt;&gt;"",IFERROR(INDEX(Income!B$3:B$502,SMALL(IF((Income!D$3:D$502="INR")*(Income!A$3:A$502=DATE(2026,7,6)),ROW(Income!A$3:A$502)-2),3)),""),""))</f>
        <v/>
      </c>
      <c r="E141" s="63" t="str">
        <f aca="false">IF(IFERROR(-INDEX(Expenses!D$3:D$1002,SMALL(IF((Expenses!E$3:E$1002="INR")*(Expenses!A$3:A$1002=DATE(2026,7,7)),ROW(Expenses!A$3:A$1002)-2),3)),0)+IFERROR(INDEX(Income!C$3:C$502,SMALL(IF((Income!D$3:D$502="INR")*(Income!A$3:A$502=DATE(2026,7,7)),ROW(Income!A$3:A$502)-2),3)),0)=0,"",IFERROR(-INDEX(Expenses!D$3:D$1002,SMALL(IF((Expenses!E$3:E$1002="INR")*(Expenses!A$3:A$1002=DATE(2026,7,7)),ROW(Expenses!A$3:A$1002)-2),3)),0)+IFERROR(INDEX(Income!C$3:C$502,SMALL(IF((Income!D$3:D$502="INR")*(Income!A$3:A$502=DATE(2026,7,7)),ROW(Income!A$3:A$502)-2),3)),0))</f>
        <v/>
      </c>
      <c r="F141" s="38" t="str">
        <f aca="false">IF(IFERROR(INDEX(Expenses!B$3:B$1002,SMALL(IF((Expenses!E$3:E$1002="INR")*(Expenses!A$3:A$1002=DATE(2026,7,7)),ROW(Expenses!A$3:A$1002)-2),3)),"")&lt;&gt;"",IFERROR(INDEX(Expenses!B$3:B$1002,SMALL(IF((Expenses!E$3:E$1002="INR")*(Expenses!A$3:A$1002=DATE(2026,7,7)),ROW(Expenses!A$3:A$1002)-2),3)),""),IF(IFERROR(INDEX(Income!B$3:B$502,SMALL(IF((Income!D$3:D$502="INR")*(Income!A$3:A$502=DATE(2026,7,7)),ROW(Income!A$3:A$502)-2),3)),"")&lt;&gt;"",IFERROR(INDEX(Income!B$3:B$502,SMALL(IF((Income!D$3:D$502="INR")*(Income!A$3:A$502=DATE(2026,7,7)),ROW(Income!A$3:A$502)-2),3)),""),""))</f>
        <v/>
      </c>
      <c r="G141" s="63" t="str">
        <f aca="false">IF(IFERROR(-INDEX(Expenses!D$3:D$1002,SMALL(IF((Expenses!E$3:E$1002="INR")*(Expenses!A$3:A$1002=DATE(2026,7,8)),ROW(Expenses!A$3:A$1002)-2),3)),0)+IFERROR(INDEX(Income!C$3:C$502,SMALL(IF((Income!D$3:D$502="INR")*(Income!A$3:A$502=DATE(2026,7,8)),ROW(Income!A$3:A$502)-2),3)),0)=0,"",IFERROR(-INDEX(Expenses!D$3:D$1002,SMALL(IF((Expenses!E$3:E$1002="INR")*(Expenses!A$3:A$1002=DATE(2026,7,8)),ROW(Expenses!A$3:A$1002)-2),3)),0)+IFERROR(INDEX(Income!C$3:C$502,SMALL(IF((Income!D$3:D$502="INR")*(Income!A$3:A$502=DATE(2026,7,8)),ROW(Income!A$3:A$502)-2),3)),0))</f>
        <v/>
      </c>
      <c r="H141" s="38" t="str">
        <f aca="false">IF(IFERROR(INDEX(Expenses!B$3:B$1002,SMALL(IF((Expenses!E$3:E$1002="INR")*(Expenses!A$3:A$1002=DATE(2026,7,8)),ROW(Expenses!A$3:A$1002)-2),3)),"")&lt;&gt;"",IFERROR(INDEX(Expenses!B$3:B$1002,SMALL(IF((Expenses!E$3:E$1002="INR")*(Expenses!A$3:A$1002=DATE(2026,7,8)),ROW(Expenses!A$3:A$1002)-2),3)),""),IF(IFERROR(INDEX(Income!B$3:B$502,SMALL(IF((Income!D$3:D$502="INR")*(Income!A$3:A$502=DATE(2026,7,8)),ROW(Income!A$3:A$502)-2),3)),"")&lt;&gt;"",IFERROR(INDEX(Income!B$3:B$502,SMALL(IF((Income!D$3:D$502="INR")*(Income!A$3:A$502=DATE(2026,7,8)),ROW(Income!A$3:A$502)-2),3)),""),""))</f>
        <v/>
      </c>
      <c r="I141" s="63" t="str">
        <f aca="false">IF(IFERROR(-INDEX(Expenses!D$3:D$1002,SMALL(IF((Expenses!E$3:E$1002="INR")*(Expenses!A$3:A$1002=DATE(2026,7,9)),ROW(Expenses!A$3:A$1002)-2),3)),0)+IFERROR(INDEX(Income!C$3:C$502,SMALL(IF((Income!D$3:D$502="INR")*(Income!A$3:A$502=DATE(2026,7,9)),ROW(Income!A$3:A$502)-2),3)),0)=0,"",IFERROR(-INDEX(Expenses!D$3:D$1002,SMALL(IF((Expenses!E$3:E$1002="INR")*(Expenses!A$3:A$1002=DATE(2026,7,9)),ROW(Expenses!A$3:A$1002)-2),3)),0)+IFERROR(INDEX(Income!C$3:C$502,SMALL(IF((Income!D$3:D$502="INR")*(Income!A$3:A$502=DATE(2026,7,9)),ROW(Income!A$3:A$502)-2),3)),0))</f>
        <v/>
      </c>
      <c r="J141" s="38" t="str">
        <f aca="false">IF(IFERROR(INDEX(Expenses!B$3:B$1002,SMALL(IF((Expenses!E$3:E$1002="INR")*(Expenses!A$3:A$1002=DATE(2026,7,9)),ROW(Expenses!A$3:A$1002)-2),3)),"")&lt;&gt;"",IFERROR(INDEX(Expenses!B$3:B$1002,SMALL(IF((Expenses!E$3:E$1002="INR")*(Expenses!A$3:A$1002=DATE(2026,7,9)),ROW(Expenses!A$3:A$1002)-2),3)),""),IF(IFERROR(INDEX(Income!B$3:B$502,SMALL(IF((Income!D$3:D$502="INR")*(Income!A$3:A$502=DATE(2026,7,9)),ROW(Income!A$3:A$502)-2),3)),"")&lt;&gt;"",IFERROR(INDEX(Income!B$3:B$502,SMALL(IF((Income!D$3:D$502="INR")*(Income!A$3:A$502=DATE(2026,7,9)),ROW(Income!A$3:A$502)-2),3)),""),""))</f>
        <v/>
      </c>
      <c r="K141" s="63" t="str">
        <f aca="false">IF(IFERROR(-INDEX(Expenses!D$3:D$1002,SMALL(IF((Expenses!E$3:E$1002="INR")*(Expenses!A$3:A$1002=DATE(2026,7,10)),ROW(Expenses!A$3:A$1002)-2),3)),0)+IFERROR(INDEX(Income!C$3:C$502,SMALL(IF((Income!D$3:D$502="INR")*(Income!A$3:A$502=DATE(2026,7,10)),ROW(Income!A$3:A$502)-2),3)),0)=0,"",IFERROR(-INDEX(Expenses!D$3:D$1002,SMALL(IF((Expenses!E$3:E$1002="INR")*(Expenses!A$3:A$1002=DATE(2026,7,10)),ROW(Expenses!A$3:A$1002)-2),3)),0)+IFERROR(INDEX(Income!C$3:C$502,SMALL(IF((Income!D$3:D$502="INR")*(Income!A$3:A$502=DATE(2026,7,10)),ROW(Income!A$3:A$502)-2),3)),0))</f>
        <v/>
      </c>
      <c r="L141" s="38" t="str">
        <f aca="false">IF(IFERROR(INDEX(Expenses!B$3:B$1002,SMALL(IF((Expenses!E$3:E$1002="INR")*(Expenses!A$3:A$1002=DATE(2026,7,10)),ROW(Expenses!A$3:A$1002)-2),3)),"")&lt;&gt;"",IFERROR(INDEX(Expenses!B$3:B$1002,SMALL(IF((Expenses!E$3:E$1002="INR")*(Expenses!A$3:A$1002=DATE(2026,7,10)),ROW(Expenses!A$3:A$1002)-2),3)),""),IF(IFERROR(INDEX(Income!B$3:B$502,SMALL(IF((Income!D$3:D$502="INR")*(Income!A$3:A$502=DATE(2026,7,10)),ROW(Income!A$3:A$502)-2),3)),"")&lt;&gt;"",IFERROR(INDEX(Income!B$3:B$502,SMALL(IF((Income!D$3:D$502="INR")*(Income!A$3:A$502=DATE(2026,7,10)),ROW(Income!A$3:A$502)-2),3)),""),""))</f>
        <v/>
      </c>
      <c r="M141" s="63" t="str">
        <f aca="false">IF(IFERROR(-INDEX(Expenses!D$3:D$1002,SMALL(IF((Expenses!E$3:E$1002="INR")*(Expenses!A$3:A$1002=DATE(2026,7,11)),ROW(Expenses!A$3:A$1002)-2),3)),0)+IFERROR(INDEX(Income!C$3:C$502,SMALL(IF((Income!D$3:D$502="INR")*(Income!A$3:A$502=DATE(2026,7,11)),ROW(Income!A$3:A$502)-2),3)),0)=0,"",IFERROR(-INDEX(Expenses!D$3:D$1002,SMALL(IF((Expenses!E$3:E$1002="INR")*(Expenses!A$3:A$1002=DATE(2026,7,11)),ROW(Expenses!A$3:A$1002)-2),3)),0)+IFERROR(INDEX(Income!C$3:C$502,SMALL(IF((Income!D$3:D$502="INR")*(Income!A$3:A$502=DATE(2026,7,11)),ROW(Income!A$3:A$502)-2),3)),0))</f>
        <v/>
      </c>
      <c r="N141" s="38" t="str">
        <f aca="false">IF(IFERROR(INDEX(Expenses!B$3:B$1002,SMALL(IF((Expenses!E$3:E$1002="INR")*(Expenses!A$3:A$1002=DATE(2026,7,11)),ROW(Expenses!A$3:A$1002)-2),3)),"")&lt;&gt;"",IFERROR(INDEX(Expenses!B$3:B$1002,SMALL(IF((Expenses!E$3:E$1002="INR")*(Expenses!A$3:A$1002=DATE(2026,7,11)),ROW(Expenses!A$3:A$1002)-2),3)),""),IF(IFERROR(INDEX(Income!B$3:B$502,SMALL(IF((Income!D$3:D$502="INR")*(Income!A$3:A$502=DATE(2026,7,11)),ROW(Income!A$3:A$502)-2),3)),"")&lt;&gt;"",IFERROR(INDEX(Income!B$3:B$502,SMALL(IF((Income!D$3:D$502="INR")*(Income!A$3:A$502=DATE(2026,7,11)),ROW(Income!A$3:A$502)-2),3)),""),""))</f>
        <v/>
      </c>
      <c r="O141" s="63" t="str">
        <f aca="false">IF(IFERROR(-INDEX(Expenses!D$3:D$1002,SMALL(IF((Expenses!E$3:E$1002="INR")*(Expenses!A$3:A$1002=DATE(2026,7,12)),ROW(Expenses!A$3:A$1002)-2),3)),0)+IFERROR(INDEX(Income!C$3:C$502,SMALL(IF((Income!D$3:D$502="INR")*(Income!A$3:A$502=DATE(2026,7,12)),ROW(Income!A$3:A$502)-2),3)),0)=0,"",IFERROR(-INDEX(Expenses!D$3:D$1002,SMALL(IF((Expenses!E$3:E$1002="INR")*(Expenses!A$3:A$1002=DATE(2026,7,12)),ROW(Expenses!A$3:A$1002)-2),3)),0)+IFERROR(INDEX(Income!C$3:C$502,SMALL(IF((Income!D$3:D$502="INR")*(Income!A$3:A$502=DATE(2026,7,12)),ROW(Income!A$3:A$502)-2),3)),0))</f>
        <v/>
      </c>
      <c r="P141" s="38" t="str">
        <f aca="false">IF(IFERROR(INDEX(Expenses!B$3:B$1002,SMALL(IF((Expenses!E$3:E$1002="INR")*(Expenses!A$3:A$1002=DATE(2026,7,12)),ROW(Expenses!A$3:A$1002)-2),3)),"")&lt;&gt;"",IFERROR(INDEX(Expenses!B$3:B$1002,SMALL(IF((Expenses!E$3:E$1002="INR")*(Expenses!A$3:A$1002=DATE(2026,7,12)),ROW(Expenses!A$3:A$1002)-2),3)),""),IF(IFERROR(INDEX(Income!B$3:B$502,SMALL(IF((Income!D$3:D$502="INR")*(Income!A$3:A$502=DATE(2026,7,12)),ROW(Income!A$3:A$502)-2),3)),"")&lt;&gt;"",IFERROR(INDEX(Income!B$3:B$502,SMALL(IF((Income!D$3:D$502="INR")*(Income!A$3:A$502=DATE(2026,7,12)),ROW(Income!A$3:A$502)-2),3)),""),""))</f>
        <v/>
      </c>
      <c r="Q141" s="16"/>
      <c r="R141" s="16"/>
    </row>
    <row r="142" customFormat="false" ht="15" hidden="false" customHeight="false" outlineLevel="0" collapsed="false">
      <c r="A142" s="16"/>
      <c r="B142" s="16"/>
      <c r="C142" s="63" t="str">
        <f aca="false">IF(IFERROR(-INDEX(Expenses!D$3:D$1002,SMALL(IF((Expenses!E$3:E$1002="INR")*(Expenses!A$3:A$1002=DATE(2026,7,6)),ROW(Expenses!A$3:A$1002)-2),4)),0)+IFERROR(INDEX(Income!C$3:C$502,SMALL(IF((Income!D$3:D$502="INR")*(Income!A$3:A$502=DATE(2026,7,6)),ROW(Income!A$3:A$502)-2),4)),0)=0,"",IFERROR(-INDEX(Expenses!D$3:D$1002,SMALL(IF((Expenses!E$3:E$1002="INR")*(Expenses!A$3:A$1002=DATE(2026,7,6)),ROW(Expenses!A$3:A$1002)-2),4)),0)+IFERROR(INDEX(Income!C$3:C$502,SMALL(IF((Income!D$3:D$502="INR")*(Income!A$3:A$502=DATE(2026,7,6)),ROW(Income!A$3:A$502)-2),4)),0))</f>
        <v/>
      </c>
      <c r="D142" s="38" t="str">
        <f aca="false">IF(IFERROR(INDEX(Expenses!B$3:B$1002,SMALL(IF((Expenses!E$3:E$1002="INR")*(Expenses!A$3:A$1002=DATE(2026,7,6)),ROW(Expenses!A$3:A$1002)-2),4)),"")&lt;&gt;"",IFERROR(INDEX(Expenses!B$3:B$1002,SMALL(IF((Expenses!E$3:E$1002="INR")*(Expenses!A$3:A$1002=DATE(2026,7,6)),ROW(Expenses!A$3:A$1002)-2),4)),""),IF(IFERROR(INDEX(Income!B$3:B$502,SMALL(IF((Income!D$3:D$502="INR")*(Income!A$3:A$502=DATE(2026,7,6)),ROW(Income!A$3:A$502)-2),4)),"")&lt;&gt;"",IFERROR(INDEX(Income!B$3:B$502,SMALL(IF((Income!D$3:D$502="INR")*(Income!A$3:A$502=DATE(2026,7,6)),ROW(Income!A$3:A$502)-2),4)),""),""))</f>
        <v/>
      </c>
      <c r="E142" s="63" t="str">
        <f aca="false">IF(IFERROR(-INDEX(Expenses!D$3:D$1002,SMALL(IF((Expenses!E$3:E$1002="INR")*(Expenses!A$3:A$1002=DATE(2026,7,7)),ROW(Expenses!A$3:A$1002)-2),4)),0)+IFERROR(INDEX(Income!C$3:C$502,SMALL(IF((Income!D$3:D$502="INR")*(Income!A$3:A$502=DATE(2026,7,7)),ROW(Income!A$3:A$502)-2),4)),0)=0,"",IFERROR(-INDEX(Expenses!D$3:D$1002,SMALL(IF((Expenses!E$3:E$1002="INR")*(Expenses!A$3:A$1002=DATE(2026,7,7)),ROW(Expenses!A$3:A$1002)-2),4)),0)+IFERROR(INDEX(Income!C$3:C$502,SMALL(IF((Income!D$3:D$502="INR")*(Income!A$3:A$502=DATE(2026,7,7)),ROW(Income!A$3:A$502)-2),4)),0))</f>
        <v/>
      </c>
      <c r="F142" s="38" t="str">
        <f aca="false">IF(IFERROR(INDEX(Expenses!B$3:B$1002,SMALL(IF((Expenses!E$3:E$1002="INR")*(Expenses!A$3:A$1002=DATE(2026,7,7)),ROW(Expenses!A$3:A$1002)-2),4)),"")&lt;&gt;"",IFERROR(INDEX(Expenses!B$3:B$1002,SMALL(IF((Expenses!E$3:E$1002="INR")*(Expenses!A$3:A$1002=DATE(2026,7,7)),ROW(Expenses!A$3:A$1002)-2),4)),""),IF(IFERROR(INDEX(Income!B$3:B$502,SMALL(IF((Income!D$3:D$502="INR")*(Income!A$3:A$502=DATE(2026,7,7)),ROW(Income!A$3:A$502)-2),4)),"")&lt;&gt;"",IFERROR(INDEX(Income!B$3:B$502,SMALL(IF((Income!D$3:D$502="INR")*(Income!A$3:A$502=DATE(2026,7,7)),ROW(Income!A$3:A$502)-2),4)),""),""))</f>
        <v/>
      </c>
      <c r="G142" s="63" t="str">
        <f aca="false">IF(IFERROR(-INDEX(Expenses!D$3:D$1002,SMALL(IF((Expenses!E$3:E$1002="INR")*(Expenses!A$3:A$1002=DATE(2026,7,8)),ROW(Expenses!A$3:A$1002)-2),4)),0)+IFERROR(INDEX(Income!C$3:C$502,SMALL(IF((Income!D$3:D$502="INR")*(Income!A$3:A$502=DATE(2026,7,8)),ROW(Income!A$3:A$502)-2),4)),0)=0,"",IFERROR(-INDEX(Expenses!D$3:D$1002,SMALL(IF((Expenses!E$3:E$1002="INR")*(Expenses!A$3:A$1002=DATE(2026,7,8)),ROW(Expenses!A$3:A$1002)-2),4)),0)+IFERROR(INDEX(Income!C$3:C$502,SMALL(IF((Income!D$3:D$502="INR")*(Income!A$3:A$502=DATE(2026,7,8)),ROW(Income!A$3:A$502)-2),4)),0))</f>
        <v/>
      </c>
      <c r="H142" s="38" t="str">
        <f aca="false">IF(IFERROR(INDEX(Expenses!B$3:B$1002,SMALL(IF((Expenses!E$3:E$1002="INR")*(Expenses!A$3:A$1002=DATE(2026,7,8)),ROW(Expenses!A$3:A$1002)-2),4)),"")&lt;&gt;"",IFERROR(INDEX(Expenses!B$3:B$1002,SMALL(IF((Expenses!E$3:E$1002="INR")*(Expenses!A$3:A$1002=DATE(2026,7,8)),ROW(Expenses!A$3:A$1002)-2),4)),""),IF(IFERROR(INDEX(Income!B$3:B$502,SMALL(IF((Income!D$3:D$502="INR")*(Income!A$3:A$502=DATE(2026,7,8)),ROW(Income!A$3:A$502)-2),4)),"")&lt;&gt;"",IFERROR(INDEX(Income!B$3:B$502,SMALL(IF((Income!D$3:D$502="INR")*(Income!A$3:A$502=DATE(2026,7,8)),ROW(Income!A$3:A$502)-2),4)),""),""))</f>
        <v/>
      </c>
      <c r="I142" s="63" t="str">
        <f aca="false">IF(IFERROR(-INDEX(Expenses!D$3:D$1002,SMALL(IF((Expenses!E$3:E$1002="INR")*(Expenses!A$3:A$1002=DATE(2026,7,9)),ROW(Expenses!A$3:A$1002)-2),4)),0)+IFERROR(INDEX(Income!C$3:C$502,SMALL(IF((Income!D$3:D$502="INR")*(Income!A$3:A$502=DATE(2026,7,9)),ROW(Income!A$3:A$502)-2),4)),0)=0,"",IFERROR(-INDEX(Expenses!D$3:D$1002,SMALL(IF((Expenses!E$3:E$1002="INR")*(Expenses!A$3:A$1002=DATE(2026,7,9)),ROW(Expenses!A$3:A$1002)-2),4)),0)+IFERROR(INDEX(Income!C$3:C$502,SMALL(IF((Income!D$3:D$502="INR")*(Income!A$3:A$502=DATE(2026,7,9)),ROW(Income!A$3:A$502)-2),4)),0))</f>
        <v/>
      </c>
      <c r="J142" s="38" t="str">
        <f aca="false">IF(IFERROR(INDEX(Expenses!B$3:B$1002,SMALL(IF((Expenses!E$3:E$1002="INR")*(Expenses!A$3:A$1002=DATE(2026,7,9)),ROW(Expenses!A$3:A$1002)-2),4)),"")&lt;&gt;"",IFERROR(INDEX(Expenses!B$3:B$1002,SMALL(IF((Expenses!E$3:E$1002="INR")*(Expenses!A$3:A$1002=DATE(2026,7,9)),ROW(Expenses!A$3:A$1002)-2),4)),""),IF(IFERROR(INDEX(Income!B$3:B$502,SMALL(IF((Income!D$3:D$502="INR")*(Income!A$3:A$502=DATE(2026,7,9)),ROW(Income!A$3:A$502)-2),4)),"")&lt;&gt;"",IFERROR(INDEX(Income!B$3:B$502,SMALL(IF((Income!D$3:D$502="INR")*(Income!A$3:A$502=DATE(2026,7,9)),ROW(Income!A$3:A$502)-2),4)),""),""))</f>
        <v/>
      </c>
      <c r="K142" s="63" t="str">
        <f aca="false">IF(IFERROR(-INDEX(Expenses!D$3:D$1002,SMALL(IF((Expenses!E$3:E$1002="INR")*(Expenses!A$3:A$1002=DATE(2026,7,10)),ROW(Expenses!A$3:A$1002)-2),4)),0)+IFERROR(INDEX(Income!C$3:C$502,SMALL(IF((Income!D$3:D$502="INR")*(Income!A$3:A$502=DATE(2026,7,10)),ROW(Income!A$3:A$502)-2),4)),0)=0,"",IFERROR(-INDEX(Expenses!D$3:D$1002,SMALL(IF((Expenses!E$3:E$1002="INR")*(Expenses!A$3:A$1002=DATE(2026,7,10)),ROW(Expenses!A$3:A$1002)-2),4)),0)+IFERROR(INDEX(Income!C$3:C$502,SMALL(IF((Income!D$3:D$502="INR")*(Income!A$3:A$502=DATE(2026,7,10)),ROW(Income!A$3:A$502)-2),4)),0))</f>
        <v/>
      </c>
      <c r="L142" s="38" t="str">
        <f aca="false">IF(IFERROR(INDEX(Expenses!B$3:B$1002,SMALL(IF((Expenses!E$3:E$1002="INR")*(Expenses!A$3:A$1002=DATE(2026,7,10)),ROW(Expenses!A$3:A$1002)-2),4)),"")&lt;&gt;"",IFERROR(INDEX(Expenses!B$3:B$1002,SMALL(IF((Expenses!E$3:E$1002="INR")*(Expenses!A$3:A$1002=DATE(2026,7,10)),ROW(Expenses!A$3:A$1002)-2),4)),""),IF(IFERROR(INDEX(Income!B$3:B$502,SMALL(IF((Income!D$3:D$502="INR")*(Income!A$3:A$502=DATE(2026,7,10)),ROW(Income!A$3:A$502)-2),4)),"")&lt;&gt;"",IFERROR(INDEX(Income!B$3:B$502,SMALL(IF((Income!D$3:D$502="INR")*(Income!A$3:A$502=DATE(2026,7,10)),ROW(Income!A$3:A$502)-2),4)),""),""))</f>
        <v/>
      </c>
      <c r="M142" s="63" t="str">
        <f aca="false">IF(IFERROR(-INDEX(Expenses!D$3:D$1002,SMALL(IF((Expenses!E$3:E$1002="INR")*(Expenses!A$3:A$1002=DATE(2026,7,11)),ROW(Expenses!A$3:A$1002)-2),4)),0)+IFERROR(INDEX(Income!C$3:C$502,SMALL(IF((Income!D$3:D$502="INR")*(Income!A$3:A$502=DATE(2026,7,11)),ROW(Income!A$3:A$502)-2),4)),0)=0,"",IFERROR(-INDEX(Expenses!D$3:D$1002,SMALL(IF((Expenses!E$3:E$1002="INR")*(Expenses!A$3:A$1002=DATE(2026,7,11)),ROW(Expenses!A$3:A$1002)-2),4)),0)+IFERROR(INDEX(Income!C$3:C$502,SMALL(IF((Income!D$3:D$502="INR")*(Income!A$3:A$502=DATE(2026,7,11)),ROW(Income!A$3:A$502)-2),4)),0))</f>
        <v/>
      </c>
      <c r="N142" s="38" t="str">
        <f aca="false">IF(IFERROR(INDEX(Expenses!B$3:B$1002,SMALL(IF((Expenses!E$3:E$1002="INR")*(Expenses!A$3:A$1002=DATE(2026,7,11)),ROW(Expenses!A$3:A$1002)-2),4)),"")&lt;&gt;"",IFERROR(INDEX(Expenses!B$3:B$1002,SMALL(IF((Expenses!E$3:E$1002="INR")*(Expenses!A$3:A$1002=DATE(2026,7,11)),ROW(Expenses!A$3:A$1002)-2),4)),""),IF(IFERROR(INDEX(Income!B$3:B$502,SMALL(IF((Income!D$3:D$502="INR")*(Income!A$3:A$502=DATE(2026,7,11)),ROW(Income!A$3:A$502)-2),4)),"")&lt;&gt;"",IFERROR(INDEX(Income!B$3:B$502,SMALL(IF((Income!D$3:D$502="INR")*(Income!A$3:A$502=DATE(2026,7,11)),ROW(Income!A$3:A$502)-2),4)),""),""))</f>
        <v/>
      </c>
      <c r="O142" s="63" t="str">
        <f aca="false">IF(IFERROR(-INDEX(Expenses!D$3:D$1002,SMALL(IF((Expenses!E$3:E$1002="INR")*(Expenses!A$3:A$1002=DATE(2026,7,12)),ROW(Expenses!A$3:A$1002)-2),4)),0)+IFERROR(INDEX(Income!C$3:C$502,SMALL(IF((Income!D$3:D$502="INR")*(Income!A$3:A$502=DATE(2026,7,12)),ROW(Income!A$3:A$502)-2),4)),0)=0,"",IFERROR(-INDEX(Expenses!D$3:D$1002,SMALL(IF((Expenses!E$3:E$1002="INR")*(Expenses!A$3:A$1002=DATE(2026,7,12)),ROW(Expenses!A$3:A$1002)-2),4)),0)+IFERROR(INDEX(Income!C$3:C$502,SMALL(IF((Income!D$3:D$502="INR")*(Income!A$3:A$502=DATE(2026,7,12)),ROW(Income!A$3:A$502)-2),4)),0))</f>
        <v/>
      </c>
      <c r="P142" s="38" t="str">
        <f aca="false">IF(IFERROR(INDEX(Expenses!B$3:B$1002,SMALL(IF((Expenses!E$3:E$1002="INR")*(Expenses!A$3:A$1002=DATE(2026,7,12)),ROW(Expenses!A$3:A$1002)-2),4)),"")&lt;&gt;"",IFERROR(INDEX(Expenses!B$3:B$1002,SMALL(IF((Expenses!E$3:E$1002="INR")*(Expenses!A$3:A$1002=DATE(2026,7,12)),ROW(Expenses!A$3:A$1002)-2),4)),""),IF(IFERROR(INDEX(Income!B$3:B$502,SMALL(IF((Income!D$3:D$502="INR")*(Income!A$3:A$502=DATE(2026,7,12)),ROW(Income!A$3:A$502)-2),4)),"")&lt;&gt;"",IFERROR(INDEX(Income!B$3:B$502,SMALL(IF((Income!D$3:D$502="INR")*(Income!A$3:A$502=DATE(2026,7,12)),ROW(Income!A$3:A$502)-2),4)),""),""))</f>
        <v/>
      </c>
      <c r="Q142" s="16"/>
      <c r="R142" s="16"/>
    </row>
    <row r="143" customFormat="false" ht="15" hidden="false" customHeight="false" outlineLevel="0" collapsed="false">
      <c r="A143" s="16"/>
      <c r="B143" s="16"/>
      <c r="C143" s="63" t="str">
        <f aca="false">IF(IFERROR(-INDEX(Expenses!D$3:D$1002,SMALL(IF((Expenses!E$3:E$1002="INR")*(Expenses!A$3:A$1002=DATE(2026,7,6)),ROW(Expenses!A$3:A$1002)-2),5)),0)+IFERROR(INDEX(Income!C$3:C$502,SMALL(IF((Income!D$3:D$502="INR")*(Income!A$3:A$502=DATE(2026,7,6)),ROW(Income!A$3:A$502)-2),5)),0)=0,"",IFERROR(-INDEX(Expenses!D$3:D$1002,SMALL(IF((Expenses!E$3:E$1002="INR")*(Expenses!A$3:A$1002=DATE(2026,7,6)),ROW(Expenses!A$3:A$1002)-2),5)),0)+IFERROR(INDEX(Income!C$3:C$502,SMALL(IF((Income!D$3:D$502="INR")*(Income!A$3:A$502=DATE(2026,7,6)),ROW(Income!A$3:A$502)-2),5)),0))</f>
        <v/>
      </c>
      <c r="D143" s="38" t="str">
        <f aca="false">IF(IFERROR(INDEX(Expenses!B$3:B$1002,SMALL(IF((Expenses!E$3:E$1002="INR")*(Expenses!A$3:A$1002=DATE(2026,7,6)),ROW(Expenses!A$3:A$1002)-2),5)),"")&lt;&gt;"",IFERROR(INDEX(Expenses!B$3:B$1002,SMALL(IF((Expenses!E$3:E$1002="INR")*(Expenses!A$3:A$1002=DATE(2026,7,6)),ROW(Expenses!A$3:A$1002)-2),5)),""),IF(IFERROR(INDEX(Income!B$3:B$502,SMALL(IF((Income!D$3:D$502="INR")*(Income!A$3:A$502=DATE(2026,7,6)),ROW(Income!A$3:A$502)-2),5)),"")&lt;&gt;"",IFERROR(INDEX(Income!B$3:B$502,SMALL(IF((Income!D$3:D$502="INR")*(Income!A$3:A$502=DATE(2026,7,6)),ROW(Income!A$3:A$502)-2),5)),""),""))</f>
        <v/>
      </c>
      <c r="E143" s="63" t="str">
        <f aca="false">IF(IFERROR(-INDEX(Expenses!D$3:D$1002,SMALL(IF((Expenses!E$3:E$1002="INR")*(Expenses!A$3:A$1002=DATE(2026,7,7)),ROW(Expenses!A$3:A$1002)-2),5)),0)+IFERROR(INDEX(Income!C$3:C$502,SMALL(IF((Income!D$3:D$502="INR")*(Income!A$3:A$502=DATE(2026,7,7)),ROW(Income!A$3:A$502)-2),5)),0)=0,"",IFERROR(-INDEX(Expenses!D$3:D$1002,SMALL(IF((Expenses!E$3:E$1002="INR")*(Expenses!A$3:A$1002=DATE(2026,7,7)),ROW(Expenses!A$3:A$1002)-2),5)),0)+IFERROR(INDEX(Income!C$3:C$502,SMALL(IF((Income!D$3:D$502="INR")*(Income!A$3:A$502=DATE(2026,7,7)),ROW(Income!A$3:A$502)-2),5)),0))</f>
        <v/>
      </c>
      <c r="F143" s="38" t="str">
        <f aca="false">IF(IFERROR(INDEX(Expenses!B$3:B$1002,SMALL(IF((Expenses!E$3:E$1002="INR")*(Expenses!A$3:A$1002=DATE(2026,7,7)),ROW(Expenses!A$3:A$1002)-2),5)),"")&lt;&gt;"",IFERROR(INDEX(Expenses!B$3:B$1002,SMALL(IF((Expenses!E$3:E$1002="INR")*(Expenses!A$3:A$1002=DATE(2026,7,7)),ROW(Expenses!A$3:A$1002)-2),5)),""),IF(IFERROR(INDEX(Income!B$3:B$502,SMALL(IF((Income!D$3:D$502="INR")*(Income!A$3:A$502=DATE(2026,7,7)),ROW(Income!A$3:A$502)-2),5)),"")&lt;&gt;"",IFERROR(INDEX(Income!B$3:B$502,SMALL(IF((Income!D$3:D$502="INR")*(Income!A$3:A$502=DATE(2026,7,7)),ROW(Income!A$3:A$502)-2),5)),""),""))</f>
        <v/>
      </c>
      <c r="G143" s="63" t="str">
        <f aca="false">IF(IFERROR(-INDEX(Expenses!D$3:D$1002,SMALL(IF((Expenses!E$3:E$1002="INR")*(Expenses!A$3:A$1002=DATE(2026,7,8)),ROW(Expenses!A$3:A$1002)-2),5)),0)+IFERROR(INDEX(Income!C$3:C$502,SMALL(IF((Income!D$3:D$502="INR")*(Income!A$3:A$502=DATE(2026,7,8)),ROW(Income!A$3:A$502)-2),5)),0)=0,"",IFERROR(-INDEX(Expenses!D$3:D$1002,SMALL(IF((Expenses!E$3:E$1002="INR")*(Expenses!A$3:A$1002=DATE(2026,7,8)),ROW(Expenses!A$3:A$1002)-2),5)),0)+IFERROR(INDEX(Income!C$3:C$502,SMALL(IF((Income!D$3:D$502="INR")*(Income!A$3:A$502=DATE(2026,7,8)),ROW(Income!A$3:A$502)-2),5)),0))</f>
        <v/>
      </c>
      <c r="H143" s="38" t="str">
        <f aca="false">IF(IFERROR(INDEX(Expenses!B$3:B$1002,SMALL(IF((Expenses!E$3:E$1002="INR")*(Expenses!A$3:A$1002=DATE(2026,7,8)),ROW(Expenses!A$3:A$1002)-2),5)),"")&lt;&gt;"",IFERROR(INDEX(Expenses!B$3:B$1002,SMALL(IF((Expenses!E$3:E$1002="INR")*(Expenses!A$3:A$1002=DATE(2026,7,8)),ROW(Expenses!A$3:A$1002)-2),5)),""),IF(IFERROR(INDEX(Income!B$3:B$502,SMALL(IF((Income!D$3:D$502="INR")*(Income!A$3:A$502=DATE(2026,7,8)),ROW(Income!A$3:A$502)-2),5)),"")&lt;&gt;"",IFERROR(INDEX(Income!B$3:B$502,SMALL(IF((Income!D$3:D$502="INR")*(Income!A$3:A$502=DATE(2026,7,8)),ROW(Income!A$3:A$502)-2),5)),""),""))</f>
        <v/>
      </c>
      <c r="I143" s="63" t="str">
        <f aca="false">IF(IFERROR(-INDEX(Expenses!D$3:D$1002,SMALL(IF((Expenses!E$3:E$1002="INR")*(Expenses!A$3:A$1002=DATE(2026,7,9)),ROW(Expenses!A$3:A$1002)-2),5)),0)+IFERROR(INDEX(Income!C$3:C$502,SMALL(IF((Income!D$3:D$502="INR")*(Income!A$3:A$502=DATE(2026,7,9)),ROW(Income!A$3:A$502)-2),5)),0)=0,"",IFERROR(-INDEX(Expenses!D$3:D$1002,SMALL(IF((Expenses!E$3:E$1002="INR")*(Expenses!A$3:A$1002=DATE(2026,7,9)),ROW(Expenses!A$3:A$1002)-2),5)),0)+IFERROR(INDEX(Income!C$3:C$502,SMALL(IF((Income!D$3:D$502="INR")*(Income!A$3:A$502=DATE(2026,7,9)),ROW(Income!A$3:A$502)-2),5)),0))</f>
        <v/>
      </c>
      <c r="J143" s="38" t="str">
        <f aca="false">IF(IFERROR(INDEX(Expenses!B$3:B$1002,SMALL(IF((Expenses!E$3:E$1002="INR")*(Expenses!A$3:A$1002=DATE(2026,7,9)),ROW(Expenses!A$3:A$1002)-2),5)),"")&lt;&gt;"",IFERROR(INDEX(Expenses!B$3:B$1002,SMALL(IF((Expenses!E$3:E$1002="INR")*(Expenses!A$3:A$1002=DATE(2026,7,9)),ROW(Expenses!A$3:A$1002)-2),5)),""),IF(IFERROR(INDEX(Income!B$3:B$502,SMALL(IF((Income!D$3:D$502="INR")*(Income!A$3:A$502=DATE(2026,7,9)),ROW(Income!A$3:A$502)-2),5)),"")&lt;&gt;"",IFERROR(INDEX(Income!B$3:B$502,SMALL(IF((Income!D$3:D$502="INR")*(Income!A$3:A$502=DATE(2026,7,9)),ROW(Income!A$3:A$502)-2),5)),""),""))</f>
        <v/>
      </c>
      <c r="K143" s="63" t="str">
        <f aca="false">IF(IFERROR(-INDEX(Expenses!D$3:D$1002,SMALL(IF((Expenses!E$3:E$1002="INR")*(Expenses!A$3:A$1002=DATE(2026,7,10)),ROW(Expenses!A$3:A$1002)-2),5)),0)+IFERROR(INDEX(Income!C$3:C$502,SMALL(IF((Income!D$3:D$502="INR")*(Income!A$3:A$502=DATE(2026,7,10)),ROW(Income!A$3:A$502)-2),5)),0)=0,"",IFERROR(-INDEX(Expenses!D$3:D$1002,SMALL(IF((Expenses!E$3:E$1002="INR")*(Expenses!A$3:A$1002=DATE(2026,7,10)),ROW(Expenses!A$3:A$1002)-2),5)),0)+IFERROR(INDEX(Income!C$3:C$502,SMALL(IF((Income!D$3:D$502="INR")*(Income!A$3:A$502=DATE(2026,7,10)),ROW(Income!A$3:A$502)-2),5)),0))</f>
        <v/>
      </c>
      <c r="L143" s="38" t="str">
        <f aca="false">IF(IFERROR(INDEX(Expenses!B$3:B$1002,SMALL(IF((Expenses!E$3:E$1002="INR")*(Expenses!A$3:A$1002=DATE(2026,7,10)),ROW(Expenses!A$3:A$1002)-2),5)),"")&lt;&gt;"",IFERROR(INDEX(Expenses!B$3:B$1002,SMALL(IF((Expenses!E$3:E$1002="INR")*(Expenses!A$3:A$1002=DATE(2026,7,10)),ROW(Expenses!A$3:A$1002)-2),5)),""),IF(IFERROR(INDEX(Income!B$3:B$502,SMALL(IF((Income!D$3:D$502="INR")*(Income!A$3:A$502=DATE(2026,7,10)),ROW(Income!A$3:A$502)-2),5)),"")&lt;&gt;"",IFERROR(INDEX(Income!B$3:B$502,SMALL(IF((Income!D$3:D$502="INR")*(Income!A$3:A$502=DATE(2026,7,10)),ROW(Income!A$3:A$502)-2),5)),""),""))</f>
        <v/>
      </c>
      <c r="M143" s="63" t="str">
        <f aca="false">IF(IFERROR(-INDEX(Expenses!D$3:D$1002,SMALL(IF((Expenses!E$3:E$1002="INR")*(Expenses!A$3:A$1002=DATE(2026,7,11)),ROW(Expenses!A$3:A$1002)-2),5)),0)+IFERROR(INDEX(Income!C$3:C$502,SMALL(IF((Income!D$3:D$502="INR")*(Income!A$3:A$502=DATE(2026,7,11)),ROW(Income!A$3:A$502)-2),5)),0)=0,"",IFERROR(-INDEX(Expenses!D$3:D$1002,SMALL(IF((Expenses!E$3:E$1002="INR")*(Expenses!A$3:A$1002=DATE(2026,7,11)),ROW(Expenses!A$3:A$1002)-2),5)),0)+IFERROR(INDEX(Income!C$3:C$502,SMALL(IF((Income!D$3:D$502="INR")*(Income!A$3:A$502=DATE(2026,7,11)),ROW(Income!A$3:A$502)-2),5)),0))</f>
        <v/>
      </c>
      <c r="N143" s="38" t="str">
        <f aca="false">IF(IFERROR(INDEX(Expenses!B$3:B$1002,SMALL(IF((Expenses!E$3:E$1002="INR")*(Expenses!A$3:A$1002=DATE(2026,7,11)),ROW(Expenses!A$3:A$1002)-2),5)),"")&lt;&gt;"",IFERROR(INDEX(Expenses!B$3:B$1002,SMALL(IF((Expenses!E$3:E$1002="INR")*(Expenses!A$3:A$1002=DATE(2026,7,11)),ROW(Expenses!A$3:A$1002)-2),5)),""),IF(IFERROR(INDEX(Income!B$3:B$502,SMALL(IF((Income!D$3:D$502="INR")*(Income!A$3:A$502=DATE(2026,7,11)),ROW(Income!A$3:A$502)-2),5)),"")&lt;&gt;"",IFERROR(INDEX(Income!B$3:B$502,SMALL(IF((Income!D$3:D$502="INR")*(Income!A$3:A$502=DATE(2026,7,11)),ROW(Income!A$3:A$502)-2),5)),""),""))</f>
        <v/>
      </c>
      <c r="O143" s="63" t="str">
        <f aca="false">IF(IFERROR(-INDEX(Expenses!D$3:D$1002,SMALL(IF((Expenses!E$3:E$1002="INR")*(Expenses!A$3:A$1002=DATE(2026,7,12)),ROW(Expenses!A$3:A$1002)-2),5)),0)+IFERROR(INDEX(Income!C$3:C$502,SMALL(IF((Income!D$3:D$502="INR")*(Income!A$3:A$502=DATE(2026,7,12)),ROW(Income!A$3:A$502)-2),5)),0)=0,"",IFERROR(-INDEX(Expenses!D$3:D$1002,SMALL(IF((Expenses!E$3:E$1002="INR")*(Expenses!A$3:A$1002=DATE(2026,7,12)),ROW(Expenses!A$3:A$1002)-2),5)),0)+IFERROR(INDEX(Income!C$3:C$502,SMALL(IF((Income!D$3:D$502="INR")*(Income!A$3:A$502=DATE(2026,7,12)),ROW(Income!A$3:A$502)-2),5)),0))</f>
        <v/>
      </c>
      <c r="P143" s="38" t="str">
        <f aca="false">IF(IFERROR(INDEX(Expenses!B$3:B$1002,SMALL(IF((Expenses!E$3:E$1002="INR")*(Expenses!A$3:A$1002=DATE(2026,7,12)),ROW(Expenses!A$3:A$1002)-2),5)),"")&lt;&gt;"",IFERROR(INDEX(Expenses!B$3:B$1002,SMALL(IF((Expenses!E$3:E$1002="INR")*(Expenses!A$3:A$1002=DATE(2026,7,12)),ROW(Expenses!A$3:A$1002)-2),5)),""),IF(IFERROR(INDEX(Income!B$3:B$502,SMALL(IF((Income!D$3:D$502="INR")*(Income!A$3:A$502=DATE(2026,7,12)),ROW(Income!A$3:A$502)-2),5)),"")&lt;&gt;"",IFERROR(INDEX(Income!B$3:B$502,SMALL(IF((Income!D$3:D$502="INR")*(Income!A$3:A$502=DATE(2026,7,12)),ROW(Income!A$3:A$502)-2),5)),""),""))</f>
        <v/>
      </c>
      <c r="Q143" s="16"/>
      <c r="R143" s="16"/>
    </row>
    <row r="144" customFormat="false" ht="15" hidden="false" customHeight="false" outlineLevel="0" collapsed="false">
      <c r="A144" s="61" t="n">
        <v>46216</v>
      </c>
      <c r="B144" s="3" t="n">
        <v>29</v>
      </c>
      <c r="C144" s="63" t="str">
        <f aca="false">IF(IFERROR(-INDEX(Expenses!D$3:D$1002,SMALL(IF((Expenses!E$3:E$1002="INR")*(Expenses!A$3:A$1002=DATE(2026,7,13)),ROW(Expenses!A$3:A$1002)-2),1)),0)+IFERROR(INDEX(Income!C$3:C$502,SMALL(IF((Income!D$3:D$502="INR")*(Income!A$3:A$502=DATE(2026,7,13)),ROW(Income!A$3:A$502)-2),1)),0)=0,"",IFERROR(-INDEX(Expenses!D$3:D$1002,SMALL(IF((Expenses!E$3:E$1002="INR")*(Expenses!A$3:A$1002=DATE(2026,7,13)),ROW(Expenses!A$3:A$1002)-2),1)),0)+IFERROR(INDEX(Income!C$3:C$502,SMALL(IF((Income!D$3:D$502="INR")*(Income!A$3:A$502=DATE(2026,7,13)),ROW(Income!A$3:A$502)-2),1)),0))</f>
        <v/>
      </c>
      <c r="D144" s="38" t="str">
        <f aca="false">IF(IFERROR(INDEX(Expenses!B$3:B$1002,SMALL(IF((Expenses!E$3:E$1002="INR")*(Expenses!A$3:A$1002=DATE(2026,7,13)),ROW(Expenses!A$3:A$1002)-2),1)),"")&lt;&gt;"",IFERROR(INDEX(Expenses!B$3:B$1002,SMALL(IF((Expenses!E$3:E$1002="INR")*(Expenses!A$3:A$1002=DATE(2026,7,13)),ROW(Expenses!A$3:A$1002)-2),1)),""),IF(IFERROR(INDEX(Income!B$3:B$502,SMALL(IF((Income!D$3:D$502="INR")*(Income!A$3:A$502=DATE(2026,7,13)),ROW(Income!A$3:A$502)-2),1)),"")&lt;&gt;"",IFERROR(INDEX(Income!B$3:B$502,SMALL(IF((Income!D$3:D$502="INR")*(Income!A$3:A$502=DATE(2026,7,13)),ROW(Income!A$3:A$502)-2),1)),""),""))</f>
        <v/>
      </c>
      <c r="E144" s="63" t="str">
        <f aca="false">IF(IFERROR(-INDEX(Expenses!D$3:D$1002,SMALL(IF((Expenses!E$3:E$1002="INR")*(Expenses!A$3:A$1002=DATE(2026,7,14)),ROW(Expenses!A$3:A$1002)-2),1)),0)+IFERROR(INDEX(Income!C$3:C$502,SMALL(IF((Income!D$3:D$502="INR")*(Income!A$3:A$502=DATE(2026,7,14)),ROW(Income!A$3:A$502)-2),1)),0)=0,"",IFERROR(-INDEX(Expenses!D$3:D$1002,SMALL(IF((Expenses!E$3:E$1002="INR")*(Expenses!A$3:A$1002=DATE(2026,7,14)),ROW(Expenses!A$3:A$1002)-2),1)),0)+IFERROR(INDEX(Income!C$3:C$502,SMALL(IF((Income!D$3:D$502="INR")*(Income!A$3:A$502=DATE(2026,7,14)),ROW(Income!A$3:A$502)-2),1)),0))</f>
        <v/>
      </c>
      <c r="F144" s="38" t="str">
        <f aca="false">IF(IFERROR(INDEX(Expenses!B$3:B$1002,SMALL(IF((Expenses!E$3:E$1002="INR")*(Expenses!A$3:A$1002=DATE(2026,7,14)),ROW(Expenses!A$3:A$1002)-2),1)),"")&lt;&gt;"",IFERROR(INDEX(Expenses!B$3:B$1002,SMALL(IF((Expenses!E$3:E$1002="INR")*(Expenses!A$3:A$1002=DATE(2026,7,14)),ROW(Expenses!A$3:A$1002)-2),1)),""),IF(IFERROR(INDEX(Income!B$3:B$502,SMALL(IF((Income!D$3:D$502="INR")*(Income!A$3:A$502=DATE(2026,7,14)),ROW(Income!A$3:A$502)-2),1)),"")&lt;&gt;"",IFERROR(INDEX(Income!B$3:B$502,SMALL(IF((Income!D$3:D$502="INR")*(Income!A$3:A$502=DATE(2026,7,14)),ROW(Income!A$3:A$502)-2),1)),""),""))</f>
        <v/>
      </c>
      <c r="G144" s="63" t="str">
        <f aca="false">IF(IFERROR(-INDEX(Expenses!D$3:D$1002,SMALL(IF((Expenses!E$3:E$1002="INR")*(Expenses!A$3:A$1002=DATE(2026,7,15)),ROW(Expenses!A$3:A$1002)-2),1)),0)+IFERROR(INDEX(Income!C$3:C$502,SMALL(IF((Income!D$3:D$502="INR")*(Income!A$3:A$502=DATE(2026,7,15)),ROW(Income!A$3:A$502)-2),1)),0)=0,"",IFERROR(-INDEX(Expenses!D$3:D$1002,SMALL(IF((Expenses!E$3:E$1002="INR")*(Expenses!A$3:A$1002=DATE(2026,7,15)),ROW(Expenses!A$3:A$1002)-2),1)),0)+IFERROR(INDEX(Income!C$3:C$502,SMALL(IF((Income!D$3:D$502="INR")*(Income!A$3:A$502=DATE(2026,7,15)),ROW(Income!A$3:A$502)-2),1)),0))</f>
        <v/>
      </c>
      <c r="H144" s="38" t="str">
        <f aca="false">IF(IFERROR(INDEX(Expenses!B$3:B$1002,SMALL(IF((Expenses!E$3:E$1002="INR")*(Expenses!A$3:A$1002=DATE(2026,7,15)),ROW(Expenses!A$3:A$1002)-2),1)),"")&lt;&gt;"",IFERROR(INDEX(Expenses!B$3:B$1002,SMALL(IF((Expenses!E$3:E$1002="INR")*(Expenses!A$3:A$1002=DATE(2026,7,15)),ROW(Expenses!A$3:A$1002)-2),1)),""),IF(IFERROR(INDEX(Income!B$3:B$502,SMALL(IF((Income!D$3:D$502="INR")*(Income!A$3:A$502=DATE(2026,7,15)),ROW(Income!A$3:A$502)-2),1)),"")&lt;&gt;"",IFERROR(INDEX(Income!B$3:B$502,SMALL(IF((Income!D$3:D$502="INR")*(Income!A$3:A$502=DATE(2026,7,15)),ROW(Income!A$3:A$502)-2),1)),""),""))</f>
        <v/>
      </c>
      <c r="I144" s="63" t="str">
        <f aca="false">IF(IFERROR(-INDEX(Expenses!D$3:D$1002,SMALL(IF((Expenses!E$3:E$1002="INR")*(Expenses!A$3:A$1002=DATE(2026,7,16)),ROW(Expenses!A$3:A$1002)-2),1)),0)+IFERROR(INDEX(Income!C$3:C$502,SMALL(IF((Income!D$3:D$502="INR")*(Income!A$3:A$502=DATE(2026,7,16)),ROW(Income!A$3:A$502)-2),1)),0)=0,"",IFERROR(-INDEX(Expenses!D$3:D$1002,SMALL(IF((Expenses!E$3:E$1002="INR")*(Expenses!A$3:A$1002=DATE(2026,7,16)),ROW(Expenses!A$3:A$1002)-2),1)),0)+IFERROR(INDEX(Income!C$3:C$502,SMALL(IF((Income!D$3:D$502="INR")*(Income!A$3:A$502=DATE(2026,7,16)),ROW(Income!A$3:A$502)-2),1)),0))</f>
        <v/>
      </c>
      <c r="J144" s="38" t="str">
        <f aca="false">IF(IFERROR(INDEX(Expenses!B$3:B$1002,SMALL(IF((Expenses!E$3:E$1002="INR")*(Expenses!A$3:A$1002=DATE(2026,7,16)),ROW(Expenses!A$3:A$1002)-2),1)),"")&lt;&gt;"",IFERROR(INDEX(Expenses!B$3:B$1002,SMALL(IF((Expenses!E$3:E$1002="INR")*(Expenses!A$3:A$1002=DATE(2026,7,16)),ROW(Expenses!A$3:A$1002)-2),1)),""),IF(IFERROR(INDEX(Income!B$3:B$502,SMALL(IF((Income!D$3:D$502="INR")*(Income!A$3:A$502=DATE(2026,7,16)),ROW(Income!A$3:A$502)-2),1)),"")&lt;&gt;"",IFERROR(INDEX(Income!B$3:B$502,SMALL(IF((Income!D$3:D$502="INR")*(Income!A$3:A$502=DATE(2026,7,16)),ROW(Income!A$3:A$502)-2),1)),""),""))</f>
        <v/>
      </c>
      <c r="K144" s="63" t="str">
        <f aca="false">IF(IFERROR(-INDEX(Expenses!D$3:D$1002,SMALL(IF((Expenses!E$3:E$1002="INR")*(Expenses!A$3:A$1002=DATE(2026,7,17)),ROW(Expenses!A$3:A$1002)-2),1)),0)+IFERROR(INDEX(Income!C$3:C$502,SMALL(IF((Income!D$3:D$502="INR")*(Income!A$3:A$502=DATE(2026,7,17)),ROW(Income!A$3:A$502)-2),1)),0)=0,"",IFERROR(-INDEX(Expenses!D$3:D$1002,SMALL(IF((Expenses!E$3:E$1002="INR")*(Expenses!A$3:A$1002=DATE(2026,7,17)),ROW(Expenses!A$3:A$1002)-2),1)),0)+IFERROR(INDEX(Income!C$3:C$502,SMALL(IF((Income!D$3:D$502="INR")*(Income!A$3:A$502=DATE(2026,7,17)),ROW(Income!A$3:A$502)-2),1)),0))</f>
        <v/>
      </c>
      <c r="L144" s="38" t="str">
        <f aca="false">IF(IFERROR(INDEX(Expenses!B$3:B$1002,SMALL(IF((Expenses!E$3:E$1002="INR")*(Expenses!A$3:A$1002=DATE(2026,7,17)),ROW(Expenses!A$3:A$1002)-2),1)),"")&lt;&gt;"",IFERROR(INDEX(Expenses!B$3:B$1002,SMALL(IF((Expenses!E$3:E$1002="INR")*(Expenses!A$3:A$1002=DATE(2026,7,17)),ROW(Expenses!A$3:A$1002)-2),1)),""),IF(IFERROR(INDEX(Income!B$3:B$502,SMALL(IF((Income!D$3:D$502="INR")*(Income!A$3:A$502=DATE(2026,7,17)),ROW(Income!A$3:A$502)-2),1)),"")&lt;&gt;"",IFERROR(INDEX(Income!B$3:B$502,SMALL(IF((Income!D$3:D$502="INR")*(Income!A$3:A$502=DATE(2026,7,17)),ROW(Income!A$3:A$502)-2),1)),""),""))</f>
        <v/>
      </c>
      <c r="M144" s="63" t="str">
        <f aca="false">IF(IFERROR(-INDEX(Expenses!D$3:D$1002,SMALL(IF((Expenses!E$3:E$1002="INR")*(Expenses!A$3:A$1002=DATE(2026,7,18)),ROW(Expenses!A$3:A$1002)-2),1)),0)+IFERROR(INDEX(Income!C$3:C$502,SMALL(IF((Income!D$3:D$502="INR")*(Income!A$3:A$502=DATE(2026,7,18)),ROW(Income!A$3:A$502)-2),1)),0)=0,"",IFERROR(-INDEX(Expenses!D$3:D$1002,SMALL(IF((Expenses!E$3:E$1002="INR")*(Expenses!A$3:A$1002=DATE(2026,7,18)),ROW(Expenses!A$3:A$1002)-2),1)),0)+IFERROR(INDEX(Income!C$3:C$502,SMALL(IF((Income!D$3:D$502="INR")*(Income!A$3:A$502=DATE(2026,7,18)),ROW(Income!A$3:A$502)-2),1)),0))</f>
        <v/>
      </c>
      <c r="N144" s="38" t="str">
        <f aca="false">IF(IFERROR(INDEX(Expenses!B$3:B$1002,SMALL(IF((Expenses!E$3:E$1002="INR")*(Expenses!A$3:A$1002=DATE(2026,7,18)),ROW(Expenses!A$3:A$1002)-2),1)),"")&lt;&gt;"",IFERROR(INDEX(Expenses!B$3:B$1002,SMALL(IF((Expenses!E$3:E$1002="INR")*(Expenses!A$3:A$1002=DATE(2026,7,18)),ROW(Expenses!A$3:A$1002)-2),1)),""),IF(IFERROR(INDEX(Income!B$3:B$502,SMALL(IF((Income!D$3:D$502="INR")*(Income!A$3:A$502=DATE(2026,7,18)),ROW(Income!A$3:A$502)-2),1)),"")&lt;&gt;"",IFERROR(INDEX(Income!B$3:B$502,SMALL(IF((Income!D$3:D$502="INR")*(Income!A$3:A$502=DATE(2026,7,18)),ROW(Income!A$3:A$502)-2),1)),""),""))</f>
        <v/>
      </c>
      <c r="O144" s="63" t="str">
        <f aca="false">IF(IFERROR(-INDEX(Expenses!D$3:D$1002,SMALL(IF((Expenses!E$3:E$1002="INR")*(Expenses!A$3:A$1002=DATE(2026,7,19)),ROW(Expenses!A$3:A$1002)-2),1)),0)+IFERROR(INDEX(Income!C$3:C$502,SMALL(IF((Income!D$3:D$502="INR")*(Income!A$3:A$502=DATE(2026,7,19)),ROW(Income!A$3:A$502)-2),1)),0)=0,"",IFERROR(-INDEX(Expenses!D$3:D$1002,SMALL(IF((Expenses!E$3:E$1002="INR")*(Expenses!A$3:A$1002=DATE(2026,7,19)),ROW(Expenses!A$3:A$1002)-2),1)),0)+IFERROR(INDEX(Income!C$3:C$502,SMALL(IF((Income!D$3:D$502="INR")*(Income!A$3:A$502=DATE(2026,7,19)),ROW(Income!A$3:A$502)-2),1)),0))</f>
        <v/>
      </c>
      <c r="P144" s="38" t="str">
        <f aca="false">IF(IFERROR(INDEX(Expenses!B$3:B$1002,SMALL(IF((Expenses!E$3:E$1002="INR")*(Expenses!A$3:A$1002=DATE(2026,7,19)),ROW(Expenses!A$3:A$1002)-2),1)),"")&lt;&gt;"",IFERROR(INDEX(Expenses!B$3:B$1002,SMALL(IF((Expenses!E$3:E$1002="INR")*(Expenses!A$3:A$1002=DATE(2026,7,19)),ROW(Expenses!A$3:A$1002)-2),1)),""),IF(IFERROR(INDEX(Income!B$3:B$502,SMALL(IF((Income!D$3:D$502="INR")*(Income!A$3:A$502=DATE(2026,7,19)),ROW(Income!A$3:A$502)-2),1)),"")&lt;&gt;"",IFERROR(INDEX(Income!B$3:B$502,SMALL(IF((Income!D$3:D$502="INR")*(Income!A$3:A$502=DATE(2026,7,19)),ROW(Income!A$3:A$502)-2),1)),""),""))</f>
        <v/>
      </c>
      <c r="Q144" s="3" t="n">
        <v>29</v>
      </c>
      <c r="R144" s="53" t="n">
        <f aca="false">SUM(C144:C148)+SUM(E144:E148)+SUM(G144:G148)+SUM(I144:I148)+SUM(K144:K148)+SUM(M144:M148)+SUM(O144:O148)</f>
        <v>0</v>
      </c>
    </row>
    <row r="145" customFormat="false" ht="15" hidden="false" customHeight="false" outlineLevel="0" collapsed="false">
      <c r="A145" s="16"/>
      <c r="B145" s="16"/>
      <c r="C145" s="63" t="str">
        <f aca="false">IF(IFERROR(-INDEX(Expenses!D$3:D$1002,SMALL(IF((Expenses!E$3:E$1002="INR")*(Expenses!A$3:A$1002=DATE(2026,7,13)),ROW(Expenses!A$3:A$1002)-2),2)),0)+IFERROR(INDEX(Income!C$3:C$502,SMALL(IF((Income!D$3:D$502="INR")*(Income!A$3:A$502=DATE(2026,7,13)),ROW(Income!A$3:A$502)-2),2)),0)=0,"",IFERROR(-INDEX(Expenses!D$3:D$1002,SMALL(IF((Expenses!E$3:E$1002="INR")*(Expenses!A$3:A$1002=DATE(2026,7,13)),ROW(Expenses!A$3:A$1002)-2),2)),0)+IFERROR(INDEX(Income!C$3:C$502,SMALL(IF((Income!D$3:D$502="INR")*(Income!A$3:A$502=DATE(2026,7,13)),ROW(Income!A$3:A$502)-2),2)),0))</f>
        <v/>
      </c>
      <c r="D145" s="38" t="str">
        <f aca="false">IF(IFERROR(INDEX(Expenses!B$3:B$1002,SMALL(IF((Expenses!E$3:E$1002="INR")*(Expenses!A$3:A$1002=DATE(2026,7,13)),ROW(Expenses!A$3:A$1002)-2),2)),"")&lt;&gt;"",IFERROR(INDEX(Expenses!B$3:B$1002,SMALL(IF((Expenses!E$3:E$1002="INR")*(Expenses!A$3:A$1002=DATE(2026,7,13)),ROW(Expenses!A$3:A$1002)-2),2)),""),IF(IFERROR(INDEX(Income!B$3:B$502,SMALL(IF((Income!D$3:D$502="INR")*(Income!A$3:A$502=DATE(2026,7,13)),ROW(Income!A$3:A$502)-2),2)),"")&lt;&gt;"",IFERROR(INDEX(Income!B$3:B$502,SMALL(IF((Income!D$3:D$502="INR")*(Income!A$3:A$502=DATE(2026,7,13)),ROW(Income!A$3:A$502)-2),2)),""),""))</f>
        <v/>
      </c>
      <c r="E145" s="63" t="str">
        <f aca="false">IF(IFERROR(-INDEX(Expenses!D$3:D$1002,SMALL(IF((Expenses!E$3:E$1002="INR")*(Expenses!A$3:A$1002=DATE(2026,7,14)),ROW(Expenses!A$3:A$1002)-2),2)),0)+IFERROR(INDEX(Income!C$3:C$502,SMALL(IF((Income!D$3:D$502="INR")*(Income!A$3:A$502=DATE(2026,7,14)),ROW(Income!A$3:A$502)-2),2)),0)=0,"",IFERROR(-INDEX(Expenses!D$3:D$1002,SMALL(IF((Expenses!E$3:E$1002="INR")*(Expenses!A$3:A$1002=DATE(2026,7,14)),ROW(Expenses!A$3:A$1002)-2),2)),0)+IFERROR(INDEX(Income!C$3:C$502,SMALL(IF((Income!D$3:D$502="INR")*(Income!A$3:A$502=DATE(2026,7,14)),ROW(Income!A$3:A$502)-2),2)),0))</f>
        <v/>
      </c>
      <c r="F145" s="38" t="str">
        <f aca="false">IF(IFERROR(INDEX(Expenses!B$3:B$1002,SMALL(IF((Expenses!E$3:E$1002="INR")*(Expenses!A$3:A$1002=DATE(2026,7,14)),ROW(Expenses!A$3:A$1002)-2),2)),"")&lt;&gt;"",IFERROR(INDEX(Expenses!B$3:B$1002,SMALL(IF((Expenses!E$3:E$1002="INR")*(Expenses!A$3:A$1002=DATE(2026,7,14)),ROW(Expenses!A$3:A$1002)-2),2)),""),IF(IFERROR(INDEX(Income!B$3:B$502,SMALL(IF((Income!D$3:D$502="INR")*(Income!A$3:A$502=DATE(2026,7,14)),ROW(Income!A$3:A$502)-2),2)),"")&lt;&gt;"",IFERROR(INDEX(Income!B$3:B$502,SMALL(IF((Income!D$3:D$502="INR")*(Income!A$3:A$502=DATE(2026,7,14)),ROW(Income!A$3:A$502)-2),2)),""),""))</f>
        <v/>
      </c>
      <c r="G145" s="63" t="str">
        <f aca="false">IF(IFERROR(-INDEX(Expenses!D$3:D$1002,SMALL(IF((Expenses!E$3:E$1002="INR")*(Expenses!A$3:A$1002=DATE(2026,7,15)),ROW(Expenses!A$3:A$1002)-2),2)),0)+IFERROR(INDEX(Income!C$3:C$502,SMALL(IF((Income!D$3:D$502="INR")*(Income!A$3:A$502=DATE(2026,7,15)),ROW(Income!A$3:A$502)-2),2)),0)=0,"",IFERROR(-INDEX(Expenses!D$3:D$1002,SMALL(IF((Expenses!E$3:E$1002="INR")*(Expenses!A$3:A$1002=DATE(2026,7,15)),ROW(Expenses!A$3:A$1002)-2),2)),0)+IFERROR(INDEX(Income!C$3:C$502,SMALL(IF((Income!D$3:D$502="INR")*(Income!A$3:A$502=DATE(2026,7,15)),ROW(Income!A$3:A$502)-2),2)),0))</f>
        <v/>
      </c>
      <c r="H145" s="38" t="str">
        <f aca="false">IF(IFERROR(INDEX(Expenses!B$3:B$1002,SMALL(IF((Expenses!E$3:E$1002="INR")*(Expenses!A$3:A$1002=DATE(2026,7,15)),ROW(Expenses!A$3:A$1002)-2),2)),"")&lt;&gt;"",IFERROR(INDEX(Expenses!B$3:B$1002,SMALL(IF((Expenses!E$3:E$1002="INR")*(Expenses!A$3:A$1002=DATE(2026,7,15)),ROW(Expenses!A$3:A$1002)-2),2)),""),IF(IFERROR(INDEX(Income!B$3:B$502,SMALL(IF((Income!D$3:D$502="INR")*(Income!A$3:A$502=DATE(2026,7,15)),ROW(Income!A$3:A$502)-2),2)),"")&lt;&gt;"",IFERROR(INDEX(Income!B$3:B$502,SMALL(IF((Income!D$3:D$502="INR")*(Income!A$3:A$502=DATE(2026,7,15)),ROW(Income!A$3:A$502)-2),2)),""),""))</f>
        <v/>
      </c>
      <c r="I145" s="63" t="str">
        <f aca="false">IF(IFERROR(-INDEX(Expenses!D$3:D$1002,SMALL(IF((Expenses!E$3:E$1002="INR")*(Expenses!A$3:A$1002=DATE(2026,7,16)),ROW(Expenses!A$3:A$1002)-2),2)),0)+IFERROR(INDEX(Income!C$3:C$502,SMALL(IF((Income!D$3:D$502="INR")*(Income!A$3:A$502=DATE(2026,7,16)),ROW(Income!A$3:A$502)-2),2)),0)=0,"",IFERROR(-INDEX(Expenses!D$3:D$1002,SMALL(IF((Expenses!E$3:E$1002="INR")*(Expenses!A$3:A$1002=DATE(2026,7,16)),ROW(Expenses!A$3:A$1002)-2),2)),0)+IFERROR(INDEX(Income!C$3:C$502,SMALL(IF((Income!D$3:D$502="INR")*(Income!A$3:A$502=DATE(2026,7,16)),ROW(Income!A$3:A$502)-2),2)),0))</f>
        <v/>
      </c>
      <c r="J145" s="38" t="str">
        <f aca="false">IF(IFERROR(INDEX(Expenses!B$3:B$1002,SMALL(IF((Expenses!E$3:E$1002="INR")*(Expenses!A$3:A$1002=DATE(2026,7,16)),ROW(Expenses!A$3:A$1002)-2),2)),"")&lt;&gt;"",IFERROR(INDEX(Expenses!B$3:B$1002,SMALL(IF((Expenses!E$3:E$1002="INR")*(Expenses!A$3:A$1002=DATE(2026,7,16)),ROW(Expenses!A$3:A$1002)-2),2)),""),IF(IFERROR(INDEX(Income!B$3:B$502,SMALL(IF((Income!D$3:D$502="INR")*(Income!A$3:A$502=DATE(2026,7,16)),ROW(Income!A$3:A$502)-2),2)),"")&lt;&gt;"",IFERROR(INDEX(Income!B$3:B$502,SMALL(IF((Income!D$3:D$502="INR")*(Income!A$3:A$502=DATE(2026,7,16)),ROW(Income!A$3:A$502)-2),2)),""),""))</f>
        <v/>
      </c>
      <c r="K145" s="63" t="str">
        <f aca="false">IF(IFERROR(-INDEX(Expenses!D$3:D$1002,SMALL(IF((Expenses!E$3:E$1002="INR")*(Expenses!A$3:A$1002=DATE(2026,7,17)),ROW(Expenses!A$3:A$1002)-2),2)),0)+IFERROR(INDEX(Income!C$3:C$502,SMALL(IF((Income!D$3:D$502="INR")*(Income!A$3:A$502=DATE(2026,7,17)),ROW(Income!A$3:A$502)-2),2)),0)=0,"",IFERROR(-INDEX(Expenses!D$3:D$1002,SMALL(IF((Expenses!E$3:E$1002="INR")*(Expenses!A$3:A$1002=DATE(2026,7,17)),ROW(Expenses!A$3:A$1002)-2),2)),0)+IFERROR(INDEX(Income!C$3:C$502,SMALL(IF((Income!D$3:D$502="INR")*(Income!A$3:A$502=DATE(2026,7,17)),ROW(Income!A$3:A$502)-2),2)),0))</f>
        <v/>
      </c>
      <c r="L145" s="38" t="str">
        <f aca="false">IF(IFERROR(INDEX(Expenses!B$3:B$1002,SMALL(IF((Expenses!E$3:E$1002="INR")*(Expenses!A$3:A$1002=DATE(2026,7,17)),ROW(Expenses!A$3:A$1002)-2),2)),"")&lt;&gt;"",IFERROR(INDEX(Expenses!B$3:B$1002,SMALL(IF((Expenses!E$3:E$1002="INR")*(Expenses!A$3:A$1002=DATE(2026,7,17)),ROW(Expenses!A$3:A$1002)-2),2)),""),IF(IFERROR(INDEX(Income!B$3:B$502,SMALL(IF((Income!D$3:D$502="INR")*(Income!A$3:A$502=DATE(2026,7,17)),ROW(Income!A$3:A$502)-2),2)),"")&lt;&gt;"",IFERROR(INDEX(Income!B$3:B$502,SMALL(IF((Income!D$3:D$502="INR")*(Income!A$3:A$502=DATE(2026,7,17)),ROW(Income!A$3:A$502)-2),2)),""),""))</f>
        <v/>
      </c>
      <c r="M145" s="63" t="str">
        <f aca="false">IF(IFERROR(-INDEX(Expenses!D$3:D$1002,SMALL(IF((Expenses!E$3:E$1002="INR")*(Expenses!A$3:A$1002=DATE(2026,7,18)),ROW(Expenses!A$3:A$1002)-2),2)),0)+IFERROR(INDEX(Income!C$3:C$502,SMALL(IF((Income!D$3:D$502="INR")*(Income!A$3:A$502=DATE(2026,7,18)),ROW(Income!A$3:A$502)-2),2)),0)=0,"",IFERROR(-INDEX(Expenses!D$3:D$1002,SMALL(IF((Expenses!E$3:E$1002="INR")*(Expenses!A$3:A$1002=DATE(2026,7,18)),ROW(Expenses!A$3:A$1002)-2),2)),0)+IFERROR(INDEX(Income!C$3:C$502,SMALL(IF((Income!D$3:D$502="INR")*(Income!A$3:A$502=DATE(2026,7,18)),ROW(Income!A$3:A$502)-2),2)),0))</f>
        <v/>
      </c>
      <c r="N145" s="38" t="str">
        <f aca="false">IF(IFERROR(INDEX(Expenses!B$3:B$1002,SMALL(IF((Expenses!E$3:E$1002="INR")*(Expenses!A$3:A$1002=DATE(2026,7,18)),ROW(Expenses!A$3:A$1002)-2),2)),"")&lt;&gt;"",IFERROR(INDEX(Expenses!B$3:B$1002,SMALL(IF((Expenses!E$3:E$1002="INR")*(Expenses!A$3:A$1002=DATE(2026,7,18)),ROW(Expenses!A$3:A$1002)-2),2)),""),IF(IFERROR(INDEX(Income!B$3:B$502,SMALL(IF((Income!D$3:D$502="INR")*(Income!A$3:A$502=DATE(2026,7,18)),ROW(Income!A$3:A$502)-2),2)),"")&lt;&gt;"",IFERROR(INDEX(Income!B$3:B$502,SMALL(IF((Income!D$3:D$502="INR")*(Income!A$3:A$502=DATE(2026,7,18)),ROW(Income!A$3:A$502)-2),2)),""),""))</f>
        <v/>
      </c>
      <c r="O145" s="63" t="str">
        <f aca="false">IF(IFERROR(-INDEX(Expenses!D$3:D$1002,SMALL(IF((Expenses!E$3:E$1002="INR")*(Expenses!A$3:A$1002=DATE(2026,7,19)),ROW(Expenses!A$3:A$1002)-2),2)),0)+IFERROR(INDEX(Income!C$3:C$502,SMALL(IF((Income!D$3:D$502="INR")*(Income!A$3:A$502=DATE(2026,7,19)),ROW(Income!A$3:A$502)-2),2)),0)=0,"",IFERROR(-INDEX(Expenses!D$3:D$1002,SMALL(IF((Expenses!E$3:E$1002="INR")*(Expenses!A$3:A$1002=DATE(2026,7,19)),ROW(Expenses!A$3:A$1002)-2),2)),0)+IFERROR(INDEX(Income!C$3:C$502,SMALL(IF((Income!D$3:D$502="INR")*(Income!A$3:A$502=DATE(2026,7,19)),ROW(Income!A$3:A$502)-2),2)),0))</f>
        <v/>
      </c>
      <c r="P145" s="38" t="str">
        <f aca="false">IF(IFERROR(INDEX(Expenses!B$3:B$1002,SMALL(IF((Expenses!E$3:E$1002="INR")*(Expenses!A$3:A$1002=DATE(2026,7,19)),ROW(Expenses!A$3:A$1002)-2),2)),"")&lt;&gt;"",IFERROR(INDEX(Expenses!B$3:B$1002,SMALL(IF((Expenses!E$3:E$1002="INR")*(Expenses!A$3:A$1002=DATE(2026,7,19)),ROW(Expenses!A$3:A$1002)-2),2)),""),IF(IFERROR(INDEX(Income!B$3:B$502,SMALL(IF((Income!D$3:D$502="INR")*(Income!A$3:A$502=DATE(2026,7,19)),ROW(Income!A$3:A$502)-2),2)),"")&lt;&gt;"",IFERROR(INDEX(Income!B$3:B$502,SMALL(IF((Income!D$3:D$502="INR")*(Income!A$3:A$502=DATE(2026,7,19)),ROW(Income!A$3:A$502)-2),2)),""),""))</f>
        <v/>
      </c>
      <c r="Q145" s="16"/>
      <c r="R145" s="16"/>
    </row>
    <row r="146" customFormat="false" ht="15" hidden="false" customHeight="false" outlineLevel="0" collapsed="false">
      <c r="A146" s="16"/>
      <c r="B146" s="16"/>
      <c r="C146" s="63" t="str">
        <f aca="false">IF(IFERROR(-INDEX(Expenses!D$3:D$1002,SMALL(IF((Expenses!E$3:E$1002="INR")*(Expenses!A$3:A$1002=DATE(2026,7,13)),ROW(Expenses!A$3:A$1002)-2),3)),0)+IFERROR(INDEX(Income!C$3:C$502,SMALL(IF((Income!D$3:D$502="INR")*(Income!A$3:A$502=DATE(2026,7,13)),ROW(Income!A$3:A$502)-2),3)),0)=0,"",IFERROR(-INDEX(Expenses!D$3:D$1002,SMALL(IF((Expenses!E$3:E$1002="INR")*(Expenses!A$3:A$1002=DATE(2026,7,13)),ROW(Expenses!A$3:A$1002)-2),3)),0)+IFERROR(INDEX(Income!C$3:C$502,SMALL(IF((Income!D$3:D$502="INR")*(Income!A$3:A$502=DATE(2026,7,13)),ROW(Income!A$3:A$502)-2),3)),0))</f>
        <v/>
      </c>
      <c r="D146" s="38" t="str">
        <f aca="false">IF(IFERROR(INDEX(Expenses!B$3:B$1002,SMALL(IF((Expenses!E$3:E$1002="INR")*(Expenses!A$3:A$1002=DATE(2026,7,13)),ROW(Expenses!A$3:A$1002)-2),3)),"")&lt;&gt;"",IFERROR(INDEX(Expenses!B$3:B$1002,SMALL(IF((Expenses!E$3:E$1002="INR")*(Expenses!A$3:A$1002=DATE(2026,7,13)),ROW(Expenses!A$3:A$1002)-2),3)),""),IF(IFERROR(INDEX(Income!B$3:B$502,SMALL(IF((Income!D$3:D$502="INR")*(Income!A$3:A$502=DATE(2026,7,13)),ROW(Income!A$3:A$502)-2),3)),"")&lt;&gt;"",IFERROR(INDEX(Income!B$3:B$502,SMALL(IF((Income!D$3:D$502="INR")*(Income!A$3:A$502=DATE(2026,7,13)),ROW(Income!A$3:A$502)-2),3)),""),""))</f>
        <v/>
      </c>
      <c r="E146" s="63" t="str">
        <f aca="false">IF(IFERROR(-INDEX(Expenses!D$3:D$1002,SMALL(IF((Expenses!E$3:E$1002="INR")*(Expenses!A$3:A$1002=DATE(2026,7,14)),ROW(Expenses!A$3:A$1002)-2),3)),0)+IFERROR(INDEX(Income!C$3:C$502,SMALL(IF((Income!D$3:D$502="INR")*(Income!A$3:A$502=DATE(2026,7,14)),ROW(Income!A$3:A$502)-2),3)),0)=0,"",IFERROR(-INDEX(Expenses!D$3:D$1002,SMALL(IF((Expenses!E$3:E$1002="INR")*(Expenses!A$3:A$1002=DATE(2026,7,14)),ROW(Expenses!A$3:A$1002)-2),3)),0)+IFERROR(INDEX(Income!C$3:C$502,SMALL(IF((Income!D$3:D$502="INR")*(Income!A$3:A$502=DATE(2026,7,14)),ROW(Income!A$3:A$502)-2),3)),0))</f>
        <v/>
      </c>
      <c r="F146" s="38" t="str">
        <f aca="false">IF(IFERROR(INDEX(Expenses!B$3:B$1002,SMALL(IF((Expenses!E$3:E$1002="INR")*(Expenses!A$3:A$1002=DATE(2026,7,14)),ROW(Expenses!A$3:A$1002)-2),3)),"")&lt;&gt;"",IFERROR(INDEX(Expenses!B$3:B$1002,SMALL(IF((Expenses!E$3:E$1002="INR")*(Expenses!A$3:A$1002=DATE(2026,7,14)),ROW(Expenses!A$3:A$1002)-2),3)),""),IF(IFERROR(INDEX(Income!B$3:B$502,SMALL(IF((Income!D$3:D$502="INR")*(Income!A$3:A$502=DATE(2026,7,14)),ROW(Income!A$3:A$502)-2),3)),"")&lt;&gt;"",IFERROR(INDEX(Income!B$3:B$502,SMALL(IF((Income!D$3:D$502="INR")*(Income!A$3:A$502=DATE(2026,7,14)),ROW(Income!A$3:A$502)-2),3)),""),""))</f>
        <v/>
      </c>
      <c r="G146" s="63" t="str">
        <f aca="false">IF(IFERROR(-INDEX(Expenses!D$3:D$1002,SMALL(IF((Expenses!E$3:E$1002="INR")*(Expenses!A$3:A$1002=DATE(2026,7,15)),ROW(Expenses!A$3:A$1002)-2),3)),0)+IFERROR(INDEX(Income!C$3:C$502,SMALL(IF((Income!D$3:D$502="INR")*(Income!A$3:A$502=DATE(2026,7,15)),ROW(Income!A$3:A$502)-2),3)),0)=0,"",IFERROR(-INDEX(Expenses!D$3:D$1002,SMALL(IF((Expenses!E$3:E$1002="INR")*(Expenses!A$3:A$1002=DATE(2026,7,15)),ROW(Expenses!A$3:A$1002)-2),3)),0)+IFERROR(INDEX(Income!C$3:C$502,SMALL(IF((Income!D$3:D$502="INR")*(Income!A$3:A$502=DATE(2026,7,15)),ROW(Income!A$3:A$502)-2),3)),0))</f>
        <v/>
      </c>
      <c r="H146" s="38" t="str">
        <f aca="false">IF(IFERROR(INDEX(Expenses!B$3:B$1002,SMALL(IF((Expenses!E$3:E$1002="INR")*(Expenses!A$3:A$1002=DATE(2026,7,15)),ROW(Expenses!A$3:A$1002)-2),3)),"")&lt;&gt;"",IFERROR(INDEX(Expenses!B$3:B$1002,SMALL(IF((Expenses!E$3:E$1002="INR")*(Expenses!A$3:A$1002=DATE(2026,7,15)),ROW(Expenses!A$3:A$1002)-2),3)),""),IF(IFERROR(INDEX(Income!B$3:B$502,SMALL(IF((Income!D$3:D$502="INR")*(Income!A$3:A$502=DATE(2026,7,15)),ROW(Income!A$3:A$502)-2),3)),"")&lt;&gt;"",IFERROR(INDEX(Income!B$3:B$502,SMALL(IF((Income!D$3:D$502="INR")*(Income!A$3:A$502=DATE(2026,7,15)),ROW(Income!A$3:A$502)-2),3)),""),""))</f>
        <v/>
      </c>
      <c r="I146" s="63" t="str">
        <f aca="false">IF(IFERROR(-INDEX(Expenses!D$3:D$1002,SMALL(IF((Expenses!E$3:E$1002="INR")*(Expenses!A$3:A$1002=DATE(2026,7,16)),ROW(Expenses!A$3:A$1002)-2),3)),0)+IFERROR(INDEX(Income!C$3:C$502,SMALL(IF((Income!D$3:D$502="INR")*(Income!A$3:A$502=DATE(2026,7,16)),ROW(Income!A$3:A$502)-2),3)),0)=0,"",IFERROR(-INDEX(Expenses!D$3:D$1002,SMALL(IF((Expenses!E$3:E$1002="INR")*(Expenses!A$3:A$1002=DATE(2026,7,16)),ROW(Expenses!A$3:A$1002)-2),3)),0)+IFERROR(INDEX(Income!C$3:C$502,SMALL(IF((Income!D$3:D$502="INR")*(Income!A$3:A$502=DATE(2026,7,16)),ROW(Income!A$3:A$502)-2),3)),0))</f>
        <v/>
      </c>
      <c r="J146" s="38" t="str">
        <f aca="false">IF(IFERROR(INDEX(Expenses!B$3:B$1002,SMALL(IF((Expenses!E$3:E$1002="INR")*(Expenses!A$3:A$1002=DATE(2026,7,16)),ROW(Expenses!A$3:A$1002)-2),3)),"")&lt;&gt;"",IFERROR(INDEX(Expenses!B$3:B$1002,SMALL(IF((Expenses!E$3:E$1002="INR")*(Expenses!A$3:A$1002=DATE(2026,7,16)),ROW(Expenses!A$3:A$1002)-2),3)),""),IF(IFERROR(INDEX(Income!B$3:B$502,SMALL(IF((Income!D$3:D$502="INR")*(Income!A$3:A$502=DATE(2026,7,16)),ROW(Income!A$3:A$502)-2),3)),"")&lt;&gt;"",IFERROR(INDEX(Income!B$3:B$502,SMALL(IF((Income!D$3:D$502="INR")*(Income!A$3:A$502=DATE(2026,7,16)),ROW(Income!A$3:A$502)-2),3)),""),""))</f>
        <v/>
      </c>
      <c r="K146" s="63" t="str">
        <f aca="false">IF(IFERROR(-INDEX(Expenses!D$3:D$1002,SMALL(IF((Expenses!E$3:E$1002="INR")*(Expenses!A$3:A$1002=DATE(2026,7,17)),ROW(Expenses!A$3:A$1002)-2),3)),0)+IFERROR(INDEX(Income!C$3:C$502,SMALL(IF((Income!D$3:D$502="INR")*(Income!A$3:A$502=DATE(2026,7,17)),ROW(Income!A$3:A$502)-2),3)),0)=0,"",IFERROR(-INDEX(Expenses!D$3:D$1002,SMALL(IF((Expenses!E$3:E$1002="INR")*(Expenses!A$3:A$1002=DATE(2026,7,17)),ROW(Expenses!A$3:A$1002)-2),3)),0)+IFERROR(INDEX(Income!C$3:C$502,SMALL(IF((Income!D$3:D$502="INR")*(Income!A$3:A$502=DATE(2026,7,17)),ROW(Income!A$3:A$502)-2),3)),0))</f>
        <v/>
      </c>
      <c r="L146" s="38" t="str">
        <f aca="false">IF(IFERROR(INDEX(Expenses!B$3:B$1002,SMALL(IF((Expenses!E$3:E$1002="INR")*(Expenses!A$3:A$1002=DATE(2026,7,17)),ROW(Expenses!A$3:A$1002)-2),3)),"")&lt;&gt;"",IFERROR(INDEX(Expenses!B$3:B$1002,SMALL(IF((Expenses!E$3:E$1002="INR")*(Expenses!A$3:A$1002=DATE(2026,7,17)),ROW(Expenses!A$3:A$1002)-2),3)),""),IF(IFERROR(INDEX(Income!B$3:B$502,SMALL(IF((Income!D$3:D$502="INR")*(Income!A$3:A$502=DATE(2026,7,17)),ROW(Income!A$3:A$502)-2),3)),"")&lt;&gt;"",IFERROR(INDEX(Income!B$3:B$502,SMALL(IF((Income!D$3:D$502="INR")*(Income!A$3:A$502=DATE(2026,7,17)),ROW(Income!A$3:A$502)-2),3)),""),""))</f>
        <v/>
      </c>
      <c r="M146" s="63" t="str">
        <f aca="false">IF(IFERROR(-INDEX(Expenses!D$3:D$1002,SMALL(IF((Expenses!E$3:E$1002="INR")*(Expenses!A$3:A$1002=DATE(2026,7,18)),ROW(Expenses!A$3:A$1002)-2),3)),0)+IFERROR(INDEX(Income!C$3:C$502,SMALL(IF((Income!D$3:D$502="INR")*(Income!A$3:A$502=DATE(2026,7,18)),ROW(Income!A$3:A$502)-2),3)),0)=0,"",IFERROR(-INDEX(Expenses!D$3:D$1002,SMALL(IF((Expenses!E$3:E$1002="INR")*(Expenses!A$3:A$1002=DATE(2026,7,18)),ROW(Expenses!A$3:A$1002)-2),3)),0)+IFERROR(INDEX(Income!C$3:C$502,SMALL(IF((Income!D$3:D$502="INR")*(Income!A$3:A$502=DATE(2026,7,18)),ROW(Income!A$3:A$502)-2),3)),0))</f>
        <v/>
      </c>
      <c r="N146" s="38" t="str">
        <f aca="false">IF(IFERROR(INDEX(Expenses!B$3:B$1002,SMALL(IF((Expenses!E$3:E$1002="INR")*(Expenses!A$3:A$1002=DATE(2026,7,18)),ROW(Expenses!A$3:A$1002)-2),3)),"")&lt;&gt;"",IFERROR(INDEX(Expenses!B$3:B$1002,SMALL(IF((Expenses!E$3:E$1002="INR")*(Expenses!A$3:A$1002=DATE(2026,7,18)),ROW(Expenses!A$3:A$1002)-2),3)),""),IF(IFERROR(INDEX(Income!B$3:B$502,SMALL(IF((Income!D$3:D$502="INR")*(Income!A$3:A$502=DATE(2026,7,18)),ROW(Income!A$3:A$502)-2),3)),"")&lt;&gt;"",IFERROR(INDEX(Income!B$3:B$502,SMALL(IF((Income!D$3:D$502="INR")*(Income!A$3:A$502=DATE(2026,7,18)),ROW(Income!A$3:A$502)-2),3)),""),""))</f>
        <v/>
      </c>
      <c r="O146" s="63" t="str">
        <f aca="false">IF(IFERROR(-INDEX(Expenses!D$3:D$1002,SMALL(IF((Expenses!E$3:E$1002="INR")*(Expenses!A$3:A$1002=DATE(2026,7,19)),ROW(Expenses!A$3:A$1002)-2),3)),0)+IFERROR(INDEX(Income!C$3:C$502,SMALL(IF((Income!D$3:D$502="INR")*(Income!A$3:A$502=DATE(2026,7,19)),ROW(Income!A$3:A$502)-2),3)),0)=0,"",IFERROR(-INDEX(Expenses!D$3:D$1002,SMALL(IF((Expenses!E$3:E$1002="INR")*(Expenses!A$3:A$1002=DATE(2026,7,19)),ROW(Expenses!A$3:A$1002)-2),3)),0)+IFERROR(INDEX(Income!C$3:C$502,SMALL(IF((Income!D$3:D$502="INR")*(Income!A$3:A$502=DATE(2026,7,19)),ROW(Income!A$3:A$502)-2),3)),0))</f>
        <v/>
      </c>
      <c r="P146" s="38" t="str">
        <f aca="false">IF(IFERROR(INDEX(Expenses!B$3:B$1002,SMALL(IF((Expenses!E$3:E$1002="INR")*(Expenses!A$3:A$1002=DATE(2026,7,19)),ROW(Expenses!A$3:A$1002)-2),3)),"")&lt;&gt;"",IFERROR(INDEX(Expenses!B$3:B$1002,SMALL(IF((Expenses!E$3:E$1002="INR")*(Expenses!A$3:A$1002=DATE(2026,7,19)),ROW(Expenses!A$3:A$1002)-2),3)),""),IF(IFERROR(INDEX(Income!B$3:B$502,SMALL(IF((Income!D$3:D$502="INR")*(Income!A$3:A$502=DATE(2026,7,19)),ROW(Income!A$3:A$502)-2),3)),"")&lt;&gt;"",IFERROR(INDEX(Income!B$3:B$502,SMALL(IF((Income!D$3:D$502="INR")*(Income!A$3:A$502=DATE(2026,7,19)),ROW(Income!A$3:A$502)-2),3)),""),""))</f>
        <v/>
      </c>
      <c r="Q146" s="16"/>
      <c r="R146" s="16"/>
    </row>
    <row r="147" customFormat="false" ht="15" hidden="false" customHeight="false" outlineLevel="0" collapsed="false">
      <c r="A147" s="16"/>
      <c r="B147" s="16"/>
      <c r="C147" s="63" t="str">
        <f aca="false">IF(IFERROR(-INDEX(Expenses!D$3:D$1002,SMALL(IF((Expenses!E$3:E$1002="INR")*(Expenses!A$3:A$1002=DATE(2026,7,13)),ROW(Expenses!A$3:A$1002)-2),4)),0)+IFERROR(INDEX(Income!C$3:C$502,SMALL(IF((Income!D$3:D$502="INR")*(Income!A$3:A$502=DATE(2026,7,13)),ROW(Income!A$3:A$502)-2),4)),0)=0,"",IFERROR(-INDEX(Expenses!D$3:D$1002,SMALL(IF((Expenses!E$3:E$1002="INR")*(Expenses!A$3:A$1002=DATE(2026,7,13)),ROW(Expenses!A$3:A$1002)-2),4)),0)+IFERROR(INDEX(Income!C$3:C$502,SMALL(IF((Income!D$3:D$502="INR")*(Income!A$3:A$502=DATE(2026,7,13)),ROW(Income!A$3:A$502)-2),4)),0))</f>
        <v/>
      </c>
      <c r="D147" s="38" t="str">
        <f aca="false">IF(IFERROR(INDEX(Expenses!B$3:B$1002,SMALL(IF((Expenses!E$3:E$1002="INR")*(Expenses!A$3:A$1002=DATE(2026,7,13)),ROW(Expenses!A$3:A$1002)-2),4)),"")&lt;&gt;"",IFERROR(INDEX(Expenses!B$3:B$1002,SMALL(IF((Expenses!E$3:E$1002="INR")*(Expenses!A$3:A$1002=DATE(2026,7,13)),ROW(Expenses!A$3:A$1002)-2),4)),""),IF(IFERROR(INDEX(Income!B$3:B$502,SMALL(IF((Income!D$3:D$502="INR")*(Income!A$3:A$502=DATE(2026,7,13)),ROW(Income!A$3:A$502)-2),4)),"")&lt;&gt;"",IFERROR(INDEX(Income!B$3:B$502,SMALL(IF((Income!D$3:D$502="INR")*(Income!A$3:A$502=DATE(2026,7,13)),ROW(Income!A$3:A$502)-2),4)),""),""))</f>
        <v/>
      </c>
      <c r="E147" s="63" t="str">
        <f aca="false">IF(IFERROR(-INDEX(Expenses!D$3:D$1002,SMALL(IF((Expenses!E$3:E$1002="INR")*(Expenses!A$3:A$1002=DATE(2026,7,14)),ROW(Expenses!A$3:A$1002)-2),4)),0)+IFERROR(INDEX(Income!C$3:C$502,SMALL(IF((Income!D$3:D$502="INR")*(Income!A$3:A$502=DATE(2026,7,14)),ROW(Income!A$3:A$502)-2),4)),0)=0,"",IFERROR(-INDEX(Expenses!D$3:D$1002,SMALL(IF((Expenses!E$3:E$1002="INR")*(Expenses!A$3:A$1002=DATE(2026,7,14)),ROW(Expenses!A$3:A$1002)-2),4)),0)+IFERROR(INDEX(Income!C$3:C$502,SMALL(IF((Income!D$3:D$502="INR")*(Income!A$3:A$502=DATE(2026,7,14)),ROW(Income!A$3:A$502)-2),4)),0))</f>
        <v/>
      </c>
      <c r="F147" s="38" t="str">
        <f aca="false">IF(IFERROR(INDEX(Expenses!B$3:B$1002,SMALL(IF((Expenses!E$3:E$1002="INR")*(Expenses!A$3:A$1002=DATE(2026,7,14)),ROW(Expenses!A$3:A$1002)-2),4)),"")&lt;&gt;"",IFERROR(INDEX(Expenses!B$3:B$1002,SMALL(IF((Expenses!E$3:E$1002="INR")*(Expenses!A$3:A$1002=DATE(2026,7,14)),ROW(Expenses!A$3:A$1002)-2),4)),""),IF(IFERROR(INDEX(Income!B$3:B$502,SMALL(IF((Income!D$3:D$502="INR")*(Income!A$3:A$502=DATE(2026,7,14)),ROW(Income!A$3:A$502)-2),4)),"")&lt;&gt;"",IFERROR(INDEX(Income!B$3:B$502,SMALL(IF((Income!D$3:D$502="INR")*(Income!A$3:A$502=DATE(2026,7,14)),ROW(Income!A$3:A$502)-2),4)),""),""))</f>
        <v/>
      </c>
      <c r="G147" s="63" t="str">
        <f aca="false">IF(IFERROR(-INDEX(Expenses!D$3:D$1002,SMALL(IF((Expenses!E$3:E$1002="INR")*(Expenses!A$3:A$1002=DATE(2026,7,15)),ROW(Expenses!A$3:A$1002)-2),4)),0)+IFERROR(INDEX(Income!C$3:C$502,SMALL(IF((Income!D$3:D$502="INR")*(Income!A$3:A$502=DATE(2026,7,15)),ROW(Income!A$3:A$502)-2),4)),0)=0,"",IFERROR(-INDEX(Expenses!D$3:D$1002,SMALL(IF((Expenses!E$3:E$1002="INR")*(Expenses!A$3:A$1002=DATE(2026,7,15)),ROW(Expenses!A$3:A$1002)-2),4)),0)+IFERROR(INDEX(Income!C$3:C$502,SMALL(IF((Income!D$3:D$502="INR")*(Income!A$3:A$502=DATE(2026,7,15)),ROW(Income!A$3:A$502)-2),4)),0))</f>
        <v/>
      </c>
      <c r="H147" s="38" t="str">
        <f aca="false">IF(IFERROR(INDEX(Expenses!B$3:B$1002,SMALL(IF((Expenses!E$3:E$1002="INR")*(Expenses!A$3:A$1002=DATE(2026,7,15)),ROW(Expenses!A$3:A$1002)-2),4)),"")&lt;&gt;"",IFERROR(INDEX(Expenses!B$3:B$1002,SMALL(IF((Expenses!E$3:E$1002="INR")*(Expenses!A$3:A$1002=DATE(2026,7,15)),ROW(Expenses!A$3:A$1002)-2),4)),""),IF(IFERROR(INDEX(Income!B$3:B$502,SMALL(IF((Income!D$3:D$502="INR")*(Income!A$3:A$502=DATE(2026,7,15)),ROW(Income!A$3:A$502)-2),4)),"")&lt;&gt;"",IFERROR(INDEX(Income!B$3:B$502,SMALL(IF((Income!D$3:D$502="INR")*(Income!A$3:A$502=DATE(2026,7,15)),ROW(Income!A$3:A$502)-2),4)),""),""))</f>
        <v/>
      </c>
      <c r="I147" s="63" t="str">
        <f aca="false">IF(IFERROR(-INDEX(Expenses!D$3:D$1002,SMALL(IF((Expenses!E$3:E$1002="INR")*(Expenses!A$3:A$1002=DATE(2026,7,16)),ROW(Expenses!A$3:A$1002)-2),4)),0)+IFERROR(INDEX(Income!C$3:C$502,SMALL(IF((Income!D$3:D$502="INR")*(Income!A$3:A$502=DATE(2026,7,16)),ROW(Income!A$3:A$502)-2),4)),0)=0,"",IFERROR(-INDEX(Expenses!D$3:D$1002,SMALL(IF((Expenses!E$3:E$1002="INR")*(Expenses!A$3:A$1002=DATE(2026,7,16)),ROW(Expenses!A$3:A$1002)-2),4)),0)+IFERROR(INDEX(Income!C$3:C$502,SMALL(IF((Income!D$3:D$502="INR")*(Income!A$3:A$502=DATE(2026,7,16)),ROW(Income!A$3:A$502)-2),4)),0))</f>
        <v/>
      </c>
      <c r="J147" s="38" t="str">
        <f aca="false">IF(IFERROR(INDEX(Expenses!B$3:B$1002,SMALL(IF((Expenses!E$3:E$1002="INR")*(Expenses!A$3:A$1002=DATE(2026,7,16)),ROW(Expenses!A$3:A$1002)-2),4)),"")&lt;&gt;"",IFERROR(INDEX(Expenses!B$3:B$1002,SMALL(IF((Expenses!E$3:E$1002="INR")*(Expenses!A$3:A$1002=DATE(2026,7,16)),ROW(Expenses!A$3:A$1002)-2),4)),""),IF(IFERROR(INDEX(Income!B$3:B$502,SMALL(IF((Income!D$3:D$502="INR")*(Income!A$3:A$502=DATE(2026,7,16)),ROW(Income!A$3:A$502)-2),4)),"")&lt;&gt;"",IFERROR(INDEX(Income!B$3:B$502,SMALL(IF((Income!D$3:D$502="INR")*(Income!A$3:A$502=DATE(2026,7,16)),ROW(Income!A$3:A$502)-2),4)),""),""))</f>
        <v/>
      </c>
      <c r="K147" s="63" t="str">
        <f aca="false">IF(IFERROR(-INDEX(Expenses!D$3:D$1002,SMALL(IF((Expenses!E$3:E$1002="INR")*(Expenses!A$3:A$1002=DATE(2026,7,17)),ROW(Expenses!A$3:A$1002)-2),4)),0)+IFERROR(INDEX(Income!C$3:C$502,SMALL(IF((Income!D$3:D$502="INR")*(Income!A$3:A$502=DATE(2026,7,17)),ROW(Income!A$3:A$502)-2),4)),0)=0,"",IFERROR(-INDEX(Expenses!D$3:D$1002,SMALL(IF((Expenses!E$3:E$1002="INR")*(Expenses!A$3:A$1002=DATE(2026,7,17)),ROW(Expenses!A$3:A$1002)-2),4)),0)+IFERROR(INDEX(Income!C$3:C$502,SMALL(IF((Income!D$3:D$502="INR")*(Income!A$3:A$502=DATE(2026,7,17)),ROW(Income!A$3:A$502)-2),4)),0))</f>
        <v/>
      </c>
      <c r="L147" s="38" t="str">
        <f aca="false">IF(IFERROR(INDEX(Expenses!B$3:B$1002,SMALL(IF((Expenses!E$3:E$1002="INR")*(Expenses!A$3:A$1002=DATE(2026,7,17)),ROW(Expenses!A$3:A$1002)-2),4)),"")&lt;&gt;"",IFERROR(INDEX(Expenses!B$3:B$1002,SMALL(IF((Expenses!E$3:E$1002="INR")*(Expenses!A$3:A$1002=DATE(2026,7,17)),ROW(Expenses!A$3:A$1002)-2),4)),""),IF(IFERROR(INDEX(Income!B$3:B$502,SMALL(IF((Income!D$3:D$502="INR")*(Income!A$3:A$502=DATE(2026,7,17)),ROW(Income!A$3:A$502)-2),4)),"")&lt;&gt;"",IFERROR(INDEX(Income!B$3:B$502,SMALL(IF((Income!D$3:D$502="INR")*(Income!A$3:A$502=DATE(2026,7,17)),ROW(Income!A$3:A$502)-2),4)),""),""))</f>
        <v/>
      </c>
      <c r="M147" s="63" t="str">
        <f aca="false">IF(IFERROR(-INDEX(Expenses!D$3:D$1002,SMALL(IF((Expenses!E$3:E$1002="INR")*(Expenses!A$3:A$1002=DATE(2026,7,18)),ROW(Expenses!A$3:A$1002)-2),4)),0)+IFERROR(INDEX(Income!C$3:C$502,SMALL(IF((Income!D$3:D$502="INR")*(Income!A$3:A$502=DATE(2026,7,18)),ROW(Income!A$3:A$502)-2),4)),0)=0,"",IFERROR(-INDEX(Expenses!D$3:D$1002,SMALL(IF((Expenses!E$3:E$1002="INR")*(Expenses!A$3:A$1002=DATE(2026,7,18)),ROW(Expenses!A$3:A$1002)-2),4)),0)+IFERROR(INDEX(Income!C$3:C$502,SMALL(IF((Income!D$3:D$502="INR")*(Income!A$3:A$502=DATE(2026,7,18)),ROW(Income!A$3:A$502)-2),4)),0))</f>
        <v/>
      </c>
      <c r="N147" s="38" t="str">
        <f aca="false">IF(IFERROR(INDEX(Expenses!B$3:B$1002,SMALL(IF((Expenses!E$3:E$1002="INR")*(Expenses!A$3:A$1002=DATE(2026,7,18)),ROW(Expenses!A$3:A$1002)-2),4)),"")&lt;&gt;"",IFERROR(INDEX(Expenses!B$3:B$1002,SMALL(IF((Expenses!E$3:E$1002="INR")*(Expenses!A$3:A$1002=DATE(2026,7,18)),ROW(Expenses!A$3:A$1002)-2),4)),""),IF(IFERROR(INDEX(Income!B$3:B$502,SMALL(IF((Income!D$3:D$502="INR")*(Income!A$3:A$502=DATE(2026,7,18)),ROW(Income!A$3:A$502)-2),4)),"")&lt;&gt;"",IFERROR(INDEX(Income!B$3:B$502,SMALL(IF((Income!D$3:D$502="INR")*(Income!A$3:A$502=DATE(2026,7,18)),ROW(Income!A$3:A$502)-2),4)),""),""))</f>
        <v/>
      </c>
      <c r="O147" s="63" t="str">
        <f aca="false">IF(IFERROR(-INDEX(Expenses!D$3:D$1002,SMALL(IF((Expenses!E$3:E$1002="INR")*(Expenses!A$3:A$1002=DATE(2026,7,19)),ROW(Expenses!A$3:A$1002)-2),4)),0)+IFERROR(INDEX(Income!C$3:C$502,SMALL(IF((Income!D$3:D$502="INR")*(Income!A$3:A$502=DATE(2026,7,19)),ROW(Income!A$3:A$502)-2),4)),0)=0,"",IFERROR(-INDEX(Expenses!D$3:D$1002,SMALL(IF((Expenses!E$3:E$1002="INR")*(Expenses!A$3:A$1002=DATE(2026,7,19)),ROW(Expenses!A$3:A$1002)-2),4)),0)+IFERROR(INDEX(Income!C$3:C$502,SMALL(IF((Income!D$3:D$502="INR")*(Income!A$3:A$502=DATE(2026,7,19)),ROW(Income!A$3:A$502)-2),4)),0))</f>
        <v/>
      </c>
      <c r="P147" s="38" t="str">
        <f aca="false">IF(IFERROR(INDEX(Expenses!B$3:B$1002,SMALL(IF((Expenses!E$3:E$1002="INR")*(Expenses!A$3:A$1002=DATE(2026,7,19)),ROW(Expenses!A$3:A$1002)-2),4)),"")&lt;&gt;"",IFERROR(INDEX(Expenses!B$3:B$1002,SMALL(IF((Expenses!E$3:E$1002="INR")*(Expenses!A$3:A$1002=DATE(2026,7,19)),ROW(Expenses!A$3:A$1002)-2),4)),""),IF(IFERROR(INDEX(Income!B$3:B$502,SMALL(IF((Income!D$3:D$502="INR")*(Income!A$3:A$502=DATE(2026,7,19)),ROW(Income!A$3:A$502)-2),4)),"")&lt;&gt;"",IFERROR(INDEX(Income!B$3:B$502,SMALL(IF((Income!D$3:D$502="INR")*(Income!A$3:A$502=DATE(2026,7,19)),ROW(Income!A$3:A$502)-2),4)),""),""))</f>
        <v/>
      </c>
      <c r="Q147" s="16"/>
      <c r="R147" s="16"/>
    </row>
    <row r="148" customFormat="false" ht="15" hidden="false" customHeight="false" outlineLevel="0" collapsed="false">
      <c r="A148" s="16"/>
      <c r="B148" s="16"/>
      <c r="C148" s="63" t="str">
        <f aca="false">IF(IFERROR(-INDEX(Expenses!D$3:D$1002,SMALL(IF((Expenses!E$3:E$1002="INR")*(Expenses!A$3:A$1002=DATE(2026,7,13)),ROW(Expenses!A$3:A$1002)-2),5)),0)+IFERROR(INDEX(Income!C$3:C$502,SMALL(IF((Income!D$3:D$502="INR")*(Income!A$3:A$502=DATE(2026,7,13)),ROW(Income!A$3:A$502)-2),5)),0)=0,"",IFERROR(-INDEX(Expenses!D$3:D$1002,SMALL(IF((Expenses!E$3:E$1002="INR")*(Expenses!A$3:A$1002=DATE(2026,7,13)),ROW(Expenses!A$3:A$1002)-2),5)),0)+IFERROR(INDEX(Income!C$3:C$502,SMALL(IF((Income!D$3:D$502="INR")*(Income!A$3:A$502=DATE(2026,7,13)),ROW(Income!A$3:A$502)-2),5)),0))</f>
        <v/>
      </c>
      <c r="D148" s="38" t="str">
        <f aca="false">IF(IFERROR(INDEX(Expenses!B$3:B$1002,SMALL(IF((Expenses!E$3:E$1002="INR")*(Expenses!A$3:A$1002=DATE(2026,7,13)),ROW(Expenses!A$3:A$1002)-2),5)),"")&lt;&gt;"",IFERROR(INDEX(Expenses!B$3:B$1002,SMALL(IF((Expenses!E$3:E$1002="INR")*(Expenses!A$3:A$1002=DATE(2026,7,13)),ROW(Expenses!A$3:A$1002)-2),5)),""),IF(IFERROR(INDEX(Income!B$3:B$502,SMALL(IF((Income!D$3:D$502="INR")*(Income!A$3:A$502=DATE(2026,7,13)),ROW(Income!A$3:A$502)-2),5)),"")&lt;&gt;"",IFERROR(INDEX(Income!B$3:B$502,SMALL(IF((Income!D$3:D$502="INR")*(Income!A$3:A$502=DATE(2026,7,13)),ROW(Income!A$3:A$502)-2),5)),""),""))</f>
        <v/>
      </c>
      <c r="E148" s="63" t="str">
        <f aca="false">IF(IFERROR(-INDEX(Expenses!D$3:D$1002,SMALL(IF((Expenses!E$3:E$1002="INR")*(Expenses!A$3:A$1002=DATE(2026,7,14)),ROW(Expenses!A$3:A$1002)-2),5)),0)+IFERROR(INDEX(Income!C$3:C$502,SMALL(IF((Income!D$3:D$502="INR")*(Income!A$3:A$502=DATE(2026,7,14)),ROW(Income!A$3:A$502)-2),5)),0)=0,"",IFERROR(-INDEX(Expenses!D$3:D$1002,SMALL(IF((Expenses!E$3:E$1002="INR")*(Expenses!A$3:A$1002=DATE(2026,7,14)),ROW(Expenses!A$3:A$1002)-2),5)),0)+IFERROR(INDEX(Income!C$3:C$502,SMALL(IF((Income!D$3:D$502="INR")*(Income!A$3:A$502=DATE(2026,7,14)),ROW(Income!A$3:A$502)-2),5)),0))</f>
        <v/>
      </c>
      <c r="F148" s="38" t="str">
        <f aca="false">IF(IFERROR(INDEX(Expenses!B$3:B$1002,SMALL(IF((Expenses!E$3:E$1002="INR")*(Expenses!A$3:A$1002=DATE(2026,7,14)),ROW(Expenses!A$3:A$1002)-2),5)),"")&lt;&gt;"",IFERROR(INDEX(Expenses!B$3:B$1002,SMALL(IF((Expenses!E$3:E$1002="INR")*(Expenses!A$3:A$1002=DATE(2026,7,14)),ROW(Expenses!A$3:A$1002)-2),5)),""),IF(IFERROR(INDEX(Income!B$3:B$502,SMALL(IF((Income!D$3:D$502="INR")*(Income!A$3:A$502=DATE(2026,7,14)),ROW(Income!A$3:A$502)-2),5)),"")&lt;&gt;"",IFERROR(INDEX(Income!B$3:B$502,SMALL(IF((Income!D$3:D$502="INR")*(Income!A$3:A$502=DATE(2026,7,14)),ROW(Income!A$3:A$502)-2),5)),""),""))</f>
        <v/>
      </c>
      <c r="G148" s="63" t="str">
        <f aca="false">IF(IFERROR(-INDEX(Expenses!D$3:D$1002,SMALL(IF((Expenses!E$3:E$1002="INR")*(Expenses!A$3:A$1002=DATE(2026,7,15)),ROW(Expenses!A$3:A$1002)-2),5)),0)+IFERROR(INDEX(Income!C$3:C$502,SMALL(IF((Income!D$3:D$502="INR")*(Income!A$3:A$502=DATE(2026,7,15)),ROW(Income!A$3:A$502)-2),5)),0)=0,"",IFERROR(-INDEX(Expenses!D$3:D$1002,SMALL(IF((Expenses!E$3:E$1002="INR")*(Expenses!A$3:A$1002=DATE(2026,7,15)),ROW(Expenses!A$3:A$1002)-2),5)),0)+IFERROR(INDEX(Income!C$3:C$502,SMALL(IF((Income!D$3:D$502="INR")*(Income!A$3:A$502=DATE(2026,7,15)),ROW(Income!A$3:A$502)-2),5)),0))</f>
        <v/>
      </c>
      <c r="H148" s="38" t="str">
        <f aca="false">IF(IFERROR(INDEX(Expenses!B$3:B$1002,SMALL(IF((Expenses!E$3:E$1002="INR")*(Expenses!A$3:A$1002=DATE(2026,7,15)),ROW(Expenses!A$3:A$1002)-2),5)),"")&lt;&gt;"",IFERROR(INDEX(Expenses!B$3:B$1002,SMALL(IF((Expenses!E$3:E$1002="INR")*(Expenses!A$3:A$1002=DATE(2026,7,15)),ROW(Expenses!A$3:A$1002)-2),5)),""),IF(IFERROR(INDEX(Income!B$3:B$502,SMALL(IF((Income!D$3:D$502="INR")*(Income!A$3:A$502=DATE(2026,7,15)),ROW(Income!A$3:A$502)-2),5)),"")&lt;&gt;"",IFERROR(INDEX(Income!B$3:B$502,SMALL(IF((Income!D$3:D$502="INR")*(Income!A$3:A$502=DATE(2026,7,15)),ROW(Income!A$3:A$502)-2),5)),""),""))</f>
        <v/>
      </c>
      <c r="I148" s="63" t="str">
        <f aca="false">IF(IFERROR(-INDEX(Expenses!D$3:D$1002,SMALL(IF((Expenses!E$3:E$1002="INR")*(Expenses!A$3:A$1002=DATE(2026,7,16)),ROW(Expenses!A$3:A$1002)-2),5)),0)+IFERROR(INDEX(Income!C$3:C$502,SMALL(IF((Income!D$3:D$502="INR")*(Income!A$3:A$502=DATE(2026,7,16)),ROW(Income!A$3:A$502)-2),5)),0)=0,"",IFERROR(-INDEX(Expenses!D$3:D$1002,SMALL(IF((Expenses!E$3:E$1002="INR")*(Expenses!A$3:A$1002=DATE(2026,7,16)),ROW(Expenses!A$3:A$1002)-2),5)),0)+IFERROR(INDEX(Income!C$3:C$502,SMALL(IF((Income!D$3:D$502="INR")*(Income!A$3:A$502=DATE(2026,7,16)),ROW(Income!A$3:A$502)-2),5)),0))</f>
        <v/>
      </c>
      <c r="J148" s="38" t="str">
        <f aca="false">IF(IFERROR(INDEX(Expenses!B$3:B$1002,SMALL(IF((Expenses!E$3:E$1002="INR")*(Expenses!A$3:A$1002=DATE(2026,7,16)),ROW(Expenses!A$3:A$1002)-2),5)),"")&lt;&gt;"",IFERROR(INDEX(Expenses!B$3:B$1002,SMALL(IF((Expenses!E$3:E$1002="INR")*(Expenses!A$3:A$1002=DATE(2026,7,16)),ROW(Expenses!A$3:A$1002)-2),5)),""),IF(IFERROR(INDEX(Income!B$3:B$502,SMALL(IF((Income!D$3:D$502="INR")*(Income!A$3:A$502=DATE(2026,7,16)),ROW(Income!A$3:A$502)-2),5)),"")&lt;&gt;"",IFERROR(INDEX(Income!B$3:B$502,SMALL(IF((Income!D$3:D$502="INR")*(Income!A$3:A$502=DATE(2026,7,16)),ROW(Income!A$3:A$502)-2),5)),""),""))</f>
        <v/>
      </c>
      <c r="K148" s="63" t="str">
        <f aca="false">IF(IFERROR(-INDEX(Expenses!D$3:D$1002,SMALL(IF((Expenses!E$3:E$1002="INR")*(Expenses!A$3:A$1002=DATE(2026,7,17)),ROW(Expenses!A$3:A$1002)-2),5)),0)+IFERROR(INDEX(Income!C$3:C$502,SMALL(IF((Income!D$3:D$502="INR")*(Income!A$3:A$502=DATE(2026,7,17)),ROW(Income!A$3:A$502)-2),5)),0)=0,"",IFERROR(-INDEX(Expenses!D$3:D$1002,SMALL(IF((Expenses!E$3:E$1002="INR")*(Expenses!A$3:A$1002=DATE(2026,7,17)),ROW(Expenses!A$3:A$1002)-2),5)),0)+IFERROR(INDEX(Income!C$3:C$502,SMALL(IF((Income!D$3:D$502="INR")*(Income!A$3:A$502=DATE(2026,7,17)),ROW(Income!A$3:A$502)-2),5)),0))</f>
        <v/>
      </c>
      <c r="L148" s="38" t="str">
        <f aca="false">IF(IFERROR(INDEX(Expenses!B$3:B$1002,SMALL(IF((Expenses!E$3:E$1002="INR")*(Expenses!A$3:A$1002=DATE(2026,7,17)),ROW(Expenses!A$3:A$1002)-2),5)),"")&lt;&gt;"",IFERROR(INDEX(Expenses!B$3:B$1002,SMALL(IF((Expenses!E$3:E$1002="INR")*(Expenses!A$3:A$1002=DATE(2026,7,17)),ROW(Expenses!A$3:A$1002)-2),5)),""),IF(IFERROR(INDEX(Income!B$3:B$502,SMALL(IF((Income!D$3:D$502="INR")*(Income!A$3:A$502=DATE(2026,7,17)),ROW(Income!A$3:A$502)-2),5)),"")&lt;&gt;"",IFERROR(INDEX(Income!B$3:B$502,SMALL(IF((Income!D$3:D$502="INR")*(Income!A$3:A$502=DATE(2026,7,17)),ROW(Income!A$3:A$502)-2),5)),""),""))</f>
        <v/>
      </c>
      <c r="M148" s="63" t="str">
        <f aca="false">IF(IFERROR(-INDEX(Expenses!D$3:D$1002,SMALL(IF((Expenses!E$3:E$1002="INR")*(Expenses!A$3:A$1002=DATE(2026,7,18)),ROW(Expenses!A$3:A$1002)-2),5)),0)+IFERROR(INDEX(Income!C$3:C$502,SMALL(IF((Income!D$3:D$502="INR")*(Income!A$3:A$502=DATE(2026,7,18)),ROW(Income!A$3:A$502)-2),5)),0)=0,"",IFERROR(-INDEX(Expenses!D$3:D$1002,SMALL(IF((Expenses!E$3:E$1002="INR")*(Expenses!A$3:A$1002=DATE(2026,7,18)),ROW(Expenses!A$3:A$1002)-2),5)),0)+IFERROR(INDEX(Income!C$3:C$502,SMALL(IF((Income!D$3:D$502="INR")*(Income!A$3:A$502=DATE(2026,7,18)),ROW(Income!A$3:A$502)-2),5)),0))</f>
        <v/>
      </c>
      <c r="N148" s="38" t="str">
        <f aca="false">IF(IFERROR(INDEX(Expenses!B$3:B$1002,SMALL(IF((Expenses!E$3:E$1002="INR")*(Expenses!A$3:A$1002=DATE(2026,7,18)),ROW(Expenses!A$3:A$1002)-2),5)),"")&lt;&gt;"",IFERROR(INDEX(Expenses!B$3:B$1002,SMALL(IF((Expenses!E$3:E$1002="INR")*(Expenses!A$3:A$1002=DATE(2026,7,18)),ROW(Expenses!A$3:A$1002)-2),5)),""),IF(IFERROR(INDEX(Income!B$3:B$502,SMALL(IF((Income!D$3:D$502="INR")*(Income!A$3:A$502=DATE(2026,7,18)),ROW(Income!A$3:A$502)-2),5)),"")&lt;&gt;"",IFERROR(INDEX(Income!B$3:B$502,SMALL(IF((Income!D$3:D$502="INR")*(Income!A$3:A$502=DATE(2026,7,18)),ROW(Income!A$3:A$502)-2),5)),""),""))</f>
        <v/>
      </c>
      <c r="O148" s="63" t="str">
        <f aca="false">IF(IFERROR(-INDEX(Expenses!D$3:D$1002,SMALL(IF((Expenses!E$3:E$1002="INR")*(Expenses!A$3:A$1002=DATE(2026,7,19)),ROW(Expenses!A$3:A$1002)-2),5)),0)+IFERROR(INDEX(Income!C$3:C$502,SMALL(IF((Income!D$3:D$502="INR")*(Income!A$3:A$502=DATE(2026,7,19)),ROW(Income!A$3:A$502)-2),5)),0)=0,"",IFERROR(-INDEX(Expenses!D$3:D$1002,SMALL(IF((Expenses!E$3:E$1002="INR")*(Expenses!A$3:A$1002=DATE(2026,7,19)),ROW(Expenses!A$3:A$1002)-2),5)),0)+IFERROR(INDEX(Income!C$3:C$502,SMALL(IF((Income!D$3:D$502="INR")*(Income!A$3:A$502=DATE(2026,7,19)),ROW(Income!A$3:A$502)-2),5)),0))</f>
        <v/>
      </c>
      <c r="P148" s="38" t="str">
        <f aca="false">IF(IFERROR(INDEX(Expenses!B$3:B$1002,SMALL(IF((Expenses!E$3:E$1002="INR")*(Expenses!A$3:A$1002=DATE(2026,7,19)),ROW(Expenses!A$3:A$1002)-2),5)),"")&lt;&gt;"",IFERROR(INDEX(Expenses!B$3:B$1002,SMALL(IF((Expenses!E$3:E$1002="INR")*(Expenses!A$3:A$1002=DATE(2026,7,19)),ROW(Expenses!A$3:A$1002)-2),5)),""),IF(IFERROR(INDEX(Income!B$3:B$502,SMALL(IF((Income!D$3:D$502="INR")*(Income!A$3:A$502=DATE(2026,7,19)),ROW(Income!A$3:A$502)-2),5)),"")&lt;&gt;"",IFERROR(INDEX(Income!B$3:B$502,SMALL(IF((Income!D$3:D$502="INR")*(Income!A$3:A$502=DATE(2026,7,19)),ROW(Income!A$3:A$502)-2),5)),""),""))</f>
        <v/>
      </c>
      <c r="Q148" s="16"/>
      <c r="R148" s="16"/>
    </row>
    <row r="149" customFormat="false" ht="15" hidden="false" customHeight="false" outlineLevel="0" collapsed="false">
      <c r="A149" s="61" t="n">
        <v>46223</v>
      </c>
      <c r="B149" s="3" t="n">
        <v>30</v>
      </c>
      <c r="C149" s="63" t="str">
        <f aca="false">IF(IFERROR(-INDEX(Expenses!D$3:D$1002,SMALL(IF((Expenses!E$3:E$1002="INR")*(Expenses!A$3:A$1002=DATE(2026,7,20)),ROW(Expenses!A$3:A$1002)-2),1)),0)+IFERROR(INDEX(Income!C$3:C$502,SMALL(IF((Income!D$3:D$502="INR")*(Income!A$3:A$502=DATE(2026,7,20)),ROW(Income!A$3:A$502)-2),1)),0)=0,"",IFERROR(-INDEX(Expenses!D$3:D$1002,SMALL(IF((Expenses!E$3:E$1002="INR")*(Expenses!A$3:A$1002=DATE(2026,7,20)),ROW(Expenses!A$3:A$1002)-2),1)),0)+IFERROR(INDEX(Income!C$3:C$502,SMALL(IF((Income!D$3:D$502="INR")*(Income!A$3:A$502=DATE(2026,7,20)),ROW(Income!A$3:A$502)-2),1)),0))</f>
        <v/>
      </c>
      <c r="D149" s="38" t="str">
        <f aca="false">IF(IFERROR(INDEX(Expenses!B$3:B$1002,SMALL(IF((Expenses!E$3:E$1002="INR")*(Expenses!A$3:A$1002=DATE(2026,7,20)),ROW(Expenses!A$3:A$1002)-2),1)),"")&lt;&gt;"",IFERROR(INDEX(Expenses!B$3:B$1002,SMALL(IF((Expenses!E$3:E$1002="INR")*(Expenses!A$3:A$1002=DATE(2026,7,20)),ROW(Expenses!A$3:A$1002)-2),1)),""),IF(IFERROR(INDEX(Income!B$3:B$502,SMALL(IF((Income!D$3:D$502="INR")*(Income!A$3:A$502=DATE(2026,7,20)),ROW(Income!A$3:A$502)-2),1)),"")&lt;&gt;"",IFERROR(INDEX(Income!B$3:B$502,SMALL(IF((Income!D$3:D$502="INR")*(Income!A$3:A$502=DATE(2026,7,20)),ROW(Income!A$3:A$502)-2),1)),""),""))</f>
        <v/>
      </c>
      <c r="E149" s="63" t="str">
        <f aca="false">IF(IFERROR(-INDEX(Expenses!D$3:D$1002,SMALL(IF((Expenses!E$3:E$1002="INR")*(Expenses!A$3:A$1002=DATE(2026,7,21)),ROW(Expenses!A$3:A$1002)-2),1)),0)+IFERROR(INDEX(Income!C$3:C$502,SMALL(IF((Income!D$3:D$502="INR")*(Income!A$3:A$502=DATE(2026,7,21)),ROW(Income!A$3:A$502)-2),1)),0)=0,"",IFERROR(-INDEX(Expenses!D$3:D$1002,SMALL(IF((Expenses!E$3:E$1002="INR")*(Expenses!A$3:A$1002=DATE(2026,7,21)),ROW(Expenses!A$3:A$1002)-2),1)),0)+IFERROR(INDEX(Income!C$3:C$502,SMALL(IF((Income!D$3:D$502="INR")*(Income!A$3:A$502=DATE(2026,7,21)),ROW(Income!A$3:A$502)-2),1)),0))</f>
        <v/>
      </c>
      <c r="F149" s="38" t="str">
        <f aca="false">IF(IFERROR(INDEX(Expenses!B$3:B$1002,SMALL(IF((Expenses!E$3:E$1002="INR")*(Expenses!A$3:A$1002=DATE(2026,7,21)),ROW(Expenses!A$3:A$1002)-2),1)),"")&lt;&gt;"",IFERROR(INDEX(Expenses!B$3:B$1002,SMALL(IF((Expenses!E$3:E$1002="INR")*(Expenses!A$3:A$1002=DATE(2026,7,21)),ROW(Expenses!A$3:A$1002)-2),1)),""),IF(IFERROR(INDEX(Income!B$3:B$502,SMALL(IF((Income!D$3:D$502="INR")*(Income!A$3:A$502=DATE(2026,7,21)),ROW(Income!A$3:A$502)-2),1)),"")&lt;&gt;"",IFERROR(INDEX(Income!B$3:B$502,SMALL(IF((Income!D$3:D$502="INR")*(Income!A$3:A$502=DATE(2026,7,21)),ROW(Income!A$3:A$502)-2),1)),""),""))</f>
        <v/>
      </c>
      <c r="G149" s="63" t="str">
        <f aca="false">IF(IFERROR(-INDEX(Expenses!D$3:D$1002,SMALL(IF((Expenses!E$3:E$1002="INR")*(Expenses!A$3:A$1002=DATE(2026,7,22)),ROW(Expenses!A$3:A$1002)-2),1)),0)+IFERROR(INDEX(Income!C$3:C$502,SMALL(IF((Income!D$3:D$502="INR")*(Income!A$3:A$502=DATE(2026,7,22)),ROW(Income!A$3:A$502)-2),1)),0)=0,"",IFERROR(-INDEX(Expenses!D$3:D$1002,SMALL(IF((Expenses!E$3:E$1002="INR")*(Expenses!A$3:A$1002=DATE(2026,7,22)),ROW(Expenses!A$3:A$1002)-2),1)),0)+IFERROR(INDEX(Income!C$3:C$502,SMALL(IF((Income!D$3:D$502="INR")*(Income!A$3:A$502=DATE(2026,7,22)),ROW(Income!A$3:A$502)-2),1)),0))</f>
        <v/>
      </c>
      <c r="H149" s="38" t="str">
        <f aca="false">IF(IFERROR(INDEX(Expenses!B$3:B$1002,SMALL(IF((Expenses!E$3:E$1002="INR")*(Expenses!A$3:A$1002=DATE(2026,7,22)),ROW(Expenses!A$3:A$1002)-2),1)),"")&lt;&gt;"",IFERROR(INDEX(Expenses!B$3:B$1002,SMALL(IF((Expenses!E$3:E$1002="INR")*(Expenses!A$3:A$1002=DATE(2026,7,22)),ROW(Expenses!A$3:A$1002)-2),1)),""),IF(IFERROR(INDEX(Income!B$3:B$502,SMALL(IF((Income!D$3:D$502="INR")*(Income!A$3:A$502=DATE(2026,7,22)),ROW(Income!A$3:A$502)-2),1)),"")&lt;&gt;"",IFERROR(INDEX(Income!B$3:B$502,SMALL(IF((Income!D$3:D$502="INR")*(Income!A$3:A$502=DATE(2026,7,22)),ROW(Income!A$3:A$502)-2),1)),""),""))</f>
        <v/>
      </c>
      <c r="I149" s="63" t="str">
        <f aca="false">IF(IFERROR(-INDEX(Expenses!D$3:D$1002,SMALL(IF((Expenses!E$3:E$1002="INR")*(Expenses!A$3:A$1002=DATE(2026,7,23)),ROW(Expenses!A$3:A$1002)-2),1)),0)+IFERROR(INDEX(Income!C$3:C$502,SMALL(IF((Income!D$3:D$502="INR")*(Income!A$3:A$502=DATE(2026,7,23)),ROW(Income!A$3:A$502)-2),1)),0)=0,"",IFERROR(-INDEX(Expenses!D$3:D$1002,SMALL(IF((Expenses!E$3:E$1002="INR")*(Expenses!A$3:A$1002=DATE(2026,7,23)),ROW(Expenses!A$3:A$1002)-2),1)),0)+IFERROR(INDEX(Income!C$3:C$502,SMALL(IF((Income!D$3:D$502="INR")*(Income!A$3:A$502=DATE(2026,7,23)),ROW(Income!A$3:A$502)-2),1)),0))</f>
        <v/>
      </c>
      <c r="J149" s="38" t="str">
        <f aca="false">IF(IFERROR(INDEX(Expenses!B$3:B$1002,SMALL(IF((Expenses!E$3:E$1002="INR")*(Expenses!A$3:A$1002=DATE(2026,7,23)),ROW(Expenses!A$3:A$1002)-2),1)),"")&lt;&gt;"",IFERROR(INDEX(Expenses!B$3:B$1002,SMALL(IF((Expenses!E$3:E$1002="INR")*(Expenses!A$3:A$1002=DATE(2026,7,23)),ROW(Expenses!A$3:A$1002)-2),1)),""),IF(IFERROR(INDEX(Income!B$3:B$502,SMALL(IF((Income!D$3:D$502="INR")*(Income!A$3:A$502=DATE(2026,7,23)),ROW(Income!A$3:A$502)-2),1)),"")&lt;&gt;"",IFERROR(INDEX(Income!B$3:B$502,SMALL(IF((Income!D$3:D$502="INR")*(Income!A$3:A$502=DATE(2026,7,23)),ROW(Income!A$3:A$502)-2),1)),""),""))</f>
        <v/>
      </c>
      <c r="K149" s="63" t="str">
        <f aca="false">IF(IFERROR(-INDEX(Expenses!D$3:D$1002,SMALL(IF((Expenses!E$3:E$1002="INR")*(Expenses!A$3:A$1002=DATE(2026,7,24)),ROW(Expenses!A$3:A$1002)-2),1)),0)+IFERROR(INDEX(Income!C$3:C$502,SMALL(IF((Income!D$3:D$502="INR")*(Income!A$3:A$502=DATE(2026,7,24)),ROW(Income!A$3:A$502)-2),1)),0)=0,"",IFERROR(-INDEX(Expenses!D$3:D$1002,SMALL(IF((Expenses!E$3:E$1002="INR")*(Expenses!A$3:A$1002=DATE(2026,7,24)),ROW(Expenses!A$3:A$1002)-2),1)),0)+IFERROR(INDEX(Income!C$3:C$502,SMALL(IF((Income!D$3:D$502="INR")*(Income!A$3:A$502=DATE(2026,7,24)),ROW(Income!A$3:A$502)-2),1)),0))</f>
        <v/>
      </c>
      <c r="L149" s="38" t="str">
        <f aca="false">IF(IFERROR(INDEX(Expenses!B$3:B$1002,SMALL(IF((Expenses!E$3:E$1002="INR")*(Expenses!A$3:A$1002=DATE(2026,7,24)),ROW(Expenses!A$3:A$1002)-2),1)),"")&lt;&gt;"",IFERROR(INDEX(Expenses!B$3:B$1002,SMALL(IF((Expenses!E$3:E$1002="INR")*(Expenses!A$3:A$1002=DATE(2026,7,24)),ROW(Expenses!A$3:A$1002)-2),1)),""),IF(IFERROR(INDEX(Income!B$3:B$502,SMALL(IF((Income!D$3:D$502="INR")*(Income!A$3:A$502=DATE(2026,7,24)),ROW(Income!A$3:A$502)-2),1)),"")&lt;&gt;"",IFERROR(INDEX(Income!B$3:B$502,SMALL(IF((Income!D$3:D$502="INR")*(Income!A$3:A$502=DATE(2026,7,24)),ROW(Income!A$3:A$502)-2),1)),""),""))</f>
        <v/>
      </c>
      <c r="M149" s="63" t="str">
        <f aca="false">IF(IFERROR(-INDEX(Expenses!D$3:D$1002,SMALL(IF((Expenses!E$3:E$1002="INR")*(Expenses!A$3:A$1002=DATE(2026,7,25)),ROW(Expenses!A$3:A$1002)-2),1)),0)+IFERROR(INDEX(Income!C$3:C$502,SMALL(IF((Income!D$3:D$502="INR")*(Income!A$3:A$502=DATE(2026,7,25)),ROW(Income!A$3:A$502)-2),1)),0)=0,"",IFERROR(-INDEX(Expenses!D$3:D$1002,SMALL(IF((Expenses!E$3:E$1002="INR")*(Expenses!A$3:A$1002=DATE(2026,7,25)),ROW(Expenses!A$3:A$1002)-2),1)),0)+IFERROR(INDEX(Income!C$3:C$502,SMALL(IF((Income!D$3:D$502="INR")*(Income!A$3:A$502=DATE(2026,7,25)),ROW(Income!A$3:A$502)-2),1)),0))</f>
        <v/>
      </c>
      <c r="N149" s="38" t="str">
        <f aca="false">IF(IFERROR(INDEX(Expenses!B$3:B$1002,SMALL(IF((Expenses!E$3:E$1002="INR")*(Expenses!A$3:A$1002=DATE(2026,7,25)),ROW(Expenses!A$3:A$1002)-2),1)),"")&lt;&gt;"",IFERROR(INDEX(Expenses!B$3:B$1002,SMALL(IF((Expenses!E$3:E$1002="INR")*(Expenses!A$3:A$1002=DATE(2026,7,25)),ROW(Expenses!A$3:A$1002)-2),1)),""),IF(IFERROR(INDEX(Income!B$3:B$502,SMALL(IF((Income!D$3:D$502="INR")*(Income!A$3:A$502=DATE(2026,7,25)),ROW(Income!A$3:A$502)-2),1)),"")&lt;&gt;"",IFERROR(INDEX(Income!B$3:B$502,SMALL(IF((Income!D$3:D$502="INR")*(Income!A$3:A$502=DATE(2026,7,25)),ROW(Income!A$3:A$502)-2),1)),""),""))</f>
        <v/>
      </c>
      <c r="O149" s="63" t="str">
        <f aca="false">IF(IFERROR(-INDEX(Expenses!D$3:D$1002,SMALL(IF((Expenses!E$3:E$1002="INR")*(Expenses!A$3:A$1002=DATE(2026,7,26)),ROW(Expenses!A$3:A$1002)-2),1)),0)+IFERROR(INDEX(Income!C$3:C$502,SMALL(IF((Income!D$3:D$502="INR")*(Income!A$3:A$502=DATE(2026,7,26)),ROW(Income!A$3:A$502)-2),1)),0)=0,"",IFERROR(-INDEX(Expenses!D$3:D$1002,SMALL(IF((Expenses!E$3:E$1002="INR")*(Expenses!A$3:A$1002=DATE(2026,7,26)),ROW(Expenses!A$3:A$1002)-2),1)),0)+IFERROR(INDEX(Income!C$3:C$502,SMALL(IF((Income!D$3:D$502="INR")*(Income!A$3:A$502=DATE(2026,7,26)),ROW(Income!A$3:A$502)-2),1)),0))</f>
        <v/>
      </c>
      <c r="P149" s="38" t="str">
        <f aca="false">IF(IFERROR(INDEX(Expenses!B$3:B$1002,SMALL(IF((Expenses!E$3:E$1002="INR")*(Expenses!A$3:A$1002=DATE(2026,7,26)),ROW(Expenses!A$3:A$1002)-2),1)),"")&lt;&gt;"",IFERROR(INDEX(Expenses!B$3:B$1002,SMALL(IF((Expenses!E$3:E$1002="INR")*(Expenses!A$3:A$1002=DATE(2026,7,26)),ROW(Expenses!A$3:A$1002)-2),1)),""),IF(IFERROR(INDEX(Income!B$3:B$502,SMALL(IF((Income!D$3:D$502="INR")*(Income!A$3:A$502=DATE(2026,7,26)),ROW(Income!A$3:A$502)-2),1)),"")&lt;&gt;"",IFERROR(INDEX(Income!B$3:B$502,SMALL(IF((Income!D$3:D$502="INR")*(Income!A$3:A$502=DATE(2026,7,26)),ROW(Income!A$3:A$502)-2),1)),""),""))</f>
        <v/>
      </c>
      <c r="Q149" s="3" t="n">
        <v>30</v>
      </c>
      <c r="R149" s="53" t="n">
        <f aca="false">SUM(C149:C153)+SUM(E149:E153)+SUM(G149:G153)+SUM(I149:I153)+SUM(K149:K153)+SUM(M149:M153)+SUM(O149:O153)</f>
        <v>0</v>
      </c>
    </row>
    <row r="150" customFormat="false" ht="15" hidden="false" customHeight="false" outlineLevel="0" collapsed="false">
      <c r="A150" s="16"/>
      <c r="B150" s="16"/>
      <c r="C150" s="63" t="str">
        <f aca="false">IF(IFERROR(-INDEX(Expenses!D$3:D$1002,SMALL(IF((Expenses!E$3:E$1002="INR")*(Expenses!A$3:A$1002=DATE(2026,7,20)),ROW(Expenses!A$3:A$1002)-2),2)),0)+IFERROR(INDEX(Income!C$3:C$502,SMALL(IF((Income!D$3:D$502="INR")*(Income!A$3:A$502=DATE(2026,7,20)),ROW(Income!A$3:A$502)-2),2)),0)=0,"",IFERROR(-INDEX(Expenses!D$3:D$1002,SMALL(IF((Expenses!E$3:E$1002="INR")*(Expenses!A$3:A$1002=DATE(2026,7,20)),ROW(Expenses!A$3:A$1002)-2),2)),0)+IFERROR(INDEX(Income!C$3:C$502,SMALL(IF((Income!D$3:D$502="INR")*(Income!A$3:A$502=DATE(2026,7,20)),ROW(Income!A$3:A$502)-2),2)),0))</f>
        <v/>
      </c>
      <c r="D150" s="38" t="str">
        <f aca="false">IF(IFERROR(INDEX(Expenses!B$3:B$1002,SMALL(IF((Expenses!E$3:E$1002="INR")*(Expenses!A$3:A$1002=DATE(2026,7,20)),ROW(Expenses!A$3:A$1002)-2),2)),"")&lt;&gt;"",IFERROR(INDEX(Expenses!B$3:B$1002,SMALL(IF((Expenses!E$3:E$1002="INR")*(Expenses!A$3:A$1002=DATE(2026,7,20)),ROW(Expenses!A$3:A$1002)-2),2)),""),IF(IFERROR(INDEX(Income!B$3:B$502,SMALL(IF((Income!D$3:D$502="INR")*(Income!A$3:A$502=DATE(2026,7,20)),ROW(Income!A$3:A$502)-2),2)),"")&lt;&gt;"",IFERROR(INDEX(Income!B$3:B$502,SMALL(IF((Income!D$3:D$502="INR")*(Income!A$3:A$502=DATE(2026,7,20)),ROW(Income!A$3:A$502)-2),2)),""),""))</f>
        <v/>
      </c>
      <c r="E150" s="63" t="str">
        <f aca="false">IF(IFERROR(-INDEX(Expenses!D$3:D$1002,SMALL(IF((Expenses!E$3:E$1002="INR")*(Expenses!A$3:A$1002=DATE(2026,7,21)),ROW(Expenses!A$3:A$1002)-2),2)),0)+IFERROR(INDEX(Income!C$3:C$502,SMALL(IF((Income!D$3:D$502="INR")*(Income!A$3:A$502=DATE(2026,7,21)),ROW(Income!A$3:A$502)-2),2)),0)=0,"",IFERROR(-INDEX(Expenses!D$3:D$1002,SMALL(IF((Expenses!E$3:E$1002="INR")*(Expenses!A$3:A$1002=DATE(2026,7,21)),ROW(Expenses!A$3:A$1002)-2),2)),0)+IFERROR(INDEX(Income!C$3:C$502,SMALL(IF((Income!D$3:D$502="INR")*(Income!A$3:A$502=DATE(2026,7,21)),ROW(Income!A$3:A$502)-2),2)),0))</f>
        <v/>
      </c>
      <c r="F150" s="38" t="str">
        <f aca="false">IF(IFERROR(INDEX(Expenses!B$3:B$1002,SMALL(IF((Expenses!E$3:E$1002="INR")*(Expenses!A$3:A$1002=DATE(2026,7,21)),ROW(Expenses!A$3:A$1002)-2),2)),"")&lt;&gt;"",IFERROR(INDEX(Expenses!B$3:B$1002,SMALL(IF((Expenses!E$3:E$1002="INR")*(Expenses!A$3:A$1002=DATE(2026,7,21)),ROW(Expenses!A$3:A$1002)-2),2)),""),IF(IFERROR(INDEX(Income!B$3:B$502,SMALL(IF((Income!D$3:D$502="INR")*(Income!A$3:A$502=DATE(2026,7,21)),ROW(Income!A$3:A$502)-2),2)),"")&lt;&gt;"",IFERROR(INDEX(Income!B$3:B$502,SMALL(IF((Income!D$3:D$502="INR")*(Income!A$3:A$502=DATE(2026,7,21)),ROW(Income!A$3:A$502)-2),2)),""),""))</f>
        <v/>
      </c>
      <c r="G150" s="63" t="str">
        <f aca="false">IF(IFERROR(-INDEX(Expenses!D$3:D$1002,SMALL(IF((Expenses!E$3:E$1002="INR")*(Expenses!A$3:A$1002=DATE(2026,7,22)),ROW(Expenses!A$3:A$1002)-2),2)),0)+IFERROR(INDEX(Income!C$3:C$502,SMALL(IF((Income!D$3:D$502="INR")*(Income!A$3:A$502=DATE(2026,7,22)),ROW(Income!A$3:A$502)-2),2)),0)=0,"",IFERROR(-INDEX(Expenses!D$3:D$1002,SMALL(IF((Expenses!E$3:E$1002="INR")*(Expenses!A$3:A$1002=DATE(2026,7,22)),ROW(Expenses!A$3:A$1002)-2),2)),0)+IFERROR(INDEX(Income!C$3:C$502,SMALL(IF((Income!D$3:D$502="INR")*(Income!A$3:A$502=DATE(2026,7,22)),ROW(Income!A$3:A$502)-2),2)),0))</f>
        <v/>
      </c>
      <c r="H150" s="38" t="str">
        <f aca="false">IF(IFERROR(INDEX(Expenses!B$3:B$1002,SMALL(IF((Expenses!E$3:E$1002="INR")*(Expenses!A$3:A$1002=DATE(2026,7,22)),ROW(Expenses!A$3:A$1002)-2),2)),"")&lt;&gt;"",IFERROR(INDEX(Expenses!B$3:B$1002,SMALL(IF((Expenses!E$3:E$1002="INR")*(Expenses!A$3:A$1002=DATE(2026,7,22)),ROW(Expenses!A$3:A$1002)-2),2)),""),IF(IFERROR(INDEX(Income!B$3:B$502,SMALL(IF((Income!D$3:D$502="INR")*(Income!A$3:A$502=DATE(2026,7,22)),ROW(Income!A$3:A$502)-2),2)),"")&lt;&gt;"",IFERROR(INDEX(Income!B$3:B$502,SMALL(IF((Income!D$3:D$502="INR")*(Income!A$3:A$502=DATE(2026,7,22)),ROW(Income!A$3:A$502)-2),2)),""),""))</f>
        <v/>
      </c>
      <c r="I150" s="63" t="str">
        <f aca="false">IF(IFERROR(-INDEX(Expenses!D$3:D$1002,SMALL(IF((Expenses!E$3:E$1002="INR")*(Expenses!A$3:A$1002=DATE(2026,7,23)),ROW(Expenses!A$3:A$1002)-2),2)),0)+IFERROR(INDEX(Income!C$3:C$502,SMALL(IF((Income!D$3:D$502="INR")*(Income!A$3:A$502=DATE(2026,7,23)),ROW(Income!A$3:A$502)-2),2)),0)=0,"",IFERROR(-INDEX(Expenses!D$3:D$1002,SMALL(IF((Expenses!E$3:E$1002="INR")*(Expenses!A$3:A$1002=DATE(2026,7,23)),ROW(Expenses!A$3:A$1002)-2),2)),0)+IFERROR(INDEX(Income!C$3:C$502,SMALL(IF((Income!D$3:D$502="INR")*(Income!A$3:A$502=DATE(2026,7,23)),ROW(Income!A$3:A$502)-2),2)),0))</f>
        <v/>
      </c>
      <c r="J150" s="38" t="str">
        <f aca="false">IF(IFERROR(INDEX(Expenses!B$3:B$1002,SMALL(IF((Expenses!E$3:E$1002="INR")*(Expenses!A$3:A$1002=DATE(2026,7,23)),ROW(Expenses!A$3:A$1002)-2),2)),"")&lt;&gt;"",IFERROR(INDEX(Expenses!B$3:B$1002,SMALL(IF((Expenses!E$3:E$1002="INR")*(Expenses!A$3:A$1002=DATE(2026,7,23)),ROW(Expenses!A$3:A$1002)-2),2)),""),IF(IFERROR(INDEX(Income!B$3:B$502,SMALL(IF((Income!D$3:D$502="INR")*(Income!A$3:A$502=DATE(2026,7,23)),ROW(Income!A$3:A$502)-2),2)),"")&lt;&gt;"",IFERROR(INDEX(Income!B$3:B$502,SMALL(IF((Income!D$3:D$502="INR")*(Income!A$3:A$502=DATE(2026,7,23)),ROW(Income!A$3:A$502)-2),2)),""),""))</f>
        <v/>
      </c>
      <c r="K150" s="63" t="str">
        <f aca="false">IF(IFERROR(-INDEX(Expenses!D$3:D$1002,SMALL(IF((Expenses!E$3:E$1002="INR")*(Expenses!A$3:A$1002=DATE(2026,7,24)),ROW(Expenses!A$3:A$1002)-2),2)),0)+IFERROR(INDEX(Income!C$3:C$502,SMALL(IF((Income!D$3:D$502="INR")*(Income!A$3:A$502=DATE(2026,7,24)),ROW(Income!A$3:A$502)-2),2)),0)=0,"",IFERROR(-INDEX(Expenses!D$3:D$1002,SMALL(IF((Expenses!E$3:E$1002="INR")*(Expenses!A$3:A$1002=DATE(2026,7,24)),ROW(Expenses!A$3:A$1002)-2),2)),0)+IFERROR(INDEX(Income!C$3:C$502,SMALL(IF((Income!D$3:D$502="INR")*(Income!A$3:A$502=DATE(2026,7,24)),ROW(Income!A$3:A$502)-2),2)),0))</f>
        <v/>
      </c>
      <c r="L150" s="38" t="str">
        <f aca="false">IF(IFERROR(INDEX(Expenses!B$3:B$1002,SMALL(IF((Expenses!E$3:E$1002="INR")*(Expenses!A$3:A$1002=DATE(2026,7,24)),ROW(Expenses!A$3:A$1002)-2),2)),"")&lt;&gt;"",IFERROR(INDEX(Expenses!B$3:B$1002,SMALL(IF((Expenses!E$3:E$1002="INR")*(Expenses!A$3:A$1002=DATE(2026,7,24)),ROW(Expenses!A$3:A$1002)-2),2)),""),IF(IFERROR(INDEX(Income!B$3:B$502,SMALL(IF((Income!D$3:D$502="INR")*(Income!A$3:A$502=DATE(2026,7,24)),ROW(Income!A$3:A$502)-2),2)),"")&lt;&gt;"",IFERROR(INDEX(Income!B$3:B$502,SMALL(IF((Income!D$3:D$502="INR")*(Income!A$3:A$502=DATE(2026,7,24)),ROW(Income!A$3:A$502)-2),2)),""),""))</f>
        <v/>
      </c>
      <c r="M150" s="63" t="str">
        <f aca="false">IF(IFERROR(-INDEX(Expenses!D$3:D$1002,SMALL(IF((Expenses!E$3:E$1002="INR")*(Expenses!A$3:A$1002=DATE(2026,7,25)),ROW(Expenses!A$3:A$1002)-2),2)),0)+IFERROR(INDEX(Income!C$3:C$502,SMALL(IF((Income!D$3:D$502="INR")*(Income!A$3:A$502=DATE(2026,7,25)),ROW(Income!A$3:A$502)-2),2)),0)=0,"",IFERROR(-INDEX(Expenses!D$3:D$1002,SMALL(IF((Expenses!E$3:E$1002="INR")*(Expenses!A$3:A$1002=DATE(2026,7,25)),ROW(Expenses!A$3:A$1002)-2),2)),0)+IFERROR(INDEX(Income!C$3:C$502,SMALL(IF((Income!D$3:D$502="INR")*(Income!A$3:A$502=DATE(2026,7,25)),ROW(Income!A$3:A$502)-2),2)),0))</f>
        <v/>
      </c>
      <c r="N150" s="38" t="str">
        <f aca="false">IF(IFERROR(INDEX(Expenses!B$3:B$1002,SMALL(IF((Expenses!E$3:E$1002="INR")*(Expenses!A$3:A$1002=DATE(2026,7,25)),ROW(Expenses!A$3:A$1002)-2),2)),"")&lt;&gt;"",IFERROR(INDEX(Expenses!B$3:B$1002,SMALL(IF((Expenses!E$3:E$1002="INR")*(Expenses!A$3:A$1002=DATE(2026,7,25)),ROW(Expenses!A$3:A$1002)-2),2)),""),IF(IFERROR(INDEX(Income!B$3:B$502,SMALL(IF((Income!D$3:D$502="INR")*(Income!A$3:A$502=DATE(2026,7,25)),ROW(Income!A$3:A$502)-2),2)),"")&lt;&gt;"",IFERROR(INDEX(Income!B$3:B$502,SMALL(IF((Income!D$3:D$502="INR")*(Income!A$3:A$502=DATE(2026,7,25)),ROW(Income!A$3:A$502)-2),2)),""),""))</f>
        <v/>
      </c>
      <c r="O150" s="63" t="str">
        <f aca="false">IF(IFERROR(-INDEX(Expenses!D$3:D$1002,SMALL(IF((Expenses!E$3:E$1002="INR")*(Expenses!A$3:A$1002=DATE(2026,7,26)),ROW(Expenses!A$3:A$1002)-2),2)),0)+IFERROR(INDEX(Income!C$3:C$502,SMALL(IF((Income!D$3:D$502="INR")*(Income!A$3:A$502=DATE(2026,7,26)),ROW(Income!A$3:A$502)-2),2)),0)=0,"",IFERROR(-INDEX(Expenses!D$3:D$1002,SMALL(IF((Expenses!E$3:E$1002="INR")*(Expenses!A$3:A$1002=DATE(2026,7,26)),ROW(Expenses!A$3:A$1002)-2),2)),0)+IFERROR(INDEX(Income!C$3:C$502,SMALL(IF((Income!D$3:D$502="INR")*(Income!A$3:A$502=DATE(2026,7,26)),ROW(Income!A$3:A$502)-2),2)),0))</f>
        <v/>
      </c>
      <c r="P150" s="38" t="str">
        <f aca="false">IF(IFERROR(INDEX(Expenses!B$3:B$1002,SMALL(IF((Expenses!E$3:E$1002="INR")*(Expenses!A$3:A$1002=DATE(2026,7,26)),ROW(Expenses!A$3:A$1002)-2),2)),"")&lt;&gt;"",IFERROR(INDEX(Expenses!B$3:B$1002,SMALL(IF((Expenses!E$3:E$1002="INR")*(Expenses!A$3:A$1002=DATE(2026,7,26)),ROW(Expenses!A$3:A$1002)-2),2)),""),IF(IFERROR(INDEX(Income!B$3:B$502,SMALL(IF((Income!D$3:D$502="INR")*(Income!A$3:A$502=DATE(2026,7,26)),ROW(Income!A$3:A$502)-2),2)),"")&lt;&gt;"",IFERROR(INDEX(Income!B$3:B$502,SMALL(IF((Income!D$3:D$502="INR")*(Income!A$3:A$502=DATE(2026,7,26)),ROW(Income!A$3:A$502)-2),2)),""),""))</f>
        <v/>
      </c>
      <c r="Q150" s="16"/>
      <c r="R150" s="16"/>
    </row>
    <row r="151" customFormat="false" ht="15" hidden="false" customHeight="false" outlineLevel="0" collapsed="false">
      <c r="A151" s="16"/>
      <c r="B151" s="16"/>
      <c r="C151" s="63" t="str">
        <f aca="false">IF(IFERROR(-INDEX(Expenses!D$3:D$1002,SMALL(IF((Expenses!E$3:E$1002="INR")*(Expenses!A$3:A$1002=DATE(2026,7,20)),ROW(Expenses!A$3:A$1002)-2),3)),0)+IFERROR(INDEX(Income!C$3:C$502,SMALL(IF((Income!D$3:D$502="INR")*(Income!A$3:A$502=DATE(2026,7,20)),ROW(Income!A$3:A$502)-2),3)),0)=0,"",IFERROR(-INDEX(Expenses!D$3:D$1002,SMALL(IF((Expenses!E$3:E$1002="INR")*(Expenses!A$3:A$1002=DATE(2026,7,20)),ROW(Expenses!A$3:A$1002)-2),3)),0)+IFERROR(INDEX(Income!C$3:C$502,SMALL(IF((Income!D$3:D$502="INR")*(Income!A$3:A$502=DATE(2026,7,20)),ROW(Income!A$3:A$502)-2),3)),0))</f>
        <v/>
      </c>
      <c r="D151" s="38" t="str">
        <f aca="false">IF(IFERROR(INDEX(Expenses!B$3:B$1002,SMALL(IF((Expenses!E$3:E$1002="INR")*(Expenses!A$3:A$1002=DATE(2026,7,20)),ROW(Expenses!A$3:A$1002)-2),3)),"")&lt;&gt;"",IFERROR(INDEX(Expenses!B$3:B$1002,SMALL(IF((Expenses!E$3:E$1002="INR")*(Expenses!A$3:A$1002=DATE(2026,7,20)),ROW(Expenses!A$3:A$1002)-2),3)),""),IF(IFERROR(INDEX(Income!B$3:B$502,SMALL(IF((Income!D$3:D$502="INR")*(Income!A$3:A$502=DATE(2026,7,20)),ROW(Income!A$3:A$502)-2),3)),"")&lt;&gt;"",IFERROR(INDEX(Income!B$3:B$502,SMALL(IF((Income!D$3:D$502="INR")*(Income!A$3:A$502=DATE(2026,7,20)),ROW(Income!A$3:A$502)-2),3)),""),""))</f>
        <v/>
      </c>
      <c r="E151" s="63" t="str">
        <f aca="false">IF(IFERROR(-INDEX(Expenses!D$3:D$1002,SMALL(IF((Expenses!E$3:E$1002="INR")*(Expenses!A$3:A$1002=DATE(2026,7,21)),ROW(Expenses!A$3:A$1002)-2),3)),0)+IFERROR(INDEX(Income!C$3:C$502,SMALL(IF((Income!D$3:D$502="INR")*(Income!A$3:A$502=DATE(2026,7,21)),ROW(Income!A$3:A$502)-2),3)),0)=0,"",IFERROR(-INDEX(Expenses!D$3:D$1002,SMALL(IF((Expenses!E$3:E$1002="INR")*(Expenses!A$3:A$1002=DATE(2026,7,21)),ROW(Expenses!A$3:A$1002)-2),3)),0)+IFERROR(INDEX(Income!C$3:C$502,SMALL(IF((Income!D$3:D$502="INR")*(Income!A$3:A$502=DATE(2026,7,21)),ROW(Income!A$3:A$502)-2),3)),0))</f>
        <v/>
      </c>
      <c r="F151" s="38" t="str">
        <f aca="false">IF(IFERROR(INDEX(Expenses!B$3:B$1002,SMALL(IF((Expenses!E$3:E$1002="INR")*(Expenses!A$3:A$1002=DATE(2026,7,21)),ROW(Expenses!A$3:A$1002)-2),3)),"")&lt;&gt;"",IFERROR(INDEX(Expenses!B$3:B$1002,SMALL(IF((Expenses!E$3:E$1002="INR")*(Expenses!A$3:A$1002=DATE(2026,7,21)),ROW(Expenses!A$3:A$1002)-2),3)),""),IF(IFERROR(INDEX(Income!B$3:B$502,SMALL(IF((Income!D$3:D$502="INR")*(Income!A$3:A$502=DATE(2026,7,21)),ROW(Income!A$3:A$502)-2),3)),"")&lt;&gt;"",IFERROR(INDEX(Income!B$3:B$502,SMALL(IF((Income!D$3:D$502="INR")*(Income!A$3:A$502=DATE(2026,7,21)),ROW(Income!A$3:A$502)-2),3)),""),""))</f>
        <v/>
      </c>
      <c r="G151" s="63" t="str">
        <f aca="false">IF(IFERROR(-INDEX(Expenses!D$3:D$1002,SMALL(IF((Expenses!E$3:E$1002="INR")*(Expenses!A$3:A$1002=DATE(2026,7,22)),ROW(Expenses!A$3:A$1002)-2),3)),0)+IFERROR(INDEX(Income!C$3:C$502,SMALL(IF((Income!D$3:D$502="INR")*(Income!A$3:A$502=DATE(2026,7,22)),ROW(Income!A$3:A$502)-2),3)),0)=0,"",IFERROR(-INDEX(Expenses!D$3:D$1002,SMALL(IF((Expenses!E$3:E$1002="INR")*(Expenses!A$3:A$1002=DATE(2026,7,22)),ROW(Expenses!A$3:A$1002)-2),3)),0)+IFERROR(INDEX(Income!C$3:C$502,SMALL(IF((Income!D$3:D$502="INR")*(Income!A$3:A$502=DATE(2026,7,22)),ROW(Income!A$3:A$502)-2),3)),0))</f>
        <v/>
      </c>
      <c r="H151" s="38" t="str">
        <f aca="false">IF(IFERROR(INDEX(Expenses!B$3:B$1002,SMALL(IF((Expenses!E$3:E$1002="INR")*(Expenses!A$3:A$1002=DATE(2026,7,22)),ROW(Expenses!A$3:A$1002)-2),3)),"")&lt;&gt;"",IFERROR(INDEX(Expenses!B$3:B$1002,SMALL(IF((Expenses!E$3:E$1002="INR")*(Expenses!A$3:A$1002=DATE(2026,7,22)),ROW(Expenses!A$3:A$1002)-2),3)),""),IF(IFERROR(INDEX(Income!B$3:B$502,SMALL(IF((Income!D$3:D$502="INR")*(Income!A$3:A$502=DATE(2026,7,22)),ROW(Income!A$3:A$502)-2),3)),"")&lt;&gt;"",IFERROR(INDEX(Income!B$3:B$502,SMALL(IF((Income!D$3:D$502="INR")*(Income!A$3:A$502=DATE(2026,7,22)),ROW(Income!A$3:A$502)-2),3)),""),""))</f>
        <v/>
      </c>
      <c r="I151" s="63" t="str">
        <f aca="false">IF(IFERROR(-INDEX(Expenses!D$3:D$1002,SMALL(IF((Expenses!E$3:E$1002="INR")*(Expenses!A$3:A$1002=DATE(2026,7,23)),ROW(Expenses!A$3:A$1002)-2),3)),0)+IFERROR(INDEX(Income!C$3:C$502,SMALL(IF((Income!D$3:D$502="INR")*(Income!A$3:A$502=DATE(2026,7,23)),ROW(Income!A$3:A$502)-2),3)),0)=0,"",IFERROR(-INDEX(Expenses!D$3:D$1002,SMALL(IF((Expenses!E$3:E$1002="INR")*(Expenses!A$3:A$1002=DATE(2026,7,23)),ROW(Expenses!A$3:A$1002)-2),3)),0)+IFERROR(INDEX(Income!C$3:C$502,SMALL(IF((Income!D$3:D$502="INR")*(Income!A$3:A$502=DATE(2026,7,23)),ROW(Income!A$3:A$502)-2),3)),0))</f>
        <v/>
      </c>
      <c r="J151" s="38" t="str">
        <f aca="false">IF(IFERROR(INDEX(Expenses!B$3:B$1002,SMALL(IF((Expenses!E$3:E$1002="INR")*(Expenses!A$3:A$1002=DATE(2026,7,23)),ROW(Expenses!A$3:A$1002)-2),3)),"")&lt;&gt;"",IFERROR(INDEX(Expenses!B$3:B$1002,SMALL(IF((Expenses!E$3:E$1002="INR")*(Expenses!A$3:A$1002=DATE(2026,7,23)),ROW(Expenses!A$3:A$1002)-2),3)),""),IF(IFERROR(INDEX(Income!B$3:B$502,SMALL(IF((Income!D$3:D$502="INR")*(Income!A$3:A$502=DATE(2026,7,23)),ROW(Income!A$3:A$502)-2),3)),"")&lt;&gt;"",IFERROR(INDEX(Income!B$3:B$502,SMALL(IF((Income!D$3:D$502="INR")*(Income!A$3:A$502=DATE(2026,7,23)),ROW(Income!A$3:A$502)-2),3)),""),""))</f>
        <v/>
      </c>
      <c r="K151" s="63" t="str">
        <f aca="false">IF(IFERROR(-INDEX(Expenses!D$3:D$1002,SMALL(IF((Expenses!E$3:E$1002="INR")*(Expenses!A$3:A$1002=DATE(2026,7,24)),ROW(Expenses!A$3:A$1002)-2),3)),0)+IFERROR(INDEX(Income!C$3:C$502,SMALL(IF((Income!D$3:D$502="INR")*(Income!A$3:A$502=DATE(2026,7,24)),ROW(Income!A$3:A$502)-2),3)),0)=0,"",IFERROR(-INDEX(Expenses!D$3:D$1002,SMALL(IF((Expenses!E$3:E$1002="INR")*(Expenses!A$3:A$1002=DATE(2026,7,24)),ROW(Expenses!A$3:A$1002)-2),3)),0)+IFERROR(INDEX(Income!C$3:C$502,SMALL(IF((Income!D$3:D$502="INR")*(Income!A$3:A$502=DATE(2026,7,24)),ROW(Income!A$3:A$502)-2),3)),0))</f>
        <v/>
      </c>
      <c r="L151" s="38" t="str">
        <f aca="false">IF(IFERROR(INDEX(Expenses!B$3:B$1002,SMALL(IF((Expenses!E$3:E$1002="INR")*(Expenses!A$3:A$1002=DATE(2026,7,24)),ROW(Expenses!A$3:A$1002)-2),3)),"")&lt;&gt;"",IFERROR(INDEX(Expenses!B$3:B$1002,SMALL(IF((Expenses!E$3:E$1002="INR")*(Expenses!A$3:A$1002=DATE(2026,7,24)),ROW(Expenses!A$3:A$1002)-2),3)),""),IF(IFERROR(INDEX(Income!B$3:B$502,SMALL(IF((Income!D$3:D$502="INR")*(Income!A$3:A$502=DATE(2026,7,24)),ROW(Income!A$3:A$502)-2),3)),"")&lt;&gt;"",IFERROR(INDEX(Income!B$3:B$502,SMALL(IF((Income!D$3:D$502="INR")*(Income!A$3:A$502=DATE(2026,7,24)),ROW(Income!A$3:A$502)-2),3)),""),""))</f>
        <v/>
      </c>
      <c r="M151" s="63" t="str">
        <f aca="false">IF(IFERROR(-INDEX(Expenses!D$3:D$1002,SMALL(IF((Expenses!E$3:E$1002="INR")*(Expenses!A$3:A$1002=DATE(2026,7,25)),ROW(Expenses!A$3:A$1002)-2),3)),0)+IFERROR(INDEX(Income!C$3:C$502,SMALL(IF((Income!D$3:D$502="INR")*(Income!A$3:A$502=DATE(2026,7,25)),ROW(Income!A$3:A$502)-2),3)),0)=0,"",IFERROR(-INDEX(Expenses!D$3:D$1002,SMALL(IF((Expenses!E$3:E$1002="INR")*(Expenses!A$3:A$1002=DATE(2026,7,25)),ROW(Expenses!A$3:A$1002)-2),3)),0)+IFERROR(INDEX(Income!C$3:C$502,SMALL(IF((Income!D$3:D$502="INR")*(Income!A$3:A$502=DATE(2026,7,25)),ROW(Income!A$3:A$502)-2),3)),0))</f>
        <v/>
      </c>
      <c r="N151" s="38" t="str">
        <f aca="false">IF(IFERROR(INDEX(Expenses!B$3:B$1002,SMALL(IF((Expenses!E$3:E$1002="INR")*(Expenses!A$3:A$1002=DATE(2026,7,25)),ROW(Expenses!A$3:A$1002)-2),3)),"")&lt;&gt;"",IFERROR(INDEX(Expenses!B$3:B$1002,SMALL(IF((Expenses!E$3:E$1002="INR")*(Expenses!A$3:A$1002=DATE(2026,7,25)),ROW(Expenses!A$3:A$1002)-2),3)),""),IF(IFERROR(INDEX(Income!B$3:B$502,SMALL(IF((Income!D$3:D$502="INR")*(Income!A$3:A$502=DATE(2026,7,25)),ROW(Income!A$3:A$502)-2),3)),"")&lt;&gt;"",IFERROR(INDEX(Income!B$3:B$502,SMALL(IF((Income!D$3:D$502="INR")*(Income!A$3:A$502=DATE(2026,7,25)),ROW(Income!A$3:A$502)-2),3)),""),""))</f>
        <v/>
      </c>
      <c r="O151" s="63" t="str">
        <f aca="false">IF(IFERROR(-INDEX(Expenses!D$3:D$1002,SMALL(IF((Expenses!E$3:E$1002="INR")*(Expenses!A$3:A$1002=DATE(2026,7,26)),ROW(Expenses!A$3:A$1002)-2),3)),0)+IFERROR(INDEX(Income!C$3:C$502,SMALL(IF((Income!D$3:D$502="INR")*(Income!A$3:A$502=DATE(2026,7,26)),ROW(Income!A$3:A$502)-2),3)),0)=0,"",IFERROR(-INDEX(Expenses!D$3:D$1002,SMALL(IF((Expenses!E$3:E$1002="INR")*(Expenses!A$3:A$1002=DATE(2026,7,26)),ROW(Expenses!A$3:A$1002)-2),3)),0)+IFERROR(INDEX(Income!C$3:C$502,SMALL(IF((Income!D$3:D$502="INR")*(Income!A$3:A$502=DATE(2026,7,26)),ROW(Income!A$3:A$502)-2),3)),0))</f>
        <v/>
      </c>
      <c r="P151" s="38" t="str">
        <f aca="false">IF(IFERROR(INDEX(Expenses!B$3:B$1002,SMALL(IF((Expenses!E$3:E$1002="INR")*(Expenses!A$3:A$1002=DATE(2026,7,26)),ROW(Expenses!A$3:A$1002)-2),3)),"")&lt;&gt;"",IFERROR(INDEX(Expenses!B$3:B$1002,SMALL(IF((Expenses!E$3:E$1002="INR")*(Expenses!A$3:A$1002=DATE(2026,7,26)),ROW(Expenses!A$3:A$1002)-2),3)),""),IF(IFERROR(INDEX(Income!B$3:B$502,SMALL(IF((Income!D$3:D$502="INR")*(Income!A$3:A$502=DATE(2026,7,26)),ROW(Income!A$3:A$502)-2),3)),"")&lt;&gt;"",IFERROR(INDEX(Income!B$3:B$502,SMALL(IF((Income!D$3:D$502="INR")*(Income!A$3:A$502=DATE(2026,7,26)),ROW(Income!A$3:A$502)-2),3)),""),""))</f>
        <v/>
      </c>
      <c r="Q151" s="16"/>
      <c r="R151" s="16"/>
    </row>
    <row r="152" customFormat="false" ht="15" hidden="false" customHeight="false" outlineLevel="0" collapsed="false">
      <c r="A152" s="16"/>
      <c r="B152" s="16"/>
      <c r="C152" s="63" t="str">
        <f aca="false">IF(IFERROR(-INDEX(Expenses!D$3:D$1002,SMALL(IF((Expenses!E$3:E$1002="INR")*(Expenses!A$3:A$1002=DATE(2026,7,20)),ROW(Expenses!A$3:A$1002)-2),4)),0)+IFERROR(INDEX(Income!C$3:C$502,SMALL(IF((Income!D$3:D$502="INR")*(Income!A$3:A$502=DATE(2026,7,20)),ROW(Income!A$3:A$502)-2),4)),0)=0,"",IFERROR(-INDEX(Expenses!D$3:D$1002,SMALL(IF((Expenses!E$3:E$1002="INR")*(Expenses!A$3:A$1002=DATE(2026,7,20)),ROW(Expenses!A$3:A$1002)-2),4)),0)+IFERROR(INDEX(Income!C$3:C$502,SMALL(IF((Income!D$3:D$502="INR")*(Income!A$3:A$502=DATE(2026,7,20)),ROW(Income!A$3:A$502)-2),4)),0))</f>
        <v/>
      </c>
      <c r="D152" s="38" t="str">
        <f aca="false">IF(IFERROR(INDEX(Expenses!B$3:B$1002,SMALL(IF((Expenses!E$3:E$1002="INR")*(Expenses!A$3:A$1002=DATE(2026,7,20)),ROW(Expenses!A$3:A$1002)-2),4)),"")&lt;&gt;"",IFERROR(INDEX(Expenses!B$3:B$1002,SMALL(IF((Expenses!E$3:E$1002="INR")*(Expenses!A$3:A$1002=DATE(2026,7,20)),ROW(Expenses!A$3:A$1002)-2),4)),""),IF(IFERROR(INDEX(Income!B$3:B$502,SMALL(IF((Income!D$3:D$502="INR")*(Income!A$3:A$502=DATE(2026,7,20)),ROW(Income!A$3:A$502)-2),4)),"")&lt;&gt;"",IFERROR(INDEX(Income!B$3:B$502,SMALL(IF((Income!D$3:D$502="INR")*(Income!A$3:A$502=DATE(2026,7,20)),ROW(Income!A$3:A$502)-2),4)),""),""))</f>
        <v/>
      </c>
      <c r="E152" s="63" t="str">
        <f aca="false">IF(IFERROR(-INDEX(Expenses!D$3:D$1002,SMALL(IF((Expenses!E$3:E$1002="INR")*(Expenses!A$3:A$1002=DATE(2026,7,21)),ROW(Expenses!A$3:A$1002)-2),4)),0)+IFERROR(INDEX(Income!C$3:C$502,SMALL(IF((Income!D$3:D$502="INR")*(Income!A$3:A$502=DATE(2026,7,21)),ROW(Income!A$3:A$502)-2),4)),0)=0,"",IFERROR(-INDEX(Expenses!D$3:D$1002,SMALL(IF((Expenses!E$3:E$1002="INR")*(Expenses!A$3:A$1002=DATE(2026,7,21)),ROW(Expenses!A$3:A$1002)-2),4)),0)+IFERROR(INDEX(Income!C$3:C$502,SMALL(IF((Income!D$3:D$502="INR")*(Income!A$3:A$502=DATE(2026,7,21)),ROW(Income!A$3:A$502)-2),4)),0))</f>
        <v/>
      </c>
      <c r="F152" s="38" t="str">
        <f aca="false">IF(IFERROR(INDEX(Expenses!B$3:B$1002,SMALL(IF((Expenses!E$3:E$1002="INR")*(Expenses!A$3:A$1002=DATE(2026,7,21)),ROW(Expenses!A$3:A$1002)-2),4)),"")&lt;&gt;"",IFERROR(INDEX(Expenses!B$3:B$1002,SMALL(IF((Expenses!E$3:E$1002="INR")*(Expenses!A$3:A$1002=DATE(2026,7,21)),ROW(Expenses!A$3:A$1002)-2),4)),""),IF(IFERROR(INDEX(Income!B$3:B$502,SMALL(IF((Income!D$3:D$502="INR")*(Income!A$3:A$502=DATE(2026,7,21)),ROW(Income!A$3:A$502)-2),4)),"")&lt;&gt;"",IFERROR(INDEX(Income!B$3:B$502,SMALL(IF((Income!D$3:D$502="INR")*(Income!A$3:A$502=DATE(2026,7,21)),ROW(Income!A$3:A$502)-2),4)),""),""))</f>
        <v/>
      </c>
      <c r="G152" s="63" t="str">
        <f aca="false">IF(IFERROR(-INDEX(Expenses!D$3:D$1002,SMALL(IF((Expenses!E$3:E$1002="INR")*(Expenses!A$3:A$1002=DATE(2026,7,22)),ROW(Expenses!A$3:A$1002)-2),4)),0)+IFERROR(INDEX(Income!C$3:C$502,SMALL(IF((Income!D$3:D$502="INR")*(Income!A$3:A$502=DATE(2026,7,22)),ROW(Income!A$3:A$502)-2),4)),0)=0,"",IFERROR(-INDEX(Expenses!D$3:D$1002,SMALL(IF((Expenses!E$3:E$1002="INR")*(Expenses!A$3:A$1002=DATE(2026,7,22)),ROW(Expenses!A$3:A$1002)-2),4)),0)+IFERROR(INDEX(Income!C$3:C$502,SMALL(IF((Income!D$3:D$502="INR")*(Income!A$3:A$502=DATE(2026,7,22)),ROW(Income!A$3:A$502)-2),4)),0))</f>
        <v/>
      </c>
      <c r="H152" s="38" t="str">
        <f aca="false">IF(IFERROR(INDEX(Expenses!B$3:B$1002,SMALL(IF((Expenses!E$3:E$1002="INR")*(Expenses!A$3:A$1002=DATE(2026,7,22)),ROW(Expenses!A$3:A$1002)-2),4)),"")&lt;&gt;"",IFERROR(INDEX(Expenses!B$3:B$1002,SMALL(IF((Expenses!E$3:E$1002="INR")*(Expenses!A$3:A$1002=DATE(2026,7,22)),ROW(Expenses!A$3:A$1002)-2),4)),""),IF(IFERROR(INDEX(Income!B$3:B$502,SMALL(IF((Income!D$3:D$502="INR")*(Income!A$3:A$502=DATE(2026,7,22)),ROW(Income!A$3:A$502)-2),4)),"")&lt;&gt;"",IFERROR(INDEX(Income!B$3:B$502,SMALL(IF((Income!D$3:D$502="INR")*(Income!A$3:A$502=DATE(2026,7,22)),ROW(Income!A$3:A$502)-2),4)),""),""))</f>
        <v/>
      </c>
      <c r="I152" s="63" t="str">
        <f aca="false">IF(IFERROR(-INDEX(Expenses!D$3:D$1002,SMALL(IF((Expenses!E$3:E$1002="INR")*(Expenses!A$3:A$1002=DATE(2026,7,23)),ROW(Expenses!A$3:A$1002)-2),4)),0)+IFERROR(INDEX(Income!C$3:C$502,SMALL(IF((Income!D$3:D$502="INR")*(Income!A$3:A$502=DATE(2026,7,23)),ROW(Income!A$3:A$502)-2),4)),0)=0,"",IFERROR(-INDEX(Expenses!D$3:D$1002,SMALL(IF((Expenses!E$3:E$1002="INR")*(Expenses!A$3:A$1002=DATE(2026,7,23)),ROW(Expenses!A$3:A$1002)-2),4)),0)+IFERROR(INDEX(Income!C$3:C$502,SMALL(IF((Income!D$3:D$502="INR")*(Income!A$3:A$502=DATE(2026,7,23)),ROW(Income!A$3:A$502)-2),4)),0))</f>
        <v/>
      </c>
      <c r="J152" s="38" t="str">
        <f aca="false">IF(IFERROR(INDEX(Expenses!B$3:B$1002,SMALL(IF((Expenses!E$3:E$1002="INR")*(Expenses!A$3:A$1002=DATE(2026,7,23)),ROW(Expenses!A$3:A$1002)-2),4)),"")&lt;&gt;"",IFERROR(INDEX(Expenses!B$3:B$1002,SMALL(IF((Expenses!E$3:E$1002="INR")*(Expenses!A$3:A$1002=DATE(2026,7,23)),ROW(Expenses!A$3:A$1002)-2),4)),""),IF(IFERROR(INDEX(Income!B$3:B$502,SMALL(IF((Income!D$3:D$502="INR")*(Income!A$3:A$502=DATE(2026,7,23)),ROW(Income!A$3:A$502)-2),4)),"")&lt;&gt;"",IFERROR(INDEX(Income!B$3:B$502,SMALL(IF((Income!D$3:D$502="INR")*(Income!A$3:A$502=DATE(2026,7,23)),ROW(Income!A$3:A$502)-2),4)),""),""))</f>
        <v/>
      </c>
      <c r="K152" s="63" t="str">
        <f aca="false">IF(IFERROR(-INDEX(Expenses!D$3:D$1002,SMALL(IF((Expenses!E$3:E$1002="INR")*(Expenses!A$3:A$1002=DATE(2026,7,24)),ROW(Expenses!A$3:A$1002)-2),4)),0)+IFERROR(INDEX(Income!C$3:C$502,SMALL(IF((Income!D$3:D$502="INR")*(Income!A$3:A$502=DATE(2026,7,24)),ROW(Income!A$3:A$502)-2),4)),0)=0,"",IFERROR(-INDEX(Expenses!D$3:D$1002,SMALL(IF((Expenses!E$3:E$1002="INR")*(Expenses!A$3:A$1002=DATE(2026,7,24)),ROW(Expenses!A$3:A$1002)-2),4)),0)+IFERROR(INDEX(Income!C$3:C$502,SMALL(IF((Income!D$3:D$502="INR")*(Income!A$3:A$502=DATE(2026,7,24)),ROW(Income!A$3:A$502)-2),4)),0))</f>
        <v/>
      </c>
      <c r="L152" s="38" t="str">
        <f aca="false">IF(IFERROR(INDEX(Expenses!B$3:B$1002,SMALL(IF((Expenses!E$3:E$1002="INR")*(Expenses!A$3:A$1002=DATE(2026,7,24)),ROW(Expenses!A$3:A$1002)-2),4)),"")&lt;&gt;"",IFERROR(INDEX(Expenses!B$3:B$1002,SMALL(IF((Expenses!E$3:E$1002="INR")*(Expenses!A$3:A$1002=DATE(2026,7,24)),ROW(Expenses!A$3:A$1002)-2),4)),""),IF(IFERROR(INDEX(Income!B$3:B$502,SMALL(IF((Income!D$3:D$502="INR")*(Income!A$3:A$502=DATE(2026,7,24)),ROW(Income!A$3:A$502)-2),4)),"")&lt;&gt;"",IFERROR(INDEX(Income!B$3:B$502,SMALL(IF((Income!D$3:D$502="INR")*(Income!A$3:A$502=DATE(2026,7,24)),ROW(Income!A$3:A$502)-2),4)),""),""))</f>
        <v/>
      </c>
      <c r="M152" s="63" t="str">
        <f aca="false">IF(IFERROR(-INDEX(Expenses!D$3:D$1002,SMALL(IF((Expenses!E$3:E$1002="INR")*(Expenses!A$3:A$1002=DATE(2026,7,25)),ROW(Expenses!A$3:A$1002)-2),4)),0)+IFERROR(INDEX(Income!C$3:C$502,SMALL(IF((Income!D$3:D$502="INR")*(Income!A$3:A$502=DATE(2026,7,25)),ROW(Income!A$3:A$502)-2),4)),0)=0,"",IFERROR(-INDEX(Expenses!D$3:D$1002,SMALL(IF((Expenses!E$3:E$1002="INR")*(Expenses!A$3:A$1002=DATE(2026,7,25)),ROW(Expenses!A$3:A$1002)-2),4)),0)+IFERROR(INDEX(Income!C$3:C$502,SMALL(IF((Income!D$3:D$502="INR")*(Income!A$3:A$502=DATE(2026,7,25)),ROW(Income!A$3:A$502)-2),4)),0))</f>
        <v/>
      </c>
      <c r="N152" s="38" t="str">
        <f aca="false">IF(IFERROR(INDEX(Expenses!B$3:B$1002,SMALL(IF((Expenses!E$3:E$1002="INR")*(Expenses!A$3:A$1002=DATE(2026,7,25)),ROW(Expenses!A$3:A$1002)-2),4)),"")&lt;&gt;"",IFERROR(INDEX(Expenses!B$3:B$1002,SMALL(IF((Expenses!E$3:E$1002="INR")*(Expenses!A$3:A$1002=DATE(2026,7,25)),ROW(Expenses!A$3:A$1002)-2),4)),""),IF(IFERROR(INDEX(Income!B$3:B$502,SMALL(IF((Income!D$3:D$502="INR")*(Income!A$3:A$502=DATE(2026,7,25)),ROW(Income!A$3:A$502)-2),4)),"")&lt;&gt;"",IFERROR(INDEX(Income!B$3:B$502,SMALL(IF((Income!D$3:D$502="INR")*(Income!A$3:A$502=DATE(2026,7,25)),ROW(Income!A$3:A$502)-2),4)),""),""))</f>
        <v/>
      </c>
      <c r="O152" s="63" t="str">
        <f aca="false">IF(IFERROR(-INDEX(Expenses!D$3:D$1002,SMALL(IF((Expenses!E$3:E$1002="INR")*(Expenses!A$3:A$1002=DATE(2026,7,26)),ROW(Expenses!A$3:A$1002)-2),4)),0)+IFERROR(INDEX(Income!C$3:C$502,SMALL(IF((Income!D$3:D$502="INR")*(Income!A$3:A$502=DATE(2026,7,26)),ROW(Income!A$3:A$502)-2),4)),0)=0,"",IFERROR(-INDEX(Expenses!D$3:D$1002,SMALL(IF((Expenses!E$3:E$1002="INR")*(Expenses!A$3:A$1002=DATE(2026,7,26)),ROW(Expenses!A$3:A$1002)-2),4)),0)+IFERROR(INDEX(Income!C$3:C$502,SMALL(IF((Income!D$3:D$502="INR")*(Income!A$3:A$502=DATE(2026,7,26)),ROW(Income!A$3:A$502)-2),4)),0))</f>
        <v/>
      </c>
      <c r="P152" s="38" t="str">
        <f aca="false">IF(IFERROR(INDEX(Expenses!B$3:B$1002,SMALL(IF((Expenses!E$3:E$1002="INR")*(Expenses!A$3:A$1002=DATE(2026,7,26)),ROW(Expenses!A$3:A$1002)-2),4)),"")&lt;&gt;"",IFERROR(INDEX(Expenses!B$3:B$1002,SMALL(IF((Expenses!E$3:E$1002="INR")*(Expenses!A$3:A$1002=DATE(2026,7,26)),ROW(Expenses!A$3:A$1002)-2),4)),""),IF(IFERROR(INDEX(Income!B$3:B$502,SMALL(IF((Income!D$3:D$502="INR")*(Income!A$3:A$502=DATE(2026,7,26)),ROW(Income!A$3:A$502)-2),4)),"")&lt;&gt;"",IFERROR(INDEX(Income!B$3:B$502,SMALL(IF((Income!D$3:D$502="INR")*(Income!A$3:A$502=DATE(2026,7,26)),ROW(Income!A$3:A$502)-2),4)),""),""))</f>
        <v/>
      </c>
      <c r="Q152" s="16"/>
      <c r="R152" s="16"/>
    </row>
    <row r="153" customFormat="false" ht="15" hidden="false" customHeight="false" outlineLevel="0" collapsed="false">
      <c r="A153" s="16"/>
      <c r="B153" s="16"/>
      <c r="C153" s="63" t="str">
        <f aca="false">IF(IFERROR(-INDEX(Expenses!D$3:D$1002,SMALL(IF((Expenses!E$3:E$1002="INR")*(Expenses!A$3:A$1002=DATE(2026,7,20)),ROW(Expenses!A$3:A$1002)-2),5)),0)+IFERROR(INDEX(Income!C$3:C$502,SMALL(IF((Income!D$3:D$502="INR")*(Income!A$3:A$502=DATE(2026,7,20)),ROW(Income!A$3:A$502)-2),5)),0)=0,"",IFERROR(-INDEX(Expenses!D$3:D$1002,SMALL(IF((Expenses!E$3:E$1002="INR")*(Expenses!A$3:A$1002=DATE(2026,7,20)),ROW(Expenses!A$3:A$1002)-2),5)),0)+IFERROR(INDEX(Income!C$3:C$502,SMALL(IF((Income!D$3:D$502="INR")*(Income!A$3:A$502=DATE(2026,7,20)),ROW(Income!A$3:A$502)-2),5)),0))</f>
        <v/>
      </c>
      <c r="D153" s="38" t="str">
        <f aca="false">IF(IFERROR(INDEX(Expenses!B$3:B$1002,SMALL(IF((Expenses!E$3:E$1002="INR")*(Expenses!A$3:A$1002=DATE(2026,7,20)),ROW(Expenses!A$3:A$1002)-2),5)),"")&lt;&gt;"",IFERROR(INDEX(Expenses!B$3:B$1002,SMALL(IF((Expenses!E$3:E$1002="INR")*(Expenses!A$3:A$1002=DATE(2026,7,20)),ROW(Expenses!A$3:A$1002)-2),5)),""),IF(IFERROR(INDEX(Income!B$3:B$502,SMALL(IF((Income!D$3:D$502="INR")*(Income!A$3:A$502=DATE(2026,7,20)),ROW(Income!A$3:A$502)-2),5)),"")&lt;&gt;"",IFERROR(INDEX(Income!B$3:B$502,SMALL(IF((Income!D$3:D$502="INR")*(Income!A$3:A$502=DATE(2026,7,20)),ROW(Income!A$3:A$502)-2),5)),""),""))</f>
        <v/>
      </c>
      <c r="E153" s="63" t="str">
        <f aca="false">IF(IFERROR(-INDEX(Expenses!D$3:D$1002,SMALL(IF((Expenses!E$3:E$1002="INR")*(Expenses!A$3:A$1002=DATE(2026,7,21)),ROW(Expenses!A$3:A$1002)-2),5)),0)+IFERROR(INDEX(Income!C$3:C$502,SMALL(IF((Income!D$3:D$502="INR")*(Income!A$3:A$502=DATE(2026,7,21)),ROW(Income!A$3:A$502)-2),5)),0)=0,"",IFERROR(-INDEX(Expenses!D$3:D$1002,SMALL(IF((Expenses!E$3:E$1002="INR")*(Expenses!A$3:A$1002=DATE(2026,7,21)),ROW(Expenses!A$3:A$1002)-2),5)),0)+IFERROR(INDEX(Income!C$3:C$502,SMALL(IF((Income!D$3:D$502="INR")*(Income!A$3:A$502=DATE(2026,7,21)),ROW(Income!A$3:A$502)-2),5)),0))</f>
        <v/>
      </c>
      <c r="F153" s="38" t="str">
        <f aca="false">IF(IFERROR(INDEX(Expenses!B$3:B$1002,SMALL(IF((Expenses!E$3:E$1002="INR")*(Expenses!A$3:A$1002=DATE(2026,7,21)),ROW(Expenses!A$3:A$1002)-2),5)),"")&lt;&gt;"",IFERROR(INDEX(Expenses!B$3:B$1002,SMALL(IF((Expenses!E$3:E$1002="INR")*(Expenses!A$3:A$1002=DATE(2026,7,21)),ROW(Expenses!A$3:A$1002)-2),5)),""),IF(IFERROR(INDEX(Income!B$3:B$502,SMALL(IF((Income!D$3:D$502="INR")*(Income!A$3:A$502=DATE(2026,7,21)),ROW(Income!A$3:A$502)-2),5)),"")&lt;&gt;"",IFERROR(INDEX(Income!B$3:B$502,SMALL(IF((Income!D$3:D$502="INR")*(Income!A$3:A$502=DATE(2026,7,21)),ROW(Income!A$3:A$502)-2),5)),""),""))</f>
        <v/>
      </c>
      <c r="G153" s="63" t="str">
        <f aca="false">IF(IFERROR(-INDEX(Expenses!D$3:D$1002,SMALL(IF((Expenses!E$3:E$1002="INR")*(Expenses!A$3:A$1002=DATE(2026,7,22)),ROW(Expenses!A$3:A$1002)-2),5)),0)+IFERROR(INDEX(Income!C$3:C$502,SMALL(IF((Income!D$3:D$502="INR")*(Income!A$3:A$502=DATE(2026,7,22)),ROW(Income!A$3:A$502)-2),5)),0)=0,"",IFERROR(-INDEX(Expenses!D$3:D$1002,SMALL(IF((Expenses!E$3:E$1002="INR")*(Expenses!A$3:A$1002=DATE(2026,7,22)),ROW(Expenses!A$3:A$1002)-2),5)),0)+IFERROR(INDEX(Income!C$3:C$502,SMALL(IF((Income!D$3:D$502="INR")*(Income!A$3:A$502=DATE(2026,7,22)),ROW(Income!A$3:A$502)-2),5)),0))</f>
        <v/>
      </c>
      <c r="H153" s="38" t="str">
        <f aca="false">IF(IFERROR(INDEX(Expenses!B$3:B$1002,SMALL(IF((Expenses!E$3:E$1002="INR")*(Expenses!A$3:A$1002=DATE(2026,7,22)),ROW(Expenses!A$3:A$1002)-2),5)),"")&lt;&gt;"",IFERROR(INDEX(Expenses!B$3:B$1002,SMALL(IF((Expenses!E$3:E$1002="INR")*(Expenses!A$3:A$1002=DATE(2026,7,22)),ROW(Expenses!A$3:A$1002)-2),5)),""),IF(IFERROR(INDEX(Income!B$3:B$502,SMALL(IF((Income!D$3:D$502="INR")*(Income!A$3:A$502=DATE(2026,7,22)),ROW(Income!A$3:A$502)-2),5)),"")&lt;&gt;"",IFERROR(INDEX(Income!B$3:B$502,SMALL(IF((Income!D$3:D$502="INR")*(Income!A$3:A$502=DATE(2026,7,22)),ROW(Income!A$3:A$502)-2),5)),""),""))</f>
        <v/>
      </c>
      <c r="I153" s="63" t="str">
        <f aca="false">IF(IFERROR(-INDEX(Expenses!D$3:D$1002,SMALL(IF((Expenses!E$3:E$1002="INR")*(Expenses!A$3:A$1002=DATE(2026,7,23)),ROW(Expenses!A$3:A$1002)-2),5)),0)+IFERROR(INDEX(Income!C$3:C$502,SMALL(IF((Income!D$3:D$502="INR")*(Income!A$3:A$502=DATE(2026,7,23)),ROW(Income!A$3:A$502)-2),5)),0)=0,"",IFERROR(-INDEX(Expenses!D$3:D$1002,SMALL(IF((Expenses!E$3:E$1002="INR")*(Expenses!A$3:A$1002=DATE(2026,7,23)),ROW(Expenses!A$3:A$1002)-2),5)),0)+IFERROR(INDEX(Income!C$3:C$502,SMALL(IF((Income!D$3:D$502="INR")*(Income!A$3:A$502=DATE(2026,7,23)),ROW(Income!A$3:A$502)-2),5)),0))</f>
        <v/>
      </c>
      <c r="J153" s="38" t="str">
        <f aca="false">IF(IFERROR(INDEX(Expenses!B$3:B$1002,SMALL(IF((Expenses!E$3:E$1002="INR")*(Expenses!A$3:A$1002=DATE(2026,7,23)),ROW(Expenses!A$3:A$1002)-2),5)),"")&lt;&gt;"",IFERROR(INDEX(Expenses!B$3:B$1002,SMALL(IF((Expenses!E$3:E$1002="INR")*(Expenses!A$3:A$1002=DATE(2026,7,23)),ROW(Expenses!A$3:A$1002)-2),5)),""),IF(IFERROR(INDEX(Income!B$3:B$502,SMALL(IF((Income!D$3:D$502="INR")*(Income!A$3:A$502=DATE(2026,7,23)),ROW(Income!A$3:A$502)-2),5)),"")&lt;&gt;"",IFERROR(INDEX(Income!B$3:B$502,SMALL(IF((Income!D$3:D$502="INR")*(Income!A$3:A$502=DATE(2026,7,23)),ROW(Income!A$3:A$502)-2),5)),""),""))</f>
        <v/>
      </c>
      <c r="K153" s="63" t="str">
        <f aca="false">IF(IFERROR(-INDEX(Expenses!D$3:D$1002,SMALL(IF((Expenses!E$3:E$1002="INR")*(Expenses!A$3:A$1002=DATE(2026,7,24)),ROW(Expenses!A$3:A$1002)-2),5)),0)+IFERROR(INDEX(Income!C$3:C$502,SMALL(IF((Income!D$3:D$502="INR")*(Income!A$3:A$502=DATE(2026,7,24)),ROW(Income!A$3:A$502)-2),5)),0)=0,"",IFERROR(-INDEX(Expenses!D$3:D$1002,SMALL(IF((Expenses!E$3:E$1002="INR")*(Expenses!A$3:A$1002=DATE(2026,7,24)),ROW(Expenses!A$3:A$1002)-2),5)),0)+IFERROR(INDEX(Income!C$3:C$502,SMALL(IF((Income!D$3:D$502="INR")*(Income!A$3:A$502=DATE(2026,7,24)),ROW(Income!A$3:A$502)-2),5)),0))</f>
        <v/>
      </c>
      <c r="L153" s="38" t="str">
        <f aca="false">IF(IFERROR(INDEX(Expenses!B$3:B$1002,SMALL(IF((Expenses!E$3:E$1002="INR")*(Expenses!A$3:A$1002=DATE(2026,7,24)),ROW(Expenses!A$3:A$1002)-2),5)),"")&lt;&gt;"",IFERROR(INDEX(Expenses!B$3:B$1002,SMALL(IF((Expenses!E$3:E$1002="INR")*(Expenses!A$3:A$1002=DATE(2026,7,24)),ROW(Expenses!A$3:A$1002)-2),5)),""),IF(IFERROR(INDEX(Income!B$3:B$502,SMALL(IF((Income!D$3:D$502="INR")*(Income!A$3:A$502=DATE(2026,7,24)),ROW(Income!A$3:A$502)-2),5)),"")&lt;&gt;"",IFERROR(INDEX(Income!B$3:B$502,SMALL(IF((Income!D$3:D$502="INR")*(Income!A$3:A$502=DATE(2026,7,24)),ROW(Income!A$3:A$502)-2),5)),""),""))</f>
        <v/>
      </c>
      <c r="M153" s="63" t="str">
        <f aca="false">IF(IFERROR(-INDEX(Expenses!D$3:D$1002,SMALL(IF((Expenses!E$3:E$1002="INR")*(Expenses!A$3:A$1002=DATE(2026,7,25)),ROW(Expenses!A$3:A$1002)-2),5)),0)+IFERROR(INDEX(Income!C$3:C$502,SMALL(IF((Income!D$3:D$502="INR")*(Income!A$3:A$502=DATE(2026,7,25)),ROW(Income!A$3:A$502)-2),5)),0)=0,"",IFERROR(-INDEX(Expenses!D$3:D$1002,SMALL(IF((Expenses!E$3:E$1002="INR")*(Expenses!A$3:A$1002=DATE(2026,7,25)),ROW(Expenses!A$3:A$1002)-2),5)),0)+IFERROR(INDEX(Income!C$3:C$502,SMALL(IF((Income!D$3:D$502="INR")*(Income!A$3:A$502=DATE(2026,7,25)),ROW(Income!A$3:A$502)-2),5)),0))</f>
        <v/>
      </c>
      <c r="N153" s="38" t="str">
        <f aca="false">IF(IFERROR(INDEX(Expenses!B$3:B$1002,SMALL(IF((Expenses!E$3:E$1002="INR")*(Expenses!A$3:A$1002=DATE(2026,7,25)),ROW(Expenses!A$3:A$1002)-2),5)),"")&lt;&gt;"",IFERROR(INDEX(Expenses!B$3:B$1002,SMALL(IF((Expenses!E$3:E$1002="INR")*(Expenses!A$3:A$1002=DATE(2026,7,25)),ROW(Expenses!A$3:A$1002)-2),5)),""),IF(IFERROR(INDEX(Income!B$3:B$502,SMALL(IF((Income!D$3:D$502="INR")*(Income!A$3:A$502=DATE(2026,7,25)),ROW(Income!A$3:A$502)-2),5)),"")&lt;&gt;"",IFERROR(INDEX(Income!B$3:B$502,SMALL(IF((Income!D$3:D$502="INR")*(Income!A$3:A$502=DATE(2026,7,25)),ROW(Income!A$3:A$502)-2),5)),""),""))</f>
        <v/>
      </c>
      <c r="O153" s="63" t="str">
        <f aca="false">IF(IFERROR(-INDEX(Expenses!D$3:D$1002,SMALL(IF((Expenses!E$3:E$1002="INR")*(Expenses!A$3:A$1002=DATE(2026,7,26)),ROW(Expenses!A$3:A$1002)-2),5)),0)+IFERROR(INDEX(Income!C$3:C$502,SMALL(IF((Income!D$3:D$502="INR")*(Income!A$3:A$502=DATE(2026,7,26)),ROW(Income!A$3:A$502)-2),5)),0)=0,"",IFERROR(-INDEX(Expenses!D$3:D$1002,SMALL(IF((Expenses!E$3:E$1002="INR")*(Expenses!A$3:A$1002=DATE(2026,7,26)),ROW(Expenses!A$3:A$1002)-2),5)),0)+IFERROR(INDEX(Income!C$3:C$502,SMALL(IF((Income!D$3:D$502="INR")*(Income!A$3:A$502=DATE(2026,7,26)),ROW(Income!A$3:A$502)-2),5)),0))</f>
        <v/>
      </c>
      <c r="P153" s="38" t="str">
        <f aca="false">IF(IFERROR(INDEX(Expenses!B$3:B$1002,SMALL(IF((Expenses!E$3:E$1002="INR")*(Expenses!A$3:A$1002=DATE(2026,7,26)),ROW(Expenses!A$3:A$1002)-2),5)),"")&lt;&gt;"",IFERROR(INDEX(Expenses!B$3:B$1002,SMALL(IF((Expenses!E$3:E$1002="INR")*(Expenses!A$3:A$1002=DATE(2026,7,26)),ROW(Expenses!A$3:A$1002)-2),5)),""),IF(IFERROR(INDEX(Income!B$3:B$502,SMALL(IF((Income!D$3:D$502="INR")*(Income!A$3:A$502=DATE(2026,7,26)),ROW(Income!A$3:A$502)-2),5)),"")&lt;&gt;"",IFERROR(INDEX(Income!B$3:B$502,SMALL(IF((Income!D$3:D$502="INR")*(Income!A$3:A$502=DATE(2026,7,26)),ROW(Income!A$3:A$502)-2),5)),""),""))</f>
        <v/>
      </c>
      <c r="Q153" s="16"/>
      <c r="R153" s="16"/>
    </row>
    <row r="154" customFormat="false" ht="15" hidden="false" customHeight="false" outlineLevel="0" collapsed="false">
      <c r="A154" s="61" t="n">
        <v>46230</v>
      </c>
      <c r="B154" s="3" t="n">
        <v>31</v>
      </c>
      <c r="C154" s="63" t="str">
        <f aca="false">IF(IFERROR(-INDEX(Expenses!D$3:D$1002,SMALL(IF((Expenses!E$3:E$1002="INR")*(Expenses!A$3:A$1002=DATE(2026,7,27)),ROW(Expenses!A$3:A$1002)-2),1)),0)+IFERROR(INDEX(Income!C$3:C$502,SMALL(IF((Income!D$3:D$502="INR")*(Income!A$3:A$502=DATE(2026,7,27)),ROW(Income!A$3:A$502)-2),1)),0)=0,"",IFERROR(-INDEX(Expenses!D$3:D$1002,SMALL(IF((Expenses!E$3:E$1002="INR")*(Expenses!A$3:A$1002=DATE(2026,7,27)),ROW(Expenses!A$3:A$1002)-2),1)),0)+IFERROR(INDEX(Income!C$3:C$502,SMALL(IF((Income!D$3:D$502="INR")*(Income!A$3:A$502=DATE(2026,7,27)),ROW(Income!A$3:A$502)-2),1)),0))</f>
        <v/>
      </c>
      <c r="D154" s="38" t="str">
        <f aca="false">IF(IFERROR(INDEX(Expenses!B$3:B$1002,SMALL(IF((Expenses!E$3:E$1002="INR")*(Expenses!A$3:A$1002=DATE(2026,7,27)),ROW(Expenses!A$3:A$1002)-2),1)),"")&lt;&gt;"",IFERROR(INDEX(Expenses!B$3:B$1002,SMALL(IF((Expenses!E$3:E$1002="INR")*(Expenses!A$3:A$1002=DATE(2026,7,27)),ROW(Expenses!A$3:A$1002)-2),1)),""),IF(IFERROR(INDEX(Income!B$3:B$502,SMALL(IF((Income!D$3:D$502="INR")*(Income!A$3:A$502=DATE(2026,7,27)),ROW(Income!A$3:A$502)-2),1)),"")&lt;&gt;"",IFERROR(INDEX(Income!B$3:B$502,SMALL(IF((Income!D$3:D$502="INR")*(Income!A$3:A$502=DATE(2026,7,27)),ROW(Income!A$3:A$502)-2),1)),""),""))</f>
        <v/>
      </c>
      <c r="E154" s="63" t="str">
        <f aca="false">IF(IFERROR(-INDEX(Expenses!D$3:D$1002,SMALL(IF((Expenses!E$3:E$1002="INR")*(Expenses!A$3:A$1002=DATE(2026,7,28)),ROW(Expenses!A$3:A$1002)-2),1)),0)+IFERROR(INDEX(Income!C$3:C$502,SMALL(IF((Income!D$3:D$502="INR")*(Income!A$3:A$502=DATE(2026,7,28)),ROW(Income!A$3:A$502)-2),1)),0)=0,"",IFERROR(-INDEX(Expenses!D$3:D$1002,SMALL(IF((Expenses!E$3:E$1002="INR")*(Expenses!A$3:A$1002=DATE(2026,7,28)),ROW(Expenses!A$3:A$1002)-2),1)),0)+IFERROR(INDEX(Income!C$3:C$502,SMALL(IF((Income!D$3:D$502="INR")*(Income!A$3:A$502=DATE(2026,7,28)),ROW(Income!A$3:A$502)-2),1)),0))</f>
        <v/>
      </c>
      <c r="F154" s="38" t="str">
        <f aca="false">IF(IFERROR(INDEX(Expenses!B$3:B$1002,SMALL(IF((Expenses!E$3:E$1002="INR")*(Expenses!A$3:A$1002=DATE(2026,7,28)),ROW(Expenses!A$3:A$1002)-2),1)),"")&lt;&gt;"",IFERROR(INDEX(Expenses!B$3:B$1002,SMALL(IF((Expenses!E$3:E$1002="INR")*(Expenses!A$3:A$1002=DATE(2026,7,28)),ROW(Expenses!A$3:A$1002)-2),1)),""),IF(IFERROR(INDEX(Income!B$3:B$502,SMALL(IF((Income!D$3:D$502="INR")*(Income!A$3:A$502=DATE(2026,7,28)),ROW(Income!A$3:A$502)-2),1)),"")&lt;&gt;"",IFERROR(INDEX(Income!B$3:B$502,SMALL(IF((Income!D$3:D$502="INR")*(Income!A$3:A$502=DATE(2026,7,28)),ROW(Income!A$3:A$502)-2),1)),""),""))</f>
        <v/>
      </c>
      <c r="G154" s="63" t="str">
        <f aca="false">IF(IFERROR(-INDEX(Expenses!D$3:D$1002,SMALL(IF((Expenses!E$3:E$1002="INR")*(Expenses!A$3:A$1002=DATE(2026,7,29)),ROW(Expenses!A$3:A$1002)-2),1)),0)+IFERROR(INDEX(Income!C$3:C$502,SMALL(IF((Income!D$3:D$502="INR")*(Income!A$3:A$502=DATE(2026,7,29)),ROW(Income!A$3:A$502)-2),1)),0)=0,"",IFERROR(-INDEX(Expenses!D$3:D$1002,SMALL(IF((Expenses!E$3:E$1002="INR")*(Expenses!A$3:A$1002=DATE(2026,7,29)),ROW(Expenses!A$3:A$1002)-2),1)),0)+IFERROR(INDEX(Income!C$3:C$502,SMALL(IF((Income!D$3:D$502="INR")*(Income!A$3:A$502=DATE(2026,7,29)),ROW(Income!A$3:A$502)-2),1)),0))</f>
        <v/>
      </c>
      <c r="H154" s="38" t="str">
        <f aca="false">IF(IFERROR(INDEX(Expenses!B$3:B$1002,SMALL(IF((Expenses!E$3:E$1002="INR")*(Expenses!A$3:A$1002=DATE(2026,7,29)),ROW(Expenses!A$3:A$1002)-2),1)),"")&lt;&gt;"",IFERROR(INDEX(Expenses!B$3:B$1002,SMALL(IF((Expenses!E$3:E$1002="INR")*(Expenses!A$3:A$1002=DATE(2026,7,29)),ROW(Expenses!A$3:A$1002)-2),1)),""),IF(IFERROR(INDEX(Income!B$3:B$502,SMALL(IF((Income!D$3:D$502="INR")*(Income!A$3:A$502=DATE(2026,7,29)),ROW(Income!A$3:A$502)-2),1)),"")&lt;&gt;"",IFERROR(INDEX(Income!B$3:B$502,SMALL(IF((Income!D$3:D$502="INR")*(Income!A$3:A$502=DATE(2026,7,29)),ROW(Income!A$3:A$502)-2),1)),""),""))</f>
        <v/>
      </c>
      <c r="I154" s="63" t="str">
        <f aca="false">IF(IFERROR(-INDEX(Expenses!D$3:D$1002,SMALL(IF((Expenses!E$3:E$1002="INR")*(Expenses!A$3:A$1002=DATE(2026,7,30)),ROW(Expenses!A$3:A$1002)-2),1)),0)+IFERROR(INDEX(Income!C$3:C$502,SMALL(IF((Income!D$3:D$502="INR")*(Income!A$3:A$502=DATE(2026,7,30)),ROW(Income!A$3:A$502)-2),1)),0)=0,"",IFERROR(-INDEX(Expenses!D$3:D$1002,SMALL(IF((Expenses!E$3:E$1002="INR")*(Expenses!A$3:A$1002=DATE(2026,7,30)),ROW(Expenses!A$3:A$1002)-2),1)),0)+IFERROR(INDEX(Income!C$3:C$502,SMALL(IF((Income!D$3:D$502="INR")*(Income!A$3:A$502=DATE(2026,7,30)),ROW(Income!A$3:A$502)-2),1)),0))</f>
        <v/>
      </c>
      <c r="J154" s="38" t="str">
        <f aca="false">IF(IFERROR(INDEX(Expenses!B$3:B$1002,SMALL(IF((Expenses!E$3:E$1002="INR")*(Expenses!A$3:A$1002=DATE(2026,7,30)),ROW(Expenses!A$3:A$1002)-2),1)),"")&lt;&gt;"",IFERROR(INDEX(Expenses!B$3:B$1002,SMALL(IF((Expenses!E$3:E$1002="INR")*(Expenses!A$3:A$1002=DATE(2026,7,30)),ROW(Expenses!A$3:A$1002)-2),1)),""),IF(IFERROR(INDEX(Income!B$3:B$502,SMALL(IF((Income!D$3:D$502="INR")*(Income!A$3:A$502=DATE(2026,7,30)),ROW(Income!A$3:A$502)-2),1)),"")&lt;&gt;"",IFERROR(INDEX(Income!B$3:B$502,SMALL(IF((Income!D$3:D$502="INR")*(Income!A$3:A$502=DATE(2026,7,30)),ROW(Income!A$3:A$502)-2),1)),""),""))</f>
        <v/>
      </c>
      <c r="K154" s="63" t="str">
        <f aca="false">IF(IFERROR(-INDEX(Expenses!D$3:D$1002,SMALL(IF((Expenses!E$3:E$1002="INR")*(Expenses!A$3:A$1002=DATE(2026,7,31)),ROW(Expenses!A$3:A$1002)-2),1)),0)+IFERROR(INDEX(Income!C$3:C$502,SMALL(IF((Income!D$3:D$502="INR")*(Income!A$3:A$502=DATE(2026,7,31)),ROW(Income!A$3:A$502)-2),1)),0)=0,"",IFERROR(-INDEX(Expenses!D$3:D$1002,SMALL(IF((Expenses!E$3:E$1002="INR")*(Expenses!A$3:A$1002=DATE(2026,7,31)),ROW(Expenses!A$3:A$1002)-2),1)),0)+IFERROR(INDEX(Income!C$3:C$502,SMALL(IF((Income!D$3:D$502="INR")*(Income!A$3:A$502=DATE(2026,7,31)),ROW(Income!A$3:A$502)-2),1)),0))</f>
        <v/>
      </c>
      <c r="L154" s="38" t="str">
        <f aca="false">IF(IFERROR(INDEX(Expenses!B$3:B$1002,SMALL(IF((Expenses!E$3:E$1002="INR")*(Expenses!A$3:A$1002=DATE(2026,7,31)),ROW(Expenses!A$3:A$1002)-2),1)),"")&lt;&gt;"",IFERROR(INDEX(Expenses!B$3:B$1002,SMALL(IF((Expenses!E$3:E$1002="INR")*(Expenses!A$3:A$1002=DATE(2026,7,31)),ROW(Expenses!A$3:A$1002)-2),1)),""),IF(IFERROR(INDEX(Income!B$3:B$502,SMALL(IF((Income!D$3:D$502="INR")*(Income!A$3:A$502=DATE(2026,7,31)),ROW(Income!A$3:A$502)-2),1)),"")&lt;&gt;"",IFERROR(INDEX(Income!B$3:B$502,SMALL(IF((Income!D$3:D$502="INR")*(Income!A$3:A$502=DATE(2026,7,31)),ROW(Income!A$3:A$502)-2),1)),""),""))</f>
        <v/>
      </c>
      <c r="M154" s="63" t="str">
        <f aca="false">IF(IFERROR(-INDEX(Expenses!D$3:D$1002,SMALL(IF((Expenses!E$3:E$1002="INR")*(Expenses!A$3:A$1002=DATE(2026,8,1)),ROW(Expenses!A$3:A$1002)-2),1)),0)+IFERROR(INDEX(Income!C$3:C$502,SMALL(IF((Income!D$3:D$502="INR")*(Income!A$3:A$502=DATE(2026,8,1)),ROW(Income!A$3:A$502)-2),1)),0)=0,"",IFERROR(-INDEX(Expenses!D$3:D$1002,SMALL(IF((Expenses!E$3:E$1002="INR")*(Expenses!A$3:A$1002=DATE(2026,8,1)),ROW(Expenses!A$3:A$1002)-2),1)),0)+IFERROR(INDEX(Income!C$3:C$502,SMALL(IF((Income!D$3:D$502="INR")*(Income!A$3:A$502=DATE(2026,8,1)),ROW(Income!A$3:A$502)-2),1)),0))</f>
        <v/>
      </c>
      <c r="N154" s="38" t="str">
        <f aca="false">IF(IFERROR(INDEX(Expenses!B$3:B$1002,SMALL(IF((Expenses!E$3:E$1002="INR")*(Expenses!A$3:A$1002=DATE(2026,8,1)),ROW(Expenses!A$3:A$1002)-2),1)),"")&lt;&gt;"",IFERROR(INDEX(Expenses!B$3:B$1002,SMALL(IF((Expenses!E$3:E$1002="INR")*(Expenses!A$3:A$1002=DATE(2026,8,1)),ROW(Expenses!A$3:A$1002)-2),1)),""),IF(IFERROR(INDEX(Income!B$3:B$502,SMALL(IF((Income!D$3:D$502="INR")*(Income!A$3:A$502=DATE(2026,8,1)),ROW(Income!A$3:A$502)-2),1)),"")&lt;&gt;"",IFERROR(INDEX(Income!B$3:B$502,SMALL(IF((Income!D$3:D$502="INR")*(Income!A$3:A$502=DATE(2026,8,1)),ROW(Income!A$3:A$502)-2),1)),""),""))</f>
        <v/>
      </c>
      <c r="O154" s="63" t="str">
        <f aca="false">IF(IFERROR(-INDEX(Expenses!D$3:D$1002,SMALL(IF((Expenses!E$3:E$1002="INR")*(Expenses!A$3:A$1002=DATE(2026,8,2)),ROW(Expenses!A$3:A$1002)-2),1)),0)+IFERROR(INDEX(Income!C$3:C$502,SMALL(IF((Income!D$3:D$502="INR")*(Income!A$3:A$502=DATE(2026,8,2)),ROW(Income!A$3:A$502)-2),1)),0)=0,"",IFERROR(-INDEX(Expenses!D$3:D$1002,SMALL(IF((Expenses!E$3:E$1002="INR")*(Expenses!A$3:A$1002=DATE(2026,8,2)),ROW(Expenses!A$3:A$1002)-2),1)),0)+IFERROR(INDEX(Income!C$3:C$502,SMALL(IF((Income!D$3:D$502="INR")*(Income!A$3:A$502=DATE(2026,8,2)),ROW(Income!A$3:A$502)-2),1)),0))</f>
        <v/>
      </c>
      <c r="P154" s="38" t="str">
        <f aca="false">IF(IFERROR(INDEX(Expenses!B$3:B$1002,SMALL(IF((Expenses!E$3:E$1002="INR")*(Expenses!A$3:A$1002=DATE(2026,8,2)),ROW(Expenses!A$3:A$1002)-2),1)),"")&lt;&gt;"",IFERROR(INDEX(Expenses!B$3:B$1002,SMALL(IF((Expenses!E$3:E$1002="INR")*(Expenses!A$3:A$1002=DATE(2026,8,2)),ROW(Expenses!A$3:A$1002)-2),1)),""),IF(IFERROR(INDEX(Income!B$3:B$502,SMALL(IF((Income!D$3:D$502="INR")*(Income!A$3:A$502=DATE(2026,8,2)),ROW(Income!A$3:A$502)-2),1)),"")&lt;&gt;"",IFERROR(INDEX(Income!B$3:B$502,SMALL(IF((Income!D$3:D$502="INR")*(Income!A$3:A$502=DATE(2026,8,2)),ROW(Income!A$3:A$502)-2),1)),""),""))</f>
        <v/>
      </c>
      <c r="Q154" s="3" t="n">
        <v>31</v>
      </c>
      <c r="R154" s="53" t="n">
        <f aca="false">SUM(C154:C158)+SUM(E154:E158)+SUM(G154:G158)+SUM(I154:I158)+SUM(K154:K158)+SUM(M154:M158)+SUM(O154:O158)</f>
        <v>0</v>
      </c>
    </row>
    <row r="155" customFormat="false" ht="15" hidden="false" customHeight="false" outlineLevel="0" collapsed="false">
      <c r="A155" s="16"/>
      <c r="B155" s="16"/>
      <c r="C155" s="63" t="str">
        <f aca="false">IF(IFERROR(-INDEX(Expenses!D$3:D$1002,SMALL(IF((Expenses!E$3:E$1002="INR")*(Expenses!A$3:A$1002=DATE(2026,7,27)),ROW(Expenses!A$3:A$1002)-2),2)),0)+IFERROR(INDEX(Income!C$3:C$502,SMALL(IF((Income!D$3:D$502="INR")*(Income!A$3:A$502=DATE(2026,7,27)),ROW(Income!A$3:A$502)-2),2)),0)=0,"",IFERROR(-INDEX(Expenses!D$3:D$1002,SMALL(IF((Expenses!E$3:E$1002="INR")*(Expenses!A$3:A$1002=DATE(2026,7,27)),ROW(Expenses!A$3:A$1002)-2),2)),0)+IFERROR(INDEX(Income!C$3:C$502,SMALL(IF((Income!D$3:D$502="INR")*(Income!A$3:A$502=DATE(2026,7,27)),ROW(Income!A$3:A$502)-2),2)),0))</f>
        <v/>
      </c>
      <c r="D155" s="38" t="str">
        <f aca="false">IF(IFERROR(INDEX(Expenses!B$3:B$1002,SMALL(IF((Expenses!E$3:E$1002="INR")*(Expenses!A$3:A$1002=DATE(2026,7,27)),ROW(Expenses!A$3:A$1002)-2),2)),"")&lt;&gt;"",IFERROR(INDEX(Expenses!B$3:B$1002,SMALL(IF((Expenses!E$3:E$1002="INR")*(Expenses!A$3:A$1002=DATE(2026,7,27)),ROW(Expenses!A$3:A$1002)-2),2)),""),IF(IFERROR(INDEX(Income!B$3:B$502,SMALL(IF((Income!D$3:D$502="INR")*(Income!A$3:A$502=DATE(2026,7,27)),ROW(Income!A$3:A$502)-2),2)),"")&lt;&gt;"",IFERROR(INDEX(Income!B$3:B$502,SMALL(IF((Income!D$3:D$502="INR")*(Income!A$3:A$502=DATE(2026,7,27)),ROW(Income!A$3:A$502)-2),2)),""),""))</f>
        <v/>
      </c>
      <c r="E155" s="63" t="str">
        <f aca="false">IF(IFERROR(-INDEX(Expenses!D$3:D$1002,SMALL(IF((Expenses!E$3:E$1002="INR")*(Expenses!A$3:A$1002=DATE(2026,7,28)),ROW(Expenses!A$3:A$1002)-2),2)),0)+IFERROR(INDEX(Income!C$3:C$502,SMALL(IF((Income!D$3:D$502="INR")*(Income!A$3:A$502=DATE(2026,7,28)),ROW(Income!A$3:A$502)-2),2)),0)=0,"",IFERROR(-INDEX(Expenses!D$3:D$1002,SMALL(IF((Expenses!E$3:E$1002="INR")*(Expenses!A$3:A$1002=DATE(2026,7,28)),ROW(Expenses!A$3:A$1002)-2),2)),0)+IFERROR(INDEX(Income!C$3:C$502,SMALL(IF((Income!D$3:D$502="INR")*(Income!A$3:A$502=DATE(2026,7,28)),ROW(Income!A$3:A$502)-2),2)),0))</f>
        <v/>
      </c>
      <c r="F155" s="38" t="str">
        <f aca="false">IF(IFERROR(INDEX(Expenses!B$3:B$1002,SMALL(IF((Expenses!E$3:E$1002="INR")*(Expenses!A$3:A$1002=DATE(2026,7,28)),ROW(Expenses!A$3:A$1002)-2),2)),"")&lt;&gt;"",IFERROR(INDEX(Expenses!B$3:B$1002,SMALL(IF((Expenses!E$3:E$1002="INR")*(Expenses!A$3:A$1002=DATE(2026,7,28)),ROW(Expenses!A$3:A$1002)-2),2)),""),IF(IFERROR(INDEX(Income!B$3:B$502,SMALL(IF((Income!D$3:D$502="INR")*(Income!A$3:A$502=DATE(2026,7,28)),ROW(Income!A$3:A$502)-2),2)),"")&lt;&gt;"",IFERROR(INDEX(Income!B$3:B$502,SMALL(IF((Income!D$3:D$502="INR")*(Income!A$3:A$502=DATE(2026,7,28)),ROW(Income!A$3:A$502)-2),2)),""),""))</f>
        <v/>
      </c>
      <c r="G155" s="63" t="str">
        <f aca="false">IF(IFERROR(-INDEX(Expenses!D$3:D$1002,SMALL(IF((Expenses!E$3:E$1002="INR")*(Expenses!A$3:A$1002=DATE(2026,7,29)),ROW(Expenses!A$3:A$1002)-2),2)),0)+IFERROR(INDEX(Income!C$3:C$502,SMALL(IF((Income!D$3:D$502="INR")*(Income!A$3:A$502=DATE(2026,7,29)),ROW(Income!A$3:A$502)-2),2)),0)=0,"",IFERROR(-INDEX(Expenses!D$3:D$1002,SMALL(IF((Expenses!E$3:E$1002="INR")*(Expenses!A$3:A$1002=DATE(2026,7,29)),ROW(Expenses!A$3:A$1002)-2),2)),0)+IFERROR(INDEX(Income!C$3:C$502,SMALL(IF((Income!D$3:D$502="INR")*(Income!A$3:A$502=DATE(2026,7,29)),ROW(Income!A$3:A$502)-2),2)),0))</f>
        <v/>
      </c>
      <c r="H155" s="38" t="str">
        <f aca="false">IF(IFERROR(INDEX(Expenses!B$3:B$1002,SMALL(IF((Expenses!E$3:E$1002="INR")*(Expenses!A$3:A$1002=DATE(2026,7,29)),ROW(Expenses!A$3:A$1002)-2),2)),"")&lt;&gt;"",IFERROR(INDEX(Expenses!B$3:B$1002,SMALL(IF((Expenses!E$3:E$1002="INR")*(Expenses!A$3:A$1002=DATE(2026,7,29)),ROW(Expenses!A$3:A$1002)-2),2)),""),IF(IFERROR(INDEX(Income!B$3:B$502,SMALL(IF((Income!D$3:D$502="INR")*(Income!A$3:A$502=DATE(2026,7,29)),ROW(Income!A$3:A$502)-2),2)),"")&lt;&gt;"",IFERROR(INDEX(Income!B$3:B$502,SMALL(IF((Income!D$3:D$502="INR")*(Income!A$3:A$502=DATE(2026,7,29)),ROW(Income!A$3:A$502)-2),2)),""),""))</f>
        <v/>
      </c>
      <c r="I155" s="63" t="str">
        <f aca="false">IF(IFERROR(-INDEX(Expenses!D$3:D$1002,SMALL(IF((Expenses!E$3:E$1002="INR")*(Expenses!A$3:A$1002=DATE(2026,7,30)),ROW(Expenses!A$3:A$1002)-2),2)),0)+IFERROR(INDEX(Income!C$3:C$502,SMALL(IF((Income!D$3:D$502="INR")*(Income!A$3:A$502=DATE(2026,7,30)),ROW(Income!A$3:A$502)-2),2)),0)=0,"",IFERROR(-INDEX(Expenses!D$3:D$1002,SMALL(IF((Expenses!E$3:E$1002="INR")*(Expenses!A$3:A$1002=DATE(2026,7,30)),ROW(Expenses!A$3:A$1002)-2),2)),0)+IFERROR(INDEX(Income!C$3:C$502,SMALL(IF((Income!D$3:D$502="INR")*(Income!A$3:A$502=DATE(2026,7,30)),ROW(Income!A$3:A$502)-2),2)),0))</f>
        <v/>
      </c>
      <c r="J155" s="38" t="str">
        <f aca="false">IF(IFERROR(INDEX(Expenses!B$3:B$1002,SMALL(IF((Expenses!E$3:E$1002="INR")*(Expenses!A$3:A$1002=DATE(2026,7,30)),ROW(Expenses!A$3:A$1002)-2),2)),"")&lt;&gt;"",IFERROR(INDEX(Expenses!B$3:B$1002,SMALL(IF((Expenses!E$3:E$1002="INR")*(Expenses!A$3:A$1002=DATE(2026,7,30)),ROW(Expenses!A$3:A$1002)-2),2)),""),IF(IFERROR(INDEX(Income!B$3:B$502,SMALL(IF((Income!D$3:D$502="INR")*(Income!A$3:A$502=DATE(2026,7,30)),ROW(Income!A$3:A$502)-2),2)),"")&lt;&gt;"",IFERROR(INDEX(Income!B$3:B$502,SMALL(IF((Income!D$3:D$502="INR")*(Income!A$3:A$502=DATE(2026,7,30)),ROW(Income!A$3:A$502)-2),2)),""),""))</f>
        <v/>
      </c>
      <c r="K155" s="63" t="str">
        <f aca="false">IF(IFERROR(-INDEX(Expenses!D$3:D$1002,SMALL(IF((Expenses!E$3:E$1002="INR")*(Expenses!A$3:A$1002=DATE(2026,7,31)),ROW(Expenses!A$3:A$1002)-2),2)),0)+IFERROR(INDEX(Income!C$3:C$502,SMALL(IF((Income!D$3:D$502="INR")*(Income!A$3:A$502=DATE(2026,7,31)),ROW(Income!A$3:A$502)-2),2)),0)=0,"",IFERROR(-INDEX(Expenses!D$3:D$1002,SMALL(IF((Expenses!E$3:E$1002="INR")*(Expenses!A$3:A$1002=DATE(2026,7,31)),ROW(Expenses!A$3:A$1002)-2),2)),0)+IFERROR(INDEX(Income!C$3:C$502,SMALL(IF((Income!D$3:D$502="INR")*(Income!A$3:A$502=DATE(2026,7,31)),ROW(Income!A$3:A$502)-2),2)),0))</f>
        <v/>
      </c>
      <c r="L155" s="38" t="str">
        <f aca="false">IF(IFERROR(INDEX(Expenses!B$3:B$1002,SMALL(IF((Expenses!E$3:E$1002="INR")*(Expenses!A$3:A$1002=DATE(2026,7,31)),ROW(Expenses!A$3:A$1002)-2),2)),"")&lt;&gt;"",IFERROR(INDEX(Expenses!B$3:B$1002,SMALL(IF((Expenses!E$3:E$1002="INR")*(Expenses!A$3:A$1002=DATE(2026,7,31)),ROW(Expenses!A$3:A$1002)-2),2)),""),IF(IFERROR(INDEX(Income!B$3:B$502,SMALL(IF((Income!D$3:D$502="INR")*(Income!A$3:A$502=DATE(2026,7,31)),ROW(Income!A$3:A$502)-2),2)),"")&lt;&gt;"",IFERROR(INDEX(Income!B$3:B$502,SMALL(IF((Income!D$3:D$502="INR")*(Income!A$3:A$502=DATE(2026,7,31)),ROW(Income!A$3:A$502)-2),2)),""),""))</f>
        <v/>
      </c>
      <c r="M155" s="63" t="str">
        <f aca="false">IF(IFERROR(-INDEX(Expenses!D$3:D$1002,SMALL(IF((Expenses!E$3:E$1002="INR")*(Expenses!A$3:A$1002=DATE(2026,8,1)),ROW(Expenses!A$3:A$1002)-2),2)),0)+IFERROR(INDEX(Income!C$3:C$502,SMALL(IF((Income!D$3:D$502="INR")*(Income!A$3:A$502=DATE(2026,8,1)),ROW(Income!A$3:A$502)-2),2)),0)=0,"",IFERROR(-INDEX(Expenses!D$3:D$1002,SMALL(IF((Expenses!E$3:E$1002="INR")*(Expenses!A$3:A$1002=DATE(2026,8,1)),ROW(Expenses!A$3:A$1002)-2),2)),0)+IFERROR(INDEX(Income!C$3:C$502,SMALL(IF((Income!D$3:D$502="INR")*(Income!A$3:A$502=DATE(2026,8,1)),ROW(Income!A$3:A$502)-2),2)),0))</f>
        <v/>
      </c>
      <c r="N155" s="38" t="str">
        <f aca="false">IF(IFERROR(INDEX(Expenses!B$3:B$1002,SMALL(IF((Expenses!E$3:E$1002="INR")*(Expenses!A$3:A$1002=DATE(2026,8,1)),ROW(Expenses!A$3:A$1002)-2),2)),"")&lt;&gt;"",IFERROR(INDEX(Expenses!B$3:B$1002,SMALL(IF((Expenses!E$3:E$1002="INR")*(Expenses!A$3:A$1002=DATE(2026,8,1)),ROW(Expenses!A$3:A$1002)-2),2)),""),IF(IFERROR(INDEX(Income!B$3:B$502,SMALL(IF((Income!D$3:D$502="INR")*(Income!A$3:A$502=DATE(2026,8,1)),ROW(Income!A$3:A$502)-2),2)),"")&lt;&gt;"",IFERROR(INDEX(Income!B$3:B$502,SMALL(IF((Income!D$3:D$502="INR")*(Income!A$3:A$502=DATE(2026,8,1)),ROW(Income!A$3:A$502)-2),2)),""),""))</f>
        <v/>
      </c>
      <c r="O155" s="63" t="str">
        <f aca="false">IF(IFERROR(-INDEX(Expenses!D$3:D$1002,SMALL(IF((Expenses!E$3:E$1002="INR")*(Expenses!A$3:A$1002=DATE(2026,8,2)),ROW(Expenses!A$3:A$1002)-2),2)),0)+IFERROR(INDEX(Income!C$3:C$502,SMALL(IF((Income!D$3:D$502="INR")*(Income!A$3:A$502=DATE(2026,8,2)),ROW(Income!A$3:A$502)-2),2)),0)=0,"",IFERROR(-INDEX(Expenses!D$3:D$1002,SMALL(IF((Expenses!E$3:E$1002="INR")*(Expenses!A$3:A$1002=DATE(2026,8,2)),ROW(Expenses!A$3:A$1002)-2),2)),0)+IFERROR(INDEX(Income!C$3:C$502,SMALL(IF((Income!D$3:D$502="INR")*(Income!A$3:A$502=DATE(2026,8,2)),ROW(Income!A$3:A$502)-2),2)),0))</f>
        <v/>
      </c>
      <c r="P155" s="38" t="str">
        <f aca="false">IF(IFERROR(INDEX(Expenses!B$3:B$1002,SMALL(IF((Expenses!E$3:E$1002="INR")*(Expenses!A$3:A$1002=DATE(2026,8,2)),ROW(Expenses!A$3:A$1002)-2),2)),"")&lt;&gt;"",IFERROR(INDEX(Expenses!B$3:B$1002,SMALL(IF((Expenses!E$3:E$1002="INR")*(Expenses!A$3:A$1002=DATE(2026,8,2)),ROW(Expenses!A$3:A$1002)-2),2)),""),IF(IFERROR(INDEX(Income!B$3:B$502,SMALL(IF((Income!D$3:D$502="INR")*(Income!A$3:A$502=DATE(2026,8,2)),ROW(Income!A$3:A$502)-2),2)),"")&lt;&gt;"",IFERROR(INDEX(Income!B$3:B$502,SMALL(IF((Income!D$3:D$502="INR")*(Income!A$3:A$502=DATE(2026,8,2)),ROW(Income!A$3:A$502)-2),2)),""),""))</f>
        <v/>
      </c>
      <c r="Q155" s="16"/>
      <c r="R155" s="16"/>
    </row>
    <row r="156" customFormat="false" ht="15" hidden="false" customHeight="false" outlineLevel="0" collapsed="false">
      <c r="A156" s="16"/>
      <c r="B156" s="16"/>
      <c r="C156" s="63" t="str">
        <f aca="false">IF(IFERROR(-INDEX(Expenses!D$3:D$1002,SMALL(IF((Expenses!E$3:E$1002="INR")*(Expenses!A$3:A$1002=DATE(2026,7,27)),ROW(Expenses!A$3:A$1002)-2),3)),0)+IFERROR(INDEX(Income!C$3:C$502,SMALL(IF((Income!D$3:D$502="INR")*(Income!A$3:A$502=DATE(2026,7,27)),ROW(Income!A$3:A$502)-2),3)),0)=0,"",IFERROR(-INDEX(Expenses!D$3:D$1002,SMALL(IF((Expenses!E$3:E$1002="INR")*(Expenses!A$3:A$1002=DATE(2026,7,27)),ROW(Expenses!A$3:A$1002)-2),3)),0)+IFERROR(INDEX(Income!C$3:C$502,SMALL(IF((Income!D$3:D$502="INR")*(Income!A$3:A$502=DATE(2026,7,27)),ROW(Income!A$3:A$502)-2),3)),0))</f>
        <v/>
      </c>
      <c r="D156" s="38" t="str">
        <f aca="false">IF(IFERROR(INDEX(Expenses!B$3:B$1002,SMALL(IF((Expenses!E$3:E$1002="INR")*(Expenses!A$3:A$1002=DATE(2026,7,27)),ROW(Expenses!A$3:A$1002)-2),3)),"")&lt;&gt;"",IFERROR(INDEX(Expenses!B$3:B$1002,SMALL(IF((Expenses!E$3:E$1002="INR")*(Expenses!A$3:A$1002=DATE(2026,7,27)),ROW(Expenses!A$3:A$1002)-2),3)),""),IF(IFERROR(INDEX(Income!B$3:B$502,SMALL(IF((Income!D$3:D$502="INR")*(Income!A$3:A$502=DATE(2026,7,27)),ROW(Income!A$3:A$502)-2),3)),"")&lt;&gt;"",IFERROR(INDEX(Income!B$3:B$502,SMALL(IF((Income!D$3:D$502="INR")*(Income!A$3:A$502=DATE(2026,7,27)),ROW(Income!A$3:A$502)-2),3)),""),""))</f>
        <v/>
      </c>
      <c r="E156" s="63" t="str">
        <f aca="false">IF(IFERROR(-INDEX(Expenses!D$3:D$1002,SMALL(IF((Expenses!E$3:E$1002="INR")*(Expenses!A$3:A$1002=DATE(2026,7,28)),ROW(Expenses!A$3:A$1002)-2),3)),0)+IFERROR(INDEX(Income!C$3:C$502,SMALL(IF((Income!D$3:D$502="INR")*(Income!A$3:A$502=DATE(2026,7,28)),ROW(Income!A$3:A$502)-2),3)),0)=0,"",IFERROR(-INDEX(Expenses!D$3:D$1002,SMALL(IF((Expenses!E$3:E$1002="INR")*(Expenses!A$3:A$1002=DATE(2026,7,28)),ROW(Expenses!A$3:A$1002)-2),3)),0)+IFERROR(INDEX(Income!C$3:C$502,SMALL(IF((Income!D$3:D$502="INR")*(Income!A$3:A$502=DATE(2026,7,28)),ROW(Income!A$3:A$502)-2),3)),0))</f>
        <v/>
      </c>
      <c r="F156" s="38" t="str">
        <f aca="false">IF(IFERROR(INDEX(Expenses!B$3:B$1002,SMALL(IF((Expenses!E$3:E$1002="INR")*(Expenses!A$3:A$1002=DATE(2026,7,28)),ROW(Expenses!A$3:A$1002)-2),3)),"")&lt;&gt;"",IFERROR(INDEX(Expenses!B$3:B$1002,SMALL(IF((Expenses!E$3:E$1002="INR")*(Expenses!A$3:A$1002=DATE(2026,7,28)),ROW(Expenses!A$3:A$1002)-2),3)),""),IF(IFERROR(INDEX(Income!B$3:B$502,SMALL(IF((Income!D$3:D$502="INR")*(Income!A$3:A$502=DATE(2026,7,28)),ROW(Income!A$3:A$502)-2),3)),"")&lt;&gt;"",IFERROR(INDEX(Income!B$3:B$502,SMALL(IF((Income!D$3:D$502="INR")*(Income!A$3:A$502=DATE(2026,7,28)),ROW(Income!A$3:A$502)-2),3)),""),""))</f>
        <v/>
      </c>
      <c r="G156" s="63" t="str">
        <f aca="false">IF(IFERROR(-INDEX(Expenses!D$3:D$1002,SMALL(IF((Expenses!E$3:E$1002="INR")*(Expenses!A$3:A$1002=DATE(2026,7,29)),ROW(Expenses!A$3:A$1002)-2),3)),0)+IFERROR(INDEX(Income!C$3:C$502,SMALL(IF((Income!D$3:D$502="INR")*(Income!A$3:A$502=DATE(2026,7,29)),ROW(Income!A$3:A$502)-2),3)),0)=0,"",IFERROR(-INDEX(Expenses!D$3:D$1002,SMALL(IF((Expenses!E$3:E$1002="INR")*(Expenses!A$3:A$1002=DATE(2026,7,29)),ROW(Expenses!A$3:A$1002)-2),3)),0)+IFERROR(INDEX(Income!C$3:C$502,SMALL(IF((Income!D$3:D$502="INR")*(Income!A$3:A$502=DATE(2026,7,29)),ROW(Income!A$3:A$502)-2),3)),0))</f>
        <v/>
      </c>
      <c r="H156" s="38" t="str">
        <f aca="false">IF(IFERROR(INDEX(Expenses!B$3:B$1002,SMALL(IF((Expenses!E$3:E$1002="INR")*(Expenses!A$3:A$1002=DATE(2026,7,29)),ROW(Expenses!A$3:A$1002)-2),3)),"")&lt;&gt;"",IFERROR(INDEX(Expenses!B$3:B$1002,SMALL(IF((Expenses!E$3:E$1002="INR")*(Expenses!A$3:A$1002=DATE(2026,7,29)),ROW(Expenses!A$3:A$1002)-2),3)),""),IF(IFERROR(INDEX(Income!B$3:B$502,SMALL(IF((Income!D$3:D$502="INR")*(Income!A$3:A$502=DATE(2026,7,29)),ROW(Income!A$3:A$502)-2),3)),"")&lt;&gt;"",IFERROR(INDEX(Income!B$3:B$502,SMALL(IF((Income!D$3:D$502="INR")*(Income!A$3:A$502=DATE(2026,7,29)),ROW(Income!A$3:A$502)-2),3)),""),""))</f>
        <v/>
      </c>
      <c r="I156" s="63" t="str">
        <f aca="false">IF(IFERROR(-INDEX(Expenses!D$3:D$1002,SMALL(IF((Expenses!E$3:E$1002="INR")*(Expenses!A$3:A$1002=DATE(2026,7,30)),ROW(Expenses!A$3:A$1002)-2),3)),0)+IFERROR(INDEX(Income!C$3:C$502,SMALL(IF((Income!D$3:D$502="INR")*(Income!A$3:A$502=DATE(2026,7,30)),ROW(Income!A$3:A$502)-2),3)),0)=0,"",IFERROR(-INDEX(Expenses!D$3:D$1002,SMALL(IF((Expenses!E$3:E$1002="INR")*(Expenses!A$3:A$1002=DATE(2026,7,30)),ROW(Expenses!A$3:A$1002)-2),3)),0)+IFERROR(INDEX(Income!C$3:C$502,SMALL(IF((Income!D$3:D$502="INR")*(Income!A$3:A$502=DATE(2026,7,30)),ROW(Income!A$3:A$502)-2),3)),0))</f>
        <v/>
      </c>
      <c r="J156" s="38" t="str">
        <f aca="false">IF(IFERROR(INDEX(Expenses!B$3:B$1002,SMALL(IF((Expenses!E$3:E$1002="INR")*(Expenses!A$3:A$1002=DATE(2026,7,30)),ROW(Expenses!A$3:A$1002)-2),3)),"")&lt;&gt;"",IFERROR(INDEX(Expenses!B$3:B$1002,SMALL(IF((Expenses!E$3:E$1002="INR")*(Expenses!A$3:A$1002=DATE(2026,7,30)),ROW(Expenses!A$3:A$1002)-2),3)),""),IF(IFERROR(INDEX(Income!B$3:B$502,SMALL(IF((Income!D$3:D$502="INR")*(Income!A$3:A$502=DATE(2026,7,30)),ROW(Income!A$3:A$502)-2),3)),"")&lt;&gt;"",IFERROR(INDEX(Income!B$3:B$502,SMALL(IF((Income!D$3:D$502="INR")*(Income!A$3:A$502=DATE(2026,7,30)),ROW(Income!A$3:A$502)-2),3)),""),""))</f>
        <v/>
      </c>
      <c r="K156" s="63" t="str">
        <f aca="false">IF(IFERROR(-INDEX(Expenses!D$3:D$1002,SMALL(IF((Expenses!E$3:E$1002="INR")*(Expenses!A$3:A$1002=DATE(2026,7,31)),ROW(Expenses!A$3:A$1002)-2),3)),0)+IFERROR(INDEX(Income!C$3:C$502,SMALL(IF((Income!D$3:D$502="INR")*(Income!A$3:A$502=DATE(2026,7,31)),ROW(Income!A$3:A$502)-2),3)),0)=0,"",IFERROR(-INDEX(Expenses!D$3:D$1002,SMALL(IF((Expenses!E$3:E$1002="INR")*(Expenses!A$3:A$1002=DATE(2026,7,31)),ROW(Expenses!A$3:A$1002)-2),3)),0)+IFERROR(INDEX(Income!C$3:C$502,SMALL(IF((Income!D$3:D$502="INR")*(Income!A$3:A$502=DATE(2026,7,31)),ROW(Income!A$3:A$502)-2),3)),0))</f>
        <v/>
      </c>
      <c r="L156" s="38" t="str">
        <f aca="false">IF(IFERROR(INDEX(Expenses!B$3:B$1002,SMALL(IF((Expenses!E$3:E$1002="INR")*(Expenses!A$3:A$1002=DATE(2026,7,31)),ROW(Expenses!A$3:A$1002)-2),3)),"")&lt;&gt;"",IFERROR(INDEX(Expenses!B$3:B$1002,SMALL(IF((Expenses!E$3:E$1002="INR")*(Expenses!A$3:A$1002=DATE(2026,7,31)),ROW(Expenses!A$3:A$1002)-2),3)),""),IF(IFERROR(INDEX(Income!B$3:B$502,SMALL(IF((Income!D$3:D$502="INR")*(Income!A$3:A$502=DATE(2026,7,31)),ROW(Income!A$3:A$502)-2),3)),"")&lt;&gt;"",IFERROR(INDEX(Income!B$3:B$502,SMALL(IF((Income!D$3:D$502="INR")*(Income!A$3:A$502=DATE(2026,7,31)),ROW(Income!A$3:A$502)-2),3)),""),""))</f>
        <v/>
      </c>
      <c r="M156" s="63" t="str">
        <f aca="false">IF(IFERROR(-INDEX(Expenses!D$3:D$1002,SMALL(IF((Expenses!E$3:E$1002="INR")*(Expenses!A$3:A$1002=DATE(2026,8,1)),ROW(Expenses!A$3:A$1002)-2),3)),0)+IFERROR(INDEX(Income!C$3:C$502,SMALL(IF((Income!D$3:D$502="INR")*(Income!A$3:A$502=DATE(2026,8,1)),ROW(Income!A$3:A$502)-2),3)),0)=0,"",IFERROR(-INDEX(Expenses!D$3:D$1002,SMALL(IF((Expenses!E$3:E$1002="INR")*(Expenses!A$3:A$1002=DATE(2026,8,1)),ROW(Expenses!A$3:A$1002)-2),3)),0)+IFERROR(INDEX(Income!C$3:C$502,SMALL(IF((Income!D$3:D$502="INR")*(Income!A$3:A$502=DATE(2026,8,1)),ROW(Income!A$3:A$502)-2),3)),0))</f>
        <v/>
      </c>
      <c r="N156" s="38" t="str">
        <f aca="false">IF(IFERROR(INDEX(Expenses!B$3:B$1002,SMALL(IF((Expenses!E$3:E$1002="INR")*(Expenses!A$3:A$1002=DATE(2026,8,1)),ROW(Expenses!A$3:A$1002)-2),3)),"")&lt;&gt;"",IFERROR(INDEX(Expenses!B$3:B$1002,SMALL(IF((Expenses!E$3:E$1002="INR")*(Expenses!A$3:A$1002=DATE(2026,8,1)),ROW(Expenses!A$3:A$1002)-2),3)),""),IF(IFERROR(INDEX(Income!B$3:B$502,SMALL(IF((Income!D$3:D$502="INR")*(Income!A$3:A$502=DATE(2026,8,1)),ROW(Income!A$3:A$502)-2),3)),"")&lt;&gt;"",IFERROR(INDEX(Income!B$3:B$502,SMALL(IF((Income!D$3:D$502="INR")*(Income!A$3:A$502=DATE(2026,8,1)),ROW(Income!A$3:A$502)-2),3)),""),""))</f>
        <v/>
      </c>
      <c r="O156" s="63" t="str">
        <f aca="false">IF(IFERROR(-INDEX(Expenses!D$3:D$1002,SMALL(IF((Expenses!E$3:E$1002="INR")*(Expenses!A$3:A$1002=DATE(2026,8,2)),ROW(Expenses!A$3:A$1002)-2),3)),0)+IFERROR(INDEX(Income!C$3:C$502,SMALL(IF((Income!D$3:D$502="INR")*(Income!A$3:A$502=DATE(2026,8,2)),ROW(Income!A$3:A$502)-2),3)),0)=0,"",IFERROR(-INDEX(Expenses!D$3:D$1002,SMALL(IF((Expenses!E$3:E$1002="INR")*(Expenses!A$3:A$1002=DATE(2026,8,2)),ROW(Expenses!A$3:A$1002)-2),3)),0)+IFERROR(INDEX(Income!C$3:C$502,SMALL(IF((Income!D$3:D$502="INR")*(Income!A$3:A$502=DATE(2026,8,2)),ROW(Income!A$3:A$502)-2),3)),0))</f>
        <v/>
      </c>
      <c r="P156" s="38" t="str">
        <f aca="false">IF(IFERROR(INDEX(Expenses!B$3:B$1002,SMALL(IF((Expenses!E$3:E$1002="INR")*(Expenses!A$3:A$1002=DATE(2026,8,2)),ROW(Expenses!A$3:A$1002)-2),3)),"")&lt;&gt;"",IFERROR(INDEX(Expenses!B$3:B$1002,SMALL(IF((Expenses!E$3:E$1002="INR")*(Expenses!A$3:A$1002=DATE(2026,8,2)),ROW(Expenses!A$3:A$1002)-2),3)),""),IF(IFERROR(INDEX(Income!B$3:B$502,SMALL(IF((Income!D$3:D$502="INR")*(Income!A$3:A$502=DATE(2026,8,2)),ROW(Income!A$3:A$502)-2),3)),"")&lt;&gt;"",IFERROR(INDEX(Income!B$3:B$502,SMALL(IF((Income!D$3:D$502="INR")*(Income!A$3:A$502=DATE(2026,8,2)),ROW(Income!A$3:A$502)-2),3)),""),""))</f>
        <v/>
      </c>
      <c r="Q156" s="16"/>
      <c r="R156" s="16"/>
    </row>
    <row r="157" customFormat="false" ht="15" hidden="false" customHeight="false" outlineLevel="0" collapsed="false">
      <c r="A157" s="16"/>
      <c r="B157" s="16"/>
      <c r="C157" s="63" t="str">
        <f aca="false">IF(IFERROR(-INDEX(Expenses!D$3:D$1002,SMALL(IF((Expenses!E$3:E$1002="INR")*(Expenses!A$3:A$1002=DATE(2026,7,27)),ROW(Expenses!A$3:A$1002)-2),4)),0)+IFERROR(INDEX(Income!C$3:C$502,SMALL(IF((Income!D$3:D$502="INR")*(Income!A$3:A$502=DATE(2026,7,27)),ROW(Income!A$3:A$502)-2),4)),0)=0,"",IFERROR(-INDEX(Expenses!D$3:D$1002,SMALL(IF((Expenses!E$3:E$1002="INR")*(Expenses!A$3:A$1002=DATE(2026,7,27)),ROW(Expenses!A$3:A$1002)-2),4)),0)+IFERROR(INDEX(Income!C$3:C$502,SMALL(IF((Income!D$3:D$502="INR")*(Income!A$3:A$502=DATE(2026,7,27)),ROW(Income!A$3:A$502)-2),4)),0))</f>
        <v/>
      </c>
      <c r="D157" s="38" t="str">
        <f aca="false">IF(IFERROR(INDEX(Expenses!B$3:B$1002,SMALL(IF((Expenses!E$3:E$1002="INR")*(Expenses!A$3:A$1002=DATE(2026,7,27)),ROW(Expenses!A$3:A$1002)-2),4)),"")&lt;&gt;"",IFERROR(INDEX(Expenses!B$3:B$1002,SMALL(IF((Expenses!E$3:E$1002="INR")*(Expenses!A$3:A$1002=DATE(2026,7,27)),ROW(Expenses!A$3:A$1002)-2),4)),""),IF(IFERROR(INDEX(Income!B$3:B$502,SMALL(IF((Income!D$3:D$502="INR")*(Income!A$3:A$502=DATE(2026,7,27)),ROW(Income!A$3:A$502)-2),4)),"")&lt;&gt;"",IFERROR(INDEX(Income!B$3:B$502,SMALL(IF((Income!D$3:D$502="INR")*(Income!A$3:A$502=DATE(2026,7,27)),ROW(Income!A$3:A$502)-2),4)),""),""))</f>
        <v/>
      </c>
      <c r="E157" s="63" t="str">
        <f aca="false">IF(IFERROR(-INDEX(Expenses!D$3:D$1002,SMALL(IF((Expenses!E$3:E$1002="INR")*(Expenses!A$3:A$1002=DATE(2026,7,28)),ROW(Expenses!A$3:A$1002)-2),4)),0)+IFERROR(INDEX(Income!C$3:C$502,SMALL(IF((Income!D$3:D$502="INR")*(Income!A$3:A$502=DATE(2026,7,28)),ROW(Income!A$3:A$502)-2),4)),0)=0,"",IFERROR(-INDEX(Expenses!D$3:D$1002,SMALL(IF((Expenses!E$3:E$1002="INR")*(Expenses!A$3:A$1002=DATE(2026,7,28)),ROW(Expenses!A$3:A$1002)-2),4)),0)+IFERROR(INDEX(Income!C$3:C$502,SMALL(IF((Income!D$3:D$502="INR")*(Income!A$3:A$502=DATE(2026,7,28)),ROW(Income!A$3:A$502)-2),4)),0))</f>
        <v/>
      </c>
      <c r="F157" s="38" t="str">
        <f aca="false">IF(IFERROR(INDEX(Expenses!B$3:B$1002,SMALL(IF((Expenses!E$3:E$1002="INR")*(Expenses!A$3:A$1002=DATE(2026,7,28)),ROW(Expenses!A$3:A$1002)-2),4)),"")&lt;&gt;"",IFERROR(INDEX(Expenses!B$3:B$1002,SMALL(IF((Expenses!E$3:E$1002="INR")*(Expenses!A$3:A$1002=DATE(2026,7,28)),ROW(Expenses!A$3:A$1002)-2),4)),""),IF(IFERROR(INDEX(Income!B$3:B$502,SMALL(IF((Income!D$3:D$502="INR")*(Income!A$3:A$502=DATE(2026,7,28)),ROW(Income!A$3:A$502)-2),4)),"")&lt;&gt;"",IFERROR(INDEX(Income!B$3:B$502,SMALL(IF((Income!D$3:D$502="INR")*(Income!A$3:A$502=DATE(2026,7,28)),ROW(Income!A$3:A$502)-2),4)),""),""))</f>
        <v/>
      </c>
      <c r="G157" s="63" t="str">
        <f aca="false">IF(IFERROR(-INDEX(Expenses!D$3:D$1002,SMALL(IF((Expenses!E$3:E$1002="INR")*(Expenses!A$3:A$1002=DATE(2026,7,29)),ROW(Expenses!A$3:A$1002)-2),4)),0)+IFERROR(INDEX(Income!C$3:C$502,SMALL(IF((Income!D$3:D$502="INR")*(Income!A$3:A$502=DATE(2026,7,29)),ROW(Income!A$3:A$502)-2),4)),0)=0,"",IFERROR(-INDEX(Expenses!D$3:D$1002,SMALL(IF((Expenses!E$3:E$1002="INR")*(Expenses!A$3:A$1002=DATE(2026,7,29)),ROW(Expenses!A$3:A$1002)-2),4)),0)+IFERROR(INDEX(Income!C$3:C$502,SMALL(IF((Income!D$3:D$502="INR")*(Income!A$3:A$502=DATE(2026,7,29)),ROW(Income!A$3:A$502)-2),4)),0))</f>
        <v/>
      </c>
      <c r="H157" s="38" t="str">
        <f aca="false">IF(IFERROR(INDEX(Expenses!B$3:B$1002,SMALL(IF((Expenses!E$3:E$1002="INR")*(Expenses!A$3:A$1002=DATE(2026,7,29)),ROW(Expenses!A$3:A$1002)-2),4)),"")&lt;&gt;"",IFERROR(INDEX(Expenses!B$3:B$1002,SMALL(IF((Expenses!E$3:E$1002="INR")*(Expenses!A$3:A$1002=DATE(2026,7,29)),ROW(Expenses!A$3:A$1002)-2),4)),""),IF(IFERROR(INDEX(Income!B$3:B$502,SMALL(IF((Income!D$3:D$502="INR")*(Income!A$3:A$502=DATE(2026,7,29)),ROW(Income!A$3:A$502)-2),4)),"")&lt;&gt;"",IFERROR(INDEX(Income!B$3:B$502,SMALL(IF((Income!D$3:D$502="INR")*(Income!A$3:A$502=DATE(2026,7,29)),ROW(Income!A$3:A$502)-2),4)),""),""))</f>
        <v/>
      </c>
      <c r="I157" s="63" t="str">
        <f aca="false">IF(IFERROR(-INDEX(Expenses!D$3:D$1002,SMALL(IF((Expenses!E$3:E$1002="INR")*(Expenses!A$3:A$1002=DATE(2026,7,30)),ROW(Expenses!A$3:A$1002)-2),4)),0)+IFERROR(INDEX(Income!C$3:C$502,SMALL(IF((Income!D$3:D$502="INR")*(Income!A$3:A$502=DATE(2026,7,30)),ROW(Income!A$3:A$502)-2),4)),0)=0,"",IFERROR(-INDEX(Expenses!D$3:D$1002,SMALL(IF((Expenses!E$3:E$1002="INR")*(Expenses!A$3:A$1002=DATE(2026,7,30)),ROW(Expenses!A$3:A$1002)-2),4)),0)+IFERROR(INDEX(Income!C$3:C$502,SMALL(IF((Income!D$3:D$502="INR")*(Income!A$3:A$502=DATE(2026,7,30)),ROW(Income!A$3:A$502)-2),4)),0))</f>
        <v/>
      </c>
      <c r="J157" s="38" t="str">
        <f aca="false">IF(IFERROR(INDEX(Expenses!B$3:B$1002,SMALL(IF((Expenses!E$3:E$1002="INR")*(Expenses!A$3:A$1002=DATE(2026,7,30)),ROW(Expenses!A$3:A$1002)-2),4)),"")&lt;&gt;"",IFERROR(INDEX(Expenses!B$3:B$1002,SMALL(IF((Expenses!E$3:E$1002="INR")*(Expenses!A$3:A$1002=DATE(2026,7,30)),ROW(Expenses!A$3:A$1002)-2),4)),""),IF(IFERROR(INDEX(Income!B$3:B$502,SMALL(IF((Income!D$3:D$502="INR")*(Income!A$3:A$502=DATE(2026,7,30)),ROW(Income!A$3:A$502)-2),4)),"")&lt;&gt;"",IFERROR(INDEX(Income!B$3:B$502,SMALL(IF((Income!D$3:D$502="INR")*(Income!A$3:A$502=DATE(2026,7,30)),ROW(Income!A$3:A$502)-2),4)),""),""))</f>
        <v/>
      </c>
      <c r="K157" s="63" t="str">
        <f aca="false">IF(IFERROR(-INDEX(Expenses!D$3:D$1002,SMALL(IF((Expenses!E$3:E$1002="INR")*(Expenses!A$3:A$1002=DATE(2026,7,31)),ROW(Expenses!A$3:A$1002)-2),4)),0)+IFERROR(INDEX(Income!C$3:C$502,SMALL(IF((Income!D$3:D$502="INR")*(Income!A$3:A$502=DATE(2026,7,31)),ROW(Income!A$3:A$502)-2),4)),0)=0,"",IFERROR(-INDEX(Expenses!D$3:D$1002,SMALL(IF((Expenses!E$3:E$1002="INR")*(Expenses!A$3:A$1002=DATE(2026,7,31)),ROW(Expenses!A$3:A$1002)-2),4)),0)+IFERROR(INDEX(Income!C$3:C$502,SMALL(IF((Income!D$3:D$502="INR")*(Income!A$3:A$502=DATE(2026,7,31)),ROW(Income!A$3:A$502)-2),4)),0))</f>
        <v/>
      </c>
      <c r="L157" s="38" t="str">
        <f aca="false">IF(IFERROR(INDEX(Expenses!B$3:B$1002,SMALL(IF((Expenses!E$3:E$1002="INR")*(Expenses!A$3:A$1002=DATE(2026,7,31)),ROW(Expenses!A$3:A$1002)-2),4)),"")&lt;&gt;"",IFERROR(INDEX(Expenses!B$3:B$1002,SMALL(IF((Expenses!E$3:E$1002="INR")*(Expenses!A$3:A$1002=DATE(2026,7,31)),ROW(Expenses!A$3:A$1002)-2),4)),""),IF(IFERROR(INDEX(Income!B$3:B$502,SMALL(IF((Income!D$3:D$502="INR")*(Income!A$3:A$502=DATE(2026,7,31)),ROW(Income!A$3:A$502)-2),4)),"")&lt;&gt;"",IFERROR(INDEX(Income!B$3:B$502,SMALL(IF((Income!D$3:D$502="INR")*(Income!A$3:A$502=DATE(2026,7,31)),ROW(Income!A$3:A$502)-2),4)),""),""))</f>
        <v/>
      </c>
      <c r="M157" s="63" t="str">
        <f aca="false">IF(IFERROR(-INDEX(Expenses!D$3:D$1002,SMALL(IF((Expenses!E$3:E$1002="INR")*(Expenses!A$3:A$1002=DATE(2026,8,1)),ROW(Expenses!A$3:A$1002)-2),4)),0)+IFERROR(INDEX(Income!C$3:C$502,SMALL(IF((Income!D$3:D$502="INR")*(Income!A$3:A$502=DATE(2026,8,1)),ROW(Income!A$3:A$502)-2),4)),0)=0,"",IFERROR(-INDEX(Expenses!D$3:D$1002,SMALL(IF((Expenses!E$3:E$1002="INR")*(Expenses!A$3:A$1002=DATE(2026,8,1)),ROW(Expenses!A$3:A$1002)-2),4)),0)+IFERROR(INDEX(Income!C$3:C$502,SMALL(IF((Income!D$3:D$502="INR")*(Income!A$3:A$502=DATE(2026,8,1)),ROW(Income!A$3:A$502)-2),4)),0))</f>
        <v/>
      </c>
      <c r="N157" s="38" t="str">
        <f aca="false">IF(IFERROR(INDEX(Expenses!B$3:B$1002,SMALL(IF((Expenses!E$3:E$1002="INR")*(Expenses!A$3:A$1002=DATE(2026,8,1)),ROW(Expenses!A$3:A$1002)-2),4)),"")&lt;&gt;"",IFERROR(INDEX(Expenses!B$3:B$1002,SMALL(IF((Expenses!E$3:E$1002="INR")*(Expenses!A$3:A$1002=DATE(2026,8,1)),ROW(Expenses!A$3:A$1002)-2),4)),""),IF(IFERROR(INDEX(Income!B$3:B$502,SMALL(IF((Income!D$3:D$502="INR")*(Income!A$3:A$502=DATE(2026,8,1)),ROW(Income!A$3:A$502)-2),4)),"")&lt;&gt;"",IFERROR(INDEX(Income!B$3:B$502,SMALL(IF((Income!D$3:D$502="INR")*(Income!A$3:A$502=DATE(2026,8,1)),ROW(Income!A$3:A$502)-2),4)),""),""))</f>
        <v/>
      </c>
      <c r="O157" s="63" t="str">
        <f aca="false">IF(IFERROR(-INDEX(Expenses!D$3:D$1002,SMALL(IF((Expenses!E$3:E$1002="INR")*(Expenses!A$3:A$1002=DATE(2026,8,2)),ROW(Expenses!A$3:A$1002)-2),4)),0)+IFERROR(INDEX(Income!C$3:C$502,SMALL(IF((Income!D$3:D$502="INR")*(Income!A$3:A$502=DATE(2026,8,2)),ROW(Income!A$3:A$502)-2),4)),0)=0,"",IFERROR(-INDEX(Expenses!D$3:D$1002,SMALL(IF((Expenses!E$3:E$1002="INR")*(Expenses!A$3:A$1002=DATE(2026,8,2)),ROW(Expenses!A$3:A$1002)-2),4)),0)+IFERROR(INDEX(Income!C$3:C$502,SMALL(IF((Income!D$3:D$502="INR")*(Income!A$3:A$502=DATE(2026,8,2)),ROW(Income!A$3:A$502)-2),4)),0))</f>
        <v/>
      </c>
      <c r="P157" s="38" t="str">
        <f aca="false">IF(IFERROR(INDEX(Expenses!B$3:B$1002,SMALL(IF((Expenses!E$3:E$1002="INR")*(Expenses!A$3:A$1002=DATE(2026,8,2)),ROW(Expenses!A$3:A$1002)-2),4)),"")&lt;&gt;"",IFERROR(INDEX(Expenses!B$3:B$1002,SMALL(IF((Expenses!E$3:E$1002="INR")*(Expenses!A$3:A$1002=DATE(2026,8,2)),ROW(Expenses!A$3:A$1002)-2),4)),""),IF(IFERROR(INDEX(Income!B$3:B$502,SMALL(IF((Income!D$3:D$502="INR")*(Income!A$3:A$502=DATE(2026,8,2)),ROW(Income!A$3:A$502)-2),4)),"")&lt;&gt;"",IFERROR(INDEX(Income!B$3:B$502,SMALL(IF((Income!D$3:D$502="INR")*(Income!A$3:A$502=DATE(2026,8,2)),ROW(Income!A$3:A$502)-2),4)),""),""))</f>
        <v/>
      </c>
      <c r="Q157" s="16"/>
      <c r="R157" s="16"/>
    </row>
    <row r="158" customFormat="false" ht="15" hidden="false" customHeight="false" outlineLevel="0" collapsed="false">
      <c r="A158" s="16"/>
      <c r="B158" s="16"/>
      <c r="C158" s="63" t="str">
        <f aca="false">IF(IFERROR(-INDEX(Expenses!D$3:D$1002,SMALL(IF((Expenses!E$3:E$1002="INR")*(Expenses!A$3:A$1002=DATE(2026,7,27)),ROW(Expenses!A$3:A$1002)-2),5)),0)+IFERROR(INDEX(Income!C$3:C$502,SMALL(IF((Income!D$3:D$502="INR")*(Income!A$3:A$502=DATE(2026,7,27)),ROW(Income!A$3:A$502)-2),5)),0)=0,"",IFERROR(-INDEX(Expenses!D$3:D$1002,SMALL(IF((Expenses!E$3:E$1002="INR")*(Expenses!A$3:A$1002=DATE(2026,7,27)),ROW(Expenses!A$3:A$1002)-2),5)),0)+IFERROR(INDEX(Income!C$3:C$502,SMALL(IF((Income!D$3:D$502="INR")*(Income!A$3:A$502=DATE(2026,7,27)),ROW(Income!A$3:A$502)-2),5)),0))</f>
        <v/>
      </c>
      <c r="D158" s="38" t="str">
        <f aca="false">IF(IFERROR(INDEX(Expenses!B$3:B$1002,SMALL(IF((Expenses!E$3:E$1002="INR")*(Expenses!A$3:A$1002=DATE(2026,7,27)),ROW(Expenses!A$3:A$1002)-2),5)),"")&lt;&gt;"",IFERROR(INDEX(Expenses!B$3:B$1002,SMALL(IF((Expenses!E$3:E$1002="INR")*(Expenses!A$3:A$1002=DATE(2026,7,27)),ROW(Expenses!A$3:A$1002)-2),5)),""),IF(IFERROR(INDEX(Income!B$3:B$502,SMALL(IF((Income!D$3:D$502="INR")*(Income!A$3:A$502=DATE(2026,7,27)),ROW(Income!A$3:A$502)-2),5)),"")&lt;&gt;"",IFERROR(INDEX(Income!B$3:B$502,SMALL(IF((Income!D$3:D$502="INR")*(Income!A$3:A$502=DATE(2026,7,27)),ROW(Income!A$3:A$502)-2),5)),""),""))</f>
        <v/>
      </c>
      <c r="E158" s="63" t="str">
        <f aca="false">IF(IFERROR(-INDEX(Expenses!D$3:D$1002,SMALL(IF((Expenses!E$3:E$1002="INR")*(Expenses!A$3:A$1002=DATE(2026,7,28)),ROW(Expenses!A$3:A$1002)-2),5)),0)+IFERROR(INDEX(Income!C$3:C$502,SMALL(IF((Income!D$3:D$502="INR")*(Income!A$3:A$502=DATE(2026,7,28)),ROW(Income!A$3:A$502)-2),5)),0)=0,"",IFERROR(-INDEX(Expenses!D$3:D$1002,SMALL(IF((Expenses!E$3:E$1002="INR")*(Expenses!A$3:A$1002=DATE(2026,7,28)),ROW(Expenses!A$3:A$1002)-2),5)),0)+IFERROR(INDEX(Income!C$3:C$502,SMALL(IF((Income!D$3:D$502="INR")*(Income!A$3:A$502=DATE(2026,7,28)),ROW(Income!A$3:A$502)-2),5)),0))</f>
        <v/>
      </c>
      <c r="F158" s="38" t="str">
        <f aca="false">IF(IFERROR(INDEX(Expenses!B$3:B$1002,SMALL(IF((Expenses!E$3:E$1002="INR")*(Expenses!A$3:A$1002=DATE(2026,7,28)),ROW(Expenses!A$3:A$1002)-2),5)),"")&lt;&gt;"",IFERROR(INDEX(Expenses!B$3:B$1002,SMALL(IF((Expenses!E$3:E$1002="INR")*(Expenses!A$3:A$1002=DATE(2026,7,28)),ROW(Expenses!A$3:A$1002)-2),5)),""),IF(IFERROR(INDEX(Income!B$3:B$502,SMALL(IF((Income!D$3:D$502="INR")*(Income!A$3:A$502=DATE(2026,7,28)),ROW(Income!A$3:A$502)-2),5)),"")&lt;&gt;"",IFERROR(INDEX(Income!B$3:B$502,SMALL(IF((Income!D$3:D$502="INR")*(Income!A$3:A$502=DATE(2026,7,28)),ROW(Income!A$3:A$502)-2),5)),""),""))</f>
        <v/>
      </c>
      <c r="G158" s="63" t="str">
        <f aca="false">IF(IFERROR(-INDEX(Expenses!D$3:D$1002,SMALL(IF((Expenses!E$3:E$1002="INR")*(Expenses!A$3:A$1002=DATE(2026,7,29)),ROW(Expenses!A$3:A$1002)-2),5)),0)+IFERROR(INDEX(Income!C$3:C$502,SMALL(IF((Income!D$3:D$502="INR")*(Income!A$3:A$502=DATE(2026,7,29)),ROW(Income!A$3:A$502)-2),5)),0)=0,"",IFERROR(-INDEX(Expenses!D$3:D$1002,SMALL(IF((Expenses!E$3:E$1002="INR")*(Expenses!A$3:A$1002=DATE(2026,7,29)),ROW(Expenses!A$3:A$1002)-2),5)),0)+IFERROR(INDEX(Income!C$3:C$502,SMALL(IF((Income!D$3:D$502="INR")*(Income!A$3:A$502=DATE(2026,7,29)),ROW(Income!A$3:A$502)-2),5)),0))</f>
        <v/>
      </c>
      <c r="H158" s="38" t="str">
        <f aca="false">IF(IFERROR(INDEX(Expenses!B$3:B$1002,SMALL(IF((Expenses!E$3:E$1002="INR")*(Expenses!A$3:A$1002=DATE(2026,7,29)),ROW(Expenses!A$3:A$1002)-2),5)),"")&lt;&gt;"",IFERROR(INDEX(Expenses!B$3:B$1002,SMALL(IF((Expenses!E$3:E$1002="INR")*(Expenses!A$3:A$1002=DATE(2026,7,29)),ROW(Expenses!A$3:A$1002)-2),5)),""),IF(IFERROR(INDEX(Income!B$3:B$502,SMALL(IF((Income!D$3:D$502="INR")*(Income!A$3:A$502=DATE(2026,7,29)),ROW(Income!A$3:A$502)-2),5)),"")&lt;&gt;"",IFERROR(INDEX(Income!B$3:B$502,SMALL(IF((Income!D$3:D$502="INR")*(Income!A$3:A$502=DATE(2026,7,29)),ROW(Income!A$3:A$502)-2),5)),""),""))</f>
        <v/>
      </c>
      <c r="I158" s="63" t="str">
        <f aca="false">IF(IFERROR(-INDEX(Expenses!D$3:D$1002,SMALL(IF((Expenses!E$3:E$1002="INR")*(Expenses!A$3:A$1002=DATE(2026,7,30)),ROW(Expenses!A$3:A$1002)-2),5)),0)+IFERROR(INDEX(Income!C$3:C$502,SMALL(IF((Income!D$3:D$502="INR")*(Income!A$3:A$502=DATE(2026,7,30)),ROW(Income!A$3:A$502)-2),5)),0)=0,"",IFERROR(-INDEX(Expenses!D$3:D$1002,SMALL(IF((Expenses!E$3:E$1002="INR")*(Expenses!A$3:A$1002=DATE(2026,7,30)),ROW(Expenses!A$3:A$1002)-2),5)),0)+IFERROR(INDEX(Income!C$3:C$502,SMALL(IF((Income!D$3:D$502="INR")*(Income!A$3:A$502=DATE(2026,7,30)),ROW(Income!A$3:A$502)-2),5)),0))</f>
        <v/>
      </c>
      <c r="J158" s="38" t="str">
        <f aca="false">IF(IFERROR(INDEX(Expenses!B$3:B$1002,SMALL(IF((Expenses!E$3:E$1002="INR")*(Expenses!A$3:A$1002=DATE(2026,7,30)),ROW(Expenses!A$3:A$1002)-2),5)),"")&lt;&gt;"",IFERROR(INDEX(Expenses!B$3:B$1002,SMALL(IF((Expenses!E$3:E$1002="INR")*(Expenses!A$3:A$1002=DATE(2026,7,30)),ROW(Expenses!A$3:A$1002)-2),5)),""),IF(IFERROR(INDEX(Income!B$3:B$502,SMALL(IF((Income!D$3:D$502="INR")*(Income!A$3:A$502=DATE(2026,7,30)),ROW(Income!A$3:A$502)-2),5)),"")&lt;&gt;"",IFERROR(INDEX(Income!B$3:B$502,SMALL(IF((Income!D$3:D$502="INR")*(Income!A$3:A$502=DATE(2026,7,30)),ROW(Income!A$3:A$502)-2),5)),""),""))</f>
        <v/>
      </c>
      <c r="K158" s="63" t="str">
        <f aca="false">IF(IFERROR(-INDEX(Expenses!D$3:D$1002,SMALL(IF((Expenses!E$3:E$1002="INR")*(Expenses!A$3:A$1002=DATE(2026,7,31)),ROW(Expenses!A$3:A$1002)-2),5)),0)+IFERROR(INDEX(Income!C$3:C$502,SMALL(IF((Income!D$3:D$502="INR")*(Income!A$3:A$502=DATE(2026,7,31)),ROW(Income!A$3:A$502)-2),5)),0)=0,"",IFERROR(-INDEX(Expenses!D$3:D$1002,SMALL(IF((Expenses!E$3:E$1002="INR")*(Expenses!A$3:A$1002=DATE(2026,7,31)),ROW(Expenses!A$3:A$1002)-2),5)),0)+IFERROR(INDEX(Income!C$3:C$502,SMALL(IF((Income!D$3:D$502="INR")*(Income!A$3:A$502=DATE(2026,7,31)),ROW(Income!A$3:A$502)-2),5)),0))</f>
        <v/>
      </c>
      <c r="L158" s="38" t="str">
        <f aca="false">IF(IFERROR(INDEX(Expenses!B$3:B$1002,SMALL(IF((Expenses!E$3:E$1002="INR")*(Expenses!A$3:A$1002=DATE(2026,7,31)),ROW(Expenses!A$3:A$1002)-2),5)),"")&lt;&gt;"",IFERROR(INDEX(Expenses!B$3:B$1002,SMALL(IF((Expenses!E$3:E$1002="INR")*(Expenses!A$3:A$1002=DATE(2026,7,31)),ROW(Expenses!A$3:A$1002)-2),5)),""),IF(IFERROR(INDEX(Income!B$3:B$502,SMALL(IF((Income!D$3:D$502="INR")*(Income!A$3:A$502=DATE(2026,7,31)),ROW(Income!A$3:A$502)-2),5)),"")&lt;&gt;"",IFERROR(INDEX(Income!B$3:B$502,SMALL(IF((Income!D$3:D$502="INR")*(Income!A$3:A$502=DATE(2026,7,31)),ROW(Income!A$3:A$502)-2),5)),""),""))</f>
        <v/>
      </c>
      <c r="M158" s="63" t="str">
        <f aca="false">IF(IFERROR(-INDEX(Expenses!D$3:D$1002,SMALL(IF((Expenses!E$3:E$1002="INR")*(Expenses!A$3:A$1002=DATE(2026,8,1)),ROW(Expenses!A$3:A$1002)-2),5)),0)+IFERROR(INDEX(Income!C$3:C$502,SMALL(IF((Income!D$3:D$502="INR")*(Income!A$3:A$502=DATE(2026,8,1)),ROW(Income!A$3:A$502)-2),5)),0)=0,"",IFERROR(-INDEX(Expenses!D$3:D$1002,SMALL(IF((Expenses!E$3:E$1002="INR")*(Expenses!A$3:A$1002=DATE(2026,8,1)),ROW(Expenses!A$3:A$1002)-2),5)),0)+IFERROR(INDEX(Income!C$3:C$502,SMALL(IF((Income!D$3:D$502="INR")*(Income!A$3:A$502=DATE(2026,8,1)),ROW(Income!A$3:A$502)-2),5)),0))</f>
        <v/>
      </c>
      <c r="N158" s="38" t="str">
        <f aca="false">IF(IFERROR(INDEX(Expenses!B$3:B$1002,SMALL(IF((Expenses!E$3:E$1002="INR")*(Expenses!A$3:A$1002=DATE(2026,8,1)),ROW(Expenses!A$3:A$1002)-2),5)),"")&lt;&gt;"",IFERROR(INDEX(Expenses!B$3:B$1002,SMALL(IF((Expenses!E$3:E$1002="INR")*(Expenses!A$3:A$1002=DATE(2026,8,1)),ROW(Expenses!A$3:A$1002)-2),5)),""),IF(IFERROR(INDEX(Income!B$3:B$502,SMALL(IF((Income!D$3:D$502="INR")*(Income!A$3:A$502=DATE(2026,8,1)),ROW(Income!A$3:A$502)-2),5)),"")&lt;&gt;"",IFERROR(INDEX(Income!B$3:B$502,SMALL(IF((Income!D$3:D$502="INR")*(Income!A$3:A$502=DATE(2026,8,1)),ROW(Income!A$3:A$502)-2),5)),""),""))</f>
        <v/>
      </c>
      <c r="O158" s="63" t="str">
        <f aca="false">IF(IFERROR(-INDEX(Expenses!D$3:D$1002,SMALL(IF((Expenses!E$3:E$1002="INR")*(Expenses!A$3:A$1002=DATE(2026,8,2)),ROW(Expenses!A$3:A$1002)-2),5)),0)+IFERROR(INDEX(Income!C$3:C$502,SMALL(IF((Income!D$3:D$502="INR")*(Income!A$3:A$502=DATE(2026,8,2)),ROW(Income!A$3:A$502)-2),5)),0)=0,"",IFERROR(-INDEX(Expenses!D$3:D$1002,SMALL(IF((Expenses!E$3:E$1002="INR")*(Expenses!A$3:A$1002=DATE(2026,8,2)),ROW(Expenses!A$3:A$1002)-2),5)),0)+IFERROR(INDEX(Income!C$3:C$502,SMALL(IF((Income!D$3:D$502="INR")*(Income!A$3:A$502=DATE(2026,8,2)),ROW(Income!A$3:A$502)-2),5)),0))</f>
        <v/>
      </c>
      <c r="P158" s="38" t="str">
        <f aca="false">IF(IFERROR(INDEX(Expenses!B$3:B$1002,SMALL(IF((Expenses!E$3:E$1002="INR")*(Expenses!A$3:A$1002=DATE(2026,8,2)),ROW(Expenses!A$3:A$1002)-2),5)),"")&lt;&gt;"",IFERROR(INDEX(Expenses!B$3:B$1002,SMALL(IF((Expenses!E$3:E$1002="INR")*(Expenses!A$3:A$1002=DATE(2026,8,2)),ROW(Expenses!A$3:A$1002)-2),5)),""),IF(IFERROR(INDEX(Income!B$3:B$502,SMALL(IF((Income!D$3:D$502="INR")*(Income!A$3:A$502=DATE(2026,8,2)),ROW(Income!A$3:A$502)-2),5)),"")&lt;&gt;"",IFERROR(INDEX(Income!B$3:B$502,SMALL(IF((Income!D$3:D$502="INR")*(Income!A$3:A$502=DATE(2026,8,2)),ROW(Income!A$3:A$502)-2),5)),""),""))</f>
        <v/>
      </c>
      <c r="Q158" s="16"/>
      <c r="R158" s="16"/>
    </row>
    <row r="159" customFormat="false" ht="15" hidden="false" customHeight="false" outlineLevel="0" collapsed="false">
      <c r="A159" s="61" t="n">
        <v>46237</v>
      </c>
      <c r="B159" s="3" t="n">
        <v>32</v>
      </c>
      <c r="C159" s="63" t="str">
        <f aca="false">IF(IFERROR(-INDEX(Expenses!D$3:D$1002,SMALL(IF((Expenses!E$3:E$1002="INR")*(Expenses!A$3:A$1002=DATE(2026,8,3)),ROW(Expenses!A$3:A$1002)-2),1)),0)+IFERROR(INDEX(Income!C$3:C$502,SMALL(IF((Income!D$3:D$502="INR")*(Income!A$3:A$502=DATE(2026,8,3)),ROW(Income!A$3:A$502)-2),1)),0)=0,"",IFERROR(-INDEX(Expenses!D$3:D$1002,SMALL(IF((Expenses!E$3:E$1002="INR")*(Expenses!A$3:A$1002=DATE(2026,8,3)),ROW(Expenses!A$3:A$1002)-2),1)),0)+IFERROR(INDEX(Income!C$3:C$502,SMALL(IF((Income!D$3:D$502="INR")*(Income!A$3:A$502=DATE(2026,8,3)),ROW(Income!A$3:A$502)-2),1)),0))</f>
        <v/>
      </c>
      <c r="D159" s="38" t="str">
        <f aca="false">IF(IFERROR(INDEX(Expenses!B$3:B$1002,SMALL(IF((Expenses!E$3:E$1002="INR")*(Expenses!A$3:A$1002=DATE(2026,8,3)),ROW(Expenses!A$3:A$1002)-2),1)),"")&lt;&gt;"",IFERROR(INDEX(Expenses!B$3:B$1002,SMALL(IF((Expenses!E$3:E$1002="INR")*(Expenses!A$3:A$1002=DATE(2026,8,3)),ROW(Expenses!A$3:A$1002)-2),1)),""),IF(IFERROR(INDEX(Income!B$3:B$502,SMALL(IF((Income!D$3:D$502="INR")*(Income!A$3:A$502=DATE(2026,8,3)),ROW(Income!A$3:A$502)-2),1)),"")&lt;&gt;"",IFERROR(INDEX(Income!B$3:B$502,SMALL(IF((Income!D$3:D$502="INR")*(Income!A$3:A$502=DATE(2026,8,3)),ROW(Income!A$3:A$502)-2),1)),""),""))</f>
        <v/>
      </c>
      <c r="E159" s="63" t="str">
        <f aca="false">IF(IFERROR(-INDEX(Expenses!D$3:D$1002,SMALL(IF((Expenses!E$3:E$1002="INR")*(Expenses!A$3:A$1002=DATE(2026,8,4)),ROW(Expenses!A$3:A$1002)-2),1)),0)+IFERROR(INDEX(Income!C$3:C$502,SMALL(IF((Income!D$3:D$502="INR")*(Income!A$3:A$502=DATE(2026,8,4)),ROW(Income!A$3:A$502)-2),1)),0)=0,"",IFERROR(-INDEX(Expenses!D$3:D$1002,SMALL(IF((Expenses!E$3:E$1002="INR")*(Expenses!A$3:A$1002=DATE(2026,8,4)),ROW(Expenses!A$3:A$1002)-2),1)),0)+IFERROR(INDEX(Income!C$3:C$502,SMALL(IF((Income!D$3:D$502="INR")*(Income!A$3:A$502=DATE(2026,8,4)),ROW(Income!A$3:A$502)-2),1)),0))</f>
        <v/>
      </c>
      <c r="F159" s="38" t="str">
        <f aca="false">IF(IFERROR(INDEX(Expenses!B$3:B$1002,SMALL(IF((Expenses!E$3:E$1002="INR")*(Expenses!A$3:A$1002=DATE(2026,8,4)),ROW(Expenses!A$3:A$1002)-2),1)),"")&lt;&gt;"",IFERROR(INDEX(Expenses!B$3:B$1002,SMALL(IF((Expenses!E$3:E$1002="INR")*(Expenses!A$3:A$1002=DATE(2026,8,4)),ROW(Expenses!A$3:A$1002)-2),1)),""),IF(IFERROR(INDEX(Income!B$3:B$502,SMALL(IF((Income!D$3:D$502="INR")*(Income!A$3:A$502=DATE(2026,8,4)),ROW(Income!A$3:A$502)-2),1)),"")&lt;&gt;"",IFERROR(INDEX(Income!B$3:B$502,SMALL(IF((Income!D$3:D$502="INR")*(Income!A$3:A$502=DATE(2026,8,4)),ROW(Income!A$3:A$502)-2),1)),""),""))</f>
        <v/>
      </c>
      <c r="G159" s="63" t="str">
        <f aca="false">IF(IFERROR(-INDEX(Expenses!D$3:D$1002,SMALL(IF((Expenses!E$3:E$1002="INR")*(Expenses!A$3:A$1002=DATE(2026,8,5)),ROW(Expenses!A$3:A$1002)-2),1)),0)+IFERROR(INDEX(Income!C$3:C$502,SMALL(IF((Income!D$3:D$502="INR")*(Income!A$3:A$502=DATE(2026,8,5)),ROW(Income!A$3:A$502)-2),1)),0)=0,"",IFERROR(-INDEX(Expenses!D$3:D$1002,SMALL(IF((Expenses!E$3:E$1002="INR")*(Expenses!A$3:A$1002=DATE(2026,8,5)),ROW(Expenses!A$3:A$1002)-2),1)),0)+IFERROR(INDEX(Income!C$3:C$502,SMALL(IF((Income!D$3:D$502="INR")*(Income!A$3:A$502=DATE(2026,8,5)),ROW(Income!A$3:A$502)-2),1)),0))</f>
        <v/>
      </c>
      <c r="H159" s="38" t="str">
        <f aca="false">IF(IFERROR(INDEX(Expenses!B$3:B$1002,SMALL(IF((Expenses!E$3:E$1002="INR")*(Expenses!A$3:A$1002=DATE(2026,8,5)),ROW(Expenses!A$3:A$1002)-2),1)),"")&lt;&gt;"",IFERROR(INDEX(Expenses!B$3:B$1002,SMALL(IF((Expenses!E$3:E$1002="INR")*(Expenses!A$3:A$1002=DATE(2026,8,5)),ROW(Expenses!A$3:A$1002)-2),1)),""),IF(IFERROR(INDEX(Income!B$3:B$502,SMALL(IF((Income!D$3:D$502="INR")*(Income!A$3:A$502=DATE(2026,8,5)),ROW(Income!A$3:A$502)-2),1)),"")&lt;&gt;"",IFERROR(INDEX(Income!B$3:B$502,SMALL(IF((Income!D$3:D$502="INR")*(Income!A$3:A$502=DATE(2026,8,5)),ROW(Income!A$3:A$502)-2),1)),""),""))</f>
        <v/>
      </c>
      <c r="I159" s="63" t="str">
        <f aca="false">IF(IFERROR(-INDEX(Expenses!D$3:D$1002,SMALL(IF((Expenses!E$3:E$1002="INR")*(Expenses!A$3:A$1002=DATE(2026,8,6)),ROW(Expenses!A$3:A$1002)-2),1)),0)+IFERROR(INDEX(Income!C$3:C$502,SMALL(IF((Income!D$3:D$502="INR")*(Income!A$3:A$502=DATE(2026,8,6)),ROW(Income!A$3:A$502)-2),1)),0)=0,"",IFERROR(-INDEX(Expenses!D$3:D$1002,SMALL(IF((Expenses!E$3:E$1002="INR")*(Expenses!A$3:A$1002=DATE(2026,8,6)),ROW(Expenses!A$3:A$1002)-2),1)),0)+IFERROR(INDEX(Income!C$3:C$502,SMALL(IF((Income!D$3:D$502="INR")*(Income!A$3:A$502=DATE(2026,8,6)),ROW(Income!A$3:A$502)-2),1)),0))</f>
        <v/>
      </c>
      <c r="J159" s="38" t="str">
        <f aca="false">IF(IFERROR(INDEX(Expenses!B$3:B$1002,SMALL(IF((Expenses!E$3:E$1002="INR")*(Expenses!A$3:A$1002=DATE(2026,8,6)),ROW(Expenses!A$3:A$1002)-2),1)),"")&lt;&gt;"",IFERROR(INDEX(Expenses!B$3:B$1002,SMALL(IF((Expenses!E$3:E$1002="INR")*(Expenses!A$3:A$1002=DATE(2026,8,6)),ROW(Expenses!A$3:A$1002)-2),1)),""),IF(IFERROR(INDEX(Income!B$3:B$502,SMALL(IF((Income!D$3:D$502="INR")*(Income!A$3:A$502=DATE(2026,8,6)),ROW(Income!A$3:A$502)-2),1)),"")&lt;&gt;"",IFERROR(INDEX(Income!B$3:B$502,SMALL(IF((Income!D$3:D$502="INR")*(Income!A$3:A$502=DATE(2026,8,6)),ROW(Income!A$3:A$502)-2),1)),""),""))</f>
        <v/>
      </c>
      <c r="K159" s="63" t="str">
        <f aca="false">IF(IFERROR(-INDEX(Expenses!D$3:D$1002,SMALL(IF((Expenses!E$3:E$1002="INR")*(Expenses!A$3:A$1002=DATE(2026,8,7)),ROW(Expenses!A$3:A$1002)-2),1)),0)+IFERROR(INDEX(Income!C$3:C$502,SMALL(IF((Income!D$3:D$502="INR")*(Income!A$3:A$502=DATE(2026,8,7)),ROW(Income!A$3:A$502)-2),1)),0)=0,"",IFERROR(-INDEX(Expenses!D$3:D$1002,SMALL(IF((Expenses!E$3:E$1002="INR")*(Expenses!A$3:A$1002=DATE(2026,8,7)),ROW(Expenses!A$3:A$1002)-2),1)),0)+IFERROR(INDEX(Income!C$3:C$502,SMALL(IF((Income!D$3:D$502="INR")*(Income!A$3:A$502=DATE(2026,8,7)),ROW(Income!A$3:A$502)-2),1)),0))</f>
        <v/>
      </c>
      <c r="L159" s="38" t="str">
        <f aca="false">IF(IFERROR(INDEX(Expenses!B$3:B$1002,SMALL(IF((Expenses!E$3:E$1002="INR")*(Expenses!A$3:A$1002=DATE(2026,8,7)),ROW(Expenses!A$3:A$1002)-2),1)),"")&lt;&gt;"",IFERROR(INDEX(Expenses!B$3:B$1002,SMALL(IF((Expenses!E$3:E$1002="INR")*(Expenses!A$3:A$1002=DATE(2026,8,7)),ROW(Expenses!A$3:A$1002)-2),1)),""),IF(IFERROR(INDEX(Income!B$3:B$502,SMALL(IF((Income!D$3:D$502="INR")*(Income!A$3:A$502=DATE(2026,8,7)),ROW(Income!A$3:A$502)-2),1)),"")&lt;&gt;"",IFERROR(INDEX(Income!B$3:B$502,SMALL(IF((Income!D$3:D$502="INR")*(Income!A$3:A$502=DATE(2026,8,7)),ROW(Income!A$3:A$502)-2),1)),""),""))</f>
        <v/>
      </c>
      <c r="M159" s="63" t="str">
        <f aca="false">IF(IFERROR(-INDEX(Expenses!D$3:D$1002,SMALL(IF((Expenses!E$3:E$1002="INR")*(Expenses!A$3:A$1002=DATE(2026,8,8)),ROW(Expenses!A$3:A$1002)-2),1)),0)+IFERROR(INDEX(Income!C$3:C$502,SMALL(IF((Income!D$3:D$502="INR")*(Income!A$3:A$502=DATE(2026,8,8)),ROW(Income!A$3:A$502)-2),1)),0)=0,"",IFERROR(-INDEX(Expenses!D$3:D$1002,SMALL(IF((Expenses!E$3:E$1002="INR")*(Expenses!A$3:A$1002=DATE(2026,8,8)),ROW(Expenses!A$3:A$1002)-2),1)),0)+IFERROR(INDEX(Income!C$3:C$502,SMALL(IF((Income!D$3:D$502="INR")*(Income!A$3:A$502=DATE(2026,8,8)),ROW(Income!A$3:A$502)-2),1)),0))</f>
        <v/>
      </c>
      <c r="N159" s="38" t="str">
        <f aca="false">IF(IFERROR(INDEX(Expenses!B$3:B$1002,SMALL(IF((Expenses!E$3:E$1002="INR")*(Expenses!A$3:A$1002=DATE(2026,8,8)),ROW(Expenses!A$3:A$1002)-2),1)),"")&lt;&gt;"",IFERROR(INDEX(Expenses!B$3:B$1002,SMALL(IF((Expenses!E$3:E$1002="INR")*(Expenses!A$3:A$1002=DATE(2026,8,8)),ROW(Expenses!A$3:A$1002)-2),1)),""),IF(IFERROR(INDEX(Income!B$3:B$502,SMALL(IF((Income!D$3:D$502="INR")*(Income!A$3:A$502=DATE(2026,8,8)),ROW(Income!A$3:A$502)-2),1)),"")&lt;&gt;"",IFERROR(INDEX(Income!B$3:B$502,SMALL(IF((Income!D$3:D$502="INR")*(Income!A$3:A$502=DATE(2026,8,8)),ROW(Income!A$3:A$502)-2),1)),""),""))</f>
        <v/>
      </c>
      <c r="O159" s="63" t="str">
        <f aca="false">IF(IFERROR(-INDEX(Expenses!D$3:D$1002,SMALL(IF((Expenses!E$3:E$1002="INR")*(Expenses!A$3:A$1002=DATE(2026,8,9)),ROW(Expenses!A$3:A$1002)-2),1)),0)+IFERROR(INDEX(Income!C$3:C$502,SMALL(IF((Income!D$3:D$502="INR")*(Income!A$3:A$502=DATE(2026,8,9)),ROW(Income!A$3:A$502)-2),1)),0)=0,"",IFERROR(-INDEX(Expenses!D$3:D$1002,SMALL(IF((Expenses!E$3:E$1002="INR")*(Expenses!A$3:A$1002=DATE(2026,8,9)),ROW(Expenses!A$3:A$1002)-2),1)),0)+IFERROR(INDEX(Income!C$3:C$502,SMALL(IF((Income!D$3:D$502="INR")*(Income!A$3:A$502=DATE(2026,8,9)),ROW(Income!A$3:A$502)-2),1)),0))</f>
        <v/>
      </c>
      <c r="P159" s="38" t="str">
        <f aca="false">IF(IFERROR(INDEX(Expenses!B$3:B$1002,SMALL(IF((Expenses!E$3:E$1002="INR")*(Expenses!A$3:A$1002=DATE(2026,8,9)),ROW(Expenses!A$3:A$1002)-2),1)),"")&lt;&gt;"",IFERROR(INDEX(Expenses!B$3:B$1002,SMALL(IF((Expenses!E$3:E$1002="INR")*(Expenses!A$3:A$1002=DATE(2026,8,9)),ROW(Expenses!A$3:A$1002)-2),1)),""),IF(IFERROR(INDEX(Income!B$3:B$502,SMALL(IF((Income!D$3:D$502="INR")*(Income!A$3:A$502=DATE(2026,8,9)),ROW(Income!A$3:A$502)-2),1)),"")&lt;&gt;"",IFERROR(INDEX(Income!B$3:B$502,SMALL(IF((Income!D$3:D$502="INR")*(Income!A$3:A$502=DATE(2026,8,9)),ROW(Income!A$3:A$502)-2),1)),""),""))</f>
        <v/>
      </c>
      <c r="Q159" s="3" t="n">
        <v>32</v>
      </c>
      <c r="R159" s="53" t="n">
        <f aca="false">SUM(C159:C163)+SUM(E159:E163)+SUM(G159:G163)+SUM(I159:I163)+SUM(K159:K163)+SUM(M159:M163)+SUM(O159:O163)</f>
        <v>0</v>
      </c>
    </row>
    <row r="160" customFormat="false" ht="15" hidden="false" customHeight="false" outlineLevel="0" collapsed="false">
      <c r="A160" s="16"/>
      <c r="B160" s="16"/>
      <c r="C160" s="63" t="str">
        <f aca="false">IF(IFERROR(-INDEX(Expenses!D$3:D$1002,SMALL(IF((Expenses!E$3:E$1002="INR")*(Expenses!A$3:A$1002=DATE(2026,8,3)),ROW(Expenses!A$3:A$1002)-2),2)),0)+IFERROR(INDEX(Income!C$3:C$502,SMALL(IF((Income!D$3:D$502="INR")*(Income!A$3:A$502=DATE(2026,8,3)),ROW(Income!A$3:A$502)-2),2)),0)=0,"",IFERROR(-INDEX(Expenses!D$3:D$1002,SMALL(IF((Expenses!E$3:E$1002="INR")*(Expenses!A$3:A$1002=DATE(2026,8,3)),ROW(Expenses!A$3:A$1002)-2),2)),0)+IFERROR(INDEX(Income!C$3:C$502,SMALL(IF((Income!D$3:D$502="INR")*(Income!A$3:A$502=DATE(2026,8,3)),ROW(Income!A$3:A$502)-2),2)),0))</f>
        <v/>
      </c>
      <c r="D160" s="38" t="str">
        <f aca="false">IF(IFERROR(INDEX(Expenses!B$3:B$1002,SMALL(IF((Expenses!E$3:E$1002="INR")*(Expenses!A$3:A$1002=DATE(2026,8,3)),ROW(Expenses!A$3:A$1002)-2),2)),"")&lt;&gt;"",IFERROR(INDEX(Expenses!B$3:B$1002,SMALL(IF((Expenses!E$3:E$1002="INR")*(Expenses!A$3:A$1002=DATE(2026,8,3)),ROW(Expenses!A$3:A$1002)-2),2)),""),IF(IFERROR(INDEX(Income!B$3:B$502,SMALL(IF((Income!D$3:D$502="INR")*(Income!A$3:A$502=DATE(2026,8,3)),ROW(Income!A$3:A$502)-2),2)),"")&lt;&gt;"",IFERROR(INDEX(Income!B$3:B$502,SMALL(IF((Income!D$3:D$502="INR")*(Income!A$3:A$502=DATE(2026,8,3)),ROW(Income!A$3:A$502)-2),2)),""),""))</f>
        <v/>
      </c>
      <c r="E160" s="63" t="str">
        <f aca="false">IF(IFERROR(-INDEX(Expenses!D$3:D$1002,SMALL(IF((Expenses!E$3:E$1002="INR")*(Expenses!A$3:A$1002=DATE(2026,8,4)),ROW(Expenses!A$3:A$1002)-2),2)),0)+IFERROR(INDEX(Income!C$3:C$502,SMALL(IF((Income!D$3:D$502="INR")*(Income!A$3:A$502=DATE(2026,8,4)),ROW(Income!A$3:A$502)-2),2)),0)=0,"",IFERROR(-INDEX(Expenses!D$3:D$1002,SMALL(IF((Expenses!E$3:E$1002="INR")*(Expenses!A$3:A$1002=DATE(2026,8,4)),ROW(Expenses!A$3:A$1002)-2),2)),0)+IFERROR(INDEX(Income!C$3:C$502,SMALL(IF((Income!D$3:D$502="INR")*(Income!A$3:A$502=DATE(2026,8,4)),ROW(Income!A$3:A$502)-2),2)),0))</f>
        <v/>
      </c>
      <c r="F160" s="38" t="str">
        <f aca="false">IF(IFERROR(INDEX(Expenses!B$3:B$1002,SMALL(IF((Expenses!E$3:E$1002="INR")*(Expenses!A$3:A$1002=DATE(2026,8,4)),ROW(Expenses!A$3:A$1002)-2),2)),"")&lt;&gt;"",IFERROR(INDEX(Expenses!B$3:B$1002,SMALL(IF((Expenses!E$3:E$1002="INR")*(Expenses!A$3:A$1002=DATE(2026,8,4)),ROW(Expenses!A$3:A$1002)-2),2)),""),IF(IFERROR(INDEX(Income!B$3:B$502,SMALL(IF((Income!D$3:D$502="INR")*(Income!A$3:A$502=DATE(2026,8,4)),ROW(Income!A$3:A$502)-2),2)),"")&lt;&gt;"",IFERROR(INDEX(Income!B$3:B$502,SMALL(IF((Income!D$3:D$502="INR")*(Income!A$3:A$502=DATE(2026,8,4)),ROW(Income!A$3:A$502)-2),2)),""),""))</f>
        <v/>
      </c>
      <c r="G160" s="63" t="str">
        <f aca="false">IF(IFERROR(-INDEX(Expenses!D$3:D$1002,SMALL(IF((Expenses!E$3:E$1002="INR")*(Expenses!A$3:A$1002=DATE(2026,8,5)),ROW(Expenses!A$3:A$1002)-2),2)),0)+IFERROR(INDEX(Income!C$3:C$502,SMALL(IF((Income!D$3:D$502="INR")*(Income!A$3:A$502=DATE(2026,8,5)),ROW(Income!A$3:A$502)-2),2)),0)=0,"",IFERROR(-INDEX(Expenses!D$3:D$1002,SMALL(IF((Expenses!E$3:E$1002="INR")*(Expenses!A$3:A$1002=DATE(2026,8,5)),ROW(Expenses!A$3:A$1002)-2),2)),0)+IFERROR(INDEX(Income!C$3:C$502,SMALL(IF((Income!D$3:D$502="INR")*(Income!A$3:A$502=DATE(2026,8,5)),ROW(Income!A$3:A$502)-2),2)),0))</f>
        <v/>
      </c>
      <c r="H160" s="38" t="str">
        <f aca="false">IF(IFERROR(INDEX(Expenses!B$3:B$1002,SMALL(IF((Expenses!E$3:E$1002="INR")*(Expenses!A$3:A$1002=DATE(2026,8,5)),ROW(Expenses!A$3:A$1002)-2),2)),"")&lt;&gt;"",IFERROR(INDEX(Expenses!B$3:B$1002,SMALL(IF((Expenses!E$3:E$1002="INR")*(Expenses!A$3:A$1002=DATE(2026,8,5)),ROW(Expenses!A$3:A$1002)-2),2)),""),IF(IFERROR(INDEX(Income!B$3:B$502,SMALL(IF((Income!D$3:D$502="INR")*(Income!A$3:A$502=DATE(2026,8,5)),ROW(Income!A$3:A$502)-2),2)),"")&lt;&gt;"",IFERROR(INDEX(Income!B$3:B$502,SMALL(IF((Income!D$3:D$502="INR")*(Income!A$3:A$502=DATE(2026,8,5)),ROW(Income!A$3:A$502)-2),2)),""),""))</f>
        <v/>
      </c>
      <c r="I160" s="63" t="str">
        <f aca="false">IF(IFERROR(-INDEX(Expenses!D$3:D$1002,SMALL(IF((Expenses!E$3:E$1002="INR")*(Expenses!A$3:A$1002=DATE(2026,8,6)),ROW(Expenses!A$3:A$1002)-2),2)),0)+IFERROR(INDEX(Income!C$3:C$502,SMALL(IF((Income!D$3:D$502="INR")*(Income!A$3:A$502=DATE(2026,8,6)),ROW(Income!A$3:A$502)-2),2)),0)=0,"",IFERROR(-INDEX(Expenses!D$3:D$1002,SMALL(IF((Expenses!E$3:E$1002="INR")*(Expenses!A$3:A$1002=DATE(2026,8,6)),ROW(Expenses!A$3:A$1002)-2),2)),0)+IFERROR(INDEX(Income!C$3:C$502,SMALL(IF((Income!D$3:D$502="INR")*(Income!A$3:A$502=DATE(2026,8,6)),ROW(Income!A$3:A$502)-2),2)),0))</f>
        <v/>
      </c>
      <c r="J160" s="38" t="str">
        <f aca="false">IF(IFERROR(INDEX(Expenses!B$3:B$1002,SMALL(IF((Expenses!E$3:E$1002="INR")*(Expenses!A$3:A$1002=DATE(2026,8,6)),ROW(Expenses!A$3:A$1002)-2),2)),"")&lt;&gt;"",IFERROR(INDEX(Expenses!B$3:B$1002,SMALL(IF((Expenses!E$3:E$1002="INR")*(Expenses!A$3:A$1002=DATE(2026,8,6)),ROW(Expenses!A$3:A$1002)-2),2)),""),IF(IFERROR(INDEX(Income!B$3:B$502,SMALL(IF((Income!D$3:D$502="INR")*(Income!A$3:A$502=DATE(2026,8,6)),ROW(Income!A$3:A$502)-2),2)),"")&lt;&gt;"",IFERROR(INDEX(Income!B$3:B$502,SMALL(IF((Income!D$3:D$502="INR")*(Income!A$3:A$502=DATE(2026,8,6)),ROW(Income!A$3:A$502)-2),2)),""),""))</f>
        <v/>
      </c>
      <c r="K160" s="63" t="str">
        <f aca="false">IF(IFERROR(-INDEX(Expenses!D$3:D$1002,SMALL(IF((Expenses!E$3:E$1002="INR")*(Expenses!A$3:A$1002=DATE(2026,8,7)),ROW(Expenses!A$3:A$1002)-2),2)),0)+IFERROR(INDEX(Income!C$3:C$502,SMALL(IF((Income!D$3:D$502="INR")*(Income!A$3:A$502=DATE(2026,8,7)),ROW(Income!A$3:A$502)-2),2)),0)=0,"",IFERROR(-INDEX(Expenses!D$3:D$1002,SMALL(IF((Expenses!E$3:E$1002="INR")*(Expenses!A$3:A$1002=DATE(2026,8,7)),ROW(Expenses!A$3:A$1002)-2),2)),0)+IFERROR(INDEX(Income!C$3:C$502,SMALL(IF((Income!D$3:D$502="INR")*(Income!A$3:A$502=DATE(2026,8,7)),ROW(Income!A$3:A$502)-2),2)),0))</f>
        <v/>
      </c>
      <c r="L160" s="38" t="str">
        <f aca="false">IF(IFERROR(INDEX(Expenses!B$3:B$1002,SMALL(IF((Expenses!E$3:E$1002="INR")*(Expenses!A$3:A$1002=DATE(2026,8,7)),ROW(Expenses!A$3:A$1002)-2),2)),"")&lt;&gt;"",IFERROR(INDEX(Expenses!B$3:B$1002,SMALL(IF((Expenses!E$3:E$1002="INR")*(Expenses!A$3:A$1002=DATE(2026,8,7)),ROW(Expenses!A$3:A$1002)-2),2)),""),IF(IFERROR(INDEX(Income!B$3:B$502,SMALL(IF((Income!D$3:D$502="INR")*(Income!A$3:A$502=DATE(2026,8,7)),ROW(Income!A$3:A$502)-2),2)),"")&lt;&gt;"",IFERROR(INDEX(Income!B$3:B$502,SMALL(IF((Income!D$3:D$502="INR")*(Income!A$3:A$502=DATE(2026,8,7)),ROW(Income!A$3:A$502)-2),2)),""),""))</f>
        <v/>
      </c>
      <c r="M160" s="63" t="str">
        <f aca="false">IF(IFERROR(-INDEX(Expenses!D$3:D$1002,SMALL(IF((Expenses!E$3:E$1002="INR")*(Expenses!A$3:A$1002=DATE(2026,8,8)),ROW(Expenses!A$3:A$1002)-2),2)),0)+IFERROR(INDEX(Income!C$3:C$502,SMALL(IF((Income!D$3:D$502="INR")*(Income!A$3:A$502=DATE(2026,8,8)),ROW(Income!A$3:A$502)-2),2)),0)=0,"",IFERROR(-INDEX(Expenses!D$3:D$1002,SMALL(IF((Expenses!E$3:E$1002="INR")*(Expenses!A$3:A$1002=DATE(2026,8,8)),ROW(Expenses!A$3:A$1002)-2),2)),0)+IFERROR(INDEX(Income!C$3:C$502,SMALL(IF((Income!D$3:D$502="INR")*(Income!A$3:A$502=DATE(2026,8,8)),ROW(Income!A$3:A$502)-2),2)),0))</f>
        <v/>
      </c>
      <c r="N160" s="38" t="str">
        <f aca="false">IF(IFERROR(INDEX(Expenses!B$3:B$1002,SMALL(IF((Expenses!E$3:E$1002="INR")*(Expenses!A$3:A$1002=DATE(2026,8,8)),ROW(Expenses!A$3:A$1002)-2),2)),"")&lt;&gt;"",IFERROR(INDEX(Expenses!B$3:B$1002,SMALL(IF((Expenses!E$3:E$1002="INR")*(Expenses!A$3:A$1002=DATE(2026,8,8)),ROW(Expenses!A$3:A$1002)-2),2)),""),IF(IFERROR(INDEX(Income!B$3:B$502,SMALL(IF((Income!D$3:D$502="INR")*(Income!A$3:A$502=DATE(2026,8,8)),ROW(Income!A$3:A$502)-2),2)),"")&lt;&gt;"",IFERROR(INDEX(Income!B$3:B$502,SMALL(IF((Income!D$3:D$502="INR")*(Income!A$3:A$502=DATE(2026,8,8)),ROW(Income!A$3:A$502)-2),2)),""),""))</f>
        <v/>
      </c>
      <c r="O160" s="63" t="str">
        <f aca="false">IF(IFERROR(-INDEX(Expenses!D$3:D$1002,SMALL(IF((Expenses!E$3:E$1002="INR")*(Expenses!A$3:A$1002=DATE(2026,8,9)),ROW(Expenses!A$3:A$1002)-2),2)),0)+IFERROR(INDEX(Income!C$3:C$502,SMALL(IF((Income!D$3:D$502="INR")*(Income!A$3:A$502=DATE(2026,8,9)),ROW(Income!A$3:A$502)-2),2)),0)=0,"",IFERROR(-INDEX(Expenses!D$3:D$1002,SMALL(IF((Expenses!E$3:E$1002="INR")*(Expenses!A$3:A$1002=DATE(2026,8,9)),ROW(Expenses!A$3:A$1002)-2),2)),0)+IFERROR(INDEX(Income!C$3:C$502,SMALL(IF((Income!D$3:D$502="INR")*(Income!A$3:A$502=DATE(2026,8,9)),ROW(Income!A$3:A$502)-2),2)),0))</f>
        <v/>
      </c>
      <c r="P160" s="38" t="str">
        <f aca="false">IF(IFERROR(INDEX(Expenses!B$3:B$1002,SMALL(IF((Expenses!E$3:E$1002="INR")*(Expenses!A$3:A$1002=DATE(2026,8,9)),ROW(Expenses!A$3:A$1002)-2),2)),"")&lt;&gt;"",IFERROR(INDEX(Expenses!B$3:B$1002,SMALL(IF((Expenses!E$3:E$1002="INR")*(Expenses!A$3:A$1002=DATE(2026,8,9)),ROW(Expenses!A$3:A$1002)-2),2)),""),IF(IFERROR(INDEX(Income!B$3:B$502,SMALL(IF((Income!D$3:D$502="INR")*(Income!A$3:A$502=DATE(2026,8,9)),ROW(Income!A$3:A$502)-2),2)),"")&lt;&gt;"",IFERROR(INDEX(Income!B$3:B$502,SMALL(IF((Income!D$3:D$502="INR")*(Income!A$3:A$502=DATE(2026,8,9)),ROW(Income!A$3:A$502)-2),2)),""),""))</f>
        <v/>
      </c>
      <c r="Q160" s="16"/>
      <c r="R160" s="16"/>
    </row>
    <row r="161" customFormat="false" ht="15" hidden="false" customHeight="false" outlineLevel="0" collapsed="false">
      <c r="A161" s="16"/>
      <c r="B161" s="16"/>
      <c r="C161" s="63" t="str">
        <f aca="false">IF(IFERROR(-INDEX(Expenses!D$3:D$1002,SMALL(IF((Expenses!E$3:E$1002="INR")*(Expenses!A$3:A$1002=DATE(2026,8,3)),ROW(Expenses!A$3:A$1002)-2),3)),0)+IFERROR(INDEX(Income!C$3:C$502,SMALL(IF((Income!D$3:D$502="INR")*(Income!A$3:A$502=DATE(2026,8,3)),ROW(Income!A$3:A$502)-2),3)),0)=0,"",IFERROR(-INDEX(Expenses!D$3:D$1002,SMALL(IF((Expenses!E$3:E$1002="INR")*(Expenses!A$3:A$1002=DATE(2026,8,3)),ROW(Expenses!A$3:A$1002)-2),3)),0)+IFERROR(INDEX(Income!C$3:C$502,SMALL(IF((Income!D$3:D$502="INR")*(Income!A$3:A$502=DATE(2026,8,3)),ROW(Income!A$3:A$502)-2),3)),0))</f>
        <v/>
      </c>
      <c r="D161" s="38" t="str">
        <f aca="false">IF(IFERROR(INDEX(Expenses!B$3:B$1002,SMALL(IF((Expenses!E$3:E$1002="INR")*(Expenses!A$3:A$1002=DATE(2026,8,3)),ROW(Expenses!A$3:A$1002)-2),3)),"")&lt;&gt;"",IFERROR(INDEX(Expenses!B$3:B$1002,SMALL(IF((Expenses!E$3:E$1002="INR")*(Expenses!A$3:A$1002=DATE(2026,8,3)),ROW(Expenses!A$3:A$1002)-2),3)),""),IF(IFERROR(INDEX(Income!B$3:B$502,SMALL(IF((Income!D$3:D$502="INR")*(Income!A$3:A$502=DATE(2026,8,3)),ROW(Income!A$3:A$502)-2),3)),"")&lt;&gt;"",IFERROR(INDEX(Income!B$3:B$502,SMALL(IF((Income!D$3:D$502="INR")*(Income!A$3:A$502=DATE(2026,8,3)),ROW(Income!A$3:A$502)-2),3)),""),""))</f>
        <v/>
      </c>
      <c r="E161" s="63" t="str">
        <f aca="false">IF(IFERROR(-INDEX(Expenses!D$3:D$1002,SMALL(IF((Expenses!E$3:E$1002="INR")*(Expenses!A$3:A$1002=DATE(2026,8,4)),ROW(Expenses!A$3:A$1002)-2),3)),0)+IFERROR(INDEX(Income!C$3:C$502,SMALL(IF((Income!D$3:D$502="INR")*(Income!A$3:A$502=DATE(2026,8,4)),ROW(Income!A$3:A$502)-2),3)),0)=0,"",IFERROR(-INDEX(Expenses!D$3:D$1002,SMALL(IF((Expenses!E$3:E$1002="INR")*(Expenses!A$3:A$1002=DATE(2026,8,4)),ROW(Expenses!A$3:A$1002)-2),3)),0)+IFERROR(INDEX(Income!C$3:C$502,SMALL(IF((Income!D$3:D$502="INR")*(Income!A$3:A$502=DATE(2026,8,4)),ROW(Income!A$3:A$502)-2),3)),0))</f>
        <v/>
      </c>
      <c r="F161" s="38" t="str">
        <f aca="false">IF(IFERROR(INDEX(Expenses!B$3:B$1002,SMALL(IF((Expenses!E$3:E$1002="INR")*(Expenses!A$3:A$1002=DATE(2026,8,4)),ROW(Expenses!A$3:A$1002)-2),3)),"")&lt;&gt;"",IFERROR(INDEX(Expenses!B$3:B$1002,SMALL(IF((Expenses!E$3:E$1002="INR")*(Expenses!A$3:A$1002=DATE(2026,8,4)),ROW(Expenses!A$3:A$1002)-2),3)),""),IF(IFERROR(INDEX(Income!B$3:B$502,SMALL(IF((Income!D$3:D$502="INR")*(Income!A$3:A$502=DATE(2026,8,4)),ROW(Income!A$3:A$502)-2),3)),"")&lt;&gt;"",IFERROR(INDEX(Income!B$3:B$502,SMALL(IF((Income!D$3:D$502="INR")*(Income!A$3:A$502=DATE(2026,8,4)),ROW(Income!A$3:A$502)-2),3)),""),""))</f>
        <v/>
      </c>
      <c r="G161" s="63" t="str">
        <f aca="false">IF(IFERROR(-INDEX(Expenses!D$3:D$1002,SMALL(IF((Expenses!E$3:E$1002="INR")*(Expenses!A$3:A$1002=DATE(2026,8,5)),ROW(Expenses!A$3:A$1002)-2),3)),0)+IFERROR(INDEX(Income!C$3:C$502,SMALL(IF((Income!D$3:D$502="INR")*(Income!A$3:A$502=DATE(2026,8,5)),ROW(Income!A$3:A$502)-2),3)),0)=0,"",IFERROR(-INDEX(Expenses!D$3:D$1002,SMALL(IF((Expenses!E$3:E$1002="INR")*(Expenses!A$3:A$1002=DATE(2026,8,5)),ROW(Expenses!A$3:A$1002)-2),3)),0)+IFERROR(INDEX(Income!C$3:C$502,SMALL(IF((Income!D$3:D$502="INR")*(Income!A$3:A$502=DATE(2026,8,5)),ROW(Income!A$3:A$502)-2),3)),0))</f>
        <v/>
      </c>
      <c r="H161" s="38" t="str">
        <f aca="false">IF(IFERROR(INDEX(Expenses!B$3:B$1002,SMALL(IF((Expenses!E$3:E$1002="INR")*(Expenses!A$3:A$1002=DATE(2026,8,5)),ROW(Expenses!A$3:A$1002)-2),3)),"")&lt;&gt;"",IFERROR(INDEX(Expenses!B$3:B$1002,SMALL(IF((Expenses!E$3:E$1002="INR")*(Expenses!A$3:A$1002=DATE(2026,8,5)),ROW(Expenses!A$3:A$1002)-2),3)),""),IF(IFERROR(INDEX(Income!B$3:B$502,SMALL(IF((Income!D$3:D$502="INR")*(Income!A$3:A$502=DATE(2026,8,5)),ROW(Income!A$3:A$502)-2),3)),"")&lt;&gt;"",IFERROR(INDEX(Income!B$3:B$502,SMALL(IF((Income!D$3:D$502="INR")*(Income!A$3:A$502=DATE(2026,8,5)),ROW(Income!A$3:A$502)-2),3)),""),""))</f>
        <v/>
      </c>
      <c r="I161" s="63" t="str">
        <f aca="false">IF(IFERROR(-INDEX(Expenses!D$3:D$1002,SMALL(IF((Expenses!E$3:E$1002="INR")*(Expenses!A$3:A$1002=DATE(2026,8,6)),ROW(Expenses!A$3:A$1002)-2),3)),0)+IFERROR(INDEX(Income!C$3:C$502,SMALL(IF((Income!D$3:D$502="INR")*(Income!A$3:A$502=DATE(2026,8,6)),ROW(Income!A$3:A$502)-2),3)),0)=0,"",IFERROR(-INDEX(Expenses!D$3:D$1002,SMALL(IF((Expenses!E$3:E$1002="INR")*(Expenses!A$3:A$1002=DATE(2026,8,6)),ROW(Expenses!A$3:A$1002)-2),3)),0)+IFERROR(INDEX(Income!C$3:C$502,SMALL(IF((Income!D$3:D$502="INR")*(Income!A$3:A$502=DATE(2026,8,6)),ROW(Income!A$3:A$502)-2),3)),0))</f>
        <v/>
      </c>
      <c r="J161" s="38" t="str">
        <f aca="false">IF(IFERROR(INDEX(Expenses!B$3:B$1002,SMALL(IF((Expenses!E$3:E$1002="INR")*(Expenses!A$3:A$1002=DATE(2026,8,6)),ROW(Expenses!A$3:A$1002)-2),3)),"")&lt;&gt;"",IFERROR(INDEX(Expenses!B$3:B$1002,SMALL(IF((Expenses!E$3:E$1002="INR")*(Expenses!A$3:A$1002=DATE(2026,8,6)),ROW(Expenses!A$3:A$1002)-2),3)),""),IF(IFERROR(INDEX(Income!B$3:B$502,SMALL(IF((Income!D$3:D$502="INR")*(Income!A$3:A$502=DATE(2026,8,6)),ROW(Income!A$3:A$502)-2),3)),"")&lt;&gt;"",IFERROR(INDEX(Income!B$3:B$502,SMALL(IF((Income!D$3:D$502="INR")*(Income!A$3:A$502=DATE(2026,8,6)),ROW(Income!A$3:A$502)-2),3)),""),""))</f>
        <v/>
      </c>
      <c r="K161" s="63" t="str">
        <f aca="false">IF(IFERROR(-INDEX(Expenses!D$3:D$1002,SMALL(IF((Expenses!E$3:E$1002="INR")*(Expenses!A$3:A$1002=DATE(2026,8,7)),ROW(Expenses!A$3:A$1002)-2),3)),0)+IFERROR(INDEX(Income!C$3:C$502,SMALL(IF((Income!D$3:D$502="INR")*(Income!A$3:A$502=DATE(2026,8,7)),ROW(Income!A$3:A$502)-2),3)),0)=0,"",IFERROR(-INDEX(Expenses!D$3:D$1002,SMALL(IF((Expenses!E$3:E$1002="INR")*(Expenses!A$3:A$1002=DATE(2026,8,7)),ROW(Expenses!A$3:A$1002)-2),3)),0)+IFERROR(INDEX(Income!C$3:C$502,SMALL(IF((Income!D$3:D$502="INR")*(Income!A$3:A$502=DATE(2026,8,7)),ROW(Income!A$3:A$502)-2),3)),0))</f>
        <v/>
      </c>
      <c r="L161" s="38" t="str">
        <f aca="false">IF(IFERROR(INDEX(Expenses!B$3:B$1002,SMALL(IF((Expenses!E$3:E$1002="INR")*(Expenses!A$3:A$1002=DATE(2026,8,7)),ROW(Expenses!A$3:A$1002)-2),3)),"")&lt;&gt;"",IFERROR(INDEX(Expenses!B$3:B$1002,SMALL(IF((Expenses!E$3:E$1002="INR")*(Expenses!A$3:A$1002=DATE(2026,8,7)),ROW(Expenses!A$3:A$1002)-2),3)),""),IF(IFERROR(INDEX(Income!B$3:B$502,SMALL(IF((Income!D$3:D$502="INR")*(Income!A$3:A$502=DATE(2026,8,7)),ROW(Income!A$3:A$502)-2),3)),"")&lt;&gt;"",IFERROR(INDEX(Income!B$3:B$502,SMALL(IF((Income!D$3:D$502="INR")*(Income!A$3:A$502=DATE(2026,8,7)),ROW(Income!A$3:A$502)-2),3)),""),""))</f>
        <v/>
      </c>
      <c r="M161" s="63" t="str">
        <f aca="false">IF(IFERROR(-INDEX(Expenses!D$3:D$1002,SMALL(IF((Expenses!E$3:E$1002="INR")*(Expenses!A$3:A$1002=DATE(2026,8,8)),ROW(Expenses!A$3:A$1002)-2),3)),0)+IFERROR(INDEX(Income!C$3:C$502,SMALL(IF((Income!D$3:D$502="INR")*(Income!A$3:A$502=DATE(2026,8,8)),ROW(Income!A$3:A$502)-2),3)),0)=0,"",IFERROR(-INDEX(Expenses!D$3:D$1002,SMALL(IF((Expenses!E$3:E$1002="INR")*(Expenses!A$3:A$1002=DATE(2026,8,8)),ROW(Expenses!A$3:A$1002)-2),3)),0)+IFERROR(INDEX(Income!C$3:C$502,SMALL(IF((Income!D$3:D$502="INR")*(Income!A$3:A$502=DATE(2026,8,8)),ROW(Income!A$3:A$502)-2),3)),0))</f>
        <v/>
      </c>
      <c r="N161" s="38" t="str">
        <f aca="false">IF(IFERROR(INDEX(Expenses!B$3:B$1002,SMALL(IF((Expenses!E$3:E$1002="INR")*(Expenses!A$3:A$1002=DATE(2026,8,8)),ROW(Expenses!A$3:A$1002)-2),3)),"")&lt;&gt;"",IFERROR(INDEX(Expenses!B$3:B$1002,SMALL(IF((Expenses!E$3:E$1002="INR")*(Expenses!A$3:A$1002=DATE(2026,8,8)),ROW(Expenses!A$3:A$1002)-2),3)),""),IF(IFERROR(INDEX(Income!B$3:B$502,SMALL(IF((Income!D$3:D$502="INR")*(Income!A$3:A$502=DATE(2026,8,8)),ROW(Income!A$3:A$502)-2),3)),"")&lt;&gt;"",IFERROR(INDEX(Income!B$3:B$502,SMALL(IF((Income!D$3:D$502="INR")*(Income!A$3:A$502=DATE(2026,8,8)),ROW(Income!A$3:A$502)-2),3)),""),""))</f>
        <v/>
      </c>
      <c r="O161" s="63" t="str">
        <f aca="false">IF(IFERROR(-INDEX(Expenses!D$3:D$1002,SMALL(IF((Expenses!E$3:E$1002="INR")*(Expenses!A$3:A$1002=DATE(2026,8,9)),ROW(Expenses!A$3:A$1002)-2),3)),0)+IFERROR(INDEX(Income!C$3:C$502,SMALL(IF((Income!D$3:D$502="INR")*(Income!A$3:A$502=DATE(2026,8,9)),ROW(Income!A$3:A$502)-2),3)),0)=0,"",IFERROR(-INDEX(Expenses!D$3:D$1002,SMALL(IF((Expenses!E$3:E$1002="INR")*(Expenses!A$3:A$1002=DATE(2026,8,9)),ROW(Expenses!A$3:A$1002)-2),3)),0)+IFERROR(INDEX(Income!C$3:C$502,SMALL(IF((Income!D$3:D$502="INR")*(Income!A$3:A$502=DATE(2026,8,9)),ROW(Income!A$3:A$502)-2),3)),0))</f>
        <v/>
      </c>
      <c r="P161" s="38" t="str">
        <f aca="false">IF(IFERROR(INDEX(Expenses!B$3:B$1002,SMALL(IF((Expenses!E$3:E$1002="INR")*(Expenses!A$3:A$1002=DATE(2026,8,9)),ROW(Expenses!A$3:A$1002)-2),3)),"")&lt;&gt;"",IFERROR(INDEX(Expenses!B$3:B$1002,SMALL(IF((Expenses!E$3:E$1002="INR")*(Expenses!A$3:A$1002=DATE(2026,8,9)),ROW(Expenses!A$3:A$1002)-2),3)),""),IF(IFERROR(INDEX(Income!B$3:B$502,SMALL(IF((Income!D$3:D$502="INR")*(Income!A$3:A$502=DATE(2026,8,9)),ROW(Income!A$3:A$502)-2),3)),"")&lt;&gt;"",IFERROR(INDEX(Income!B$3:B$502,SMALL(IF((Income!D$3:D$502="INR")*(Income!A$3:A$502=DATE(2026,8,9)),ROW(Income!A$3:A$502)-2),3)),""),""))</f>
        <v/>
      </c>
      <c r="Q161" s="16"/>
      <c r="R161" s="16"/>
    </row>
    <row r="162" customFormat="false" ht="15" hidden="false" customHeight="false" outlineLevel="0" collapsed="false">
      <c r="A162" s="16"/>
      <c r="B162" s="16"/>
      <c r="C162" s="63" t="str">
        <f aca="false">IF(IFERROR(-INDEX(Expenses!D$3:D$1002,SMALL(IF((Expenses!E$3:E$1002="INR")*(Expenses!A$3:A$1002=DATE(2026,8,3)),ROW(Expenses!A$3:A$1002)-2),4)),0)+IFERROR(INDEX(Income!C$3:C$502,SMALL(IF((Income!D$3:D$502="INR")*(Income!A$3:A$502=DATE(2026,8,3)),ROW(Income!A$3:A$502)-2),4)),0)=0,"",IFERROR(-INDEX(Expenses!D$3:D$1002,SMALL(IF((Expenses!E$3:E$1002="INR")*(Expenses!A$3:A$1002=DATE(2026,8,3)),ROW(Expenses!A$3:A$1002)-2),4)),0)+IFERROR(INDEX(Income!C$3:C$502,SMALL(IF((Income!D$3:D$502="INR")*(Income!A$3:A$502=DATE(2026,8,3)),ROW(Income!A$3:A$502)-2),4)),0))</f>
        <v/>
      </c>
      <c r="D162" s="38" t="str">
        <f aca="false">IF(IFERROR(INDEX(Expenses!B$3:B$1002,SMALL(IF((Expenses!E$3:E$1002="INR")*(Expenses!A$3:A$1002=DATE(2026,8,3)),ROW(Expenses!A$3:A$1002)-2),4)),"")&lt;&gt;"",IFERROR(INDEX(Expenses!B$3:B$1002,SMALL(IF((Expenses!E$3:E$1002="INR")*(Expenses!A$3:A$1002=DATE(2026,8,3)),ROW(Expenses!A$3:A$1002)-2),4)),""),IF(IFERROR(INDEX(Income!B$3:B$502,SMALL(IF((Income!D$3:D$502="INR")*(Income!A$3:A$502=DATE(2026,8,3)),ROW(Income!A$3:A$502)-2),4)),"")&lt;&gt;"",IFERROR(INDEX(Income!B$3:B$502,SMALL(IF((Income!D$3:D$502="INR")*(Income!A$3:A$502=DATE(2026,8,3)),ROW(Income!A$3:A$502)-2),4)),""),""))</f>
        <v/>
      </c>
      <c r="E162" s="63" t="str">
        <f aca="false">IF(IFERROR(-INDEX(Expenses!D$3:D$1002,SMALL(IF((Expenses!E$3:E$1002="INR")*(Expenses!A$3:A$1002=DATE(2026,8,4)),ROW(Expenses!A$3:A$1002)-2),4)),0)+IFERROR(INDEX(Income!C$3:C$502,SMALL(IF((Income!D$3:D$502="INR")*(Income!A$3:A$502=DATE(2026,8,4)),ROW(Income!A$3:A$502)-2),4)),0)=0,"",IFERROR(-INDEX(Expenses!D$3:D$1002,SMALL(IF((Expenses!E$3:E$1002="INR")*(Expenses!A$3:A$1002=DATE(2026,8,4)),ROW(Expenses!A$3:A$1002)-2),4)),0)+IFERROR(INDEX(Income!C$3:C$502,SMALL(IF((Income!D$3:D$502="INR")*(Income!A$3:A$502=DATE(2026,8,4)),ROW(Income!A$3:A$502)-2),4)),0))</f>
        <v/>
      </c>
      <c r="F162" s="38" t="str">
        <f aca="false">IF(IFERROR(INDEX(Expenses!B$3:B$1002,SMALL(IF((Expenses!E$3:E$1002="INR")*(Expenses!A$3:A$1002=DATE(2026,8,4)),ROW(Expenses!A$3:A$1002)-2),4)),"")&lt;&gt;"",IFERROR(INDEX(Expenses!B$3:B$1002,SMALL(IF((Expenses!E$3:E$1002="INR")*(Expenses!A$3:A$1002=DATE(2026,8,4)),ROW(Expenses!A$3:A$1002)-2),4)),""),IF(IFERROR(INDEX(Income!B$3:B$502,SMALL(IF((Income!D$3:D$502="INR")*(Income!A$3:A$502=DATE(2026,8,4)),ROW(Income!A$3:A$502)-2),4)),"")&lt;&gt;"",IFERROR(INDEX(Income!B$3:B$502,SMALL(IF((Income!D$3:D$502="INR")*(Income!A$3:A$502=DATE(2026,8,4)),ROW(Income!A$3:A$502)-2),4)),""),""))</f>
        <v/>
      </c>
      <c r="G162" s="63" t="str">
        <f aca="false">IF(IFERROR(-INDEX(Expenses!D$3:D$1002,SMALL(IF((Expenses!E$3:E$1002="INR")*(Expenses!A$3:A$1002=DATE(2026,8,5)),ROW(Expenses!A$3:A$1002)-2),4)),0)+IFERROR(INDEX(Income!C$3:C$502,SMALL(IF((Income!D$3:D$502="INR")*(Income!A$3:A$502=DATE(2026,8,5)),ROW(Income!A$3:A$502)-2),4)),0)=0,"",IFERROR(-INDEX(Expenses!D$3:D$1002,SMALL(IF((Expenses!E$3:E$1002="INR")*(Expenses!A$3:A$1002=DATE(2026,8,5)),ROW(Expenses!A$3:A$1002)-2),4)),0)+IFERROR(INDEX(Income!C$3:C$502,SMALL(IF((Income!D$3:D$502="INR")*(Income!A$3:A$502=DATE(2026,8,5)),ROW(Income!A$3:A$502)-2),4)),0))</f>
        <v/>
      </c>
      <c r="H162" s="38" t="str">
        <f aca="false">IF(IFERROR(INDEX(Expenses!B$3:B$1002,SMALL(IF((Expenses!E$3:E$1002="INR")*(Expenses!A$3:A$1002=DATE(2026,8,5)),ROW(Expenses!A$3:A$1002)-2),4)),"")&lt;&gt;"",IFERROR(INDEX(Expenses!B$3:B$1002,SMALL(IF((Expenses!E$3:E$1002="INR")*(Expenses!A$3:A$1002=DATE(2026,8,5)),ROW(Expenses!A$3:A$1002)-2),4)),""),IF(IFERROR(INDEX(Income!B$3:B$502,SMALL(IF((Income!D$3:D$502="INR")*(Income!A$3:A$502=DATE(2026,8,5)),ROW(Income!A$3:A$502)-2),4)),"")&lt;&gt;"",IFERROR(INDEX(Income!B$3:B$502,SMALL(IF((Income!D$3:D$502="INR")*(Income!A$3:A$502=DATE(2026,8,5)),ROW(Income!A$3:A$502)-2),4)),""),""))</f>
        <v/>
      </c>
      <c r="I162" s="63" t="str">
        <f aca="false">IF(IFERROR(-INDEX(Expenses!D$3:D$1002,SMALL(IF((Expenses!E$3:E$1002="INR")*(Expenses!A$3:A$1002=DATE(2026,8,6)),ROW(Expenses!A$3:A$1002)-2),4)),0)+IFERROR(INDEX(Income!C$3:C$502,SMALL(IF((Income!D$3:D$502="INR")*(Income!A$3:A$502=DATE(2026,8,6)),ROW(Income!A$3:A$502)-2),4)),0)=0,"",IFERROR(-INDEX(Expenses!D$3:D$1002,SMALL(IF((Expenses!E$3:E$1002="INR")*(Expenses!A$3:A$1002=DATE(2026,8,6)),ROW(Expenses!A$3:A$1002)-2),4)),0)+IFERROR(INDEX(Income!C$3:C$502,SMALL(IF((Income!D$3:D$502="INR")*(Income!A$3:A$502=DATE(2026,8,6)),ROW(Income!A$3:A$502)-2),4)),0))</f>
        <v/>
      </c>
      <c r="J162" s="38" t="str">
        <f aca="false">IF(IFERROR(INDEX(Expenses!B$3:B$1002,SMALL(IF((Expenses!E$3:E$1002="INR")*(Expenses!A$3:A$1002=DATE(2026,8,6)),ROW(Expenses!A$3:A$1002)-2),4)),"")&lt;&gt;"",IFERROR(INDEX(Expenses!B$3:B$1002,SMALL(IF((Expenses!E$3:E$1002="INR")*(Expenses!A$3:A$1002=DATE(2026,8,6)),ROW(Expenses!A$3:A$1002)-2),4)),""),IF(IFERROR(INDEX(Income!B$3:B$502,SMALL(IF((Income!D$3:D$502="INR")*(Income!A$3:A$502=DATE(2026,8,6)),ROW(Income!A$3:A$502)-2),4)),"")&lt;&gt;"",IFERROR(INDEX(Income!B$3:B$502,SMALL(IF((Income!D$3:D$502="INR")*(Income!A$3:A$502=DATE(2026,8,6)),ROW(Income!A$3:A$502)-2),4)),""),""))</f>
        <v/>
      </c>
      <c r="K162" s="63" t="str">
        <f aca="false">IF(IFERROR(-INDEX(Expenses!D$3:D$1002,SMALL(IF((Expenses!E$3:E$1002="INR")*(Expenses!A$3:A$1002=DATE(2026,8,7)),ROW(Expenses!A$3:A$1002)-2),4)),0)+IFERROR(INDEX(Income!C$3:C$502,SMALL(IF((Income!D$3:D$502="INR")*(Income!A$3:A$502=DATE(2026,8,7)),ROW(Income!A$3:A$502)-2),4)),0)=0,"",IFERROR(-INDEX(Expenses!D$3:D$1002,SMALL(IF((Expenses!E$3:E$1002="INR")*(Expenses!A$3:A$1002=DATE(2026,8,7)),ROW(Expenses!A$3:A$1002)-2),4)),0)+IFERROR(INDEX(Income!C$3:C$502,SMALL(IF((Income!D$3:D$502="INR")*(Income!A$3:A$502=DATE(2026,8,7)),ROW(Income!A$3:A$502)-2),4)),0))</f>
        <v/>
      </c>
      <c r="L162" s="38" t="str">
        <f aca="false">IF(IFERROR(INDEX(Expenses!B$3:B$1002,SMALL(IF((Expenses!E$3:E$1002="INR")*(Expenses!A$3:A$1002=DATE(2026,8,7)),ROW(Expenses!A$3:A$1002)-2),4)),"")&lt;&gt;"",IFERROR(INDEX(Expenses!B$3:B$1002,SMALL(IF((Expenses!E$3:E$1002="INR")*(Expenses!A$3:A$1002=DATE(2026,8,7)),ROW(Expenses!A$3:A$1002)-2),4)),""),IF(IFERROR(INDEX(Income!B$3:B$502,SMALL(IF((Income!D$3:D$502="INR")*(Income!A$3:A$502=DATE(2026,8,7)),ROW(Income!A$3:A$502)-2),4)),"")&lt;&gt;"",IFERROR(INDEX(Income!B$3:B$502,SMALL(IF((Income!D$3:D$502="INR")*(Income!A$3:A$502=DATE(2026,8,7)),ROW(Income!A$3:A$502)-2),4)),""),""))</f>
        <v/>
      </c>
      <c r="M162" s="63" t="str">
        <f aca="false">IF(IFERROR(-INDEX(Expenses!D$3:D$1002,SMALL(IF((Expenses!E$3:E$1002="INR")*(Expenses!A$3:A$1002=DATE(2026,8,8)),ROW(Expenses!A$3:A$1002)-2),4)),0)+IFERROR(INDEX(Income!C$3:C$502,SMALL(IF((Income!D$3:D$502="INR")*(Income!A$3:A$502=DATE(2026,8,8)),ROW(Income!A$3:A$502)-2),4)),0)=0,"",IFERROR(-INDEX(Expenses!D$3:D$1002,SMALL(IF((Expenses!E$3:E$1002="INR")*(Expenses!A$3:A$1002=DATE(2026,8,8)),ROW(Expenses!A$3:A$1002)-2),4)),0)+IFERROR(INDEX(Income!C$3:C$502,SMALL(IF((Income!D$3:D$502="INR")*(Income!A$3:A$502=DATE(2026,8,8)),ROW(Income!A$3:A$502)-2),4)),0))</f>
        <v/>
      </c>
      <c r="N162" s="38" t="str">
        <f aca="false">IF(IFERROR(INDEX(Expenses!B$3:B$1002,SMALL(IF((Expenses!E$3:E$1002="INR")*(Expenses!A$3:A$1002=DATE(2026,8,8)),ROW(Expenses!A$3:A$1002)-2),4)),"")&lt;&gt;"",IFERROR(INDEX(Expenses!B$3:B$1002,SMALL(IF((Expenses!E$3:E$1002="INR")*(Expenses!A$3:A$1002=DATE(2026,8,8)),ROW(Expenses!A$3:A$1002)-2),4)),""),IF(IFERROR(INDEX(Income!B$3:B$502,SMALL(IF((Income!D$3:D$502="INR")*(Income!A$3:A$502=DATE(2026,8,8)),ROW(Income!A$3:A$502)-2),4)),"")&lt;&gt;"",IFERROR(INDEX(Income!B$3:B$502,SMALL(IF((Income!D$3:D$502="INR")*(Income!A$3:A$502=DATE(2026,8,8)),ROW(Income!A$3:A$502)-2),4)),""),""))</f>
        <v/>
      </c>
      <c r="O162" s="63" t="str">
        <f aca="false">IF(IFERROR(-INDEX(Expenses!D$3:D$1002,SMALL(IF((Expenses!E$3:E$1002="INR")*(Expenses!A$3:A$1002=DATE(2026,8,9)),ROW(Expenses!A$3:A$1002)-2),4)),0)+IFERROR(INDEX(Income!C$3:C$502,SMALL(IF((Income!D$3:D$502="INR")*(Income!A$3:A$502=DATE(2026,8,9)),ROW(Income!A$3:A$502)-2),4)),0)=0,"",IFERROR(-INDEX(Expenses!D$3:D$1002,SMALL(IF((Expenses!E$3:E$1002="INR")*(Expenses!A$3:A$1002=DATE(2026,8,9)),ROW(Expenses!A$3:A$1002)-2),4)),0)+IFERROR(INDEX(Income!C$3:C$502,SMALL(IF((Income!D$3:D$502="INR")*(Income!A$3:A$502=DATE(2026,8,9)),ROW(Income!A$3:A$502)-2),4)),0))</f>
        <v/>
      </c>
      <c r="P162" s="38" t="str">
        <f aca="false">IF(IFERROR(INDEX(Expenses!B$3:B$1002,SMALL(IF((Expenses!E$3:E$1002="INR")*(Expenses!A$3:A$1002=DATE(2026,8,9)),ROW(Expenses!A$3:A$1002)-2),4)),"")&lt;&gt;"",IFERROR(INDEX(Expenses!B$3:B$1002,SMALL(IF((Expenses!E$3:E$1002="INR")*(Expenses!A$3:A$1002=DATE(2026,8,9)),ROW(Expenses!A$3:A$1002)-2),4)),""),IF(IFERROR(INDEX(Income!B$3:B$502,SMALL(IF((Income!D$3:D$502="INR")*(Income!A$3:A$502=DATE(2026,8,9)),ROW(Income!A$3:A$502)-2),4)),"")&lt;&gt;"",IFERROR(INDEX(Income!B$3:B$502,SMALL(IF((Income!D$3:D$502="INR")*(Income!A$3:A$502=DATE(2026,8,9)),ROW(Income!A$3:A$502)-2),4)),""),""))</f>
        <v/>
      </c>
      <c r="Q162" s="16"/>
      <c r="R162" s="16"/>
    </row>
    <row r="163" customFormat="false" ht="15" hidden="false" customHeight="false" outlineLevel="0" collapsed="false">
      <c r="A163" s="16"/>
      <c r="B163" s="16"/>
      <c r="C163" s="63" t="str">
        <f aca="false">IF(IFERROR(-INDEX(Expenses!D$3:D$1002,SMALL(IF((Expenses!E$3:E$1002="INR")*(Expenses!A$3:A$1002=DATE(2026,8,3)),ROW(Expenses!A$3:A$1002)-2),5)),0)+IFERROR(INDEX(Income!C$3:C$502,SMALL(IF((Income!D$3:D$502="INR")*(Income!A$3:A$502=DATE(2026,8,3)),ROW(Income!A$3:A$502)-2),5)),0)=0,"",IFERROR(-INDEX(Expenses!D$3:D$1002,SMALL(IF((Expenses!E$3:E$1002="INR")*(Expenses!A$3:A$1002=DATE(2026,8,3)),ROW(Expenses!A$3:A$1002)-2),5)),0)+IFERROR(INDEX(Income!C$3:C$502,SMALL(IF((Income!D$3:D$502="INR")*(Income!A$3:A$502=DATE(2026,8,3)),ROW(Income!A$3:A$502)-2),5)),0))</f>
        <v/>
      </c>
      <c r="D163" s="38" t="str">
        <f aca="false">IF(IFERROR(INDEX(Expenses!B$3:B$1002,SMALL(IF((Expenses!E$3:E$1002="INR")*(Expenses!A$3:A$1002=DATE(2026,8,3)),ROW(Expenses!A$3:A$1002)-2),5)),"")&lt;&gt;"",IFERROR(INDEX(Expenses!B$3:B$1002,SMALL(IF((Expenses!E$3:E$1002="INR")*(Expenses!A$3:A$1002=DATE(2026,8,3)),ROW(Expenses!A$3:A$1002)-2),5)),""),IF(IFERROR(INDEX(Income!B$3:B$502,SMALL(IF((Income!D$3:D$502="INR")*(Income!A$3:A$502=DATE(2026,8,3)),ROW(Income!A$3:A$502)-2),5)),"")&lt;&gt;"",IFERROR(INDEX(Income!B$3:B$502,SMALL(IF((Income!D$3:D$502="INR")*(Income!A$3:A$502=DATE(2026,8,3)),ROW(Income!A$3:A$502)-2),5)),""),""))</f>
        <v/>
      </c>
      <c r="E163" s="63" t="str">
        <f aca="false">IF(IFERROR(-INDEX(Expenses!D$3:D$1002,SMALL(IF((Expenses!E$3:E$1002="INR")*(Expenses!A$3:A$1002=DATE(2026,8,4)),ROW(Expenses!A$3:A$1002)-2),5)),0)+IFERROR(INDEX(Income!C$3:C$502,SMALL(IF((Income!D$3:D$502="INR")*(Income!A$3:A$502=DATE(2026,8,4)),ROW(Income!A$3:A$502)-2),5)),0)=0,"",IFERROR(-INDEX(Expenses!D$3:D$1002,SMALL(IF((Expenses!E$3:E$1002="INR")*(Expenses!A$3:A$1002=DATE(2026,8,4)),ROW(Expenses!A$3:A$1002)-2),5)),0)+IFERROR(INDEX(Income!C$3:C$502,SMALL(IF((Income!D$3:D$502="INR")*(Income!A$3:A$502=DATE(2026,8,4)),ROW(Income!A$3:A$502)-2),5)),0))</f>
        <v/>
      </c>
      <c r="F163" s="38" t="str">
        <f aca="false">IF(IFERROR(INDEX(Expenses!B$3:B$1002,SMALL(IF((Expenses!E$3:E$1002="INR")*(Expenses!A$3:A$1002=DATE(2026,8,4)),ROW(Expenses!A$3:A$1002)-2),5)),"")&lt;&gt;"",IFERROR(INDEX(Expenses!B$3:B$1002,SMALL(IF((Expenses!E$3:E$1002="INR")*(Expenses!A$3:A$1002=DATE(2026,8,4)),ROW(Expenses!A$3:A$1002)-2),5)),""),IF(IFERROR(INDEX(Income!B$3:B$502,SMALL(IF((Income!D$3:D$502="INR")*(Income!A$3:A$502=DATE(2026,8,4)),ROW(Income!A$3:A$502)-2),5)),"")&lt;&gt;"",IFERROR(INDEX(Income!B$3:B$502,SMALL(IF((Income!D$3:D$502="INR")*(Income!A$3:A$502=DATE(2026,8,4)),ROW(Income!A$3:A$502)-2),5)),""),""))</f>
        <v/>
      </c>
      <c r="G163" s="63" t="str">
        <f aca="false">IF(IFERROR(-INDEX(Expenses!D$3:D$1002,SMALL(IF((Expenses!E$3:E$1002="INR")*(Expenses!A$3:A$1002=DATE(2026,8,5)),ROW(Expenses!A$3:A$1002)-2),5)),0)+IFERROR(INDEX(Income!C$3:C$502,SMALL(IF((Income!D$3:D$502="INR")*(Income!A$3:A$502=DATE(2026,8,5)),ROW(Income!A$3:A$502)-2),5)),0)=0,"",IFERROR(-INDEX(Expenses!D$3:D$1002,SMALL(IF((Expenses!E$3:E$1002="INR")*(Expenses!A$3:A$1002=DATE(2026,8,5)),ROW(Expenses!A$3:A$1002)-2),5)),0)+IFERROR(INDEX(Income!C$3:C$502,SMALL(IF((Income!D$3:D$502="INR")*(Income!A$3:A$502=DATE(2026,8,5)),ROW(Income!A$3:A$502)-2),5)),0))</f>
        <v/>
      </c>
      <c r="H163" s="38" t="str">
        <f aca="false">IF(IFERROR(INDEX(Expenses!B$3:B$1002,SMALL(IF((Expenses!E$3:E$1002="INR")*(Expenses!A$3:A$1002=DATE(2026,8,5)),ROW(Expenses!A$3:A$1002)-2),5)),"")&lt;&gt;"",IFERROR(INDEX(Expenses!B$3:B$1002,SMALL(IF((Expenses!E$3:E$1002="INR")*(Expenses!A$3:A$1002=DATE(2026,8,5)),ROW(Expenses!A$3:A$1002)-2),5)),""),IF(IFERROR(INDEX(Income!B$3:B$502,SMALL(IF((Income!D$3:D$502="INR")*(Income!A$3:A$502=DATE(2026,8,5)),ROW(Income!A$3:A$502)-2),5)),"")&lt;&gt;"",IFERROR(INDEX(Income!B$3:B$502,SMALL(IF((Income!D$3:D$502="INR")*(Income!A$3:A$502=DATE(2026,8,5)),ROW(Income!A$3:A$502)-2),5)),""),""))</f>
        <v/>
      </c>
      <c r="I163" s="63" t="str">
        <f aca="false">IF(IFERROR(-INDEX(Expenses!D$3:D$1002,SMALL(IF((Expenses!E$3:E$1002="INR")*(Expenses!A$3:A$1002=DATE(2026,8,6)),ROW(Expenses!A$3:A$1002)-2),5)),0)+IFERROR(INDEX(Income!C$3:C$502,SMALL(IF((Income!D$3:D$502="INR")*(Income!A$3:A$502=DATE(2026,8,6)),ROW(Income!A$3:A$502)-2),5)),0)=0,"",IFERROR(-INDEX(Expenses!D$3:D$1002,SMALL(IF((Expenses!E$3:E$1002="INR")*(Expenses!A$3:A$1002=DATE(2026,8,6)),ROW(Expenses!A$3:A$1002)-2),5)),0)+IFERROR(INDEX(Income!C$3:C$502,SMALL(IF((Income!D$3:D$502="INR")*(Income!A$3:A$502=DATE(2026,8,6)),ROW(Income!A$3:A$502)-2),5)),0))</f>
        <v/>
      </c>
      <c r="J163" s="38" t="str">
        <f aca="false">IF(IFERROR(INDEX(Expenses!B$3:B$1002,SMALL(IF((Expenses!E$3:E$1002="INR")*(Expenses!A$3:A$1002=DATE(2026,8,6)),ROW(Expenses!A$3:A$1002)-2),5)),"")&lt;&gt;"",IFERROR(INDEX(Expenses!B$3:B$1002,SMALL(IF((Expenses!E$3:E$1002="INR")*(Expenses!A$3:A$1002=DATE(2026,8,6)),ROW(Expenses!A$3:A$1002)-2),5)),""),IF(IFERROR(INDEX(Income!B$3:B$502,SMALL(IF((Income!D$3:D$502="INR")*(Income!A$3:A$502=DATE(2026,8,6)),ROW(Income!A$3:A$502)-2),5)),"")&lt;&gt;"",IFERROR(INDEX(Income!B$3:B$502,SMALL(IF((Income!D$3:D$502="INR")*(Income!A$3:A$502=DATE(2026,8,6)),ROW(Income!A$3:A$502)-2),5)),""),""))</f>
        <v/>
      </c>
      <c r="K163" s="63" t="str">
        <f aca="false">IF(IFERROR(-INDEX(Expenses!D$3:D$1002,SMALL(IF((Expenses!E$3:E$1002="INR")*(Expenses!A$3:A$1002=DATE(2026,8,7)),ROW(Expenses!A$3:A$1002)-2),5)),0)+IFERROR(INDEX(Income!C$3:C$502,SMALL(IF((Income!D$3:D$502="INR")*(Income!A$3:A$502=DATE(2026,8,7)),ROW(Income!A$3:A$502)-2),5)),0)=0,"",IFERROR(-INDEX(Expenses!D$3:D$1002,SMALL(IF((Expenses!E$3:E$1002="INR")*(Expenses!A$3:A$1002=DATE(2026,8,7)),ROW(Expenses!A$3:A$1002)-2),5)),0)+IFERROR(INDEX(Income!C$3:C$502,SMALL(IF((Income!D$3:D$502="INR")*(Income!A$3:A$502=DATE(2026,8,7)),ROW(Income!A$3:A$502)-2),5)),0))</f>
        <v/>
      </c>
      <c r="L163" s="38" t="str">
        <f aca="false">IF(IFERROR(INDEX(Expenses!B$3:B$1002,SMALL(IF((Expenses!E$3:E$1002="INR")*(Expenses!A$3:A$1002=DATE(2026,8,7)),ROW(Expenses!A$3:A$1002)-2),5)),"")&lt;&gt;"",IFERROR(INDEX(Expenses!B$3:B$1002,SMALL(IF((Expenses!E$3:E$1002="INR")*(Expenses!A$3:A$1002=DATE(2026,8,7)),ROW(Expenses!A$3:A$1002)-2),5)),""),IF(IFERROR(INDEX(Income!B$3:B$502,SMALL(IF((Income!D$3:D$502="INR")*(Income!A$3:A$502=DATE(2026,8,7)),ROW(Income!A$3:A$502)-2),5)),"")&lt;&gt;"",IFERROR(INDEX(Income!B$3:B$502,SMALL(IF((Income!D$3:D$502="INR")*(Income!A$3:A$502=DATE(2026,8,7)),ROW(Income!A$3:A$502)-2),5)),""),""))</f>
        <v/>
      </c>
      <c r="M163" s="63" t="str">
        <f aca="false">IF(IFERROR(-INDEX(Expenses!D$3:D$1002,SMALL(IF((Expenses!E$3:E$1002="INR")*(Expenses!A$3:A$1002=DATE(2026,8,8)),ROW(Expenses!A$3:A$1002)-2),5)),0)+IFERROR(INDEX(Income!C$3:C$502,SMALL(IF((Income!D$3:D$502="INR")*(Income!A$3:A$502=DATE(2026,8,8)),ROW(Income!A$3:A$502)-2),5)),0)=0,"",IFERROR(-INDEX(Expenses!D$3:D$1002,SMALL(IF((Expenses!E$3:E$1002="INR")*(Expenses!A$3:A$1002=DATE(2026,8,8)),ROW(Expenses!A$3:A$1002)-2),5)),0)+IFERROR(INDEX(Income!C$3:C$502,SMALL(IF((Income!D$3:D$502="INR")*(Income!A$3:A$502=DATE(2026,8,8)),ROW(Income!A$3:A$502)-2),5)),0))</f>
        <v/>
      </c>
      <c r="N163" s="38" t="str">
        <f aca="false">IF(IFERROR(INDEX(Expenses!B$3:B$1002,SMALL(IF((Expenses!E$3:E$1002="INR")*(Expenses!A$3:A$1002=DATE(2026,8,8)),ROW(Expenses!A$3:A$1002)-2),5)),"")&lt;&gt;"",IFERROR(INDEX(Expenses!B$3:B$1002,SMALL(IF((Expenses!E$3:E$1002="INR")*(Expenses!A$3:A$1002=DATE(2026,8,8)),ROW(Expenses!A$3:A$1002)-2),5)),""),IF(IFERROR(INDEX(Income!B$3:B$502,SMALL(IF((Income!D$3:D$502="INR")*(Income!A$3:A$502=DATE(2026,8,8)),ROW(Income!A$3:A$502)-2),5)),"")&lt;&gt;"",IFERROR(INDEX(Income!B$3:B$502,SMALL(IF((Income!D$3:D$502="INR")*(Income!A$3:A$502=DATE(2026,8,8)),ROW(Income!A$3:A$502)-2),5)),""),""))</f>
        <v/>
      </c>
      <c r="O163" s="63" t="str">
        <f aca="false">IF(IFERROR(-INDEX(Expenses!D$3:D$1002,SMALL(IF((Expenses!E$3:E$1002="INR")*(Expenses!A$3:A$1002=DATE(2026,8,9)),ROW(Expenses!A$3:A$1002)-2),5)),0)+IFERROR(INDEX(Income!C$3:C$502,SMALL(IF((Income!D$3:D$502="INR")*(Income!A$3:A$502=DATE(2026,8,9)),ROW(Income!A$3:A$502)-2),5)),0)=0,"",IFERROR(-INDEX(Expenses!D$3:D$1002,SMALL(IF((Expenses!E$3:E$1002="INR")*(Expenses!A$3:A$1002=DATE(2026,8,9)),ROW(Expenses!A$3:A$1002)-2),5)),0)+IFERROR(INDEX(Income!C$3:C$502,SMALL(IF((Income!D$3:D$502="INR")*(Income!A$3:A$502=DATE(2026,8,9)),ROW(Income!A$3:A$502)-2),5)),0))</f>
        <v/>
      </c>
      <c r="P163" s="38" t="str">
        <f aca="false">IF(IFERROR(INDEX(Expenses!B$3:B$1002,SMALL(IF((Expenses!E$3:E$1002="INR")*(Expenses!A$3:A$1002=DATE(2026,8,9)),ROW(Expenses!A$3:A$1002)-2),5)),"")&lt;&gt;"",IFERROR(INDEX(Expenses!B$3:B$1002,SMALL(IF((Expenses!E$3:E$1002="INR")*(Expenses!A$3:A$1002=DATE(2026,8,9)),ROW(Expenses!A$3:A$1002)-2),5)),""),IF(IFERROR(INDEX(Income!B$3:B$502,SMALL(IF((Income!D$3:D$502="INR")*(Income!A$3:A$502=DATE(2026,8,9)),ROW(Income!A$3:A$502)-2),5)),"")&lt;&gt;"",IFERROR(INDEX(Income!B$3:B$502,SMALL(IF((Income!D$3:D$502="INR")*(Income!A$3:A$502=DATE(2026,8,9)),ROW(Income!A$3:A$502)-2),5)),""),""))</f>
        <v/>
      </c>
      <c r="Q163" s="16"/>
      <c r="R163" s="16"/>
    </row>
    <row r="164" customFormat="false" ht="15" hidden="false" customHeight="false" outlineLevel="0" collapsed="false">
      <c r="A164" s="61" t="n">
        <v>46244</v>
      </c>
      <c r="B164" s="3" t="n">
        <v>33</v>
      </c>
      <c r="C164" s="63" t="str">
        <f aca="false">IF(IFERROR(-INDEX(Expenses!D$3:D$1002,SMALL(IF((Expenses!E$3:E$1002="INR")*(Expenses!A$3:A$1002=DATE(2026,8,10)),ROW(Expenses!A$3:A$1002)-2),1)),0)+IFERROR(INDEX(Income!C$3:C$502,SMALL(IF((Income!D$3:D$502="INR")*(Income!A$3:A$502=DATE(2026,8,10)),ROW(Income!A$3:A$502)-2),1)),0)=0,"",IFERROR(-INDEX(Expenses!D$3:D$1002,SMALL(IF((Expenses!E$3:E$1002="INR")*(Expenses!A$3:A$1002=DATE(2026,8,10)),ROW(Expenses!A$3:A$1002)-2),1)),0)+IFERROR(INDEX(Income!C$3:C$502,SMALL(IF((Income!D$3:D$502="INR")*(Income!A$3:A$502=DATE(2026,8,10)),ROW(Income!A$3:A$502)-2),1)),0))</f>
        <v/>
      </c>
      <c r="D164" s="38" t="str">
        <f aca="false">IF(IFERROR(INDEX(Expenses!B$3:B$1002,SMALL(IF((Expenses!E$3:E$1002="INR")*(Expenses!A$3:A$1002=DATE(2026,8,10)),ROW(Expenses!A$3:A$1002)-2),1)),"")&lt;&gt;"",IFERROR(INDEX(Expenses!B$3:B$1002,SMALL(IF((Expenses!E$3:E$1002="INR")*(Expenses!A$3:A$1002=DATE(2026,8,10)),ROW(Expenses!A$3:A$1002)-2),1)),""),IF(IFERROR(INDEX(Income!B$3:B$502,SMALL(IF((Income!D$3:D$502="INR")*(Income!A$3:A$502=DATE(2026,8,10)),ROW(Income!A$3:A$502)-2),1)),"")&lt;&gt;"",IFERROR(INDEX(Income!B$3:B$502,SMALL(IF((Income!D$3:D$502="INR")*(Income!A$3:A$502=DATE(2026,8,10)),ROW(Income!A$3:A$502)-2),1)),""),""))</f>
        <v/>
      </c>
      <c r="E164" s="63" t="str">
        <f aca="false">IF(IFERROR(-INDEX(Expenses!D$3:D$1002,SMALL(IF((Expenses!E$3:E$1002="INR")*(Expenses!A$3:A$1002=DATE(2026,8,11)),ROW(Expenses!A$3:A$1002)-2),1)),0)+IFERROR(INDEX(Income!C$3:C$502,SMALL(IF((Income!D$3:D$502="INR")*(Income!A$3:A$502=DATE(2026,8,11)),ROW(Income!A$3:A$502)-2),1)),0)=0,"",IFERROR(-INDEX(Expenses!D$3:D$1002,SMALL(IF((Expenses!E$3:E$1002="INR")*(Expenses!A$3:A$1002=DATE(2026,8,11)),ROW(Expenses!A$3:A$1002)-2),1)),0)+IFERROR(INDEX(Income!C$3:C$502,SMALL(IF((Income!D$3:D$502="INR")*(Income!A$3:A$502=DATE(2026,8,11)),ROW(Income!A$3:A$502)-2),1)),0))</f>
        <v/>
      </c>
      <c r="F164" s="38" t="str">
        <f aca="false">IF(IFERROR(INDEX(Expenses!B$3:B$1002,SMALL(IF((Expenses!E$3:E$1002="INR")*(Expenses!A$3:A$1002=DATE(2026,8,11)),ROW(Expenses!A$3:A$1002)-2),1)),"")&lt;&gt;"",IFERROR(INDEX(Expenses!B$3:B$1002,SMALL(IF((Expenses!E$3:E$1002="INR")*(Expenses!A$3:A$1002=DATE(2026,8,11)),ROW(Expenses!A$3:A$1002)-2),1)),""),IF(IFERROR(INDEX(Income!B$3:B$502,SMALL(IF((Income!D$3:D$502="INR")*(Income!A$3:A$502=DATE(2026,8,11)),ROW(Income!A$3:A$502)-2),1)),"")&lt;&gt;"",IFERROR(INDEX(Income!B$3:B$502,SMALL(IF((Income!D$3:D$502="INR")*(Income!A$3:A$502=DATE(2026,8,11)),ROW(Income!A$3:A$502)-2),1)),""),""))</f>
        <v/>
      </c>
      <c r="G164" s="63" t="str">
        <f aca="false">IF(IFERROR(-INDEX(Expenses!D$3:D$1002,SMALL(IF((Expenses!E$3:E$1002="INR")*(Expenses!A$3:A$1002=DATE(2026,8,12)),ROW(Expenses!A$3:A$1002)-2),1)),0)+IFERROR(INDEX(Income!C$3:C$502,SMALL(IF((Income!D$3:D$502="INR")*(Income!A$3:A$502=DATE(2026,8,12)),ROW(Income!A$3:A$502)-2),1)),0)=0,"",IFERROR(-INDEX(Expenses!D$3:D$1002,SMALL(IF((Expenses!E$3:E$1002="INR")*(Expenses!A$3:A$1002=DATE(2026,8,12)),ROW(Expenses!A$3:A$1002)-2),1)),0)+IFERROR(INDEX(Income!C$3:C$502,SMALL(IF((Income!D$3:D$502="INR")*(Income!A$3:A$502=DATE(2026,8,12)),ROW(Income!A$3:A$502)-2),1)),0))</f>
        <v/>
      </c>
      <c r="H164" s="38" t="str">
        <f aca="false">IF(IFERROR(INDEX(Expenses!B$3:B$1002,SMALL(IF((Expenses!E$3:E$1002="INR")*(Expenses!A$3:A$1002=DATE(2026,8,12)),ROW(Expenses!A$3:A$1002)-2),1)),"")&lt;&gt;"",IFERROR(INDEX(Expenses!B$3:B$1002,SMALL(IF((Expenses!E$3:E$1002="INR")*(Expenses!A$3:A$1002=DATE(2026,8,12)),ROW(Expenses!A$3:A$1002)-2),1)),""),IF(IFERROR(INDEX(Income!B$3:B$502,SMALL(IF((Income!D$3:D$502="INR")*(Income!A$3:A$502=DATE(2026,8,12)),ROW(Income!A$3:A$502)-2),1)),"")&lt;&gt;"",IFERROR(INDEX(Income!B$3:B$502,SMALL(IF((Income!D$3:D$502="INR")*(Income!A$3:A$502=DATE(2026,8,12)),ROW(Income!A$3:A$502)-2),1)),""),""))</f>
        <v/>
      </c>
      <c r="I164" s="63" t="str">
        <f aca="false">IF(IFERROR(-INDEX(Expenses!D$3:D$1002,SMALL(IF((Expenses!E$3:E$1002="INR")*(Expenses!A$3:A$1002=DATE(2026,8,13)),ROW(Expenses!A$3:A$1002)-2),1)),0)+IFERROR(INDEX(Income!C$3:C$502,SMALL(IF((Income!D$3:D$502="INR")*(Income!A$3:A$502=DATE(2026,8,13)),ROW(Income!A$3:A$502)-2),1)),0)=0,"",IFERROR(-INDEX(Expenses!D$3:D$1002,SMALL(IF((Expenses!E$3:E$1002="INR")*(Expenses!A$3:A$1002=DATE(2026,8,13)),ROW(Expenses!A$3:A$1002)-2),1)),0)+IFERROR(INDEX(Income!C$3:C$502,SMALL(IF((Income!D$3:D$502="INR")*(Income!A$3:A$502=DATE(2026,8,13)),ROW(Income!A$3:A$502)-2),1)),0))</f>
        <v/>
      </c>
      <c r="J164" s="38" t="str">
        <f aca="false">IF(IFERROR(INDEX(Expenses!B$3:B$1002,SMALL(IF((Expenses!E$3:E$1002="INR")*(Expenses!A$3:A$1002=DATE(2026,8,13)),ROW(Expenses!A$3:A$1002)-2),1)),"")&lt;&gt;"",IFERROR(INDEX(Expenses!B$3:B$1002,SMALL(IF((Expenses!E$3:E$1002="INR")*(Expenses!A$3:A$1002=DATE(2026,8,13)),ROW(Expenses!A$3:A$1002)-2),1)),""),IF(IFERROR(INDEX(Income!B$3:B$502,SMALL(IF((Income!D$3:D$502="INR")*(Income!A$3:A$502=DATE(2026,8,13)),ROW(Income!A$3:A$502)-2),1)),"")&lt;&gt;"",IFERROR(INDEX(Income!B$3:B$502,SMALL(IF((Income!D$3:D$502="INR")*(Income!A$3:A$502=DATE(2026,8,13)),ROW(Income!A$3:A$502)-2),1)),""),""))</f>
        <v/>
      </c>
      <c r="K164" s="63" t="str">
        <f aca="false">IF(IFERROR(-INDEX(Expenses!D$3:D$1002,SMALL(IF((Expenses!E$3:E$1002="INR")*(Expenses!A$3:A$1002=DATE(2026,8,14)),ROW(Expenses!A$3:A$1002)-2),1)),0)+IFERROR(INDEX(Income!C$3:C$502,SMALL(IF((Income!D$3:D$502="INR")*(Income!A$3:A$502=DATE(2026,8,14)),ROW(Income!A$3:A$502)-2),1)),0)=0,"",IFERROR(-INDEX(Expenses!D$3:D$1002,SMALL(IF((Expenses!E$3:E$1002="INR")*(Expenses!A$3:A$1002=DATE(2026,8,14)),ROW(Expenses!A$3:A$1002)-2),1)),0)+IFERROR(INDEX(Income!C$3:C$502,SMALL(IF((Income!D$3:D$502="INR")*(Income!A$3:A$502=DATE(2026,8,14)),ROW(Income!A$3:A$502)-2),1)),0))</f>
        <v/>
      </c>
      <c r="L164" s="38" t="str">
        <f aca="false">IF(IFERROR(INDEX(Expenses!B$3:B$1002,SMALL(IF((Expenses!E$3:E$1002="INR")*(Expenses!A$3:A$1002=DATE(2026,8,14)),ROW(Expenses!A$3:A$1002)-2),1)),"")&lt;&gt;"",IFERROR(INDEX(Expenses!B$3:B$1002,SMALL(IF((Expenses!E$3:E$1002="INR")*(Expenses!A$3:A$1002=DATE(2026,8,14)),ROW(Expenses!A$3:A$1002)-2),1)),""),IF(IFERROR(INDEX(Income!B$3:B$502,SMALL(IF((Income!D$3:D$502="INR")*(Income!A$3:A$502=DATE(2026,8,14)),ROW(Income!A$3:A$502)-2),1)),"")&lt;&gt;"",IFERROR(INDEX(Income!B$3:B$502,SMALL(IF((Income!D$3:D$502="INR")*(Income!A$3:A$502=DATE(2026,8,14)),ROW(Income!A$3:A$502)-2),1)),""),""))</f>
        <v/>
      </c>
      <c r="M164" s="63" t="str">
        <f aca="false">IF(IFERROR(-INDEX(Expenses!D$3:D$1002,SMALL(IF((Expenses!E$3:E$1002="INR")*(Expenses!A$3:A$1002=DATE(2026,8,15)),ROW(Expenses!A$3:A$1002)-2),1)),0)+IFERROR(INDEX(Income!C$3:C$502,SMALL(IF((Income!D$3:D$502="INR")*(Income!A$3:A$502=DATE(2026,8,15)),ROW(Income!A$3:A$502)-2),1)),0)=0,"",IFERROR(-INDEX(Expenses!D$3:D$1002,SMALL(IF((Expenses!E$3:E$1002="INR")*(Expenses!A$3:A$1002=DATE(2026,8,15)),ROW(Expenses!A$3:A$1002)-2),1)),0)+IFERROR(INDEX(Income!C$3:C$502,SMALL(IF((Income!D$3:D$502="INR")*(Income!A$3:A$502=DATE(2026,8,15)),ROW(Income!A$3:A$502)-2),1)),0))</f>
        <v/>
      </c>
      <c r="N164" s="38" t="str">
        <f aca="false">IF(IFERROR(INDEX(Expenses!B$3:B$1002,SMALL(IF((Expenses!E$3:E$1002="INR")*(Expenses!A$3:A$1002=DATE(2026,8,15)),ROW(Expenses!A$3:A$1002)-2),1)),"")&lt;&gt;"",IFERROR(INDEX(Expenses!B$3:B$1002,SMALL(IF((Expenses!E$3:E$1002="INR")*(Expenses!A$3:A$1002=DATE(2026,8,15)),ROW(Expenses!A$3:A$1002)-2),1)),""),IF(IFERROR(INDEX(Income!B$3:B$502,SMALL(IF((Income!D$3:D$502="INR")*(Income!A$3:A$502=DATE(2026,8,15)),ROW(Income!A$3:A$502)-2),1)),"")&lt;&gt;"",IFERROR(INDEX(Income!B$3:B$502,SMALL(IF((Income!D$3:D$502="INR")*(Income!A$3:A$502=DATE(2026,8,15)),ROW(Income!A$3:A$502)-2),1)),""),""))</f>
        <v/>
      </c>
      <c r="O164" s="63" t="str">
        <f aca="false">IF(IFERROR(-INDEX(Expenses!D$3:D$1002,SMALL(IF((Expenses!E$3:E$1002="INR")*(Expenses!A$3:A$1002=DATE(2026,8,16)),ROW(Expenses!A$3:A$1002)-2),1)),0)+IFERROR(INDEX(Income!C$3:C$502,SMALL(IF((Income!D$3:D$502="INR")*(Income!A$3:A$502=DATE(2026,8,16)),ROW(Income!A$3:A$502)-2),1)),0)=0,"",IFERROR(-INDEX(Expenses!D$3:D$1002,SMALL(IF((Expenses!E$3:E$1002="INR")*(Expenses!A$3:A$1002=DATE(2026,8,16)),ROW(Expenses!A$3:A$1002)-2),1)),0)+IFERROR(INDEX(Income!C$3:C$502,SMALL(IF((Income!D$3:D$502="INR")*(Income!A$3:A$502=DATE(2026,8,16)),ROW(Income!A$3:A$502)-2),1)),0))</f>
        <v/>
      </c>
      <c r="P164" s="38" t="str">
        <f aca="false">IF(IFERROR(INDEX(Expenses!B$3:B$1002,SMALL(IF((Expenses!E$3:E$1002="INR")*(Expenses!A$3:A$1002=DATE(2026,8,16)),ROW(Expenses!A$3:A$1002)-2),1)),"")&lt;&gt;"",IFERROR(INDEX(Expenses!B$3:B$1002,SMALL(IF((Expenses!E$3:E$1002="INR")*(Expenses!A$3:A$1002=DATE(2026,8,16)),ROW(Expenses!A$3:A$1002)-2),1)),""),IF(IFERROR(INDEX(Income!B$3:B$502,SMALL(IF((Income!D$3:D$502="INR")*(Income!A$3:A$502=DATE(2026,8,16)),ROW(Income!A$3:A$502)-2),1)),"")&lt;&gt;"",IFERROR(INDEX(Income!B$3:B$502,SMALL(IF((Income!D$3:D$502="INR")*(Income!A$3:A$502=DATE(2026,8,16)),ROW(Income!A$3:A$502)-2),1)),""),""))</f>
        <v/>
      </c>
      <c r="Q164" s="3" t="n">
        <v>33</v>
      </c>
      <c r="R164" s="53" t="n">
        <f aca="false">SUM(C164:C168)+SUM(E164:E168)+SUM(G164:G168)+SUM(I164:I168)+SUM(K164:K168)+SUM(M164:M168)+SUM(O164:O168)</f>
        <v>0</v>
      </c>
    </row>
    <row r="165" customFormat="false" ht="15" hidden="false" customHeight="false" outlineLevel="0" collapsed="false">
      <c r="A165" s="16"/>
      <c r="B165" s="16"/>
      <c r="C165" s="63" t="str">
        <f aca="false">IF(IFERROR(-INDEX(Expenses!D$3:D$1002,SMALL(IF((Expenses!E$3:E$1002="INR")*(Expenses!A$3:A$1002=DATE(2026,8,10)),ROW(Expenses!A$3:A$1002)-2),2)),0)+IFERROR(INDEX(Income!C$3:C$502,SMALL(IF((Income!D$3:D$502="INR")*(Income!A$3:A$502=DATE(2026,8,10)),ROW(Income!A$3:A$502)-2),2)),0)=0,"",IFERROR(-INDEX(Expenses!D$3:D$1002,SMALL(IF((Expenses!E$3:E$1002="INR")*(Expenses!A$3:A$1002=DATE(2026,8,10)),ROW(Expenses!A$3:A$1002)-2),2)),0)+IFERROR(INDEX(Income!C$3:C$502,SMALL(IF((Income!D$3:D$502="INR")*(Income!A$3:A$502=DATE(2026,8,10)),ROW(Income!A$3:A$502)-2),2)),0))</f>
        <v/>
      </c>
      <c r="D165" s="38" t="str">
        <f aca="false">IF(IFERROR(INDEX(Expenses!B$3:B$1002,SMALL(IF((Expenses!E$3:E$1002="INR")*(Expenses!A$3:A$1002=DATE(2026,8,10)),ROW(Expenses!A$3:A$1002)-2),2)),"")&lt;&gt;"",IFERROR(INDEX(Expenses!B$3:B$1002,SMALL(IF((Expenses!E$3:E$1002="INR")*(Expenses!A$3:A$1002=DATE(2026,8,10)),ROW(Expenses!A$3:A$1002)-2),2)),""),IF(IFERROR(INDEX(Income!B$3:B$502,SMALL(IF((Income!D$3:D$502="INR")*(Income!A$3:A$502=DATE(2026,8,10)),ROW(Income!A$3:A$502)-2),2)),"")&lt;&gt;"",IFERROR(INDEX(Income!B$3:B$502,SMALL(IF((Income!D$3:D$502="INR")*(Income!A$3:A$502=DATE(2026,8,10)),ROW(Income!A$3:A$502)-2),2)),""),""))</f>
        <v/>
      </c>
      <c r="E165" s="63" t="str">
        <f aca="false">IF(IFERROR(-INDEX(Expenses!D$3:D$1002,SMALL(IF((Expenses!E$3:E$1002="INR")*(Expenses!A$3:A$1002=DATE(2026,8,11)),ROW(Expenses!A$3:A$1002)-2),2)),0)+IFERROR(INDEX(Income!C$3:C$502,SMALL(IF((Income!D$3:D$502="INR")*(Income!A$3:A$502=DATE(2026,8,11)),ROW(Income!A$3:A$502)-2),2)),0)=0,"",IFERROR(-INDEX(Expenses!D$3:D$1002,SMALL(IF((Expenses!E$3:E$1002="INR")*(Expenses!A$3:A$1002=DATE(2026,8,11)),ROW(Expenses!A$3:A$1002)-2),2)),0)+IFERROR(INDEX(Income!C$3:C$502,SMALL(IF((Income!D$3:D$502="INR")*(Income!A$3:A$502=DATE(2026,8,11)),ROW(Income!A$3:A$502)-2),2)),0))</f>
        <v/>
      </c>
      <c r="F165" s="38" t="str">
        <f aca="false">IF(IFERROR(INDEX(Expenses!B$3:B$1002,SMALL(IF((Expenses!E$3:E$1002="INR")*(Expenses!A$3:A$1002=DATE(2026,8,11)),ROW(Expenses!A$3:A$1002)-2),2)),"")&lt;&gt;"",IFERROR(INDEX(Expenses!B$3:B$1002,SMALL(IF((Expenses!E$3:E$1002="INR")*(Expenses!A$3:A$1002=DATE(2026,8,11)),ROW(Expenses!A$3:A$1002)-2),2)),""),IF(IFERROR(INDEX(Income!B$3:B$502,SMALL(IF((Income!D$3:D$502="INR")*(Income!A$3:A$502=DATE(2026,8,11)),ROW(Income!A$3:A$502)-2),2)),"")&lt;&gt;"",IFERROR(INDEX(Income!B$3:B$502,SMALL(IF((Income!D$3:D$502="INR")*(Income!A$3:A$502=DATE(2026,8,11)),ROW(Income!A$3:A$502)-2),2)),""),""))</f>
        <v/>
      </c>
      <c r="G165" s="63" t="str">
        <f aca="false">IF(IFERROR(-INDEX(Expenses!D$3:D$1002,SMALL(IF((Expenses!E$3:E$1002="INR")*(Expenses!A$3:A$1002=DATE(2026,8,12)),ROW(Expenses!A$3:A$1002)-2),2)),0)+IFERROR(INDEX(Income!C$3:C$502,SMALL(IF((Income!D$3:D$502="INR")*(Income!A$3:A$502=DATE(2026,8,12)),ROW(Income!A$3:A$502)-2),2)),0)=0,"",IFERROR(-INDEX(Expenses!D$3:D$1002,SMALL(IF((Expenses!E$3:E$1002="INR")*(Expenses!A$3:A$1002=DATE(2026,8,12)),ROW(Expenses!A$3:A$1002)-2),2)),0)+IFERROR(INDEX(Income!C$3:C$502,SMALL(IF((Income!D$3:D$502="INR")*(Income!A$3:A$502=DATE(2026,8,12)),ROW(Income!A$3:A$502)-2),2)),0))</f>
        <v/>
      </c>
      <c r="H165" s="38" t="str">
        <f aca="false">IF(IFERROR(INDEX(Expenses!B$3:B$1002,SMALL(IF((Expenses!E$3:E$1002="INR")*(Expenses!A$3:A$1002=DATE(2026,8,12)),ROW(Expenses!A$3:A$1002)-2),2)),"")&lt;&gt;"",IFERROR(INDEX(Expenses!B$3:B$1002,SMALL(IF((Expenses!E$3:E$1002="INR")*(Expenses!A$3:A$1002=DATE(2026,8,12)),ROW(Expenses!A$3:A$1002)-2),2)),""),IF(IFERROR(INDEX(Income!B$3:B$502,SMALL(IF((Income!D$3:D$502="INR")*(Income!A$3:A$502=DATE(2026,8,12)),ROW(Income!A$3:A$502)-2),2)),"")&lt;&gt;"",IFERROR(INDEX(Income!B$3:B$502,SMALL(IF((Income!D$3:D$502="INR")*(Income!A$3:A$502=DATE(2026,8,12)),ROW(Income!A$3:A$502)-2),2)),""),""))</f>
        <v/>
      </c>
      <c r="I165" s="63" t="str">
        <f aca="false">IF(IFERROR(-INDEX(Expenses!D$3:D$1002,SMALL(IF((Expenses!E$3:E$1002="INR")*(Expenses!A$3:A$1002=DATE(2026,8,13)),ROW(Expenses!A$3:A$1002)-2),2)),0)+IFERROR(INDEX(Income!C$3:C$502,SMALL(IF((Income!D$3:D$502="INR")*(Income!A$3:A$502=DATE(2026,8,13)),ROW(Income!A$3:A$502)-2),2)),0)=0,"",IFERROR(-INDEX(Expenses!D$3:D$1002,SMALL(IF((Expenses!E$3:E$1002="INR")*(Expenses!A$3:A$1002=DATE(2026,8,13)),ROW(Expenses!A$3:A$1002)-2),2)),0)+IFERROR(INDEX(Income!C$3:C$502,SMALL(IF((Income!D$3:D$502="INR")*(Income!A$3:A$502=DATE(2026,8,13)),ROW(Income!A$3:A$502)-2),2)),0))</f>
        <v/>
      </c>
      <c r="J165" s="38" t="str">
        <f aca="false">IF(IFERROR(INDEX(Expenses!B$3:B$1002,SMALL(IF((Expenses!E$3:E$1002="INR")*(Expenses!A$3:A$1002=DATE(2026,8,13)),ROW(Expenses!A$3:A$1002)-2),2)),"")&lt;&gt;"",IFERROR(INDEX(Expenses!B$3:B$1002,SMALL(IF((Expenses!E$3:E$1002="INR")*(Expenses!A$3:A$1002=DATE(2026,8,13)),ROW(Expenses!A$3:A$1002)-2),2)),""),IF(IFERROR(INDEX(Income!B$3:B$502,SMALL(IF((Income!D$3:D$502="INR")*(Income!A$3:A$502=DATE(2026,8,13)),ROW(Income!A$3:A$502)-2),2)),"")&lt;&gt;"",IFERROR(INDEX(Income!B$3:B$502,SMALL(IF((Income!D$3:D$502="INR")*(Income!A$3:A$502=DATE(2026,8,13)),ROW(Income!A$3:A$502)-2),2)),""),""))</f>
        <v/>
      </c>
      <c r="K165" s="63" t="str">
        <f aca="false">IF(IFERROR(-INDEX(Expenses!D$3:D$1002,SMALL(IF((Expenses!E$3:E$1002="INR")*(Expenses!A$3:A$1002=DATE(2026,8,14)),ROW(Expenses!A$3:A$1002)-2),2)),0)+IFERROR(INDEX(Income!C$3:C$502,SMALL(IF((Income!D$3:D$502="INR")*(Income!A$3:A$502=DATE(2026,8,14)),ROW(Income!A$3:A$502)-2),2)),0)=0,"",IFERROR(-INDEX(Expenses!D$3:D$1002,SMALL(IF((Expenses!E$3:E$1002="INR")*(Expenses!A$3:A$1002=DATE(2026,8,14)),ROW(Expenses!A$3:A$1002)-2),2)),0)+IFERROR(INDEX(Income!C$3:C$502,SMALL(IF((Income!D$3:D$502="INR")*(Income!A$3:A$502=DATE(2026,8,14)),ROW(Income!A$3:A$502)-2),2)),0))</f>
        <v/>
      </c>
      <c r="L165" s="38" t="str">
        <f aca="false">IF(IFERROR(INDEX(Expenses!B$3:B$1002,SMALL(IF((Expenses!E$3:E$1002="INR")*(Expenses!A$3:A$1002=DATE(2026,8,14)),ROW(Expenses!A$3:A$1002)-2),2)),"")&lt;&gt;"",IFERROR(INDEX(Expenses!B$3:B$1002,SMALL(IF((Expenses!E$3:E$1002="INR")*(Expenses!A$3:A$1002=DATE(2026,8,14)),ROW(Expenses!A$3:A$1002)-2),2)),""),IF(IFERROR(INDEX(Income!B$3:B$502,SMALL(IF((Income!D$3:D$502="INR")*(Income!A$3:A$502=DATE(2026,8,14)),ROW(Income!A$3:A$502)-2),2)),"")&lt;&gt;"",IFERROR(INDEX(Income!B$3:B$502,SMALL(IF((Income!D$3:D$502="INR")*(Income!A$3:A$502=DATE(2026,8,14)),ROW(Income!A$3:A$502)-2),2)),""),""))</f>
        <v/>
      </c>
      <c r="M165" s="63" t="str">
        <f aca="false">IF(IFERROR(-INDEX(Expenses!D$3:D$1002,SMALL(IF((Expenses!E$3:E$1002="INR")*(Expenses!A$3:A$1002=DATE(2026,8,15)),ROW(Expenses!A$3:A$1002)-2),2)),0)+IFERROR(INDEX(Income!C$3:C$502,SMALL(IF((Income!D$3:D$502="INR")*(Income!A$3:A$502=DATE(2026,8,15)),ROW(Income!A$3:A$502)-2),2)),0)=0,"",IFERROR(-INDEX(Expenses!D$3:D$1002,SMALL(IF((Expenses!E$3:E$1002="INR")*(Expenses!A$3:A$1002=DATE(2026,8,15)),ROW(Expenses!A$3:A$1002)-2),2)),0)+IFERROR(INDEX(Income!C$3:C$502,SMALL(IF((Income!D$3:D$502="INR")*(Income!A$3:A$502=DATE(2026,8,15)),ROW(Income!A$3:A$502)-2),2)),0))</f>
        <v/>
      </c>
      <c r="N165" s="38" t="str">
        <f aca="false">IF(IFERROR(INDEX(Expenses!B$3:B$1002,SMALL(IF((Expenses!E$3:E$1002="INR")*(Expenses!A$3:A$1002=DATE(2026,8,15)),ROW(Expenses!A$3:A$1002)-2),2)),"")&lt;&gt;"",IFERROR(INDEX(Expenses!B$3:B$1002,SMALL(IF((Expenses!E$3:E$1002="INR")*(Expenses!A$3:A$1002=DATE(2026,8,15)),ROW(Expenses!A$3:A$1002)-2),2)),""),IF(IFERROR(INDEX(Income!B$3:B$502,SMALL(IF((Income!D$3:D$502="INR")*(Income!A$3:A$502=DATE(2026,8,15)),ROW(Income!A$3:A$502)-2),2)),"")&lt;&gt;"",IFERROR(INDEX(Income!B$3:B$502,SMALL(IF((Income!D$3:D$502="INR")*(Income!A$3:A$502=DATE(2026,8,15)),ROW(Income!A$3:A$502)-2),2)),""),""))</f>
        <v/>
      </c>
      <c r="O165" s="63" t="str">
        <f aca="false">IF(IFERROR(-INDEX(Expenses!D$3:D$1002,SMALL(IF((Expenses!E$3:E$1002="INR")*(Expenses!A$3:A$1002=DATE(2026,8,16)),ROW(Expenses!A$3:A$1002)-2),2)),0)+IFERROR(INDEX(Income!C$3:C$502,SMALL(IF((Income!D$3:D$502="INR")*(Income!A$3:A$502=DATE(2026,8,16)),ROW(Income!A$3:A$502)-2),2)),0)=0,"",IFERROR(-INDEX(Expenses!D$3:D$1002,SMALL(IF((Expenses!E$3:E$1002="INR")*(Expenses!A$3:A$1002=DATE(2026,8,16)),ROW(Expenses!A$3:A$1002)-2),2)),0)+IFERROR(INDEX(Income!C$3:C$502,SMALL(IF((Income!D$3:D$502="INR")*(Income!A$3:A$502=DATE(2026,8,16)),ROW(Income!A$3:A$502)-2),2)),0))</f>
        <v/>
      </c>
      <c r="P165" s="38" t="str">
        <f aca="false">IF(IFERROR(INDEX(Expenses!B$3:B$1002,SMALL(IF((Expenses!E$3:E$1002="INR")*(Expenses!A$3:A$1002=DATE(2026,8,16)),ROW(Expenses!A$3:A$1002)-2),2)),"")&lt;&gt;"",IFERROR(INDEX(Expenses!B$3:B$1002,SMALL(IF((Expenses!E$3:E$1002="INR")*(Expenses!A$3:A$1002=DATE(2026,8,16)),ROW(Expenses!A$3:A$1002)-2),2)),""),IF(IFERROR(INDEX(Income!B$3:B$502,SMALL(IF((Income!D$3:D$502="INR")*(Income!A$3:A$502=DATE(2026,8,16)),ROW(Income!A$3:A$502)-2),2)),"")&lt;&gt;"",IFERROR(INDEX(Income!B$3:B$502,SMALL(IF((Income!D$3:D$502="INR")*(Income!A$3:A$502=DATE(2026,8,16)),ROW(Income!A$3:A$502)-2),2)),""),""))</f>
        <v/>
      </c>
      <c r="Q165" s="16"/>
      <c r="R165" s="16"/>
    </row>
    <row r="166" customFormat="false" ht="15" hidden="false" customHeight="false" outlineLevel="0" collapsed="false">
      <c r="A166" s="16"/>
      <c r="B166" s="16"/>
      <c r="C166" s="63" t="str">
        <f aca="false">IF(IFERROR(-INDEX(Expenses!D$3:D$1002,SMALL(IF((Expenses!E$3:E$1002="INR")*(Expenses!A$3:A$1002=DATE(2026,8,10)),ROW(Expenses!A$3:A$1002)-2),3)),0)+IFERROR(INDEX(Income!C$3:C$502,SMALL(IF((Income!D$3:D$502="INR")*(Income!A$3:A$502=DATE(2026,8,10)),ROW(Income!A$3:A$502)-2),3)),0)=0,"",IFERROR(-INDEX(Expenses!D$3:D$1002,SMALL(IF((Expenses!E$3:E$1002="INR")*(Expenses!A$3:A$1002=DATE(2026,8,10)),ROW(Expenses!A$3:A$1002)-2),3)),0)+IFERROR(INDEX(Income!C$3:C$502,SMALL(IF((Income!D$3:D$502="INR")*(Income!A$3:A$502=DATE(2026,8,10)),ROW(Income!A$3:A$502)-2),3)),0))</f>
        <v/>
      </c>
      <c r="D166" s="38" t="str">
        <f aca="false">IF(IFERROR(INDEX(Expenses!B$3:B$1002,SMALL(IF((Expenses!E$3:E$1002="INR")*(Expenses!A$3:A$1002=DATE(2026,8,10)),ROW(Expenses!A$3:A$1002)-2),3)),"")&lt;&gt;"",IFERROR(INDEX(Expenses!B$3:B$1002,SMALL(IF((Expenses!E$3:E$1002="INR")*(Expenses!A$3:A$1002=DATE(2026,8,10)),ROW(Expenses!A$3:A$1002)-2),3)),""),IF(IFERROR(INDEX(Income!B$3:B$502,SMALL(IF((Income!D$3:D$502="INR")*(Income!A$3:A$502=DATE(2026,8,10)),ROW(Income!A$3:A$502)-2),3)),"")&lt;&gt;"",IFERROR(INDEX(Income!B$3:B$502,SMALL(IF((Income!D$3:D$502="INR")*(Income!A$3:A$502=DATE(2026,8,10)),ROW(Income!A$3:A$502)-2),3)),""),""))</f>
        <v/>
      </c>
      <c r="E166" s="63" t="str">
        <f aca="false">IF(IFERROR(-INDEX(Expenses!D$3:D$1002,SMALL(IF((Expenses!E$3:E$1002="INR")*(Expenses!A$3:A$1002=DATE(2026,8,11)),ROW(Expenses!A$3:A$1002)-2),3)),0)+IFERROR(INDEX(Income!C$3:C$502,SMALL(IF((Income!D$3:D$502="INR")*(Income!A$3:A$502=DATE(2026,8,11)),ROW(Income!A$3:A$502)-2),3)),0)=0,"",IFERROR(-INDEX(Expenses!D$3:D$1002,SMALL(IF((Expenses!E$3:E$1002="INR")*(Expenses!A$3:A$1002=DATE(2026,8,11)),ROW(Expenses!A$3:A$1002)-2),3)),0)+IFERROR(INDEX(Income!C$3:C$502,SMALL(IF((Income!D$3:D$502="INR")*(Income!A$3:A$502=DATE(2026,8,11)),ROW(Income!A$3:A$502)-2),3)),0))</f>
        <v/>
      </c>
      <c r="F166" s="38" t="str">
        <f aca="false">IF(IFERROR(INDEX(Expenses!B$3:B$1002,SMALL(IF((Expenses!E$3:E$1002="INR")*(Expenses!A$3:A$1002=DATE(2026,8,11)),ROW(Expenses!A$3:A$1002)-2),3)),"")&lt;&gt;"",IFERROR(INDEX(Expenses!B$3:B$1002,SMALL(IF((Expenses!E$3:E$1002="INR")*(Expenses!A$3:A$1002=DATE(2026,8,11)),ROW(Expenses!A$3:A$1002)-2),3)),""),IF(IFERROR(INDEX(Income!B$3:B$502,SMALL(IF((Income!D$3:D$502="INR")*(Income!A$3:A$502=DATE(2026,8,11)),ROW(Income!A$3:A$502)-2),3)),"")&lt;&gt;"",IFERROR(INDEX(Income!B$3:B$502,SMALL(IF((Income!D$3:D$502="INR")*(Income!A$3:A$502=DATE(2026,8,11)),ROW(Income!A$3:A$502)-2),3)),""),""))</f>
        <v/>
      </c>
      <c r="G166" s="63" t="str">
        <f aca="false">IF(IFERROR(-INDEX(Expenses!D$3:D$1002,SMALL(IF((Expenses!E$3:E$1002="INR")*(Expenses!A$3:A$1002=DATE(2026,8,12)),ROW(Expenses!A$3:A$1002)-2),3)),0)+IFERROR(INDEX(Income!C$3:C$502,SMALL(IF((Income!D$3:D$502="INR")*(Income!A$3:A$502=DATE(2026,8,12)),ROW(Income!A$3:A$502)-2),3)),0)=0,"",IFERROR(-INDEX(Expenses!D$3:D$1002,SMALL(IF((Expenses!E$3:E$1002="INR")*(Expenses!A$3:A$1002=DATE(2026,8,12)),ROW(Expenses!A$3:A$1002)-2),3)),0)+IFERROR(INDEX(Income!C$3:C$502,SMALL(IF((Income!D$3:D$502="INR")*(Income!A$3:A$502=DATE(2026,8,12)),ROW(Income!A$3:A$502)-2),3)),0))</f>
        <v/>
      </c>
      <c r="H166" s="38" t="str">
        <f aca="false">IF(IFERROR(INDEX(Expenses!B$3:B$1002,SMALL(IF((Expenses!E$3:E$1002="INR")*(Expenses!A$3:A$1002=DATE(2026,8,12)),ROW(Expenses!A$3:A$1002)-2),3)),"")&lt;&gt;"",IFERROR(INDEX(Expenses!B$3:B$1002,SMALL(IF((Expenses!E$3:E$1002="INR")*(Expenses!A$3:A$1002=DATE(2026,8,12)),ROW(Expenses!A$3:A$1002)-2),3)),""),IF(IFERROR(INDEX(Income!B$3:B$502,SMALL(IF((Income!D$3:D$502="INR")*(Income!A$3:A$502=DATE(2026,8,12)),ROW(Income!A$3:A$502)-2),3)),"")&lt;&gt;"",IFERROR(INDEX(Income!B$3:B$502,SMALL(IF((Income!D$3:D$502="INR")*(Income!A$3:A$502=DATE(2026,8,12)),ROW(Income!A$3:A$502)-2),3)),""),""))</f>
        <v/>
      </c>
      <c r="I166" s="63" t="str">
        <f aca="false">IF(IFERROR(-INDEX(Expenses!D$3:D$1002,SMALL(IF((Expenses!E$3:E$1002="INR")*(Expenses!A$3:A$1002=DATE(2026,8,13)),ROW(Expenses!A$3:A$1002)-2),3)),0)+IFERROR(INDEX(Income!C$3:C$502,SMALL(IF((Income!D$3:D$502="INR")*(Income!A$3:A$502=DATE(2026,8,13)),ROW(Income!A$3:A$502)-2),3)),0)=0,"",IFERROR(-INDEX(Expenses!D$3:D$1002,SMALL(IF((Expenses!E$3:E$1002="INR")*(Expenses!A$3:A$1002=DATE(2026,8,13)),ROW(Expenses!A$3:A$1002)-2),3)),0)+IFERROR(INDEX(Income!C$3:C$502,SMALL(IF((Income!D$3:D$502="INR")*(Income!A$3:A$502=DATE(2026,8,13)),ROW(Income!A$3:A$502)-2),3)),0))</f>
        <v/>
      </c>
      <c r="J166" s="38" t="str">
        <f aca="false">IF(IFERROR(INDEX(Expenses!B$3:B$1002,SMALL(IF((Expenses!E$3:E$1002="INR")*(Expenses!A$3:A$1002=DATE(2026,8,13)),ROW(Expenses!A$3:A$1002)-2),3)),"")&lt;&gt;"",IFERROR(INDEX(Expenses!B$3:B$1002,SMALL(IF((Expenses!E$3:E$1002="INR")*(Expenses!A$3:A$1002=DATE(2026,8,13)),ROW(Expenses!A$3:A$1002)-2),3)),""),IF(IFERROR(INDEX(Income!B$3:B$502,SMALL(IF((Income!D$3:D$502="INR")*(Income!A$3:A$502=DATE(2026,8,13)),ROW(Income!A$3:A$502)-2),3)),"")&lt;&gt;"",IFERROR(INDEX(Income!B$3:B$502,SMALL(IF((Income!D$3:D$502="INR")*(Income!A$3:A$502=DATE(2026,8,13)),ROW(Income!A$3:A$502)-2),3)),""),""))</f>
        <v/>
      </c>
      <c r="K166" s="63" t="str">
        <f aca="false">IF(IFERROR(-INDEX(Expenses!D$3:D$1002,SMALL(IF((Expenses!E$3:E$1002="INR")*(Expenses!A$3:A$1002=DATE(2026,8,14)),ROW(Expenses!A$3:A$1002)-2),3)),0)+IFERROR(INDEX(Income!C$3:C$502,SMALL(IF((Income!D$3:D$502="INR")*(Income!A$3:A$502=DATE(2026,8,14)),ROW(Income!A$3:A$502)-2),3)),0)=0,"",IFERROR(-INDEX(Expenses!D$3:D$1002,SMALL(IF((Expenses!E$3:E$1002="INR")*(Expenses!A$3:A$1002=DATE(2026,8,14)),ROW(Expenses!A$3:A$1002)-2),3)),0)+IFERROR(INDEX(Income!C$3:C$502,SMALL(IF((Income!D$3:D$502="INR")*(Income!A$3:A$502=DATE(2026,8,14)),ROW(Income!A$3:A$502)-2),3)),0))</f>
        <v/>
      </c>
      <c r="L166" s="38" t="str">
        <f aca="false">IF(IFERROR(INDEX(Expenses!B$3:B$1002,SMALL(IF((Expenses!E$3:E$1002="INR")*(Expenses!A$3:A$1002=DATE(2026,8,14)),ROW(Expenses!A$3:A$1002)-2),3)),"")&lt;&gt;"",IFERROR(INDEX(Expenses!B$3:B$1002,SMALL(IF((Expenses!E$3:E$1002="INR")*(Expenses!A$3:A$1002=DATE(2026,8,14)),ROW(Expenses!A$3:A$1002)-2),3)),""),IF(IFERROR(INDEX(Income!B$3:B$502,SMALL(IF((Income!D$3:D$502="INR")*(Income!A$3:A$502=DATE(2026,8,14)),ROW(Income!A$3:A$502)-2),3)),"")&lt;&gt;"",IFERROR(INDEX(Income!B$3:B$502,SMALL(IF((Income!D$3:D$502="INR")*(Income!A$3:A$502=DATE(2026,8,14)),ROW(Income!A$3:A$502)-2),3)),""),""))</f>
        <v/>
      </c>
      <c r="M166" s="63" t="str">
        <f aca="false">IF(IFERROR(-INDEX(Expenses!D$3:D$1002,SMALL(IF((Expenses!E$3:E$1002="INR")*(Expenses!A$3:A$1002=DATE(2026,8,15)),ROW(Expenses!A$3:A$1002)-2),3)),0)+IFERROR(INDEX(Income!C$3:C$502,SMALL(IF((Income!D$3:D$502="INR")*(Income!A$3:A$502=DATE(2026,8,15)),ROW(Income!A$3:A$502)-2),3)),0)=0,"",IFERROR(-INDEX(Expenses!D$3:D$1002,SMALL(IF((Expenses!E$3:E$1002="INR")*(Expenses!A$3:A$1002=DATE(2026,8,15)),ROW(Expenses!A$3:A$1002)-2),3)),0)+IFERROR(INDEX(Income!C$3:C$502,SMALL(IF((Income!D$3:D$502="INR")*(Income!A$3:A$502=DATE(2026,8,15)),ROW(Income!A$3:A$502)-2),3)),0))</f>
        <v/>
      </c>
      <c r="N166" s="38" t="str">
        <f aca="false">IF(IFERROR(INDEX(Expenses!B$3:B$1002,SMALL(IF((Expenses!E$3:E$1002="INR")*(Expenses!A$3:A$1002=DATE(2026,8,15)),ROW(Expenses!A$3:A$1002)-2),3)),"")&lt;&gt;"",IFERROR(INDEX(Expenses!B$3:B$1002,SMALL(IF((Expenses!E$3:E$1002="INR")*(Expenses!A$3:A$1002=DATE(2026,8,15)),ROW(Expenses!A$3:A$1002)-2),3)),""),IF(IFERROR(INDEX(Income!B$3:B$502,SMALL(IF((Income!D$3:D$502="INR")*(Income!A$3:A$502=DATE(2026,8,15)),ROW(Income!A$3:A$502)-2),3)),"")&lt;&gt;"",IFERROR(INDEX(Income!B$3:B$502,SMALL(IF((Income!D$3:D$502="INR")*(Income!A$3:A$502=DATE(2026,8,15)),ROW(Income!A$3:A$502)-2),3)),""),""))</f>
        <v/>
      </c>
      <c r="O166" s="63" t="str">
        <f aca="false">IF(IFERROR(-INDEX(Expenses!D$3:D$1002,SMALL(IF((Expenses!E$3:E$1002="INR")*(Expenses!A$3:A$1002=DATE(2026,8,16)),ROW(Expenses!A$3:A$1002)-2),3)),0)+IFERROR(INDEX(Income!C$3:C$502,SMALL(IF((Income!D$3:D$502="INR")*(Income!A$3:A$502=DATE(2026,8,16)),ROW(Income!A$3:A$502)-2),3)),0)=0,"",IFERROR(-INDEX(Expenses!D$3:D$1002,SMALL(IF((Expenses!E$3:E$1002="INR")*(Expenses!A$3:A$1002=DATE(2026,8,16)),ROW(Expenses!A$3:A$1002)-2),3)),0)+IFERROR(INDEX(Income!C$3:C$502,SMALL(IF((Income!D$3:D$502="INR")*(Income!A$3:A$502=DATE(2026,8,16)),ROW(Income!A$3:A$502)-2),3)),0))</f>
        <v/>
      </c>
      <c r="P166" s="38" t="str">
        <f aca="false">IF(IFERROR(INDEX(Expenses!B$3:B$1002,SMALL(IF((Expenses!E$3:E$1002="INR")*(Expenses!A$3:A$1002=DATE(2026,8,16)),ROW(Expenses!A$3:A$1002)-2),3)),"")&lt;&gt;"",IFERROR(INDEX(Expenses!B$3:B$1002,SMALL(IF((Expenses!E$3:E$1002="INR")*(Expenses!A$3:A$1002=DATE(2026,8,16)),ROW(Expenses!A$3:A$1002)-2),3)),""),IF(IFERROR(INDEX(Income!B$3:B$502,SMALL(IF((Income!D$3:D$502="INR")*(Income!A$3:A$502=DATE(2026,8,16)),ROW(Income!A$3:A$502)-2),3)),"")&lt;&gt;"",IFERROR(INDEX(Income!B$3:B$502,SMALL(IF((Income!D$3:D$502="INR")*(Income!A$3:A$502=DATE(2026,8,16)),ROW(Income!A$3:A$502)-2),3)),""),""))</f>
        <v/>
      </c>
      <c r="Q166" s="16"/>
      <c r="R166" s="16"/>
    </row>
    <row r="167" customFormat="false" ht="15" hidden="false" customHeight="false" outlineLevel="0" collapsed="false">
      <c r="A167" s="16"/>
      <c r="B167" s="16"/>
      <c r="C167" s="63" t="str">
        <f aca="false">IF(IFERROR(-INDEX(Expenses!D$3:D$1002,SMALL(IF((Expenses!E$3:E$1002="INR")*(Expenses!A$3:A$1002=DATE(2026,8,10)),ROW(Expenses!A$3:A$1002)-2),4)),0)+IFERROR(INDEX(Income!C$3:C$502,SMALL(IF((Income!D$3:D$502="INR")*(Income!A$3:A$502=DATE(2026,8,10)),ROW(Income!A$3:A$502)-2),4)),0)=0,"",IFERROR(-INDEX(Expenses!D$3:D$1002,SMALL(IF((Expenses!E$3:E$1002="INR")*(Expenses!A$3:A$1002=DATE(2026,8,10)),ROW(Expenses!A$3:A$1002)-2),4)),0)+IFERROR(INDEX(Income!C$3:C$502,SMALL(IF((Income!D$3:D$502="INR")*(Income!A$3:A$502=DATE(2026,8,10)),ROW(Income!A$3:A$502)-2),4)),0))</f>
        <v/>
      </c>
      <c r="D167" s="38" t="str">
        <f aca="false">IF(IFERROR(INDEX(Expenses!B$3:B$1002,SMALL(IF((Expenses!E$3:E$1002="INR")*(Expenses!A$3:A$1002=DATE(2026,8,10)),ROW(Expenses!A$3:A$1002)-2),4)),"")&lt;&gt;"",IFERROR(INDEX(Expenses!B$3:B$1002,SMALL(IF((Expenses!E$3:E$1002="INR")*(Expenses!A$3:A$1002=DATE(2026,8,10)),ROW(Expenses!A$3:A$1002)-2),4)),""),IF(IFERROR(INDEX(Income!B$3:B$502,SMALL(IF((Income!D$3:D$502="INR")*(Income!A$3:A$502=DATE(2026,8,10)),ROW(Income!A$3:A$502)-2),4)),"")&lt;&gt;"",IFERROR(INDEX(Income!B$3:B$502,SMALL(IF((Income!D$3:D$502="INR")*(Income!A$3:A$502=DATE(2026,8,10)),ROW(Income!A$3:A$502)-2),4)),""),""))</f>
        <v/>
      </c>
      <c r="E167" s="63" t="str">
        <f aca="false">IF(IFERROR(-INDEX(Expenses!D$3:D$1002,SMALL(IF((Expenses!E$3:E$1002="INR")*(Expenses!A$3:A$1002=DATE(2026,8,11)),ROW(Expenses!A$3:A$1002)-2),4)),0)+IFERROR(INDEX(Income!C$3:C$502,SMALL(IF((Income!D$3:D$502="INR")*(Income!A$3:A$502=DATE(2026,8,11)),ROW(Income!A$3:A$502)-2),4)),0)=0,"",IFERROR(-INDEX(Expenses!D$3:D$1002,SMALL(IF((Expenses!E$3:E$1002="INR")*(Expenses!A$3:A$1002=DATE(2026,8,11)),ROW(Expenses!A$3:A$1002)-2),4)),0)+IFERROR(INDEX(Income!C$3:C$502,SMALL(IF((Income!D$3:D$502="INR")*(Income!A$3:A$502=DATE(2026,8,11)),ROW(Income!A$3:A$502)-2),4)),0))</f>
        <v/>
      </c>
      <c r="F167" s="38" t="str">
        <f aca="false">IF(IFERROR(INDEX(Expenses!B$3:B$1002,SMALL(IF((Expenses!E$3:E$1002="INR")*(Expenses!A$3:A$1002=DATE(2026,8,11)),ROW(Expenses!A$3:A$1002)-2),4)),"")&lt;&gt;"",IFERROR(INDEX(Expenses!B$3:B$1002,SMALL(IF((Expenses!E$3:E$1002="INR")*(Expenses!A$3:A$1002=DATE(2026,8,11)),ROW(Expenses!A$3:A$1002)-2),4)),""),IF(IFERROR(INDEX(Income!B$3:B$502,SMALL(IF((Income!D$3:D$502="INR")*(Income!A$3:A$502=DATE(2026,8,11)),ROW(Income!A$3:A$502)-2),4)),"")&lt;&gt;"",IFERROR(INDEX(Income!B$3:B$502,SMALL(IF((Income!D$3:D$502="INR")*(Income!A$3:A$502=DATE(2026,8,11)),ROW(Income!A$3:A$502)-2),4)),""),""))</f>
        <v/>
      </c>
      <c r="G167" s="63" t="str">
        <f aca="false">IF(IFERROR(-INDEX(Expenses!D$3:D$1002,SMALL(IF((Expenses!E$3:E$1002="INR")*(Expenses!A$3:A$1002=DATE(2026,8,12)),ROW(Expenses!A$3:A$1002)-2),4)),0)+IFERROR(INDEX(Income!C$3:C$502,SMALL(IF((Income!D$3:D$502="INR")*(Income!A$3:A$502=DATE(2026,8,12)),ROW(Income!A$3:A$502)-2),4)),0)=0,"",IFERROR(-INDEX(Expenses!D$3:D$1002,SMALL(IF((Expenses!E$3:E$1002="INR")*(Expenses!A$3:A$1002=DATE(2026,8,12)),ROW(Expenses!A$3:A$1002)-2),4)),0)+IFERROR(INDEX(Income!C$3:C$502,SMALL(IF((Income!D$3:D$502="INR")*(Income!A$3:A$502=DATE(2026,8,12)),ROW(Income!A$3:A$502)-2),4)),0))</f>
        <v/>
      </c>
      <c r="H167" s="38" t="str">
        <f aca="false">IF(IFERROR(INDEX(Expenses!B$3:B$1002,SMALL(IF((Expenses!E$3:E$1002="INR")*(Expenses!A$3:A$1002=DATE(2026,8,12)),ROW(Expenses!A$3:A$1002)-2),4)),"")&lt;&gt;"",IFERROR(INDEX(Expenses!B$3:B$1002,SMALL(IF((Expenses!E$3:E$1002="INR")*(Expenses!A$3:A$1002=DATE(2026,8,12)),ROW(Expenses!A$3:A$1002)-2),4)),""),IF(IFERROR(INDEX(Income!B$3:B$502,SMALL(IF((Income!D$3:D$502="INR")*(Income!A$3:A$502=DATE(2026,8,12)),ROW(Income!A$3:A$502)-2),4)),"")&lt;&gt;"",IFERROR(INDEX(Income!B$3:B$502,SMALL(IF((Income!D$3:D$502="INR")*(Income!A$3:A$502=DATE(2026,8,12)),ROW(Income!A$3:A$502)-2),4)),""),""))</f>
        <v/>
      </c>
      <c r="I167" s="63" t="str">
        <f aca="false">IF(IFERROR(-INDEX(Expenses!D$3:D$1002,SMALL(IF((Expenses!E$3:E$1002="INR")*(Expenses!A$3:A$1002=DATE(2026,8,13)),ROW(Expenses!A$3:A$1002)-2),4)),0)+IFERROR(INDEX(Income!C$3:C$502,SMALL(IF((Income!D$3:D$502="INR")*(Income!A$3:A$502=DATE(2026,8,13)),ROW(Income!A$3:A$502)-2),4)),0)=0,"",IFERROR(-INDEX(Expenses!D$3:D$1002,SMALL(IF((Expenses!E$3:E$1002="INR")*(Expenses!A$3:A$1002=DATE(2026,8,13)),ROW(Expenses!A$3:A$1002)-2),4)),0)+IFERROR(INDEX(Income!C$3:C$502,SMALL(IF((Income!D$3:D$502="INR")*(Income!A$3:A$502=DATE(2026,8,13)),ROW(Income!A$3:A$502)-2),4)),0))</f>
        <v/>
      </c>
      <c r="J167" s="38" t="str">
        <f aca="false">IF(IFERROR(INDEX(Expenses!B$3:B$1002,SMALL(IF((Expenses!E$3:E$1002="INR")*(Expenses!A$3:A$1002=DATE(2026,8,13)),ROW(Expenses!A$3:A$1002)-2),4)),"")&lt;&gt;"",IFERROR(INDEX(Expenses!B$3:B$1002,SMALL(IF((Expenses!E$3:E$1002="INR")*(Expenses!A$3:A$1002=DATE(2026,8,13)),ROW(Expenses!A$3:A$1002)-2),4)),""),IF(IFERROR(INDEX(Income!B$3:B$502,SMALL(IF((Income!D$3:D$502="INR")*(Income!A$3:A$502=DATE(2026,8,13)),ROW(Income!A$3:A$502)-2),4)),"")&lt;&gt;"",IFERROR(INDEX(Income!B$3:B$502,SMALL(IF((Income!D$3:D$502="INR")*(Income!A$3:A$502=DATE(2026,8,13)),ROW(Income!A$3:A$502)-2),4)),""),""))</f>
        <v/>
      </c>
      <c r="K167" s="63" t="str">
        <f aca="false">IF(IFERROR(-INDEX(Expenses!D$3:D$1002,SMALL(IF((Expenses!E$3:E$1002="INR")*(Expenses!A$3:A$1002=DATE(2026,8,14)),ROW(Expenses!A$3:A$1002)-2),4)),0)+IFERROR(INDEX(Income!C$3:C$502,SMALL(IF((Income!D$3:D$502="INR")*(Income!A$3:A$502=DATE(2026,8,14)),ROW(Income!A$3:A$502)-2),4)),0)=0,"",IFERROR(-INDEX(Expenses!D$3:D$1002,SMALL(IF((Expenses!E$3:E$1002="INR")*(Expenses!A$3:A$1002=DATE(2026,8,14)),ROW(Expenses!A$3:A$1002)-2),4)),0)+IFERROR(INDEX(Income!C$3:C$502,SMALL(IF((Income!D$3:D$502="INR")*(Income!A$3:A$502=DATE(2026,8,14)),ROW(Income!A$3:A$502)-2),4)),0))</f>
        <v/>
      </c>
      <c r="L167" s="38" t="str">
        <f aca="false">IF(IFERROR(INDEX(Expenses!B$3:B$1002,SMALL(IF((Expenses!E$3:E$1002="INR")*(Expenses!A$3:A$1002=DATE(2026,8,14)),ROW(Expenses!A$3:A$1002)-2),4)),"")&lt;&gt;"",IFERROR(INDEX(Expenses!B$3:B$1002,SMALL(IF((Expenses!E$3:E$1002="INR")*(Expenses!A$3:A$1002=DATE(2026,8,14)),ROW(Expenses!A$3:A$1002)-2),4)),""),IF(IFERROR(INDEX(Income!B$3:B$502,SMALL(IF((Income!D$3:D$502="INR")*(Income!A$3:A$502=DATE(2026,8,14)),ROW(Income!A$3:A$502)-2),4)),"")&lt;&gt;"",IFERROR(INDEX(Income!B$3:B$502,SMALL(IF((Income!D$3:D$502="INR")*(Income!A$3:A$502=DATE(2026,8,14)),ROW(Income!A$3:A$502)-2),4)),""),""))</f>
        <v/>
      </c>
      <c r="M167" s="63" t="str">
        <f aca="false">IF(IFERROR(-INDEX(Expenses!D$3:D$1002,SMALL(IF((Expenses!E$3:E$1002="INR")*(Expenses!A$3:A$1002=DATE(2026,8,15)),ROW(Expenses!A$3:A$1002)-2),4)),0)+IFERROR(INDEX(Income!C$3:C$502,SMALL(IF((Income!D$3:D$502="INR")*(Income!A$3:A$502=DATE(2026,8,15)),ROW(Income!A$3:A$502)-2),4)),0)=0,"",IFERROR(-INDEX(Expenses!D$3:D$1002,SMALL(IF((Expenses!E$3:E$1002="INR")*(Expenses!A$3:A$1002=DATE(2026,8,15)),ROW(Expenses!A$3:A$1002)-2),4)),0)+IFERROR(INDEX(Income!C$3:C$502,SMALL(IF((Income!D$3:D$502="INR")*(Income!A$3:A$502=DATE(2026,8,15)),ROW(Income!A$3:A$502)-2),4)),0))</f>
        <v/>
      </c>
      <c r="N167" s="38" t="str">
        <f aca="false">IF(IFERROR(INDEX(Expenses!B$3:B$1002,SMALL(IF((Expenses!E$3:E$1002="INR")*(Expenses!A$3:A$1002=DATE(2026,8,15)),ROW(Expenses!A$3:A$1002)-2),4)),"")&lt;&gt;"",IFERROR(INDEX(Expenses!B$3:B$1002,SMALL(IF((Expenses!E$3:E$1002="INR")*(Expenses!A$3:A$1002=DATE(2026,8,15)),ROW(Expenses!A$3:A$1002)-2),4)),""),IF(IFERROR(INDEX(Income!B$3:B$502,SMALL(IF((Income!D$3:D$502="INR")*(Income!A$3:A$502=DATE(2026,8,15)),ROW(Income!A$3:A$502)-2),4)),"")&lt;&gt;"",IFERROR(INDEX(Income!B$3:B$502,SMALL(IF((Income!D$3:D$502="INR")*(Income!A$3:A$502=DATE(2026,8,15)),ROW(Income!A$3:A$502)-2),4)),""),""))</f>
        <v/>
      </c>
      <c r="O167" s="63" t="str">
        <f aca="false">IF(IFERROR(-INDEX(Expenses!D$3:D$1002,SMALL(IF((Expenses!E$3:E$1002="INR")*(Expenses!A$3:A$1002=DATE(2026,8,16)),ROW(Expenses!A$3:A$1002)-2),4)),0)+IFERROR(INDEX(Income!C$3:C$502,SMALL(IF((Income!D$3:D$502="INR")*(Income!A$3:A$502=DATE(2026,8,16)),ROW(Income!A$3:A$502)-2),4)),0)=0,"",IFERROR(-INDEX(Expenses!D$3:D$1002,SMALL(IF((Expenses!E$3:E$1002="INR")*(Expenses!A$3:A$1002=DATE(2026,8,16)),ROW(Expenses!A$3:A$1002)-2),4)),0)+IFERROR(INDEX(Income!C$3:C$502,SMALL(IF((Income!D$3:D$502="INR")*(Income!A$3:A$502=DATE(2026,8,16)),ROW(Income!A$3:A$502)-2),4)),0))</f>
        <v/>
      </c>
      <c r="P167" s="38" t="str">
        <f aca="false">IF(IFERROR(INDEX(Expenses!B$3:B$1002,SMALL(IF((Expenses!E$3:E$1002="INR")*(Expenses!A$3:A$1002=DATE(2026,8,16)),ROW(Expenses!A$3:A$1002)-2),4)),"")&lt;&gt;"",IFERROR(INDEX(Expenses!B$3:B$1002,SMALL(IF((Expenses!E$3:E$1002="INR")*(Expenses!A$3:A$1002=DATE(2026,8,16)),ROW(Expenses!A$3:A$1002)-2),4)),""),IF(IFERROR(INDEX(Income!B$3:B$502,SMALL(IF((Income!D$3:D$502="INR")*(Income!A$3:A$502=DATE(2026,8,16)),ROW(Income!A$3:A$502)-2),4)),"")&lt;&gt;"",IFERROR(INDEX(Income!B$3:B$502,SMALL(IF((Income!D$3:D$502="INR")*(Income!A$3:A$502=DATE(2026,8,16)),ROW(Income!A$3:A$502)-2),4)),""),""))</f>
        <v/>
      </c>
      <c r="Q167" s="16"/>
      <c r="R167" s="16"/>
    </row>
    <row r="168" customFormat="false" ht="15" hidden="false" customHeight="false" outlineLevel="0" collapsed="false">
      <c r="A168" s="16"/>
      <c r="B168" s="16"/>
      <c r="C168" s="63" t="str">
        <f aca="false">IF(IFERROR(-INDEX(Expenses!D$3:D$1002,SMALL(IF((Expenses!E$3:E$1002="INR")*(Expenses!A$3:A$1002=DATE(2026,8,10)),ROW(Expenses!A$3:A$1002)-2),5)),0)+IFERROR(INDEX(Income!C$3:C$502,SMALL(IF((Income!D$3:D$502="INR")*(Income!A$3:A$502=DATE(2026,8,10)),ROW(Income!A$3:A$502)-2),5)),0)=0,"",IFERROR(-INDEX(Expenses!D$3:D$1002,SMALL(IF((Expenses!E$3:E$1002="INR")*(Expenses!A$3:A$1002=DATE(2026,8,10)),ROW(Expenses!A$3:A$1002)-2),5)),0)+IFERROR(INDEX(Income!C$3:C$502,SMALL(IF((Income!D$3:D$502="INR")*(Income!A$3:A$502=DATE(2026,8,10)),ROW(Income!A$3:A$502)-2),5)),0))</f>
        <v/>
      </c>
      <c r="D168" s="38" t="str">
        <f aca="false">IF(IFERROR(INDEX(Expenses!B$3:B$1002,SMALL(IF((Expenses!E$3:E$1002="INR")*(Expenses!A$3:A$1002=DATE(2026,8,10)),ROW(Expenses!A$3:A$1002)-2),5)),"")&lt;&gt;"",IFERROR(INDEX(Expenses!B$3:B$1002,SMALL(IF((Expenses!E$3:E$1002="INR")*(Expenses!A$3:A$1002=DATE(2026,8,10)),ROW(Expenses!A$3:A$1002)-2),5)),""),IF(IFERROR(INDEX(Income!B$3:B$502,SMALL(IF((Income!D$3:D$502="INR")*(Income!A$3:A$502=DATE(2026,8,10)),ROW(Income!A$3:A$502)-2),5)),"")&lt;&gt;"",IFERROR(INDEX(Income!B$3:B$502,SMALL(IF((Income!D$3:D$502="INR")*(Income!A$3:A$502=DATE(2026,8,10)),ROW(Income!A$3:A$502)-2),5)),""),""))</f>
        <v/>
      </c>
      <c r="E168" s="63" t="str">
        <f aca="false">IF(IFERROR(-INDEX(Expenses!D$3:D$1002,SMALL(IF((Expenses!E$3:E$1002="INR")*(Expenses!A$3:A$1002=DATE(2026,8,11)),ROW(Expenses!A$3:A$1002)-2),5)),0)+IFERROR(INDEX(Income!C$3:C$502,SMALL(IF((Income!D$3:D$502="INR")*(Income!A$3:A$502=DATE(2026,8,11)),ROW(Income!A$3:A$502)-2),5)),0)=0,"",IFERROR(-INDEX(Expenses!D$3:D$1002,SMALL(IF((Expenses!E$3:E$1002="INR")*(Expenses!A$3:A$1002=DATE(2026,8,11)),ROW(Expenses!A$3:A$1002)-2),5)),0)+IFERROR(INDEX(Income!C$3:C$502,SMALL(IF((Income!D$3:D$502="INR")*(Income!A$3:A$502=DATE(2026,8,11)),ROW(Income!A$3:A$502)-2),5)),0))</f>
        <v/>
      </c>
      <c r="F168" s="38" t="str">
        <f aca="false">IF(IFERROR(INDEX(Expenses!B$3:B$1002,SMALL(IF((Expenses!E$3:E$1002="INR")*(Expenses!A$3:A$1002=DATE(2026,8,11)),ROW(Expenses!A$3:A$1002)-2),5)),"")&lt;&gt;"",IFERROR(INDEX(Expenses!B$3:B$1002,SMALL(IF((Expenses!E$3:E$1002="INR")*(Expenses!A$3:A$1002=DATE(2026,8,11)),ROW(Expenses!A$3:A$1002)-2),5)),""),IF(IFERROR(INDEX(Income!B$3:B$502,SMALL(IF((Income!D$3:D$502="INR")*(Income!A$3:A$502=DATE(2026,8,11)),ROW(Income!A$3:A$502)-2),5)),"")&lt;&gt;"",IFERROR(INDEX(Income!B$3:B$502,SMALL(IF((Income!D$3:D$502="INR")*(Income!A$3:A$502=DATE(2026,8,11)),ROW(Income!A$3:A$502)-2),5)),""),""))</f>
        <v/>
      </c>
      <c r="G168" s="63" t="str">
        <f aca="false">IF(IFERROR(-INDEX(Expenses!D$3:D$1002,SMALL(IF((Expenses!E$3:E$1002="INR")*(Expenses!A$3:A$1002=DATE(2026,8,12)),ROW(Expenses!A$3:A$1002)-2),5)),0)+IFERROR(INDEX(Income!C$3:C$502,SMALL(IF((Income!D$3:D$502="INR")*(Income!A$3:A$502=DATE(2026,8,12)),ROW(Income!A$3:A$502)-2),5)),0)=0,"",IFERROR(-INDEX(Expenses!D$3:D$1002,SMALL(IF((Expenses!E$3:E$1002="INR")*(Expenses!A$3:A$1002=DATE(2026,8,12)),ROW(Expenses!A$3:A$1002)-2),5)),0)+IFERROR(INDEX(Income!C$3:C$502,SMALL(IF((Income!D$3:D$502="INR")*(Income!A$3:A$502=DATE(2026,8,12)),ROW(Income!A$3:A$502)-2),5)),0))</f>
        <v/>
      </c>
      <c r="H168" s="38" t="str">
        <f aca="false">IF(IFERROR(INDEX(Expenses!B$3:B$1002,SMALL(IF((Expenses!E$3:E$1002="INR")*(Expenses!A$3:A$1002=DATE(2026,8,12)),ROW(Expenses!A$3:A$1002)-2),5)),"")&lt;&gt;"",IFERROR(INDEX(Expenses!B$3:B$1002,SMALL(IF((Expenses!E$3:E$1002="INR")*(Expenses!A$3:A$1002=DATE(2026,8,12)),ROW(Expenses!A$3:A$1002)-2),5)),""),IF(IFERROR(INDEX(Income!B$3:B$502,SMALL(IF((Income!D$3:D$502="INR")*(Income!A$3:A$502=DATE(2026,8,12)),ROW(Income!A$3:A$502)-2),5)),"")&lt;&gt;"",IFERROR(INDEX(Income!B$3:B$502,SMALL(IF((Income!D$3:D$502="INR")*(Income!A$3:A$502=DATE(2026,8,12)),ROW(Income!A$3:A$502)-2),5)),""),""))</f>
        <v/>
      </c>
      <c r="I168" s="63" t="str">
        <f aca="false">IF(IFERROR(-INDEX(Expenses!D$3:D$1002,SMALL(IF((Expenses!E$3:E$1002="INR")*(Expenses!A$3:A$1002=DATE(2026,8,13)),ROW(Expenses!A$3:A$1002)-2),5)),0)+IFERROR(INDEX(Income!C$3:C$502,SMALL(IF((Income!D$3:D$502="INR")*(Income!A$3:A$502=DATE(2026,8,13)),ROW(Income!A$3:A$502)-2),5)),0)=0,"",IFERROR(-INDEX(Expenses!D$3:D$1002,SMALL(IF((Expenses!E$3:E$1002="INR")*(Expenses!A$3:A$1002=DATE(2026,8,13)),ROW(Expenses!A$3:A$1002)-2),5)),0)+IFERROR(INDEX(Income!C$3:C$502,SMALL(IF((Income!D$3:D$502="INR")*(Income!A$3:A$502=DATE(2026,8,13)),ROW(Income!A$3:A$502)-2),5)),0))</f>
        <v/>
      </c>
      <c r="J168" s="38" t="str">
        <f aca="false">IF(IFERROR(INDEX(Expenses!B$3:B$1002,SMALL(IF((Expenses!E$3:E$1002="INR")*(Expenses!A$3:A$1002=DATE(2026,8,13)),ROW(Expenses!A$3:A$1002)-2),5)),"")&lt;&gt;"",IFERROR(INDEX(Expenses!B$3:B$1002,SMALL(IF((Expenses!E$3:E$1002="INR")*(Expenses!A$3:A$1002=DATE(2026,8,13)),ROW(Expenses!A$3:A$1002)-2),5)),""),IF(IFERROR(INDEX(Income!B$3:B$502,SMALL(IF((Income!D$3:D$502="INR")*(Income!A$3:A$502=DATE(2026,8,13)),ROW(Income!A$3:A$502)-2),5)),"")&lt;&gt;"",IFERROR(INDEX(Income!B$3:B$502,SMALL(IF((Income!D$3:D$502="INR")*(Income!A$3:A$502=DATE(2026,8,13)),ROW(Income!A$3:A$502)-2),5)),""),""))</f>
        <v/>
      </c>
      <c r="K168" s="63" t="str">
        <f aca="false">IF(IFERROR(-INDEX(Expenses!D$3:D$1002,SMALL(IF((Expenses!E$3:E$1002="INR")*(Expenses!A$3:A$1002=DATE(2026,8,14)),ROW(Expenses!A$3:A$1002)-2),5)),0)+IFERROR(INDEX(Income!C$3:C$502,SMALL(IF((Income!D$3:D$502="INR")*(Income!A$3:A$502=DATE(2026,8,14)),ROW(Income!A$3:A$502)-2),5)),0)=0,"",IFERROR(-INDEX(Expenses!D$3:D$1002,SMALL(IF((Expenses!E$3:E$1002="INR")*(Expenses!A$3:A$1002=DATE(2026,8,14)),ROW(Expenses!A$3:A$1002)-2),5)),0)+IFERROR(INDEX(Income!C$3:C$502,SMALL(IF((Income!D$3:D$502="INR")*(Income!A$3:A$502=DATE(2026,8,14)),ROW(Income!A$3:A$502)-2),5)),0))</f>
        <v/>
      </c>
      <c r="L168" s="38" t="str">
        <f aca="false">IF(IFERROR(INDEX(Expenses!B$3:B$1002,SMALL(IF((Expenses!E$3:E$1002="INR")*(Expenses!A$3:A$1002=DATE(2026,8,14)),ROW(Expenses!A$3:A$1002)-2),5)),"")&lt;&gt;"",IFERROR(INDEX(Expenses!B$3:B$1002,SMALL(IF((Expenses!E$3:E$1002="INR")*(Expenses!A$3:A$1002=DATE(2026,8,14)),ROW(Expenses!A$3:A$1002)-2),5)),""),IF(IFERROR(INDEX(Income!B$3:B$502,SMALL(IF((Income!D$3:D$502="INR")*(Income!A$3:A$502=DATE(2026,8,14)),ROW(Income!A$3:A$502)-2),5)),"")&lt;&gt;"",IFERROR(INDEX(Income!B$3:B$502,SMALL(IF((Income!D$3:D$502="INR")*(Income!A$3:A$502=DATE(2026,8,14)),ROW(Income!A$3:A$502)-2),5)),""),""))</f>
        <v/>
      </c>
      <c r="M168" s="63" t="str">
        <f aca="false">IF(IFERROR(-INDEX(Expenses!D$3:D$1002,SMALL(IF((Expenses!E$3:E$1002="INR")*(Expenses!A$3:A$1002=DATE(2026,8,15)),ROW(Expenses!A$3:A$1002)-2),5)),0)+IFERROR(INDEX(Income!C$3:C$502,SMALL(IF((Income!D$3:D$502="INR")*(Income!A$3:A$502=DATE(2026,8,15)),ROW(Income!A$3:A$502)-2),5)),0)=0,"",IFERROR(-INDEX(Expenses!D$3:D$1002,SMALL(IF((Expenses!E$3:E$1002="INR")*(Expenses!A$3:A$1002=DATE(2026,8,15)),ROW(Expenses!A$3:A$1002)-2),5)),0)+IFERROR(INDEX(Income!C$3:C$502,SMALL(IF((Income!D$3:D$502="INR")*(Income!A$3:A$502=DATE(2026,8,15)),ROW(Income!A$3:A$502)-2),5)),0))</f>
        <v/>
      </c>
      <c r="N168" s="38" t="str">
        <f aca="false">IF(IFERROR(INDEX(Expenses!B$3:B$1002,SMALL(IF((Expenses!E$3:E$1002="INR")*(Expenses!A$3:A$1002=DATE(2026,8,15)),ROW(Expenses!A$3:A$1002)-2),5)),"")&lt;&gt;"",IFERROR(INDEX(Expenses!B$3:B$1002,SMALL(IF((Expenses!E$3:E$1002="INR")*(Expenses!A$3:A$1002=DATE(2026,8,15)),ROW(Expenses!A$3:A$1002)-2),5)),""),IF(IFERROR(INDEX(Income!B$3:B$502,SMALL(IF((Income!D$3:D$502="INR")*(Income!A$3:A$502=DATE(2026,8,15)),ROW(Income!A$3:A$502)-2),5)),"")&lt;&gt;"",IFERROR(INDEX(Income!B$3:B$502,SMALL(IF((Income!D$3:D$502="INR")*(Income!A$3:A$502=DATE(2026,8,15)),ROW(Income!A$3:A$502)-2),5)),""),""))</f>
        <v/>
      </c>
      <c r="O168" s="63" t="str">
        <f aca="false">IF(IFERROR(-INDEX(Expenses!D$3:D$1002,SMALL(IF((Expenses!E$3:E$1002="INR")*(Expenses!A$3:A$1002=DATE(2026,8,16)),ROW(Expenses!A$3:A$1002)-2),5)),0)+IFERROR(INDEX(Income!C$3:C$502,SMALL(IF((Income!D$3:D$502="INR")*(Income!A$3:A$502=DATE(2026,8,16)),ROW(Income!A$3:A$502)-2),5)),0)=0,"",IFERROR(-INDEX(Expenses!D$3:D$1002,SMALL(IF((Expenses!E$3:E$1002="INR")*(Expenses!A$3:A$1002=DATE(2026,8,16)),ROW(Expenses!A$3:A$1002)-2),5)),0)+IFERROR(INDEX(Income!C$3:C$502,SMALL(IF((Income!D$3:D$502="INR")*(Income!A$3:A$502=DATE(2026,8,16)),ROW(Income!A$3:A$502)-2),5)),0))</f>
        <v/>
      </c>
      <c r="P168" s="38" t="str">
        <f aca="false">IF(IFERROR(INDEX(Expenses!B$3:B$1002,SMALL(IF((Expenses!E$3:E$1002="INR")*(Expenses!A$3:A$1002=DATE(2026,8,16)),ROW(Expenses!A$3:A$1002)-2),5)),"")&lt;&gt;"",IFERROR(INDEX(Expenses!B$3:B$1002,SMALL(IF((Expenses!E$3:E$1002="INR")*(Expenses!A$3:A$1002=DATE(2026,8,16)),ROW(Expenses!A$3:A$1002)-2),5)),""),IF(IFERROR(INDEX(Income!B$3:B$502,SMALL(IF((Income!D$3:D$502="INR")*(Income!A$3:A$502=DATE(2026,8,16)),ROW(Income!A$3:A$502)-2),5)),"")&lt;&gt;"",IFERROR(INDEX(Income!B$3:B$502,SMALL(IF((Income!D$3:D$502="INR")*(Income!A$3:A$502=DATE(2026,8,16)),ROW(Income!A$3:A$502)-2),5)),""),""))</f>
        <v/>
      </c>
      <c r="Q168" s="16"/>
      <c r="R168" s="16"/>
    </row>
    <row r="169" customFormat="false" ht="15" hidden="false" customHeight="false" outlineLevel="0" collapsed="false">
      <c r="A169" s="61" t="n">
        <v>46251</v>
      </c>
      <c r="B169" s="3" t="n">
        <v>34</v>
      </c>
      <c r="C169" s="63" t="str">
        <f aca="false">IF(IFERROR(-INDEX(Expenses!D$3:D$1002,SMALL(IF((Expenses!E$3:E$1002="INR")*(Expenses!A$3:A$1002=DATE(2026,8,17)),ROW(Expenses!A$3:A$1002)-2),1)),0)+IFERROR(INDEX(Income!C$3:C$502,SMALL(IF((Income!D$3:D$502="INR")*(Income!A$3:A$502=DATE(2026,8,17)),ROW(Income!A$3:A$502)-2),1)),0)=0,"",IFERROR(-INDEX(Expenses!D$3:D$1002,SMALL(IF((Expenses!E$3:E$1002="INR")*(Expenses!A$3:A$1002=DATE(2026,8,17)),ROW(Expenses!A$3:A$1002)-2),1)),0)+IFERROR(INDEX(Income!C$3:C$502,SMALL(IF((Income!D$3:D$502="INR")*(Income!A$3:A$502=DATE(2026,8,17)),ROW(Income!A$3:A$502)-2),1)),0))</f>
        <v/>
      </c>
      <c r="D169" s="38" t="str">
        <f aca="false">IF(IFERROR(INDEX(Expenses!B$3:B$1002,SMALL(IF((Expenses!E$3:E$1002="INR")*(Expenses!A$3:A$1002=DATE(2026,8,17)),ROW(Expenses!A$3:A$1002)-2),1)),"")&lt;&gt;"",IFERROR(INDEX(Expenses!B$3:B$1002,SMALL(IF((Expenses!E$3:E$1002="INR")*(Expenses!A$3:A$1002=DATE(2026,8,17)),ROW(Expenses!A$3:A$1002)-2),1)),""),IF(IFERROR(INDEX(Income!B$3:B$502,SMALL(IF((Income!D$3:D$502="INR")*(Income!A$3:A$502=DATE(2026,8,17)),ROW(Income!A$3:A$502)-2),1)),"")&lt;&gt;"",IFERROR(INDEX(Income!B$3:B$502,SMALL(IF((Income!D$3:D$502="INR")*(Income!A$3:A$502=DATE(2026,8,17)),ROW(Income!A$3:A$502)-2),1)),""),""))</f>
        <v/>
      </c>
      <c r="E169" s="63" t="str">
        <f aca="false">IF(IFERROR(-INDEX(Expenses!D$3:D$1002,SMALL(IF((Expenses!E$3:E$1002="INR")*(Expenses!A$3:A$1002=DATE(2026,8,18)),ROW(Expenses!A$3:A$1002)-2),1)),0)+IFERROR(INDEX(Income!C$3:C$502,SMALL(IF((Income!D$3:D$502="INR")*(Income!A$3:A$502=DATE(2026,8,18)),ROW(Income!A$3:A$502)-2),1)),0)=0,"",IFERROR(-INDEX(Expenses!D$3:D$1002,SMALL(IF((Expenses!E$3:E$1002="INR")*(Expenses!A$3:A$1002=DATE(2026,8,18)),ROW(Expenses!A$3:A$1002)-2),1)),0)+IFERROR(INDEX(Income!C$3:C$502,SMALL(IF((Income!D$3:D$502="INR")*(Income!A$3:A$502=DATE(2026,8,18)),ROW(Income!A$3:A$502)-2),1)),0))</f>
        <v/>
      </c>
      <c r="F169" s="38" t="str">
        <f aca="false">IF(IFERROR(INDEX(Expenses!B$3:B$1002,SMALL(IF((Expenses!E$3:E$1002="INR")*(Expenses!A$3:A$1002=DATE(2026,8,18)),ROW(Expenses!A$3:A$1002)-2),1)),"")&lt;&gt;"",IFERROR(INDEX(Expenses!B$3:B$1002,SMALL(IF((Expenses!E$3:E$1002="INR")*(Expenses!A$3:A$1002=DATE(2026,8,18)),ROW(Expenses!A$3:A$1002)-2),1)),""),IF(IFERROR(INDEX(Income!B$3:B$502,SMALL(IF((Income!D$3:D$502="INR")*(Income!A$3:A$502=DATE(2026,8,18)),ROW(Income!A$3:A$502)-2),1)),"")&lt;&gt;"",IFERROR(INDEX(Income!B$3:B$502,SMALL(IF((Income!D$3:D$502="INR")*(Income!A$3:A$502=DATE(2026,8,18)),ROW(Income!A$3:A$502)-2),1)),""),""))</f>
        <v/>
      </c>
      <c r="G169" s="63" t="str">
        <f aca="false">IF(IFERROR(-INDEX(Expenses!D$3:D$1002,SMALL(IF((Expenses!E$3:E$1002="INR")*(Expenses!A$3:A$1002=DATE(2026,8,19)),ROW(Expenses!A$3:A$1002)-2),1)),0)+IFERROR(INDEX(Income!C$3:C$502,SMALL(IF((Income!D$3:D$502="INR")*(Income!A$3:A$502=DATE(2026,8,19)),ROW(Income!A$3:A$502)-2),1)),0)=0,"",IFERROR(-INDEX(Expenses!D$3:D$1002,SMALL(IF((Expenses!E$3:E$1002="INR")*(Expenses!A$3:A$1002=DATE(2026,8,19)),ROW(Expenses!A$3:A$1002)-2),1)),0)+IFERROR(INDEX(Income!C$3:C$502,SMALL(IF((Income!D$3:D$502="INR")*(Income!A$3:A$502=DATE(2026,8,19)),ROW(Income!A$3:A$502)-2),1)),0))</f>
        <v/>
      </c>
      <c r="H169" s="38" t="str">
        <f aca="false">IF(IFERROR(INDEX(Expenses!B$3:B$1002,SMALL(IF((Expenses!E$3:E$1002="INR")*(Expenses!A$3:A$1002=DATE(2026,8,19)),ROW(Expenses!A$3:A$1002)-2),1)),"")&lt;&gt;"",IFERROR(INDEX(Expenses!B$3:B$1002,SMALL(IF((Expenses!E$3:E$1002="INR")*(Expenses!A$3:A$1002=DATE(2026,8,19)),ROW(Expenses!A$3:A$1002)-2),1)),""),IF(IFERROR(INDEX(Income!B$3:B$502,SMALL(IF((Income!D$3:D$502="INR")*(Income!A$3:A$502=DATE(2026,8,19)),ROW(Income!A$3:A$502)-2),1)),"")&lt;&gt;"",IFERROR(INDEX(Income!B$3:B$502,SMALL(IF((Income!D$3:D$502="INR")*(Income!A$3:A$502=DATE(2026,8,19)),ROW(Income!A$3:A$502)-2),1)),""),""))</f>
        <v/>
      </c>
      <c r="I169" s="63" t="str">
        <f aca="false">IF(IFERROR(-INDEX(Expenses!D$3:D$1002,SMALL(IF((Expenses!E$3:E$1002="INR")*(Expenses!A$3:A$1002=DATE(2026,8,20)),ROW(Expenses!A$3:A$1002)-2),1)),0)+IFERROR(INDEX(Income!C$3:C$502,SMALL(IF((Income!D$3:D$502="INR")*(Income!A$3:A$502=DATE(2026,8,20)),ROW(Income!A$3:A$502)-2),1)),0)=0,"",IFERROR(-INDEX(Expenses!D$3:D$1002,SMALL(IF((Expenses!E$3:E$1002="INR")*(Expenses!A$3:A$1002=DATE(2026,8,20)),ROW(Expenses!A$3:A$1002)-2),1)),0)+IFERROR(INDEX(Income!C$3:C$502,SMALL(IF((Income!D$3:D$502="INR")*(Income!A$3:A$502=DATE(2026,8,20)),ROW(Income!A$3:A$502)-2),1)),0))</f>
        <v/>
      </c>
      <c r="J169" s="38" t="str">
        <f aca="false">IF(IFERROR(INDEX(Expenses!B$3:B$1002,SMALL(IF((Expenses!E$3:E$1002="INR")*(Expenses!A$3:A$1002=DATE(2026,8,20)),ROW(Expenses!A$3:A$1002)-2),1)),"")&lt;&gt;"",IFERROR(INDEX(Expenses!B$3:B$1002,SMALL(IF((Expenses!E$3:E$1002="INR")*(Expenses!A$3:A$1002=DATE(2026,8,20)),ROW(Expenses!A$3:A$1002)-2),1)),""),IF(IFERROR(INDEX(Income!B$3:B$502,SMALL(IF((Income!D$3:D$502="INR")*(Income!A$3:A$502=DATE(2026,8,20)),ROW(Income!A$3:A$502)-2),1)),"")&lt;&gt;"",IFERROR(INDEX(Income!B$3:B$502,SMALL(IF((Income!D$3:D$502="INR")*(Income!A$3:A$502=DATE(2026,8,20)),ROW(Income!A$3:A$502)-2),1)),""),""))</f>
        <v/>
      </c>
      <c r="K169" s="63" t="str">
        <f aca="false">IF(IFERROR(-INDEX(Expenses!D$3:D$1002,SMALL(IF((Expenses!E$3:E$1002="INR")*(Expenses!A$3:A$1002=DATE(2026,8,21)),ROW(Expenses!A$3:A$1002)-2),1)),0)+IFERROR(INDEX(Income!C$3:C$502,SMALL(IF((Income!D$3:D$502="INR")*(Income!A$3:A$502=DATE(2026,8,21)),ROW(Income!A$3:A$502)-2),1)),0)=0,"",IFERROR(-INDEX(Expenses!D$3:D$1002,SMALL(IF((Expenses!E$3:E$1002="INR")*(Expenses!A$3:A$1002=DATE(2026,8,21)),ROW(Expenses!A$3:A$1002)-2),1)),0)+IFERROR(INDEX(Income!C$3:C$502,SMALL(IF((Income!D$3:D$502="INR")*(Income!A$3:A$502=DATE(2026,8,21)),ROW(Income!A$3:A$502)-2),1)),0))</f>
        <v/>
      </c>
      <c r="L169" s="38" t="str">
        <f aca="false">IF(IFERROR(INDEX(Expenses!B$3:B$1002,SMALL(IF((Expenses!E$3:E$1002="INR")*(Expenses!A$3:A$1002=DATE(2026,8,21)),ROW(Expenses!A$3:A$1002)-2),1)),"")&lt;&gt;"",IFERROR(INDEX(Expenses!B$3:B$1002,SMALL(IF((Expenses!E$3:E$1002="INR")*(Expenses!A$3:A$1002=DATE(2026,8,21)),ROW(Expenses!A$3:A$1002)-2),1)),""),IF(IFERROR(INDEX(Income!B$3:B$502,SMALL(IF((Income!D$3:D$502="INR")*(Income!A$3:A$502=DATE(2026,8,21)),ROW(Income!A$3:A$502)-2),1)),"")&lt;&gt;"",IFERROR(INDEX(Income!B$3:B$502,SMALL(IF((Income!D$3:D$502="INR")*(Income!A$3:A$502=DATE(2026,8,21)),ROW(Income!A$3:A$502)-2),1)),""),""))</f>
        <v/>
      </c>
      <c r="M169" s="63" t="str">
        <f aca="false">IF(IFERROR(-INDEX(Expenses!D$3:D$1002,SMALL(IF((Expenses!E$3:E$1002="INR")*(Expenses!A$3:A$1002=DATE(2026,8,22)),ROW(Expenses!A$3:A$1002)-2),1)),0)+IFERROR(INDEX(Income!C$3:C$502,SMALL(IF((Income!D$3:D$502="INR")*(Income!A$3:A$502=DATE(2026,8,22)),ROW(Income!A$3:A$502)-2),1)),0)=0,"",IFERROR(-INDEX(Expenses!D$3:D$1002,SMALL(IF((Expenses!E$3:E$1002="INR")*(Expenses!A$3:A$1002=DATE(2026,8,22)),ROW(Expenses!A$3:A$1002)-2),1)),0)+IFERROR(INDEX(Income!C$3:C$502,SMALL(IF((Income!D$3:D$502="INR")*(Income!A$3:A$502=DATE(2026,8,22)),ROW(Income!A$3:A$502)-2),1)),0))</f>
        <v/>
      </c>
      <c r="N169" s="38" t="str">
        <f aca="false">IF(IFERROR(INDEX(Expenses!B$3:B$1002,SMALL(IF((Expenses!E$3:E$1002="INR")*(Expenses!A$3:A$1002=DATE(2026,8,22)),ROW(Expenses!A$3:A$1002)-2),1)),"")&lt;&gt;"",IFERROR(INDEX(Expenses!B$3:B$1002,SMALL(IF((Expenses!E$3:E$1002="INR")*(Expenses!A$3:A$1002=DATE(2026,8,22)),ROW(Expenses!A$3:A$1002)-2),1)),""),IF(IFERROR(INDEX(Income!B$3:B$502,SMALL(IF((Income!D$3:D$502="INR")*(Income!A$3:A$502=DATE(2026,8,22)),ROW(Income!A$3:A$502)-2),1)),"")&lt;&gt;"",IFERROR(INDEX(Income!B$3:B$502,SMALL(IF((Income!D$3:D$502="INR")*(Income!A$3:A$502=DATE(2026,8,22)),ROW(Income!A$3:A$502)-2),1)),""),""))</f>
        <v/>
      </c>
      <c r="O169" s="63" t="str">
        <f aca="false">IF(IFERROR(-INDEX(Expenses!D$3:D$1002,SMALL(IF((Expenses!E$3:E$1002="INR")*(Expenses!A$3:A$1002=DATE(2026,8,23)),ROW(Expenses!A$3:A$1002)-2),1)),0)+IFERROR(INDEX(Income!C$3:C$502,SMALL(IF((Income!D$3:D$502="INR")*(Income!A$3:A$502=DATE(2026,8,23)),ROW(Income!A$3:A$502)-2),1)),0)=0,"",IFERROR(-INDEX(Expenses!D$3:D$1002,SMALL(IF((Expenses!E$3:E$1002="INR")*(Expenses!A$3:A$1002=DATE(2026,8,23)),ROW(Expenses!A$3:A$1002)-2),1)),0)+IFERROR(INDEX(Income!C$3:C$502,SMALL(IF((Income!D$3:D$502="INR")*(Income!A$3:A$502=DATE(2026,8,23)),ROW(Income!A$3:A$502)-2),1)),0))</f>
        <v/>
      </c>
      <c r="P169" s="38" t="str">
        <f aca="false">IF(IFERROR(INDEX(Expenses!B$3:B$1002,SMALL(IF((Expenses!E$3:E$1002="INR")*(Expenses!A$3:A$1002=DATE(2026,8,23)),ROW(Expenses!A$3:A$1002)-2),1)),"")&lt;&gt;"",IFERROR(INDEX(Expenses!B$3:B$1002,SMALL(IF((Expenses!E$3:E$1002="INR")*(Expenses!A$3:A$1002=DATE(2026,8,23)),ROW(Expenses!A$3:A$1002)-2),1)),""),IF(IFERROR(INDEX(Income!B$3:B$502,SMALL(IF((Income!D$3:D$502="INR")*(Income!A$3:A$502=DATE(2026,8,23)),ROW(Income!A$3:A$502)-2),1)),"")&lt;&gt;"",IFERROR(INDEX(Income!B$3:B$502,SMALL(IF((Income!D$3:D$502="INR")*(Income!A$3:A$502=DATE(2026,8,23)),ROW(Income!A$3:A$502)-2),1)),""),""))</f>
        <v/>
      </c>
      <c r="Q169" s="3" t="n">
        <v>34</v>
      </c>
      <c r="R169" s="53" t="n">
        <f aca="false">SUM(C169:C173)+SUM(E169:E173)+SUM(G169:G173)+SUM(I169:I173)+SUM(K169:K173)+SUM(M169:M173)+SUM(O169:O173)</f>
        <v>0</v>
      </c>
    </row>
    <row r="170" customFormat="false" ht="15" hidden="false" customHeight="false" outlineLevel="0" collapsed="false">
      <c r="A170" s="16"/>
      <c r="B170" s="16"/>
      <c r="C170" s="63" t="str">
        <f aca="false">IF(IFERROR(-INDEX(Expenses!D$3:D$1002,SMALL(IF((Expenses!E$3:E$1002="INR")*(Expenses!A$3:A$1002=DATE(2026,8,17)),ROW(Expenses!A$3:A$1002)-2),2)),0)+IFERROR(INDEX(Income!C$3:C$502,SMALL(IF((Income!D$3:D$502="INR")*(Income!A$3:A$502=DATE(2026,8,17)),ROW(Income!A$3:A$502)-2),2)),0)=0,"",IFERROR(-INDEX(Expenses!D$3:D$1002,SMALL(IF((Expenses!E$3:E$1002="INR")*(Expenses!A$3:A$1002=DATE(2026,8,17)),ROW(Expenses!A$3:A$1002)-2),2)),0)+IFERROR(INDEX(Income!C$3:C$502,SMALL(IF((Income!D$3:D$502="INR")*(Income!A$3:A$502=DATE(2026,8,17)),ROW(Income!A$3:A$502)-2),2)),0))</f>
        <v/>
      </c>
      <c r="D170" s="38" t="str">
        <f aca="false">IF(IFERROR(INDEX(Expenses!B$3:B$1002,SMALL(IF((Expenses!E$3:E$1002="INR")*(Expenses!A$3:A$1002=DATE(2026,8,17)),ROW(Expenses!A$3:A$1002)-2),2)),"")&lt;&gt;"",IFERROR(INDEX(Expenses!B$3:B$1002,SMALL(IF((Expenses!E$3:E$1002="INR")*(Expenses!A$3:A$1002=DATE(2026,8,17)),ROW(Expenses!A$3:A$1002)-2),2)),""),IF(IFERROR(INDEX(Income!B$3:B$502,SMALL(IF((Income!D$3:D$502="INR")*(Income!A$3:A$502=DATE(2026,8,17)),ROW(Income!A$3:A$502)-2),2)),"")&lt;&gt;"",IFERROR(INDEX(Income!B$3:B$502,SMALL(IF((Income!D$3:D$502="INR")*(Income!A$3:A$502=DATE(2026,8,17)),ROW(Income!A$3:A$502)-2),2)),""),""))</f>
        <v/>
      </c>
      <c r="E170" s="63" t="str">
        <f aca="false">IF(IFERROR(-INDEX(Expenses!D$3:D$1002,SMALL(IF((Expenses!E$3:E$1002="INR")*(Expenses!A$3:A$1002=DATE(2026,8,18)),ROW(Expenses!A$3:A$1002)-2),2)),0)+IFERROR(INDEX(Income!C$3:C$502,SMALL(IF((Income!D$3:D$502="INR")*(Income!A$3:A$502=DATE(2026,8,18)),ROW(Income!A$3:A$502)-2),2)),0)=0,"",IFERROR(-INDEX(Expenses!D$3:D$1002,SMALL(IF((Expenses!E$3:E$1002="INR")*(Expenses!A$3:A$1002=DATE(2026,8,18)),ROW(Expenses!A$3:A$1002)-2),2)),0)+IFERROR(INDEX(Income!C$3:C$502,SMALL(IF((Income!D$3:D$502="INR")*(Income!A$3:A$502=DATE(2026,8,18)),ROW(Income!A$3:A$502)-2),2)),0))</f>
        <v/>
      </c>
      <c r="F170" s="38" t="str">
        <f aca="false">IF(IFERROR(INDEX(Expenses!B$3:B$1002,SMALL(IF((Expenses!E$3:E$1002="INR")*(Expenses!A$3:A$1002=DATE(2026,8,18)),ROW(Expenses!A$3:A$1002)-2),2)),"")&lt;&gt;"",IFERROR(INDEX(Expenses!B$3:B$1002,SMALL(IF((Expenses!E$3:E$1002="INR")*(Expenses!A$3:A$1002=DATE(2026,8,18)),ROW(Expenses!A$3:A$1002)-2),2)),""),IF(IFERROR(INDEX(Income!B$3:B$502,SMALL(IF((Income!D$3:D$502="INR")*(Income!A$3:A$502=DATE(2026,8,18)),ROW(Income!A$3:A$502)-2),2)),"")&lt;&gt;"",IFERROR(INDEX(Income!B$3:B$502,SMALL(IF((Income!D$3:D$502="INR")*(Income!A$3:A$502=DATE(2026,8,18)),ROW(Income!A$3:A$502)-2),2)),""),""))</f>
        <v/>
      </c>
      <c r="G170" s="63" t="str">
        <f aca="false">IF(IFERROR(-INDEX(Expenses!D$3:D$1002,SMALL(IF((Expenses!E$3:E$1002="INR")*(Expenses!A$3:A$1002=DATE(2026,8,19)),ROW(Expenses!A$3:A$1002)-2),2)),0)+IFERROR(INDEX(Income!C$3:C$502,SMALL(IF((Income!D$3:D$502="INR")*(Income!A$3:A$502=DATE(2026,8,19)),ROW(Income!A$3:A$502)-2),2)),0)=0,"",IFERROR(-INDEX(Expenses!D$3:D$1002,SMALL(IF((Expenses!E$3:E$1002="INR")*(Expenses!A$3:A$1002=DATE(2026,8,19)),ROW(Expenses!A$3:A$1002)-2),2)),0)+IFERROR(INDEX(Income!C$3:C$502,SMALL(IF((Income!D$3:D$502="INR")*(Income!A$3:A$502=DATE(2026,8,19)),ROW(Income!A$3:A$502)-2),2)),0))</f>
        <v/>
      </c>
      <c r="H170" s="38" t="str">
        <f aca="false">IF(IFERROR(INDEX(Expenses!B$3:B$1002,SMALL(IF((Expenses!E$3:E$1002="INR")*(Expenses!A$3:A$1002=DATE(2026,8,19)),ROW(Expenses!A$3:A$1002)-2),2)),"")&lt;&gt;"",IFERROR(INDEX(Expenses!B$3:B$1002,SMALL(IF((Expenses!E$3:E$1002="INR")*(Expenses!A$3:A$1002=DATE(2026,8,19)),ROW(Expenses!A$3:A$1002)-2),2)),""),IF(IFERROR(INDEX(Income!B$3:B$502,SMALL(IF((Income!D$3:D$502="INR")*(Income!A$3:A$502=DATE(2026,8,19)),ROW(Income!A$3:A$502)-2),2)),"")&lt;&gt;"",IFERROR(INDEX(Income!B$3:B$502,SMALL(IF((Income!D$3:D$502="INR")*(Income!A$3:A$502=DATE(2026,8,19)),ROW(Income!A$3:A$502)-2),2)),""),""))</f>
        <v/>
      </c>
      <c r="I170" s="63" t="str">
        <f aca="false">IF(IFERROR(-INDEX(Expenses!D$3:D$1002,SMALL(IF((Expenses!E$3:E$1002="INR")*(Expenses!A$3:A$1002=DATE(2026,8,20)),ROW(Expenses!A$3:A$1002)-2),2)),0)+IFERROR(INDEX(Income!C$3:C$502,SMALL(IF((Income!D$3:D$502="INR")*(Income!A$3:A$502=DATE(2026,8,20)),ROW(Income!A$3:A$502)-2),2)),0)=0,"",IFERROR(-INDEX(Expenses!D$3:D$1002,SMALL(IF((Expenses!E$3:E$1002="INR")*(Expenses!A$3:A$1002=DATE(2026,8,20)),ROW(Expenses!A$3:A$1002)-2),2)),0)+IFERROR(INDEX(Income!C$3:C$502,SMALL(IF((Income!D$3:D$502="INR")*(Income!A$3:A$502=DATE(2026,8,20)),ROW(Income!A$3:A$502)-2),2)),0))</f>
        <v/>
      </c>
      <c r="J170" s="38" t="str">
        <f aca="false">IF(IFERROR(INDEX(Expenses!B$3:B$1002,SMALL(IF((Expenses!E$3:E$1002="INR")*(Expenses!A$3:A$1002=DATE(2026,8,20)),ROW(Expenses!A$3:A$1002)-2),2)),"")&lt;&gt;"",IFERROR(INDEX(Expenses!B$3:B$1002,SMALL(IF((Expenses!E$3:E$1002="INR")*(Expenses!A$3:A$1002=DATE(2026,8,20)),ROW(Expenses!A$3:A$1002)-2),2)),""),IF(IFERROR(INDEX(Income!B$3:B$502,SMALL(IF((Income!D$3:D$502="INR")*(Income!A$3:A$502=DATE(2026,8,20)),ROW(Income!A$3:A$502)-2),2)),"")&lt;&gt;"",IFERROR(INDEX(Income!B$3:B$502,SMALL(IF((Income!D$3:D$502="INR")*(Income!A$3:A$502=DATE(2026,8,20)),ROW(Income!A$3:A$502)-2),2)),""),""))</f>
        <v/>
      </c>
      <c r="K170" s="63" t="str">
        <f aca="false">IF(IFERROR(-INDEX(Expenses!D$3:D$1002,SMALL(IF((Expenses!E$3:E$1002="INR")*(Expenses!A$3:A$1002=DATE(2026,8,21)),ROW(Expenses!A$3:A$1002)-2),2)),0)+IFERROR(INDEX(Income!C$3:C$502,SMALL(IF((Income!D$3:D$502="INR")*(Income!A$3:A$502=DATE(2026,8,21)),ROW(Income!A$3:A$502)-2),2)),0)=0,"",IFERROR(-INDEX(Expenses!D$3:D$1002,SMALL(IF((Expenses!E$3:E$1002="INR")*(Expenses!A$3:A$1002=DATE(2026,8,21)),ROW(Expenses!A$3:A$1002)-2),2)),0)+IFERROR(INDEX(Income!C$3:C$502,SMALL(IF((Income!D$3:D$502="INR")*(Income!A$3:A$502=DATE(2026,8,21)),ROW(Income!A$3:A$502)-2),2)),0))</f>
        <v/>
      </c>
      <c r="L170" s="38" t="str">
        <f aca="false">IF(IFERROR(INDEX(Expenses!B$3:B$1002,SMALL(IF((Expenses!E$3:E$1002="INR")*(Expenses!A$3:A$1002=DATE(2026,8,21)),ROW(Expenses!A$3:A$1002)-2),2)),"")&lt;&gt;"",IFERROR(INDEX(Expenses!B$3:B$1002,SMALL(IF((Expenses!E$3:E$1002="INR")*(Expenses!A$3:A$1002=DATE(2026,8,21)),ROW(Expenses!A$3:A$1002)-2),2)),""),IF(IFERROR(INDEX(Income!B$3:B$502,SMALL(IF((Income!D$3:D$502="INR")*(Income!A$3:A$502=DATE(2026,8,21)),ROW(Income!A$3:A$502)-2),2)),"")&lt;&gt;"",IFERROR(INDEX(Income!B$3:B$502,SMALL(IF((Income!D$3:D$502="INR")*(Income!A$3:A$502=DATE(2026,8,21)),ROW(Income!A$3:A$502)-2),2)),""),""))</f>
        <v/>
      </c>
      <c r="M170" s="63" t="str">
        <f aca="false">IF(IFERROR(-INDEX(Expenses!D$3:D$1002,SMALL(IF((Expenses!E$3:E$1002="INR")*(Expenses!A$3:A$1002=DATE(2026,8,22)),ROW(Expenses!A$3:A$1002)-2),2)),0)+IFERROR(INDEX(Income!C$3:C$502,SMALL(IF((Income!D$3:D$502="INR")*(Income!A$3:A$502=DATE(2026,8,22)),ROW(Income!A$3:A$502)-2),2)),0)=0,"",IFERROR(-INDEX(Expenses!D$3:D$1002,SMALL(IF((Expenses!E$3:E$1002="INR")*(Expenses!A$3:A$1002=DATE(2026,8,22)),ROW(Expenses!A$3:A$1002)-2),2)),0)+IFERROR(INDEX(Income!C$3:C$502,SMALL(IF((Income!D$3:D$502="INR")*(Income!A$3:A$502=DATE(2026,8,22)),ROW(Income!A$3:A$502)-2),2)),0))</f>
        <v/>
      </c>
      <c r="N170" s="38" t="str">
        <f aca="false">IF(IFERROR(INDEX(Expenses!B$3:B$1002,SMALL(IF((Expenses!E$3:E$1002="INR")*(Expenses!A$3:A$1002=DATE(2026,8,22)),ROW(Expenses!A$3:A$1002)-2),2)),"")&lt;&gt;"",IFERROR(INDEX(Expenses!B$3:B$1002,SMALL(IF((Expenses!E$3:E$1002="INR")*(Expenses!A$3:A$1002=DATE(2026,8,22)),ROW(Expenses!A$3:A$1002)-2),2)),""),IF(IFERROR(INDEX(Income!B$3:B$502,SMALL(IF((Income!D$3:D$502="INR")*(Income!A$3:A$502=DATE(2026,8,22)),ROW(Income!A$3:A$502)-2),2)),"")&lt;&gt;"",IFERROR(INDEX(Income!B$3:B$502,SMALL(IF((Income!D$3:D$502="INR")*(Income!A$3:A$502=DATE(2026,8,22)),ROW(Income!A$3:A$502)-2),2)),""),""))</f>
        <v/>
      </c>
      <c r="O170" s="63" t="str">
        <f aca="false">IF(IFERROR(-INDEX(Expenses!D$3:D$1002,SMALL(IF((Expenses!E$3:E$1002="INR")*(Expenses!A$3:A$1002=DATE(2026,8,23)),ROW(Expenses!A$3:A$1002)-2),2)),0)+IFERROR(INDEX(Income!C$3:C$502,SMALL(IF((Income!D$3:D$502="INR")*(Income!A$3:A$502=DATE(2026,8,23)),ROW(Income!A$3:A$502)-2),2)),0)=0,"",IFERROR(-INDEX(Expenses!D$3:D$1002,SMALL(IF((Expenses!E$3:E$1002="INR")*(Expenses!A$3:A$1002=DATE(2026,8,23)),ROW(Expenses!A$3:A$1002)-2),2)),0)+IFERROR(INDEX(Income!C$3:C$502,SMALL(IF((Income!D$3:D$502="INR")*(Income!A$3:A$502=DATE(2026,8,23)),ROW(Income!A$3:A$502)-2),2)),0))</f>
        <v/>
      </c>
      <c r="P170" s="38" t="str">
        <f aca="false">IF(IFERROR(INDEX(Expenses!B$3:B$1002,SMALL(IF((Expenses!E$3:E$1002="INR")*(Expenses!A$3:A$1002=DATE(2026,8,23)),ROW(Expenses!A$3:A$1002)-2),2)),"")&lt;&gt;"",IFERROR(INDEX(Expenses!B$3:B$1002,SMALL(IF((Expenses!E$3:E$1002="INR")*(Expenses!A$3:A$1002=DATE(2026,8,23)),ROW(Expenses!A$3:A$1002)-2),2)),""),IF(IFERROR(INDEX(Income!B$3:B$502,SMALL(IF((Income!D$3:D$502="INR")*(Income!A$3:A$502=DATE(2026,8,23)),ROW(Income!A$3:A$502)-2),2)),"")&lt;&gt;"",IFERROR(INDEX(Income!B$3:B$502,SMALL(IF((Income!D$3:D$502="INR")*(Income!A$3:A$502=DATE(2026,8,23)),ROW(Income!A$3:A$502)-2),2)),""),""))</f>
        <v/>
      </c>
      <c r="Q170" s="16"/>
      <c r="R170" s="16"/>
    </row>
    <row r="171" customFormat="false" ht="15" hidden="false" customHeight="false" outlineLevel="0" collapsed="false">
      <c r="A171" s="16"/>
      <c r="B171" s="16"/>
      <c r="C171" s="63" t="str">
        <f aca="false">IF(IFERROR(-INDEX(Expenses!D$3:D$1002,SMALL(IF((Expenses!E$3:E$1002="INR")*(Expenses!A$3:A$1002=DATE(2026,8,17)),ROW(Expenses!A$3:A$1002)-2),3)),0)+IFERROR(INDEX(Income!C$3:C$502,SMALL(IF((Income!D$3:D$502="INR")*(Income!A$3:A$502=DATE(2026,8,17)),ROW(Income!A$3:A$502)-2),3)),0)=0,"",IFERROR(-INDEX(Expenses!D$3:D$1002,SMALL(IF((Expenses!E$3:E$1002="INR")*(Expenses!A$3:A$1002=DATE(2026,8,17)),ROW(Expenses!A$3:A$1002)-2),3)),0)+IFERROR(INDEX(Income!C$3:C$502,SMALL(IF((Income!D$3:D$502="INR")*(Income!A$3:A$502=DATE(2026,8,17)),ROW(Income!A$3:A$502)-2),3)),0))</f>
        <v/>
      </c>
      <c r="D171" s="38" t="str">
        <f aca="false">IF(IFERROR(INDEX(Expenses!B$3:B$1002,SMALL(IF((Expenses!E$3:E$1002="INR")*(Expenses!A$3:A$1002=DATE(2026,8,17)),ROW(Expenses!A$3:A$1002)-2),3)),"")&lt;&gt;"",IFERROR(INDEX(Expenses!B$3:B$1002,SMALL(IF((Expenses!E$3:E$1002="INR")*(Expenses!A$3:A$1002=DATE(2026,8,17)),ROW(Expenses!A$3:A$1002)-2),3)),""),IF(IFERROR(INDEX(Income!B$3:B$502,SMALL(IF((Income!D$3:D$502="INR")*(Income!A$3:A$502=DATE(2026,8,17)),ROW(Income!A$3:A$502)-2),3)),"")&lt;&gt;"",IFERROR(INDEX(Income!B$3:B$502,SMALL(IF((Income!D$3:D$502="INR")*(Income!A$3:A$502=DATE(2026,8,17)),ROW(Income!A$3:A$502)-2),3)),""),""))</f>
        <v/>
      </c>
      <c r="E171" s="63" t="str">
        <f aca="false">IF(IFERROR(-INDEX(Expenses!D$3:D$1002,SMALL(IF((Expenses!E$3:E$1002="INR")*(Expenses!A$3:A$1002=DATE(2026,8,18)),ROW(Expenses!A$3:A$1002)-2),3)),0)+IFERROR(INDEX(Income!C$3:C$502,SMALL(IF((Income!D$3:D$502="INR")*(Income!A$3:A$502=DATE(2026,8,18)),ROW(Income!A$3:A$502)-2),3)),0)=0,"",IFERROR(-INDEX(Expenses!D$3:D$1002,SMALL(IF((Expenses!E$3:E$1002="INR")*(Expenses!A$3:A$1002=DATE(2026,8,18)),ROW(Expenses!A$3:A$1002)-2),3)),0)+IFERROR(INDEX(Income!C$3:C$502,SMALL(IF((Income!D$3:D$502="INR")*(Income!A$3:A$502=DATE(2026,8,18)),ROW(Income!A$3:A$502)-2),3)),0))</f>
        <v/>
      </c>
      <c r="F171" s="38" t="str">
        <f aca="false">IF(IFERROR(INDEX(Expenses!B$3:B$1002,SMALL(IF((Expenses!E$3:E$1002="INR")*(Expenses!A$3:A$1002=DATE(2026,8,18)),ROW(Expenses!A$3:A$1002)-2),3)),"")&lt;&gt;"",IFERROR(INDEX(Expenses!B$3:B$1002,SMALL(IF((Expenses!E$3:E$1002="INR")*(Expenses!A$3:A$1002=DATE(2026,8,18)),ROW(Expenses!A$3:A$1002)-2),3)),""),IF(IFERROR(INDEX(Income!B$3:B$502,SMALL(IF((Income!D$3:D$502="INR")*(Income!A$3:A$502=DATE(2026,8,18)),ROW(Income!A$3:A$502)-2),3)),"")&lt;&gt;"",IFERROR(INDEX(Income!B$3:B$502,SMALL(IF((Income!D$3:D$502="INR")*(Income!A$3:A$502=DATE(2026,8,18)),ROW(Income!A$3:A$502)-2),3)),""),""))</f>
        <v/>
      </c>
      <c r="G171" s="63" t="str">
        <f aca="false">IF(IFERROR(-INDEX(Expenses!D$3:D$1002,SMALL(IF((Expenses!E$3:E$1002="INR")*(Expenses!A$3:A$1002=DATE(2026,8,19)),ROW(Expenses!A$3:A$1002)-2),3)),0)+IFERROR(INDEX(Income!C$3:C$502,SMALL(IF((Income!D$3:D$502="INR")*(Income!A$3:A$502=DATE(2026,8,19)),ROW(Income!A$3:A$502)-2),3)),0)=0,"",IFERROR(-INDEX(Expenses!D$3:D$1002,SMALL(IF((Expenses!E$3:E$1002="INR")*(Expenses!A$3:A$1002=DATE(2026,8,19)),ROW(Expenses!A$3:A$1002)-2),3)),0)+IFERROR(INDEX(Income!C$3:C$502,SMALL(IF((Income!D$3:D$502="INR")*(Income!A$3:A$502=DATE(2026,8,19)),ROW(Income!A$3:A$502)-2),3)),0))</f>
        <v/>
      </c>
      <c r="H171" s="38" t="str">
        <f aca="false">IF(IFERROR(INDEX(Expenses!B$3:B$1002,SMALL(IF((Expenses!E$3:E$1002="INR")*(Expenses!A$3:A$1002=DATE(2026,8,19)),ROW(Expenses!A$3:A$1002)-2),3)),"")&lt;&gt;"",IFERROR(INDEX(Expenses!B$3:B$1002,SMALL(IF((Expenses!E$3:E$1002="INR")*(Expenses!A$3:A$1002=DATE(2026,8,19)),ROW(Expenses!A$3:A$1002)-2),3)),""),IF(IFERROR(INDEX(Income!B$3:B$502,SMALL(IF((Income!D$3:D$502="INR")*(Income!A$3:A$502=DATE(2026,8,19)),ROW(Income!A$3:A$502)-2),3)),"")&lt;&gt;"",IFERROR(INDEX(Income!B$3:B$502,SMALL(IF((Income!D$3:D$502="INR")*(Income!A$3:A$502=DATE(2026,8,19)),ROW(Income!A$3:A$502)-2),3)),""),""))</f>
        <v/>
      </c>
      <c r="I171" s="63" t="str">
        <f aca="false">IF(IFERROR(-INDEX(Expenses!D$3:D$1002,SMALL(IF((Expenses!E$3:E$1002="INR")*(Expenses!A$3:A$1002=DATE(2026,8,20)),ROW(Expenses!A$3:A$1002)-2),3)),0)+IFERROR(INDEX(Income!C$3:C$502,SMALL(IF((Income!D$3:D$502="INR")*(Income!A$3:A$502=DATE(2026,8,20)),ROW(Income!A$3:A$502)-2),3)),0)=0,"",IFERROR(-INDEX(Expenses!D$3:D$1002,SMALL(IF((Expenses!E$3:E$1002="INR")*(Expenses!A$3:A$1002=DATE(2026,8,20)),ROW(Expenses!A$3:A$1002)-2),3)),0)+IFERROR(INDEX(Income!C$3:C$502,SMALL(IF((Income!D$3:D$502="INR")*(Income!A$3:A$502=DATE(2026,8,20)),ROW(Income!A$3:A$502)-2),3)),0))</f>
        <v/>
      </c>
      <c r="J171" s="38" t="str">
        <f aca="false">IF(IFERROR(INDEX(Expenses!B$3:B$1002,SMALL(IF((Expenses!E$3:E$1002="INR")*(Expenses!A$3:A$1002=DATE(2026,8,20)),ROW(Expenses!A$3:A$1002)-2),3)),"")&lt;&gt;"",IFERROR(INDEX(Expenses!B$3:B$1002,SMALL(IF((Expenses!E$3:E$1002="INR")*(Expenses!A$3:A$1002=DATE(2026,8,20)),ROW(Expenses!A$3:A$1002)-2),3)),""),IF(IFERROR(INDEX(Income!B$3:B$502,SMALL(IF((Income!D$3:D$502="INR")*(Income!A$3:A$502=DATE(2026,8,20)),ROW(Income!A$3:A$502)-2),3)),"")&lt;&gt;"",IFERROR(INDEX(Income!B$3:B$502,SMALL(IF((Income!D$3:D$502="INR")*(Income!A$3:A$502=DATE(2026,8,20)),ROW(Income!A$3:A$502)-2),3)),""),""))</f>
        <v/>
      </c>
      <c r="K171" s="63" t="str">
        <f aca="false">IF(IFERROR(-INDEX(Expenses!D$3:D$1002,SMALL(IF((Expenses!E$3:E$1002="INR")*(Expenses!A$3:A$1002=DATE(2026,8,21)),ROW(Expenses!A$3:A$1002)-2),3)),0)+IFERROR(INDEX(Income!C$3:C$502,SMALL(IF((Income!D$3:D$502="INR")*(Income!A$3:A$502=DATE(2026,8,21)),ROW(Income!A$3:A$502)-2),3)),0)=0,"",IFERROR(-INDEX(Expenses!D$3:D$1002,SMALL(IF((Expenses!E$3:E$1002="INR")*(Expenses!A$3:A$1002=DATE(2026,8,21)),ROW(Expenses!A$3:A$1002)-2),3)),0)+IFERROR(INDEX(Income!C$3:C$502,SMALL(IF((Income!D$3:D$502="INR")*(Income!A$3:A$502=DATE(2026,8,21)),ROW(Income!A$3:A$502)-2),3)),0))</f>
        <v/>
      </c>
      <c r="L171" s="38" t="str">
        <f aca="false">IF(IFERROR(INDEX(Expenses!B$3:B$1002,SMALL(IF((Expenses!E$3:E$1002="INR")*(Expenses!A$3:A$1002=DATE(2026,8,21)),ROW(Expenses!A$3:A$1002)-2),3)),"")&lt;&gt;"",IFERROR(INDEX(Expenses!B$3:B$1002,SMALL(IF((Expenses!E$3:E$1002="INR")*(Expenses!A$3:A$1002=DATE(2026,8,21)),ROW(Expenses!A$3:A$1002)-2),3)),""),IF(IFERROR(INDEX(Income!B$3:B$502,SMALL(IF((Income!D$3:D$502="INR")*(Income!A$3:A$502=DATE(2026,8,21)),ROW(Income!A$3:A$502)-2),3)),"")&lt;&gt;"",IFERROR(INDEX(Income!B$3:B$502,SMALL(IF((Income!D$3:D$502="INR")*(Income!A$3:A$502=DATE(2026,8,21)),ROW(Income!A$3:A$502)-2),3)),""),""))</f>
        <v/>
      </c>
      <c r="M171" s="63" t="str">
        <f aca="false">IF(IFERROR(-INDEX(Expenses!D$3:D$1002,SMALL(IF((Expenses!E$3:E$1002="INR")*(Expenses!A$3:A$1002=DATE(2026,8,22)),ROW(Expenses!A$3:A$1002)-2),3)),0)+IFERROR(INDEX(Income!C$3:C$502,SMALL(IF((Income!D$3:D$502="INR")*(Income!A$3:A$502=DATE(2026,8,22)),ROW(Income!A$3:A$502)-2),3)),0)=0,"",IFERROR(-INDEX(Expenses!D$3:D$1002,SMALL(IF((Expenses!E$3:E$1002="INR")*(Expenses!A$3:A$1002=DATE(2026,8,22)),ROW(Expenses!A$3:A$1002)-2),3)),0)+IFERROR(INDEX(Income!C$3:C$502,SMALL(IF((Income!D$3:D$502="INR")*(Income!A$3:A$502=DATE(2026,8,22)),ROW(Income!A$3:A$502)-2),3)),0))</f>
        <v/>
      </c>
      <c r="N171" s="38" t="str">
        <f aca="false">IF(IFERROR(INDEX(Expenses!B$3:B$1002,SMALL(IF((Expenses!E$3:E$1002="INR")*(Expenses!A$3:A$1002=DATE(2026,8,22)),ROW(Expenses!A$3:A$1002)-2),3)),"")&lt;&gt;"",IFERROR(INDEX(Expenses!B$3:B$1002,SMALL(IF((Expenses!E$3:E$1002="INR")*(Expenses!A$3:A$1002=DATE(2026,8,22)),ROW(Expenses!A$3:A$1002)-2),3)),""),IF(IFERROR(INDEX(Income!B$3:B$502,SMALL(IF((Income!D$3:D$502="INR")*(Income!A$3:A$502=DATE(2026,8,22)),ROW(Income!A$3:A$502)-2),3)),"")&lt;&gt;"",IFERROR(INDEX(Income!B$3:B$502,SMALL(IF((Income!D$3:D$502="INR")*(Income!A$3:A$502=DATE(2026,8,22)),ROW(Income!A$3:A$502)-2),3)),""),""))</f>
        <v/>
      </c>
      <c r="O171" s="63" t="str">
        <f aca="false">IF(IFERROR(-INDEX(Expenses!D$3:D$1002,SMALL(IF((Expenses!E$3:E$1002="INR")*(Expenses!A$3:A$1002=DATE(2026,8,23)),ROW(Expenses!A$3:A$1002)-2),3)),0)+IFERROR(INDEX(Income!C$3:C$502,SMALL(IF((Income!D$3:D$502="INR")*(Income!A$3:A$502=DATE(2026,8,23)),ROW(Income!A$3:A$502)-2),3)),0)=0,"",IFERROR(-INDEX(Expenses!D$3:D$1002,SMALL(IF((Expenses!E$3:E$1002="INR")*(Expenses!A$3:A$1002=DATE(2026,8,23)),ROW(Expenses!A$3:A$1002)-2),3)),0)+IFERROR(INDEX(Income!C$3:C$502,SMALL(IF((Income!D$3:D$502="INR")*(Income!A$3:A$502=DATE(2026,8,23)),ROW(Income!A$3:A$502)-2),3)),0))</f>
        <v/>
      </c>
      <c r="P171" s="38" t="str">
        <f aca="false">IF(IFERROR(INDEX(Expenses!B$3:B$1002,SMALL(IF((Expenses!E$3:E$1002="INR")*(Expenses!A$3:A$1002=DATE(2026,8,23)),ROW(Expenses!A$3:A$1002)-2),3)),"")&lt;&gt;"",IFERROR(INDEX(Expenses!B$3:B$1002,SMALL(IF((Expenses!E$3:E$1002="INR")*(Expenses!A$3:A$1002=DATE(2026,8,23)),ROW(Expenses!A$3:A$1002)-2),3)),""),IF(IFERROR(INDEX(Income!B$3:B$502,SMALL(IF((Income!D$3:D$502="INR")*(Income!A$3:A$502=DATE(2026,8,23)),ROW(Income!A$3:A$502)-2),3)),"")&lt;&gt;"",IFERROR(INDEX(Income!B$3:B$502,SMALL(IF((Income!D$3:D$502="INR")*(Income!A$3:A$502=DATE(2026,8,23)),ROW(Income!A$3:A$502)-2),3)),""),""))</f>
        <v/>
      </c>
      <c r="Q171" s="16"/>
      <c r="R171" s="16"/>
    </row>
    <row r="172" customFormat="false" ht="15" hidden="false" customHeight="false" outlineLevel="0" collapsed="false">
      <c r="A172" s="16"/>
      <c r="B172" s="16"/>
      <c r="C172" s="63" t="str">
        <f aca="false">IF(IFERROR(-INDEX(Expenses!D$3:D$1002,SMALL(IF((Expenses!E$3:E$1002="INR")*(Expenses!A$3:A$1002=DATE(2026,8,17)),ROW(Expenses!A$3:A$1002)-2),4)),0)+IFERROR(INDEX(Income!C$3:C$502,SMALL(IF((Income!D$3:D$502="INR")*(Income!A$3:A$502=DATE(2026,8,17)),ROW(Income!A$3:A$502)-2),4)),0)=0,"",IFERROR(-INDEX(Expenses!D$3:D$1002,SMALL(IF((Expenses!E$3:E$1002="INR")*(Expenses!A$3:A$1002=DATE(2026,8,17)),ROW(Expenses!A$3:A$1002)-2),4)),0)+IFERROR(INDEX(Income!C$3:C$502,SMALL(IF((Income!D$3:D$502="INR")*(Income!A$3:A$502=DATE(2026,8,17)),ROW(Income!A$3:A$502)-2),4)),0))</f>
        <v/>
      </c>
      <c r="D172" s="38" t="str">
        <f aca="false">IF(IFERROR(INDEX(Expenses!B$3:B$1002,SMALL(IF((Expenses!E$3:E$1002="INR")*(Expenses!A$3:A$1002=DATE(2026,8,17)),ROW(Expenses!A$3:A$1002)-2),4)),"")&lt;&gt;"",IFERROR(INDEX(Expenses!B$3:B$1002,SMALL(IF((Expenses!E$3:E$1002="INR")*(Expenses!A$3:A$1002=DATE(2026,8,17)),ROW(Expenses!A$3:A$1002)-2),4)),""),IF(IFERROR(INDEX(Income!B$3:B$502,SMALL(IF((Income!D$3:D$502="INR")*(Income!A$3:A$502=DATE(2026,8,17)),ROW(Income!A$3:A$502)-2),4)),"")&lt;&gt;"",IFERROR(INDEX(Income!B$3:B$502,SMALL(IF((Income!D$3:D$502="INR")*(Income!A$3:A$502=DATE(2026,8,17)),ROW(Income!A$3:A$502)-2),4)),""),""))</f>
        <v/>
      </c>
      <c r="E172" s="63" t="str">
        <f aca="false">IF(IFERROR(-INDEX(Expenses!D$3:D$1002,SMALL(IF((Expenses!E$3:E$1002="INR")*(Expenses!A$3:A$1002=DATE(2026,8,18)),ROW(Expenses!A$3:A$1002)-2),4)),0)+IFERROR(INDEX(Income!C$3:C$502,SMALL(IF((Income!D$3:D$502="INR")*(Income!A$3:A$502=DATE(2026,8,18)),ROW(Income!A$3:A$502)-2),4)),0)=0,"",IFERROR(-INDEX(Expenses!D$3:D$1002,SMALL(IF((Expenses!E$3:E$1002="INR")*(Expenses!A$3:A$1002=DATE(2026,8,18)),ROW(Expenses!A$3:A$1002)-2),4)),0)+IFERROR(INDEX(Income!C$3:C$502,SMALL(IF((Income!D$3:D$502="INR")*(Income!A$3:A$502=DATE(2026,8,18)),ROW(Income!A$3:A$502)-2),4)),0))</f>
        <v/>
      </c>
      <c r="F172" s="38" t="str">
        <f aca="false">IF(IFERROR(INDEX(Expenses!B$3:B$1002,SMALL(IF((Expenses!E$3:E$1002="INR")*(Expenses!A$3:A$1002=DATE(2026,8,18)),ROW(Expenses!A$3:A$1002)-2),4)),"")&lt;&gt;"",IFERROR(INDEX(Expenses!B$3:B$1002,SMALL(IF((Expenses!E$3:E$1002="INR")*(Expenses!A$3:A$1002=DATE(2026,8,18)),ROW(Expenses!A$3:A$1002)-2),4)),""),IF(IFERROR(INDEX(Income!B$3:B$502,SMALL(IF((Income!D$3:D$502="INR")*(Income!A$3:A$502=DATE(2026,8,18)),ROW(Income!A$3:A$502)-2),4)),"")&lt;&gt;"",IFERROR(INDEX(Income!B$3:B$502,SMALL(IF((Income!D$3:D$502="INR")*(Income!A$3:A$502=DATE(2026,8,18)),ROW(Income!A$3:A$502)-2),4)),""),""))</f>
        <v/>
      </c>
      <c r="G172" s="63" t="str">
        <f aca="false">IF(IFERROR(-INDEX(Expenses!D$3:D$1002,SMALL(IF((Expenses!E$3:E$1002="INR")*(Expenses!A$3:A$1002=DATE(2026,8,19)),ROW(Expenses!A$3:A$1002)-2),4)),0)+IFERROR(INDEX(Income!C$3:C$502,SMALL(IF((Income!D$3:D$502="INR")*(Income!A$3:A$502=DATE(2026,8,19)),ROW(Income!A$3:A$502)-2),4)),0)=0,"",IFERROR(-INDEX(Expenses!D$3:D$1002,SMALL(IF((Expenses!E$3:E$1002="INR")*(Expenses!A$3:A$1002=DATE(2026,8,19)),ROW(Expenses!A$3:A$1002)-2),4)),0)+IFERROR(INDEX(Income!C$3:C$502,SMALL(IF((Income!D$3:D$502="INR")*(Income!A$3:A$502=DATE(2026,8,19)),ROW(Income!A$3:A$502)-2),4)),0))</f>
        <v/>
      </c>
      <c r="H172" s="38" t="str">
        <f aca="false">IF(IFERROR(INDEX(Expenses!B$3:B$1002,SMALL(IF((Expenses!E$3:E$1002="INR")*(Expenses!A$3:A$1002=DATE(2026,8,19)),ROW(Expenses!A$3:A$1002)-2),4)),"")&lt;&gt;"",IFERROR(INDEX(Expenses!B$3:B$1002,SMALL(IF((Expenses!E$3:E$1002="INR")*(Expenses!A$3:A$1002=DATE(2026,8,19)),ROW(Expenses!A$3:A$1002)-2),4)),""),IF(IFERROR(INDEX(Income!B$3:B$502,SMALL(IF((Income!D$3:D$502="INR")*(Income!A$3:A$502=DATE(2026,8,19)),ROW(Income!A$3:A$502)-2),4)),"")&lt;&gt;"",IFERROR(INDEX(Income!B$3:B$502,SMALL(IF((Income!D$3:D$502="INR")*(Income!A$3:A$502=DATE(2026,8,19)),ROW(Income!A$3:A$502)-2),4)),""),""))</f>
        <v/>
      </c>
      <c r="I172" s="63" t="str">
        <f aca="false">IF(IFERROR(-INDEX(Expenses!D$3:D$1002,SMALL(IF((Expenses!E$3:E$1002="INR")*(Expenses!A$3:A$1002=DATE(2026,8,20)),ROW(Expenses!A$3:A$1002)-2),4)),0)+IFERROR(INDEX(Income!C$3:C$502,SMALL(IF((Income!D$3:D$502="INR")*(Income!A$3:A$502=DATE(2026,8,20)),ROW(Income!A$3:A$502)-2),4)),0)=0,"",IFERROR(-INDEX(Expenses!D$3:D$1002,SMALL(IF((Expenses!E$3:E$1002="INR")*(Expenses!A$3:A$1002=DATE(2026,8,20)),ROW(Expenses!A$3:A$1002)-2),4)),0)+IFERROR(INDEX(Income!C$3:C$502,SMALL(IF((Income!D$3:D$502="INR")*(Income!A$3:A$502=DATE(2026,8,20)),ROW(Income!A$3:A$502)-2),4)),0))</f>
        <v/>
      </c>
      <c r="J172" s="38" t="str">
        <f aca="false">IF(IFERROR(INDEX(Expenses!B$3:B$1002,SMALL(IF((Expenses!E$3:E$1002="INR")*(Expenses!A$3:A$1002=DATE(2026,8,20)),ROW(Expenses!A$3:A$1002)-2),4)),"")&lt;&gt;"",IFERROR(INDEX(Expenses!B$3:B$1002,SMALL(IF((Expenses!E$3:E$1002="INR")*(Expenses!A$3:A$1002=DATE(2026,8,20)),ROW(Expenses!A$3:A$1002)-2),4)),""),IF(IFERROR(INDEX(Income!B$3:B$502,SMALL(IF((Income!D$3:D$502="INR")*(Income!A$3:A$502=DATE(2026,8,20)),ROW(Income!A$3:A$502)-2),4)),"")&lt;&gt;"",IFERROR(INDEX(Income!B$3:B$502,SMALL(IF((Income!D$3:D$502="INR")*(Income!A$3:A$502=DATE(2026,8,20)),ROW(Income!A$3:A$502)-2),4)),""),""))</f>
        <v/>
      </c>
      <c r="K172" s="63" t="str">
        <f aca="false">IF(IFERROR(-INDEX(Expenses!D$3:D$1002,SMALL(IF((Expenses!E$3:E$1002="INR")*(Expenses!A$3:A$1002=DATE(2026,8,21)),ROW(Expenses!A$3:A$1002)-2),4)),0)+IFERROR(INDEX(Income!C$3:C$502,SMALL(IF((Income!D$3:D$502="INR")*(Income!A$3:A$502=DATE(2026,8,21)),ROW(Income!A$3:A$502)-2),4)),0)=0,"",IFERROR(-INDEX(Expenses!D$3:D$1002,SMALL(IF((Expenses!E$3:E$1002="INR")*(Expenses!A$3:A$1002=DATE(2026,8,21)),ROW(Expenses!A$3:A$1002)-2),4)),0)+IFERROR(INDEX(Income!C$3:C$502,SMALL(IF((Income!D$3:D$502="INR")*(Income!A$3:A$502=DATE(2026,8,21)),ROW(Income!A$3:A$502)-2),4)),0))</f>
        <v/>
      </c>
      <c r="L172" s="38" t="str">
        <f aca="false">IF(IFERROR(INDEX(Expenses!B$3:B$1002,SMALL(IF((Expenses!E$3:E$1002="INR")*(Expenses!A$3:A$1002=DATE(2026,8,21)),ROW(Expenses!A$3:A$1002)-2),4)),"")&lt;&gt;"",IFERROR(INDEX(Expenses!B$3:B$1002,SMALL(IF((Expenses!E$3:E$1002="INR")*(Expenses!A$3:A$1002=DATE(2026,8,21)),ROW(Expenses!A$3:A$1002)-2),4)),""),IF(IFERROR(INDEX(Income!B$3:B$502,SMALL(IF((Income!D$3:D$502="INR")*(Income!A$3:A$502=DATE(2026,8,21)),ROW(Income!A$3:A$502)-2),4)),"")&lt;&gt;"",IFERROR(INDEX(Income!B$3:B$502,SMALL(IF((Income!D$3:D$502="INR")*(Income!A$3:A$502=DATE(2026,8,21)),ROW(Income!A$3:A$502)-2),4)),""),""))</f>
        <v/>
      </c>
      <c r="M172" s="63" t="str">
        <f aca="false">IF(IFERROR(-INDEX(Expenses!D$3:D$1002,SMALL(IF((Expenses!E$3:E$1002="INR")*(Expenses!A$3:A$1002=DATE(2026,8,22)),ROW(Expenses!A$3:A$1002)-2),4)),0)+IFERROR(INDEX(Income!C$3:C$502,SMALL(IF((Income!D$3:D$502="INR")*(Income!A$3:A$502=DATE(2026,8,22)),ROW(Income!A$3:A$502)-2),4)),0)=0,"",IFERROR(-INDEX(Expenses!D$3:D$1002,SMALL(IF((Expenses!E$3:E$1002="INR")*(Expenses!A$3:A$1002=DATE(2026,8,22)),ROW(Expenses!A$3:A$1002)-2),4)),0)+IFERROR(INDEX(Income!C$3:C$502,SMALL(IF((Income!D$3:D$502="INR")*(Income!A$3:A$502=DATE(2026,8,22)),ROW(Income!A$3:A$502)-2),4)),0))</f>
        <v/>
      </c>
      <c r="N172" s="38" t="str">
        <f aca="false">IF(IFERROR(INDEX(Expenses!B$3:B$1002,SMALL(IF((Expenses!E$3:E$1002="INR")*(Expenses!A$3:A$1002=DATE(2026,8,22)),ROW(Expenses!A$3:A$1002)-2),4)),"")&lt;&gt;"",IFERROR(INDEX(Expenses!B$3:B$1002,SMALL(IF((Expenses!E$3:E$1002="INR")*(Expenses!A$3:A$1002=DATE(2026,8,22)),ROW(Expenses!A$3:A$1002)-2),4)),""),IF(IFERROR(INDEX(Income!B$3:B$502,SMALL(IF((Income!D$3:D$502="INR")*(Income!A$3:A$502=DATE(2026,8,22)),ROW(Income!A$3:A$502)-2),4)),"")&lt;&gt;"",IFERROR(INDEX(Income!B$3:B$502,SMALL(IF((Income!D$3:D$502="INR")*(Income!A$3:A$502=DATE(2026,8,22)),ROW(Income!A$3:A$502)-2),4)),""),""))</f>
        <v/>
      </c>
      <c r="O172" s="63" t="str">
        <f aca="false">IF(IFERROR(-INDEX(Expenses!D$3:D$1002,SMALL(IF((Expenses!E$3:E$1002="INR")*(Expenses!A$3:A$1002=DATE(2026,8,23)),ROW(Expenses!A$3:A$1002)-2),4)),0)+IFERROR(INDEX(Income!C$3:C$502,SMALL(IF((Income!D$3:D$502="INR")*(Income!A$3:A$502=DATE(2026,8,23)),ROW(Income!A$3:A$502)-2),4)),0)=0,"",IFERROR(-INDEX(Expenses!D$3:D$1002,SMALL(IF((Expenses!E$3:E$1002="INR")*(Expenses!A$3:A$1002=DATE(2026,8,23)),ROW(Expenses!A$3:A$1002)-2),4)),0)+IFERROR(INDEX(Income!C$3:C$502,SMALL(IF((Income!D$3:D$502="INR")*(Income!A$3:A$502=DATE(2026,8,23)),ROW(Income!A$3:A$502)-2),4)),0))</f>
        <v/>
      </c>
      <c r="P172" s="38" t="str">
        <f aca="false">IF(IFERROR(INDEX(Expenses!B$3:B$1002,SMALL(IF((Expenses!E$3:E$1002="INR")*(Expenses!A$3:A$1002=DATE(2026,8,23)),ROW(Expenses!A$3:A$1002)-2),4)),"")&lt;&gt;"",IFERROR(INDEX(Expenses!B$3:B$1002,SMALL(IF((Expenses!E$3:E$1002="INR")*(Expenses!A$3:A$1002=DATE(2026,8,23)),ROW(Expenses!A$3:A$1002)-2),4)),""),IF(IFERROR(INDEX(Income!B$3:B$502,SMALL(IF((Income!D$3:D$502="INR")*(Income!A$3:A$502=DATE(2026,8,23)),ROW(Income!A$3:A$502)-2),4)),"")&lt;&gt;"",IFERROR(INDEX(Income!B$3:B$502,SMALL(IF((Income!D$3:D$502="INR")*(Income!A$3:A$502=DATE(2026,8,23)),ROW(Income!A$3:A$502)-2),4)),""),""))</f>
        <v/>
      </c>
      <c r="Q172" s="16"/>
      <c r="R172" s="16"/>
    </row>
    <row r="173" customFormat="false" ht="15" hidden="false" customHeight="false" outlineLevel="0" collapsed="false">
      <c r="A173" s="16"/>
      <c r="B173" s="16"/>
      <c r="C173" s="63" t="str">
        <f aca="false">IF(IFERROR(-INDEX(Expenses!D$3:D$1002,SMALL(IF((Expenses!E$3:E$1002="INR")*(Expenses!A$3:A$1002=DATE(2026,8,17)),ROW(Expenses!A$3:A$1002)-2),5)),0)+IFERROR(INDEX(Income!C$3:C$502,SMALL(IF((Income!D$3:D$502="INR")*(Income!A$3:A$502=DATE(2026,8,17)),ROW(Income!A$3:A$502)-2),5)),0)=0,"",IFERROR(-INDEX(Expenses!D$3:D$1002,SMALL(IF((Expenses!E$3:E$1002="INR")*(Expenses!A$3:A$1002=DATE(2026,8,17)),ROW(Expenses!A$3:A$1002)-2),5)),0)+IFERROR(INDEX(Income!C$3:C$502,SMALL(IF((Income!D$3:D$502="INR")*(Income!A$3:A$502=DATE(2026,8,17)),ROW(Income!A$3:A$502)-2),5)),0))</f>
        <v/>
      </c>
      <c r="D173" s="38" t="str">
        <f aca="false">IF(IFERROR(INDEX(Expenses!B$3:B$1002,SMALL(IF((Expenses!E$3:E$1002="INR")*(Expenses!A$3:A$1002=DATE(2026,8,17)),ROW(Expenses!A$3:A$1002)-2),5)),"")&lt;&gt;"",IFERROR(INDEX(Expenses!B$3:B$1002,SMALL(IF((Expenses!E$3:E$1002="INR")*(Expenses!A$3:A$1002=DATE(2026,8,17)),ROW(Expenses!A$3:A$1002)-2),5)),""),IF(IFERROR(INDEX(Income!B$3:B$502,SMALL(IF((Income!D$3:D$502="INR")*(Income!A$3:A$502=DATE(2026,8,17)),ROW(Income!A$3:A$502)-2),5)),"")&lt;&gt;"",IFERROR(INDEX(Income!B$3:B$502,SMALL(IF((Income!D$3:D$502="INR")*(Income!A$3:A$502=DATE(2026,8,17)),ROW(Income!A$3:A$502)-2),5)),""),""))</f>
        <v/>
      </c>
      <c r="E173" s="63" t="str">
        <f aca="false">IF(IFERROR(-INDEX(Expenses!D$3:D$1002,SMALL(IF((Expenses!E$3:E$1002="INR")*(Expenses!A$3:A$1002=DATE(2026,8,18)),ROW(Expenses!A$3:A$1002)-2),5)),0)+IFERROR(INDEX(Income!C$3:C$502,SMALL(IF((Income!D$3:D$502="INR")*(Income!A$3:A$502=DATE(2026,8,18)),ROW(Income!A$3:A$502)-2),5)),0)=0,"",IFERROR(-INDEX(Expenses!D$3:D$1002,SMALL(IF((Expenses!E$3:E$1002="INR")*(Expenses!A$3:A$1002=DATE(2026,8,18)),ROW(Expenses!A$3:A$1002)-2),5)),0)+IFERROR(INDEX(Income!C$3:C$502,SMALL(IF((Income!D$3:D$502="INR")*(Income!A$3:A$502=DATE(2026,8,18)),ROW(Income!A$3:A$502)-2),5)),0))</f>
        <v/>
      </c>
      <c r="F173" s="38" t="str">
        <f aca="false">IF(IFERROR(INDEX(Expenses!B$3:B$1002,SMALL(IF((Expenses!E$3:E$1002="INR")*(Expenses!A$3:A$1002=DATE(2026,8,18)),ROW(Expenses!A$3:A$1002)-2),5)),"")&lt;&gt;"",IFERROR(INDEX(Expenses!B$3:B$1002,SMALL(IF((Expenses!E$3:E$1002="INR")*(Expenses!A$3:A$1002=DATE(2026,8,18)),ROW(Expenses!A$3:A$1002)-2),5)),""),IF(IFERROR(INDEX(Income!B$3:B$502,SMALL(IF((Income!D$3:D$502="INR")*(Income!A$3:A$502=DATE(2026,8,18)),ROW(Income!A$3:A$502)-2),5)),"")&lt;&gt;"",IFERROR(INDEX(Income!B$3:B$502,SMALL(IF((Income!D$3:D$502="INR")*(Income!A$3:A$502=DATE(2026,8,18)),ROW(Income!A$3:A$502)-2),5)),""),""))</f>
        <v/>
      </c>
      <c r="G173" s="63" t="str">
        <f aca="false">IF(IFERROR(-INDEX(Expenses!D$3:D$1002,SMALL(IF((Expenses!E$3:E$1002="INR")*(Expenses!A$3:A$1002=DATE(2026,8,19)),ROW(Expenses!A$3:A$1002)-2),5)),0)+IFERROR(INDEX(Income!C$3:C$502,SMALL(IF((Income!D$3:D$502="INR")*(Income!A$3:A$502=DATE(2026,8,19)),ROW(Income!A$3:A$502)-2),5)),0)=0,"",IFERROR(-INDEX(Expenses!D$3:D$1002,SMALL(IF((Expenses!E$3:E$1002="INR")*(Expenses!A$3:A$1002=DATE(2026,8,19)),ROW(Expenses!A$3:A$1002)-2),5)),0)+IFERROR(INDEX(Income!C$3:C$502,SMALL(IF((Income!D$3:D$502="INR")*(Income!A$3:A$502=DATE(2026,8,19)),ROW(Income!A$3:A$502)-2),5)),0))</f>
        <v/>
      </c>
      <c r="H173" s="38" t="str">
        <f aca="false">IF(IFERROR(INDEX(Expenses!B$3:B$1002,SMALL(IF((Expenses!E$3:E$1002="INR")*(Expenses!A$3:A$1002=DATE(2026,8,19)),ROW(Expenses!A$3:A$1002)-2),5)),"")&lt;&gt;"",IFERROR(INDEX(Expenses!B$3:B$1002,SMALL(IF((Expenses!E$3:E$1002="INR")*(Expenses!A$3:A$1002=DATE(2026,8,19)),ROW(Expenses!A$3:A$1002)-2),5)),""),IF(IFERROR(INDEX(Income!B$3:B$502,SMALL(IF((Income!D$3:D$502="INR")*(Income!A$3:A$502=DATE(2026,8,19)),ROW(Income!A$3:A$502)-2),5)),"")&lt;&gt;"",IFERROR(INDEX(Income!B$3:B$502,SMALL(IF((Income!D$3:D$502="INR")*(Income!A$3:A$502=DATE(2026,8,19)),ROW(Income!A$3:A$502)-2),5)),""),""))</f>
        <v/>
      </c>
      <c r="I173" s="63" t="str">
        <f aca="false">IF(IFERROR(-INDEX(Expenses!D$3:D$1002,SMALL(IF((Expenses!E$3:E$1002="INR")*(Expenses!A$3:A$1002=DATE(2026,8,20)),ROW(Expenses!A$3:A$1002)-2),5)),0)+IFERROR(INDEX(Income!C$3:C$502,SMALL(IF((Income!D$3:D$502="INR")*(Income!A$3:A$502=DATE(2026,8,20)),ROW(Income!A$3:A$502)-2),5)),0)=0,"",IFERROR(-INDEX(Expenses!D$3:D$1002,SMALL(IF((Expenses!E$3:E$1002="INR")*(Expenses!A$3:A$1002=DATE(2026,8,20)),ROW(Expenses!A$3:A$1002)-2),5)),0)+IFERROR(INDEX(Income!C$3:C$502,SMALL(IF((Income!D$3:D$502="INR")*(Income!A$3:A$502=DATE(2026,8,20)),ROW(Income!A$3:A$502)-2),5)),0))</f>
        <v/>
      </c>
      <c r="J173" s="38" t="str">
        <f aca="false">IF(IFERROR(INDEX(Expenses!B$3:B$1002,SMALL(IF((Expenses!E$3:E$1002="INR")*(Expenses!A$3:A$1002=DATE(2026,8,20)),ROW(Expenses!A$3:A$1002)-2),5)),"")&lt;&gt;"",IFERROR(INDEX(Expenses!B$3:B$1002,SMALL(IF((Expenses!E$3:E$1002="INR")*(Expenses!A$3:A$1002=DATE(2026,8,20)),ROW(Expenses!A$3:A$1002)-2),5)),""),IF(IFERROR(INDEX(Income!B$3:B$502,SMALL(IF((Income!D$3:D$502="INR")*(Income!A$3:A$502=DATE(2026,8,20)),ROW(Income!A$3:A$502)-2),5)),"")&lt;&gt;"",IFERROR(INDEX(Income!B$3:B$502,SMALL(IF((Income!D$3:D$502="INR")*(Income!A$3:A$502=DATE(2026,8,20)),ROW(Income!A$3:A$502)-2),5)),""),""))</f>
        <v/>
      </c>
      <c r="K173" s="63" t="str">
        <f aca="false">IF(IFERROR(-INDEX(Expenses!D$3:D$1002,SMALL(IF((Expenses!E$3:E$1002="INR")*(Expenses!A$3:A$1002=DATE(2026,8,21)),ROW(Expenses!A$3:A$1002)-2),5)),0)+IFERROR(INDEX(Income!C$3:C$502,SMALL(IF((Income!D$3:D$502="INR")*(Income!A$3:A$502=DATE(2026,8,21)),ROW(Income!A$3:A$502)-2),5)),0)=0,"",IFERROR(-INDEX(Expenses!D$3:D$1002,SMALL(IF((Expenses!E$3:E$1002="INR")*(Expenses!A$3:A$1002=DATE(2026,8,21)),ROW(Expenses!A$3:A$1002)-2),5)),0)+IFERROR(INDEX(Income!C$3:C$502,SMALL(IF((Income!D$3:D$502="INR")*(Income!A$3:A$502=DATE(2026,8,21)),ROW(Income!A$3:A$502)-2),5)),0))</f>
        <v/>
      </c>
      <c r="L173" s="38" t="str">
        <f aca="false">IF(IFERROR(INDEX(Expenses!B$3:B$1002,SMALL(IF((Expenses!E$3:E$1002="INR")*(Expenses!A$3:A$1002=DATE(2026,8,21)),ROW(Expenses!A$3:A$1002)-2),5)),"")&lt;&gt;"",IFERROR(INDEX(Expenses!B$3:B$1002,SMALL(IF((Expenses!E$3:E$1002="INR")*(Expenses!A$3:A$1002=DATE(2026,8,21)),ROW(Expenses!A$3:A$1002)-2),5)),""),IF(IFERROR(INDEX(Income!B$3:B$502,SMALL(IF((Income!D$3:D$502="INR")*(Income!A$3:A$502=DATE(2026,8,21)),ROW(Income!A$3:A$502)-2),5)),"")&lt;&gt;"",IFERROR(INDEX(Income!B$3:B$502,SMALL(IF((Income!D$3:D$502="INR")*(Income!A$3:A$502=DATE(2026,8,21)),ROW(Income!A$3:A$502)-2),5)),""),""))</f>
        <v/>
      </c>
      <c r="M173" s="63" t="str">
        <f aca="false">IF(IFERROR(-INDEX(Expenses!D$3:D$1002,SMALL(IF((Expenses!E$3:E$1002="INR")*(Expenses!A$3:A$1002=DATE(2026,8,22)),ROW(Expenses!A$3:A$1002)-2),5)),0)+IFERROR(INDEX(Income!C$3:C$502,SMALL(IF((Income!D$3:D$502="INR")*(Income!A$3:A$502=DATE(2026,8,22)),ROW(Income!A$3:A$502)-2),5)),0)=0,"",IFERROR(-INDEX(Expenses!D$3:D$1002,SMALL(IF((Expenses!E$3:E$1002="INR")*(Expenses!A$3:A$1002=DATE(2026,8,22)),ROW(Expenses!A$3:A$1002)-2),5)),0)+IFERROR(INDEX(Income!C$3:C$502,SMALL(IF((Income!D$3:D$502="INR")*(Income!A$3:A$502=DATE(2026,8,22)),ROW(Income!A$3:A$502)-2),5)),0))</f>
        <v/>
      </c>
      <c r="N173" s="38" t="str">
        <f aca="false">IF(IFERROR(INDEX(Expenses!B$3:B$1002,SMALL(IF((Expenses!E$3:E$1002="INR")*(Expenses!A$3:A$1002=DATE(2026,8,22)),ROW(Expenses!A$3:A$1002)-2),5)),"")&lt;&gt;"",IFERROR(INDEX(Expenses!B$3:B$1002,SMALL(IF((Expenses!E$3:E$1002="INR")*(Expenses!A$3:A$1002=DATE(2026,8,22)),ROW(Expenses!A$3:A$1002)-2),5)),""),IF(IFERROR(INDEX(Income!B$3:B$502,SMALL(IF((Income!D$3:D$502="INR")*(Income!A$3:A$502=DATE(2026,8,22)),ROW(Income!A$3:A$502)-2),5)),"")&lt;&gt;"",IFERROR(INDEX(Income!B$3:B$502,SMALL(IF((Income!D$3:D$502="INR")*(Income!A$3:A$502=DATE(2026,8,22)),ROW(Income!A$3:A$502)-2),5)),""),""))</f>
        <v/>
      </c>
      <c r="O173" s="63" t="str">
        <f aca="false">IF(IFERROR(-INDEX(Expenses!D$3:D$1002,SMALL(IF((Expenses!E$3:E$1002="INR")*(Expenses!A$3:A$1002=DATE(2026,8,23)),ROW(Expenses!A$3:A$1002)-2),5)),0)+IFERROR(INDEX(Income!C$3:C$502,SMALL(IF((Income!D$3:D$502="INR")*(Income!A$3:A$502=DATE(2026,8,23)),ROW(Income!A$3:A$502)-2),5)),0)=0,"",IFERROR(-INDEX(Expenses!D$3:D$1002,SMALL(IF((Expenses!E$3:E$1002="INR")*(Expenses!A$3:A$1002=DATE(2026,8,23)),ROW(Expenses!A$3:A$1002)-2),5)),0)+IFERROR(INDEX(Income!C$3:C$502,SMALL(IF((Income!D$3:D$502="INR")*(Income!A$3:A$502=DATE(2026,8,23)),ROW(Income!A$3:A$502)-2),5)),0))</f>
        <v/>
      </c>
      <c r="P173" s="38" t="str">
        <f aca="false">IF(IFERROR(INDEX(Expenses!B$3:B$1002,SMALL(IF((Expenses!E$3:E$1002="INR")*(Expenses!A$3:A$1002=DATE(2026,8,23)),ROW(Expenses!A$3:A$1002)-2),5)),"")&lt;&gt;"",IFERROR(INDEX(Expenses!B$3:B$1002,SMALL(IF((Expenses!E$3:E$1002="INR")*(Expenses!A$3:A$1002=DATE(2026,8,23)),ROW(Expenses!A$3:A$1002)-2),5)),""),IF(IFERROR(INDEX(Income!B$3:B$502,SMALL(IF((Income!D$3:D$502="INR")*(Income!A$3:A$502=DATE(2026,8,23)),ROW(Income!A$3:A$502)-2),5)),"")&lt;&gt;"",IFERROR(INDEX(Income!B$3:B$502,SMALL(IF((Income!D$3:D$502="INR")*(Income!A$3:A$502=DATE(2026,8,23)),ROW(Income!A$3:A$502)-2),5)),""),""))</f>
        <v/>
      </c>
      <c r="Q173" s="16"/>
      <c r="R173" s="16"/>
    </row>
    <row r="174" customFormat="false" ht="15" hidden="false" customHeight="false" outlineLevel="0" collapsed="false">
      <c r="A174" s="61" t="n">
        <v>46258</v>
      </c>
      <c r="B174" s="3" t="n">
        <v>35</v>
      </c>
      <c r="C174" s="63" t="str">
        <f aca="false">IF(IFERROR(-INDEX(Expenses!D$3:D$1002,SMALL(IF((Expenses!E$3:E$1002="INR")*(Expenses!A$3:A$1002=DATE(2026,8,24)),ROW(Expenses!A$3:A$1002)-2),1)),0)+IFERROR(INDEX(Income!C$3:C$502,SMALL(IF((Income!D$3:D$502="INR")*(Income!A$3:A$502=DATE(2026,8,24)),ROW(Income!A$3:A$502)-2),1)),0)=0,"",IFERROR(-INDEX(Expenses!D$3:D$1002,SMALL(IF((Expenses!E$3:E$1002="INR")*(Expenses!A$3:A$1002=DATE(2026,8,24)),ROW(Expenses!A$3:A$1002)-2),1)),0)+IFERROR(INDEX(Income!C$3:C$502,SMALL(IF((Income!D$3:D$502="INR")*(Income!A$3:A$502=DATE(2026,8,24)),ROW(Income!A$3:A$502)-2),1)),0))</f>
        <v/>
      </c>
      <c r="D174" s="38" t="str">
        <f aca="false">IF(IFERROR(INDEX(Expenses!B$3:B$1002,SMALL(IF((Expenses!E$3:E$1002="INR")*(Expenses!A$3:A$1002=DATE(2026,8,24)),ROW(Expenses!A$3:A$1002)-2),1)),"")&lt;&gt;"",IFERROR(INDEX(Expenses!B$3:B$1002,SMALL(IF((Expenses!E$3:E$1002="INR")*(Expenses!A$3:A$1002=DATE(2026,8,24)),ROW(Expenses!A$3:A$1002)-2),1)),""),IF(IFERROR(INDEX(Income!B$3:B$502,SMALL(IF((Income!D$3:D$502="INR")*(Income!A$3:A$502=DATE(2026,8,24)),ROW(Income!A$3:A$502)-2),1)),"")&lt;&gt;"",IFERROR(INDEX(Income!B$3:B$502,SMALL(IF((Income!D$3:D$502="INR")*(Income!A$3:A$502=DATE(2026,8,24)),ROW(Income!A$3:A$502)-2),1)),""),""))</f>
        <v/>
      </c>
      <c r="E174" s="63" t="str">
        <f aca="false">IF(IFERROR(-INDEX(Expenses!D$3:D$1002,SMALL(IF((Expenses!E$3:E$1002="INR")*(Expenses!A$3:A$1002=DATE(2026,8,25)),ROW(Expenses!A$3:A$1002)-2),1)),0)+IFERROR(INDEX(Income!C$3:C$502,SMALL(IF((Income!D$3:D$502="INR")*(Income!A$3:A$502=DATE(2026,8,25)),ROW(Income!A$3:A$502)-2),1)),0)=0,"",IFERROR(-INDEX(Expenses!D$3:D$1002,SMALL(IF((Expenses!E$3:E$1002="INR")*(Expenses!A$3:A$1002=DATE(2026,8,25)),ROW(Expenses!A$3:A$1002)-2),1)),0)+IFERROR(INDEX(Income!C$3:C$502,SMALL(IF((Income!D$3:D$502="INR")*(Income!A$3:A$502=DATE(2026,8,25)),ROW(Income!A$3:A$502)-2),1)),0))</f>
        <v/>
      </c>
      <c r="F174" s="38" t="str">
        <f aca="false">IF(IFERROR(INDEX(Expenses!B$3:B$1002,SMALL(IF((Expenses!E$3:E$1002="INR")*(Expenses!A$3:A$1002=DATE(2026,8,25)),ROW(Expenses!A$3:A$1002)-2),1)),"")&lt;&gt;"",IFERROR(INDEX(Expenses!B$3:B$1002,SMALL(IF((Expenses!E$3:E$1002="INR")*(Expenses!A$3:A$1002=DATE(2026,8,25)),ROW(Expenses!A$3:A$1002)-2),1)),""),IF(IFERROR(INDEX(Income!B$3:B$502,SMALL(IF((Income!D$3:D$502="INR")*(Income!A$3:A$502=DATE(2026,8,25)),ROW(Income!A$3:A$502)-2),1)),"")&lt;&gt;"",IFERROR(INDEX(Income!B$3:B$502,SMALL(IF((Income!D$3:D$502="INR")*(Income!A$3:A$502=DATE(2026,8,25)),ROW(Income!A$3:A$502)-2),1)),""),""))</f>
        <v/>
      </c>
      <c r="G174" s="63" t="str">
        <f aca="false">IF(IFERROR(-INDEX(Expenses!D$3:D$1002,SMALL(IF((Expenses!E$3:E$1002="INR")*(Expenses!A$3:A$1002=DATE(2026,8,26)),ROW(Expenses!A$3:A$1002)-2),1)),0)+IFERROR(INDEX(Income!C$3:C$502,SMALL(IF((Income!D$3:D$502="INR")*(Income!A$3:A$502=DATE(2026,8,26)),ROW(Income!A$3:A$502)-2),1)),0)=0,"",IFERROR(-INDEX(Expenses!D$3:D$1002,SMALL(IF((Expenses!E$3:E$1002="INR")*(Expenses!A$3:A$1002=DATE(2026,8,26)),ROW(Expenses!A$3:A$1002)-2),1)),0)+IFERROR(INDEX(Income!C$3:C$502,SMALL(IF((Income!D$3:D$502="INR")*(Income!A$3:A$502=DATE(2026,8,26)),ROW(Income!A$3:A$502)-2),1)),0))</f>
        <v/>
      </c>
      <c r="H174" s="38" t="str">
        <f aca="false">IF(IFERROR(INDEX(Expenses!B$3:B$1002,SMALL(IF((Expenses!E$3:E$1002="INR")*(Expenses!A$3:A$1002=DATE(2026,8,26)),ROW(Expenses!A$3:A$1002)-2),1)),"")&lt;&gt;"",IFERROR(INDEX(Expenses!B$3:B$1002,SMALL(IF((Expenses!E$3:E$1002="INR")*(Expenses!A$3:A$1002=DATE(2026,8,26)),ROW(Expenses!A$3:A$1002)-2),1)),""),IF(IFERROR(INDEX(Income!B$3:B$502,SMALL(IF((Income!D$3:D$502="INR")*(Income!A$3:A$502=DATE(2026,8,26)),ROW(Income!A$3:A$502)-2),1)),"")&lt;&gt;"",IFERROR(INDEX(Income!B$3:B$502,SMALL(IF((Income!D$3:D$502="INR")*(Income!A$3:A$502=DATE(2026,8,26)),ROW(Income!A$3:A$502)-2),1)),""),""))</f>
        <v/>
      </c>
      <c r="I174" s="63" t="str">
        <f aca="false">IF(IFERROR(-INDEX(Expenses!D$3:D$1002,SMALL(IF((Expenses!E$3:E$1002="INR")*(Expenses!A$3:A$1002=DATE(2026,8,27)),ROW(Expenses!A$3:A$1002)-2),1)),0)+IFERROR(INDEX(Income!C$3:C$502,SMALL(IF((Income!D$3:D$502="INR")*(Income!A$3:A$502=DATE(2026,8,27)),ROW(Income!A$3:A$502)-2),1)),0)=0,"",IFERROR(-INDEX(Expenses!D$3:D$1002,SMALL(IF((Expenses!E$3:E$1002="INR")*(Expenses!A$3:A$1002=DATE(2026,8,27)),ROW(Expenses!A$3:A$1002)-2),1)),0)+IFERROR(INDEX(Income!C$3:C$502,SMALL(IF((Income!D$3:D$502="INR")*(Income!A$3:A$502=DATE(2026,8,27)),ROW(Income!A$3:A$502)-2),1)),0))</f>
        <v/>
      </c>
      <c r="J174" s="38" t="str">
        <f aca="false">IF(IFERROR(INDEX(Expenses!B$3:B$1002,SMALL(IF((Expenses!E$3:E$1002="INR")*(Expenses!A$3:A$1002=DATE(2026,8,27)),ROW(Expenses!A$3:A$1002)-2),1)),"")&lt;&gt;"",IFERROR(INDEX(Expenses!B$3:B$1002,SMALL(IF((Expenses!E$3:E$1002="INR")*(Expenses!A$3:A$1002=DATE(2026,8,27)),ROW(Expenses!A$3:A$1002)-2),1)),""),IF(IFERROR(INDEX(Income!B$3:B$502,SMALL(IF((Income!D$3:D$502="INR")*(Income!A$3:A$502=DATE(2026,8,27)),ROW(Income!A$3:A$502)-2),1)),"")&lt;&gt;"",IFERROR(INDEX(Income!B$3:B$502,SMALL(IF((Income!D$3:D$502="INR")*(Income!A$3:A$502=DATE(2026,8,27)),ROW(Income!A$3:A$502)-2),1)),""),""))</f>
        <v/>
      </c>
      <c r="K174" s="63" t="str">
        <f aca="false">IF(IFERROR(-INDEX(Expenses!D$3:D$1002,SMALL(IF((Expenses!E$3:E$1002="INR")*(Expenses!A$3:A$1002=DATE(2026,8,28)),ROW(Expenses!A$3:A$1002)-2),1)),0)+IFERROR(INDEX(Income!C$3:C$502,SMALL(IF((Income!D$3:D$502="INR")*(Income!A$3:A$502=DATE(2026,8,28)),ROW(Income!A$3:A$502)-2),1)),0)=0,"",IFERROR(-INDEX(Expenses!D$3:D$1002,SMALL(IF((Expenses!E$3:E$1002="INR")*(Expenses!A$3:A$1002=DATE(2026,8,28)),ROW(Expenses!A$3:A$1002)-2),1)),0)+IFERROR(INDEX(Income!C$3:C$502,SMALL(IF((Income!D$3:D$502="INR")*(Income!A$3:A$502=DATE(2026,8,28)),ROW(Income!A$3:A$502)-2),1)),0))</f>
        <v/>
      </c>
      <c r="L174" s="38" t="str">
        <f aca="false">IF(IFERROR(INDEX(Expenses!B$3:B$1002,SMALL(IF((Expenses!E$3:E$1002="INR")*(Expenses!A$3:A$1002=DATE(2026,8,28)),ROW(Expenses!A$3:A$1002)-2),1)),"")&lt;&gt;"",IFERROR(INDEX(Expenses!B$3:B$1002,SMALL(IF((Expenses!E$3:E$1002="INR")*(Expenses!A$3:A$1002=DATE(2026,8,28)),ROW(Expenses!A$3:A$1002)-2),1)),""),IF(IFERROR(INDEX(Income!B$3:B$502,SMALL(IF((Income!D$3:D$502="INR")*(Income!A$3:A$502=DATE(2026,8,28)),ROW(Income!A$3:A$502)-2),1)),"")&lt;&gt;"",IFERROR(INDEX(Income!B$3:B$502,SMALL(IF((Income!D$3:D$502="INR")*(Income!A$3:A$502=DATE(2026,8,28)),ROW(Income!A$3:A$502)-2),1)),""),""))</f>
        <v/>
      </c>
      <c r="M174" s="63" t="str">
        <f aca="false">IF(IFERROR(-INDEX(Expenses!D$3:D$1002,SMALL(IF((Expenses!E$3:E$1002="INR")*(Expenses!A$3:A$1002=DATE(2026,8,29)),ROW(Expenses!A$3:A$1002)-2),1)),0)+IFERROR(INDEX(Income!C$3:C$502,SMALL(IF((Income!D$3:D$502="INR")*(Income!A$3:A$502=DATE(2026,8,29)),ROW(Income!A$3:A$502)-2),1)),0)=0,"",IFERROR(-INDEX(Expenses!D$3:D$1002,SMALL(IF((Expenses!E$3:E$1002="INR")*(Expenses!A$3:A$1002=DATE(2026,8,29)),ROW(Expenses!A$3:A$1002)-2),1)),0)+IFERROR(INDEX(Income!C$3:C$502,SMALL(IF((Income!D$3:D$502="INR")*(Income!A$3:A$502=DATE(2026,8,29)),ROW(Income!A$3:A$502)-2),1)),0))</f>
        <v/>
      </c>
      <c r="N174" s="38" t="str">
        <f aca="false">IF(IFERROR(INDEX(Expenses!B$3:B$1002,SMALL(IF((Expenses!E$3:E$1002="INR")*(Expenses!A$3:A$1002=DATE(2026,8,29)),ROW(Expenses!A$3:A$1002)-2),1)),"")&lt;&gt;"",IFERROR(INDEX(Expenses!B$3:B$1002,SMALL(IF((Expenses!E$3:E$1002="INR")*(Expenses!A$3:A$1002=DATE(2026,8,29)),ROW(Expenses!A$3:A$1002)-2),1)),""),IF(IFERROR(INDEX(Income!B$3:B$502,SMALL(IF((Income!D$3:D$502="INR")*(Income!A$3:A$502=DATE(2026,8,29)),ROW(Income!A$3:A$502)-2),1)),"")&lt;&gt;"",IFERROR(INDEX(Income!B$3:B$502,SMALL(IF((Income!D$3:D$502="INR")*(Income!A$3:A$502=DATE(2026,8,29)),ROW(Income!A$3:A$502)-2),1)),""),""))</f>
        <v/>
      </c>
      <c r="O174" s="63" t="str">
        <f aca="false">IF(IFERROR(-INDEX(Expenses!D$3:D$1002,SMALL(IF((Expenses!E$3:E$1002="INR")*(Expenses!A$3:A$1002=DATE(2026,8,30)),ROW(Expenses!A$3:A$1002)-2),1)),0)+IFERROR(INDEX(Income!C$3:C$502,SMALL(IF((Income!D$3:D$502="INR")*(Income!A$3:A$502=DATE(2026,8,30)),ROW(Income!A$3:A$502)-2),1)),0)=0,"",IFERROR(-INDEX(Expenses!D$3:D$1002,SMALL(IF((Expenses!E$3:E$1002="INR")*(Expenses!A$3:A$1002=DATE(2026,8,30)),ROW(Expenses!A$3:A$1002)-2),1)),0)+IFERROR(INDEX(Income!C$3:C$502,SMALL(IF((Income!D$3:D$502="INR")*(Income!A$3:A$502=DATE(2026,8,30)),ROW(Income!A$3:A$502)-2),1)),0))</f>
        <v/>
      </c>
      <c r="P174" s="38" t="str">
        <f aca="false">IF(IFERROR(INDEX(Expenses!B$3:B$1002,SMALL(IF((Expenses!E$3:E$1002="INR")*(Expenses!A$3:A$1002=DATE(2026,8,30)),ROW(Expenses!A$3:A$1002)-2),1)),"")&lt;&gt;"",IFERROR(INDEX(Expenses!B$3:B$1002,SMALL(IF((Expenses!E$3:E$1002="INR")*(Expenses!A$3:A$1002=DATE(2026,8,30)),ROW(Expenses!A$3:A$1002)-2),1)),""),IF(IFERROR(INDEX(Income!B$3:B$502,SMALL(IF((Income!D$3:D$502="INR")*(Income!A$3:A$502=DATE(2026,8,30)),ROW(Income!A$3:A$502)-2),1)),"")&lt;&gt;"",IFERROR(INDEX(Income!B$3:B$502,SMALL(IF((Income!D$3:D$502="INR")*(Income!A$3:A$502=DATE(2026,8,30)),ROW(Income!A$3:A$502)-2),1)),""),""))</f>
        <v/>
      </c>
      <c r="Q174" s="3" t="n">
        <v>35</v>
      </c>
      <c r="R174" s="53" t="n">
        <f aca="false">SUM(C174:C178)+SUM(E174:E178)+SUM(G174:G178)+SUM(I174:I178)+SUM(K174:K178)+SUM(M174:M178)+SUM(O174:O178)</f>
        <v>0</v>
      </c>
    </row>
    <row r="175" customFormat="false" ht="15" hidden="false" customHeight="false" outlineLevel="0" collapsed="false">
      <c r="A175" s="16"/>
      <c r="B175" s="16"/>
      <c r="C175" s="63" t="str">
        <f aca="false">IF(IFERROR(-INDEX(Expenses!D$3:D$1002,SMALL(IF((Expenses!E$3:E$1002="INR")*(Expenses!A$3:A$1002=DATE(2026,8,24)),ROW(Expenses!A$3:A$1002)-2),2)),0)+IFERROR(INDEX(Income!C$3:C$502,SMALL(IF((Income!D$3:D$502="INR")*(Income!A$3:A$502=DATE(2026,8,24)),ROW(Income!A$3:A$502)-2),2)),0)=0,"",IFERROR(-INDEX(Expenses!D$3:D$1002,SMALL(IF((Expenses!E$3:E$1002="INR")*(Expenses!A$3:A$1002=DATE(2026,8,24)),ROW(Expenses!A$3:A$1002)-2),2)),0)+IFERROR(INDEX(Income!C$3:C$502,SMALL(IF((Income!D$3:D$502="INR")*(Income!A$3:A$502=DATE(2026,8,24)),ROW(Income!A$3:A$502)-2),2)),0))</f>
        <v/>
      </c>
      <c r="D175" s="38" t="str">
        <f aca="false">IF(IFERROR(INDEX(Expenses!B$3:B$1002,SMALL(IF((Expenses!E$3:E$1002="INR")*(Expenses!A$3:A$1002=DATE(2026,8,24)),ROW(Expenses!A$3:A$1002)-2),2)),"")&lt;&gt;"",IFERROR(INDEX(Expenses!B$3:B$1002,SMALL(IF((Expenses!E$3:E$1002="INR")*(Expenses!A$3:A$1002=DATE(2026,8,24)),ROW(Expenses!A$3:A$1002)-2),2)),""),IF(IFERROR(INDEX(Income!B$3:B$502,SMALL(IF((Income!D$3:D$502="INR")*(Income!A$3:A$502=DATE(2026,8,24)),ROW(Income!A$3:A$502)-2),2)),"")&lt;&gt;"",IFERROR(INDEX(Income!B$3:B$502,SMALL(IF((Income!D$3:D$502="INR")*(Income!A$3:A$502=DATE(2026,8,24)),ROW(Income!A$3:A$502)-2),2)),""),""))</f>
        <v/>
      </c>
      <c r="E175" s="63" t="str">
        <f aca="false">IF(IFERROR(-INDEX(Expenses!D$3:D$1002,SMALL(IF((Expenses!E$3:E$1002="INR")*(Expenses!A$3:A$1002=DATE(2026,8,25)),ROW(Expenses!A$3:A$1002)-2),2)),0)+IFERROR(INDEX(Income!C$3:C$502,SMALL(IF((Income!D$3:D$502="INR")*(Income!A$3:A$502=DATE(2026,8,25)),ROW(Income!A$3:A$502)-2),2)),0)=0,"",IFERROR(-INDEX(Expenses!D$3:D$1002,SMALL(IF((Expenses!E$3:E$1002="INR")*(Expenses!A$3:A$1002=DATE(2026,8,25)),ROW(Expenses!A$3:A$1002)-2),2)),0)+IFERROR(INDEX(Income!C$3:C$502,SMALL(IF((Income!D$3:D$502="INR")*(Income!A$3:A$502=DATE(2026,8,25)),ROW(Income!A$3:A$502)-2),2)),0))</f>
        <v/>
      </c>
      <c r="F175" s="38" t="str">
        <f aca="false">IF(IFERROR(INDEX(Expenses!B$3:B$1002,SMALL(IF((Expenses!E$3:E$1002="INR")*(Expenses!A$3:A$1002=DATE(2026,8,25)),ROW(Expenses!A$3:A$1002)-2),2)),"")&lt;&gt;"",IFERROR(INDEX(Expenses!B$3:B$1002,SMALL(IF((Expenses!E$3:E$1002="INR")*(Expenses!A$3:A$1002=DATE(2026,8,25)),ROW(Expenses!A$3:A$1002)-2),2)),""),IF(IFERROR(INDEX(Income!B$3:B$502,SMALL(IF((Income!D$3:D$502="INR")*(Income!A$3:A$502=DATE(2026,8,25)),ROW(Income!A$3:A$502)-2),2)),"")&lt;&gt;"",IFERROR(INDEX(Income!B$3:B$502,SMALL(IF((Income!D$3:D$502="INR")*(Income!A$3:A$502=DATE(2026,8,25)),ROW(Income!A$3:A$502)-2),2)),""),""))</f>
        <v/>
      </c>
      <c r="G175" s="63" t="str">
        <f aca="false">IF(IFERROR(-INDEX(Expenses!D$3:D$1002,SMALL(IF((Expenses!E$3:E$1002="INR")*(Expenses!A$3:A$1002=DATE(2026,8,26)),ROW(Expenses!A$3:A$1002)-2),2)),0)+IFERROR(INDEX(Income!C$3:C$502,SMALL(IF((Income!D$3:D$502="INR")*(Income!A$3:A$502=DATE(2026,8,26)),ROW(Income!A$3:A$502)-2),2)),0)=0,"",IFERROR(-INDEX(Expenses!D$3:D$1002,SMALL(IF((Expenses!E$3:E$1002="INR")*(Expenses!A$3:A$1002=DATE(2026,8,26)),ROW(Expenses!A$3:A$1002)-2),2)),0)+IFERROR(INDEX(Income!C$3:C$502,SMALL(IF((Income!D$3:D$502="INR")*(Income!A$3:A$502=DATE(2026,8,26)),ROW(Income!A$3:A$502)-2),2)),0))</f>
        <v/>
      </c>
      <c r="H175" s="38" t="str">
        <f aca="false">IF(IFERROR(INDEX(Expenses!B$3:B$1002,SMALL(IF((Expenses!E$3:E$1002="INR")*(Expenses!A$3:A$1002=DATE(2026,8,26)),ROW(Expenses!A$3:A$1002)-2),2)),"")&lt;&gt;"",IFERROR(INDEX(Expenses!B$3:B$1002,SMALL(IF((Expenses!E$3:E$1002="INR")*(Expenses!A$3:A$1002=DATE(2026,8,26)),ROW(Expenses!A$3:A$1002)-2),2)),""),IF(IFERROR(INDEX(Income!B$3:B$502,SMALL(IF((Income!D$3:D$502="INR")*(Income!A$3:A$502=DATE(2026,8,26)),ROW(Income!A$3:A$502)-2),2)),"")&lt;&gt;"",IFERROR(INDEX(Income!B$3:B$502,SMALL(IF((Income!D$3:D$502="INR")*(Income!A$3:A$502=DATE(2026,8,26)),ROW(Income!A$3:A$502)-2),2)),""),""))</f>
        <v/>
      </c>
      <c r="I175" s="63" t="str">
        <f aca="false">IF(IFERROR(-INDEX(Expenses!D$3:D$1002,SMALL(IF((Expenses!E$3:E$1002="INR")*(Expenses!A$3:A$1002=DATE(2026,8,27)),ROW(Expenses!A$3:A$1002)-2),2)),0)+IFERROR(INDEX(Income!C$3:C$502,SMALL(IF((Income!D$3:D$502="INR")*(Income!A$3:A$502=DATE(2026,8,27)),ROW(Income!A$3:A$502)-2),2)),0)=0,"",IFERROR(-INDEX(Expenses!D$3:D$1002,SMALL(IF((Expenses!E$3:E$1002="INR")*(Expenses!A$3:A$1002=DATE(2026,8,27)),ROW(Expenses!A$3:A$1002)-2),2)),0)+IFERROR(INDEX(Income!C$3:C$502,SMALL(IF((Income!D$3:D$502="INR")*(Income!A$3:A$502=DATE(2026,8,27)),ROW(Income!A$3:A$502)-2),2)),0))</f>
        <v/>
      </c>
      <c r="J175" s="38" t="str">
        <f aca="false">IF(IFERROR(INDEX(Expenses!B$3:B$1002,SMALL(IF((Expenses!E$3:E$1002="INR")*(Expenses!A$3:A$1002=DATE(2026,8,27)),ROW(Expenses!A$3:A$1002)-2),2)),"")&lt;&gt;"",IFERROR(INDEX(Expenses!B$3:B$1002,SMALL(IF((Expenses!E$3:E$1002="INR")*(Expenses!A$3:A$1002=DATE(2026,8,27)),ROW(Expenses!A$3:A$1002)-2),2)),""),IF(IFERROR(INDEX(Income!B$3:B$502,SMALL(IF((Income!D$3:D$502="INR")*(Income!A$3:A$502=DATE(2026,8,27)),ROW(Income!A$3:A$502)-2),2)),"")&lt;&gt;"",IFERROR(INDEX(Income!B$3:B$502,SMALL(IF((Income!D$3:D$502="INR")*(Income!A$3:A$502=DATE(2026,8,27)),ROW(Income!A$3:A$502)-2),2)),""),""))</f>
        <v/>
      </c>
      <c r="K175" s="63" t="str">
        <f aca="false">IF(IFERROR(-INDEX(Expenses!D$3:D$1002,SMALL(IF((Expenses!E$3:E$1002="INR")*(Expenses!A$3:A$1002=DATE(2026,8,28)),ROW(Expenses!A$3:A$1002)-2),2)),0)+IFERROR(INDEX(Income!C$3:C$502,SMALL(IF((Income!D$3:D$502="INR")*(Income!A$3:A$502=DATE(2026,8,28)),ROW(Income!A$3:A$502)-2),2)),0)=0,"",IFERROR(-INDEX(Expenses!D$3:D$1002,SMALL(IF((Expenses!E$3:E$1002="INR")*(Expenses!A$3:A$1002=DATE(2026,8,28)),ROW(Expenses!A$3:A$1002)-2),2)),0)+IFERROR(INDEX(Income!C$3:C$502,SMALL(IF((Income!D$3:D$502="INR")*(Income!A$3:A$502=DATE(2026,8,28)),ROW(Income!A$3:A$502)-2),2)),0))</f>
        <v/>
      </c>
      <c r="L175" s="38" t="str">
        <f aca="false">IF(IFERROR(INDEX(Expenses!B$3:B$1002,SMALL(IF((Expenses!E$3:E$1002="INR")*(Expenses!A$3:A$1002=DATE(2026,8,28)),ROW(Expenses!A$3:A$1002)-2),2)),"")&lt;&gt;"",IFERROR(INDEX(Expenses!B$3:B$1002,SMALL(IF((Expenses!E$3:E$1002="INR")*(Expenses!A$3:A$1002=DATE(2026,8,28)),ROW(Expenses!A$3:A$1002)-2),2)),""),IF(IFERROR(INDEX(Income!B$3:B$502,SMALL(IF((Income!D$3:D$502="INR")*(Income!A$3:A$502=DATE(2026,8,28)),ROW(Income!A$3:A$502)-2),2)),"")&lt;&gt;"",IFERROR(INDEX(Income!B$3:B$502,SMALL(IF((Income!D$3:D$502="INR")*(Income!A$3:A$502=DATE(2026,8,28)),ROW(Income!A$3:A$502)-2),2)),""),""))</f>
        <v/>
      </c>
      <c r="M175" s="63" t="str">
        <f aca="false">IF(IFERROR(-INDEX(Expenses!D$3:D$1002,SMALL(IF((Expenses!E$3:E$1002="INR")*(Expenses!A$3:A$1002=DATE(2026,8,29)),ROW(Expenses!A$3:A$1002)-2),2)),0)+IFERROR(INDEX(Income!C$3:C$502,SMALL(IF((Income!D$3:D$502="INR")*(Income!A$3:A$502=DATE(2026,8,29)),ROW(Income!A$3:A$502)-2),2)),0)=0,"",IFERROR(-INDEX(Expenses!D$3:D$1002,SMALL(IF((Expenses!E$3:E$1002="INR")*(Expenses!A$3:A$1002=DATE(2026,8,29)),ROW(Expenses!A$3:A$1002)-2),2)),0)+IFERROR(INDEX(Income!C$3:C$502,SMALL(IF((Income!D$3:D$502="INR")*(Income!A$3:A$502=DATE(2026,8,29)),ROW(Income!A$3:A$502)-2),2)),0))</f>
        <v/>
      </c>
      <c r="N175" s="38" t="str">
        <f aca="false">IF(IFERROR(INDEX(Expenses!B$3:B$1002,SMALL(IF((Expenses!E$3:E$1002="INR")*(Expenses!A$3:A$1002=DATE(2026,8,29)),ROW(Expenses!A$3:A$1002)-2),2)),"")&lt;&gt;"",IFERROR(INDEX(Expenses!B$3:B$1002,SMALL(IF((Expenses!E$3:E$1002="INR")*(Expenses!A$3:A$1002=DATE(2026,8,29)),ROW(Expenses!A$3:A$1002)-2),2)),""),IF(IFERROR(INDEX(Income!B$3:B$502,SMALL(IF((Income!D$3:D$502="INR")*(Income!A$3:A$502=DATE(2026,8,29)),ROW(Income!A$3:A$502)-2),2)),"")&lt;&gt;"",IFERROR(INDEX(Income!B$3:B$502,SMALL(IF((Income!D$3:D$502="INR")*(Income!A$3:A$502=DATE(2026,8,29)),ROW(Income!A$3:A$502)-2),2)),""),""))</f>
        <v/>
      </c>
      <c r="O175" s="63" t="str">
        <f aca="false">IF(IFERROR(-INDEX(Expenses!D$3:D$1002,SMALL(IF((Expenses!E$3:E$1002="INR")*(Expenses!A$3:A$1002=DATE(2026,8,30)),ROW(Expenses!A$3:A$1002)-2),2)),0)+IFERROR(INDEX(Income!C$3:C$502,SMALL(IF((Income!D$3:D$502="INR")*(Income!A$3:A$502=DATE(2026,8,30)),ROW(Income!A$3:A$502)-2),2)),0)=0,"",IFERROR(-INDEX(Expenses!D$3:D$1002,SMALL(IF((Expenses!E$3:E$1002="INR")*(Expenses!A$3:A$1002=DATE(2026,8,30)),ROW(Expenses!A$3:A$1002)-2),2)),0)+IFERROR(INDEX(Income!C$3:C$502,SMALL(IF((Income!D$3:D$502="INR")*(Income!A$3:A$502=DATE(2026,8,30)),ROW(Income!A$3:A$502)-2),2)),0))</f>
        <v/>
      </c>
      <c r="P175" s="38" t="str">
        <f aca="false">IF(IFERROR(INDEX(Expenses!B$3:B$1002,SMALL(IF((Expenses!E$3:E$1002="INR")*(Expenses!A$3:A$1002=DATE(2026,8,30)),ROW(Expenses!A$3:A$1002)-2),2)),"")&lt;&gt;"",IFERROR(INDEX(Expenses!B$3:B$1002,SMALL(IF((Expenses!E$3:E$1002="INR")*(Expenses!A$3:A$1002=DATE(2026,8,30)),ROW(Expenses!A$3:A$1002)-2),2)),""),IF(IFERROR(INDEX(Income!B$3:B$502,SMALL(IF((Income!D$3:D$502="INR")*(Income!A$3:A$502=DATE(2026,8,30)),ROW(Income!A$3:A$502)-2),2)),"")&lt;&gt;"",IFERROR(INDEX(Income!B$3:B$502,SMALL(IF((Income!D$3:D$502="INR")*(Income!A$3:A$502=DATE(2026,8,30)),ROW(Income!A$3:A$502)-2),2)),""),""))</f>
        <v/>
      </c>
      <c r="Q175" s="16"/>
      <c r="R175" s="16"/>
    </row>
    <row r="176" customFormat="false" ht="15" hidden="false" customHeight="false" outlineLevel="0" collapsed="false">
      <c r="A176" s="16"/>
      <c r="B176" s="16"/>
      <c r="C176" s="63" t="str">
        <f aca="false">IF(IFERROR(-INDEX(Expenses!D$3:D$1002,SMALL(IF((Expenses!E$3:E$1002="INR")*(Expenses!A$3:A$1002=DATE(2026,8,24)),ROW(Expenses!A$3:A$1002)-2),3)),0)+IFERROR(INDEX(Income!C$3:C$502,SMALL(IF((Income!D$3:D$502="INR")*(Income!A$3:A$502=DATE(2026,8,24)),ROW(Income!A$3:A$502)-2),3)),0)=0,"",IFERROR(-INDEX(Expenses!D$3:D$1002,SMALL(IF((Expenses!E$3:E$1002="INR")*(Expenses!A$3:A$1002=DATE(2026,8,24)),ROW(Expenses!A$3:A$1002)-2),3)),0)+IFERROR(INDEX(Income!C$3:C$502,SMALL(IF((Income!D$3:D$502="INR")*(Income!A$3:A$502=DATE(2026,8,24)),ROW(Income!A$3:A$502)-2),3)),0))</f>
        <v/>
      </c>
      <c r="D176" s="38" t="str">
        <f aca="false">IF(IFERROR(INDEX(Expenses!B$3:B$1002,SMALL(IF((Expenses!E$3:E$1002="INR")*(Expenses!A$3:A$1002=DATE(2026,8,24)),ROW(Expenses!A$3:A$1002)-2),3)),"")&lt;&gt;"",IFERROR(INDEX(Expenses!B$3:B$1002,SMALL(IF((Expenses!E$3:E$1002="INR")*(Expenses!A$3:A$1002=DATE(2026,8,24)),ROW(Expenses!A$3:A$1002)-2),3)),""),IF(IFERROR(INDEX(Income!B$3:B$502,SMALL(IF((Income!D$3:D$502="INR")*(Income!A$3:A$502=DATE(2026,8,24)),ROW(Income!A$3:A$502)-2),3)),"")&lt;&gt;"",IFERROR(INDEX(Income!B$3:B$502,SMALL(IF((Income!D$3:D$502="INR")*(Income!A$3:A$502=DATE(2026,8,24)),ROW(Income!A$3:A$502)-2),3)),""),""))</f>
        <v/>
      </c>
      <c r="E176" s="63" t="str">
        <f aca="false">IF(IFERROR(-INDEX(Expenses!D$3:D$1002,SMALL(IF((Expenses!E$3:E$1002="INR")*(Expenses!A$3:A$1002=DATE(2026,8,25)),ROW(Expenses!A$3:A$1002)-2),3)),0)+IFERROR(INDEX(Income!C$3:C$502,SMALL(IF((Income!D$3:D$502="INR")*(Income!A$3:A$502=DATE(2026,8,25)),ROW(Income!A$3:A$502)-2),3)),0)=0,"",IFERROR(-INDEX(Expenses!D$3:D$1002,SMALL(IF((Expenses!E$3:E$1002="INR")*(Expenses!A$3:A$1002=DATE(2026,8,25)),ROW(Expenses!A$3:A$1002)-2),3)),0)+IFERROR(INDEX(Income!C$3:C$502,SMALL(IF((Income!D$3:D$502="INR")*(Income!A$3:A$502=DATE(2026,8,25)),ROW(Income!A$3:A$502)-2),3)),0))</f>
        <v/>
      </c>
      <c r="F176" s="38" t="str">
        <f aca="false">IF(IFERROR(INDEX(Expenses!B$3:B$1002,SMALL(IF((Expenses!E$3:E$1002="INR")*(Expenses!A$3:A$1002=DATE(2026,8,25)),ROW(Expenses!A$3:A$1002)-2),3)),"")&lt;&gt;"",IFERROR(INDEX(Expenses!B$3:B$1002,SMALL(IF((Expenses!E$3:E$1002="INR")*(Expenses!A$3:A$1002=DATE(2026,8,25)),ROW(Expenses!A$3:A$1002)-2),3)),""),IF(IFERROR(INDEX(Income!B$3:B$502,SMALL(IF((Income!D$3:D$502="INR")*(Income!A$3:A$502=DATE(2026,8,25)),ROW(Income!A$3:A$502)-2),3)),"")&lt;&gt;"",IFERROR(INDEX(Income!B$3:B$502,SMALL(IF((Income!D$3:D$502="INR")*(Income!A$3:A$502=DATE(2026,8,25)),ROW(Income!A$3:A$502)-2),3)),""),""))</f>
        <v/>
      </c>
      <c r="G176" s="63" t="str">
        <f aca="false">IF(IFERROR(-INDEX(Expenses!D$3:D$1002,SMALL(IF((Expenses!E$3:E$1002="INR")*(Expenses!A$3:A$1002=DATE(2026,8,26)),ROW(Expenses!A$3:A$1002)-2),3)),0)+IFERROR(INDEX(Income!C$3:C$502,SMALL(IF((Income!D$3:D$502="INR")*(Income!A$3:A$502=DATE(2026,8,26)),ROW(Income!A$3:A$502)-2),3)),0)=0,"",IFERROR(-INDEX(Expenses!D$3:D$1002,SMALL(IF((Expenses!E$3:E$1002="INR")*(Expenses!A$3:A$1002=DATE(2026,8,26)),ROW(Expenses!A$3:A$1002)-2),3)),0)+IFERROR(INDEX(Income!C$3:C$502,SMALL(IF((Income!D$3:D$502="INR")*(Income!A$3:A$502=DATE(2026,8,26)),ROW(Income!A$3:A$502)-2),3)),0))</f>
        <v/>
      </c>
      <c r="H176" s="38" t="str">
        <f aca="false">IF(IFERROR(INDEX(Expenses!B$3:B$1002,SMALL(IF((Expenses!E$3:E$1002="INR")*(Expenses!A$3:A$1002=DATE(2026,8,26)),ROW(Expenses!A$3:A$1002)-2),3)),"")&lt;&gt;"",IFERROR(INDEX(Expenses!B$3:B$1002,SMALL(IF((Expenses!E$3:E$1002="INR")*(Expenses!A$3:A$1002=DATE(2026,8,26)),ROW(Expenses!A$3:A$1002)-2),3)),""),IF(IFERROR(INDEX(Income!B$3:B$502,SMALL(IF((Income!D$3:D$502="INR")*(Income!A$3:A$502=DATE(2026,8,26)),ROW(Income!A$3:A$502)-2),3)),"")&lt;&gt;"",IFERROR(INDEX(Income!B$3:B$502,SMALL(IF((Income!D$3:D$502="INR")*(Income!A$3:A$502=DATE(2026,8,26)),ROW(Income!A$3:A$502)-2),3)),""),""))</f>
        <v/>
      </c>
      <c r="I176" s="63" t="str">
        <f aca="false">IF(IFERROR(-INDEX(Expenses!D$3:D$1002,SMALL(IF((Expenses!E$3:E$1002="INR")*(Expenses!A$3:A$1002=DATE(2026,8,27)),ROW(Expenses!A$3:A$1002)-2),3)),0)+IFERROR(INDEX(Income!C$3:C$502,SMALL(IF((Income!D$3:D$502="INR")*(Income!A$3:A$502=DATE(2026,8,27)),ROW(Income!A$3:A$502)-2),3)),0)=0,"",IFERROR(-INDEX(Expenses!D$3:D$1002,SMALL(IF((Expenses!E$3:E$1002="INR")*(Expenses!A$3:A$1002=DATE(2026,8,27)),ROW(Expenses!A$3:A$1002)-2),3)),0)+IFERROR(INDEX(Income!C$3:C$502,SMALL(IF((Income!D$3:D$502="INR")*(Income!A$3:A$502=DATE(2026,8,27)),ROW(Income!A$3:A$502)-2),3)),0))</f>
        <v/>
      </c>
      <c r="J176" s="38" t="str">
        <f aca="false">IF(IFERROR(INDEX(Expenses!B$3:B$1002,SMALL(IF((Expenses!E$3:E$1002="INR")*(Expenses!A$3:A$1002=DATE(2026,8,27)),ROW(Expenses!A$3:A$1002)-2),3)),"")&lt;&gt;"",IFERROR(INDEX(Expenses!B$3:B$1002,SMALL(IF((Expenses!E$3:E$1002="INR")*(Expenses!A$3:A$1002=DATE(2026,8,27)),ROW(Expenses!A$3:A$1002)-2),3)),""),IF(IFERROR(INDEX(Income!B$3:B$502,SMALL(IF((Income!D$3:D$502="INR")*(Income!A$3:A$502=DATE(2026,8,27)),ROW(Income!A$3:A$502)-2),3)),"")&lt;&gt;"",IFERROR(INDEX(Income!B$3:B$502,SMALL(IF((Income!D$3:D$502="INR")*(Income!A$3:A$502=DATE(2026,8,27)),ROW(Income!A$3:A$502)-2),3)),""),""))</f>
        <v/>
      </c>
      <c r="K176" s="63" t="str">
        <f aca="false">IF(IFERROR(-INDEX(Expenses!D$3:D$1002,SMALL(IF((Expenses!E$3:E$1002="INR")*(Expenses!A$3:A$1002=DATE(2026,8,28)),ROW(Expenses!A$3:A$1002)-2),3)),0)+IFERROR(INDEX(Income!C$3:C$502,SMALL(IF((Income!D$3:D$502="INR")*(Income!A$3:A$502=DATE(2026,8,28)),ROW(Income!A$3:A$502)-2),3)),0)=0,"",IFERROR(-INDEX(Expenses!D$3:D$1002,SMALL(IF((Expenses!E$3:E$1002="INR")*(Expenses!A$3:A$1002=DATE(2026,8,28)),ROW(Expenses!A$3:A$1002)-2),3)),0)+IFERROR(INDEX(Income!C$3:C$502,SMALL(IF((Income!D$3:D$502="INR")*(Income!A$3:A$502=DATE(2026,8,28)),ROW(Income!A$3:A$502)-2),3)),0))</f>
        <v/>
      </c>
      <c r="L176" s="38" t="str">
        <f aca="false">IF(IFERROR(INDEX(Expenses!B$3:B$1002,SMALL(IF((Expenses!E$3:E$1002="INR")*(Expenses!A$3:A$1002=DATE(2026,8,28)),ROW(Expenses!A$3:A$1002)-2),3)),"")&lt;&gt;"",IFERROR(INDEX(Expenses!B$3:B$1002,SMALL(IF((Expenses!E$3:E$1002="INR")*(Expenses!A$3:A$1002=DATE(2026,8,28)),ROW(Expenses!A$3:A$1002)-2),3)),""),IF(IFERROR(INDEX(Income!B$3:B$502,SMALL(IF((Income!D$3:D$502="INR")*(Income!A$3:A$502=DATE(2026,8,28)),ROW(Income!A$3:A$502)-2),3)),"")&lt;&gt;"",IFERROR(INDEX(Income!B$3:B$502,SMALL(IF((Income!D$3:D$502="INR")*(Income!A$3:A$502=DATE(2026,8,28)),ROW(Income!A$3:A$502)-2),3)),""),""))</f>
        <v/>
      </c>
      <c r="M176" s="63" t="str">
        <f aca="false">IF(IFERROR(-INDEX(Expenses!D$3:D$1002,SMALL(IF((Expenses!E$3:E$1002="INR")*(Expenses!A$3:A$1002=DATE(2026,8,29)),ROW(Expenses!A$3:A$1002)-2),3)),0)+IFERROR(INDEX(Income!C$3:C$502,SMALL(IF((Income!D$3:D$502="INR")*(Income!A$3:A$502=DATE(2026,8,29)),ROW(Income!A$3:A$502)-2),3)),0)=0,"",IFERROR(-INDEX(Expenses!D$3:D$1002,SMALL(IF((Expenses!E$3:E$1002="INR")*(Expenses!A$3:A$1002=DATE(2026,8,29)),ROW(Expenses!A$3:A$1002)-2),3)),0)+IFERROR(INDEX(Income!C$3:C$502,SMALL(IF((Income!D$3:D$502="INR")*(Income!A$3:A$502=DATE(2026,8,29)),ROW(Income!A$3:A$502)-2),3)),0))</f>
        <v/>
      </c>
      <c r="N176" s="38" t="str">
        <f aca="false">IF(IFERROR(INDEX(Expenses!B$3:B$1002,SMALL(IF((Expenses!E$3:E$1002="INR")*(Expenses!A$3:A$1002=DATE(2026,8,29)),ROW(Expenses!A$3:A$1002)-2),3)),"")&lt;&gt;"",IFERROR(INDEX(Expenses!B$3:B$1002,SMALL(IF((Expenses!E$3:E$1002="INR")*(Expenses!A$3:A$1002=DATE(2026,8,29)),ROW(Expenses!A$3:A$1002)-2),3)),""),IF(IFERROR(INDEX(Income!B$3:B$502,SMALL(IF((Income!D$3:D$502="INR")*(Income!A$3:A$502=DATE(2026,8,29)),ROW(Income!A$3:A$502)-2),3)),"")&lt;&gt;"",IFERROR(INDEX(Income!B$3:B$502,SMALL(IF((Income!D$3:D$502="INR")*(Income!A$3:A$502=DATE(2026,8,29)),ROW(Income!A$3:A$502)-2),3)),""),""))</f>
        <v/>
      </c>
      <c r="O176" s="63" t="str">
        <f aca="false">IF(IFERROR(-INDEX(Expenses!D$3:D$1002,SMALL(IF((Expenses!E$3:E$1002="INR")*(Expenses!A$3:A$1002=DATE(2026,8,30)),ROW(Expenses!A$3:A$1002)-2),3)),0)+IFERROR(INDEX(Income!C$3:C$502,SMALL(IF((Income!D$3:D$502="INR")*(Income!A$3:A$502=DATE(2026,8,30)),ROW(Income!A$3:A$502)-2),3)),0)=0,"",IFERROR(-INDEX(Expenses!D$3:D$1002,SMALL(IF((Expenses!E$3:E$1002="INR")*(Expenses!A$3:A$1002=DATE(2026,8,30)),ROW(Expenses!A$3:A$1002)-2),3)),0)+IFERROR(INDEX(Income!C$3:C$502,SMALL(IF((Income!D$3:D$502="INR")*(Income!A$3:A$502=DATE(2026,8,30)),ROW(Income!A$3:A$502)-2),3)),0))</f>
        <v/>
      </c>
      <c r="P176" s="38" t="str">
        <f aca="false">IF(IFERROR(INDEX(Expenses!B$3:B$1002,SMALL(IF((Expenses!E$3:E$1002="INR")*(Expenses!A$3:A$1002=DATE(2026,8,30)),ROW(Expenses!A$3:A$1002)-2),3)),"")&lt;&gt;"",IFERROR(INDEX(Expenses!B$3:B$1002,SMALL(IF((Expenses!E$3:E$1002="INR")*(Expenses!A$3:A$1002=DATE(2026,8,30)),ROW(Expenses!A$3:A$1002)-2),3)),""),IF(IFERROR(INDEX(Income!B$3:B$502,SMALL(IF((Income!D$3:D$502="INR")*(Income!A$3:A$502=DATE(2026,8,30)),ROW(Income!A$3:A$502)-2),3)),"")&lt;&gt;"",IFERROR(INDEX(Income!B$3:B$502,SMALL(IF((Income!D$3:D$502="INR")*(Income!A$3:A$502=DATE(2026,8,30)),ROW(Income!A$3:A$502)-2),3)),""),""))</f>
        <v/>
      </c>
      <c r="Q176" s="16"/>
      <c r="R176" s="16"/>
    </row>
    <row r="177" customFormat="false" ht="15" hidden="false" customHeight="false" outlineLevel="0" collapsed="false">
      <c r="A177" s="16"/>
      <c r="B177" s="16"/>
      <c r="C177" s="63" t="str">
        <f aca="false">IF(IFERROR(-INDEX(Expenses!D$3:D$1002,SMALL(IF((Expenses!E$3:E$1002="INR")*(Expenses!A$3:A$1002=DATE(2026,8,24)),ROW(Expenses!A$3:A$1002)-2),4)),0)+IFERROR(INDEX(Income!C$3:C$502,SMALL(IF((Income!D$3:D$502="INR")*(Income!A$3:A$502=DATE(2026,8,24)),ROW(Income!A$3:A$502)-2),4)),0)=0,"",IFERROR(-INDEX(Expenses!D$3:D$1002,SMALL(IF((Expenses!E$3:E$1002="INR")*(Expenses!A$3:A$1002=DATE(2026,8,24)),ROW(Expenses!A$3:A$1002)-2),4)),0)+IFERROR(INDEX(Income!C$3:C$502,SMALL(IF((Income!D$3:D$502="INR")*(Income!A$3:A$502=DATE(2026,8,24)),ROW(Income!A$3:A$502)-2),4)),0))</f>
        <v/>
      </c>
      <c r="D177" s="38" t="str">
        <f aca="false">IF(IFERROR(INDEX(Expenses!B$3:B$1002,SMALL(IF((Expenses!E$3:E$1002="INR")*(Expenses!A$3:A$1002=DATE(2026,8,24)),ROW(Expenses!A$3:A$1002)-2),4)),"")&lt;&gt;"",IFERROR(INDEX(Expenses!B$3:B$1002,SMALL(IF((Expenses!E$3:E$1002="INR")*(Expenses!A$3:A$1002=DATE(2026,8,24)),ROW(Expenses!A$3:A$1002)-2),4)),""),IF(IFERROR(INDEX(Income!B$3:B$502,SMALL(IF((Income!D$3:D$502="INR")*(Income!A$3:A$502=DATE(2026,8,24)),ROW(Income!A$3:A$502)-2),4)),"")&lt;&gt;"",IFERROR(INDEX(Income!B$3:B$502,SMALL(IF((Income!D$3:D$502="INR")*(Income!A$3:A$502=DATE(2026,8,24)),ROW(Income!A$3:A$502)-2),4)),""),""))</f>
        <v/>
      </c>
      <c r="E177" s="63" t="str">
        <f aca="false">IF(IFERROR(-INDEX(Expenses!D$3:D$1002,SMALL(IF((Expenses!E$3:E$1002="INR")*(Expenses!A$3:A$1002=DATE(2026,8,25)),ROW(Expenses!A$3:A$1002)-2),4)),0)+IFERROR(INDEX(Income!C$3:C$502,SMALL(IF((Income!D$3:D$502="INR")*(Income!A$3:A$502=DATE(2026,8,25)),ROW(Income!A$3:A$502)-2),4)),0)=0,"",IFERROR(-INDEX(Expenses!D$3:D$1002,SMALL(IF((Expenses!E$3:E$1002="INR")*(Expenses!A$3:A$1002=DATE(2026,8,25)),ROW(Expenses!A$3:A$1002)-2),4)),0)+IFERROR(INDEX(Income!C$3:C$502,SMALL(IF((Income!D$3:D$502="INR")*(Income!A$3:A$502=DATE(2026,8,25)),ROW(Income!A$3:A$502)-2),4)),0))</f>
        <v/>
      </c>
      <c r="F177" s="38" t="str">
        <f aca="false">IF(IFERROR(INDEX(Expenses!B$3:B$1002,SMALL(IF((Expenses!E$3:E$1002="INR")*(Expenses!A$3:A$1002=DATE(2026,8,25)),ROW(Expenses!A$3:A$1002)-2),4)),"")&lt;&gt;"",IFERROR(INDEX(Expenses!B$3:B$1002,SMALL(IF((Expenses!E$3:E$1002="INR")*(Expenses!A$3:A$1002=DATE(2026,8,25)),ROW(Expenses!A$3:A$1002)-2),4)),""),IF(IFERROR(INDEX(Income!B$3:B$502,SMALL(IF((Income!D$3:D$502="INR")*(Income!A$3:A$502=DATE(2026,8,25)),ROW(Income!A$3:A$502)-2),4)),"")&lt;&gt;"",IFERROR(INDEX(Income!B$3:B$502,SMALL(IF((Income!D$3:D$502="INR")*(Income!A$3:A$502=DATE(2026,8,25)),ROW(Income!A$3:A$502)-2),4)),""),""))</f>
        <v/>
      </c>
      <c r="G177" s="63" t="str">
        <f aca="false">IF(IFERROR(-INDEX(Expenses!D$3:D$1002,SMALL(IF((Expenses!E$3:E$1002="INR")*(Expenses!A$3:A$1002=DATE(2026,8,26)),ROW(Expenses!A$3:A$1002)-2),4)),0)+IFERROR(INDEX(Income!C$3:C$502,SMALL(IF((Income!D$3:D$502="INR")*(Income!A$3:A$502=DATE(2026,8,26)),ROW(Income!A$3:A$502)-2),4)),0)=0,"",IFERROR(-INDEX(Expenses!D$3:D$1002,SMALL(IF((Expenses!E$3:E$1002="INR")*(Expenses!A$3:A$1002=DATE(2026,8,26)),ROW(Expenses!A$3:A$1002)-2),4)),0)+IFERROR(INDEX(Income!C$3:C$502,SMALL(IF((Income!D$3:D$502="INR")*(Income!A$3:A$502=DATE(2026,8,26)),ROW(Income!A$3:A$502)-2),4)),0))</f>
        <v/>
      </c>
      <c r="H177" s="38" t="str">
        <f aca="false">IF(IFERROR(INDEX(Expenses!B$3:B$1002,SMALL(IF((Expenses!E$3:E$1002="INR")*(Expenses!A$3:A$1002=DATE(2026,8,26)),ROW(Expenses!A$3:A$1002)-2),4)),"")&lt;&gt;"",IFERROR(INDEX(Expenses!B$3:B$1002,SMALL(IF((Expenses!E$3:E$1002="INR")*(Expenses!A$3:A$1002=DATE(2026,8,26)),ROW(Expenses!A$3:A$1002)-2),4)),""),IF(IFERROR(INDEX(Income!B$3:B$502,SMALL(IF((Income!D$3:D$502="INR")*(Income!A$3:A$502=DATE(2026,8,26)),ROW(Income!A$3:A$502)-2),4)),"")&lt;&gt;"",IFERROR(INDEX(Income!B$3:B$502,SMALL(IF((Income!D$3:D$502="INR")*(Income!A$3:A$502=DATE(2026,8,26)),ROW(Income!A$3:A$502)-2),4)),""),""))</f>
        <v/>
      </c>
      <c r="I177" s="63" t="str">
        <f aca="false">IF(IFERROR(-INDEX(Expenses!D$3:D$1002,SMALL(IF((Expenses!E$3:E$1002="INR")*(Expenses!A$3:A$1002=DATE(2026,8,27)),ROW(Expenses!A$3:A$1002)-2),4)),0)+IFERROR(INDEX(Income!C$3:C$502,SMALL(IF((Income!D$3:D$502="INR")*(Income!A$3:A$502=DATE(2026,8,27)),ROW(Income!A$3:A$502)-2),4)),0)=0,"",IFERROR(-INDEX(Expenses!D$3:D$1002,SMALL(IF((Expenses!E$3:E$1002="INR")*(Expenses!A$3:A$1002=DATE(2026,8,27)),ROW(Expenses!A$3:A$1002)-2),4)),0)+IFERROR(INDEX(Income!C$3:C$502,SMALL(IF((Income!D$3:D$502="INR")*(Income!A$3:A$502=DATE(2026,8,27)),ROW(Income!A$3:A$502)-2),4)),0))</f>
        <v/>
      </c>
      <c r="J177" s="38" t="str">
        <f aca="false">IF(IFERROR(INDEX(Expenses!B$3:B$1002,SMALL(IF((Expenses!E$3:E$1002="INR")*(Expenses!A$3:A$1002=DATE(2026,8,27)),ROW(Expenses!A$3:A$1002)-2),4)),"")&lt;&gt;"",IFERROR(INDEX(Expenses!B$3:B$1002,SMALL(IF((Expenses!E$3:E$1002="INR")*(Expenses!A$3:A$1002=DATE(2026,8,27)),ROW(Expenses!A$3:A$1002)-2),4)),""),IF(IFERROR(INDEX(Income!B$3:B$502,SMALL(IF((Income!D$3:D$502="INR")*(Income!A$3:A$502=DATE(2026,8,27)),ROW(Income!A$3:A$502)-2),4)),"")&lt;&gt;"",IFERROR(INDEX(Income!B$3:B$502,SMALL(IF((Income!D$3:D$502="INR")*(Income!A$3:A$502=DATE(2026,8,27)),ROW(Income!A$3:A$502)-2),4)),""),""))</f>
        <v/>
      </c>
      <c r="K177" s="63" t="str">
        <f aca="false">IF(IFERROR(-INDEX(Expenses!D$3:D$1002,SMALL(IF((Expenses!E$3:E$1002="INR")*(Expenses!A$3:A$1002=DATE(2026,8,28)),ROW(Expenses!A$3:A$1002)-2),4)),0)+IFERROR(INDEX(Income!C$3:C$502,SMALL(IF((Income!D$3:D$502="INR")*(Income!A$3:A$502=DATE(2026,8,28)),ROW(Income!A$3:A$502)-2),4)),0)=0,"",IFERROR(-INDEX(Expenses!D$3:D$1002,SMALL(IF((Expenses!E$3:E$1002="INR")*(Expenses!A$3:A$1002=DATE(2026,8,28)),ROW(Expenses!A$3:A$1002)-2),4)),0)+IFERROR(INDEX(Income!C$3:C$502,SMALL(IF((Income!D$3:D$502="INR")*(Income!A$3:A$502=DATE(2026,8,28)),ROW(Income!A$3:A$502)-2),4)),0))</f>
        <v/>
      </c>
      <c r="L177" s="38" t="str">
        <f aca="false">IF(IFERROR(INDEX(Expenses!B$3:B$1002,SMALL(IF((Expenses!E$3:E$1002="INR")*(Expenses!A$3:A$1002=DATE(2026,8,28)),ROW(Expenses!A$3:A$1002)-2),4)),"")&lt;&gt;"",IFERROR(INDEX(Expenses!B$3:B$1002,SMALL(IF((Expenses!E$3:E$1002="INR")*(Expenses!A$3:A$1002=DATE(2026,8,28)),ROW(Expenses!A$3:A$1002)-2),4)),""),IF(IFERROR(INDEX(Income!B$3:B$502,SMALL(IF((Income!D$3:D$502="INR")*(Income!A$3:A$502=DATE(2026,8,28)),ROW(Income!A$3:A$502)-2),4)),"")&lt;&gt;"",IFERROR(INDEX(Income!B$3:B$502,SMALL(IF((Income!D$3:D$502="INR")*(Income!A$3:A$502=DATE(2026,8,28)),ROW(Income!A$3:A$502)-2),4)),""),""))</f>
        <v/>
      </c>
      <c r="M177" s="63" t="str">
        <f aca="false">IF(IFERROR(-INDEX(Expenses!D$3:D$1002,SMALL(IF((Expenses!E$3:E$1002="INR")*(Expenses!A$3:A$1002=DATE(2026,8,29)),ROW(Expenses!A$3:A$1002)-2),4)),0)+IFERROR(INDEX(Income!C$3:C$502,SMALL(IF((Income!D$3:D$502="INR")*(Income!A$3:A$502=DATE(2026,8,29)),ROW(Income!A$3:A$502)-2),4)),0)=0,"",IFERROR(-INDEX(Expenses!D$3:D$1002,SMALL(IF((Expenses!E$3:E$1002="INR")*(Expenses!A$3:A$1002=DATE(2026,8,29)),ROW(Expenses!A$3:A$1002)-2),4)),0)+IFERROR(INDEX(Income!C$3:C$502,SMALL(IF((Income!D$3:D$502="INR")*(Income!A$3:A$502=DATE(2026,8,29)),ROW(Income!A$3:A$502)-2),4)),0))</f>
        <v/>
      </c>
      <c r="N177" s="38" t="str">
        <f aca="false">IF(IFERROR(INDEX(Expenses!B$3:B$1002,SMALL(IF((Expenses!E$3:E$1002="INR")*(Expenses!A$3:A$1002=DATE(2026,8,29)),ROW(Expenses!A$3:A$1002)-2),4)),"")&lt;&gt;"",IFERROR(INDEX(Expenses!B$3:B$1002,SMALL(IF((Expenses!E$3:E$1002="INR")*(Expenses!A$3:A$1002=DATE(2026,8,29)),ROW(Expenses!A$3:A$1002)-2),4)),""),IF(IFERROR(INDEX(Income!B$3:B$502,SMALL(IF((Income!D$3:D$502="INR")*(Income!A$3:A$502=DATE(2026,8,29)),ROW(Income!A$3:A$502)-2),4)),"")&lt;&gt;"",IFERROR(INDEX(Income!B$3:B$502,SMALL(IF((Income!D$3:D$502="INR")*(Income!A$3:A$502=DATE(2026,8,29)),ROW(Income!A$3:A$502)-2),4)),""),""))</f>
        <v/>
      </c>
      <c r="O177" s="63" t="str">
        <f aca="false">IF(IFERROR(-INDEX(Expenses!D$3:D$1002,SMALL(IF((Expenses!E$3:E$1002="INR")*(Expenses!A$3:A$1002=DATE(2026,8,30)),ROW(Expenses!A$3:A$1002)-2),4)),0)+IFERROR(INDEX(Income!C$3:C$502,SMALL(IF((Income!D$3:D$502="INR")*(Income!A$3:A$502=DATE(2026,8,30)),ROW(Income!A$3:A$502)-2),4)),0)=0,"",IFERROR(-INDEX(Expenses!D$3:D$1002,SMALL(IF((Expenses!E$3:E$1002="INR")*(Expenses!A$3:A$1002=DATE(2026,8,30)),ROW(Expenses!A$3:A$1002)-2),4)),0)+IFERROR(INDEX(Income!C$3:C$502,SMALL(IF((Income!D$3:D$502="INR")*(Income!A$3:A$502=DATE(2026,8,30)),ROW(Income!A$3:A$502)-2),4)),0))</f>
        <v/>
      </c>
      <c r="P177" s="38" t="str">
        <f aca="false">IF(IFERROR(INDEX(Expenses!B$3:B$1002,SMALL(IF((Expenses!E$3:E$1002="INR")*(Expenses!A$3:A$1002=DATE(2026,8,30)),ROW(Expenses!A$3:A$1002)-2),4)),"")&lt;&gt;"",IFERROR(INDEX(Expenses!B$3:B$1002,SMALL(IF((Expenses!E$3:E$1002="INR")*(Expenses!A$3:A$1002=DATE(2026,8,30)),ROW(Expenses!A$3:A$1002)-2),4)),""),IF(IFERROR(INDEX(Income!B$3:B$502,SMALL(IF((Income!D$3:D$502="INR")*(Income!A$3:A$502=DATE(2026,8,30)),ROW(Income!A$3:A$502)-2),4)),"")&lt;&gt;"",IFERROR(INDEX(Income!B$3:B$502,SMALL(IF((Income!D$3:D$502="INR")*(Income!A$3:A$502=DATE(2026,8,30)),ROW(Income!A$3:A$502)-2),4)),""),""))</f>
        <v/>
      </c>
      <c r="Q177" s="16"/>
      <c r="R177" s="16"/>
    </row>
    <row r="178" customFormat="false" ht="15" hidden="false" customHeight="false" outlineLevel="0" collapsed="false">
      <c r="A178" s="16"/>
      <c r="B178" s="16"/>
      <c r="C178" s="63" t="str">
        <f aca="false">IF(IFERROR(-INDEX(Expenses!D$3:D$1002,SMALL(IF((Expenses!E$3:E$1002="INR")*(Expenses!A$3:A$1002=DATE(2026,8,24)),ROW(Expenses!A$3:A$1002)-2),5)),0)+IFERROR(INDEX(Income!C$3:C$502,SMALL(IF((Income!D$3:D$502="INR")*(Income!A$3:A$502=DATE(2026,8,24)),ROW(Income!A$3:A$502)-2),5)),0)=0,"",IFERROR(-INDEX(Expenses!D$3:D$1002,SMALL(IF((Expenses!E$3:E$1002="INR")*(Expenses!A$3:A$1002=DATE(2026,8,24)),ROW(Expenses!A$3:A$1002)-2),5)),0)+IFERROR(INDEX(Income!C$3:C$502,SMALL(IF((Income!D$3:D$502="INR")*(Income!A$3:A$502=DATE(2026,8,24)),ROW(Income!A$3:A$502)-2),5)),0))</f>
        <v/>
      </c>
      <c r="D178" s="38" t="str">
        <f aca="false">IF(IFERROR(INDEX(Expenses!B$3:B$1002,SMALL(IF((Expenses!E$3:E$1002="INR")*(Expenses!A$3:A$1002=DATE(2026,8,24)),ROW(Expenses!A$3:A$1002)-2),5)),"")&lt;&gt;"",IFERROR(INDEX(Expenses!B$3:B$1002,SMALL(IF((Expenses!E$3:E$1002="INR")*(Expenses!A$3:A$1002=DATE(2026,8,24)),ROW(Expenses!A$3:A$1002)-2),5)),""),IF(IFERROR(INDEX(Income!B$3:B$502,SMALL(IF((Income!D$3:D$502="INR")*(Income!A$3:A$502=DATE(2026,8,24)),ROW(Income!A$3:A$502)-2),5)),"")&lt;&gt;"",IFERROR(INDEX(Income!B$3:B$502,SMALL(IF((Income!D$3:D$502="INR")*(Income!A$3:A$502=DATE(2026,8,24)),ROW(Income!A$3:A$502)-2),5)),""),""))</f>
        <v/>
      </c>
      <c r="E178" s="63" t="str">
        <f aca="false">IF(IFERROR(-INDEX(Expenses!D$3:D$1002,SMALL(IF((Expenses!E$3:E$1002="INR")*(Expenses!A$3:A$1002=DATE(2026,8,25)),ROW(Expenses!A$3:A$1002)-2),5)),0)+IFERROR(INDEX(Income!C$3:C$502,SMALL(IF((Income!D$3:D$502="INR")*(Income!A$3:A$502=DATE(2026,8,25)),ROW(Income!A$3:A$502)-2),5)),0)=0,"",IFERROR(-INDEX(Expenses!D$3:D$1002,SMALL(IF((Expenses!E$3:E$1002="INR")*(Expenses!A$3:A$1002=DATE(2026,8,25)),ROW(Expenses!A$3:A$1002)-2),5)),0)+IFERROR(INDEX(Income!C$3:C$502,SMALL(IF((Income!D$3:D$502="INR")*(Income!A$3:A$502=DATE(2026,8,25)),ROW(Income!A$3:A$502)-2),5)),0))</f>
        <v/>
      </c>
      <c r="F178" s="38" t="str">
        <f aca="false">IF(IFERROR(INDEX(Expenses!B$3:B$1002,SMALL(IF((Expenses!E$3:E$1002="INR")*(Expenses!A$3:A$1002=DATE(2026,8,25)),ROW(Expenses!A$3:A$1002)-2),5)),"")&lt;&gt;"",IFERROR(INDEX(Expenses!B$3:B$1002,SMALL(IF((Expenses!E$3:E$1002="INR")*(Expenses!A$3:A$1002=DATE(2026,8,25)),ROW(Expenses!A$3:A$1002)-2),5)),""),IF(IFERROR(INDEX(Income!B$3:B$502,SMALL(IF((Income!D$3:D$502="INR")*(Income!A$3:A$502=DATE(2026,8,25)),ROW(Income!A$3:A$502)-2),5)),"")&lt;&gt;"",IFERROR(INDEX(Income!B$3:B$502,SMALL(IF((Income!D$3:D$502="INR")*(Income!A$3:A$502=DATE(2026,8,25)),ROW(Income!A$3:A$502)-2),5)),""),""))</f>
        <v/>
      </c>
      <c r="G178" s="63" t="str">
        <f aca="false">IF(IFERROR(-INDEX(Expenses!D$3:D$1002,SMALL(IF((Expenses!E$3:E$1002="INR")*(Expenses!A$3:A$1002=DATE(2026,8,26)),ROW(Expenses!A$3:A$1002)-2),5)),0)+IFERROR(INDEX(Income!C$3:C$502,SMALL(IF((Income!D$3:D$502="INR")*(Income!A$3:A$502=DATE(2026,8,26)),ROW(Income!A$3:A$502)-2),5)),0)=0,"",IFERROR(-INDEX(Expenses!D$3:D$1002,SMALL(IF((Expenses!E$3:E$1002="INR")*(Expenses!A$3:A$1002=DATE(2026,8,26)),ROW(Expenses!A$3:A$1002)-2),5)),0)+IFERROR(INDEX(Income!C$3:C$502,SMALL(IF((Income!D$3:D$502="INR")*(Income!A$3:A$502=DATE(2026,8,26)),ROW(Income!A$3:A$502)-2),5)),0))</f>
        <v/>
      </c>
      <c r="H178" s="38" t="str">
        <f aca="false">IF(IFERROR(INDEX(Expenses!B$3:B$1002,SMALL(IF((Expenses!E$3:E$1002="INR")*(Expenses!A$3:A$1002=DATE(2026,8,26)),ROW(Expenses!A$3:A$1002)-2),5)),"")&lt;&gt;"",IFERROR(INDEX(Expenses!B$3:B$1002,SMALL(IF((Expenses!E$3:E$1002="INR")*(Expenses!A$3:A$1002=DATE(2026,8,26)),ROW(Expenses!A$3:A$1002)-2),5)),""),IF(IFERROR(INDEX(Income!B$3:B$502,SMALL(IF((Income!D$3:D$502="INR")*(Income!A$3:A$502=DATE(2026,8,26)),ROW(Income!A$3:A$502)-2),5)),"")&lt;&gt;"",IFERROR(INDEX(Income!B$3:B$502,SMALL(IF((Income!D$3:D$502="INR")*(Income!A$3:A$502=DATE(2026,8,26)),ROW(Income!A$3:A$502)-2),5)),""),""))</f>
        <v/>
      </c>
      <c r="I178" s="63" t="str">
        <f aca="false">IF(IFERROR(-INDEX(Expenses!D$3:D$1002,SMALL(IF((Expenses!E$3:E$1002="INR")*(Expenses!A$3:A$1002=DATE(2026,8,27)),ROW(Expenses!A$3:A$1002)-2),5)),0)+IFERROR(INDEX(Income!C$3:C$502,SMALL(IF((Income!D$3:D$502="INR")*(Income!A$3:A$502=DATE(2026,8,27)),ROW(Income!A$3:A$502)-2),5)),0)=0,"",IFERROR(-INDEX(Expenses!D$3:D$1002,SMALL(IF((Expenses!E$3:E$1002="INR")*(Expenses!A$3:A$1002=DATE(2026,8,27)),ROW(Expenses!A$3:A$1002)-2),5)),0)+IFERROR(INDEX(Income!C$3:C$502,SMALL(IF((Income!D$3:D$502="INR")*(Income!A$3:A$502=DATE(2026,8,27)),ROW(Income!A$3:A$502)-2),5)),0))</f>
        <v/>
      </c>
      <c r="J178" s="38" t="str">
        <f aca="false">IF(IFERROR(INDEX(Expenses!B$3:B$1002,SMALL(IF((Expenses!E$3:E$1002="INR")*(Expenses!A$3:A$1002=DATE(2026,8,27)),ROW(Expenses!A$3:A$1002)-2),5)),"")&lt;&gt;"",IFERROR(INDEX(Expenses!B$3:B$1002,SMALL(IF((Expenses!E$3:E$1002="INR")*(Expenses!A$3:A$1002=DATE(2026,8,27)),ROW(Expenses!A$3:A$1002)-2),5)),""),IF(IFERROR(INDEX(Income!B$3:B$502,SMALL(IF((Income!D$3:D$502="INR")*(Income!A$3:A$502=DATE(2026,8,27)),ROW(Income!A$3:A$502)-2),5)),"")&lt;&gt;"",IFERROR(INDEX(Income!B$3:B$502,SMALL(IF((Income!D$3:D$502="INR")*(Income!A$3:A$502=DATE(2026,8,27)),ROW(Income!A$3:A$502)-2),5)),""),""))</f>
        <v/>
      </c>
      <c r="K178" s="63" t="str">
        <f aca="false">IF(IFERROR(-INDEX(Expenses!D$3:D$1002,SMALL(IF((Expenses!E$3:E$1002="INR")*(Expenses!A$3:A$1002=DATE(2026,8,28)),ROW(Expenses!A$3:A$1002)-2),5)),0)+IFERROR(INDEX(Income!C$3:C$502,SMALL(IF((Income!D$3:D$502="INR")*(Income!A$3:A$502=DATE(2026,8,28)),ROW(Income!A$3:A$502)-2),5)),0)=0,"",IFERROR(-INDEX(Expenses!D$3:D$1002,SMALL(IF((Expenses!E$3:E$1002="INR")*(Expenses!A$3:A$1002=DATE(2026,8,28)),ROW(Expenses!A$3:A$1002)-2),5)),0)+IFERROR(INDEX(Income!C$3:C$502,SMALL(IF((Income!D$3:D$502="INR")*(Income!A$3:A$502=DATE(2026,8,28)),ROW(Income!A$3:A$502)-2),5)),0))</f>
        <v/>
      </c>
      <c r="L178" s="38" t="str">
        <f aca="false">IF(IFERROR(INDEX(Expenses!B$3:B$1002,SMALL(IF((Expenses!E$3:E$1002="INR")*(Expenses!A$3:A$1002=DATE(2026,8,28)),ROW(Expenses!A$3:A$1002)-2),5)),"")&lt;&gt;"",IFERROR(INDEX(Expenses!B$3:B$1002,SMALL(IF((Expenses!E$3:E$1002="INR")*(Expenses!A$3:A$1002=DATE(2026,8,28)),ROW(Expenses!A$3:A$1002)-2),5)),""),IF(IFERROR(INDEX(Income!B$3:B$502,SMALL(IF((Income!D$3:D$502="INR")*(Income!A$3:A$502=DATE(2026,8,28)),ROW(Income!A$3:A$502)-2),5)),"")&lt;&gt;"",IFERROR(INDEX(Income!B$3:B$502,SMALL(IF((Income!D$3:D$502="INR")*(Income!A$3:A$502=DATE(2026,8,28)),ROW(Income!A$3:A$502)-2),5)),""),""))</f>
        <v/>
      </c>
      <c r="M178" s="63" t="str">
        <f aca="false">IF(IFERROR(-INDEX(Expenses!D$3:D$1002,SMALL(IF((Expenses!E$3:E$1002="INR")*(Expenses!A$3:A$1002=DATE(2026,8,29)),ROW(Expenses!A$3:A$1002)-2),5)),0)+IFERROR(INDEX(Income!C$3:C$502,SMALL(IF((Income!D$3:D$502="INR")*(Income!A$3:A$502=DATE(2026,8,29)),ROW(Income!A$3:A$502)-2),5)),0)=0,"",IFERROR(-INDEX(Expenses!D$3:D$1002,SMALL(IF((Expenses!E$3:E$1002="INR")*(Expenses!A$3:A$1002=DATE(2026,8,29)),ROW(Expenses!A$3:A$1002)-2),5)),0)+IFERROR(INDEX(Income!C$3:C$502,SMALL(IF((Income!D$3:D$502="INR")*(Income!A$3:A$502=DATE(2026,8,29)),ROW(Income!A$3:A$502)-2),5)),0))</f>
        <v/>
      </c>
      <c r="N178" s="38" t="str">
        <f aca="false">IF(IFERROR(INDEX(Expenses!B$3:B$1002,SMALL(IF((Expenses!E$3:E$1002="INR")*(Expenses!A$3:A$1002=DATE(2026,8,29)),ROW(Expenses!A$3:A$1002)-2),5)),"")&lt;&gt;"",IFERROR(INDEX(Expenses!B$3:B$1002,SMALL(IF((Expenses!E$3:E$1002="INR")*(Expenses!A$3:A$1002=DATE(2026,8,29)),ROW(Expenses!A$3:A$1002)-2),5)),""),IF(IFERROR(INDEX(Income!B$3:B$502,SMALL(IF((Income!D$3:D$502="INR")*(Income!A$3:A$502=DATE(2026,8,29)),ROW(Income!A$3:A$502)-2),5)),"")&lt;&gt;"",IFERROR(INDEX(Income!B$3:B$502,SMALL(IF((Income!D$3:D$502="INR")*(Income!A$3:A$502=DATE(2026,8,29)),ROW(Income!A$3:A$502)-2),5)),""),""))</f>
        <v/>
      </c>
      <c r="O178" s="63" t="str">
        <f aca="false">IF(IFERROR(-INDEX(Expenses!D$3:D$1002,SMALL(IF((Expenses!E$3:E$1002="INR")*(Expenses!A$3:A$1002=DATE(2026,8,30)),ROW(Expenses!A$3:A$1002)-2),5)),0)+IFERROR(INDEX(Income!C$3:C$502,SMALL(IF((Income!D$3:D$502="INR")*(Income!A$3:A$502=DATE(2026,8,30)),ROW(Income!A$3:A$502)-2),5)),0)=0,"",IFERROR(-INDEX(Expenses!D$3:D$1002,SMALL(IF((Expenses!E$3:E$1002="INR")*(Expenses!A$3:A$1002=DATE(2026,8,30)),ROW(Expenses!A$3:A$1002)-2),5)),0)+IFERROR(INDEX(Income!C$3:C$502,SMALL(IF((Income!D$3:D$502="INR")*(Income!A$3:A$502=DATE(2026,8,30)),ROW(Income!A$3:A$502)-2),5)),0))</f>
        <v/>
      </c>
      <c r="P178" s="38" t="str">
        <f aca="false">IF(IFERROR(INDEX(Expenses!B$3:B$1002,SMALL(IF((Expenses!E$3:E$1002="INR")*(Expenses!A$3:A$1002=DATE(2026,8,30)),ROW(Expenses!A$3:A$1002)-2),5)),"")&lt;&gt;"",IFERROR(INDEX(Expenses!B$3:B$1002,SMALL(IF((Expenses!E$3:E$1002="INR")*(Expenses!A$3:A$1002=DATE(2026,8,30)),ROW(Expenses!A$3:A$1002)-2),5)),""),IF(IFERROR(INDEX(Income!B$3:B$502,SMALL(IF((Income!D$3:D$502="INR")*(Income!A$3:A$502=DATE(2026,8,30)),ROW(Income!A$3:A$502)-2),5)),"")&lt;&gt;"",IFERROR(INDEX(Income!B$3:B$502,SMALL(IF((Income!D$3:D$502="INR")*(Income!A$3:A$502=DATE(2026,8,30)),ROW(Income!A$3:A$502)-2),5)),""),""))</f>
        <v/>
      </c>
      <c r="Q178" s="16"/>
      <c r="R178" s="16"/>
    </row>
    <row r="179" customFormat="false" ht="15" hidden="false" customHeight="false" outlineLevel="0" collapsed="false">
      <c r="A179" s="61" t="n">
        <v>46265</v>
      </c>
      <c r="B179" s="3" t="n">
        <v>36</v>
      </c>
      <c r="C179" s="63" t="str">
        <f aca="false">IF(IFERROR(-INDEX(Expenses!D$3:D$1002,SMALL(IF((Expenses!E$3:E$1002="INR")*(Expenses!A$3:A$1002=DATE(2026,8,31)),ROW(Expenses!A$3:A$1002)-2),1)),0)+IFERROR(INDEX(Income!C$3:C$502,SMALL(IF((Income!D$3:D$502="INR")*(Income!A$3:A$502=DATE(2026,8,31)),ROW(Income!A$3:A$502)-2),1)),0)=0,"",IFERROR(-INDEX(Expenses!D$3:D$1002,SMALL(IF((Expenses!E$3:E$1002="INR")*(Expenses!A$3:A$1002=DATE(2026,8,31)),ROW(Expenses!A$3:A$1002)-2),1)),0)+IFERROR(INDEX(Income!C$3:C$502,SMALL(IF((Income!D$3:D$502="INR")*(Income!A$3:A$502=DATE(2026,8,31)),ROW(Income!A$3:A$502)-2),1)),0))</f>
        <v/>
      </c>
      <c r="D179" s="38" t="str">
        <f aca="false">IF(IFERROR(INDEX(Expenses!B$3:B$1002,SMALL(IF((Expenses!E$3:E$1002="INR")*(Expenses!A$3:A$1002=DATE(2026,8,31)),ROW(Expenses!A$3:A$1002)-2),1)),"")&lt;&gt;"",IFERROR(INDEX(Expenses!B$3:B$1002,SMALL(IF((Expenses!E$3:E$1002="INR")*(Expenses!A$3:A$1002=DATE(2026,8,31)),ROW(Expenses!A$3:A$1002)-2),1)),""),IF(IFERROR(INDEX(Income!B$3:B$502,SMALL(IF((Income!D$3:D$502="INR")*(Income!A$3:A$502=DATE(2026,8,31)),ROW(Income!A$3:A$502)-2),1)),"")&lt;&gt;"",IFERROR(INDEX(Income!B$3:B$502,SMALL(IF((Income!D$3:D$502="INR")*(Income!A$3:A$502=DATE(2026,8,31)),ROW(Income!A$3:A$502)-2),1)),""),""))</f>
        <v/>
      </c>
      <c r="E179" s="63" t="str">
        <f aca="false">IF(IFERROR(-INDEX(Expenses!D$3:D$1002,SMALL(IF((Expenses!E$3:E$1002="INR")*(Expenses!A$3:A$1002=DATE(2026,9,1)),ROW(Expenses!A$3:A$1002)-2),1)),0)+IFERROR(INDEX(Income!C$3:C$502,SMALL(IF((Income!D$3:D$502="INR")*(Income!A$3:A$502=DATE(2026,9,1)),ROW(Income!A$3:A$502)-2),1)),0)=0,"",IFERROR(-INDEX(Expenses!D$3:D$1002,SMALL(IF((Expenses!E$3:E$1002="INR")*(Expenses!A$3:A$1002=DATE(2026,9,1)),ROW(Expenses!A$3:A$1002)-2),1)),0)+IFERROR(INDEX(Income!C$3:C$502,SMALL(IF((Income!D$3:D$502="INR")*(Income!A$3:A$502=DATE(2026,9,1)),ROW(Income!A$3:A$502)-2),1)),0))</f>
        <v/>
      </c>
      <c r="F179" s="38" t="str">
        <f aca="false">IF(IFERROR(INDEX(Expenses!B$3:B$1002,SMALL(IF((Expenses!E$3:E$1002="INR")*(Expenses!A$3:A$1002=DATE(2026,9,1)),ROW(Expenses!A$3:A$1002)-2),1)),"")&lt;&gt;"",IFERROR(INDEX(Expenses!B$3:B$1002,SMALL(IF((Expenses!E$3:E$1002="INR")*(Expenses!A$3:A$1002=DATE(2026,9,1)),ROW(Expenses!A$3:A$1002)-2),1)),""),IF(IFERROR(INDEX(Income!B$3:B$502,SMALL(IF((Income!D$3:D$502="INR")*(Income!A$3:A$502=DATE(2026,9,1)),ROW(Income!A$3:A$502)-2),1)),"")&lt;&gt;"",IFERROR(INDEX(Income!B$3:B$502,SMALL(IF((Income!D$3:D$502="INR")*(Income!A$3:A$502=DATE(2026,9,1)),ROW(Income!A$3:A$502)-2),1)),""),""))</f>
        <v/>
      </c>
      <c r="G179" s="63" t="str">
        <f aca="false">IF(IFERROR(-INDEX(Expenses!D$3:D$1002,SMALL(IF((Expenses!E$3:E$1002="INR")*(Expenses!A$3:A$1002=DATE(2026,9,2)),ROW(Expenses!A$3:A$1002)-2),1)),0)+IFERROR(INDEX(Income!C$3:C$502,SMALL(IF((Income!D$3:D$502="INR")*(Income!A$3:A$502=DATE(2026,9,2)),ROW(Income!A$3:A$502)-2),1)),0)=0,"",IFERROR(-INDEX(Expenses!D$3:D$1002,SMALL(IF((Expenses!E$3:E$1002="INR")*(Expenses!A$3:A$1002=DATE(2026,9,2)),ROW(Expenses!A$3:A$1002)-2),1)),0)+IFERROR(INDEX(Income!C$3:C$502,SMALL(IF((Income!D$3:D$502="INR")*(Income!A$3:A$502=DATE(2026,9,2)),ROW(Income!A$3:A$502)-2),1)),0))</f>
        <v/>
      </c>
      <c r="H179" s="38" t="str">
        <f aca="false">IF(IFERROR(INDEX(Expenses!B$3:B$1002,SMALL(IF((Expenses!E$3:E$1002="INR")*(Expenses!A$3:A$1002=DATE(2026,9,2)),ROW(Expenses!A$3:A$1002)-2),1)),"")&lt;&gt;"",IFERROR(INDEX(Expenses!B$3:B$1002,SMALL(IF((Expenses!E$3:E$1002="INR")*(Expenses!A$3:A$1002=DATE(2026,9,2)),ROW(Expenses!A$3:A$1002)-2),1)),""),IF(IFERROR(INDEX(Income!B$3:B$502,SMALL(IF((Income!D$3:D$502="INR")*(Income!A$3:A$502=DATE(2026,9,2)),ROW(Income!A$3:A$502)-2),1)),"")&lt;&gt;"",IFERROR(INDEX(Income!B$3:B$502,SMALL(IF((Income!D$3:D$502="INR")*(Income!A$3:A$502=DATE(2026,9,2)),ROW(Income!A$3:A$502)-2),1)),""),""))</f>
        <v/>
      </c>
      <c r="I179" s="63" t="str">
        <f aca="false">IF(IFERROR(-INDEX(Expenses!D$3:D$1002,SMALL(IF((Expenses!E$3:E$1002="INR")*(Expenses!A$3:A$1002=DATE(2026,9,3)),ROW(Expenses!A$3:A$1002)-2),1)),0)+IFERROR(INDEX(Income!C$3:C$502,SMALL(IF((Income!D$3:D$502="INR")*(Income!A$3:A$502=DATE(2026,9,3)),ROW(Income!A$3:A$502)-2),1)),0)=0,"",IFERROR(-INDEX(Expenses!D$3:D$1002,SMALL(IF((Expenses!E$3:E$1002="INR")*(Expenses!A$3:A$1002=DATE(2026,9,3)),ROW(Expenses!A$3:A$1002)-2),1)),0)+IFERROR(INDEX(Income!C$3:C$502,SMALL(IF((Income!D$3:D$502="INR")*(Income!A$3:A$502=DATE(2026,9,3)),ROW(Income!A$3:A$502)-2),1)),0))</f>
        <v/>
      </c>
      <c r="J179" s="38" t="str">
        <f aca="false">IF(IFERROR(INDEX(Expenses!B$3:B$1002,SMALL(IF((Expenses!E$3:E$1002="INR")*(Expenses!A$3:A$1002=DATE(2026,9,3)),ROW(Expenses!A$3:A$1002)-2),1)),"")&lt;&gt;"",IFERROR(INDEX(Expenses!B$3:B$1002,SMALL(IF((Expenses!E$3:E$1002="INR")*(Expenses!A$3:A$1002=DATE(2026,9,3)),ROW(Expenses!A$3:A$1002)-2),1)),""),IF(IFERROR(INDEX(Income!B$3:B$502,SMALL(IF((Income!D$3:D$502="INR")*(Income!A$3:A$502=DATE(2026,9,3)),ROW(Income!A$3:A$502)-2),1)),"")&lt;&gt;"",IFERROR(INDEX(Income!B$3:B$502,SMALL(IF((Income!D$3:D$502="INR")*(Income!A$3:A$502=DATE(2026,9,3)),ROW(Income!A$3:A$502)-2),1)),""),""))</f>
        <v/>
      </c>
      <c r="K179" s="63" t="str">
        <f aca="false">IF(IFERROR(-INDEX(Expenses!D$3:D$1002,SMALL(IF((Expenses!E$3:E$1002="INR")*(Expenses!A$3:A$1002=DATE(2026,9,4)),ROW(Expenses!A$3:A$1002)-2),1)),0)+IFERROR(INDEX(Income!C$3:C$502,SMALL(IF((Income!D$3:D$502="INR")*(Income!A$3:A$502=DATE(2026,9,4)),ROW(Income!A$3:A$502)-2),1)),0)=0,"",IFERROR(-INDEX(Expenses!D$3:D$1002,SMALL(IF((Expenses!E$3:E$1002="INR")*(Expenses!A$3:A$1002=DATE(2026,9,4)),ROW(Expenses!A$3:A$1002)-2),1)),0)+IFERROR(INDEX(Income!C$3:C$502,SMALL(IF((Income!D$3:D$502="INR")*(Income!A$3:A$502=DATE(2026,9,4)),ROW(Income!A$3:A$502)-2),1)),0))</f>
        <v/>
      </c>
      <c r="L179" s="38" t="str">
        <f aca="false">IF(IFERROR(INDEX(Expenses!B$3:B$1002,SMALL(IF((Expenses!E$3:E$1002="INR")*(Expenses!A$3:A$1002=DATE(2026,9,4)),ROW(Expenses!A$3:A$1002)-2),1)),"")&lt;&gt;"",IFERROR(INDEX(Expenses!B$3:B$1002,SMALL(IF((Expenses!E$3:E$1002="INR")*(Expenses!A$3:A$1002=DATE(2026,9,4)),ROW(Expenses!A$3:A$1002)-2),1)),""),IF(IFERROR(INDEX(Income!B$3:B$502,SMALL(IF((Income!D$3:D$502="INR")*(Income!A$3:A$502=DATE(2026,9,4)),ROW(Income!A$3:A$502)-2),1)),"")&lt;&gt;"",IFERROR(INDEX(Income!B$3:B$502,SMALL(IF((Income!D$3:D$502="INR")*(Income!A$3:A$502=DATE(2026,9,4)),ROW(Income!A$3:A$502)-2),1)),""),""))</f>
        <v/>
      </c>
      <c r="M179" s="63" t="str">
        <f aca="false">IF(IFERROR(-INDEX(Expenses!D$3:D$1002,SMALL(IF((Expenses!E$3:E$1002="INR")*(Expenses!A$3:A$1002=DATE(2026,9,5)),ROW(Expenses!A$3:A$1002)-2),1)),0)+IFERROR(INDEX(Income!C$3:C$502,SMALL(IF((Income!D$3:D$502="INR")*(Income!A$3:A$502=DATE(2026,9,5)),ROW(Income!A$3:A$502)-2),1)),0)=0,"",IFERROR(-INDEX(Expenses!D$3:D$1002,SMALL(IF((Expenses!E$3:E$1002="INR")*(Expenses!A$3:A$1002=DATE(2026,9,5)),ROW(Expenses!A$3:A$1002)-2),1)),0)+IFERROR(INDEX(Income!C$3:C$502,SMALL(IF((Income!D$3:D$502="INR")*(Income!A$3:A$502=DATE(2026,9,5)),ROW(Income!A$3:A$502)-2),1)),0))</f>
        <v/>
      </c>
      <c r="N179" s="38" t="str">
        <f aca="false">IF(IFERROR(INDEX(Expenses!B$3:B$1002,SMALL(IF((Expenses!E$3:E$1002="INR")*(Expenses!A$3:A$1002=DATE(2026,9,5)),ROW(Expenses!A$3:A$1002)-2),1)),"")&lt;&gt;"",IFERROR(INDEX(Expenses!B$3:B$1002,SMALL(IF((Expenses!E$3:E$1002="INR")*(Expenses!A$3:A$1002=DATE(2026,9,5)),ROW(Expenses!A$3:A$1002)-2),1)),""),IF(IFERROR(INDEX(Income!B$3:B$502,SMALL(IF((Income!D$3:D$502="INR")*(Income!A$3:A$502=DATE(2026,9,5)),ROW(Income!A$3:A$502)-2),1)),"")&lt;&gt;"",IFERROR(INDEX(Income!B$3:B$502,SMALL(IF((Income!D$3:D$502="INR")*(Income!A$3:A$502=DATE(2026,9,5)),ROW(Income!A$3:A$502)-2),1)),""),""))</f>
        <v/>
      </c>
      <c r="O179" s="63" t="str">
        <f aca="false">IF(IFERROR(-INDEX(Expenses!D$3:D$1002,SMALL(IF((Expenses!E$3:E$1002="INR")*(Expenses!A$3:A$1002=DATE(2026,9,6)),ROW(Expenses!A$3:A$1002)-2),1)),0)+IFERROR(INDEX(Income!C$3:C$502,SMALL(IF((Income!D$3:D$502="INR")*(Income!A$3:A$502=DATE(2026,9,6)),ROW(Income!A$3:A$502)-2),1)),0)=0,"",IFERROR(-INDEX(Expenses!D$3:D$1002,SMALL(IF((Expenses!E$3:E$1002="INR")*(Expenses!A$3:A$1002=DATE(2026,9,6)),ROW(Expenses!A$3:A$1002)-2),1)),0)+IFERROR(INDEX(Income!C$3:C$502,SMALL(IF((Income!D$3:D$502="INR")*(Income!A$3:A$502=DATE(2026,9,6)),ROW(Income!A$3:A$502)-2),1)),0))</f>
        <v/>
      </c>
      <c r="P179" s="38" t="str">
        <f aca="false">IF(IFERROR(INDEX(Expenses!B$3:B$1002,SMALL(IF((Expenses!E$3:E$1002="INR")*(Expenses!A$3:A$1002=DATE(2026,9,6)),ROW(Expenses!A$3:A$1002)-2),1)),"")&lt;&gt;"",IFERROR(INDEX(Expenses!B$3:B$1002,SMALL(IF((Expenses!E$3:E$1002="INR")*(Expenses!A$3:A$1002=DATE(2026,9,6)),ROW(Expenses!A$3:A$1002)-2),1)),""),IF(IFERROR(INDEX(Income!B$3:B$502,SMALL(IF((Income!D$3:D$502="INR")*(Income!A$3:A$502=DATE(2026,9,6)),ROW(Income!A$3:A$502)-2),1)),"")&lt;&gt;"",IFERROR(INDEX(Income!B$3:B$502,SMALL(IF((Income!D$3:D$502="INR")*(Income!A$3:A$502=DATE(2026,9,6)),ROW(Income!A$3:A$502)-2),1)),""),""))</f>
        <v/>
      </c>
      <c r="Q179" s="3" t="n">
        <v>36</v>
      </c>
      <c r="R179" s="53" t="n">
        <f aca="false">SUM(C179:C183)+SUM(E179:E183)+SUM(G179:G183)+SUM(I179:I183)+SUM(K179:K183)+SUM(M179:M183)+SUM(O179:O183)</f>
        <v>0</v>
      </c>
    </row>
    <row r="180" customFormat="false" ht="15" hidden="false" customHeight="false" outlineLevel="0" collapsed="false">
      <c r="A180" s="16"/>
      <c r="B180" s="16"/>
      <c r="C180" s="63" t="str">
        <f aca="false">IF(IFERROR(-INDEX(Expenses!D$3:D$1002,SMALL(IF((Expenses!E$3:E$1002="INR")*(Expenses!A$3:A$1002=DATE(2026,8,31)),ROW(Expenses!A$3:A$1002)-2),2)),0)+IFERROR(INDEX(Income!C$3:C$502,SMALL(IF((Income!D$3:D$502="INR")*(Income!A$3:A$502=DATE(2026,8,31)),ROW(Income!A$3:A$502)-2),2)),0)=0,"",IFERROR(-INDEX(Expenses!D$3:D$1002,SMALL(IF((Expenses!E$3:E$1002="INR")*(Expenses!A$3:A$1002=DATE(2026,8,31)),ROW(Expenses!A$3:A$1002)-2),2)),0)+IFERROR(INDEX(Income!C$3:C$502,SMALL(IF((Income!D$3:D$502="INR")*(Income!A$3:A$502=DATE(2026,8,31)),ROW(Income!A$3:A$502)-2),2)),0))</f>
        <v/>
      </c>
      <c r="D180" s="38" t="str">
        <f aca="false">IF(IFERROR(INDEX(Expenses!B$3:B$1002,SMALL(IF((Expenses!E$3:E$1002="INR")*(Expenses!A$3:A$1002=DATE(2026,8,31)),ROW(Expenses!A$3:A$1002)-2),2)),"")&lt;&gt;"",IFERROR(INDEX(Expenses!B$3:B$1002,SMALL(IF((Expenses!E$3:E$1002="INR")*(Expenses!A$3:A$1002=DATE(2026,8,31)),ROW(Expenses!A$3:A$1002)-2),2)),""),IF(IFERROR(INDEX(Income!B$3:B$502,SMALL(IF((Income!D$3:D$502="INR")*(Income!A$3:A$502=DATE(2026,8,31)),ROW(Income!A$3:A$502)-2),2)),"")&lt;&gt;"",IFERROR(INDEX(Income!B$3:B$502,SMALL(IF((Income!D$3:D$502="INR")*(Income!A$3:A$502=DATE(2026,8,31)),ROW(Income!A$3:A$502)-2),2)),""),""))</f>
        <v/>
      </c>
      <c r="E180" s="63" t="str">
        <f aca="false">IF(IFERROR(-INDEX(Expenses!D$3:D$1002,SMALL(IF((Expenses!E$3:E$1002="INR")*(Expenses!A$3:A$1002=DATE(2026,9,1)),ROW(Expenses!A$3:A$1002)-2),2)),0)+IFERROR(INDEX(Income!C$3:C$502,SMALL(IF((Income!D$3:D$502="INR")*(Income!A$3:A$502=DATE(2026,9,1)),ROW(Income!A$3:A$502)-2),2)),0)=0,"",IFERROR(-INDEX(Expenses!D$3:D$1002,SMALL(IF((Expenses!E$3:E$1002="INR")*(Expenses!A$3:A$1002=DATE(2026,9,1)),ROW(Expenses!A$3:A$1002)-2),2)),0)+IFERROR(INDEX(Income!C$3:C$502,SMALL(IF((Income!D$3:D$502="INR")*(Income!A$3:A$502=DATE(2026,9,1)),ROW(Income!A$3:A$502)-2),2)),0))</f>
        <v/>
      </c>
      <c r="F180" s="38" t="str">
        <f aca="false">IF(IFERROR(INDEX(Expenses!B$3:B$1002,SMALL(IF((Expenses!E$3:E$1002="INR")*(Expenses!A$3:A$1002=DATE(2026,9,1)),ROW(Expenses!A$3:A$1002)-2),2)),"")&lt;&gt;"",IFERROR(INDEX(Expenses!B$3:B$1002,SMALL(IF((Expenses!E$3:E$1002="INR")*(Expenses!A$3:A$1002=DATE(2026,9,1)),ROW(Expenses!A$3:A$1002)-2),2)),""),IF(IFERROR(INDEX(Income!B$3:B$502,SMALL(IF((Income!D$3:D$502="INR")*(Income!A$3:A$502=DATE(2026,9,1)),ROW(Income!A$3:A$502)-2),2)),"")&lt;&gt;"",IFERROR(INDEX(Income!B$3:B$502,SMALL(IF((Income!D$3:D$502="INR")*(Income!A$3:A$502=DATE(2026,9,1)),ROW(Income!A$3:A$502)-2),2)),""),""))</f>
        <v/>
      </c>
      <c r="G180" s="63" t="str">
        <f aca="false">IF(IFERROR(-INDEX(Expenses!D$3:D$1002,SMALL(IF((Expenses!E$3:E$1002="INR")*(Expenses!A$3:A$1002=DATE(2026,9,2)),ROW(Expenses!A$3:A$1002)-2),2)),0)+IFERROR(INDEX(Income!C$3:C$502,SMALL(IF((Income!D$3:D$502="INR")*(Income!A$3:A$502=DATE(2026,9,2)),ROW(Income!A$3:A$502)-2),2)),0)=0,"",IFERROR(-INDEX(Expenses!D$3:D$1002,SMALL(IF((Expenses!E$3:E$1002="INR")*(Expenses!A$3:A$1002=DATE(2026,9,2)),ROW(Expenses!A$3:A$1002)-2),2)),0)+IFERROR(INDEX(Income!C$3:C$502,SMALL(IF((Income!D$3:D$502="INR")*(Income!A$3:A$502=DATE(2026,9,2)),ROW(Income!A$3:A$502)-2),2)),0))</f>
        <v/>
      </c>
      <c r="H180" s="38" t="str">
        <f aca="false">IF(IFERROR(INDEX(Expenses!B$3:B$1002,SMALL(IF((Expenses!E$3:E$1002="INR")*(Expenses!A$3:A$1002=DATE(2026,9,2)),ROW(Expenses!A$3:A$1002)-2),2)),"")&lt;&gt;"",IFERROR(INDEX(Expenses!B$3:B$1002,SMALL(IF((Expenses!E$3:E$1002="INR")*(Expenses!A$3:A$1002=DATE(2026,9,2)),ROW(Expenses!A$3:A$1002)-2),2)),""),IF(IFERROR(INDEX(Income!B$3:B$502,SMALL(IF((Income!D$3:D$502="INR")*(Income!A$3:A$502=DATE(2026,9,2)),ROW(Income!A$3:A$502)-2),2)),"")&lt;&gt;"",IFERROR(INDEX(Income!B$3:B$502,SMALL(IF((Income!D$3:D$502="INR")*(Income!A$3:A$502=DATE(2026,9,2)),ROW(Income!A$3:A$502)-2),2)),""),""))</f>
        <v/>
      </c>
      <c r="I180" s="63" t="str">
        <f aca="false">IF(IFERROR(-INDEX(Expenses!D$3:D$1002,SMALL(IF((Expenses!E$3:E$1002="INR")*(Expenses!A$3:A$1002=DATE(2026,9,3)),ROW(Expenses!A$3:A$1002)-2),2)),0)+IFERROR(INDEX(Income!C$3:C$502,SMALL(IF((Income!D$3:D$502="INR")*(Income!A$3:A$502=DATE(2026,9,3)),ROW(Income!A$3:A$502)-2),2)),0)=0,"",IFERROR(-INDEX(Expenses!D$3:D$1002,SMALL(IF((Expenses!E$3:E$1002="INR")*(Expenses!A$3:A$1002=DATE(2026,9,3)),ROW(Expenses!A$3:A$1002)-2),2)),0)+IFERROR(INDEX(Income!C$3:C$502,SMALL(IF((Income!D$3:D$502="INR")*(Income!A$3:A$502=DATE(2026,9,3)),ROW(Income!A$3:A$502)-2),2)),0))</f>
        <v/>
      </c>
      <c r="J180" s="38" t="str">
        <f aca="false">IF(IFERROR(INDEX(Expenses!B$3:B$1002,SMALL(IF((Expenses!E$3:E$1002="INR")*(Expenses!A$3:A$1002=DATE(2026,9,3)),ROW(Expenses!A$3:A$1002)-2),2)),"")&lt;&gt;"",IFERROR(INDEX(Expenses!B$3:B$1002,SMALL(IF((Expenses!E$3:E$1002="INR")*(Expenses!A$3:A$1002=DATE(2026,9,3)),ROW(Expenses!A$3:A$1002)-2),2)),""),IF(IFERROR(INDEX(Income!B$3:B$502,SMALL(IF((Income!D$3:D$502="INR")*(Income!A$3:A$502=DATE(2026,9,3)),ROW(Income!A$3:A$502)-2),2)),"")&lt;&gt;"",IFERROR(INDEX(Income!B$3:B$502,SMALL(IF((Income!D$3:D$502="INR")*(Income!A$3:A$502=DATE(2026,9,3)),ROW(Income!A$3:A$502)-2),2)),""),""))</f>
        <v/>
      </c>
      <c r="K180" s="63" t="str">
        <f aca="false">IF(IFERROR(-INDEX(Expenses!D$3:D$1002,SMALL(IF((Expenses!E$3:E$1002="INR")*(Expenses!A$3:A$1002=DATE(2026,9,4)),ROW(Expenses!A$3:A$1002)-2),2)),0)+IFERROR(INDEX(Income!C$3:C$502,SMALL(IF((Income!D$3:D$502="INR")*(Income!A$3:A$502=DATE(2026,9,4)),ROW(Income!A$3:A$502)-2),2)),0)=0,"",IFERROR(-INDEX(Expenses!D$3:D$1002,SMALL(IF((Expenses!E$3:E$1002="INR")*(Expenses!A$3:A$1002=DATE(2026,9,4)),ROW(Expenses!A$3:A$1002)-2),2)),0)+IFERROR(INDEX(Income!C$3:C$502,SMALL(IF((Income!D$3:D$502="INR")*(Income!A$3:A$502=DATE(2026,9,4)),ROW(Income!A$3:A$502)-2),2)),0))</f>
        <v/>
      </c>
      <c r="L180" s="38" t="str">
        <f aca="false">IF(IFERROR(INDEX(Expenses!B$3:B$1002,SMALL(IF((Expenses!E$3:E$1002="INR")*(Expenses!A$3:A$1002=DATE(2026,9,4)),ROW(Expenses!A$3:A$1002)-2),2)),"")&lt;&gt;"",IFERROR(INDEX(Expenses!B$3:B$1002,SMALL(IF((Expenses!E$3:E$1002="INR")*(Expenses!A$3:A$1002=DATE(2026,9,4)),ROW(Expenses!A$3:A$1002)-2),2)),""),IF(IFERROR(INDEX(Income!B$3:B$502,SMALL(IF((Income!D$3:D$502="INR")*(Income!A$3:A$502=DATE(2026,9,4)),ROW(Income!A$3:A$502)-2),2)),"")&lt;&gt;"",IFERROR(INDEX(Income!B$3:B$502,SMALL(IF((Income!D$3:D$502="INR")*(Income!A$3:A$502=DATE(2026,9,4)),ROW(Income!A$3:A$502)-2),2)),""),""))</f>
        <v/>
      </c>
      <c r="M180" s="63" t="str">
        <f aca="false">IF(IFERROR(-INDEX(Expenses!D$3:D$1002,SMALL(IF((Expenses!E$3:E$1002="INR")*(Expenses!A$3:A$1002=DATE(2026,9,5)),ROW(Expenses!A$3:A$1002)-2),2)),0)+IFERROR(INDEX(Income!C$3:C$502,SMALL(IF((Income!D$3:D$502="INR")*(Income!A$3:A$502=DATE(2026,9,5)),ROW(Income!A$3:A$502)-2),2)),0)=0,"",IFERROR(-INDEX(Expenses!D$3:D$1002,SMALL(IF((Expenses!E$3:E$1002="INR")*(Expenses!A$3:A$1002=DATE(2026,9,5)),ROW(Expenses!A$3:A$1002)-2),2)),0)+IFERROR(INDEX(Income!C$3:C$502,SMALL(IF((Income!D$3:D$502="INR")*(Income!A$3:A$502=DATE(2026,9,5)),ROW(Income!A$3:A$502)-2),2)),0))</f>
        <v/>
      </c>
      <c r="N180" s="38" t="str">
        <f aca="false">IF(IFERROR(INDEX(Expenses!B$3:B$1002,SMALL(IF((Expenses!E$3:E$1002="INR")*(Expenses!A$3:A$1002=DATE(2026,9,5)),ROW(Expenses!A$3:A$1002)-2),2)),"")&lt;&gt;"",IFERROR(INDEX(Expenses!B$3:B$1002,SMALL(IF((Expenses!E$3:E$1002="INR")*(Expenses!A$3:A$1002=DATE(2026,9,5)),ROW(Expenses!A$3:A$1002)-2),2)),""),IF(IFERROR(INDEX(Income!B$3:B$502,SMALL(IF((Income!D$3:D$502="INR")*(Income!A$3:A$502=DATE(2026,9,5)),ROW(Income!A$3:A$502)-2),2)),"")&lt;&gt;"",IFERROR(INDEX(Income!B$3:B$502,SMALL(IF((Income!D$3:D$502="INR")*(Income!A$3:A$502=DATE(2026,9,5)),ROW(Income!A$3:A$502)-2),2)),""),""))</f>
        <v/>
      </c>
      <c r="O180" s="63" t="str">
        <f aca="false">IF(IFERROR(-INDEX(Expenses!D$3:D$1002,SMALL(IF((Expenses!E$3:E$1002="INR")*(Expenses!A$3:A$1002=DATE(2026,9,6)),ROW(Expenses!A$3:A$1002)-2),2)),0)+IFERROR(INDEX(Income!C$3:C$502,SMALL(IF((Income!D$3:D$502="INR")*(Income!A$3:A$502=DATE(2026,9,6)),ROW(Income!A$3:A$502)-2),2)),0)=0,"",IFERROR(-INDEX(Expenses!D$3:D$1002,SMALL(IF((Expenses!E$3:E$1002="INR")*(Expenses!A$3:A$1002=DATE(2026,9,6)),ROW(Expenses!A$3:A$1002)-2),2)),0)+IFERROR(INDEX(Income!C$3:C$502,SMALL(IF((Income!D$3:D$502="INR")*(Income!A$3:A$502=DATE(2026,9,6)),ROW(Income!A$3:A$502)-2),2)),0))</f>
        <v/>
      </c>
      <c r="P180" s="38" t="str">
        <f aca="false">IF(IFERROR(INDEX(Expenses!B$3:B$1002,SMALL(IF((Expenses!E$3:E$1002="INR")*(Expenses!A$3:A$1002=DATE(2026,9,6)),ROW(Expenses!A$3:A$1002)-2),2)),"")&lt;&gt;"",IFERROR(INDEX(Expenses!B$3:B$1002,SMALL(IF((Expenses!E$3:E$1002="INR")*(Expenses!A$3:A$1002=DATE(2026,9,6)),ROW(Expenses!A$3:A$1002)-2),2)),""),IF(IFERROR(INDEX(Income!B$3:B$502,SMALL(IF((Income!D$3:D$502="INR")*(Income!A$3:A$502=DATE(2026,9,6)),ROW(Income!A$3:A$502)-2),2)),"")&lt;&gt;"",IFERROR(INDEX(Income!B$3:B$502,SMALL(IF((Income!D$3:D$502="INR")*(Income!A$3:A$502=DATE(2026,9,6)),ROW(Income!A$3:A$502)-2),2)),""),""))</f>
        <v/>
      </c>
      <c r="Q180" s="16"/>
      <c r="R180" s="16"/>
    </row>
    <row r="181" customFormat="false" ht="15" hidden="false" customHeight="false" outlineLevel="0" collapsed="false">
      <c r="A181" s="16"/>
      <c r="B181" s="16"/>
      <c r="C181" s="63" t="str">
        <f aca="false">IF(IFERROR(-INDEX(Expenses!D$3:D$1002,SMALL(IF((Expenses!E$3:E$1002="INR")*(Expenses!A$3:A$1002=DATE(2026,8,31)),ROW(Expenses!A$3:A$1002)-2),3)),0)+IFERROR(INDEX(Income!C$3:C$502,SMALL(IF((Income!D$3:D$502="INR")*(Income!A$3:A$502=DATE(2026,8,31)),ROW(Income!A$3:A$502)-2),3)),0)=0,"",IFERROR(-INDEX(Expenses!D$3:D$1002,SMALL(IF((Expenses!E$3:E$1002="INR")*(Expenses!A$3:A$1002=DATE(2026,8,31)),ROW(Expenses!A$3:A$1002)-2),3)),0)+IFERROR(INDEX(Income!C$3:C$502,SMALL(IF((Income!D$3:D$502="INR")*(Income!A$3:A$502=DATE(2026,8,31)),ROW(Income!A$3:A$502)-2),3)),0))</f>
        <v/>
      </c>
      <c r="D181" s="38" t="str">
        <f aca="false">IF(IFERROR(INDEX(Expenses!B$3:B$1002,SMALL(IF((Expenses!E$3:E$1002="INR")*(Expenses!A$3:A$1002=DATE(2026,8,31)),ROW(Expenses!A$3:A$1002)-2),3)),"")&lt;&gt;"",IFERROR(INDEX(Expenses!B$3:B$1002,SMALL(IF((Expenses!E$3:E$1002="INR")*(Expenses!A$3:A$1002=DATE(2026,8,31)),ROW(Expenses!A$3:A$1002)-2),3)),""),IF(IFERROR(INDEX(Income!B$3:B$502,SMALL(IF((Income!D$3:D$502="INR")*(Income!A$3:A$502=DATE(2026,8,31)),ROW(Income!A$3:A$502)-2),3)),"")&lt;&gt;"",IFERROR(INDEX(Income!B$3:B$502,SMALL(IF((Income!D$3:D$502="INR")*(Income!A$3:A$502=DATE(2026,8,31)),ROW(Income!A$3:A$502)-2),3)),""),""))</f>
        <v/>
      </c>
      <c r="E181" s="63" t="str">
        <f aca="false">IF(IFERROR(-INDEX(Expenses!D$3:D$1002,SMALL(IF((Expenses!E$3:E$1002="INR")*(Expenses!A$3:A$1002=DATE(2026,9,1)),ROW(Expenses!A$3:A$1002)-2),3)),0)+IFERROR(INDEX(Income!C$3:C$502,SMALL(IF((Income!D$3:D$502="INR")*(Income!A$3:A$502=DATE(2026,9,1)),ROW(Income!A$3:A$502)-2),3)),0)=0,"",IFERROR(-INDEX(Expenses!D$3:D$1002,SMALL(IF((Expenses!E$3:E$1002="INR")*(Expenses!A$3:A$1002=DATE(2026,9,1)),ROW(Expenses!A$3:A$1002)-2),3)),0)+IFERROR(INDEX(Income!C$3:C$502,SMALL(IF((Income!D$3:D$502="INR")*(Income!A$3:A$502=DATE(2026,9,1)),ROW(Income!A$3:A$502)-2),3)),0))</f>
        <v/>
      </c>
      <c r="F181" s="38" t="str">
        <f aca="false">IF(IFERROR(INDEX(Expenses!B$3:B$1002,SMALL(IF((Expenses!E$3:E$1002="INR")*(Expenses!A$3:A$1002=DATE(2026,9,1)),ROW(Expenses!A$3:A$1002)-2),3)),"")&lt;&gt;"",IFERROR(INDEX(Expenses!B$3:B$1002,SMALL(IF((Expenses!E$3:E$1002="INR")*(Expenses!A$3:A$1002=DATE(2026,9,1)),ROW(Expenses!A$3:A$1002)-2),3)),""),IF(IFERROR(INDEX(Income!B$3:B$502,SMALL(IF((Income!D$3:D$502="INR")*(Income!A$3:A$502=DATE(2026,9,1)),ROW(Income!A$3:A$502)-2),3)),"")&lt;&gt;"",IFERROR(INDEX(Income!B$3:B$502,SMALL(IF((Income!D$3:D$502="INR")*(Income!A$3:A$502=DATE(2026,9,1)),ROW(Income!A$3:A$502)-2),3)),""),""))</f>
        <v/>
      </c>
      <c r="G181" s="63" t="str">
        <f aca="false">IF(IFERROR(-INDEX(Expenses!D$3:D$1002,SMALL(IF((Expenses!E$3:E$1002="INR")*(Expenses!A$3:A$1002=DATE(2026,9,2)),ROW(Expenses!A$3:A$1002)-2),3)),0)+IFERROR(INDEX(Income!C$3:C$502,SMALL(IF((Income!D$3:D$502="INR")*(Income!A$3:A$502=DATE(2026,9,2)),ROW(Income!A$3:A$502)-2),3)),0)=0,"",IFERROR(-INDEX(Expenses!D$3:D$1002,SMALL(IF((Expenses!E$3:E$1002="INR")*(Expenses!A$3:A$1002=DATE(2026,9,2)),ROW(Expenses!A$3:A$1002)-2),3)),0)+IFERROR(INDEX(Income!C$3:C$502,SMALL(IF((Income!D$3:D$502="INR")*(Income!A$3:A$502=DATE(2026,9,2)),ROW(Income!A$3:A$502)-2),3)),0))</f>
        <v/>
      </c>
      <c r="H181" s="38" t="str">
        <f aca="false">IF(IFERROR(INDEX(Expenses!B$3:B$1002,SMALL(IF((Expenses!E$3:E$1002="INR")*(Expenses!A$3:A$1002=DATE(2026,9,2)),ROW(Expenses!A$3:A$1002)-2),3)),"")&lt;&gt;"",IFERROR(INDEX(Expenses!B$3:B$1002,SMALL(IF((Expenses!E$3:E$1002="INR")*(Expenses!A$3:A$1002=DATE(2026,9,2)),ROW(Expenses!A$3:A$1002)-2),3)),""),IF(IFERROR(INDEX(Income!B$3:B$502,SMALL(IF((Income!D$3:D$502="INR")*(Income!A$3:A$502=DATE(2026,9,2)),ROW(Income!A$3:A$502)-2),3)),"")&lt;&gt;"",IFERROR(INDEX(Income!B$3:B$502,SMALL(IF((Income!D$3:D$502="INR")*(Income!A$3:A$502=DATE(2026,9,2)),ROW(Income!A$3:A$502)-2),3)),""),""))</f>
        <v/>
      </c>
      <c r="I181" s="63" t="str">
        <f aca="false">IF(IFERROR(-INDEX(Expenses!D$3:D$1002,SMALL(IF((Expenses!E$3:E$1002="INR")*(Expenses!A$3:A$1002=DATE(2026,9,3)),ROW(Expenses!A$3:A$1002)-2),3)),0)+IFERROR(INDEX(Income!C$3:C$502,SMALL(IF((Income!D$3:D$502="INR")*(Income!A$3:A$502=DATE(2026,9,3)),ROW(Income!A$3:A$502)-2),3)),0)=0,"",IFERROR(-INDEX(Expenses!D$3:D$1002,SMALL(IF((Expenses!E$3:E$1002="INR")*(Expenses!A$3:A$1002=DATE(2026,9,3)),ROW(Expenses!A$3:A$1002)-2),3)),0)+IFERROR(INDEX(Income!C$3:C$502,SMALL(IF((Income!D$3:D$502="INR")*(Income!A$3:A$502=DATE(2026,9,3)),ROW(Income!A$3:A$502)-2),3)),0))</f>
        <v/>
      </c>
      <c r="J181" s="38" t="str">
        <f aca="false">IF(IFERROR(INDEX(Expenses!B$3:B$1002,SMALL(IF((Expenses!E$3:E$1002="INR")*(Expenses!A$3:A$1002=DATE(2026,9,3)),ROW(Expenses!A$3:A$1002)-2),3)),"")&lt;&gt;"",IFERROR(INDEX(Expenses!B$3:B$1002,SMALL(IF((Expenses!E$3:E$1002="INR")*(Expenses!A$3:A$1002=DATE(2026,9,3)),ROW(Expenses!A$3:A$1002)-2),3)),""),IF(IFERROR(INDEX(Income!B$3:B$502,SMALL(IF((Income!D$3:D$502="INR")*(Income!A$3:A$502=DATE(2026,9,3)),ROW(Income!A$3:A$502)-2),3)),"")&lt;&gt;"",IFERROR(INDEX(Income!B$3:B$502,SMALL(IF((Income!D$3:D$502="INR")*(Income!A$3:A$502=DATE(2026,9,3)),ROW(Income!A$3:A$502)-2),3)),""),""))</f>
        <v/>
      </c>
      <c r="K181" s="63" t="str">
        <f aca="false">IF(IFERROR(-INDEX(Expenses!D$3:D$1002,SMALL(IF((Expenses!E$3:E$1002="INR")*(Expenses!A$3:A$1002=DATE(2026,9,4)),ROW(Expenses!A$3:A$1002)-2),3)),0)+IFERROR(INDEX(Income!C$3:C$502,SMALL(IF((Income!D$3:D$502="INR")*(Income!A$3:A$502=DATE(2026,9,4)),ROW(Income!A$3:A$502)-2),3)),0)=0,"",IFERROR(-INDEX(Expenses!D$3:D$1002,SMALL(IF((Expenses!E$3:E$1002="INR")*(Expenses!A$3:A$1002=DATE(2026,9,4)),ROW(Expenses!A$3:A$1002)-2),3)),0)+IFERROR(INDEX(Income!C$3:C$502,SMALL(IF((Income!D$3:D$502="INR")*(Income!A$3:A$502=DATE(2026,9,4)),ROW(Income!A$3:A$502)-2),3)),0))</f>
        <v/>
      </c>
      <c r="L181" s="38" t="str">
        <f aca="false">IF(IFERROR(INDEX(Expenses!B$3:B$1002,SMALL(IF((Expenses!E$3:E$1002="INR")*(Expenses!A$3:A$1002=DATE(2026,9,4)),ROW(Expenses!A$3:A$1002)-2),3)),"")&lt;&gt;"",IFERROR(INDEX(Expenses!B$3:B$1002,SMALL(IF((Expenses!E$3:E$1002="INR")*(Expenses!A$3:A$1002=DATE(2026,9,4)),ROW(Expenses!A$3:A$1002)-2),3)),""),IF(IFERROR(INDEX(Income!B$3:B$502,SMALL(IF((Income!D$3:D$502="INR")*(Income!A$3:A$502=DATE(2026,9,4)),ROW(Income!A$3:A$502)-2),3)),"")&lt;&gt;"",IFERROR(INDEX(Income!B$3:B$502,SMALL(IF((Income!D$3:D$502="INR")*(Income!A$3:A$502=DATE(2026,9,4)),ROW(Income!A$3:A$502)-2),3)),""),""))</f>
        <v/>
      </c>
      <c r="M181" s="63" t="str">
        <f aca="false">IF(IFERROR(-INDEX(Expenses!D$3:D$1002,SMALL(IF((Expenses!E$3:E$1002="INR")*(Expenses!A$3:A$1002=DATE(2026,9,5)),ROW(Expenses!A$3:A$1002)-2),3)),0)+IFERROR(INDEX(Income!C$3:C$502,SMALL(IF((Income!D$3:D$502="INR")*(Income!A$3:A$502=DATE(2026,9,5)),ROW(Income!A$3:A$502)-2),3)),0)=0,"",IFERROR(-INDEX(Expenses!D$3:D$1002,SMALL(IF((Expenses!E$3:E$1002="INR")*(Expenses!A$3:A$1002=DATE(2026,9,5)),ROW(Expenses!A$3:A$1002)-2),3)),0)+IFERROR(INDEX(Income!C$3:C$502,SMALL(IF((Income!D$3:D$502="INR")*(Income!A$3:A$502=DATE(2026,9,5)),ROW(Income!A$3:A$502)-2),3)),0))</f>
        <v/>
      </c>
      <c r="N181" s="38" t="str">
        <f aca="false">IF(IFERROR(INDEX(Expenses!B$3:B$1002,SMALL(IF((Expenses!E$3:E$1002="INR")*(Expenses!A$3:A$1002=DATE(2026,9,5)),ROW(Expenses!A$3:A$1002)-2),3)),"")&lt;&gt;"",IFERROR(INDEX(Expenses!B$3:B$1002,SMALL(IF((Expenses!E$3:E$1002="INR")*(Expenses!A$3:A$1002=DATE(2026,9,5)),ROW(Expenses!A$3:A$1002)-2),3)),""),IF(IFERROR(INDEX(Income!B$3:B$502,SMALL(IF((Income!D$3:D$502="INR")*(Income!A$3:A$502=DATE(2026,9,5)),ROW(Income!A$3:A$502)-2),3)),"")&lt;&gt;"",IFERROR(INDEX(Income!B$3:B$502,SMALL(IF((Income!D$3:D$502="INR")*(Income!A$3:A$502=DATE(2026,9,5)),ROW(Income!A$3:A$502)-2),3)),""),""))</f>
        <v/>
      </c>
      <c r="O181" s="63" t="str">
        <f aca="false">IF(IFERROR(-INDEX(Expenses!D$3:D$1002,SMALL(IF((Expenses!E$3:E$1002="INR")*(Expenses!A$3:A$1002=DATE(2026,9,6)),ROW(Expenses!A$3:A$1002)-2),3)),0)+IFERROR(INDEX(Income!C$3:C$502,SMALL(IF((Income!D$3:D$502="INR")*(Income!A$3:A$502=DATE(2026,9,6)),ROW(Income!A$3:A$502)-2),3)),0)=0,"",IFERROR(-INDEX(Expenses!D$3:D$1002,SMALL(IF((Expenses!E$3:E$1002="INR")*(Expenses!A$3:A$1002=DATE(2026,9,6)),ROW(Expenses!A$3:A$1002)-2),3)),0)+IFERROR(INDEX(Income!C$3:C$502,SMALL(IF((Income!D$3:D$502="INR")*(Income!A$3:A$502=DATE(2026,9,6)),ROW(Income!A$3:A$502)-2),3)),0))</f>
        <v/>
      </c>
      <c r="P181" s="38" t="str">
        <f aca="false">IF(IFERROR(INDEX(Expenses!B$3:B$1002,SMALL(IF((Expenses!E$3:E$1002="INR")*(Expenses!A$3:A$1002=DATE(2026,9,6)),ROW(Expenses!A$3:A$1002)-2),3)),"")&lt;&gt;"",IFERROR(INDEX(Expenses!B$3:B$1002,SMALL(IF((Expenses!E$3:E$1002="INR")*(Expenses!A$3:A$1002=DATE(2026,9,6)),ROW(Expenses!A$3:A$1002)-2),3)),""),IF(IFERROR(INDEX(Income!B$3:B$502,SMALL(IF((Income!D$3:D$502="INR")*(Income!A$3:A$502=DATE(2026,9,6)),ROW(Income!A$3:A$502)-2),3)),"")&lt;&gt;"",IFERROR(INDEX(Income!B$3:B$502,SMALL(IF((Income!D$3:D$502="INR")*(Income!A$3:A$502=DATE(2026,9,6)),ROW(Income!A$3:A$502)-2),3)),""),""))</f>
        <v/>
      </c>
      <c r="Q181" s="16"/>
      <c r="R181" s="16"/>
    </row>
    <row r="182" customFormat="false" ht="15" hidden="false" customHeight="false" outlineLevel="0" collapsed="false">
      <c r="A182" s="16"/>
      <c r="B182" s="16"/>
      <c r="C182" s="63" t="str">
        <f aca="false">IF(IFERROR(-INDEX(Expenses!D$3:D$1002,SMALL(IF((Expenses!E$3:E$1002="INR")*(Expenses!A$3:A$1002=DATE(2026,8,31)),ROW(Expenses!A$3:A$1002)-2),4)),0)+IFERROR(INDEX(Income!C$3:C$502,SMALL(IF((Income!D$3:D$502="INR")*(Income!A$3:A$502=DATE(2026,8,31)),ROW(Income!A$3:A$502)-2),4)),0)=0,"",IFERROR(-INDEX(Expenses!D$3:D$1002,SMALL(IF((Expenses!E$3:E$1002="INR")*(Expenses!A$3:A$1002=DATE(2026,8,31)),ROW(Expenses!A$3:A$1002)-2),4)),0)+IFERROR(INDEX(Income!C$3:C$502,SMALL(IF((Income!D$3:D$502="INR")*(Income!A$3:A$502=DATE(2026,8,31)),ROW(Income!A$3:A$502)-2),4)),0))</f>
        <v/>
      </c>
      <c r="D182" s="38" t="str">
        <f aca="false">IF(IFERROR(INDEX(Expenses!B$3:B$1002,SMALL(IF((Expenses!E$3:E$1002="INR")*(Expenses!A$3:A$1002=DATE(2026,8,31)),ROW(Expenses!A$3:A$1002)-2),4)),"")&lt;&gt;"",IFERROR(INDEX(Expenses!B$3:B$1002,SMALL(IF((Expenses!E$3:E$1002="INR")*(Expenses!A$3:A$1002=DATE(2026,8,31)),ROW(Expenses!A$3:A$1002)-2),4)),""),IF(IFERROR(INDEX(Income!B$3:B$502,SMALL(IF((Income!D$3:D$502="INR")*(Income!A$3:A$502=DATE(2026,8,31)),ROW(Income!A$3:A$502)-2),4)),"")&lt;&gt;"",IFERROR(INDEX(Income!B$3:B$502,SMALL(IF((Income!D$3:D$502="INR")*(Income!A$3:A$502=DATE(2026,8,31)),ROW(Income!A$3:A$502)-2),4)),""),""))</f>
        <v/>
      </c>
      <c r="E182" s="63" t="str">
        <f aca="false">IF(IFERROR(-INDEX(Expenses!D$3:D$1002,SMALL(IF((Expenses!E$3:E$1002="INR")*(Expenses!A$3:A$1002=DATE(2026,9,1)),ROW(Expenses!A$3:A$1002)-2),4)),0)+IFERROR(INDEX(Income!C$3:C$502,SMALL(IF((Income!D$3:D$502="INR")*(Income!A$3:A$502=DATE(2026,9,1)),ROW(Income!A$3:A$502)-2),4)),0)=0,"",IFERROR(-INDEX(Expenses!D$3:D$1002,SMALL(IF((Expenses!E$3:E$1002="INR")*(Expenses!A$3:A$1002=DATE(2026,9,1)),ROW(Expenses!A$3:A$1002)-2),4)),0)+IFERROR(INDEX(Income!C$3:C$502,SMALL(IF((Income!D$3:D$502="INR")*(Income!A$3:A$502=DATE(2026,9,1)),ROW(Income!A$3:A$502)-2),4)),0))</f>
        <v/>
      </c>
      <c r="F182" s="38" t="str">
        <f aca="false">IF(IFERROR(INDEX(Expenses!B$3:B$1002,SMALL(IF((Expenses!E$3:E$1002="INR")*(Expenses!A$3:A$1002=DATE(2026,9,1)),ROW(Expenses!A$3:A$1002)-2),4)),"")&lt;&gt;"",IFERROR(INDEX(Expenses!B$3:B$1002,SMALL(IF((Expenses!E$3:E$1002="INR")*(Expenses!A$3:A$1002=DATE(2026,9,1)),ROW(Expenses!A$3:A$1002)-2),4)),""),IF(IFERROR(INDEX(Income!B$3:B$502,SMALL(IF((Income!D$3:D$502="INR")*(Income!A$3:A$502=DATE(2026,9,1)),ROW(Income!A$3:A$502)-2),4)),"")&lt;&gt;"",IFERROR(INDEX(Income!B$3:B$502,SMALL(IF((Income!D$3:D$502="INR")*(Income!A$3:A$502=DATE(2026,9,1)),ROW(Income!A$3:A$502)-2),4)),""),""))</f>
        <v/>
      </c>
      <c r="G182" s="63" t="str">
        <f aca="false">IF(IFERROR(-INDEX(Expenses!D$3:D$1002,SMALL(IF((Expenses!E$3:E$1002="INR")*(Expenses!A$3:A$1002=DATE(2026,9,2)),ROW(Expenses!A$3:A$1002)-2),4)),0)+IFERROR(INDEX(Income!C$3:C$502,SMALL(IF((Income!D$3:D$502="INR")*(Income!A$3:A$502=DATE(2026,9,2)),ROW(Income!A$3:A$502)-2),4)),0)=0,"",IFERROR(-INDEX(Expenses!D$3:D$1002,SMALL(IF((Expenses!E$3:E$1002="INR")*(Expenses!A$3:A$1002=DATE(2026,9,2)),ROW(Expenses!A$3:A$1002)-2),4)),0)+IFERROR(INDEX(Income!C$3:C$502,SMALL(IF((Income!D$3:D$502="INR")*(Income!A$3:A$502=DATE(2026,9,2)),ROW(Income!A$3:A$502)-2),4)),0))</f>
        <v/>
      </c>
      <c r="H182" s="38" t="str">
        <f aca="false">IF(IFERROR(INDEX(Expenses!B$3:B$1002,SMALL(IF((Expenses!E$3:E$1002="INR")*(Expenses!A$3:A$1002=DATE(2026,9,2)),ROW(Expenses!A$3:A$1002)-2),4)),"")&lt;&gt;"",IFERROR(INDEX(Expenses!B$3:B$1002,SMALL(IF((Expenses!E$3:E$1002="INR")*(Expenses!A$3:A$1002=DATE(2026,9,2)),ROW(Expenses!A$3:A$1002)-2),4)),""),IF(IFERROR(INDEX(Income!B$3:B$502,SMALL(IF((Income!D$3:D$502="INR")*(Income!A$3:A$502=DATE(2026,9,2)),ROW(Income!A$3:A$502)-2),4)),"")&lt;&gt;"",IFERROR(INDEX(Income!B$3:B$502,SMALL(IF((Income!D$3:D$502="INR")*(Income!A$3:A$502=DATE(2026,9,2)),ROW(Income!A$3:A$502)-2),4)),""),""))</f>
        <v/>
      </c>
      <c r="I182" s="63" t="str">
        <f aca="false">IF(IFERROR(-INDEX(Expenses!D$3:D$1002,SMALL(IF((Expenses!E$3:E$1002="INR")*(Expenses!A$3:A$1002=DATE(2026,9,3)),ROW(Expenses!A$3:A$1002)-2),4)),0)+IFERROR(INDEX(Income!C$3:C$502,SMALL(IF((Income!D$3:D$502="INR")*(Income!A$3:A$502=DATE(2026,9,3)),ROW(Income!A$3:A$502)-2),4)),0)=0,"",IFERROR(-INDEX(Expenses!D$3:D$1002,SMALL(IF((Expenses!E$3:E$1002="INR")*(Expenses!A$3:A$1002=DATE(2026,9,3)),ROW(Expenses!A$3:A$1002)-2),4)),0)+IFERROR(INDEX(Income!C$3:C$502,SMALL(IF((Income!D$3:D$502="INR")*(Income!A$3:A$502=DATE(2026,9,3)),ROW(Income!A$3:A$502)-2),4)),0))</f>
        <v/>
      </c>
      <c r="J182" s="38" t="str">
        <f aca="false">IF(IFERROR(INDEX(Expenses!B$3:B$1002,SMALL(IF((Expenses!E$3:E$1002="INR")*(Expenses!A$3:A$1002=DATE(2026,9,3)),ROW(Expenses!A$3:A$1002)-2),4)),"")&lt;&gt;"",IFERROR(INDEX(Expenses!B$3:B$1002,SMALL(IF((Expenses!E$3:E$1002="INR")*(Expenses!A$3:A$1002=DATE(2026,9,3)),ROW(Expenses!A$3:A$1002)-2),4)),""),IF(IFERROR(INDEX(Income!B$3:B$502,SMALL(IF((Income!D$3:D$502="INR")*(Income!A$3:A$502=DATE(2026,9,3)),ROW(Income!A$3:A$502)-2),4)),"")&lt;&gt;"",IFERROR(INDEX(Income!B$3:B$502,SMALL(IF((Income!D$3:D$502="INR")*(Income!A$3:A$502=DATE(2026,9,3)),ROW(Income!A$3:A$502)-2),4)),""),""))</f>
        <v/>
      </c>
      <c r="K182" s="63" t="str">
        <f aca="false">IF(IFERROR(-INDEX(Expenses!D$3:D$1002,SMALL(IF((Expenses!E$3:E$1002="INR")*(Expenses!A$3:A$1002=DATE(2026,9,4)),ROW(Expenses!A$3:A$1002)-2),4)),0)+IFERROR(INDEX(Income!C$3:C$502,SMALL(IF((Income!D$3:D$502="INR")*(Income!A$3:A$502=DATE(2026,9,4)),ROW(Income!A$3:A$502)-2),4)),0)=0,"",IFERROR(-INDEX(Expenses!D$3:D$1002,SMALL(IF((Expenses!E$3:E$1002="INR")*(Expenses!A$3:A$1002=DATE(2026,9,4)),ROW(Expenses!A$3:A$1002)-2),4)),0)+IFERROR(INDEX(Income!C$3:C$502,SMALL(IF((Income!D$3:D$502="INR")*(Income!A$3:A$502=DATE(2026,9,4)),ROW(Income!A$3:A$502)-2),4)),0))</f>
        <v/>
      </c>
      <c r="L182" s="38" t="str">
        <f aca="false">IF(IFERROR(INDEX(Expenses!B$3:B$1002,SMALL(IF((Expenses!E$3:E$1002="INR")*(Expenses!A$3:A$1002=DATE(2026,9,4)),ROW(Expenses!A$3:A$1002)-2),4)),"")&lt;&gt;"",IFERROR(INDEX(Expenses!B$3:B$1002,SMALL(IF((Expenses!E$3:E$1002="INR")*(Expenses!A$3:A$1002=DATE(2026,9,4)),ROW(Expenses!A$3:A$1002)-2),4)),""),IF(IFERROR(INDEX(Income!B$3:B$502,SMALL(IF((Income!D$3:D$502="INR")*(Income!A$3:A$502=DATE(2026,9,4)),ROW(Income!A$3:A$502)-2),4)),"")&lt;&gt;"",IFERROR(INDEX(Income!B$3:B$502,SMALL(IF((Income!D$3:D$502="INR")*(Income!A$3:A$502=DATE(2026,9,4)),ROW(Income!A$3:A$502)-2),4)),""),""))</f>
        <v/>
      </c>
      <c r="M182" s="63" t="str">
        <f aca="false">IF(IFERROR(-INDEX(Expenses!D$3:D$1002,SMALL(IF((Expenses!E$3:E$1002="INR")*(Expenses!A$3:A$1002=DATE(2026,9,5)),ROW(Expenses!A$3:A$1002)-2),4)),0)+IFERROR(INDEX(Income!C$3:C$502,SMALL(IF((Income!D$3:D$502="INR")*(Income!A$3:A$502=DATE(2026,9,5)),ROW(Income!A$3:A$502)-2),4)),0)=0,"",IFERROR(-INDEX(Expenses!D$3:D$1002,SMALL(IF((Expenses!E$3:E$1002="INR")*(Expenses!A$3:A$1002=DATE(2026,9,5)),ROW(Expenses!A$3:A$1002)-2),4)),0)+IFERROR(INDEX(Income!C$3:C$502,SMALL(IF((Income!D$3:D$502="INR")*(Income!A$3:A$502=DATE(2026,9,5)),ROW(Income!A$3:A$502)-2),4)),0))</f>
        <v/>
      </c>
      <c r="N182" s="38" t="str">
        <f aca="false">IF(IFERROR(INDEX(Expenses!B$3:B$1002,SMALL(IF((Expenses!E$3:E$1002="INR")*(Expenses!A$3:A$1002=DATE(2026,9,5)),ROW(Expenses!A$3:A$1002)-2),4)),"")&lt;&gt;"",IFERROR(INDEX(Expenses!B$3:B$1002,SMALL(IF((Expenses!E$3:E$1002="INR")*(Expenses!A$3:A$1002=DATE(2026,9,5)),ROW(Expenses!A$3:A$1002)-2),4)),""),IF(IFERROR(INDEX(Income!B$3:B$502,SMALL(IF((Income!D$3:D$502="INR")*(Income!A$3:A$502=DATE(2026,9,5)),ROW(Income!A$3:A$502)-2),4)),"")&lt;&gt;"",IFERROR(INDEX(Income!B$3:B$502,SMALL(IF((Income!D$3:D$502="INR")*(Income!A$3:A$502=DATE(2026,9,5)),ROW(Income!A$3:A$502)-2),4)),""),""))</f>
        <v/>
      </c>
      <c r="O182" s="63" t="str">
        <f aca="false">IF(IFERROR(-INDEX(Expenses!D$3:D$1002,SMALL(IF((Expenses!E$3:E$1002="INR")*(Expenses!A$3:A$1002=DATE(2026,9,6)),ROW(Expenses!A$3:A$1002)-2),4)),0)+IFERROR(INDEX(Income!C$3:C$502,SMALL(IF((Income!D$3:D$502="INR")*(Income!A$3:A$502=DATE(2026,9,6)),ROW(Income!A$3:A$502)-2),4)),0)=0,"",IFERROR(-INDEX(Expenses!D$3:D$1002,SMALL(IF((Expenses!E$3:E$1002="INR")*(Expenses!A$3:A$1002=DATE(2026,9,6)),ROW(Expenses!A$3:A$1002)-2),4)),0)+IFERROR(INDEX(Income!C$3:C$502,SMALL(IF((Income!D$3:D$502="INR")*(Income!A$3:A$502=DATE(2026,9,6)),ROW(Income!A$3:A$502)-2),4)),0))</f>
        <v/>
      </c>
      <c r="P182" s="38" t="str">
        <f aca="false">IF(IFERROR(INDEX(Expenses!B$3:B$1002,SMALL(IF((Expenses!E$3:E$1002="INR")*(Expenses!A$3:A$1002=DATE(2026,9,6)),ROW(Expenses!A$3:A$1002)-2),4)),"")&lt;&gt;"",IFERROR(INDEX(Expenses!B$3:B$1002,SMALL(IF((Expenses!E$3:E$1002="INR")*(Expenses!A$3:A$1002=DATE(2026,9,6)),ROW(Expenses!A$3:A$1002)-2),4)),""),IF(IFERROR(INDEX(Income!B$3:B$502,SMALL(IF((Income!D$3:D$502="INR")*(Income!A$3:A$502=DATE(2026,9,6)),ROW(Income!A$3:A$502)-2),4)),"")&lt;&gt;"",IFERROR(INDEX(Income!B$3:B$502,SMALL(IF((Income!D$3:D$502="INR")*(Income!A$3:A$502=DATE(2026,9,6)),ROW(Income!A$3:A$502)-2),4)),""),""))</f>
        <v/>
      </c>
      <c r="Q182" s="16"/>
      <c r="R182" s="16"/>
    </row>
    <row r="183" customFormat="false" ht="15" hidden="false" customHeight="false" outlineLevel="0" collapsed="false">
      <c r="A183" s="16"/>
      <c r="B183" s="16"/>
      <c r="C183" s="63" t="str">
        <f aca="false">IF(IFERROR(-INDEX(Expenses!D$3:D$1002,SMALL(IF((Expenses!E$3:E$1002="INR")*(Expenses!A$3:A$1002=DATE(2026,8,31)),ROW(Expenses!A$3:A$1002)-2),5)),0)+IFERROR(INDEX(Income!C$3:C$502,SMALL(IF((Income!D$3:D$502="INR")*(Income!A$3:A$502=DATE(2026,8,31)),ROW(Income!A$3:A$502)-2),5)),0)=0,"",IFERROR(-INDEX(Expenses!D$3:D$1002,SMALL(IF((Expenses!E$3:E$1002="INR")*(Expenses!A$3:A$1002=DATE(2026,8,31)),ROW(Expenses!A$3:A$1002)-2),5)),0)+IFERROR(INDEX(Income!C$3:C$502,SMALL(IF((Income!D$3:D$502="INR")*(Income!A$3:A$502=DATE(2026,8,31)),ROW(Income!A$3:A$502)-2),5)),0))</f>
        <v/>
      </c>
      <c r="D183" s="38" t="str">
        <f aca="false">IF(IFERROR(INDEX(Expenses!B$3:B$1002,SMALL(IF((Expenses!E$3:E$1002="INR")*(Expenses!A$3:A$1002=DATE(2026,8,31)),ROW(Expenses!A$3:A$1002)-2),5)),"")&lt;&gt;"",IFERROR(INDEX(Expenses!B$3:B$1002,SMALL(IF((Expenses!E$3:E$1002="INR")*(Expenses!A$3:A$1002=DATE(2026,8,31)),ROW(Expenses!A$3:A$1002)-2),5)),""),IF(IFERROR(INDEX(Income!B$3:B$502,SMALL(IF((Income!D$3:D$502="INR")*(Income!A$3:A$502=DATE(2026,8,31)),ROW(Income!A$3:A$502)-2),5)),"")&lt;&gt;"",IFERROR(INDEX(Income!B$3:B$502,SMALL(IF((Income!D$3:D$502="INR")*(Income!A$3:A$502=DATE(2026,8,31)),ROW(Income!A$3:A$502)-2),5)),""),""))</f>
        <v/>
      </c>
      <c r="E183" s="63" t="str">
        <f aca="false">IF(IFERROR(-INDEX(Expenses!D$3:D$1002,SMALL(IF((Expenses!E$3:E$1002="INR")*(Expenses!A$3:A$1002=DATE(2026,9,1)),ROW(Expenses!A$3:A$1002)-2),5)),0)+IFERROR(INDEX(Income!C$3:C$502,SMALL(IF((Income!D$3:D$502="INR")*(Income!A$3:A$502=DATE(2026,9,1)),ROW(Income!A$3:A$502)-2),5)),0)=0,"",IFERROR(-INDEX(Expenses!D$3:D$1002,SMALL(IF((Expenses!E$3:E$1002="INR")*(Expenses!A$3:A$1002=DATE(2026,9,1)),ROW(Expenses!A$3:A$1002)-2),5)),0)+IFERROR(INDEX(Income!C$3:C$502,SMALL(IF((Income!D$3:D$502="INR")*(Income!A$3:A$502=DATE(2026,9,1)),ROW(Income!A$3:A$502)-2),5)),0))</f>
        <v/>
      </c>
      <c r="F183" s="38" t="str">
        <f aca="false">IF(IFERROR(INDEX(Expenses!B$3:B$1002,SMALL(IF((Expenses!E$3:E$1002="INR")*(Expenses!A$3:A$1002=DATE(2026,9,1)),ROW(Expenses!A$3:A$1002)-2),5)),"")&lt;&gt;"",IFERROR(INDEX(Expenses!B$3:B$1002,SMALL(IF((Expenses!E$3:E$1002="INR")*(Expenses!A$3:A$1002=DATE(2026,9,1)),ROW(Expenses!A$3:A$1002)-2),5)),""),IF(IFERROR(INDEX(Income!B$3:B$502,SMALL(IF((Income!D$3:D$502="INR")*(Income!A$3:A$502=DATE(2026,9,1)),ROW(Income!A$3:A$502)-2),5)),"")&lt;&gt;"",IFERROR(INDEX(Income!B$3:B$502,SMALL(IF((Income!D$3:D$502="INR")*(Income!A$3:A$502=DATE(2026,9,1)),ROW(Income!A$3:A$502)-2),5)),""),""))</f>
        <v/>
      </c>
      <c r="G183" s="63" t="str">
        <f aca="false">IF(IFERROR(-INDEX(Expenses!D$3:D$1002,SMALL(IF((Expenses!E$3:E$1002="INR")*(Expenses!A$3:A$1002=DATE(2026,9,2)),ROW(Expenses!A$3:A$1002)-2),5)),0)+IFERROR(INDEX(Income!C$3:C$502,SMALL(IF((Income!D$3:D$502="INR")*(Income!A$3:A$502=DATE(2026,9,2)),ROW(Income!A$3:A$502)-2),5)),0)=0,"",IFERROR(-INDEX(Expenses!D$3:D$1002,SMALL(IF((Expenses!E$3:E$1002="INR")*(Expenses!A$3:A$1002=DATE(2026,9,2)),ROW(Expenses!A$3:A$1002)-2),5)),0)+IFERROR(INDEX(Income!C$3:C$502,SMALL(IF((Income!D$3:D$502="INR")*(Income!A$3:A$502=DATE(2026,9,2)),ROW(Income!A$3:A$502)-2),5)),0))</f>
        <v/>
      </c>
      <c r="H183" s="38" t="str">
        <f aca="false">IF(IFERROR(INDEX(Expenses!B$3:B$1002,SMALL(IF((Expenses!E$3:E$1002="INR")*(Expenses!A$3:A$1002=DATE(2026,9,2)),ROW(Expenses!A$3:A$1002)-2),5)),"")&lt;&gt;"",IFERROR(INDEX(Expenses!B$3:B$1002,SMALL(IF((Expenses!E$3:E$1002="INR")*(Expenses!A$3:A$1002=DATE(2026,9,2)),ROW(Expenses!A$3:A$1002)-2),5)),""),IF(IFERROR(INDEX(Income!B$3:B$502,SMALL(IF((Income!D$3:D$502="INR")*(Income!A$3:A$502=DATE(2026,9,2)),ROW(Income!A$3:A$502)-2),5)),"")&lt;&gt;"",IFERROR(INDEX(Income!B$3:B$502,SMALL(IF((Income!D$3:D$502="INR")*(Income!A$3:A$502=DATE(2026,9,2)),ROW(Income!A$3:A$502)-2),5)),""),""))</f>
        <v/>
      </c>
      <c r="I183" s="63" t="str">
        <f aca="false">IF(IFERROR(-INDEX(Expenses!D$3:D$1002,SMALL(IF((Expenses!E$3:E$1002="INR")*(Expenses!A$3:A$1002=DATE(2026,9,3)),ROW(Expenses!A$3:A$1002)-2),5)),0)+IFERROR(INDEX(Income!C$3:C$502,SMALL(IF((Income!D$3:D$502="INR")*(Income!A$3:A$502=DATE(2026,9,3)),ROW(Income!A$3:A$502)-2),5)),0)=0,"",IFERROR(-INDEX(Expenses!D$3:D$1002,SMALL(IF((Expenses!E$3:E$1002="INR")*(Expenses!A$3:A$1002=DATE(2026,9,3)),ROW(Expenses!A$3:A$1002)-2),5)),0)+IFERROR(INDEX(Income!C$3:C$502,SMALL(IF((Income!D$3:D$502="INR")*(Income!A$3:A$502=DATE(2026,9,3)),ROW(Income!A$3:A$502)-2),5)),0))</f>
        <v/>
      </c>
      <c r="J183" s="38" t="str">
        <f aca="false">IF(IFERROR(INDEX(Expenses!B$3:B$1002,SMALL(IF((Expenses!E$3:E$1002="INR")*(Expenses!A$3:A$1002=DATE(2026,9,3)),ROW(Expenses!A$3:A$1002)-2),5)),"")&lt;&gt;"",IFERROR(INDEX(Expenses!B$3:B$1002,SMALL(IF((Expenses!E$3:E$1002="INR")*(Expenses!A$3:A$1002=DATE(2026,9,3)),ROW(Expenses!A$3:A$1002)-2),5)),""),IF(IFERROR(INDEX(Income!B$3:B$502,SMALL(IF((Income!D$3:D$502="INR")*(Income!A$3:A$502=DATE(2026,9,3)),ROW(Income!A$3:A$502)-2),5)),"")&lt;&gt;"",IFERROR(INDEX(Income!B$3:B$502,SMALL(IF((Income!D$3:D$502="INR")*(Income!A$3:A$502=DATE(2026,9,3)),ROW(Income!A$3:A$502)-2),5)),""),""))</f>
        <v/>
      </c>
      <c r="K183" s="63" t="str">
        <f aca="false">IF(IFERROR(-INDEX(Expenses!D$3:D$1002,SMALL(IF((Expenses!E$3:E$1002="INR")*(Expenses!A$3:A$1002=DATE(2026,9,4)),ROW(Expenses!A$3:A$1002)-2),5)),0)+IFERROR(INDEX(Income!C$3:C$502,SMALL(IF((Income!D$3:D$502="INR")*(Income!A$3:A$502=DATE(2026,9,4)),ROW(Income!A$3:A$502)-2),5)),0)=0,"",IFERROR(-INDEX(Expenses!D$3:D$1002,SMALL(IF((Expenses!E$3:E$1002="INR")*(Expenses!A$3:A$1002=DATE(2026,9,4)),ROW(Expenses!A$3:A$1002)-2),5)),0)+IFERROR(INDEX(Income!C$3:C$502,SMALL(IF((Income!D$3:D$502="INR")*(Income!A$3:A$502=DATE(2026,9,4)),ROW(Income!A$3:A$502)-2),5)),0))</f>
        <v/>
      </c>
      <c r="L183" s="38" t="str">
        <f aca="false">IF(IFERROR(INDEX(Expenses!B$3:B$1002,SMALL(IF((Expenses!E$3:E$1002="INR")*(Expenses!A$3:A$1002=DATE(2026,9,4)),ROW(Expenses!A$3:A$1002)-2),5)),"")&lt;&gt;"",IFERROR(INDEX(Expenses!B$3:B$1002,SMALL(IF((Expenses!E$3:E$1002="INR")*(Expenses!A$3:A$1002=DATE(2026,9,4)),ROW(Expenses!A$3:A$1002)-2),5)),""),IF(IFERROR(INDEX(Income!B$3:B$502,SMALL(IF((Income!D$3:D$502="INR")*(Income!A$3:A$502=DATE(2026,9,4)),ROW(Income!A$3:A$502)-2),5)),"")&lt;&gt;"",IFERROR(INDEX(Income!B$3:B$502,SMALL(IF((Income!D$3:D$502="INR")*(Income!A$3:A$502=DATE(2026,9,4)),ROW(Income!A$3:A$502)-2),5)),""),""))</f>
        <v/>
      </c>
      <c r="M183" s="63" t="str">
        <f aca="false">IF(IFERROR(-INDEX(Expenses!D$3:D$1002,SMALL(IF((Expenses!E$3:E$1002="INR")*(Expenses!A$3:A$1002=DATE(2026,9,5)),ROW(Expenses!A$3:A$1002)-2),5)),0)+IFERROR(INDEX(Income!C$3:C$502,SMALL(IF((Income!D$3:D$502="INR")*(Income!A$3:A$502=DATE(2026,9,5)),ROW(Income!A$3:A$502)-2),5)),0)=0,"",IFERROR(-INDEX(Expenses!D$3:D$1002,SMALL(IF((Expenses!E$3:E$1002="INR")*(Expenses!A$3:A$1002=DATE(2026,9,5)),ROW(Expenses!A$3:A$1002)-2),5)),0)+IFERROR(INDEX(Income!C$3:C$502,SMALL(IF((Income!D$3:D$502="INR")*(Income!A$3:A$502=DATE(2026,9,5)),ROW(Income!A$3:A$502)-2),5)),0))</f>
        <v/>
      </c>
      <c r="N183" s="38" t="str">
        <f aca="false">IF(IFERROR(INDEX(Expenses!B$3:B$1002,SMALL(IF((Expenses!E$3:E$1002="INR")*(Expenses!A$3:A$1002=DATE(2026,9,5)),ROW(Expenses!A$3:A$1002)-2),5)),"")&lt;&gt;"",IFERROR(INDEX(Expenses!B$3:B$1002,SMALL(IF((Expenses!E$3:E$1002="INR")*(Expenses!A$3:A$1002=DATE(2026,9,5)),ROW(Expenses!A$3:A$1002)-2),5)),""),IF(IFERROR(INDEX(Income!B$3:B$502,SMALL(IF((Income!D$3:D$502="INR")*(Income!A$3:A$502=DATE(2026,9,5)),ROW(Income!A$3:A$502)-2),5)),"")&lt;&gt;"",IFERROR(INDEX(Income!B$3:B$502,SMALL(IF((Income!D$3:D$502="INR")*(Income!A$3:A$502=DATE(2026,9,5)),ROW(Income!A$3:A$502)-2),5)),""),""))</f>
        <v/>
      </c>
      <c r="O183" s="63" t="str">
        <f aca="false">IF(IFERROR(-INDEX(Expenses!D$3:D$1002,SMALL(IF((Expenses!E$3:E$1002="INR")*(Expenses!A$3:A$1002=DATE(2026,9,6)),ROW(Expenses!A$3:A$1002)-2),5)),0)+IFERROR(INDEX(Income!C$3:C$502,SMALL(IF((Income!D$3:D$502="INR")*(Income!A$3:A$502=DATE(2026,9,6)),ROW(Income!A$3:A$502)-2),5)),0)=0,"",IFERROR(-INDEX(Expenses!D$3:D$1002,SMALL(IF((Expenses!E$3:E$1002="INR")*(Expenses!A$3:A$1002=DATE(2026,9,6)),ROW(Expenses!A$3:A$1002)-2),5)),0)+IFERROR(INDEX(Income!C$3:C$502,SMALL(IF((Income!D$3:D$502="INR")*(Income!A$3:A$502=DATE(2026,9,6)),ROW(Income!A$3:A$502)-2),5)),0))</f>
        <v/>
      </c>
      <c r="P183" s="38" t="str">
        <f aca="false">IF(IFERROR(INDEX(Expenses!B$3:B$1002,SMALL(IF((Expenses!E$3:E$1002="INR")*(Expenses!A$3:A$1002=DATE(2026,9,6)),ROW(Expenses!A$3:A$1002)-2),5)),"")&lt;&gt;"",IFERROR(INDEX(Expenses!B$3:B$1002,SMALL(IF((Expenses!E$3:E$1002="INR")*(Expenses!A$3:A$1002=DATE(2026,9,6)),ROW(Expenses!A$3:A$1002)-2),5)),""),IF(IFERROR(INDEX(Income!B$3:B$502,SMALL(IF((Income!D$3:D$502="INR")*(Income!A$3:A$502=DATE(2026,9,6)),ROW(Income!A$3:A$502)-2),5)),"")&lt;&gt;"",IFERROR(INDEX(Income!B$3:B$502,SMALL(IF((Income!D$3:D$502="INR")*(Income!A$3:A$502=DATE(2026,9,6)),ROW(Income!A$3:A$502)-2),5)),""),""))</f>
        <v/>
      </c>
      <c r="Q183" s="16"/>
      <c r="R183" s="16"/>
    </row>
    <row r="184" customFormat="false" ht="15" hidden="false" customHeight="false" outlineLevel="0" collapsed="false">
      <c r="A184" s="61" t="n">
        <v>46272</v>
      </c>
      <c r="B184" s="3" t="n">
        <v>37</v>
      </c>
      <c r="C184" s="63" t="str">
        <f aca="false">IF(IFERROR(-INDEX(Expenses!D$3:D$1002,SMALL(IF((Expenses!E$3:E$1002="INR")*(Expenses!A$3:A$1002=DATE(2026,9,7)),ROW(Expenses!A$3:A$1002)-2),1)),0)+IFERROR(INDEX(Income!C$3:C$502,SMALL(IF((Income!D$3:D$502="INR")*(Income!A$3:A$502=DATE(2026,9,7)),ROW(Income!A$3:A$502)-2),1)),0)=0,"",IFERROR(-INDEX(Expenses!D$3:D$1002,SMALL(IF((Expenses!E$3:E$1002="INR")*(Expenses!A$3:A$1002=DATE(2026,9,7)),ROW(Expenses!A$3:A$1002)-2),1)),0)+IFERROR(INDEX(Income!C$3:C$502,SMALL(IF((Income!D$3:D$502="INR")*(Income!A$3:A$502=DATE(2026,9,7)),ROW(Income!A$3:A$502)-2),1)),0))</f>
        <v/>
      </c>
      <c r="D184" s="38" t="str">
        <f aca="false">IF(IFERROR(INDEX(Expenses!B$3:B$1002,SMALL(IF((Expenses!E$3:E$1002="INR")*(Expenses!A$3:A$1002=DATE(2026,9,7)),ROW(Expenses!A$3:A$1002)-2),1)),"")&lt;&gt;"",IFERROR(INDEX(Expenses!B$3:B$1002,SMALL(IF((Expenses!E$3:E$1002="INR")*(Expenses!A$3:A$1002=DATE(2026,9,7)),ROW(Expenses!A$3:A$1002)-2),1)),""),IF(IFERROR(INDEX(Income!B$3:B$502,SMALL(IF((Income!D$3:D$502="INR")*(Income!A$3:A$502=DATE(2026,9,7)),ROW(Income!A$3:A$502)-2),1)),"")&lt;&gt;"",IFERROR(INDEX(Income!B$3:B$502,SMALL(IF((Income!D$3:D$502="INR")*(Income!A$3:A$502=DATE(2026,9,7)),ROW(Income!A$3:A$502)-2),1)),""),""))</f>
        <v/>
      </c>
      <c r="E184" s="63" t="str">
        <f aca="false">IF(IFERROR(-INDEX(Expenses!D$3:D$1002,SMALL(IF((Expenses!E$3:E$1002="INR")*(Expenses!A$3:A$1002=DATE(2026,9,8)),ROW(Expenses!A$3:A$1002)-2),1)),0)+IFERROR(INDEX(Income!C$3:C$502,SMALL(IF((Income!D$3:D$502="INR")*(Income!A$3:A$502=DATE(2026,9,8)),ROW(Income!A$3:A$502)-2),1)),0)=0,"",IFERROR(-INDEX(Expenses!D$3:D$1002,SMALL(IF((Expenses!E$3:E$1002="INR")*(Expenses!A$3:A$1002=DATE(2026,9,8)),ROW(Expenses!A$3:A$1002)-2),1)),0)+IFERROR(INDEX(Income!C$3:C$502,SMALL(IF((Income!D$3:D$502="INR")*(Income!A$3:A$502=DATE(2026,9,8)),ROW(Income!A$3:A$502)-2),1)),0))</f>
        <v/>
      </c>
      <c r="F184" s="38" t="str">
        <f aca="false">IF(IFERROR(INDEX(Expenses!B$3:B$1002,SMALL(IF((Expenses!E$3:E$1002="INR")*(Expenses!A$3:A$1002=DATE(2026,9,8)),ROW(Expenses!A$3:A$1002)-2),1)),"")&lt;&gt;"",IFERROR(INDEX(Expenses!B$3:B$1002,SMALL(IF((Expenses!E$3:E$1002="INR")*(Expenses!A$3:A$1002=DATE(2026,9,8)),ROW(Expenses!A$3:A$1002)-2),1)),""),IF(IFERROR(INDEX(Income!B$3:B$502,SMALL(IF((Income!D$3:D$502="INR")*(Income!A$3:A$502=DATE(2026,9,8)),ROW(Income!A$3:A$502)-2),1)),"")&lt;&gt;"",IFERROR(INDEX(Income!B$3:B$502,SMALL(IF((Income!D$3:D$502="INR")*(Income!A$3:A$502=DATE(2026,9,8)),ROW(Income!A$3:A$502)-2),1)),""),""))</f>
        <v/>
      </c>
      <c r="G184" s="63" t="str">
        <f aca="false">IF(IFERROR(-INDEX(Expenses!D$3:D$1002,SMALL(IF((Expenses!E$3:E$1002="INR")*(Expenses!A$3:A$1002=DATE(2026,9,9)),ROW(Expenses!A$3:A$1002)-2),1)),0)+IFERROR(INDEX(Income!C$3:C$502,SMALL(IF((Income!D$3:D$502="INR")*(Income!A$3:A$502=DATE(2026,9,9)),ROW(Income!A$3:A$502)-2),1)),0)=0,"",IFERROR(-INDEX(Expenses!D$3:D$1002,SMALL(IF((Expenses!E$3:E$1002="INR")*(Expenses!A$3:A$1002=DATE(2026,9,9)),ROW(Expenses!A$3:A$1002)-2),1)),0)+IFERROR(INDEX(Income!C$3:C$502,SMALL(IF((Income!D$3:D$502="INR")*(Income!A$3:A$502=DATE(2026,9,9)),ROW(Income!A$3:A$502)-2),1)),0))</f>
        <v/>
      </c>
      <c r="H184" s="38" t="str">
        <f aca="false">IF(IFERROR(INDEX(Expenses!B$3:B$1002,SMALL(IF((Expenses!E$3:E$1002="INR")*(Expenses!A$3:A$1002=DATE(2026,9,9)),ROW(Expenses!A$3:A$1002)-2),1)),"")&lt;&gt;"",IFERROR(INDEX(Expenses!B$3:B$1002,SMALL(IF((Expenses!E$3:E$1002="INR")*(Expenses!A$3:A$1002=DATE(2026,9,9)),ROW(Expenses!A$3:A$1002)-2),1)),""),IF(IFERROR(INDEX(Income!B$3:B$502,SMALL(IF((Income!D$3:D$502="INR")*(Income!A$3:A$502=DATE(2026,9,9)),ROW(Income!A$3:A$502)-2),1)),"")&lt;&gt;"",IFERROR(INDEX(Income!B$3:B$502,SMALL(IF((Income!D$3:D$502="INR")*(Income!A$3:A$502=DATE(2026,9,9)),ROW(Income!A$3:A$502)-2),1)),""),""))</f>
        <v/>
      </c>
      <c r="I184" s="63" t="str">
        <f aca="false">IF(IFERROR(-INDEX(Expenses!D$3:D$1002,SMALL(IF((Expenses!E$3:E$1002="INR")*(Expenses!A$3:A$1002=DATE(2026,9,10)),ROW(Expenses!A$3:A$1002)-2),1)),0)+IFERROR(INDEX(Income!C$3:C$502,SMALL(IF((Income!D$3:D$502="INR")*(Income!A$3:A$502=DATE(2026,9,10)),ROW(Income!A$3:A$502)-2),1)),0)=0,"",IFERROR(-INDEX(Expenses!D$3:D$1002,SMALL(IF((Expenses!E$3:E$1002="INR")*(Expenses!A$3:A$1002=DATE(2026,9,10)),ROW(Expenses!A$3:A$1002)-2),1)),0)+IFERROR(INDEX(Income!C$3:C$502,SMALL(IF((Income!D$3:D$502="INR")*(Income!A$3:A$502=DATE(2026,9,10)),ROW(Income!A$3:A$502)-2),1)),0))</f>
        <v/>
      </c>
      <c r="J184" s="38" t="str">
        <f aca="false">IF(IFERROR(INDEX(Expenses!B$3:B$1002,SMALL(IF((Expenses!E$3:E$1002="INR")*(Expenses!A$3:A$1002=DATE(2026,9,10)),ROW(Expenses!A$3:A$1002)-2),1)),"")&lt;&gt;"",IFERROR(INDEX(Expenses!B$3:B$1002,SMALL(IF((Expenses!E$3:E$1002="INR")*(Expenses!A$3:A$1002=DATE(2026,9,10)),ROW(Expenses!A$3:A$1002)-2),1)),""),IF(IFERROR(INDEX(Income!B$3:B$502,SMALL(IF((Income!D$3:D$502="INR")*(Income!A$3:A$502=DATE(2026,9,10)),ROW(Income!A$3:A$502)-2),1)),"")&lt;&gt;"",IFERROR(INDEX(Income!B$3:B$502,SMALL(IF((Income!D$3:D$502="INR")*(Income!A$3:A$502=DATE(2026,9,10)),ROW(Income!A$3:A$502)-2),1)),""),""))</f>
        <v/>
      </c>
      <c r="K184" s="63" t="str">
        <f aca="false">IF(IFERROR(-INDEX(Expenses!D$3:D$1002,SMALL(IF((Expenses!E$3:E$1002="INR")*(Expenses!A$3:A$1002=DATE(2026,9,11)),ROW(Expenses!A$3:A$1002)-2),1)),0)+IFERROR(INDEX(Income!C$3:C$502,SMALL(IF((Income!D$3:D$502="INR")*(Income!A$3:A$502=DATE(2026,9,11)),ROW(Income!A$3:A$502)-2),1)),0)=0,"",IFERROR(-INDEX(Expenses!D$3:D$1002,SMALL(IF((Expenses!E$3:E$1002="INR")*(Expenses!A$3:A$1002=DATE(2026,9,11)),ROW(Expenses!A$3:A$1002)-2),1)),0)+IFERROR(INDEX(Income!C$3:C$502,SMALL(IF((Income!D$3:D$502="INR")*(Income!A$3:A$502=DATE(2026,9,11)),ROW(Income!A$3:A$502)-2),1)),0))</f>
        <v/>
      </c>
      <c r="L184" s="38" t="str">
        <f aca="false">IF(IFERROR(INDEX(Expenses!B$3:B$1002,SMALL(IF((Expenses!E$3:E$1002="INR")*(Expenses!A$3:A$1002=DATE(2026,9,11)),ROW(Expenses!A$3:A$1002)-2),1)),"")&lt;&gt;"",IFERROR(INDEX(Expenses!B$3:B$1002,SMALL(IF((Expenses!E$3:E$1002="INR")*(Expenses!A$3:A$1002=DATE(2026,9,11)),ROW(Expenses!A$3:A$1002)-2),1)),""),IF(IFERROR(INDEX(Income!B$3:B$502,SMALL(IF((Income!D$3:D$502="INR")*(Income!A$3:A$502=DATE(2026,9,11)),ROW(Income!A$3:A$502)-2),1)),"")&lt;&gt;"",IFERROR(INDEX(Income!B$3:B$502,SMALL(IF((Income!D$3:D$502="INR")*(Income!A$3:A$502=DATE(2026,9,11)),ROW(Income!A$3:A$502)-2),1)),""),""))</f>
        <v/>
      </c>
      <c r="M184" s="63" t="str">
        <f aca="false">IF(IFERROR(-INDEX(Expenses!D$3:D$1002,SMALL(IF((Expenses!E$3:E$1002="INR")*(Expenses!A$3:A$1002=DATE(2026,9,12)),ROW(Expenses!A$3:A$1002)-2),1)),0)+IFERROR(INDEX(Income!C$3:C$502,SMALL(IF((Income!D$3:D$502="INR")*(Income!A$3:A$502=DATE(2026,9,12)),ROW(Income!A$3:A$502)-2),1)),0)=0,"",IFERROR(-INDEX(Expenses!D$3:D$1002,SMALL(IF((Expenses!E$3:E$1002="INR")*(Expenses!A$3:A$1002=DATE(2026,9,12)),ROW(Expenses!A$3:A$1002)-2),1)),0)+IFERROR(INDEX(Income!C$3:C$502,SMALL(IF((Income!D$3:D$502="INR")*(Income!A$3:A$502=DATE(2026,9,12)),ROW(Income!A$3:A$502)-2),1)),0))</f>
        <v/>
      </c>
      <c r="N184" s="38" t="str">
        <f aca="false">IF(IFERROR(INDEX(Expenses!B$3:B$1002,SMALL(IF((Expenses!E$3:E$1002="INR")*(Expenses!A$3:A$1002=DATE(2026,9,12)),ROW(Expenses!A$3:A$1002)-2),1)),"")&lt;&gt;"",IFERROR(INDEX(Expenses!B$3:B$1002,SMALL(IF((Expenses!E$3:E$1002="INR")*(Expenses!A$3:A$1002=DATE(2026,9,12)),ROW(Expenses!A$3:A$1002)-2),1)),""),IF(IFERROR(INDEX(Income!B$3:B$502,SMALL(IF((Income!D$3:D$502="INR")*(Income!A$3:A$502=DATE(2026,9,12)),ROW(Income!A$3:A$502)-2),1)),"")&lt;&gt;"",IFERROR(INDEX(Income!B$3:B$502,SMALL(IF((Income!D$3:D$502="INR")*(Income!A$3:A$502=DATE(2026,9,12)),ROW(Income!A$3:A$502)-2),1)),""),""))</f>
        <v/>
      </c>
      <c r="O184" s="63" t="str">
        <f aca="false">IF(IFERROR(-INDEX(Expenses!D$3:D$1002,SMALL(IF((Expenses!E$3:E$1002="INR")*(Expenses!A$3:A$1002=DATE(2026,9,13)),ROW(Expenses!A$3:A$1002)-2),1)),0)+IFERROR(INDEX(Income!C$3:C$502,SMALL(IF((Income!D$3:D$502="INR")*(Income!A$3:A$502=DATE(2026,9,13)),ROW(Income!A$3:A$502)-2),1)),0)=0,"",IFERROR(-INDEX(Expenses!D$3:D$1002,SMALL(IF((Expenses!E$3:E$1002="INR")*(Expenses!A$3:A$1002=DATE(2026,9,13)),ROW(Expenses!A$3:A$1002)-2),1)),0)+IFERROR(INDEX(Income!C$3:C$502,SMALL(IF((Income!D$3:D$502="INR")*(Income!A$3:A$502=DATE(2026,9,13)),ROW(Income!A$3:A$502)-2),1)),0))</f>
        <v/>
      </c>
      <c r="P184" s="38" t="str">
        <f aca="false">IF(IFERROR(INDEX(Expenses!B$3:B$1002,SMALL(IF((Expenses!E$3:E$1002="INR")*(Expenses!A$3:A$1002=DATE(2026,9,13)),ROW(Expenses!A$3:A$1002)-2),1)),"")&lt;&gt;"",IFERROR(INDEX(Expenses!B$3:B$1002,SMALL(IF((Expenses!E$3:E$1002="INR")*(Expenses!A$3:A$1002=DATE(2026,9,13)),ROW(Expenses!A$3:A$1002)-2),1)),""),IF(IFERROR(INDEX(Income!B$3:B$502,SMALL(IF((Income!D$3:D$502="INR")*(Income!A$3:A$502=DATE(2026,9,13)),ROW(Income!A$3:A$502)-2),1)),"")&lt;&gt;"",IFERROR(INDEX(Income!B$3:B$502,SMALL(IF((Income!D$3:D$502="INR")*(Income!A$3:A$502=DATE(2026,9,13)),ROW(Income!A$3:A$502)-2),1)),""),""))</f>
        <v/>
      </c>
      <c r="Q184" s="3" t="n">
        <v>37</v>
      </c>
      <c r="R184" s="53" t="n">
        <f aca="false">SUM(C184:C188)+SUM(E184:E188)+SUM(G184:G188)+SUM(I184:I188)+SUM(K184:K188)+SUM(M184:M188)+SUM(O184:O188)</f>
        <v>0</v>
      </c>
    </row>
    <row r="185" customFormat="false" ht="15" hidden="false" customHeight="false" outlineLevel="0" collapsed="false">
      <c r="A185" s="16"/>
      <c r="B185" s="16"/>
      <c r="C185" s="63" t="str">
        <f aca="false">IF(IFERROR(-INDEX(Expenses!D$3:D$1002,SMALL(IF((Expenses!E$3:E$1002="INR")*(Expenses!A$3:A$1002=DATE(2026,9,7)),ROW(Expenses!A$3:A$1002)-2),2)),0)+IFERROR(INDEX(Income!C$3:C$502,SMALL(IF((Income!D$3:D$502="INR")*(Income!A$3:A$502=DATE(2026,9,7)),ROW(Income!A$3:A$502)-2),2)),0)=0,"",IFERROR(-INDEX(Expenses!D$3:D$1002,SMALL(IF((Expenses!E$3:E$1002="INR")*(Expenses!A$3:A$1002=DATE(2026,9,7)),ROW(Expenses!A$3:A$1002)-2),2)),0)+IFERROR(INDEX(Income!C$3:C$502,SMALL(IF((Income!D$3:D$502="INR")*(Income!A$3:A$502=DATE(2026,9,7)),ROW(Income!A$3:A$502)-2),2)),0))</f>
        <v/>
      </c>
      <c r="D185" s="38" t="str">
        <f aca="false">IF(IFERROR(INDEX(Expenses!B$3:B$1002,SMALL(IF((Expenses!E$3:E$1002="INR")*(Expenses!A$3:A$1002=DATE(2026,9,7)),ROW(Expenses!A$3:A$1002)-2),2)),"")&lt;&gt;"",IFERROR(INDEX(Expenses!B$3:B$1002,SMALL(IF((Expenses!E$3:E$1002="INR")*(Expenses!A$3:A$1002=DATE(2026,9,7)),ROW(Expenses!A$3:A$1002)-2),2)),""),IF(IFERROR(INDEX(Income!B$3:B$502,SMALL(IF((Income!D$3:D$502="INR")*(Income!A$3:A$502=DATE(2026,9,7)),ROW(Income!A$3:A$502)-2),2)),"")&lt;&gt;"",IFERROR(INDEX(Income!B$3:B$502,SMALL(IF((Income!D$3:D$502="INR")*(Income!A$3:A$502=DATE(2026,9,7)),ROW(Income!A$3:A$502)-2),2)),""),""))</f>
        <v/>
      </c>
      <c r="E185" s="63" t="str">
        <f aca="false">IF(IFERROR(-INDEX(Expenses!D$3:D$1002,SMALL(IF((Expenses!E$3:E$1002="INR")*(Expenses!A$3:A$1002=DATE(2026,9,8)),ROW(Expenses!A$3:A$1002)-2),2)),0)+IFERROR(INDEX(Income!C$3:C$502,SMALL(IF((Income!D$3:D$502="INR")*(Income!A$3:A$502=DATE(2026,9,8)),ROW(Income!A$3:A$502)-2),2)),0)=0,"",IFERROR(-INDEX(Expenses!D$3:D$1002,SMALL(IF((Expenses!E$3:E$1002="INR")*(Expenses!A$3:A$1002=DATE(2026,9,8)),ROW(Expenses!A$3:A$1002)-2),2)),0)+IFERROR(INDEX(Income!C$3:C$502,SMALL(IF((Income!D$3:D$502="INR")*(Income!A$3:A$502=DATE(2026,9,8)),ROW(Income!A$3:A$502)-2),2)),0))</f>
        <v/>
      </c>
      <c r="F185" s="38" t="str">
        <f aca="false">IF(IFERROR(INDEX(Expenses!B$3:B$1002,SMALL(IF((Expenses!E$3:E$1002="INR")*(Expenses!A$3:A$1002=DATE(2026,9,8)),ROW(Expenses!A$3:A$1002)-2),2)),"")&lt;&gt;"",IFERROR(INDEX(Expenses!B$3:B$1002,SMALL(IF((Expenses!E$3:E$1002="INR")*(Expenses!A$3:A$1002=DATE(2026,9,8)),ROW(Expenses!A$3:A$1002)-2),2)),""),IF(IFERROR(INDEX(Income!B$3:B$502,SMALL(IF((Income!D$3:D$502="INR")*(Income!A$3:A$502=DATE(2026,9,8)),ROW(Income!A$3:A$502)-2),2)),"")&lt;&gt;"",IFERROR(INDEX(Income!B$3:B$502,SMALL(IF((Income!D$3:D$502="INR")*(Income!A$3:A$502=DATE(2026,9,8)),ROW(Income!A$3:A$502)-2),2)),""),""))</f>
        <v/>
      </c>
      <c r="G185" s="63" t="str">
        <f aca="false">IF(IFERROR(-INDEX(Expenses!D$3:D$1002,SMALL(IF((Expenses!E$3:E$1002="INR")*(Expenses!A$3:A$1002=DATE(2026,9,9)),ROW(Expenses!A$3:A$1002)-2),2)),0)+IFERROR(INDEX(Income!C$3:C$502,SMALL(IF((Income!D$3:D$502="INR")*(Income!A$3:A$502=DATE(2026,9,9)),ROW(Income!A$3:A$502)-2),2)),0)=0,"",IFERROR(-INDEX(Expenses!D$3:D$1002,SMALL(IF((Expenses!E$3:E$1002="INR")*(Expenses!A$3:A$1002=DATE(2026,9,9)),ROW(Expenses!A$3:A$1002)-2),2)),0)+IFERROR(INDEX(Income!C$3:C$502,SMALL(IF((Income!D$3:D$502="INR")*(Income!A$3:A$502=DATE(2026,9,9)),ROW(Income!A$3:A$502)-2),2)),0))</f>
        <v/>
      </c>
      <c r="H185" s="38" t="str">
        <f aca="false">IF(IFERROR(INDEX(Expenses!B$3:B$1002,SMALL(IF((Expenses!E$3:E$1002="INR")*(Expenses!A$3:A$1002=DATE(2026,9,9)),ROW(Expenses!A$3:A$1002)-2),2)),"")&lt;&gt;"",IFERROR(INDEX(Expenses!B$3:B$1002,SMALL(IF((Expenses!E$3:E$1002="INR")*(Expenses!A$3:A$1002=DATE(2026,9,9)),ROW(Expenses!A$3:A$1002)-2),2)),""),IF(IFERROR(INDEX(Income!B$3:B$502,SMALL(IF((Income!D$3:D$502="INR")*(Income!A$3:A$502=DATE(2026,9,9)),ROW(Income!A$3:A$502)-2),2)),"")&lt;&gt;"",IFERROR(INDEX(Income!B$3:B$502,SMALL(IF((Income!D$3:D$502="INR")*(Income!A$3:A$502=DATE(2026,9,9)),ROW(Income!A$3:A$502)-2),2)),""),""))</f>
        <v/>
      </c>
      <c r="I185" s="63" t="str">
        <f aca="false">IF(IFERROR(-INDEX(Expenses!D$3:D$1002,SMALL(IF((Expenses!E$3:E$1002="INR")*(Expenses!A$3:A$1002=DATE(2026,9,10)),ROW(Expenses!A$3:A$1002)-2),2)),0)+IFERROR(INDEX(Income!C$3:C$502,SMALL(IF((Income!D$3:D$502="INR")*(Income!A$3:A$502=DATE(2026,9,10)),ROW(Income!A$3:A$502)-2),2)),0)=0,"",IFERROR(-INDEX(Expenses!D$3:D$1002,SMALL(IF((Expenses!E$3:E$1002="INR")*(Expenses!A$3:A$1002=DATE(2026,9,10)),ROW(Expenses!A$3:A$1002)-2),2)),0)+IFERROR(INDEX(Income!C$3:C$502,SMALL(IF((Income!D$3:D$502="INR")*(Income!A$3:A$502=DATE(2026,9,10)),ROW(Income!A$3:A$502)-2),2)),0))</f>
        <v/>
      </c>
      <c r="J185" s="38" t="str">
        <f aca="false">IF(IFERROR(INDEX(Expenses!B$3:B$1002,SMALL(IF((Expenses!E$3:E$1002="INR")*(Expenses!A$3:A$1002=DATE(2026,9,10)),ROW(Expenses!A$3:A$1002)-2),2)),"")&lt;&gt;"",IFERROR(INDEX(Expenses!B$3:B$1002,SMALL(IF((Expenses!E$3:E$1002="INR")*(Expenses!A$3:A$1002=DATE(2026,9,10)),ROW(Expenses!A$3:A$1002)-2),2)),""),IF(IFERROR(INDEX(Income!B$3:B$502,SMALL(IF((Income!D$3:D$502="INR")*(Income!A$3:A$502=DATE(2026,9,10)),ROW(Income!A$3:A$502)-2),2)),"")&lt;&gt;"",IFERROR(INDEX(Income!B$3:B$502,SMALL(IF((Income!D$3:D$502="INR")*(Income!A$3:A$502=DATE(2026,9,10)),ROW(Income!A$3:A$502)-2),2)),""),""))</f>
        <v/>
      </c>
      <c r="K185" s="63" t="str">
        <f aca="false">IF(IFERROR(-INDEX(Expenses!D$3:D$1002,SMALL(IF((Expenses!E$3:E$1002="INR")*(Expenses!A$3:A$1002=DATE(2026,9,11)),ROW(Expenses!A$3:A$1002)-2),2)),0)+IFERROR(INDEX(Income!C$3:C$502,SMALL(IF((Income!D$3:D$502="INR")*(Income!A$3:A$502=DATE(2026,9,11)),ROW(Income!A$3:A$502)-2),2)),0)=0,"",IFERROR(-INDEX(Expenses!D$3:D$1002,SMALL(IF((Expenses!E$3:E$1002="INR")*(Expenses!A$3:A$1002=DATE(2026,9,11)),ROW(Expenses!A$3:A$1002)-2),2)),0)+IFERROR(INDEX(Income!C$3:C$502,SMALL(IF((Income!D$3:D$502="INR")*(Income!A$3:A$502=DATE(2026,9,11)),ROW(Income!A$3:A$502)-2),2)),0))</f>
        <v/>
      </c>
      <c r="L185" s="38" t="str">
        <f aca="false">IF(IFERROR(INDEX(Expenses!B$3:B$1002,SMALL(IF((Expenses!E$3:E$1002="INR")*(Expenses!A$3:A$1002=DATE(2026,9,11)),ROW(Expenses!A$3:A$1002)-2),2)),"")&lt;&gt;"",IFERROR(INDEX(Expenses!B$3:B$1002,SMALL(IF((Expenses!E$3:E$1002="INR")*(Expenses!A$3:A$1002=DATE(2026,9,11)),ROW(Expenses!A$3:A$1002)-2),2)),""),IF(IFERROR(INDEX(Income!B$3:B$502,SMALL(IF((Income!D$3:D$502="INR")*(Income!A$3:A$502=DATE(2026,9,11)),ROW(Income!A$3:A$502)-2),2)),"")&lt;&gt;"",IFERROR(INDEX(Income!B$3:B$502,SMALL(IF((Income!D$3:D$502="INR")*(Income!A$3:A$502=DATE(2026,9,11)),ROW(Income!A$3:A$502)-2),2)),""),""))</f>
        <v/>
      </c>
      <c r="M185" s="63" t="str">
        <f aca="false">IF(IFERROR(-INDEX(Expenses!D$3:D$1002,SMALL(IF((Expenses!E$3:E$1002="INR")*(Expenses!A$3:A$1002=DATE(2026,9,12)),ROW(Expenses!A$3:A$1002)-2),2)),0)+IFERROR(INDEX(Income!C$3:C$502,SMALL(IF((Income!D$3:D$502="INR")*(Income!A$3:A$502=DATE(2026,9,12)),ROW(Income!A$3:A$502)-2),2)),0)=0,"",IFERROR(-INDEX(Expenses!D$3:D$1002,SMALL(IF((Expenses!E$3:E$1002="INR")*(Expenses!A$3:A$1002=DATE(2026,9,12)),ROW(Expenses!A$3:A$1002)-2),2)),0)+IFERROR(INDEX(Income!C$3:C$502,SMALL(IF((Income!D$3:D$502="INR")*(Income!A$3:A$502=DATE(2026,9,12)),ROW(Income!A$3:A$502)-2),2)),0))</f>
        <v/>
      </c>
      <c r="N185" s="38" t="str">
        <f aca="false">IF(IFERROR(INDEX(Expenses!B$3:B$1002,SMALL(IF((Expenses!E$3:E$1002="INR")*(Expenses!A$3:A$1002=DATE(2026,9,12)),ROW(Expenses!A$3:A$1002)-2),2)),"")&lt;&gt;"",IFERROR(INDEX(Expenses!B$3:B$1002,SMALL(IF((Expenses!E$3:E$1002="INR")*(Expenses!A$3:A$1002=DATE(2026,9,12)),ROW(Expenses!A$3:A$1002)-2),2)),""),IF(IFERROR(INDEX(Income!B$3:B$502,SMALL(IF((Income!D$3:D$502="INR")*(Income!A$3:A$502=DATE(2026,9,12)),ROW(Income!A$3:A$502)-2),2)),"")&lt;&gt;"",IFERROR(INDEX(Income!B$3:B$502,SMALL(IF((Income!D$3:D$502="INR")*(Income!A$3:A$502=DATE(2026,9,12)),ROW(Income!A$3:A$502)-2),2)),""),""))</f>
        <v/>
      </c>
      <c r="O185" s="63" t="str">
        <f aca="false">IF(IFERROR(-INDEX(Expenses!D$3:D$1002,SMALL(IF((Expenses!E$3:E$1002="INR")*(Expenses!A$3:A$1002=DATE(2026,9,13)),ROW(Expenses!A$3:A$1002)-2),2)),0)+IFERROR(INDEX(Income!C$3:C$502,SMALL(IF((Income!D$3:D$502="INR")*(Income!A$3:A$502=DATE(2026,9,13)),ROW(Income!A$3:A$502)-2),2)),0)=0,"",IFERROR(-INDEX(Expenses!D$3:D$1002,SMALL(IF((Expenses!E$3:E$1002="INR")*(Expenses!A$3:A$1002=DATE(2026,9,13)),ROW(Expenses!A$3:A$1002)-2),2)),0)+IFERROR(INDEX(Income!C$3:C$502,SMALL(IF((Income!D$3:D$502="INR")*(Income!A$3:A$502=DATE(2026,9,13)),ROW(Income!A$3:A$502)-2),2)),0))</f>
        <v/>
      </c>
      <c r="P185" s="38" t="str">
        <f aca="false">IF(IFERROR(INDEX(Expenses!B$3:B$1002,SMALL(IF((Expenses!E$3:E$1002="INR")*(Expenses!A$3:A$1002=DATE(2026,9,13)),ROW(Expenses!A$3:A$1002)-2),2)),"")&lt;&gt;"",IFERROR(INDEX(Expenses!B$3:B$1002,SMALL(IF((Expenses!E$3:E$1002="INR")*(Expenses!A$3:A$1002=DATE(2026,9,13)),ROW(Expenses!A$3:A$1002)-2),2)),""),IF(IFERROR(INDEX(Income!B$3:B$502,SMALL(IF((Income!D$3:D$502="INR")*(Income!A$3:A$502=DATE(2026,9,13)),ROW(Income!A$3:A$502)-2),2)),"")&lt;&gt;"",IFERROR(INDEX(Income!B$3:B$502,SMALL(IF((Income!D$3:D$502="INR")*(Income!A$3:A$502=DATE(2026,9,13)),ROW(Income!A$3:A$502)-2),2)),""),""))</f>
        <v/>
      </c>
      <c r="Q185" s="16"/>
      <c r="R185" s="16"/>
    </row>
    <row r="186" customFormat="false" ht="15" hidden="false" customHeight="false" outlineLevel="0" collapsed="false">
      <c r="A186" s="16"/>
      <c r="B186" s="16"/>
      <c r="C186" s="63" t="str">
        <f aca="false">IF(IFERROR(-INDEX(Expenses!D$3:D$1002,SMALL(IF((Expenses!E$3:E$1002="INR")*(Expenses!A$3:A$1002=DATE(2026,9,7)),ROW(Expenses!A$3:A$1002)-2),3)),0)+IFERROR(INDEX(Income!C$3:C$502,SMALL(IF((Income!D$3:D$502="INR")*(Income!A$3:A$502=DATE(2026,9,7)),ROW(Income!A$3:A$502)-2),3)),0)=0,"",IFERROR(-INDEX(Expenses!D$3:D$1002,SMALL(IF((Expenses!E$3:E$1002="INR")*(Expenses!A$3:A$1002=DATE(2026,9,7)),ROW(Expenses!A$3:A$1002)-2),3)),0)+IFERROR(INDEX(Income!C$3:C$502,SMALL(IF((Income!D$3:D$502="INR")*(Income!A$3:A$502=DATE(2026,9,7)),ROW(Income!A$3:A$502)-2),3)),0))</f>
        <v/>
      </c>
      <c r="D186" s="38" t="str">
        <f aca="false">IF(IFERROR(INDEX(Expenses!B$3:B$1002,SMALL(IF((Expenses!E$3:E$1002="INR")*(Expenses!A$3:A$1002=DATE(2026,9,7)),ROW(Expenses!A$3:A$1002)-2),3)),"")&lt;&gt;"",IFERROR(INDEX(Expenses!B$3:B$1002,SMALL(IF((Expenses!E$3:E$1002="INR")*(Expenses!A$3:A$1002=DATE(2026,9,7)),ROW(Expenses!A$3:A$1002)-2),3)),""),IF(IFERROR(INDEX(Income!B$3:B$502,SMALL(IF((Income!D$3:D$502="INR")*(Income!A$3:A$502=DATE(2026,9,7)),ROW(Income!A$3:A$502)-2),3)),"")&lt;&gt;"",IFERROR(INDEX(Income!B$3:B$502,SMALL(IF((Income!D$3:D$502="INR")*(Income!A$3:A$502=DATE(2026,9,7)),ROW(Income!A$3:A$502)-2),3)),""),""))</f>
        <v/>
      </c>
      <c r="E186" s="63" t="str">
        <f aca="false">IF(IFERROR(-INDEX(Expenses!D$3:D$1002,SMALL(IF((Expenses!E$3:E$1002="INR")*(Expenses!A$3:A$1002=DATE(2026,9,8)),ROW(Expenses!A$3:A$1002)-2),3)),0)+IFERROR(INDEX(Income!C$3:C$502,SMALL(IF((Income!D$3:D$502="INR")*(Income!A$3:A$502=DATE(2026,9,8)),ROW(Income!A$3:A$502)-2),3)),0)=0,"",IFERROR(-INDEX(Expenses!D$3:D$1002,SMALL(IF((Expenses!E$3:E$1002="INR")*(Expenses!A$3:A$1002=DATE(2026,9,8)),ROW(Expenses!A$3:A$1002)-2),3)),0)+IFERROR(INDEX(Income!C$3:C$502,SMALL(IF((Income!D$3:D$502="INR")*(Income!A$3:A$502=DATE(2026,9,8)),ROW(Income!A$3:A$502)-2),3)),0))</f>
        <v/>
      </c>
      <c r="F186" s="38" t="str">
        <f aca="false">IF(IFERROR(INDEX(Expenses!B$3:B$1002,SMALL(IF((Expenses!E$3:E$1002="INR")*(Expenses!A$3:A$1002=DATE(2026,9,8)),ROW(Expenses!A$3:A$1002)-2),3)),"")&lt;&gt;"",IFERROR(INDEX(Expenses!B$3:B$1002,SMALL(IF((Expenses!E$3:E$1002="INR")*(Expenses!A$3:A$1002=DATE(2026,9,8)),ROW(Expenses!A$3:A$1002)-2),3)),""),IF(IFERROR(INDEX(Income!B$3:B$502,SMALL(IF((Income!D$3:D$502="INR")*(Income!A$3:A$502=DATE(2026,9,8)),ROW(Income!A$3:A$502)-2),3)),"")&lt;&gt;"",IFERROR(INDEX(Income!B$3:B$502,SMALL(IF((Income!D$3:D$502="INR")*(Income!A$3:A$502=DATE(2026,9,8)),ROW(Income!A$3:A$502)-2),3)),""),""))</f>
        <v/>
      </c>
      <c r="G186" s="63" t="str">
        <f aca="false">IF(IFERROR(-INDEX(Expenses!D$3:D$1002,SMALL(IF((Expenses!E$3:E$1002="INR")*(Expenses!A$3:A$1002=DATE(2026,9,9)),ROW(Expenses!A$3:A$1002)-2),3)),0)+IFERROR(INDEX(Income!C$3:C$502,SMALL(IF((Income!D$3:D$502="INR")*(Income!A$3:A$502=DATE(2026,9,9)),ROW(Income!A$3:A$502)-2),3)),0)=0,"",IFERROR(-INDEX(Expenses!D$3:D$1002,SMALL(IF((Expenses!E$3:E$1002="INR")*(Expenses!A$3:A$1002=DATE(2026,9,9)),ROW(Expenses!A$3:A$1002)-2),3)),0)+IFERROR(INDEX(Income!C$3:C$502,SMALL(IF((Income!D$3:D$502="INR")*(Income!A$3:A$502=DATE(2026,9,9)),ROW(Income!A$3:A$502)-2),3)),0))</f>
        <v/>
      </c>
      <c r="H186" s="38" t="str">
        <f aca="false">IF(IFERROR(INDEX(Expenses!B$3:B$1002,SMALL(IF((Expenses!E$3:E$1002="INR")*(Expenses!A$3:A$1002=DATE(2026,9,9)),ROW(Expenses!A$3:A$1002)-2),3)),"")&lt;&gt;"",IFERROR(INDEX(Expenses!B$3:B$1002,SMALL(IF((Expenses!E$3:E$1002="INR")*(Expenses!A$3:A$1002=DATE(2026,9,9)),ROW(Expenses!A$3:A$1002)-2),3)),""),IF(IFERROR(INDEX(Income!B$3:B$502,SMALL(IF((Income!D$3:D$502="INR")*(Income!A$3:A$502=DATE(2026,9,9)),ROW(Income!A$3:A$502)-2),3)),"")&lt;&gt;"",IFERROR(INDEX(Income!B$3:B$502,SMALL(IF((Income!D$3:D$502="INR")*(Income!A$3:A$502=DATE(2026,9,9)),ROW(Income!A$3:A$502)-2),3)),""),""))</f>
        <v/>
      </c>
      <c r="I186" s="63" t="str">
        <f aca="false">IF(IFERROR(-INDEX(Expenses!D$3:D$1002,SMALL(IF((Expenses!E$3:E$1002="INR")*(Expenses!A$3:A$1002=DATE(2026,9,10)),ROW(Expenses!A$3:A$1002)-2),3)),0)+IFERROR(INDEX(Income!C$3:C$502,SMALL(IF((Income!D$3:D$502="INR")*(Income!A$3:A$502=DATE(2026,9,10)),ROW(Income!A$3:A$502)-2),3)),0)=0,"",IFERROR(-INDEX(Expenses!D$3:D$1002,SMALL(IF((Expenses!E$3:E$1002="INR")*(Expenses!A$3:A$1002=DATE(2026,9,10)),ROW(Expenses!A$3:A$1002)-2),3)),0)+IFERROR(INDEX(Income!C$3:C$502,SMALL(IF((Income!D$3:D$502="INR")*(Income!A$3:A$502=DATE(2026,9,10)),ROW(Income!A$3:A$502)-2),3)),0))</f>
        <v/>
      </c>
      <c r="J186" s="38" t="str">
        <f aca="false">IF(IFERROR(INDEX(Expenses!B$3:B$1002,SMALL(IF((Expenses!E$3:E$1002="INR")*(Expenses!A$3:A$1002=DATE(2026,9,10)),ROW(Expenses!A$3:A$1002)-2),3)),"")&lt;&gt;"",IFERROR(INDEX(Expenses!B$3:B$1002,SMALL(IF((Expenses!E$3:E$1002="INR")*(Expenses!A$3:A$1002=DATE(2026,9,10)),ROW(Expenses!A$3:A$1002)-2),3)),""),IF(IFERROR(INDEX(Income!B$3:B$502,SMALL(IF((Income!D$3:D$502="INR")*(Income!A$3:A$502=DATE(2026,9,10)),ROW(Income!A$3:A$502)-2),3)),"")&lt;&gt;"",IFERROR(INDEX(Income!B$3:B$502,SMALL(IF((Income!D$3:D$502="INR")*(Income!A$3:A$502=DATE(2026,9,10)),ROW(Income!A$3:A$502)-2),3)),""),""))</f>
        <v/>
      </c>
      <c r="K186" s="63" t="str">
        <f aca="false">IF(IFERROR(-INDEX(Expenses!D$3:D$1002,SMALL(IF((Expenses!E$3:E$1002="INR")*(Expenses!A$3:A$1002=DATE(2026,9,11)),ROW(Expenses!A$3:A$1002)-2),3)),0)+IFERROR(INDEX(Income!C$3:C$502,SMALL(IF((Income!D$3:D$502="INR")*(Income!A$3:A$502=DATE(2026,9,11)),ROW(Income!A$3:A$502)-2),3)),0)=0,"",IFERROR(-INDEX(Expenses!D$3:D$1002,SMALL(IF((Expenses!E$3:E$1002="INR")*(Expenses!A$3:A$1002=DATE(2026,9,11)),ROW(Expenses!A$3:A$1002)-2),3)),0)+IFERROR(INDEX(Income!C$3:C$502,SMALL(IF((Income!D$3:D$502="INR")*(Income!A$3:A$502=DATE(2026,9,11)),ROW(Income!A$3:A$502)-2),3)),0))</f>
        <v/>
      </c>
      <c r="L186" s="38" t="str">
        <f aca="false">IF(IFERROR(INDEX(Expenses!B$3:B$1002,SMALL(IF((Expenses!E$3:E$1002="INR")*(Expenses!A$3:A$1002=DATE(2026,9,11)),ROW(Expenses!A$3:A$1002)-2),3)),"")&lt;&gt;"",IFERROR(INDEX(Expenses!B$3:B$1002,SMALL(IF((Expenses!E$3:E$1002="INR")*(Expenses!A$3:A$1002=DATE(2026,9,11)),ROW(Expenses!A$3:A$1002)-2),3)),""),IF(IFERROR(INDEX(Income!B$3:B$502,SMALL(IF((Income!D$3:D$502="INR")*(Income!A$3:A$502=DATE(2026,9,11)),ROW(Income!A$3:A$502)-2),3)),"")&lt;&gt;"",IFERROR(INDEX(Income!B$3:B$502,SMALL(IF((Income!D$3:D$502="INR")*(Income!A$3:A$502=DATE(2026,9,11)),ROW(Income!A$3:A$502)-2),3)),""),""))</f>
        <v/>
      </c>
      <c r="M186" s="63" t="str">
        <f aca="false">IF(IFERROR(-INDEX(Expenses!D$3:D$1002,SMALL(IF((Expenses!E$3:E$1002="INR")*(Expenses!A$3:A$1002=DATE(2026,9,12)),ROW(Expenses!A$3:A$1002)-2),3)),0)+IFERROR(INDEX(Income!C$3:C$502,SMALL(IF((Income!D$3:D$502="INR")*(Income!A$3:A$502=DATE(2026,9,12)),ROW(Income!A$3:A$502)-2),3)),0)=0,"",IFERROR(-INDEX(Expenses!D$3:D$1002,SMALL(IF((Expenses!E$3:E$1002="INR")*(Expenses!A$3:A$1002=DATE(2026,9,12)),ROW(Expenses!A$3:A$1002)-2),3)),0)+IFERROR(INDEX(Income!C$3:C$502,SMALL(IF((Income!D$3:D$502="INR")*(Income!A$3:A$502=DATE(2026,9,12)),ROW(Income!A$3:A$502)-2),3)),0))</f>
        <v/>
      </c>
      <c r="N186" s="38" t="str">
        <f aca="false">IF(IFERROR(INDEX(Expenses!B$3:B$1002,SMALL(IF((Expenses!E$3:E$1002="INR")*(Expenses!A$3:A$1002=DATE(2026,9,12)),ROW(Expenses!A$3:A$1002)-2),3)),"")&lt;&gt;"",IFERROR(INDEX(Expenses!B$3:B$1002,SMALL(IF((Expenses!E$3:E$1002="INR")*(Expenses!A$3:A$1002=DATE(2026,9,12)),ROW(Expenses!A$3:A$1002)-2),3)),""),IF(IFERROR(INDEX(Income!B$3:B$502,SMALL(IF((Income!D$3:D$502="INR")*(Income!A$3:A$502=DATE(2026,9,12)),ROW(Income!A$3:A$502)-2),3)),"")&lt;&gt;"",IFERROR(INDEX(Income!B$3:B$502,SMALL(IF((Income!D$3:D$502="INR")*(Income!A$3:A$502=DATE(2026,9,12)),ROW(Income!A$3:A$502)-2),3)),""),""))</f>
        <v/>
      </c>
      <c r="O186" s="63" t="str">
        <f aca="false">IF(IFERROR(-INDEX(Expenses!D$3:D$1002,SMALL(IF((Expenses!E$3:E$1002="INR")*(Expenses!A$3:A$1002=DATE(2026,9,13)),ROW(Expenses!A$3:A$1002)-2),3)),0)+IFERROR(INDEX(Income!C$3:C$502,SMALL(IF((Income!D$3:D$502="INR")*(Income!A$3:A$502=DATE(2026,9,13)),ROW(Income!A$3:A$502)-2),3)),0)=0,"",IFERROR(-INDEX(Expenses!D$3:D$1002,SMALL(IF((Expenses!E$3:E$1002="INR")*(Expenses!A$3:A$1002=DATE(2026,9,13)),ROW(Expenses!A$3:A$1002)-2),3)),0)+IFERROR(INDEX(Income!C$3:C$502,SMALL(IF((Income!D$3:D$502="INR")*(Income!A$3:A$502=DATE(2026,9,13)),ROW(Income!A$3:A$502)-2),3)),0))</f>
        <v/>
      </c>
      <c r="P186" s="38" t="str">
        <f aca="false">IF(IFERROR(INDEX(Expenses!B$3:B$1002,SMALL(IF((Expenses!E$3:E$1002="INR")*(Expenses!A$3:A$1002=DATE(2026,9,13)),ROW(Expenses!A$3:A$1002)-2),3)),"")&lt;&gt;"",IFERROR(INDEX(Expenses!B$3:B$1002,SMALL(IF((Expenses!E$3:E$1002="INR")*(Expenses!A$3:A$1002=DATE(2026,9,13)),ROW(Expenses!A$3:A$1002)-2),3)),""),IF(IFERROR(INDEX(Income!B$3:B$502,SMALL(IF((Income!D$3:D$502="INR")*(Income!A$3:A$502=DATE(2026,9,13)),ROW(Income!A$3:A$502)-2),3)),"")&lt;&gt;"",IFERROR(INDEX(Income!B$3:B$502,SMALL(IF((Income!D$3:D$502="INR")*(Income!A$3:A$502=DATE(2026,9,13)),ROW(Income!A$3:A$502)-2),3)),""),""))</f>
        <v/>
      </c>
      <c r="Q186" s="16"/>
      <c r="R186" s="16"/>
    </row>
    <row r="187" customFormat="false" ht="15" hidden="false" customHeight="false" outlineLevel="0" collapsed="false">
      <c r="A187" s="16"/>
      <c r="B187" s="16"/>
      <c r="C187" s="63" t="str">
        <f aca="false">IF(IFERROR(-INDEX(Expenses!D$3:D$1002,SMALL(IF((Expenses!E$3:E$1002="INR")*(Expenses!A$3:A$1002=DATE(2026,9,7)),ROW(Expenses!A$3:A$1002)-2),4)),0)+IFERROR(INDEX(Income!C$3:C$502,SMALL(IF((Income!D$3:D$502="INR")*(Income!A$3:A$502=DATE(2026,9,7)),ROW(Income!A$3:A$502)-2),4)),0)=0,"",IFERROR(-INDEX(Expenses!D$3:D$1002,SMALL(IF((Expenses!E$3:E$1002="INR")*(Expenses!A$3:A$1002=DATE(2026,9,7)),ROW(Expenses!A$3:A$1002)-2),4)),0)+IFERROR(INDEX(Income!C$3:C$502,SMALL(IF((Income!D$3:D$502="INR")*(Income!A$3:A$502=DATE(2026,9,7)),ROW(Income!A$3:A$502)-2),4)),0))</f>
        <v/>
      </c>
      <c r="D187" s="38" t="str">
        <f aca="false">IF(IFERROR(INDEX(Expenses!B$3:B$1002,SMALL(IF((Expenses!E$3:E$1002="INR")*(Expenses!A$3:A$1002=DATE(2026,9,7)),ROW(Expenses!A$3:A$1002)-2),4)),"")&lt;&gt;"",IFERROR(INDEX(Expenses!B$3:B$1002,SMALL(IF((Expenses!E$3:E$1002="INR")*(Expenses!A$3:A$1002=DATE(2026,9,7)),ROW(Expenses!A$3:A$1002)-2),4)),""),IF(IFERROR(INDEX(Income!B$3:B$502,SMALL(IF((Income!D$3:D$502="INR")*(Income!A$3:A$502=DATE(2026,9,7)),ROW(Income!A$3:A$502)-2),4)),"")&lt;&gt;"",IFERROR(INDEX(Income!B$3:B$502,SMALL(IF((Income!D$3:D$502="INR")*(Income!A$3:A$502=DATE(2026,9,7)),ROW(Income!A$3:A$502)-2),4)),""),""))</f>
        <v/>
      </c>
      <c r="E187" s="63" t="str">
        <f aca="false">IF(IFERROR(-INDEX(Expenses!D$3:D$1002,SMALL(IF((Expenses!E$3:E$1002="INR")*(Expenses!A$3:A$1002=DATE(2026,9,8)),ROW(Expenses!A$3:A$1002)-2),4)),0)+IFERROR(INDEX(Income!C$3:C$502,SMALL(IF((Income!D$3:D$502="INR")*(Income!A$3:A$502=DATE(2026,9,8)),ROW(Income!A$3:A$502)-2),4)),0)=0,"",IFERROR(-INDEX(Expenses!D$3:D$1002,SMALL(IF((Expenses!E$3:E$1002="INR")*(Expenses!A$3:A$1002=DATE(2026,9,8)),ROW(Expenses!A$3:A$1002)-2),4)),0)+IFERROR(INDEX(Income!C$3:C$502,SMALL(IF((Income!D$3:D$502="INR")*(Income!A$3:A$502=DATE(2026,9,8)),ROW(Income!A$3:A$502)-2),4)),0))</f>
        <v/>
      </c>
      <c r="F187" s="38" t="str">
        <f aca="false">IF(IFERROR(INDEX(Expenses!B$3:B$1002,SMALL(IF((Expenses!E$3:E$1002="INR")*(Expenses!A$3:A$1002=DATE(2026,9,8)),ROW(Expenses!A$3:A$1002)-2),4)),"")&lt;&gt;"",IFERROR(INDEX(Expenses!B$3:B$1002,SMALL(IF((Expenses!E$3:E$1002="INR")*(Expenses!A$3:A$1002=DATE(2026,9,8)),ROW(Expenses!A$3:A$1002)-2),4)),""),IF(IFERROR(INDEX(Income!B$3:B$502,SMALL(IF((Income!D$3:D$502="INR")*(Income!A$3:A$502=DATE(2026,9,8)),ROW(Income!A$3:A$502)-2),4)),"")&lt;&gt;"",IFERROR(INDEX(Income!B$3:B$502,SMALL(IF((Income!D$3:D$502="INR")*(Income!A$3:A$502=DATE(2026,9,8)),ROW(Income!A$3:A$502)-2),4)),""),""))</f>
        <v/>
      </c>
      <c r="G187" s="63" t="str">
        <f aca="false">IF(IFERROR(-INDEX(Expenses!D$3:D$1002,SMALL(IF((Expenses!E$3:E$1002="INR")*(Expenses!A$3:A$1002=DATE(2026,9,9)),ROW(Expenses!A$3:A$1002)-2),4)),0)+IFERROR(INDEX(Income!C$3:C$502,SMALL(IF((Income!D$3:D$502="INR")*(Income!A$3:A$502=DATE(2026,9,9)),ROW(Income!A$3:A$502)-2),4)),0)=0,"",IFERROR(-INDEX(Expenses!D$3:D$1002,SMALL(IF((Expenses!E$3:E$1002="INR")*(Expenses!A$3:A$1002=DATE(2026,9,9)),ROW(Expenses!A$3:A$1002)-2),4)),0)+IFERROR(INDEX(Income!C$3:C$502,SMALL(IF((Income!D$3:D$502="INR")*(Income!A$3:A$502=DATE(2026,9,9)),ROW(Income!A$3:A$502)-2),4)),0))</f>
        <v/>
      </c>
      <c r="H187" s="38" t="str">
        <f aca="false">IF(IFERROR(INDEX(Expenses!B$3:B$1002,SMALL(IF((Expenses!E$3:E$1002="INR")*(Expenses!A$3:A$1002=DATE(2026,9,9)),ROW(Expenses!A$3:A$1002)-2),4)),"")&lt;&gt;"",IFERROR(INDEX(Expenses!B$3:B$1002,SMALL(IF((Expenses!E$3:E$1002="INR")*(Expenses!A$3:A$1002=DATE(2026,9,9)),ROW(Expenses!A$3:A$1002)-2),4)),""),IF(IFERROR(INDEX(Income!B$3:B$502,SMALL(IF((Income!D$3:D$502="INR")*(Income!A$3:A$502=DATE(2026,9,9)),ROW(Income!A$3:A$502)-2),4)),"")&lt;&gt;"",IFERROR(INDEX(Income!B$3:B$502,SMALL(IF((Income!D$3:D$502="INR")*(Income!A$3:A$502=DATE(2026,9,9)),ROW(Income!A$3:A$502)-2),4)),""),""))</f>
        <v/>
      </c>
      <c r="I187" s="63" t="str">
        <f aca="false">IF(IFERROR(-INDEX(Expenses!D$3:D$1002,SMALL(IF((Expenses!E$3:E$1002="INR")*(Expenses!A$3:A$1002=DATE(2026,9,10)),ROW(Expenses!A$3:A$1002)-2),4)),0)+IFERROR(INDEX(Income!C$3:C$502,SMALL(IF((Income!D$3:D$502="INR")*(Income!A$3:A$502=DATE(2026,9,10)),ROW(Income!A$3:A$502)-2),4)),0)=0,"",IFERROR(-INDEX(Expenses!D$3:D$1002,SMALL(IF((Expenses!E$3:E$1002="INR")*(Expenses!A$3:A$1002=DATE(2026,9,10)),ROW(Expenses!A$3:A$1002)-2),4)),0)+IFERROR(INDEX(Income!C$3:C$502,SMALL(IF((Income!D$3:D$502="INR")*(Income!A$3:A$502=DATE(2026,9,10)),ROW(Income!A$3:A$502)-2),4)),0))</f>
        <v/>
      </c>
      <c r="J187" s="38" t="str">
        <f aca="false">IF(IFERROR(INDEX(Expenses!B$3:B$1002,SMALL(IF((Expenses!E$3:E$1002="INR")*(Expenses!A$3:A$1002=DATE(2026,9,10)),ROW(Expenses!A$3:A$1002)-2),4)),"")&lt;&gt;"",IFERROR(INDEX(Expenses!B$3:B$1002,SMALL(IF((Expenses!E$3:E$1002="INR")*(Expenses!A$3:A$1002=DATE(2026,9,10)),ROW(Expenses!A$3:A$1002)-2),4)),""),IF(IFERROR(INDEX(Income!B$3:B$502,SMALL(IF((Income!D$3:D$502="INR")*(Income!A$3:A$502=DATE(2026,9,10)),ROW(Income!A$3:A$502)-2),4)),"")&lt;&gt;"",IFERROR(INDEX(Income!B$3:B$502,SMALL(IF((Income!D$3:D$502="INR")*(Income!A$3:A$502=DATE(2026,9,10)),ROW(Income!A$3:A$502)-2),4)),""),""))</f>
        <v/>
      </c>
      <c r="K187" s="63" t="str">
        <f aca="false">IF(IFERROR(-INDEX(Expenses!D$3:D$1002,SMALL(IF((Expenses!E$3:E$1002="INR")*(Expenses!A$3:A$1002=DATE(2026,9,11)),ROW(Expenses!A$3:A$1002)-2),4)),0)+IFERROR(INDEX(Income!C$3:C$502,SMALL(IF((Income!D$3:D$502="INR")*(Income!A$3:A$502=DATE(2026,9,11)),ROW(Income!A$3:A$502)-2),4)),0)=0,"",IFERROR(-INDEX(Expenses!D$3:D$1002,SMALL(IF((Expenses!E$3:E$1002="INR")*(Expenses!A$3:A$1002=DATE(2026,9,11)),ROW(Expenses!A$3:A$1002)-2),4)),0)+IFERROR(INDEX(Income!C$3:C$502,SMALL(IF((Income!D$3:D$502="INR")*(Income!A$3:A$502=DATE(2026,9,11)),ROW(Income!A$3:A$502)-2),4)),0))</f>
        <v/>
      </c>
      <c r="L187" s="38" t="str">
        <f aca="false">IF(IFERROR(INDEX(Expenses!B$3:B$1002,SMALL(IF((Expenses!E$3:E$1002="INR")*(Expenses!A$3:A$1002=DATE(2026,9,11)),ROW(Expenses!A$3:A$1002)-2),4)),"")&lt;&gt;"",IFERROR(INDEX(Expenses!B$3:B$1002,SMALL(IF((Expenses!E$3:E$1002="INR")*(Expenses!A$3:A$1002=DATE(2026,9,11)),ROW(Expenses!A$3:A$1002)-2),4)),""),IF(IFERROR(INDEX(Income!B$3:B$502,SMALL(IF((Income!D$3:D$502="INR")*(Income!A$3:A$502=DATE(2026,9,11)),ROW(Income!A$3:A$502)-2),4)),"")&lt;&gt;"",IFERROR(INDEX(Income!B$3:B$502,SMALL(IF((Income!D$3:D$502="INR")*(Income!A$3:A$502=DATE(2026,9,11)),ROW(Income!A$3:A$502)-2),4)),""),""))</f>
        <v/>
      </c>
      <c r="M187" s="63" t="str">
        <f aca="false">IF(IFERROR(-INDEX(Expenses!D$3:D$1002,SMALL(IF((Expenses!E$3:E$1002="INR")*(Expenses!A$3:A$1002=DATE(2026,9,12)),ROW(Expenses!A$3:A$1002)-2),4)),0)+IFERROR(INDEX(Income!C$3:C$502,SMALL(IF((Income!D$3:D$502="INR")*(Income!A$3:A$502=DATE(2026,9,12)),ROW(Income!A$3:A$502)-2),4)),0)=0,"",IFERROR(-INDEX(Expenses!D$3:D$1002,SMALL(IF((Expenses!E$3:E$1002="INR")*(Expenses!A$3:A$1002=DATE(2026,9,12)),ROW(Expenses!A$3:A$1002)-2),4)),0)+IFERROR(INDEX(Income!C$3:C$502,SMALL(IF((Income!D$3:D$502="INR")*(Income!A$3:A$502=DATE(2026,9,12)),ROW(Income!A$3:A$502)-2),4)),0))</f>
        <v/>
      </c>
      <c r="N187" s="38" t="str">
        <f aca="false">IF(IFERROR(INDEX(Expenses!B$3:B$1002,SMALL(IF((Expenses!E$3:E$1002="INR")*(Expenses!A$3:A$1002=DATE(2026,9,12)),ROW(Expenses!A$3:A$1002)-2),4)),"")&lt;&gt;"",IFERROR(INDEX(Expenses!B$3:B$1002,SMALL(IF((Expenses!E$3:E$1002="INR")*(Expenses!A$3:A$1002=DATE(2026,9,12)),ROW(Expenses!A$3:A$1002)-2),4)),""),IF(IFERROR(INDEX(Income!B$3:B$502,SMALL(IF((Income!D$3:D$502="INR")*(Income!A$3:A$502=DATE(2026,9,12)),ROW(Income!A$3:A$502)-2),4)),"")&lt;&gt;"",IFERROR(INDEX(Income!B$3:B$502,SMALL(IF((Income!D$3:D$502="INR")*(Income!A$3:A$502=DATE(2026,9,12)),ROW(Income!A$3:A$502)-2),4)),""),""))</f>
        <v/>
      </c>
      <c r="O187" s="63" t="str">
        <f aca="false">IF(IFERROR(-INDEX(Expenses!D$3:D$1002,SMALL(IF((Expenses!E$3:E$1002="INR")*(Expenses!A$3:A$1002=DATE(2026,9,13)),ROW(Expenses!A$3:A$1002)-2),4)),0)+IFERROR(INDEX(Income!C$3:C$502,SMALL(IF((Income!D$3:D$502="INR")*(Income!A$3:A$502=DATE(2026,9,13)),ROW(Income!A$3:A$502)-2),4)),0)=0,"",IFERROR(-INDEX(Expenses!D$3:D$1002,SMALL(IF((Expenses!E$3:E$1002="INR")*(Expenses!A$3:A$1002=DATE(2026,9,13)),ROW(Expenses!A$3:A$1002)-2),4)),0)+IFERROR(INDEX(Income!C$3:C$502,SMALL(IF((Income!D$3:D$502="INR")*(Income!A$3:A$502=DATE(2026,9,13)),ROW(Income!A$3:A$502)-2),4)),0))</f>
        <v/>
      </c>
      <c r="P187" s="38" t="str">
        <f aca="false">IF(IFERROR(INDEX(Expenses!B$3:B$1002,SMALL(IF((Expenses!E$3:E$1002="INR")*(Expenses!A$3:A$1002=DATE(2026,9,13)),ROW(Expenses!A$3:A$1002)-2),4)),"")&lt;&gt;"",IFERROR(INDEX(Expenses!B$3:B$1002,SMALL(IF((Expenses!E$3:E$1002="INR")*(Expenses!A$3:A$1002=DATE(2026,9,13)),ROW(Expenses!A$3:A$1002)-2),4)),""),IF(IFERROR(INDEX(Income!B$3:B$502,SMALL(IF((Income!D$3:D$502="INR")*(Income!A$3:A$502=DATE(2026,9,13)),ROW(Income!A$3:A$502)-2),4)),"")&lt;&gt;"",IFERROR(INDEX(Income!B$3:B$502,SMALL(IF((Income!D$3:D$502="INR")*(Income!A$3:A$502=DATE(2026,9,13)),ROW(Income!A$3:A$502)-2),4)),""),""))</f>
        <v/>
      </c>
      <c r="Q187" s="16"/>
      <c r="R187" s="16"/>
    </row>
    <row r="188" customFormat="false" ht="15" hidden="false" customHeight="false" outlineLevel="0" collapsed="false">
      <c r="A188" s="16"/>
      <c r="B188" s="16"/>
      <c r="C188" s="63" t="str">
        <f aca="false">IF(IFERROR(-INDEX(Expenses!D$3:D$1002,SMALL(IF((Expenses!E$3:E$1002="INR")*(Expenses!A$3:A$1002=DATE(2026,9,7)),ROW(Expenses!A$3:A$1002)-2),5)),0)+IFERROR(INDEX(Income!C$3:C$502,SMALL(IF((Income!D$3:D$502="INR")*(Income!A$3:A$502=DATE(2026,9,7)),ROW(Income!A$3:A$502)-2),5)),0)=0,"",IFERROR(-INDEX(Expenses!D$3:D$1002,SMALL(IF((Expenses!E$3:E$1002="INR")*(Expenses!A$3:A$1002=DATE(2026,9,7)),ROW(Expenses!A$3:A$1002)-2),5)),0)+IFERROR(INDEX(Income!C$3:C$502,SMALL(IF((Income!D$3:D$502="INR")*(Income!A$3:A$502=DATE(2026,9,7)),ROW(Income!A$3:A$502)-2),5)),0))</f>
        <v/>
      </c>
      <c r="D188" s="38" t="str">
        <f aca="false">IF(IFERROR(INDEX(Expenses!B$3:B$1002,SMALL(IF((Expenses!E$3:E$1002="INR")*(Expenses!A$3:A$1002=DATE(2026,9,7)),ROW(Expenses!A$3:A$1002)-2),5)),"")&lt;&gt;"",IFERROR(INDEX(Expenses!B$3:B$1002,SMALL(IF((Expenses!E$3:E$1002="INR")*(Expenses!A$3:A$1002=DATE(2026,9,7)),ROW(Expenses!A$3:A$1002)-2),5)),""),IF(IFERROR(INDEX(Income!B$3:B$502,SMALL(IF((Income!D$3:D$502="INR")*(Income!A$3:A$502=DATE(2026,9,7)),ROW(Income!A$3:A$502)-2),5)),"")&lt;&gt;"",IFERROR(INDEX(Income!B$3:B$502,SMALL(IF((Income!D$3:D$502="INR")*(Income!A$3:A$502=DATE(2026,9,7)),ROW(Income!A$3:A$502)-2),5)),""),""))</f>
        <v/>
      </c>
      <c r="E188" s="63" t="str">
        <f aca="false">IF(IFERROR(-INDEX(Expenses!D$3:D$1002,SMALL(IF((Expenses!E$3:E$1002="INR")*(Expenses!A$3:A$1002=DATE(2026,9,8)),ROW(Expenses!A$3:A$1002)-2),5)),0)+IFERROR(INDEX(Income!C$3:C$502,SMALL(IF((Income!D$3:D$502="INR")*(Income!A$3:A$502=DATE(2026,9,8)),ROW(Income!A$3:A$502)-2),5)),0)=0,"",IFERROR(-INDEX(Expenses!D$3:D$1002,SMALL(IF((Expenses!E$3:E$1002="INR")*(Expenses!A$3:A$1002=DATE(2026,9,8)),ROW(Expenses!A$3:A$1002)-2),5)),0)+IFERROR(INDEX(Income!C$3:C$502,SMALL(IF((Income!D$3:D$502="INR")*(Income!A$3:A$502=DATE(2026,9,8)),ROW(Income!A$3:A$502)-2),5)),0))</f>
        <v/>
      </c>
      <c r="F188" s="38" t="str">
        <f aca="false">IF(IFERROR(INDEX(Expenses!B$3:B$1002,SMALL(IF((Expenses!E$3:E$1002="INR")*(Expenses!A$3:A$1002=DATE(2026,9,8)),ROW(Expenses!A$3:A$1002)-2),5)),"")&lt;&gt;"",IFERROR(INDEX(Expenses!B$3:B$1002,SMALL(IF((Expenses!E$3:E$1002="INR")*(Expenses!A$3:A$1002=DATE(2026,9,8)),ROW(Expenses!A$3:A$1002)-2),5)),""),IF(IFERROR(INDEX(Income!B$3:B$502,SMALL(IF((Income!D$3:D$502="INR")*(Income!A$3:A$502=DATE(2026,9,8)),ROW(Income!A$3:A$502)-2),5)),"")&lt;&gt;"",IFERROR(INDEX(Income!B$3:B$502,SMALL(IF((Income!D$3:D$502="INR")*(Income!A$3:A$502=DATE(2026,9,8)),ROW(Income!A$3:A$502)-2),5)),""),""))</f>
        <v/>
      </c>
      <c r="G188" s="63" t="str">
        <f aca="false">IF(IFERROR(-INDEX(Expenses!D$3:D$1002,SMALL(IF((Expenses!E$3:E$1002="INR")*(Expenses!A$3:A$1002=DATE(2026,9,9)),ROW(Expenses!A$3:A$1002)-2),5)),0)+IFERROR(INDEX(Income!C$3:C$502,SMALL(IF((Income!D$3:D$502="INR")*(Income!A$3:A$502=DATE(2026,9,9)),ROW(Income!A$3:A$502)-2),5)),0)=0,"",IFERROR(-INDEX(Expenses!D$3:D$1002,SMALL(IF((Expenses!E$3:E$1002="INR")*(Expenses!A$3:A$1002=DATE(2026,9,9)),ROW(Expenses!A$3:A$1002)-2),5)),0)+IFERROR(INDEX(Income!C$3:C$502,SMALL(IF((Income!D$3:D$502="INR")*(Income!A$3:A$502=DATE(2026,9,9)),ROW(Income!A$3:A$502)-2),5)),0))</f>
        <v/>
      </c>
      <c r="H188" s="38" t="str">
        <f aca="false">IF(IFERROR(INDEX(Expenses!B$3:B$1002,SMALL(IF((Expenses!E$3:E$1002="INR")*(Expenses!A$3:A$1002=DATE(2026,9,9)),ROW(Expenses!A$3:A$1002)-2),5)),"")&lt;&gt;"",IFERROR(INDEX(Expenses!B$3:B$1002,SMALL(IF((Expenses!E$3:E$1002="INR")*(Expenses!A$3:A$1002=DATE(2026,9,9)),ROW(Expenses!A$3:A$1002)-2),5)),""),IF(IFERROR(INDEX(Income!B$3:B$502,SMALL(IF((Income!D$3:D$502="INR")*(Income!A$3:A$502=DATE(2026,9,9)),ROW(Income!A$3:A$502)-2),5)),"")&lt;&gt;"",IFERROR(INDEX(Income!B$3:B$502,SMALL(IF((Income!D$3:D$502="INR")*(Income!A$3:A$502=DATE(2026,9,9)),ROW(Income!A$3:A$502)-2),5)),""),""))</f>
        <v/>
      </c>
      <c r="I188" s="63" t="str">
        <f aca="false">IF(IFERROR(-INDEX(Expenses!D$3:D$1002,SMALL(IF((Expenses!E$3:E$1002="INR")*(Expenses!A$3:A$1002=DATE(2026,9,10)),ROW(Expenses!A$3:A$1002)-2),5)),0)+IFERROR(INDEX(Income!C$3:C$502,SMALL(IF((Income!D$3:D$502="INR")*(Income!A$3:A$502=DATE(2026,9,10)),ROW(Income!A$3:A$502)-2),5)),0)=0,"",IFERROR(-INDEX(Expenses!D$3:D$1002,SMALL(IF((Expenses!E$3:E$1002="INR")*(Expenses!A$3:A$1002=DATE(2026,9,10)),ROW(Expenses!A$3:A$1002)-2),5)),0)+IFERROR(INDEX(Income!C$3:C$502,SMALL(IF((Income!D$3:D$502="INR")*(Income!A$3:A$502=DATE(2026,9,10)),ROW(Income!A$3:A$502)-2),5)),0))</f>
        <v/>
      </c>
      <c r="J188" s="38" t="str">
        <f aca="false">IF(IFERROR(INDEX(Expenses!B$3:B$1002,SMALL(IF((Expenses!E$3:E$1002="INR")*(Expenses!A$3:A$1002=DATE(2026,9,10)),ROW(Expenses!A$3:A$1002)-2),5)),"")&lt;&gt;"",IFERROR(INDEX(Expenses!B$3:B$1002,SMALL(IF((Expenses!E$3:E$1002="INR")*(Expenses!A$3:A$1002=DATE(2026,9,10)),ROW(Expenses!A$3:A$1002)-2),5)),""),IF(IFERROR(INDEX(Income!B$3:B$502,SMALL(IF((Income!D$3:D$502="INR")*(Income!A$3:A$502=DATE(2026,9,10)),ROW(Income!A$3:A$502)-2),5)),"")&lt;&gt;"",IFERROR(INDEX(Income!B$3:B$502,SMALL(IF((Income!D$3:D$502="INR")*(Income!A$3:A$502=DATE(2026,9,10)),ROW(Income!A$3:A$502)-2),5)),""),""))</f>
        <v/>
      </c>
      <c r="K188" s="63" t="str">
        <f aca="false">IF(IFERROR(-INDEX(Expenses!D$3:D$1002,SMALL(IF((Expenses!E$3:E$1002="INR")*(Expenses!A$3:A$1002=DATE(2026,9,11)),ROW(Expenses!A$3:A$1002)-2),5)),0)+IFERROR(INDEX(Income!C$3:C$502,SMALL(IF((Income!D$3:D$502="INR")*(Income!A$3:A$502=DATE(2026,9,11)),ROW(Income!A$3:A$502)-2),5)),0)=0,"",IFERROR(-INDEX(Expenses!D$3:D$1002,SMALL(IF((Expenses!E$3:E$1002="INR")*(Expenses!A$3:A$1002=DATE(2026,9,11)),ROW(Expenses!A$3:A$1002)-2),5)),0)+IFERROR(INDEX(Income!C$3:C$502,SMALL(IF((Income!D$3:D$502="INR")*(Income!A$3:A$502=DATE(2026,9,11)),ROW(Income!A$3:A$502)-2),5)),0))</f>
        <v/>
      </c>
      <c r="L188" s="38" t="str">
        <f aca="false">IF(IFERROR(INDEX(Expenses!B$3:B$1002,SMALL(IF((Expenses!E$3:E$1002="INR")*(Expenses!A$3:A$1002=DATE(2026,9,11)),ROW(Expenses!A$3:A$1002)-2),5)),"")&lt;&gt;"",IFERROR(INDEX(Expenses!B$3:B$1002,SMALL(IF((Expenses!E$3:E$1002="INR")*(Expenses!A$3:A$1002=DATE(2026,9,11)),ROW(Expenses!A$3:A$1002)-2),5)),""),IF(IFERROR(INDEX(Income!B$3:B$502,SMALL(IF((Income!D$3:D$502="INR")*(Income!A$3:A$502=DATE(2026,9,11)),ROW(Income!A$3:A$502)-2),5)),"")&lt;&gt;"",IFERROR(INDEX(Income!B$3:B$502,SMALL(IF((Income!D$3:D$502="INR")*(Income!A$3:A$502=DATE(2026,9,11)),ROW(Income!A$3:A$502)-2),5)),""),""))</f>
        <v/>
      </c>
      <c r="M188" s="63" t="str">
        <f aca="false">IF(IFERROR(-INDEX(Expenses!D$3:D$1002,SMALL(IF((Expenses!E$3:E$1002="INR")*(Expenses!A$3:A$1002=DATE(2026,9,12)),ROW(Expenses!A$3:A$1002)-2),5)),0)+IFERROR(INDEX(Income!C$3:C$502,SMALL(IF((Income!D$3:D$502="INR")*(Income!A$3:A$502=DATE(2026,9,12)),ROW(Income!A$3:A$502)-2),5)),0)=0,"",IFERROR(-INDEX(Expenses!D$3:D$1002,SMALL(IF((Expenses!E$3:E$1002="INR")*(Expenses!A$3:A$1002=DATE(2026,9,12)),ROW(Expenses!A$3:A$1002)-2),5)),0)+IFERROR(INDEX(Income!C$3:C$502,SMALL(IF((Income!D$3:D$502="INR")*(Income!A$3:A$502=DATE(2026,9,12)),ROW(Income!A$3:A$502)-2),5)),0))</f>
        <v/>
      </c>
      <c r="N188" s="38" t="str">
        <f aca="false">IF(IFERROR(INDEX(Expenses!B$3:B$1002,SMALL(IF((Expenses!E$3:E$1002="INR")*(Expenses!A$3:A$1002=DATE(2026,9,12)),ROW(Expenses!A$3:A$1002)-2),5)),"")&lt;&gt;"",IFERROR(INDEX(Expenses!B$3:B$1002,SMALL(IF((Expenses!E$3:E$1002="INR")*(Expenses!A$3:A$1002=DATE(2026,9,12)),ROW(Expenses!A$3:A$1002)-2),5)),""),IF(IFERROR(INDEX(Income!B$3:B$502,SMALL(IF((Income!D$3:D$502="INR")*(Income!A$3:A$502=DATE(2026,9,12)),ROW(Income!A$3:A$502)-2),5)),"")&lt;&gt;"",IFERROR(INDEX(Income!B$3:B$502,SMALL(IF((Income!D$3:D$502="INR")*(Income!A$3:A$502=DATE(2026,9,12)),ROW(Income!A$3:A$502)-2),5)),""),""))</f>
        <v/>
      </c>
      <c r="O188" s="63" t="str">
        <f aca="false">IF(IFERROR(-INDEX(Expenses!D$3:D$1002,SMALL(IF((Expenses!E$3:E$1002="INR")*(Expenses!A$3:A$1002=DATE(2026,9,13)),ROW(Expenses!A$3:A$1002)-2),5)),0)+IFERROR(INDEX(Income!C$3:C$502,SMALL(IF((Income!D$3:D$502="INR")*(Income!A$3:A$502=DATE(2026,9,13)),ROW(Income!A$3:A$502)-2),5)),0)=0,"",IFERROR(-INDEX(Expenses!D$3:D$1002,SMALL(IF((Expenses!E$3:E$1002="INR")*(Expenses!A$3:A$1002=DATE(2026,9,13)),ROW(Expenses!A$3:A$1002)-2),5)),0)+IFERROR(INDEX(Income!C$3:C$502,SMALL(IF((Income!D$3:D$502="INR")*(Income!A$3:A$502=DATE(2026,9,13)),ROW(Income!A$3:A$502)-2),5)),0))</f>
        <v/>
      </c>
      <c r="P188" s="38" t="str">
        <f aca="false">IF(IFERROR(INDEX(Expenses!B$3:B$1002,SMALL(IF((Expenses!E$3:E$1002="INR")*(Expenses!A$3:A$1002=DATE(2026,9,13)),ROW(Expenses!A$3:A$1002)-2),5)),"")&lt;&gt;"",IFERROR(INDEX(Expenses!B$3:B$1002,SMALL(IF((Expenses!E$3:E$1002="INR")*(Expenses!A$3:A$1002=DATE(2026,9,13)),ROW(Expenses!A$3:A$1002)-2),5)),""),IF(IFERROR(INDEX(Income!B$3:B$502,SMALL(IF((Income!D$3:D$502="INR")*(Income!A$3:A$502=DATE(2026,9,13)),ROW(Income!A$3:A$502)-2),5)),"")&lt;&gt;"",IFERROR(INDEX(Income!B$3:B$502,SMALL(IF((Income!D$3:D$502="INR")*(Income!A$3:A$502=DATE(2026,9,13)),ROW(Income!A$3:A$502)-2),5)),""),""))</f>
        <v/>
      </c>
      <c r="Q188" s="16"/>
      <c r="R188" s="16"/>
    </row>
    <row r="189" customFormat="false" ht="15" hidden="false" customHeight="false" outlineLevel="0" collapsed="false">
      <c r="A189" s="61" t="n">
        <v>46279</v>
      </c>
      <c r="B189" s="3" t="n">
        <v>38</v>
      </c>
      <c r="C189" s="63" t="str">
        <f aca="false">IF(IFERROR(-INDEX(Expenses!D$3:D$1002,SMALL(IF((Expenses!E$3:E$1002="INR")*(Expenses!A$3:A$1002=DATE(2026,9,14)),ROW(Expenses!A$3:A$1002)-2),1)),0)+IFERROR(INDEX(Income!C$3:C$502,SMALL(IF((Income!D$3:D$502="INR")*(Income!A$3:A$502=DATE(2026,9,14)),ROW(Income!A$3:A$502)-2),1)),0)=0,"",IFERROR(-INDEX(Expenses!D$3:D$1002,SMALL(IF((Expenses!E$3:E$1002="INR")*(Expenses!A$3:A$1002=DATE(2026,9,14)),ROW(Expenses!A$3:A$1002)-2),1)),0)+IFERROR(INDEX(Income!C$3:C$502,SMALL(IF((Income!D$3:D$502="INR")*(Income!A$3:A$502=DATE(2026,9,14)),ROW(Income!A$3:A$502)-2),1)),0))</f>
        <v/>
      </c>
      <c r="D189" s="38" t="str">
        <f aca="false">IF(IFERROR(INDEX(Expenses!B$3:B$1002,SMALL(IF((Expenses!E$3:E$1002="INR")*(Expenses!A$3:A$1002=DATE(2026,9,14)),ROW(Expenses!A$3:A$1002)-2),1)),"")&lt;&gt;"",IFERROR(INDEX(Expenses!B$3:B$1002,SMALL(IF((Expenses!E$3:E$1002="INR")*(Expenses!A$3:A$1002=DATE(2026,9,14)),ROW(Expenses!A$3:A$1002)-2),1)),""),IF(IFERROR(INDEX(Income!B$3:B$502,SMALL(IF((Income!D$3:D$502="INR")*(Income!A$3:A$502=DATE(2026,9,14)),ROW(Income!A$3:A$502)-2),1)),"")&lt;&gt;"",IFERROR(INDEX(Income!B$3:B$502,SMALL(IF((Income!D$3:D$502="INR")*(Income!A$3:A$502=DATE(2026,9,14)),ROW(Income!A$3:A$502)-2),1)),""),""))</f>
        <v/>
      </c>
      <c r="E189" s="63" t="str">
        <f aca="false">IF(IFERROR(-INDEX(Expenses!D$3:D$1002,SMALL(IF((Expenses!E$3:E$1002="INR")*(Expenses!A$3:A$1002=DATE(2026,9,15)),ROW(Expenses!A$3:A$1002)-2),1)),0)+IFERROR(INDEX(Income!C$3:C$502,SMALL(IF((Income!D$3:D$502="INR")*(Income!A$3:A$502=DATE(2026,9,15)),ROW(Income!A$3:A$502)-2),1)),0)=0,"",IFERROR(-INDEX(Expenses!D$3:D$1002,SMALL(IF((Expenses!E$3:E$1002="INR")*(Expenses!A$3:A$1002=DATE(2026,9,15)),ROW(Expenses!A$3:A$1002)-2),1)),0)+IFERROR(INDEX(Income!C$3:C$502,SMALL(IF((Income!D$3:D$502="INR")*(Income!A$3:A$502=DATE(2026,9,15)),ROW(Income!A$3:A$502)-2),1)),0))</f>
        <v/>
      </c>
      <c r="F189" s="38" t="str">
        <f aca="false">IF(IFERROR(INDEX(Expenses!B$3:B$1002,SMALL(IF((Expenses!E$3:E$1002="INR")*(Expenses!A$3:A$1002=DATE(2026,9,15)),ROW(Expenses!A$3:A$1002)-2),1)),"")&lt;&gt;"",IFERROR(INDEX(Expenses!B$3:B$1002,SMALL(IF((Expenses!E$3:E$1002="INR")*(Expenses!A$3:A$1002=DATE(2026,9,15)),ROW(Expenses!A$3:A$1002)-2),1)),""),IF(IFERROR(INDEX(Income!B$3:B$502,SMALL(IF((Income!D$3:D$502="INR")*(Income!A$3:A$502=DATE(2026,9,15)),ROW(Income!A$3:A$502)-2),1)),"")&lt;&gt;"",IFERROR(INDEX(Income!B$3:B$502,SMALL(IF((Income!D$3:D$502="INR")*(Income!A$3:A$502=DATE(2026,9,15)),ROW(Income!A$3:A$502)-2),1)),""),""))</f>
        <v/>
      </c>
      <c r="G189" s="63" t="str">
        <f aca="false">IF(IFERROR(-INDEX(Expenses!D$3:D$1002,SMALL(IF((Expenses!E$3:E$1002="INR")*(Expenses!A$3:A$1002=DATE(2026,9,16)),ROW(Expenses!A$3:A$1002)-2),1)),0)+IFERROR(INDEX(Income!C$3:C$502,SMALL(IF((Income!D$3:D$502="INR")*(Income!A$3:A$502=DATE(2026,9,16)),ROW(Income!A$3:A$502)-2),1)),0)=0,"",IFERROR(-INDEX(Expenses!D$3:D$1002,SMALL(IF((Expenses!E$3:E$1002="INR")*(Expenses!A$3:A$1002=DATE(2026,9,16)),ROW(Expenses!A$3:A$1002)-2),1)),0)+IFERROR(INDEX(Income!C$3:C$502,SMALL(IF((Income!D$3:D$502="INR")*(Income!A$3:A$502=DATE(2026,9,16)),ROW(Income!A$3:A$502)-2),1)),0))</f>
        <v/>
      </c>
      <c r="H189" s="38" t="str">
        <f aca="false">IF(IFERROR(INDEX(Expenses!B$3:B$1002,SMALL(IF((Expenses!E$3:E$1002="INR")*(Expenses!A$3:A$1002=DATE(2026,9,16)),ROW(Expenses!A$3:A$1002)-2),1)),"")&lt;&gt;"",IFERROR(INDEX(Expenses!B$3:B$1002,SMALL(IF((Expenses!E$3:E$1002="INR")*(Expenses!A$3:A$1002=DATE(2026,9,16)),ROW(Expenses!A$3:A$1002)-2),1)),""),IF(IFERROR(INDEX(Income!B$3:B$502,SMALL(IF((Income!D$3:D$502="INR")*(Income!A$3:A$502=DATE(2026,9,16)),ROW(Income!A$3:A$502)-2),1)),"")&lt;&gt;"",IFERROR(INDEX(Income!B$3:B$502,SMALL(IF((Income!D$3:D$502="INR")*(Income!A$3:A$502=DATE(2026,9,16)),ROW(Income!A$3:A$502)-2),1)),""),""))</f>
        <v/>
      </c>
      <c r="I189" s="63" t="str">
        <f aca="false">IF(IFERROR(-INDEX(Expenses!D$3:D$1002,SMALL(IF((Expenses!E$3:E$1002="INR")*(Expenses!A$3:A$1002=DATE(2026,9,17)),ROW(Expenses!A$3:A$1002)-2),1)),0)+IFERROR(INDEX(Income!C$3:C$502,SMALL(IF((Income!D$3:D$502="INR")*(Income!A$3:A$502=DATE(2026,9,17)),ROW(Income!A$3:A$502)-2),1)),0)=0,"",IFERROR(-INDEX(Expenses!D$3:D$1002,SMALL(IF((Expenses!E$3:E$1002="INR")*(Expenses!A$3:A$1002=DATE(2026,9,17)),ROW(Expenses!A$3:A$1002)-2),1)),0)+IFERROR(INDEX(Income!C$3:C$502,SMALL(IF((Income!D$3:D$502="INR")*(Income!A$3:A$502=DATE(2026,9,17)),ROW(Income!A$3:A$502)-2),1)),0))</f>
        <v/>
      </c>
      <c r="J189" s="38" t="str">
        <f aca="false">IF(IFERROR(INDEX(Expenses!B$3:B$1002,SMALL(IF((Expenses!E$3:E$1002="INR")*(Expenses!A$3:A$1002=DATE(2026,9,17)),ROW(Expenses!A$3:A$1002)-2),1)),"")&lt;&gt;"",IFERROR(INDEX(Expenses!B$3:B$1002,SMALL(IF((Expenses!E$3:E$1002="INR")*(Expenses!A$3:A$1002=DATE(2026,9,17)),ROW(Expenses!A$3:A$1002)-2),1)),""),IF(IFERROR(INDEX(Income!B$3:B$502,SMALL(IF((Income!D$3:D$502="INR")*(Income!A$3:A$502=DATE(2026,9,17)),ROW(Income!A$3:A$502)-2),1)),"")&lt;&gt;"",IFERROR(INDEX(Income!B$3:B$502,SMALL(IF((Income!D$3:D$502="INR")*(Income!A$3:A$502=DATE(2026,9,17)),ROW(Income!A$3:A$502)-2),1)),""),""))</f>
        <v/>
      </c>
      <c r="K189" s="63" t="str">
        <f aca="false">IF(IFERROR(-INDEX(Expenses!D$3:D$1002,SMALL(IF((Expenses!E$3:E$1002="INR")*(Expenses!A$3:A$1002=DATE(2026,9,18)),ROW(Expenses!A$3:A$1002)-2),1)),0)+IFERROR(INDEX(Income!C$3:C$502,SMALL(IF((Income!D$3:D$502="INR")*(Income!A$3:A$502=DATE(2026,9,18)),ROW(Income!A$3:A$502)-2),1)),0)=0,"",IFERROR(-INDEX(Expenses!D$3:D$1002,SMALL(IF((Expenses!E$3:E$1002="INR")*(Expenses!A$3:A$1002=DATE(2026,9,18)),ROW(Expenses!A$3:A$1002)-2),1)),0)+IFERROR(INDEX(Income!C$3:C$502,SMALL(IF((Income!D$3:D$502="INR")*(Income!A$3:A$502=DATE(2026,9,18)),ROW(Income!A$3:A$502)-2),1)),0))</f>
        <v/>
      </c>
      <c r="L189" s="38" t="str">
        <f aca="false">IF(IFERROR(INDEX(Expenses!B$3:B$1002,SMALL(IF((Expenses!E$3:E$1002="INR")*(Expenses!A$3:A$1002=DATE(2026,9,18)),ROW(Expenses!A$3:A$1002)-2),1)),"")&lt;&gt;"",IFERROR(INDEX(Expenses!B$3:B$1002,SMALL(IF((Expenses!E$3:E$1002="INR")*(Expenses!A$3:A$1002=DATE(2026,9,18)),ROW(Expenses!A$3:A$1002)-2),1)),""),IF(IFERROR(INDEX(Income!B$3:B$502,SMALL(IF((Income!D$3:D$502="INR")*(Income!A$3:A$502=DATE(2026,9,18)),ROW(Income!A$3:A$502)-2),1)),"")&lt;&gt;"",IFERROR(INDEX(Income!B$3:B$502,SMALL(IF((Income!D$3:D$502="INR")*(Income!A$3:A$502=DATE(2026,9,18)),ROW(Income!A$3:A$502)-2),1)),""),""))</f>
        <v/>
      </c>
      <c r="M189" s="63" t="str">
        <f aca="false">IF(IFERROR(-INDEX(Expenses!D$3:D$1002,SMALL(IF((Expenses!E$3:E$1002="INR")*(Expenses!A$3:A$1002=DATE(2026,9,19)),ROW(Expenses!A$3:A$1002)-2),1)),0)+IFERROR(INDEX(Income!C$3:C$502,SMALL(IF((Income!D$3:D$502="INR")*(Income!A$3:A$502=DATE(2026,9,19)),ROW(Income!A$3:A$502)-2),1)),0)=0,"",IFERROR(-INDEX(Expenses!D$3:D$1002,SMALL(IF((Expenses!E$3:E$1002="INR")*(Expenses!A$3:A$1002=DATE(2026,9,19)),ROW(Expenses!A$3:A$1002)-2),1)),0)+IFERROR(INDEX(Income!C$3:C$502,SMALL(IF((Income!D$3:D$502="INR")*(Income!A$3:A$502=DATE(2026,9,19)),ROW(Income!A$3:A$502)-2),1)),0))</f>
        <v/>
      </c>
      <c r="N189" s="38" t="str">
        <f aca="false">IF(IFERROR(INDEX(Expenses!B$3:B$1002,SMALL(IF((Expenses!E$3:E$1002="INR")*(Expenses!A$3:A$1002=DATE(2026,9,19)),ROW(Expenses!A$3:A$1002)-2),1)),"")&lt;&gt;"",IFERROR(INDEX(Expenses!B$3:B$1002,SMALL(IF((Expenses!E$3:E$1002="INR")*(Expenses!A$3:A$1002=DATE(2026,9,19)),ROW(Expenses!A$3:A$1002)-2),1)),""),IF(IFERROR(INDEX(Income!B$3:B$502,SMALL(IF((Income!D$3:D$502="INR")*(Income!A$3:A$502=DATE(2026,9,19)),ROW(Income!A$3:A$502)-2),1)),"")&lt;&gt;"",IFERROR(INDEX(Income!B$3:B$502,SMALL(IF((Income!D$3:D$502="INR")*(Income!A$3:A$502=DATE(2026,9,19)),ROW(Income!A$3:A$502)-2),1)),""),""))</f>
        <v/>
      </c>
      <c r="O189" s="63" t="str">
        <f aca="false">IF(IFERROR(-INDEX(Expenses!D$3:D$1002,SMALL(IF((Expenses!E$3:E$1002="INR")*(Expenses!A$3:A$1002=DATE(2026,9,20)),ROW(Expenses!A$3:A$1002)-2),1)),0)+IFERROR(INDEX(Income!C$3:C$502,SMALL(IF((Income!D$3:D$502="INR")*(Income!A$3:A$502=DATE(2026,9,20)),ROW(Income!A$3:A$502)-2),1)),0)=0,"",IFERROR(-INDEX(Expenses!D$3:D$1002,SMALL(IF((Expenses!E$3:E$1002="INR")*(Expenses!A$3:A$1002=DATE(2026,9,20)),ROW(Expenses!A$3:A$1002)-2),1)),0)+IFERROR(INDEX(Income!C$3:C$502,SMALL(IF((Income!D$3:D$502="INR")*(Income!A$3:A$502=DATE(2026,9,20)),ROW(Income!A$3:A$502)-2),1)),0))</f>
        <v/>
      </c>
      <c r="P189" s="38" t="str">
        <f aca="false">IF(IFERROR(INDEX(Expenses!B$3:B$1002,SMALL(IF((Expenses!E$3:E$1002="INR")*(Expenses!A$3:A$1002=DATE(2026,9,20)),ROW(Expenses!A$3:A$1002)-2),1)),"")&lt;&gt;"",IFERROR(INDEX(Expenses!B$3:B$1002,SMALL(IF((Expenses!E$3:E$1002="INR")*(Expenses!A$3:A$1002=DATE(2026,9,20)),ROW(Expenses!A$3:A$1002)-2),1)),""),IF(IFERROR(INDEX(Income!B$3:B$502,SMALL(IF((Income!D$3:D$502="INR")*(Income!A$3:A$502=DATE(2026,9,20)),ROW(Income!A$3:A$502)-2),1)),"")&lt;&gt;"",IFERROR(INDEX(Income!B$3:B$502,SMALL(IF((Income!D$3:D$502="INR")*(Income!A$3:A$502=DATE(2026,9,20)),ROW(Income!A$3:A$502)-2),1)),""),""))</f>
        <v/>
      </c>
      <c r="Q189" s="3" t="n">
        <v>38</v>
      </c>
      <c r="R189" s="53" t="n">
        <f aca="false">SUM(C189:C193)+SUM(E189:E193)+SUM(G189:G193)+SUM(I189:I193)+SUM(K189:K193)+SUM(M189:M193)+SUM(O189:O193)</f>
        <v>0</v>
      </c>
    </row>
    <row r="190" customFormat="false" ht="15" hidden="false" customHeight="false" outlineLevel="0" collapsed="false">
      <c r="A190" s="16"/>
      <c r="B190" s="16"/>
      <c r="C190" s="63" t="str">
        <f aca="false">IF(IFERROR(-INDEX(Expenses!D$3:D$1002,SMALL(IF((Expenses!E$3:E$1002="INR")*(Expenses!A$3:A$1002=DATE(2026,9,14)),ROW(Expenses!A$3:A$1002)-2),2)),0)+IFERROR(INDEX(Income!C$3:C$502,SMALL(IF((Income!D$3:D$502="INR")*(Income!A$3:A$502=DATE(2026,9,14)),ROW(Income!A$3:A$502)-2),2)),0)=0,"",IFERROR(-INDEX(Expenses!D$3:D$1002,SMALL(IF((Expenses!E$3:E$1002="INR")*(Expenses!A$3:A$1002=DATE(2026,9,14)),ROW(Expenses!A$3:A$1002)-2),2)),0)+IFERROR(INDEX(Income!C$3:C$502,SMALL(IF((Income!D$3:D$502="INR")*(Income!A$3:A$502=DATE(2026,9,14)),ROW(Income!A$3:A$502)-2),2)),0))</f>
        <v/>
      </c>
      <c r="D190" s="38" t="str">
        <f aca="false">IF(IFERROR(INDEX(Expenses!B$3:B$1002,SMALL(IF((Expenses!E$3:E$1002="INR")*(Expenses!A$3:A$1002=DATE(2026,9,14)),ROW(Expenses!A$3:A$1002)-2),2)),"")&lt;&gt;"",IFERROR(INDEX(Expenses!B$3:B$1002,SMALL(IF((Expenses!E$3:E$1002="INR")*(Expenses!A$3:A$1002=DATE(2026,9,14)),ROW(Expenses!A$3:A$1002)-2),2)),""),IF(IFERROR(INDEX(Income!B$3:B$502,SMALL(IF((Income!D$3:D$502="INR")*(Income!A$3:A$502=DATE(2026,9,14)),ROW(Income!A$3:A$502)-2),2)),"")&lt;&gt;"",IFERROR(INDEX(Income!B$3:B$502,SMALL(IF((Income!D$3:D$502="INR")*(Income!A$3:A$502=DATE(2026,9,14)),ROW(Income!A$3:A$502)-2),2)),""),""))</f>
        <v/>
      </c>
      <c r="E190" s="63" t="str">
        <f aca="false">IF(IFERROR(-INDEX(Expenses!D$3:D$1002,SMALL(IF((Expenses!E$3:E$1002="INR")*(Expenses!A$3:A$1002=DATE(2026,9,15)),ROW(Expenses!A$3:A$1002)-2),2)),0)+IFERROR(INDEX(Income!C$3:C$502,SMALL(IF((Income!D$3:D$502="INR")*(Income!A$3:A$502=DATE(2026,9,15)),ROW(Income!A$3:A$502)-2),2)),0)=0,"",IFERROR(-INDEX(Expenses!D$3:D$1002,SMALL(IF((Expenses!E$3:E$1002="INR")*(Expenses!A$3:A$1002=DATE(2026,9,15)),ROW(Expenses!A$3:A$1002)-2),2)),0)+IFERROR(INDEX(Income!C$3:C$502,SMALL(IF((Income!D$3:D$502="INR")*(Income!A$3:A$502=DATE(2026,9,15)),ROW(Income!A$3:A$502)-2),2)),0))</f>
        <v/>
      </c>
      <c r="F190" s="38" t="str">
        <f aca="false">IF(IFERROR(INDEX(Expenses!B$3:B$1002,SMALL(IF((Expenses!E$3:E$1002="INR")*(Expenses!A$3:A$1002=DATE(2026,9,15)),ROW(Expenses!A$3:A$1002)-2),2)),"")&lt;&gt;"",IFERROR(INDEX(Expenses!B$3:B$1002,SMALL(IF((Expenses!E$3:E$1002="INR")*(Expenses!A$3:A$1002=DATE(2026,9,15)),ROW(Expenses!A$3:A$1002)-2),2)),""),IF(IFERROR(INDEX(Income!B$3:B$502,SMALL(IF((Income!D$3:D$502="INR")*(Income!A$3:A$502=DATE(2026,9,15)),ROW(Income!A$3:A$502)-2),2)),"")&lt;&gt;"",IFERROR(INDEX(Income!B$3:B$502,SMALL(IF((Income!D$3:D$502="INR")*(Income!A$3:A$502=DATE(2026,9,15)),ROW(Income!A$3:A$502)-2),2)),""),""))</f>
        <v/>
      </c>
      <c r="G190" s="63" t="str">
        <f aca="false">IF(IFERROR(-INDEX(Expenses!D$3:D$1002,SMALL(IF((Expenses!E$3:E$1002="INR")*(Expenses!A$3:A$1002=DATE(2026,9,16)),ROW(Expenses!A$3:A$1002)-2),2)),0)+IFERROR(INDEX(Income!C$3:C$502,SMALL(IF((Income!D$3:D$502="INR")*(Income!A$3:A$502=DATE(2026,9,16)),ROW(Income!A$3:A$502)-2),2)),0)=0,"",IFERROR(-INDEX(Expenses!D$3:D$1002,SMALL(IF((Expenses!E$3:E$1002="INR")*(Expenses!A$3:A$1002=DATE(2026,9,16)),ROW(Expenses!A$3:A$1002)-2),2)),0)+IFERROR(INDEX(Income!C$3:C$502,SMALL(IF((Income!D$3:D$502="INR")*(Income!A$3:A$502=DATE(2026,9,16)),ROW(Income!A$3:A$502)-2),2)),0))</f>
        <v/>
      </c>
      <c r="H190" s="38" t="str">
        <f aca="false">IF(IFERROR(INDEX(Expenses!B$3:B$1002,SMALL(IF((Expenses!E$3:E$1002="INR")*(Expenses!A$3:A$1002=DATE(2026,9,16)),ROW(Expenses!A$3:A$1002)-2),2)),"")&lt;&gt;"",IFERROR(INDEX(Expenses!B$3:B$1002,SMALL(IF((Expenses!E$3:E$1002="INR")*(Expenses!A$3:A$1002=DATE(2026,9,16)),ROW(Expenses!A$3:A$1002)-2),2)),""),IF(IFERROR(INDEX(Income!B$3:B$502,SMALL(IF((Income!D$3:D$502="INR")*(Income!A$3:A$502=DATE(2026,9,16)),ROW(Income!A$3:A$502)-2),2)),"")&lt;&gt;"",IFERROR(INDEX(Income!B$3:B$502,SMALL(IF((Income!D$3:D$502="INR")*(Income!A$3:A$502=DATE(2026,9,16)),ROW(Income!A$3:A$502)-2),2)),""),""))</f>
        <v/>
      </c>
      <c r="I190" s="63" t="str">
        <f aca="false">IF(IFERROR(-INDEX(Expenses!D$3:D$1002,SMALL(IF((Expenses!E$3:E$1002="INR")*(Expenses!A$3:A$1002=DATE(2026,9,17)),ROW(Expenses!A$3:A$1002)-2),2)),0)+IFERROR(INDEX(Income!C$3:C$502,SMALL(IF((Income!D$3:D$502="INR")*(Income!A$3:A$502=DATE(2026,9,17)),ROW(Income!A$3:A$502)-2),2)),0)=0,"",IFERROR(-INDEX(Expenses!D$3:D$1002,SMALL(IF((Expenses!E$3:E$1002="INR")*(Expenses!A$3:A$1002=DATE(2026,9,17)),ROW(Expenses!A$3:A$1002)-2),2)),0)+IFERROR(INDEX(Income!C$3:C$502,SMALL(IF((Income!D$3:D$502="INR")*(Income!A$3:A$502=DATE(2026,9,17)),ROW(Income!A$3:A$502)-2),2)),0))</f>
        <v/>
      </c>
      <c r="J190" s="38" t="str">
        <f aca="false">IF(IFERROR(INDEX(Expenses!B$3:B$1002,SMALL(IF((Expenses!E$3:E$1002="INR")*(Expenses!A$3:A$1002=DATE(2026,9,17)),ROW(Expenses!A$3:A$1002)-2),2)),"")&lt;&gt;"",IFERROR(INDEX(Expenses!B$3:B$1002,SMALL(IF((Expenses!E$3:E$1002="INR")*(Expenses!A$3:A$1002=DATE(2026,9,17)),ROW(Expenses!A$3:A$1002)-2),2)),""),IF(IFERROR(INDEX(Income!B$3:B$502,SMALL(IF((Income!D$3:D$502="INR")*(Income!A$3:A$502=DATE(2026,9,17)),ROW(Income!A$3:A$502)-2),2)),"")&lt;&gt;"",IFERROR(INDEX(Income!B$3:B$502,SMALL(IF((Income!D$3:D$502="INR")*(Income!A$3:A$502=DATE(2026,9,17)),ROW(Income!A$3:A$502)-2),2)),""),""))</f>
        <v/>
      </c>
      <c r="K190" s="63" t="str">
        <f aca="false">IF(IFERROR(-INDEX(Expenses!D$3:D$1002,SMALL(IF((Expenses!E$3:E$1002="INR")*(Expenses!A$3:A$1002=DATE(2026,9,18)),ROW(Expenses!A$3:A$1002)-2),2)),0)+IFERROR(INDEX(Income!C$3:C$502,SMALL(IF((Income!D$3:D$502="INR")*(Income!A$3:A$502=DATE(2026,9,18)),ROW(Income!A$3:A$502)-2),2)),0)=0,"",IFERROR(-INDEX(Expenses!D$3:D$1002,SMALL(IF((Expenses!E$3:E$1002="INR")*(Expenses!A$3:A$1002=DATE(2026,9,18)),ROW(Expenses!A$3:A$1002)-2),2)),0)+IFERROR(INDEX(Income!C$3:C$502,SMALL(IF((Income!D$3:D$502="INR")*(Income!A$3:A$502=DATE(2026,9,18)),ROW(Income!A$3:A$502)-2),2)),0))</f>
        <v/>
      </c>
      <c r="L190" s="38" t="str">
        <f aca="false">IF(IFERROR(INDEX(Expenses!B$3:B$1002,SMALL(IF((Expenses!E$3:E$1002="INR")*(Expenses!A$3:A$1002=DATE(2026,9,18)),ROW(Expenses!A$3:A$1002)-2),2)),"")&lt;&gt;"",IFERROR(INDEX(Expenses!B$3:B$1002,SMALL(IF((Expenses!E$3:E$1002="INR")*(Expenses!A$3:A$1002=DATE(2026,9,18)),ROW(Expenses!A$3:A$1002)-2),2)),""),IF(IFERROR(INDEX(Income!B$3:B$502,SMALL(IF((Income!D$3:D$502="INR")*(Income!A$3:A$502=DATE(2026,9,18)),ROW(Income!A$3:A$502)-2),2)),"")&lt;&gt;"",IFERROR(INDEX(Income!B$3:B$502,SMALL(IF((Income!D$3:D$502="INR")*(Income!A$3:A$502=DATE(2026,9,18)),ROW(Income!A$3:A$502)-2),2)),""),""))</f>
        <v/>
      </c>
      <c r="M190" s="63" t="str">
        <f aca="false">IF(IFERROR(-INDEX(Expenses!D$3:D$1002,SMALL(IF((Expenses!E$3:E$1002="INR")*(Expenses!A$3:A$1002=DATE(2026,9,19)),ROW(Expenses!A$3:A$1002)-2),2)),0)+IFERROR(INDEX(Income!C$3:C$502,SMALL(IF((Income!D$3:D$502="INR")*(Income!A$3:A$502=DATE(2026,9,19)),ROW(Income!A$3:A$502)-2),2)),0)=0,"",IFERROR(-INDEX(Expenses!D$3:D$1002,SMALL(IF((Expenses!E$3:E$1002="INR")*(Expenses!A$3:A$1002=DATE(2026,9,19)),ROW(Expenses!A$3:A$1002)-2),2)),0)+IFERROR(INDEX(Income!C$3:C$502,SMALL(IF((Income!D$3:D$502="INR")*(Income!A$3:A$502=DATE(2026,9,19)),ROW(Income!A$3:A$502)-2),2)),0))</f>
        <v/>
      </c>
      <c r="N190" s="38" t="str">
        <f aca="false">IF(IFERROR(INDEX(Expenses!B$3:B$1002,SMALL(IF((Expenses!E$3:E$1002="INR")*(Expenses!A$3:A$1002=DATE(2026,9,19)),ROW(Expenses!A$3:A$1002)-2),2)),"")&lt;&gt;"",IFERROR(INDEX(Expenses!B$3:B$1002,SMALL(IF((Expenses!E$3:E$1002="INR")*(Expenses!A$3:A$1002=DATE(2026,9,19)),ROW(Expenses!A$3:A$1002)-2),2)),""),IF(IFERROR(INDEX(Income!B$3:B$502,SMALL(IF((Income!D$3:D$502="INR")*(Income!A$3:A$502=DATE(2026,9,19)),ROW(Income!A$3:A$502)-2),2)),"")&lt;&gt;"",IFERROR(INDEX(Income!B$3:B$502,SMALL(IF((Income!D$3:D$502="INR")*(Income!A$3:A$502=DATE(2026,9,19)),ROW(Income!A$3:A$502)-2),2)),""),""))</f>
        <v/>
      </c>
      <c r="O190" s="63" t="str">
        <f aca="false">IF(IFERROR(-INDEX(Expenses!D$3:D$1002,SMALL(IF((Expenses!E$3:E$1002="INR")*(Expenses!A$3:A$1002=DATE(2026,9,20)),ROW(Expenses!A$3:A$1002)-2),2)),0)+IFERROR(INDEX(Income!C$3:C$502,SMALL(IF((Income!D$3:D$502="INR")*(Income!A$3:A$502=DATE(2026,9,20)),ROW(Income!A$3:A$502)-2),2)),0)=0,"",IFERROR(-INDEX(Expenses!D$3:D$1002,SMALL(IF((Expenses!E$3:E$1002="INR")*(Expenses!A$3:A$1002=DATE(2026,9,20)),ROW(Expenses!A$3:A$1002)-2),2)),0)+IFERROR(INDEX(Income!C$3:C$502,SMALL(IF((Income!D$3:D$502="INR")*(Income!A$3:A$502=DATE(2026,9,20)),ROW(Income!A$3:A$502)-2),2)),0))</f>
        <v/>
      </c>
      <c r="P190" s="38" t="str">
        <f aca="false">IF(IFERROR(INDEX(Expenses!B$3:B$1002,SMALL(IF((Expenses!E$3:E$1002="INR")*(Expenses!A$3:A$1002=DATE(2026,9,20)),ROW(Expenses!A$3:A$1002)-2),2)),"")&lt;&gt;"",IFERROR(INDEX(Expenses!B$3:B$1002,SMALL(IF((Expenses!E$3:E$1002="INR")*(Expenses!A$3:A$1002=DATE(2026,9,20)),ROW(Expenses!A$3:A$1002)-2),2)),""),IF(IFERROR(INDEX(Income!B$3:B$502,SMALL(IF((Income!D$3:D$502="INR")*(Income!A$3:A$502=DATE(2026,9,20)),ROW(Income!A$3:A$502)-2),2)),"")&lt;&gt;"",IFERROR(INDEX(Income!B$3:B$502,SMALL(IF((Income!D$3:D$502="INR")*(Income!A$3:A$502=DATE(2026,9,20)),ROW(Income!A$3:A$502)-2),2)),""),""))</f>
        <v/>
      </c>
      <c r="Q190" s="16"/>
      <c r="R190" s="16"/>
    </row>
    <row r="191" customFormat="false" ht="15" hidden="false" customHeight="false" outlineLevel="0" collapsed="false">
      <c r="A191" s="16"/>
      <c r="B191" s="16"/>
      <c r="C191" s="63" t="str">
        <f aca="false">IF(IFERROR(-INDEX(Expenses!D$3:D$1002,SMALL(IF((Expenses!E$3:E$1002="INR")*(Expenses!A$3:A$1002=DATE(2026,9,14)),ROW(Expenses!A$3:A$1002)-2),3)),0)+IFERROR(INDEX(Income!C$3:C$502,SMALL(IF((Income!D$3:D$502="INR")*(Income!A$3:A$502=DATE(2026,9,14)),ROW(Income!A$3:A$502)-2),3)),0)=0,"",IFERROR(-INDEX(Expenses!D$3:D$1002,SMALL(IF((Expenses!E$3:E$1002="INR")*(Expenses!A$3:A$1002=DATE(2026,9,14)),ROW(Expenses!A$3:A$1002)-2),3)),0)+IFERROR(INDEX(Income!C$3:C$502,SMALL(IF((Income!D$3:D$502="INR")*(Income!A$3:A$502=DATE(2026,9,14)),ROW(Income!A$3:A$502)-2),3)),0))</f>
        <v/>
      </c>
      <c r="D191" s="38" t="str">
        <f aca="false">IF(IFERROR(INDEX(Expenses!B$3:B$1002,SMALL(IF((Expenses!E$3:E$1002="INR")*(Expenses!A$3:A$1002=DATE(2026,9,14)),ROW(Expenses!A$3:A$1002)-2),3)),"")&lt;&gt;"",IFERROR(INDEX(Expenses!B$3:B$1002,SMALL(IF((Expenses!E$3:E$1002="INR")*(Expenses!A$3:A$1002=DATE(2026,9,14)),ROW(Expenses!A$3:A$1002)-2),3)),""),IF(IFERROR(INDEX(Income!B$3:B$502,SMALL(IF((Income!D$3:D$502="INR")*(Income!A$3:A$502=DATE(2026,9,14)),ROW(Income!A$3:A$502)-2),3)),"")&lt;&gt;"",IFERROR(INDEX(Income!B$3:B$502,SMALL(IF((Income!D$3:D$502="INR")*(Income!A$3:A$502=DATE(2026,9,14)),ROW(Income!A$3:A$502)-2),3)),""),""))</f>
        <v/>
      </c>
      <c r="E191" s="63" t="str">
        <f aca="false">IF(IFERROR(-INDEX(Expenses!D$3:D$1002,SMALL(IF((Expenses!E$3:E$1002="INR")*(Expenses!A$3:A$1002=DATE(2026,9,15)),ROW(Expenses!A$3:A$1002)-2),3)),0)+IFERROR(INDEX(Income!C$3:C$502,SMALL(IF((Income!D$3:D$502="INR")*(Income!A$3:A$502=DATE(2026,9,15)),ROW(Income!A$3:A$502)-2),3)),0)=0,"",IFERROR(-INDEX(Expenses!D$3:D$1002,SMALL(IF((Expenses!E$3:E$1002="INR")*(Expenses!A$3:A$1002=DATE(2026,9,15)),ROW(Expenses!A$3:A$1002)-2),3)),0)+IFERROR(INDEX(Income!C$3:C$502,SMALL(IF((Income!D$3:D$502="INR")*(Income!A$3:A$502=DATE(2026,9,15)),ROW(Income!A$3:A$502)-2),3)),0))</f>
        <v/>
      </c>
      <c r="F191" s="38" t="str">
        <f aca="false">IF(IFERROR(INDEX(Expenses!B$3:B$1002,SMALL(IF((Expenses!E$3:E$1002="INR")*(Expenses!A$3:A$1002=DATE(2026,9,15)),ROW(Expenses!A$3:A$1002)-2),3)),"")&lt;&gt;"",IFERROR(INDEX(Expenses!B$3:B$1002,SMALL(IF((Expenses!E$3:E$1002="INR")*(Expenses!A$3:A$1002=DATE(2026,9,15)),ROW(Expenses!A$3:A$1002)-2),3)),""),IF(IFERROR(INDEX(Income!B$3:B$502,SMALL(IF((Income!D$3:D$502="INR")*(Income!A$3:A$502=DATE(2026,9,15)),ROW(Income!A$3:A$502)-2),3)),"")&lt;&gt;"",IFERROR(INDEX(Income!B$3:B$502,SMALL(IF((Income!D$3:D$502="INR")*(Income!A$3:A$502=DATE(2026,9,15)),ROW(Income!A$3:A$502)-2),3)),""),""))</f>
        <v/>
      </c>
      <c r="G191" s="63" t="str">
        <f aca="false">IF(IFERROR(-INDEX(Expenses!D$3:D$1002,SMALL(IF((Expenses!E$3:E$1002="INR")*(Expenses!A$3:A$1002=DATE(2026,9,16)),ROW(Expenses!A$3:A$1002)-2),3)),0)+IFERROR(INDEX(Income!C$3:C$502,SMALL(IF((Income!D$3:D$502="INR")*(Income!A$3:A$502=DATE(2026,9,16)),ROW(Income!A$3:A$502)-2),3)),0)=0,"",IFERROR(-INDEX(Expenses!D$3:D$1002,SMALL(IF((Expenses!E$3:E$1002="INR")*(Expenses!A$3:A$1002=DATE(2026,9,16)),ROW(Expenses!A$3:A$1002)-2),3)),0)+IFERROR(INDEX(Income!C$3:C$502,SMALL(IF((Income!D$3:D$502="INR")*(Income!A$3:A$502=DATE(2026,9,16)),ROW(Income!A$3:A$502)-2),3)),0))</f>
        <v/>
      </c>
      <c r="H191" s="38" t="str">
        <f aca="false">IF(IFERROR(INDEX(Expenses!B$3:B$1002,SMALL(IF((Expenses!E$3:E$1002="INR")*(Expenses!A$3:A$1002=DATE(2026,9,16)),ROW(Expenses!A$3:A$1002)-2),3)),"")&lt;&gt;"",IFERROR(INDEX(Expenses!B$3:B$1002,SMALL(IF((Expenses!E$3:E$1002="INR")*(Expenses!A$3:A$1002=DATE(2026,9,16)),ROW(Expenses!A$3:A$1002)-2),3)),""),IF(IFERROR(INDEX(Income!B$3:B$502,SMALL(IF((Income!D$3:D$502="INR")*(Income!A$3:A$502=DATE(2026,9,16)),ROW(Income!A$3:A$502)-2),3)),"")&lt;&gt;"",IFERROR(INDEX(Income!B$3:B$502,SMALL(IF((Income!D$3:D$502="INR")*(Income!A$3:A$502=DATE(2026,9,16)),ROW(Income!A$3:A$502)-2),3)),""),""))</f>
        <v/>
      </c>
      <c r="I191" s="63" t="str">
        <f aca="false">IF(IFERROR(-INDEX(Expenses!D$3:D$1002,SMALL(IF((Expenses!E$3:E$1002="INR")*(Expenses!A$3:A$1002=DATE(2026,9,17)),ROW(Expenses!A$3:A$1002)-2),3)),0)+IFERROR(INDEX(Income!C$3:C$502,SMALL(IF((Income!D$3:D$502="INR")*(Income!A$3:A$502=DATE(2026,9,17)),ROW(Income!A$3:A$502)-2),3)),0)=0,"",IFERROR(-INDEX(Expenses!D$3:D$1002,SMALL(IF((Expenses!E$3:E$1002="INR")*(Expenses!A$3:A$1002=DATE(2026,9,17)),ROW(Expenses!A$3:A$1002)-2),3)),0)+IFERROR(INDEX(Income!C$3:C$502,SMALL(IF((Income!D$3:D$502="INR")*(Income!A$3:A$502=DATE(2026,9,17)),ROW(Income!A$3:A$502)-2),3)),0))</f>
        <v/>
      </c>
      <c r="J191" s="38" t="str">
        <f aca="false">IF(IFERROR(INDEX(Expenses!B$3:B$1002,SMALL(IF((Expenses!E$3:E$1002="INR")*(Expenses!A$3:A$1002=DATE(2026,9,17)),ROW(Expenses!A$3:A$1002)-2),3)),"")&lt;&gt;"",IFERROR(INDEX(Expenses!B$3:B$1002,SMALL(IF((Expenses!E$3:E$1002="INR")*(Expenses!A$3:A$1002=DATE(2026,9,17)),ROW(Expenses!A$3:A$1002)-2),3)),""),IF(IFERROR(INDEX(Income!B$3:B$502,SMALL(IF((Income!D$3:D$502="INR")*(Income!A$3:A$502=DATE(2026,9,17)),ROW(Income!A$3:A$502)-2),3)),"")&lt;&gt;"",IFERROR(INDEX(Income!B$3:B$502,SMALL(IF((Income!D$3:D$502="INR")*(Income!A$3:A$502=DATE(2026,9,17)),ROW(Income!A$3:A$502)-2),3)),""),""))</f>
        <v/>
      </c>
      <c r="K191" s="63" t="str">
        <f aca="false">IF(IFERROR(-INDEX(Expenses!D$3:D$1002,SMALL(IF((Expenses!E$3:E$1002="INR")*(Expenses!A$3:A$1002=DATE(2026,9,18)),ROW(Expenses!A$3:A$1002)-2),3)),0)+IFERROR(INDEX(Income!C$3:C$502,SMALL(IF((Income!D$3:D$502="INR")*(Income!A$3:A$502=DATE(2026,9,18)),ROW(Income!A$3:A$502)-2),3)),0)=0,"",IFERROR(-INDEX(Expenses!D$3:D$1002,SMALL(IF((Expenses!E$3:E$1002="INR")*(Expenses!A$3:A$1002=DATE(2026,9,18)),ROW(Expenses!A$3:A$1002)-2),3)),0)+IFERROR(INDEX(Income!C$3:C$502,SMALL(IF((Income!D$3:D$502="INR")*(Income!A$3:A$502=DATE(2026,9,18)),ROW(Income!A$3:A$502)-2),3)),0))</f>
        <v/>
      </c>
      <c r="L191" s="38" t="str">
        <f aca="false">IF(IFERROR(INDEX(Expenses!B$3:B$1002,SMALL(IF((Expenses!E$3:E$1002="INR")*(Expenses!A$3:A$1002=DATE(2026,9,18)),ROW(Expenses!A$3:A$1002)-2),3)),"")&lt;&gt;"",IFERROR(INDEX(Expenses!B$3:B$1002,SMALL(IF((Expenses!E$3:E$1002="INR")*(Expenses!A$3:A$1002=DATE(2026,9,18)),ROW(Expenses!A$3:A$1002)-2),3)),""),IF(IFERROR(INDEX(Income!B$3:B$502,SMALL(IF((Income!D$3:D$502="INR")*(Income!A$3:A$502=DATE(2026,9,18)),ROW(Income!A$3:A$502)-2),3)),"")&lt;&gt;"",IFERROR(INDEX(Income!B$3:B$502,SMALL(IF((Income!D$3:D$502="INR")*(Income!A$3:A$502=DATE(2026,9,18)),ROW(Income!A$3:A$502)-2),3)),""),""))</f>
        <v/>
      </c>
      <c r="M191" s="63" t="str">
        <f aca="false">IF(IFERROR(-INDEX(Expenses!D$3:D$1002,SMALL(IF((Expenses!E$3:E$1002="INR")*(Expenses!A$3:A$1002=DATE(2026,9,19)),ROW(Expenses!A$3:A$1002)-2),3)),0)+IFERROR(INDEX(Income!C$3:C$502,SMALL(IF((Income!D$3:D$502="INR")*(Income!A$3:A$502=DATE(2026,9,19)),ROW(Income!A$3:A$502)-2),3)),0)=0,"",IFERROR(-INDEX(Expenses!D$3:D$1002,SMALL(IF((Expenses!E$3:E$1002="INR")*(Expenses!A$3:A$1002=DATE(2026,9,19)),ROW(Expenses!A$3:A$1002)-2),3)),0)+IFERROR(INDEX(Income!C$3:C$502,SMALL(IF((Income!D$3:D$502="INR")*(Income!A$3:A$502=DATE(2026,9,19)),ROW(Income!A$3:A$502)-2),3)),0))</f>
        <v/>
      </c>
      <c r="N191" s="38" t="str">
        <f aca="false">IF(IFERROR(INDEX(Expenses!B$3:B$1002,SMALL(IF((Expenses!E$3:E$1002="INR")*(Expenses!A$3:A$1002=DATE(2026,9,19)),ROW(Expenses!A$3:A$1002)-2),3)),"")&lt;&gt;"",IFERROR(INDEX(Expenses!B$3:B$1002,SMALL(IF((Expenses!E$3:E$1002="INR")*(Expenses!A$3:A$1002=DATE(2026,9,19)),ROW(Expenses!A$3:A$1002)-2),3)),""),IF(IFERROR(INDEX(Income!B$3:B$502,SMALL(IF((Income!D$3:D$502="INR")*(Income!A$3:A$502=DATE(2026,9,19)),ROW(Income!A$3:A$502)-2),3)),"")&lt;&gt;"",IFERROR(INDEX(Income!B$3:B$502,SMALL(IF((Income!D$3:D$502="INR")*(Income!A$3:A$502=DATE(2026,9,19)),ROW(Income!A$3:A$502)-2),3)),""),""))</f>
        <v/>
      </c>
      <c r="O191" s="63" t="str">
        <f aca="false">IF(IFERROR(-INDEX(Expenses!D$3:D$1002,SMALL(IF((Expenses!E$3:E$1002="INR")*(Expenses!A$3:A$1002=DATE(2026,9,20)),ROW(Expenses!A$3:A$1002)-2),3)),0)+IFERROR(INDEX(Income!C$3:C$502,SMALL(IF((Income!D$3:D$502="INR")*(Income!A$3:A$502=DATE(2026,9,20)),ROW(Income!A$3:A$502)-2),3)),0)=0,"",IFERROR(-INDEX(Expenses!D$3:D$1002,SMALL(IF((Expenses!E$3:E$1002="INR")*(Expenses!A$3:A$1002=DATE(2026,9,20)),ROW(Expenses!A$3:A$1002)-2),3)),0)+IFERROR(INDEX(Income!C$3:C$502,SMALL(IF((Income!D$3:D$502="INR")*(Income!A$3:A$502=DATE(2026,9,20)),ROW(Income!A$3:A$502)-2),3)),0))</f>
        <v/>
      </c>
      <c r="P191" s="38" t="str">
        <f aca="false">IF(IFERROR(INDEX(Expenses!B$3:B$1002,SMALL(IF((Expenses!E$3:E$1002="INR")*(Expenses!A$3:A$1002=DATE(2026,9,20)),ROW(Expenses!A$3:A$1002)-2),3)),"")&lt;&gt;"",IFERROR(INDEX(Expenses!B$3:B$1002,SMALL(IF((Expenses!E$3:E$1002="INR")*(Expenses!A$3:A$1002=DATE(2026,9,20)),ROW(Expenses!A$3:A$1002)-2),3)),""),IF(IFERROR(INDEX(Income!B$3:B$502,SMALL(IF((Income!D$3:D$502="INR")*(Income!A$3:A$502=DATE(2026,9,20)),ROW(Income!A$3:A$502)-2),3)),"")&lt;&gt;"",IFERROR(INDEX(Income!B$3:B$502,SMALL(IF((Income!D$3:D$502="INR")*(Income!A$3:A$502=DATE(2026,9,20)),ROW(Income!A$3:A$502)-2),3)),""),""))</f>
        <v/>
      </c>
      <c r="Q191" s="16"/>
      <c r="R191" s="16"/>
    </row>
    <row r="192" customFormat="false" ht="15" hidden="false" customHeight="false" outlineLevel="0" collapsed="false">
      <c r="A192" s="16"/>
      <c r="B192" s="16"/>
      <c r="C192" s="63" t="str">
        <f aca="false">IF(IFERROR(-INDEX(Expenses!D$3:D$1002,SMALL(IF((Expenses!E$3:E$1002="INR")*(Expenses!A$3:A$1002=DATE(2026,9,14)),ROW(Expenses!A$3:A$1002)-2),4)),0)+IFERROR(INDEX(Income!C$3:C$502,SMALL(IF((Income!D$3:D$502="INR")*(Income!A$3:A$502=DATE(2026,9,14)),ROW(Income!A$3:A$502)-2),4)),0)=0,"",IFERROR(-INDEX(Expenses!D$3:D$1002,SMALL(IF((Expenses!E$3:E$1002="INR")*(Expenses!A$3:A$1002=DATE(2026,9,14)),ROW(Expenses!A$3:A$1002)-2),4)),0)+IFERROR(INDEX(Income!C$3:C$502,SMALL(IF((Income!D$3:D$502="INR")*(Income!A$3:A$502=DATE(2026,9,14)),ROW(Income!A$3:A$502)-2),4)),0))</f>
        <v/>
      </c>
      <c r="D192" s="38" t="str">
        <f aca="false">IF(IFERROR(INDEX(Expenses!B$3:B$1002,SMALL(IF((Expenses!E$3:E$1002="INR")*(Expenses!A$3:A$1002=DATE(2026,9,14)),ROW(Expenses!A$3:A$1002)-2),4)),"")&lt;&gt;"",IFERROR(INDEX(Expenses!B$3:B$1002,SMALL(IF((Expenses!E$3:E$1002="INR")*(Expenses!A$3:A$1002=DATE(2026,9,14)),ROW(Expenses!A$3:A$1002)-2),4)),""),IF(IFERROR(INDEX(Income!B$3:B$502,SMALL(IF((Income!D$3:D$502="INR")*(Income!A$3:A$502=DATE(2026,9,14)),ROW(Income!A$3:A$502)-2),4)),"")&lt;&gt;"",IFERROR(INDEX(Income!B$3:B$502,SMALL(IF((Income!D$3:D$502="INR")*(Income!A$3:A$502=DATE(2026,9,14)),ROW(Income!A$3:A$502)-2),4)),""),""))</f>
        <v/>
      </c>
      <c r="E192" s="63" t="str">
        <f aca="false">IF(IFERROR(-INDEX(Expenses!D$3:D$1002,SMALL(IF((Expenses!E$3:E$1002="INR")*(Expenses!A$3:A$1002=DATE(2026,9,15)),ROW(Expenses!A$3:A$1002)-2),4)),0)+IFERROR(INDEX(Income!C$3:C$502,SMALL(IF((Income!D$3:D$502="INR")*(Income!A$3:A$502=DATE(2026,9,15)),ROW(Income!A$3:A$502)-2),4)),0)=0,"",IFERROR(-INDEX(Expenses!D$3:D$1002,SMALL(IF((Expenses!E$3:E$1002="INR")*(Expenses!A$3:A$1002=DATE(2026,9,15)),ROW(Expenses!A$3:A$1002)-2),4)),0)+IFERROR(INDEX(Income!C$3:C$502,SMALL(IF((Income!D$3:D$502="INR")*(Income!A$3:A$502=DATE(2026,9,15)),ROW(Income!A$3:A$502)-2),4)),0))</f>
        <v/>
      </c>
      <c r="F192" s="38" t="str">
        <f aca="false">IF(IFERROR(INDEX(Expenses!B$3:B$1002,SMALL(IF((Expenses!E$3:E$1002="INR")*(Expenses!A$3:A$1002=DATE(2026,9,15)),ROW(Expenses!A$3:A$1002)-2),4)),"")&lt;&gt;"",IFERROR(INDEX(Expenses!B$3:B$1002,SMALL(IF((Expenses!E$3:E$1002="INR")*(Expenses!A$3:A$1002=DATE(2026,9,15)),ROW(Expenses!A$3:A$1002)-2),4)),""),IF(IFERROR(INDEX(Income!B$3:B$502,SMALL(IF((Income!D$3:D$502="INR")*(Income!A$3:A$502=DATE(2026,9,15)),ROW(Income!A$3:A$502)-2),4)),"")&lt;&gt;"",IFERROR(INDEX(Income!B$3:B$502,SMALL(IF((Income!D$3:D$502="INR")*(Income!A$3:A$502=DATE(2026,9,15)),ROW(Income!A$3:A$502)-2),4)),""),""))</f>
        <v/>
      </c>
      <c r="G192" s="63" t="str">
        <f aca="false">IF(IFERROR(-INDEX(Expenses!D$3:D$1002,SMALL(IF((Expenses!E$3:E$1002="INR")*(Expenses!A$3:A$1002=DATE(2026,9,16)),ROW(Expenses!A$3:A$1002)-2),4)),0)+IFERROR(INDEX(Income!C$3:C$502,SMALL(IF((Income!D$3:D$502="INR")*(Income!A$3:A$502=DATE(2026,9,16)),ROW(Income!A$3:A$502)-2),4)),0)=0,"",IFERROR(-INDEX(Expenses!D$3:D$1002,SMALL(IF((Expenses!E$3:E$1002="INR")*(Expenses!A$3:A$1002=DATE(2026,9,16)),ROW(Expenses!A$3:A$1002)-2),4)),0)+IFERROR(INDEX(Income!C$3:C$502,SMALL(IF((Income!D$3:D$502="INR")*(Income!A$3:A$502=DATE(2026,9,16)),ROW(Income!A$3:A$502)-2),4)),0))</f>
        <v/>
      </c>
      <c r="H192" s="38" t="str">
        <f aca="false">IF(IFERROR(INDEX(Expenses!B$3:B$1002,SMALL(IF((Expenses!E$3:E$1002="INR")*(Expenses!A$3:A$1002=DATE(2026,9,16)),ROW(Expenses!A$3:A$1002)-2),4)),"")&lt;&gt;"",IFERROR(INDEX(Expenses!B$3:B$1002,SMALL(IF((Expenses!E$3:E$1002="INR")*(Expenses!A$3:A$1002=DATE(2026,9,16)),ROW(Expenses!A$3:A$1002)-2),4)),""),IF(IFERROR(INDEX(Income!B$3:B$502,SMALL(IF((Income!D$3:D$502="INR")*(Income!A$3:A$502=DATE(2026,9,16)),ROW(Income!A$3:A$502)-2),4)),"")&lt;&gt;"",IFERROR(INDEX(Income!B$3:B$502,SMALL(IF((Income!D$3:D$502="INR")*(Income!A$3:A$502=DATE(2026,9,16)),ROW(Income!A$3:A$502)-2),4)),""),""))</f>
        <v/>
      </c>
      <c r="I192" s="63" t="str">
        <f aca="false">IF(IFERROR(-INDEX(Expenses!D$3:D$1002,SMALL(IF((Expenses!E$3:E$1002="INR")*(Expenses!A$3:A$1002=DATE(2026,9,17)),ROW(Expenses!A$3:A$1002)-2),4)),0)+IFERROR(INDEX(Income!C$3:C$502,SMALL(IF((Income!D$3:D$502="INR")*(Income!A$3:A$502=DATE(2026,9,17)),ROW(Income!A$3:A$502)-2),4)),0)=0,"",IFERROR(-INDEX(Expenses!D$3:D$1002,SMALL(IF((Expenses!E$3:E$1002="INR")*(Expenses!A$3:A$1002=DATE(2026,9,17)),ROW(Expenses!A$3:A$1002)-2),4)),0)+IFERROR(INDEX(Income!C$3:C$502,SMALL(IF((Income!D$3:D$502="INR")*(Income!A$3:A$502=DATE(2026,9,17)),ROW(Income!A$3:A$502)-2),4)),0))</f>
        <v/>
      </c>
      <c r="J192" s="38" t="str">
        <f aca="false">IF(IFERROR(INDEX(Expenses!B$3:B$1002,SMALL(IF((Expenses!E$3:E$1002="INR")*(Expenses!A$3:A$1002=DATE(2026,9,17)),ROW(Expenses!A$3:A$1002)-2),4)),"")&lt;&gt;"",IFERROR(INDEX(Expenses!B$3:B$1002,SMALL(IF((Expenses!E$3:E$1002="INR")*(Expenses!A$3:A$1002=DATE(2026,9,17)),ROW(Expenses!A$3:A$1002)-2),4)),""),IF(IFERROR(INDEX(Income!B$3:B$502,SMALL(IF((Income!D$3:D$502="INR")*(Income!A$3:A$502=DATE(2026,9,17)),ROW(Income!A$3:A$502)-2),4)),"")&lt;&gt;"",IFERROR(INDEX(Income!B$3:B$502,SMALL(IF((Income!D$3:D$502="INR")*(Income!A$3:A$502=DATE(2026,9,17)),ROW(Income!A$3:A$502)-2),4)),""),""))</f>
        <v/>
      </c>
      <c r="K192" s="63" t="str">
        <f aca="false">IF(IFERROR(-INDEX(Expenses!D$3:D$1002,SMALL(IF((Expenses!E$3:E$1002="INR")*(Expenses!A$3:A$1002=DATE(2026,9,18)),ROW(Expenses!A$3:A$1002)-2),4)),0)+IFERROR(INDEX(Income!C$3:C$502,SMALL(IF((Income!D$3:D$502="INR")*(Income!A$3:A$502=DATE(2026,9,18)),ROW(Income!A$3:A$502)-2),4)),0)=0,"",IFERROR(-INDEX(Expenses!D$3:D$1002,SMALL(IF((Expenses!E$3:E$1002="INR")*(Expenses!A$3:A$1002=DATE(2026,9,18)),ROW(Expenses!A$3:A$1002)-2),4)),0)+IFERROR(INDEX(Income!C$3:C$502,SMALL(IF((Income!D$3:D$502="INR")*(Income!A$3:A$502=DATE(2026,9,18)),ROW(Income!A$3:A$502)-2),4)),0))</f>
        <v/>
      </c>
      <c r="L192" s="38" t="str">
        <f aca="false">IF(IFERROR(INDEX(Expenses!B$3:B$1002,SMALL(IF((Expenses!E$3:E$1002="INR")*(Expenses!A$3:A$1002=DATE(2026,9,18)),ROW(Expenses!A$3:A$1002)-2),4)),"")&lt;&gt;"",IFERROR(INDEX(Expenses!B$3:B$1002,SMALL(IF((Expenses!E$3:E$1002="INR")*(Expenses!A$3:A$1002=DATE(2026,9,18)),ROW(Expenses!A$3:A$1002)-2),4)),""),IF(IFERROR(INDEX(Income!B$3:B$502,SMALL(IF((Income!D$3:D$502="INR")*(Income!A$3:A$502=DATE(2026,9,18)),ROW(Income!A$3:A$502)-2),4)),"")&lt;&gt;"",IFERROR(INDEX(Income!B$3:B$502,SMALL(IF((Income!D$3:D$502="INR")*(Income!A$3:A$502=DATE(2026,9,18)),ROW(Income!A$3:A$502)-2),4)),""),""))</f>
        <v/>
      </c>
      <c r="M192" s="63" t="str">
        <f aca="false">IF(IFERROR(-INDEX(Expenses!D$3:D$1002,SMALL(IF((Expenses!E$3:E$1002="INR")*(Expenses!A$3:A$1002=DATE(2026,9,19)),ROW(Expenses!A$3:A$1002)-2),4)),0)+IFERROR(INDEX(Income!C$3:C$502,SMALL(IF((Income!D$3:D$502="INR")*(Income!A$3:A$502=DATE(2026,9,19)),ROW(Income!A$3:A$502)-2),4)),0)=0,"",IFERROR(-INDEX(Expenses!D$3:D$1002,SMALL(IF((Expenses!E$3:E$1002="INR")*(Expenses!A$3:A$1002=DATE(2026,9,19)),ROW(Expenses!A$3:A$1002)-2),4)),0)+IFERROR(INDEX(Income!C$3:C$502,SMALL(IF((Income!D$3:D$502="INR")*(Income!A$3:A$502=DATE(2026,9,19)),ROW(Income!A$3:A$502)-2),4)),0))</f>
        <v/>
      </c>
      <c r="N192" s="38" t="str">
        <f aca="false">IF(IFERROR(INDEX(Expenses!B$3:B$1002,SMALL(IF((Expenses!E$3:E$1002="INR")*(Expenses!A$3:A$1002=DATE(2026,9,19)),ROW(Expenses!A$3:A$1002)-2),4)),"")&lt;&gt;"",IFERROR(INDEX(Expenses!B$3:B$1002,SMALL(IF((Expenses!E$3:E$1002="INR")*(Expenses!A$3:A$1002=DATE(2026,9,19)),ROW(Expenses!A$3:A$1002)-2),4)),""),IF(IFERROR(INDEX(Income!B$3:B$502,SMALL(IF((Income!D$3:D$502="INR")*(Income!A$3:A$502=DATE(2026,9,19)),ROW(Income!A$3:A$502)-2),4)),"")&lt;&gt;"",IFERROR(INDEX(Income!B$3:B$502,SMALL(IF((Income!D$3:D$502="INR")*(Income!A$3:A$502=DATE(2026,9,19)),ROW(Income!A$3:A$502)-2),4)),""),""))</f>
        <v/>
      </c>
      <c r="O192" s="63" t="str">
        <f aca="false">IF(IFERROR(-INDEX(Expenses!D$3:D$1002,SMALL(IF((Expenses!E$3:E$1002="INR")*(Expenses!A$3:A$1002=DATE(2026,9,20)),ROW(Expenses!A$3:A$1002)-2),4)),0)+IFERROR(INDEX(Income!C$3:C$502,SMALL(IF((Income!D$3:D$502="INR")*(Income!A$3:A$502=DATE(2026,9,20)),ROW(Income!A$3:A$502)-2),4)),0)=0,"",IFERROR(-INDEX(Expenses!D$3:D$1002,SMALL(IF((Expenses!E$3:E$1002="INR")*(Expenses!A$3:A$1002=DATE(2026,9,20)),ROW(Expenses!A$3:A$1002)-2),4)),0)+IFERROR(INDEX(Income!C$3:C$502,SMALL(IF((Income!D$3:D$502="INR")*(Income!A$3:A$502=DATE(2026,9,20)),ROW(Income!A$3:A$502)-2),4)),0))</f>
        <v/>
      </c>
      <c r="P192" s="38" t="str">
        <f aca="false">IF(IFERROR(INDEX(Expenses!B$3:B$1002,SMALL(IF((Expenses!E$3:E$1002="INR")*(Expenses!A$3:A$1002=DATE(2026,9,20)),ROW(Expenses!A$3:A$1002)-2),4)),"")&lt;&gt;"",IFERROR(INDEX(Expenses!B$3:B$1002,SMALL(IF((Expenses!E$3:E$1002="INR")*(Expenses!A$3:A$1002=DATE(2026,9,20)),ROW(Expenses!A$3:A$1002)-2),4)),""),IF(IFERROR(INDEX(Income!B$3:B$502,SMALL(IF((Income!D$3:D$502="INR")*(Income!A$3:A$502=DATE(2026,9,20)),ROW(Income!A$3:A$502)-2),4)),"")&lt;&gt;"",IFERROR(INDEX(Income!B$3:B$502,SMALL(IF((Income!D$3:D$502="INR")*(Income!A$3:A$502=DATE(2026,9,20)),ROW(Income!A$3:A$502)-2),4)),""),""))</f>
        <v/>
      </c>
      <c r="Q192" s="16"/>
      <c r="R192" s="16"/>
    </row>
    <row r="193" customFormat="false" ht="15" hidden="false" customHeight="false" outlineLevel="0" collapsed="false">
      <c r="A193" s="16"/>
      <c r="B193" s="16"/>
      <c r="C193" s="63" t="str">
        <f aca="false">IF(IFERROR(-INDEX(Expenses!D$3:D$1002,SMALL(IF((Expenses!E$3:E$1002="INR")*(Expenses!A$3:A$1002=DATE(2026,9,14)),ROW(Expenses!A$3:A$1002)-2),5)),0)+IFERROR(INDEX(Income!C$3:C$502,SMALL(IF((Income!D$3:D$502="INR")*(Income!A$3:A$502=DATE(2026,9,14)),ROW(Income!A$3:A$502)-2),5)),0)=0,"",IFERROR(-INDEX(Expenses!D$3:D$1002,SMALL(IF((Expenses!E$3:E$1002="INR")*(Expenses!A$3:A$1002=DATE(2026,9,14)),ROW(Expenses!A$3:A$1002)-2),5)),0)+IFERROR(INDEX(Income!C$3:C$502,SMALL(IF((Income!D$3:D$502="INR")*(Income!A$3:A$502=DATE(2026,9,14)),ROW(Income!A$3:A$502)-2),5)),0))</f>
        <v/>
      </c>
      <c r="D193" s="38" t="str">
        <f aca="false">IF(IFERROR(INDEX(Expenses!B$3:B$1002,SMALL(IF((Expenses!E$3:E$1002="INR")*(Expenses!A$3:A$1002=DATE(2026,9,14)),ROW(Expenses!A$3:A$1002)-2),5)),"")&lt;&gt;"",IFERROR(INDEX(Expenses!B$3:B$1002,SMALL(IF((Expenses!E$3:E$1002="INR")*(Expenses!A$3:A$1002=DATE(2026,9,14)),ROW(Expenses!A$3:A$1002)-2),5)),""),IF(IFERROR(INDEX(Income!B$3:B$502,SMALL(IF((Income!D$3:D$502="INR")*(Income!A$3:A$502=DATE(2026,9,14)),ROW(Income!A$3:A$502)-2),5)),"")&lt;&gt;"",IFERROR(INDEX(Income!B$3:B$502,SMALL(IF((Income!D$3:D$502="INR")*(Income!A$3:A$502=DATE(2026,9,14)),ROW(Income!A$3:A$502)-2),5)),""),""))</f>
        <v/>
      </c>
      <c r="E193" s="63" t="str">
        <f aca="false">IF(IFERROR(-INDEX(Expenses!D$3:D$1002,SMALL(IF((Expenses!E$3:E$1002="INR")*(Expenses!A$3:A$1002=DATE(2026,9,15)),ROW(Expenses!A$3:A$1002)-2),5)),0)+IFERROR(INDEX(Income!C$3:C$502,SMALL(IF((Income!D$3:D$502="INR")*(Income!A$3:A$502=DATE(2026,9,15)),ROW(Income!A$3:A$502)-2),5)),0)=0,"",IFERROR(-INDEX(Expenses!D$3:D$1002,SMALL(IF((Expenses!E$3:E$1002="INR")*(Expenses!A$3:A$1002=DATE(2026,9,15)),ROW(Expenses!A$3:A$1002)-2),5)),0)+IFERROR(INDEX(Income!C$3:C$502,SMALL(IF((Income!D$3:D$502="INR")*(Income!A$3:A$502=DATE(2026,9,15)),ROW(Income!A$3:A$502)-2),5)),0))</f>
        <v/>
      </c>
      <c r="F193" s="38" t="str">
        <f aca="false">IF(IFERROR(INDEX(Expenses!B$3:B$1002,SMALL(IF((Expenses!E$3:E$1002="INR")*(Expenses!A$3:A$1002=DATE(2026,9,15)),ROW(Expenses!A$3:A$1002)-2),5)),"")&lt;&gt;"",IFERROR(INDEX(Expenses!B$3:B$1002,SMALL(IF((Expenses!E$3:E$1002="INR")*(Expenses!A$3:A$1002=DATE(2026,9,15)),ROW(Expenses!A$3:A$1002)-2),5)),""),IF(IFERROR(INDEX(Income!B$3:B$502,SMALL(IF((Income!D$3:D$502="INR")*(Income!A$3:A$502=DATE(2026,9,15)),ROW(Income!A$3:A$502)-2),5)),"")&lt;&gt;"",IFERROR(INDEX(Income!B$3:B$502,SMALL(IF((Income!D$3:D$502="INR")*(Income!A$3:A$502=DATE(2026,9,15)),ROW(Income!A$3:A$502)-2),5)),""),""))</f>
        <v/>
      </c>
      <c r="G193" s="63" t="str">
        <f aca="false">IF(IFERROR(-INDEX(Expenses!D$3:D$1002,SMALL(IF((Expenses!E$3:E$1002="INR")*(Expenses!A$3:A$1002=DATE(2026,9,16)),ROW(Expenses!A$3:A$1002)-2),5)),0)+IFERROR(INDEX(Income!C$3:C$502,SMALL(IF((Income!D$3:D$502="INR")*(Income!A$3:A$502=DATE(2026,9,16)),ROW(Income!A$3:A$502)-2),5)),0)=0,"",IFERROR(-INDEX(Expenses!D$3:D$1002,SMALL(IF((Expenses!E$3:E$1002="INR")*(Expenses!A$3:A$1002=DATE(2026,9,16)),ROW(Expenses!A$3:A$1002)-2),5)),0)+IFERROR(INDEX(Income!C$3:C$502,SMALL(IF((Income!D$3:D$502="INR")*(Income!A$3:A$502=DATE(2026,9,16)),ROW(Income!A$3:A$502)-2),5)),0))</f>
        <v/>
      </c>
      <c r="H193" s="38" t="str">
        <f aca="false">IF(IFERROR(INDEX(Expenses!B$3:B$1002,SMALL(IF((Expenses!E$3:E$1002="INR")*(Expenses!A$3:A$1002=DATE(2026,9,16)),ROW(Expenses!A$3:A$1002)-2),5)),"")&lt;&gt;"",IFERROR(INDEX(Expenses!B$3:B$1002,SMALL(IF((Expenses!E$3:E$1002="INR")*(Expenses!A$3:A$1002=DATE(2026,9,16)),ROW(Expenses!A$3:A$1002)-2),5)),""),IF(IFERROR(INDEX(Income!B$3:B$502,SMALL(IF((Income!D$3:D$502="INR")*(Income!A$3:A$502=DATE(2026,9,16)),ROW(Income!A$3:A$502)-2),5)),"")&lt;&gt;"",IFERROR(INDEX(Income!B$3:B$502,SMALL(IF((Income!D$3:D$502="INR")*(Income!A$3:A$502=DATE(2026,9,16)),ROW(Income!A$3:A$502)-2),5)),""),""))</f>
        <v/>
      </c>
      <c r="I193" s="63" t="str">
        <f aca="false">IF(IFERROR(-INDEX(Expenses!D$3:D$1002,SMALL(IF((Expenses!E$3:E$1002="INR")*(Expenses!A$3:A$1002=DATE(2026,9,17)),ROW(Expenses!A$3:A$1002)-2),5)),0)+IFERROR(INDEX(Income!C$3:C$502,SMALL(IF((Income!D$3:D$502="INR")*(Income!A$3:A$502=DATE(2026,9,17)),ROW(Income!A$3:A$502)-2),5)),0)=0,"",IFERROR(-INDEX(Expenses!D$3:D$1002,SMALL(IF((Expenses!E$3:E$1002="INR")*(Expenses!A$3:A$1002=DATE(2026,9,17)),ROW(Expenses!A$3:A$1002)-2),5)),0)+IFERROR(INDEX(Income!C$3:C$502,SMALL(IF((Income!D$3:D$502="INR")*(Income!A$3:A$502=DATE(2026,9,17)),ROW(Income!A$3:A$502)-2),5)),0))</f>
        <v/>
      </c>
      <c r="J193" s="38" t="str">
        <f aca="false">IF(IFERROR(INDEX(Expenses!B$3:B$1002,SMALL(IF((Expenses!E$3:E$1002="INR")*(Expenses!A$3:A$1002=DATE(2026,9,17)),ROW(Expenses!A$3:A$1002)-2),5)),"")&lt;&gt;"",IFERROR(INDEX(Expenses!B$3:B$1002,SMALL(IF((Expenses!E$3:E$1002="INR")*(Expenses!A$3:A$1002=DATE(2026,9,17)),ROW(Expenses!A$3:A$1002)-2),5)),""),IF(IFERROR(INDEX(Income!B$3:B$502,SMALL(IF((Income!D$3:D$502="INR")*(Income!A$3:A$502=DATE(2026,9,17)),ROW(Income!A$3:A$502)-2),5)),"")&lt;&gt;"",IFERROR(INDEX(Income!B$3:B$502,SMALL(IF((Income!D$3:D$502="INR")*(Income!A$3:A$502=DATE(2026,9,17)),ROW(Income!A$3:A$502)-2),5)),""),""))</f>
        <v/>
      </c>
      <c r="K193" s="63" t="str">
        <f aca="false">IF(IFERROR(-INDEX(Expenses!D$3:D$1002,SMALL(IF((Expenses!E$3:E$1002="INR")*(Expenses!A$3:A$1002=DATE(2026,9,18)),ROW(Expenses!A$3:A$1002)-2),5)),0)+IFERROR(INDEX(Income!C$3:C$502,SMALL(IF((Income!D$3:D$502="INR")*(Income!A$3:A$502=DATE(2026,9,18)),ROW(Income!A$3:A$502)-2),5)),0)=0,"",IFERROR(-INDEX(Expenses!D$3:D$1002,SMALL(IF((Expenses!E$3:E$1002="INR")*(Expenses!A$3:A$1002=DATE(2026,9,18)),ROW(Expenses!A$3:A$1002)-2),5)),0)+IFERROR(INDEX(Income!C$3:C$502,SMALL(IF((Income!D$3:D$502="INR")*(Income!A$3:A$502=DATE(2026,9,18)),ROW(Income!A$3:A$502)-2),5)),0))</f>
        <v/>
      </c>
      <c r="L193" s="38" t="str">
        <f aca="false">IF(IFERROR(INDEX(Expenses!B$3:B$1002,SMALL(IF((Expenses!E$3:E$1002="INR")*(Expenses!A$3:A$1002=DATE(2026,9,18)),ROW(Expenses!A$3:A$1002)-2),5)),"")&lt;&gt;"",IFERROR(INDEX(Expenses!B$3:B$1002,SMALL(IF((Expenses!E$3:E$1002="INR")*(Expenses!A$3:A$1002=DATE(2026,9,18)),ROW(Expenses!A$3:A$1002)-2),5)),""),IF(IFERROR(INDEX(Income!B$3:B$502,SMALL(IF((Income!D$3:D$502="INR")*(Income!A$3:A$502=DATE(2026,9,18)),ROW(Income!A$3:A$502)-2),5)),"")&lt;&gt;"",IFERROR(INDEX(Income!B$3:B$502,SMALL(IF((Income!D$3:D$502="INR")*(Income!A$3:A$502=DATE(2026,9,18)),ROW(Income!A$3:A$502)-2),5)),""),""))</f>
        <v/>
      </c>
      <c r="M193" s="63" t="str">
        <f aca="false">IF(IFERROR(-INDEX(Expenses!D$3:D$1002,SMALL(IF((Expenses!E$3:E$1002="INR")*(Expenses!A$3:A$1002=DATE(2026,9,19)),ROW(Expenses!A$3:A$1002)-2),5)),0)+IFERROR(INDEX(Income!C$3:C$502,SMALL(IF((Income!D$3:D$502="INR")*(Income!A$3:A$502=DATE(2026,9,19)),ROW(Income!A$3:A$502)-2),5)),0)=0,"",IFERROR(-INDEX(Expenses!D$3:D$1002,SMALL(IF((Expenses!E$3:E$1002="INR")*(Expenses!A$3:A$1002=DATE(2026,9,19)),ROW(Expenses!A$3:A$1002)-2),5)),0)+IFERROR(INDEX(Income!C$3:C$502,SMALL(IF((Income!D$3:D$502="INR")*(Income!A$3:A$502=DATE(2026,9,19)),ROW(Income!A$3:A$502)-2),5)),0))</f>
        <v/>
      </c>
      <c r="N193" s="38" t="str">
        <f aca="false">IF(IFERROR(INDEX(Expenses!B$3:B$1002,SMALL(IF((Expenses!E$3:E$1002="INR")*(Expenses!A$3:A$1002=DATE(2026,9,19)),ROW(Expenses!A$3:A$1002)-2),5)),"")&lt;&gt;"",IFERROR(INDEX(Expenses!B$3:B$1002,SMALL(IF((Expenses!E$3:E$1002="INR")*(Expenses!A$3:A$1002=DATE(2026,9,19)),ROW(Expenses!A$3:A$1002)-2),5)),""),IF(IFERROR(INDEX(Income!B$3:B$502,SMALL(IF((Income!D$3:D$502="INR")*(Income!A$3:A$502=DATE(2026,9,19)),ROW(Income!A$3:A$502)-2),5)),"")&lt;&gt;"",IFERROR(INDEX(Income!B$3:B$502,SMALL(IF((Income!D$3:D$502="INR")*(Income!A$3:A$502=DATE(2026,9,19)),ROW(Income!A$3:A$502)-2),5)),""),""))</f>
        <v/>
      </c>
      <c r="O193" s="63" t="str">
        <f aca="false">IF(IFERROR(-INDEX(Expenses!D$3:D$1002,SMALL(IF((Expenses!E$3:E$1002="INR")*(Expenses!A$3:A$1002=DATE(2026,9,20)),ROW(Expenses!A$3:A$1002)-2),5)),0)+IFERROR(INDEX(Income!C$3:C$502,SMALL(IF((Income!D$3:D$502="INR")*(Income!A$3:A$502=DATE(2026,9,20)),ROW(Income!A$3:A$502)-2),5)),0)=0,"",IFERROR(-INDEX(Expenses!D$3:D$1002,SMALL(IF((Expenses!E$3:E$1002="INR")*(Expenses!A$3:A$1002=DATE(2026,9,20)),ROW(Expenses!A$3:A$1002)-2),5)),0)+IFERROR(INDEX(Income!C$3:C$502,SMALL(IF((Income!D$3:D$502="INR")*(Income!A$3:A$502=DATE(2026,9,20)),ROW(Income!A$3:A$502)-2),5)),0))</f>
        <v/>
      </c>
      <c r="P193" s="38" t="str">
        <f aca="false">IF(IFERROR(INDEX(Expenses!B$3:B$1002,SMALL(IF((Expenses!E$3:E$1002="INR")*(Expenses!A$3:A$1002=DATE(2026,9,20)),ROW(Expenses!A$3:A$1002)-2),5)),"")&lt;&gt;"",IFERROR(INDEX(Expenses!B$3:B$1002,SMALL(IF((Expenses!E$3:E$1002="INR")*(Expenses!A$3:A$1002=DATE(2026,9,20)),ROW(Expenses!A$3:A$1002)-2),5)),""),IF(IFERROR(INDEX(Income!B$3:B$502,SMALL(IF((Income!D$3:D$502="INR")*(Income!A$3:A$502=DATE(2026,9,20)),ROW(Income!A$3:A$502)-2),5)),"")&lt;&gt;"",IFERROR(INDEX(Income!B$3:B$502,SMALL(IF((Income!D$3:D$502="INR")*(Income!A$3:A$502=DATE(2026,9,20)),ROW(Income!A$3:A$502)-2),5)),""),""))</f>
        <v/>
      </c>
      <c r="Q193" s="16"/>
      <c r="R193" s="16"/>
    </row>
    <row r="194" customFormat="false" ht="15" hidden="false" customHeight="false" outlineLevel="0" collapsed="false">
      <c r="A194" s="61" t="n">
        <v>46286</v>
      </c>
      <c r="B194" s="3" t="n">
        <v>39</v>
      </c>
      <c r="C194" s="63" t="str">
        <f aca="false">IF(IFERROR(-INDEX(Expenses!D$3:D$1002,SMALL(IF((Expenses!E$3:E$1002="INR")*(Expenses!A$3:A$1002=DATE(2026,9,21)),ROW(Expenses!A$3:A$1002)-2),1)),0)+IFERROR(INDEX(Income!C$3:C$502,SMALL(IF((Income!D$3:D$502="INR")*(Income!A$3:A$502=DATE(2026,9,21)),ROW(Income!A$3:A$502)-2),1)),0)=0,"",IFERROR(-INDEX(Expenses!D$3:D$1002,SMALL(IF((Expenses!E$3:E$1002="INR")*(Expenses!A$3:A$1002=DATE(2026,9,21)),ROW(Expenses!A$3:A$1002)-2),1)),0)+IFERROR(INDEX(Income!C$3:C$502,SMALL(IF((Income!D$3:D$502="INR")*(Income!A$3:A$502=DATE(2026,9,21)),ROW(Income!A$3:A$502)-2),1)),0))</f>
        <v/>
      </c>
      <c r="D194" s="38" t="str">
        <f aca="false">IF(IFERROR(INDEX(Expenses!B$3:B$1002,SMALL(IF((Expenses!E$3:E$1002="INR")*(Expenses!A$3:A$1002=DATE(2026,9,21)),ROW(Expenses!A$3:A$1002)-2),1)),"")&lt;&gt;"",IFERROR(INDEX(Expenses!B$3:B$1002,SMALL(IF((Expenses!E$3:E$1002="INR")*(Expenses!A$3:A$1002=DATE(2026,9,21)),ROW(Expenses!A$3:A$1002)-2),1)),""),IF(IFERROR(INDEX(Income!B$3:B$502,SMALL(IF((Income!D$3:D$502="INR")*(Income!A$3:A$502=DATE(2026,9,21)),ROW(Income!A$3:A$502)-2),1)),"")&lt;&gt;"",IFERROR(INDEX(Income!B$3:B$502,SMALL(IF((Income!D$3:D$502="INR")*(Income!A$3:A$502=DATE(2026,9,21)),ROW(Income!A$3:A$502)-2),1)),""),""))</f>
        <v/>
      </c>
      <c r="E194" s="63" t="str">
        <f aca="false">IF(IFERROR(-INDEX(Expenses!D$3:D$1002,SMALL(IF((Expenses!E$3:E$1002="INR")*(Expenses!A$3:A$1002=DATE(2026,9,22)),ROW(Expenses!A$3:A$1002)-2),1)),0)+IFERROR(INDEX(Income!C$3:C$502,SMALL(IF((Income!D$3:D$502="INR")*(Income!A$3:A$502=DATE(2026,9,22)),ROW(Income!A$3:A$502)-2),1)),0)=0,"",IFERROR(-INDEX(Expenses!D$3:D$1002,SMALL(IF((Expenses!E$3:E$1002="INR")*(Expenses!A$3:A$1002=DATE(2026,9,22)),ROW(Expenses!A$3:A$1002)-2),1)),0)+IFERROR(INDEX(Income!C$3:C$502,SMALL(IF((Income!D$3:D$502="INR")*(Income!A$3:A$502=DATE(2026,9,22)),ROW(Income!A$3:A$502)-2),1)),0))</f>
        <v/>
      </c>
      <c r="F194" s="38" t="str">
        <f aca="false">IF(IFERROR(INDEX(Expenses!B$3:B$1002,SMALL(IF((Expenses!E$3:E$1002="INR")*(Expenses!A$3:A$1002=DATE(2026,9,22)),ROW(Expenses!A$3:A$1002)-2),1)),"")&lt;&gt;"",IFERROR(INDEX(Expenses!B$3:B$1002,SMALL(IF((Expenses!E$3:E$1002="INR")*(Expenses!A$3:A$1002=DATE(2026,9,22)),ROW(Expenses!A$3:A$1002)-2),1)),""),IF(IFERROR(INDEX(Income!B$3:B$502,SMALL(IF((Income!D$3:D$502="INR")*(Income!A$3:A$502=DATE(2026,9,22)),ROW(Income!A$3:A$502)-2),1)),"")&lt;&gt;"",IFERROR(INDEX(Income!B$3:B$502,SMALL(IF((Income!D$3:D$502="INR")*(Income!A$3:A$502=DATE(2026,9,22)),ROW(Income!A$3:A$502)-2),1)),""),""))</f>
        <v/>
      </c>
      <c r="G194" s="63" t="str">
        <f aca="false">IF(IFERROR(-INDEX(Expenses!D$3:D$1002,SMALL(IF((Expenses!E$3:E$1002="INR")*(Expenses!A$3:A$1002=DATE(2026,9,23)),ROW(Expenses!A$3:A$1002)-2),1)),0)+IFERROR(INDEX(Income!C$3:C$502,SMALL(IF((Income!D$3:D$502="INR")*(Income!A$3:A$502=DATE(2026,9,23)),ROW(Income!A$3:A$502)-2),1)),0)=0,"",IFERROR(-INDEX(Expenses!D$3:D$1002,SMALL(IF((Expenses!E$3:E$1002="INR")*(Expenses!A$3:A$1002=DATE(2026,9,23)),ROW(Expenses!A$3:A$1002)-2),1)),0)+IFERROR(INDEX(Income!C$3:C$502,SMALL(IF((Income!D$3:D$502="INR")*(Income!A$3:A$502=DATE(2026,9,23)),ROW(Income!A$3:A$502)-2),1)),0))</f>
        <v/>
      </c>
      <c r="H194" s="38" t="str">
        <f aca="false">IF(IFERROR(INDEX(Expenses!B$3:B$1002,SMALL(IF((Expenses!E$3:E$1002="INR")*(Expenses!A$3:A$1002=DATE(2026,9,23)),ROW(Expenses!A$3:A$1002)-2),1)),"")&lt;&gt;"",IFERROR(INDEX(Expenses!B$3:B$1002,SMALL(IF((Expenses!E$3:E$1002="INR")*(Expenses!A$3:A$1002=DATE(2026,9,23)),ROW(Expenses!A$3:A$1002)-2),1)),""),IF(IFERROR(INDEX(Income!B$3:B$502,SMALL(IF((Income!D$3:D$502="INR")*(Income!A$3:A$502=DATE(2026,9,23)),ROW(Income!A$3:A$502)-2),1)),"")&lt;&gt;"",IFERROR(INDEX(Income!B$3:B$502,SMALL(IF((Income!D$3:D$502="INR")*(Income!A$3:A$502=DATE(2026,9,23)),ROW(Income!A$3:A$502)-2),1)),""),""))</f>
        <v/>
      </c>
      <c r="I194" s="63" t="str">
        <f aca="false">IF(IFERROR(-INDEX(Expenses!D$3:D$1002,SMALL(IF((Expenses!E$3:E$1002="INR")*(Expenses!A$3:A$1002=DATE(2026,9,24)),ROW(Expenses!A$3:A$1002)-2),1)),0)+IFERROR(INDEX(Income!C$3:C$502,SMALL(IF((Income!D$3:D$502="INR")*(Income!A$3:A$502=DATE(2026,9,24)),ROW(Income!A$3:A$502)-2),1)),0)=0,"",IFERROR(-INDEX(Expenses!D$3:D$1002,SMALL(IF((Expenses!E$3:E$1002="INR")*(Expenses!A$3:A$1002=DATE(2026,9,24)),ROW(Expenses!A$3:A$1002)-2),1)),0)+IFERROR(INDEX(Income!C$3:C$502,SMALL(IF((Income!D$3:D$502="INR")*(Income!A$3:A$502=DATE(2026,9,24)),ROW(Income!A$3:A$502)-2),1)),0))</f>
        <v/>
      </c>
      <c r="J194" s="38" t="str">
        <f aca="false">IF(IFERROR(INDEX(Expenses!B$3:B$1002,SMALL(IF((Expenses!E$3:E$1002="INR")*(Expenses!A$3:A$1002=DATE(2026,9,24)),ROW(Expenses!A$3:A$1002)-2),1)),"")&lt;&gt;"",IFERROR(INDEX(Expenses!B$3:B$1002,SMALL(IF((Expenses!E$3:E$1002="INR")*(Expenses!A$3:A$1002=DATE(2026,9,24)),ROW(Expenses!A$3:A$1002)-2),1)),""),IF(IFERROR(INDEX(Income!B$3:B$502,SMALL(IF((Income!D$3:D$502="INR")*(Income!A$3:A$502=DATE(2026,9,24)),ROW(Income!A$3:A$502)-2),1)),"")&lt;&gt;"",IFERROR(INDEX(Income!B$3:B$502,SMALL(IF((Income!D$3:D$502="INR")*(Income!A$3:A$502=DATE(2026,9,24)),ROW(Income!A$3:A$502)-2),1)),""),""))</f>
        <v/>
      </c>
      <c r="K194" s="63" t="str">
        <f aca="false">IF(IFERROR(-INDEX(Expenses!D$3:D$1002,SMALL(IF((Expenses!E$3:E$1002="INR")*(Expenses!A$3:A$1002=DATE(2026,9,25)),ROW(Expenses!A$3:A$1002)-2),1)),0)+IFERROR(INDEX(Income!C$3:C$502,SMALL(IF((Income!D$3:D$502="INR")*(Income!A$3:A$502=DATE(2026,9,25)),ROW(Income!A$3:A$502)-2),1)),0)=0,"",IFERROR(-INDEX(Expenses!D$3:D$1002,SMALL(IF((Expenses!E$3:E$1002="INR")*(Expenses!A$3:A$1002=DATE(2026,9,25)),ROW(Expenses!A$3:A$1002)-2),1)),0)+IFERROR(INDEX(Income!C$3:C$502,SMALL(IF((Income!D$3:D$502="INR")*(Income!A$3:A$502=DATE(2026,9,25)),ROW(Income!A$3:A$502)-2),1)),0))</f>
        <v/>
      </c>
      <c r="L194" s="38" t="str">
        <f aca="false">IF(IFERROR(INDEX(Expenses!B$3:B$1002,SMALL(IF((Expenses!E$3:E$1002="INR")*(Expenses!A$3:A$1002=DATE(2026,9,25)),ROW(Expenses!A$3:A$1002)-2),1)),"")&lt;&gt;"",IFERROR(INDEX(Expenses!B$3:B$1002,SMALL(IF((Expenses!E$3:E$1002="INR")*(Expenses!A$3:A$1002=DATE(2026,9,25)),ROW(Expenses!A$3:A$1002)-2),1)),""),IF(IFERROR(INDEX(Income!B$3:B$502,SMALL(IF((Income!D$3:D$502="INR")*(Income!A$3:A$502=DATE(2026,9,25)),ROW(Income!A$3:A$502)-2),1)),"")&lt;&gt;"",IFERROR(INDEX(Income!B$3:B$502,SMALL(IF((Income!D$3:D$502="INR")*(Income!A$3:A$502=DATE(2026,9,25)),ROW(Income!A$3:A$502)-2),1)),""),""))</f>
        <v/>
      </c>
      <c r="M194" s="63" t="str">
        <f aca="false">IF(IFERROR(-INDEX(Expenses!D$3:D$1002,SMALL(IF((Expenses!E$3:E$1002="INR")*(Expenses!A$3:A$1002=DATE(2026,9,26)),ROW(Expenses!A$3:A$1002)-2),1)),0)+IFERROR(INDEX(Income!C$3:C$502,SMALL(IF((Income!D$3:D$502="INR")*(Income!A$3:A$502=DATE(2026,9,26)),ROW(Income!A$3:A$502)-2),1)),0)=0,"",IFERROR(-INDEX(Expenses!D$3:D$1002,SMALL(IF((Expenses!E$3:E$1002="INR")*(Expenses!A$3:A$1002=DATE(2026,9,26)),ROW(Expenses!A$3:A$1002)-2),1)),0)+IFERROR(INDEX(Income!C$3:C$502,SMALL(IF((Income!D$3:D$502="INR")*(Income!A$3:A$502=DATE(2026,9,26)),ROW(Income!A$3:A$502)-2),1)),0))</f>
        <v/>
      </c>
      <c r="N194" s="38" t="str">
        <f aca="false">IF(IFERROR(INDEX(Expenses!B$3:B$1002,SMALL(IF((Expenses!E$3:E$1002="INR")*(Expenses!A$3:A$1002=DATE(2026,9,26)),ROW(Expenses!A$3:A$1002)-2),1)),"")&lt;&gt;"",IFERROR(INDEX(Expenses!B$3:B$1002,SMALL(IF((Expenses!E$3:E$1002="INR")*(Expenses!A$3:A$1002=DATE(2026,9,26)),ROW(Expenses!A$3:A$1002)-2),1)),""),IF(IFERROR(INDEX(Income!B$3:B$502,SMALL(IF((Income!D$3:D$502="INR")*(Income!A$3:A$502=DATE(2026,9,26)),ROW(Income!A$3:A$502)-2),1)),"")&lt;&gt;"",IFERROR(INDEX(Income!B$3:B$502,SMALL(IF((Income!D$3:D$502="INR")*(Income!A$3:A$502=DATE(2026,9,26)),ROW(Income!A$3:A$502)-2),1)),""),""))</f>
        <v/>
      </c>
      <c r="O194" s="63" t="str">
        <f aca="false">IF(IFERROR(-INDEX(Expenses!D$3:D$1002,SMALL(IF((Expenses!E$3:E$1002="INR")*(Expenses!A$3:A$1002=DATE(2026,9,27)),ROW(Expenses!A$3:A$1002)-2),1)),0)+IFERROR(INDEX(Income!C$3:C$502,SMALL(IF((Income!D$3:D$502="INR")*(Income!A$3:A$502=DATE(2026,9,27)),ROW(Income!A$3:A$502)-2),1)),0)=0,"",IFERROR(-INDEX(Expenses!D$3:D$1002,SMALL(IF((Expenses!E$3:E$1002="INR")*(Expenses!A$3:A$1002=DATE(2026,9,27)),ROW(Expenses!A$3:A$1002)-2),1)),0)+IFERROR(INDEX(Income!C$3:C$502,SMALL(IF((Income!D$3:D$502="INR")*(Income!A$3:A$502=DATE(2026,9,27)),ROW(Income!A$3:A$502)-2),1)),0))</f>
        <v/>
      </c>
      <c r="P194" s="38" t="str">
        <f aca="false">IF(IFERROR(INDEX(Expenses!B$3:B$1002,SMALL(IF((Expenses!E$3:E$1002="INR")*(Expenses!A$3:A$1002=DATE(2026,9,27)),ROW(Expenses!A$3:A$1002)-2),1)),"")&lt;&gt;"",IFERROR(INDEX(Expenses!B$3:B$1002,SMALL(IF((Expenses!E$3:E$1002="INR")*(Expenses!A$3:A$1002=DATE(2026,9,27)),ROW(Expenses!A$3:A$1002)-2),1)),""),IF(IFERROR(INDEX(Income!B$3:B$502,SMALL(IF((Income!D$3:D$502="INR")*(Income!A$3:A$502=DATE(2026,9,27)),ROW(Income!A$3:A$502)-2),1)),"")&lt;&gt;"",IFERROR(INDEX(Income!B$3:B$502,SMALL(IF((Income!D$3:D$502="INR")*(Income!A$3:A$502=DATE(2026,9,27)),ROW(Income!A$3:A$502)-2),1)),""),""))</f>
        <v/>
      </c>
      <c r="Q194" s="3" t="n">
        <v>39</v>
      </c>
      <c r="R194" s="53" t="n">
        <f aca="false">SUM(C194:C198)+SUM(E194:E198)+SUM(G194:G198)+SUM(I194:I198)+SUM(K194:K198)+SUM(M194:M198)+SUM(O194:O198)</f>
        <v>0</v>
      </c>
    </row>
    <row r="195" customFormat="false" ht="15" hidden="false" customHeight="false" outlineLevel="0" collapsed="false">
      <c r="A195" s="16"/>
      <c r="B195" s="16"/>
      <c r="C195" s="63" t="str">
        <f aca="false">IF(IFERROR(-INDEX(Expenses!D$3:D$1002,SMALL(IF((Expenses!E$3:E$1002="INR")*(Expenses!A$3:A$1002=DATE(2026,9,21)),ROW(Expenses!A$3:A$1002)-2),2)),0)+IFERROR(INDEX(Income!C$3:C$502,SMALL(IF((Income!D$3:D$502="INR")*(Income!A$3:A$502=DATE(2026,9,21)),ROW(Income!A$3:A$502)-2),2)),0)=0,"",IFERROR(-INDEX(Expenses!D$3:D$1002,SMALL(IF((Expenses!E$3:E$1002="INR")*(Expenses!A$3:A$1002=DATE(2026,9,21)),ROW(Expenses!A$3:A$1002)-2),2)),0)+IFERROR(INDEX(Income!C$3:C$502,SMALL(IF((Income!D$3:D$502="INR")*(Income!A$3:A$502=DATE(2026,9,21)),ROW(Income!A$3:A$502)-2),2)),0))</f>
        <v/>
      </c>
      <c r="D195" s="38" t="str">
        <f aca="false">IF(IFERROR(INDEX(Expenses!B$3:B$1002,SMALL(IF((Expenses!E$3:E$1002="INR")*(Expenses!A$3:A$1002=DATE(2026,9,21)),ROW(Expenses!A$3:A$1002)-2),2)),"")&lt;&gt;"",IFERROR(INDEX(Expenses!B$3:B$1002,SMALL(IF((Expenses!E$3:E$1002="INR")*(Expenses!A$3:A$1002=DATE(2026,9,21)),ROW(Expenses!A$3:A$1002)-2),2)),""),IF(IFERROR(INDEX(Income!B$3:B$502,SMALL(IF((Income!D$3:D$502="INR")*(Income!A$3:A$502=DATE(2026,9,21)),ROW(Income!A$3:A$502)-2),2)),"")&lt;&gt;"",IFERROR(INDEX(Income!B$3:B$502,SMALL(IF((Income!D$3:D$502="INR")*(Income!A$3:A$502=DATE(2026,9,21)),ROW(Income!A$3:A$502)-2),2)),""),""))</f>
        <v/>
      </c>
      <c r="E195" s="63" t="str">
        <f aca="false">IF(IFERROR(-INDEX(Expenses!D$3:D$1002,SMALL(IF((Expenses!E$3:E$1002="INR")*(Expenses!A$3:A$1002=DATE(2026,9,22)),ROW(Expenses!A$3:A$1002)-2),2)),0)+IFERROR(INDEX(Income!C$3:C$502,SMALL(IF((Income!D$3:D$502="INR")*(Income!A$3:A$502=DATE(2026,9,22)),ROW(Income!A$3:A$502)-2),2)),0)=0,"",IFERROR(-INDEX(Expenses!D$3:D$1002,SMALL(IF((Expenses!E$3:E$1002="INR")*(Expenses!A$3:A$1002=DATE(2026,9,22)),ROW(Expenses!A$3:A$1002)-2),2)),0)+IFERROR(INDEX(Income!C$3:C$502,SMALL(IF((Income!D$3:D$502="INR")*(Income!A$3:A$502=DATE(2026,9,22)),ROW(Income!A$3:A$502)-2),2)),0))</f>
        <v/>
      </c>
      <c r="F195" s="38" t="str">
        <f aca="false">IF(IFERROR(INDEX(Expenses!B$3:B$1002,SMALL(IF((Expenses!E$3:E$1002="INR")*(Expenses!A$3:A$1002=DATE(2026,9,22)),ROW(Expenses!A$3:A$1002)-2),2)),"")&lt;&gt;"",IFERROR(INDEX(Expenses!B$3:B$1002,SMALL(IF((Expenses!E$3:E$1002="INR")*(Expenses!A$3:A$1002=DATE(2026,9,22)),ROW(Expenses!A$3:A$1002)-2),2)),""),IF(IFERROR(INDEX(Income!B$3:B$502,SMALL(IF((Income!D$3:D$502="INR")*(Income!A$3:A$502=DATE(2026,9,22)),ROW(Income!A$3:A$502)-2),2)),"")&lt;&gt;"",IFERROR(INDEX(Income!B$3:B$502,SMALL(IF((Income!D$3:D$502="INR")*(Income!A$3:A$502=DATE(2026,9,22)),ROW(Income!A$3:A$502)-2),2)),""),""))</f>
        <v/>
      </c>
      <c r="G195" s="63" t="str">
        <f aca="false">IF(IFERROR(-INDEX(Expenses!D$3:D$1002,SMALL(IF((Expenses!E$3:E$1002="INR")*(Expenses!A$3:A$1002=DATE(2026,9,23)),ROW(Expenses!A$3:A$1002)-2),2)),0)+IFERROR(INDEX(Income!C$3:C$502,SMALL(IF((Income!D$3:D$502="INR")*(Income!A$3:A$502=DATE(2026,9,23)),ROW(Income!A$3:A$502)-2),2)),0)=0,"",IFERROR(-INDEX(Expenses!D$3:D$1002,SMALL(IF((Expenses!E$3:E$1002="INR")*(Expenses!A$3:A$1002=DATE(2026,9,23)),ROW(Expenses!A$3:A$1002)-2),2)),0)+IFERROR(INDEX(Income!C$3:C$502,SMALL(IF((Income!D$3:D$502="INR")*(Income!A$3:A$502=DATE(2026,9,23)),ROW(Income!A$3:A$502)-2),2)),0))</f>
        <v/>
      </c>
      <c r="H195" s="38" t="str">
        <f aca="false">IF(IFERROR(INDEX(Expenses!B$3:B$1002,SMALL(IF((Expenses!E$3:E$1002="INR")*(Expenses!A$3:A$1002=DATE(2026,9,23)),ROW(Expenses!A$3:A$1002)-2),2)),"")&lt;&gt;"",IFERROR(INDEX(Expenses!B$3:B$1002,SMALL(IF((Expenses!E$3:E$1002="INR")*(Expenses!A$3:A$1002=DATE(2026,9,23)),ROW(Expenses!A$3:A$1002)-2),2)),""),IF(IFERROR(INDEX(Income!B$3:B$502,SMALL(IF((Income!D$3:D$502="INR")*(Income!A$3:A$502=DATE(2026,9,23)),ROW(Income!A$3:A$502)-2),2)),"")&lt;&gt;"",IFERROR(INDEX(Income!B$3:B$502,SMALL(IF((Income!D$3:D$502="INR")*(Income!A$3:A$502=DATE(2026,9,23)),ROW(Income!A$3:A$502)-2),2)),""),""))</f>
        <v/>
      </c>
      <c r="I195" s="63" t="str">
        <f aca="false">IF(IFERROR(-INDEX(Expenses!D$3:D$1002,SMALL(IF((Expenses!E$3:E$1002="INR")*(Expenses!A$3:A$1002=DATE(2026,9,24)),ROW(Expenses!A$3:A$1002)-2),2)),0)+IFERROR(INDEX(Income!C$3:C$502,SMALL(IF((Income!D$3:D$502="INR")*(Income!A$3:A$502=DATE(2026,9,24)),ROW(Income!A$3:A$502)-2),2)),0)=0,"",IFERROR(-INDEX(Expenses!D$3:D$1002,SMALL(IF((Expenses!E$3:E$1002="INR")*(Expenses!A$3:A$1002=DATE(2026,9,24)),ROW(Expenses!A$3:A$1002)-2),2)),0)+IFERROR(INDEX(Income!C$3:C$502,SMALL(IF((Income!D$3:D$502="INR")*(Income!A$3:A$502=DATE(2026,9,24)),ROW(Income!A$3:A$502)-2),2)),0))</f>
        <v/>
      </c>
      <c r="J195" s="38" t="str">
        <f aca="false">IF(IFERROR(INDEX(Expenses!B$3:B$1002,SMALL(IF((Expenses!E$3:E$1002="INR")*(Expenses!A$3:A$1002=DATE(2026,9,24)),ROW(Expenses!A$3:A$1002)-2),2)),"")&lt;&gt;"",IFERROR(INDEX(Expenses!B$3:B$1002,SMALL(IF((Expenses!E$3:E$1002="INR")*(Expenses!A$3:A$1002=DATE(2026,9,24)),ROW(Expenses!A$3:A$1002)-2),2)),""),IF(IFERROR(INDEX(Income!B$3:B$502,SMALL(IF((Income!D$3:D$502="INR")*(Income!A$3:A$502=DATE(2026,9,24)),ROW(Income!A$3:A$502)-2),2)),"")&lt;&gt;"",IFERROR(INDEX(Income!B$3:B$502,SMALL(IF((Income!D$3:D$502="INR")*(Income!A$3:A$502=DATE(2026,9,24)),ROW(Income!A$3:A$502)-2),2)),""),""))</f>
        <v/>
      </c>
      <c r="K195" s="63" t="str">
        <f aca="false">IF(IFERROR(-INDEX(Expenses!D$3:D$1002,SMALL(IF((Expenses!E$3:E$1002="INR")*(Expenses!A$3:A$1002=DATE(2026,9,25)),ROW(Expenses!A$3:A$1002)-2),2)),0)+IFERROR(INDEX(Income!C$3:C$502,SMALL(IF((Income!D$3:D$502="INR")*(Income!A$3:A$502=DATE(2026,9,25)),ROW(Income!A$3:A$502)-2),2)),0)=0,"",IFERROR(-INDEX(Expenses!D$3:D$1002,SMALL(IF((Expenses!E$3:E$1002="INR")*(Expenses!A$3:A$1002=DATE(2026,9,25)),ROW(Expenses!A$3:A$1002)-2),2)),0)+IFERROR(INDEX(Income!C$3:C$502,SMALL(IF((Income!D$3:D$502="INR")*(Income!A$3:A$502=DATE(2026,9,25)),ROW(Income!A$3:A$502)-2),2)),0))</f>
        <v/>
      </c>
      <c r="L195" s="38" t="str">
        <f aca="false">IF(IFERROR(INDEX(Expenses!B$3:B$1002,SMALL(IF((Expenses!E$3:E$1002="INR")*(Expenses!A$3:A$1002=DATE(2026,9,25)),ROW(Expenses!A$3:A$1002)-2),2)),"")&lt;&gt;"",IFERROR(INDEX(Expenses!B$3:B$1002,SMALL(IF((Expenses!E$3:E$1002="INR")*(Expenses!A$3:A$1002=DATE(2026,9,25)),ROW(Expenses!A$3:A$1002)-2),2)),""),IF(IFERROR(INDEX(Income!B$3:B$502,SMALL(IF((Income!D$3:D$502="INR")*(Income!A$3:A$502=DATE(2026,9,25)),ROW(Income!A$3:A$502)-2),2)),"")&lt;&gt;"",IFERROR(INDEX(Income!B$3:B$502,SMALL(IF((Income!D$3:D$502="INR")*(Income!A$3:A$502=DATE(2026,9,25)),ROW(Income!A$3:A$502)-2),2)),""),""))</f>
        <v/>
      </c>
      <c r="M195" s="63" t="str">
        <f aca="false">IF(IFERROR(-INDEX(Expenses!D$3:D$1002,SMALL(IF((Expenses!E$3:E$1002="INR")*(Expenses!A$3:A$1002=DATE(2026,9,26)),ROW(Expenses!A$3:A$1002)-2),2)),0)+IFERROR(INDEX(Income!C$3:C$502,SMALL(IF((Income!D$3:D$502="INR")*(Income!A$3:A$502=DATE(2026,9,26)),ROW(Income!A$3:A$502)-2),2)),0)=0,"",IFERROR(-INDEX(Expenses!D$3:D$1002,SMALL(IF((Expenses!E$3:E$1002="INR")*(Expenses!A$3:A$1002=DATE(2026,9,26)),ROW(Expenses!A$3:A$1002)-2),2)),0)+IFERROR(INDEX(Income!C$3:C$502,SMALL(IF((Income!D$3:D$502="INR")*(Income!A$3:A$502=DATE(2026,9,26)),ROW(Income!A$3:A$502)-2),2)),0))</f>
        <v/>
      </c>
      <c r="N195" s="38" t="str">
        <f aca="false">IF(IFERROR(INDEX(Expenses!B$3:B$1002,SMALL(IF((Expenses!E$3:E$1002="INR")*(Expenses!A$3:A$1002=DATE(2026,9,26)),ROW(Expenses!A$3:A$1002)-2),2)),"")&lt;&gt;"",IFERROR(INDEX(Expenses!B$3:B$1002,SMALL(IF((Expenses!E$3:E$1002="INR")*(Expenses!A$3:A$1002=DATE(2026,9,26)),ROW(Expenses!A$3:A$1002)-2),2)),""),IF(IFERROR(INDEX(Income!B$3:B$502,SMALL(IF((Income!D$3:D$502="INR")*(Income!A$3:A$502=DATE(2026,9,26)),ROW(Income!A$3:A$502)-2),2)),"")&lt;&gt;"",IFERROR(INDEX(Income!B$3:B$502,SMALL(IF((Income!D$3:D$502="INR")*(Income!A$3:A$502=DATE(2026,9,26)),ROW(Income!A$3:A$502)-2),2)),""),""))</f>
        <v/>
      </c>
      <c r="O195" s="63" t="str">
        <f aca="false">IF(IFERROR(-INDEX(Expenses!D$3:D$1002,SMALL(IF((Expenses!E$3:E$1002="INR")*(Expenses!A$3:A$1002=DATE(2026,9,27)),ROW(Expenses!A$3:A$1002)-2),2)),0)+IFERROR(INDEX(Income!C$3:C$502,SMALL(IF((Income!D$3:D$502="INR")*(Income!A$3:A$502=DATE(2026,9,27)),ROW(Income!A$3:A$502)-2),2)),0)=0,"",IFERROR(-INDEX(Expenses!D$3:D$1002,SMALL(IF((Expenses!E$3:E$1002="INR")*(Expenses!A$3:A$1002=DATE(2026,9,27)),ROW(Expenses!A$3:A$1002)-2),2)),0)+IFERROR(INDEX(Income!C$3:C$502,SMALL(IF((Income!D$3:D$502="INR")*(Income!A$3:A$502=DATE(2026,9,27)),ROW(Income!A$3:A$502)-2),2)),0))</f>
        <v/>
      </c>
      <c r="P195" s="38" t="str">
        <f aca="false">IF(IFERROR(INDEX(Expenses!B$3:B$1002,SMALL(IF((Expenses!E$3:E$1002="INR")*(Expenses!A$3:A$1002=DATE(2026,9,27)),ROW(Expenses!A$3:A$1002)-2),2)),"")&lt;&gt;"",IFERROR(INDEX(Expenses!B$3:B$1002,SMALL(IF((Expenses!E$3:E$1002="INR")*(Expenses!A$3:A$1002=DATE(2026,9,27)),ROW(Expenses!A$3:A$1002)-2),2)),""),IF(IFERROR(INDEX(Income!B$3:B$502,SMALL(IF((Income!D$3:D$502="INR")*(Income!A$3:A$502=DATE(2026,9,27)),ROW(Income!A$3:A$502)-2),2)),"")&lt;&gt;"",IFERROR(INDEX(Income!B$3:B$502,SMALL(IF((Income!D$3:D$502="INR")*(Income!A$3:A$502=DATE(2026,9,27)),ROW(Income!A$3:A$502)-2),2)),""),""))</f>
        <v/>
      </c>
      <c r="Q195" s="16"/>
      <c r="R195" s="16"/>
    </row>
    <row r="196" customFormat="false" ht="15" hidden="false" customHeight="false" outlineLevel="0" collapsed="false">
      <c r="A196" s="16"/>
      <c r="B196" s="16"/>
      <c r="C196" s="63" t="str">
        <f aca="false">IF(IFERROR(-INDEX(Expenses!D$3:D$1002,SMALL(IF((Expenses!E$3:E$1002="INR")*(Expenses!A$3:A$1002=DATE(2026,9,21)),ROW(Expenses!A$3:A$1002)-2),3)),0)+IFERROR(INDEX(Income!C$3:C$502,SMALL(IF((Income!D$3:D$502="INR")*(Income!A$3:A$502=DATE(2026,9,21)),ROW(Income!A$3:A$502)-2),3)),0)=0,"",IFERROR(-INDEX(Expenses!D$3:D$1002,SMALL(IF((Expenses!E$3:E$1002="INR")*(Expenses!A$3:A$1002=DATE(2026,9,21)),ROW(Expenses!A$3:A$1002)-2),3)),0)+IFERROR(INDEX(Income!C$3:C$502,SMALL(IF((Income!D$3:D$502="INR")*(Income!A$3:A$502=DATE(2026,9,21)),ROW(Income!A$3:A$502)-2),3)),0))</f>
        <v/>
      </c>
      <c r="D196" s="38" t="str">
        <f aca="false">IF(IFERROR(INDEX(Expenses!B$3:B$1002,SMALL(IF((Expenses!E$3:E$1002="INR")*(Expenses!A$3:A$1002=DATE(2026,9,21)),ROW(Expenses!A$3:A$1002)-2),3)),"")&lt;&gt;"",IFERROR(INDEX(Expenses!B$3:B$1002,SMALL(IF((Expenses!E$3:E$1002="INR")*(Expenses!A$3:A$1002=DATE(2026,9,21)),ROW(Expenses!A$3:A$1002)-2),3)),""),IF(IFERROR(INDEX(Income!B$3:B$502,SMALL(IF((Income!D$3:D$502="INR")*(Income!A$3:A$502=DATE(2026,9,21)),ROW(Income!A$3:A$502)-2),3)),"")&lt;&gt;"",IFERROR(INDEX(Income!B$3:B$502,SMALL(IF((Income!D$3:D$502="INR")*(Income!A$3:A$502=DATE(2026,9,21)),ROW(Income!A$3:A$502)-2),3)),""),""))</f>
        <v/>
      </c>
      <c r="E196" s="63" t="str">
        <f aca="false">IF(IFERROR(-INDEX(Expenses!D$3:D$1002,SMALL(IF((Expenses!E$3:E$1002="INR")*(Expenses!A$3:A$1002=DATE(2026,9,22)),ROW(Expenses!A$3:A$1002)-2),3)),0)+IFERROR(INDEX(Income!C$3:C$502,SMALL(IF((Income!D$3:D$502="INR")*(Income!A$3:A$502=DATE(2026,9,22)),ROW(Income!A$3:A$502)-2),3)),0)=0,"",IFERROR(-INDEX(Expenses!D$3:D$1002,SMALL(IF((Expenses!E$3:E$1002="INR")*(Expenses!A$3:A$1002=DATE(2026,9,22)),ROW(Expenses!A$3:A$1002)-2),3)),0)+IFERROR(INDEX(Income!C$3:C$502,SMALL(IF((Income!D$3:D$502="INR")*(Income!A$3:A$502=DATE(2026,9,22)),ROW(Income!A$3:A$502)-2),3)),0))</f>
        <v/>
      </c>
      <c r="F196" s="38" t="str">
        <f aca="false">IF(IFERROR(INDEX(Expenses!B$3:B$1002,SMALL(IF((Expenses!E$3:E$1002="INR")*(Expenses!A$3:A$1002=DATE(2026,9,22)),ROW(Expenses!A$3:A$1002)-2),3)),"")&lt;&gt;"",IFERROR(INDEX(Expenses!B$3:B$1002,SMALL(IF((Expenses!E$3:E$1002="INR")*(Expenses!A$3:A$1002=DATE(2026,9,22)),ROW(Expenses!A$3:A$1002)-2),3)),""),IF(IFERROR(INDEX(Income!B$3:B$502,SMALL(IF((Income!D$3:D$502="INR")*(Income!A$3:A$502=DATE(2026,9,22)),ROW(Income!A$3:A$502)-2),3)),"")&lt;&gt;"",IFERROR(INDEX(Income!B$3:B$502,SMALL(IF((Income!D$3:D$502="INR")*(Income!A$3:A$502=DATE(2026,9,22)),ROW(Income!A$3:A$502)-2),3)),""),""))</f>
        <v/>
      </c>
      <c r="G196" s="63" t="str">
        <f aca="false">IF(IFERROR(-INDEX(Expenses!D$3:D$1002,SMALL(IF((Expenses!E$3:E$1002="INR")*(Expenses!A$3:A$1002=DATE(2026,9,23)),ROW(Expenses!A$3:A$1002)-2),3)),0)+IFERROR(INDEX(Income!C$3:C$502,SMALL(IF((Income!D$3:D$502="INR")*(Income!A$3:A$502=DATE(2026,9,23)),ROW(Income!A$3:A$502)-2),3)),0)=0,"",IFERROR(-INDEX(Expenses!D$3:D$1002,SMALL(IF((Expenses!E$3:E$1002="INR")*(Expenses!A$3:A$1002=DATE(2026,9,23)),ROW(Expenses!A$3:A$1002)-2),3)),0)+IFERROR(INDEX(Income!C$3:C$502,SMALL(IF((Income!D$3:D$502="INR")*(Income!A$3:A$502=DATE(2026,9,23)),ROW(Income!A$3:A$502)-2),3)),0))</f>
        <v/>
      </c>
      <c r="H196" s="38" t="str">
        <f aca="false">IF(IFERROR(INDEX(Expenses!B$3:B$1002,SMALL(IF((Expenses!E$3:E$1002="INR")*(Expenses!A$3:A$1002=DATE(2026,9,23)),ROW(Expenses!A$3:A$1002)-2),3)),"")&lt;&gt;"",IFERROR(INDEX(Expenses!B$3:B$1002,SMALL(IF((Expenses!E$3:E$1002="INR")*(Expenses!A$3:A$1002=DATE(2026,9,23)),ROW(Expenses!A$3:A$1002)-2),3)),""),IF(IFERROR(INDEX(Income!B$3:B$502,SMALL(IF((Income!D$3:D$502="INR")*(Income!A$3:A$502=DATE(2026,9,23)),ROW(Income!A$3:A$502)-2),3)),"")&lt;&gt;"",IFERROR(INDEX(Income!B$3:B$502,SMALL(IF((Income!D$3:D$502="INR")*(Income!A$3:A$502=DATE(2026,9,23)),ROW(Income!A$3:A$502)-2),3)),""),""))</f>
        <v/>
      </c>
      <c r="I196" s="63" t="str">
        <f aca="false">IF(IFERROR(-INDEX(Expenses!D$3:D$1002,SMALL(IF((Expenses!E$3:E$1002="INR")*(Expenses!A$3:A$1002=DATE(2026,9,24)),ROW(Expenses!A$3:A$1002)-2),3)),0)+IFERROR(INDEX(Income!C$3:C$502,SMALL(IF((Income!D$3:D$502="INR")*(Income!A$3:A$502=DATE(2026,9,24)),ROW(Income!A$3:A$502)-2),3)),0)=0,"",IFERROR(-INDEX(Expenses!D$3:D$1002,SMALL(IF((Expenses!E$3:E$1002="INR")*(Expenses!A$3:A$1002=DATE(2026,9,24)),ROW(Expenses!A$3:A$1002)-2),3)),0)+IFERROR(INDEX(Income!C$3:C$502,SMALL(IF((Income!D$3:D$502="INR")*(Income!A$3:A$502=DATE(2026,9,24)),ROW(Income!A$3:A$502)-2),3)),0))</f>
        <v/>
      </c>
      <c r="J196" s="38" t="str">
        <f aca="false">IF(IFERROR(INDEX(Expenses!B$3:B$1002,SMALL(IF((Expenses!E$3:E$1002="INR")*(Expenses!A$3:A$1002=DATE(2026,9,24)),ROW(Expenses!A$3:A$1002)-2),3)),"")&lt;&gt;"",IFERROR(INDEX(Expenses!B$3:B$1002,SMALL(IF((Expenses!E$3:E$1002="INR")*(Expenses!A$3:A$1002=DATE(2026,9,24)),ROW(Expenses!A$3:A$1002)-2),3)),""),IF(IFERROR(INDEX(Income!B$3:B$502,SMALL(IF((Income!D$3:D$502="INR")*(Income!A$3:A$502=DATE(2026,9,24)),ROW(Income!A$3:A$502)-2),3)),"")&lt;&gt;"",IFERROR(INDEX(Income!B$3:B$502,SMALL(IF((Income!D$3:D$502="INR")*(Income!A$3:A$502=DATE(2026,9,24)),ROW(Income!A$3:A$502)-2),3)),""),""))</f>
        <v/>
      </c>
      <c r="K196" s="63" t="str">
        <f aca="false">IF(IFERROR(-INDEX(Expenses!D$3:D$1002,SMALL(IF((Expenses!E$3:E$1002="INR")*(Expenses!A$3:A$1002=DATE(2026,9,25)),ROW(Expenses!A$3:A$1002)-2),3)),0)+IFERROR(INDEX(Income!C$3:C$502,SMALL(IF((Income!D$3:D$502="INR")*(Income!A$3:A$502=DATE(2026,9,25)),ROW(Income!A$3:A$502)-2),3)),0)=0,"",IFERROR(-INDEX(Expenses!D$3:D$1002,SMALL(IF((Expenses!E$3:E$1002="INR")*(Expenses!A$3:A$1002=DATE(2026,9,25)),ROW(Expenses!A$3:A$1002)-2),3)),0)+IFERROR(INDEX(Income!C$3:C$502,SMALL(IF((Income!D$3:D$502="INR")*(Income!A$3:A$502=DATE(2026,9,25)),ROW(Income!A$3:A$502)-2),3)),0))</f>
        <v/>
      </c>
      <c r="L196" s="38" t="str">
        <f aca="false">IF(IFERROR(INDEX(Expenses!B$3:B$1002,SMALL(IF((Expenses!E$3:E$1002="INR")*(Expenses!A$3:A$1002=DATE(2026,9,25)),ROW(Expenses!A$3:A$1002)-2),3)),"")&lt;&gt;"",IFERROR(INDEX(Expenses!B$3:B$1002,SMALL(IF((Expenses!E$3:E$1002="INR")*(Expenses!A$3:A$1002=DATE(2026,9,25)),ROW(Expenses!A$3:A$1002)-2),3)),""),IF(IFERROR(INDEX(Income!B$3:B$502,SMALL(IF((Income!D$3:D$502="INR")*(Income!A$3:A$502=DATE(2026,9,25)),ROW(Income!A$3:A$502)-2),3)),"")&lt;&gt;"",IFERROR(INDEX(Income!B$3:B$502,SMALL(IF((Income!D$3:D$502="INR")*(Income!A$3:A$502=DATE(2026,9,25)),ROW(Income!A$3:A$502)-2),3)),""),""))</f>
        <v/>
      </c>
      <c r="M196" s="63" t="str">
        <f aca="false">IF(IFERROR(-INDEX(Expenses!D$3:D$1002,SMALL(IF((Expenses!E$3:E$1002="INR")*(Expenses!A$3:A$1002=DATE(2026,9,26)),ROW(Expenses!A$3:A$1002)-2),3)),0)+IFERROR(INDEX(Income!C$3:C$502,SMALL(IF((Income!D$3:D$502="INR")*(Income!A$3:A$502=DATE(2026,9,26)),ROW(Income!A$3:A$502)-2),3)),0)=0,"",IFERROR(-INDEX(Expenses!D$3:D$1002,SMALL(IF((Expenses!E$3:E$1002="INR")*(Expenses!A$3:A$1002=DATE(2026,9,26)),ROW(Expenses!A$3:A$1002)-2),3)),0)+IFERROR(INDEX(Income!C$3:C$502,SMALL(IF((Income!D$3:D$502="INR")*(Income!A$3:A$502=DATE(2026,9,26)),ROW(Income!A$3:A$502)-2),3)),0))</f>
        <v/>
      </c>
      <c r="N196" s="38" t="str">
        <f aca="false">IF(IFERROR(INDEX(Expenses!B$3:B$1002,SMALL(IF((Expenses!E$3:E$1002="INR")*(Expenses!A$3:A$1002=DATE(2026,9,26)),ROW(Expenses!A$3:A$1002)-2),3)),"")&lt;&gt;"",IFERROR(INDEX(Expenses!B$3:B$1002,SMALL(IF((Expenses!E$3:E$1002="INR")*(Expenses!A$3:A$1002=DATE(2026,9,26)),ROW(Expenses!A$3:A$1002)-2),3)),""),IF(IFERROR(INDEX(Income!B$3:B$502,SMALL(IF((Income!D$3:D$502="INR")*(Income!A$3:A$502=DATE(2026,9,26)),ROW(Income!A$3:A$502)-2),3)),"")&lt;&gt;"",IFERROR(INDEX(Income!B$3:B$502,SMALL(IF((Income!D$3:D$502="INR")*(Income!A$3:A$502=DATE(2026,9,26)),ROW(Income!A$3:A$502)-2),3)),""),""))</f>
        <v/>
      </c>
      <c r="O196" s="63" t="str">
        <f aca="false">IF(IFERROR(-INDEX(Expenses!D$3:D$1002,SMALL(IF((Expenses!E$3:E$1002="INR")*(Expenses!A$3:A$1002=DATE(2026,9,27)),ROW(Expenses!A$3:A$1002)-2),3)),0)+IFERROR(INDEX(Income!C$3:C$502,SMALL(IF((Income!D$3:D$502="INR")*(Income!A$3:A$502=DATE(2026,9,27)),ROW(Income!A$3:A$502)-2),3)),0)=0,"",IFERROR(-INDEX(Expenses!D$3:D$1002,SMALL(IF((Expenses!E$3:E$1002="INR")*(Expenses!A$3:A$1002=DATE(2026,9,27)),ROW(Expenses!A$3:A$1002)-2),3)),0)+IFERROR(INDEX(Income!C$3:C$502,SMALL(IF((Income!D$3:D$502="INR")*(Income!A$3:A$502=DATE(2026,9,27)),ROW(Income!A$3:A$502)-2),3)),0))</f>
        <v/>
      </c>
      <c r="P196" s="38" t="str">
        <f aca="false">IF(IFERROR(INDEX(Expenses!B$3:B$1002,SMALL(IF((Expenses!E$3:E$1002="INR")*(Expenses!A$3:A$1002=DATE(2026,9,27)),ROW(Expenses!A$3:A$1002)-2),3)),"")&lt;&gt;"",IFERROR(INDEX(Expenses!B$3:B$1002,SMALL(IF((Expenses!E$3:E$1002="INR")*(Expenses!A$3:A$1002=DATE(2026,9,27)),ROW(Expenses!A$3:A$1002)-2),3)),""),IF(IFERROR(INDEX(Income!B$3:B$502,SMALL(IF((Income!D$3:D$502="INR")*(Income!A$3:A$502=DATE(2026,9,27)),ROW(Income!A$3:A$502)-2),3)),"")&lt;&gt;"",IFERROR(INDEX(Income!B$3:B$502,SMALL(IF((Income!D$3:D$502="INR")*(Income!A$3:A$502=DATE(2026,9,27)),ROW(Income!A$3:A$502)-2),3)),""),""))</f>
        <v/>
      </c>
      <c r="Q196" s="16"/>
      <c r="R196" s="16"/>
    </row>
    <row r="197" customFormat="false" ht="15" hidden="false" customHeight="false" outlineLevel="0" collapsed="false">
      <c r="A197" s="16"/>
      <c r="B197" s="16"/>
      <c r="C197" s="63" t="str">
        <f aca="false">IF(IFERROR(-INDEX(Expenses!D$3:D$1002,SMALL(IF((Expenses!E$3:E$1002="INR")*(Expenses!A$3:A$1002=DATE(2026,9,21)),ROW(Expenses!A$3:A$1002)-2),4)),0)+IFERROR(INDEX(Income!C$3:C$502,SMALL(IF((Income!D$3:D$502="INR")*(Income!A$3:A$502=DATE(2026,9,21)),ROW(Income!A$3:A$502)-2),4)),0)=0,"",IFERROR(-INDEX(Expenses!D$3:D$1002,SMALL(IF((Expenses!E$3:E$1002="INR")*(Expenses!A$3:A$1002=DATE(2026,9,21)),ROW(Expenses!A$3:A$1002)-2),4)),0)+IFERROR(INDEX(Income!C$3:C$502,SMALL(IF((Income!D$3:D$502="INR")*(Income!A$3:A$502=DATE(2026,9,21)),ROW(Income!A$3:A$502)-2),4)),0))</f>
        <v/>
      </c>
      <c r="D197" s="38" t="str">
        <f aca="false">IF(IFERROR(INDEX(Expenses!B$3:B$1002,SMALL(IF((Expenses!E$3:E$1002="INR")*(Expenses!A$3:A$1002=DATE(2026,9,21)),ROW(Expenses!A$3:A$1002)-2),4)),"")&lt;&gt;"",IFERROR(INDEX(Expenses!B$3:B$1002,SMALL(IF((Expenses!E$3:E$1002="INR")*(Expenses!A$3:A$1002=DATE(2026,9,21)),ROW(Expenses!A$3:A$1002)-2),4)),""),IF(IFERROR(INDEX(Income!B$3:B$502,SMALL(IF((Income!D$3:D$502="INR")*(Income!A$3:A$502=DATE(2026,9,21)),ROW(Income!A$3:A$502)-2),4)),"")&lt;&gt;"",IFERROR(INDEX(Income!B$3:B$502,SMALL(IF((Income!D$3:D$502="INR")*(Income!A$3:A$502=DATE(2026,9,21)),ROW(Income!A$3:A$502)-2),4)),""),""))</f>
        <v/>
      </c>
      <c r="E197" s="63" t="str">
        <f aca="false">IF(IFERROR(-INDEX(Expenses!D$3:D$1002,SMALL(IF((Expenses!E$3:E$1002="INR")*(Expenses!A$3:A$1002=DATE(2026,9,22)),ROW(Expenses!A$3:A$1002)-2),4)),0)+IFERROR(INDEX(Income!C$3:C$502,SMALL(IF((Income!D$3:D$502="INR")*(Income!A$3:A$502=DATE(2026,9,22)),ROW(Income!A$3:A$502)-2),4)),0)=0,"",IFERROR(-INDEX(Expenses!D$3:D$1002,SMALL(IF((Expenses!E$3:E$1002="INR")*(Expenses!A$3:A$1002=DATE(2026,9,22)),ROW(Expenses!A$3:A$1002)-2),4)),0)+IFERROR(INDEX(Income!C$3:C$502,SMALL(IF((Income!D$3:D$502="INR")*(Income!A$3:A$502=DATE(2026,9,22)),ROW(Income!A$3:A$502)-2),4)),0))</f>
        <v/>
      </c>
      <c r="F197" s="38" t="str">
        <f aca="false">IF(IFERROR(INDEX(Expenses!B$3:B$1002,SMALL(IF((Expenses!E$3:E$1002="INR")*(Expenses!A$3:A$1002=DATE(2026,9,22)),ROW(Expenses!A$3:A$1002)-2),4)),"")&lt;&gt;"",IFERROR(INDEX(Expenses!B$3:B$1002,SMALL(IF((Expenses!E$3:E$1002="INR")*(Expenses!A$3:A$1002=DATE(2026,9,22)),ROW(Expenses!A$3:A$1002)-2),4)),""),IF(IFERROR(INDEX(Income!B$3:B$502,SMALL(IF((Income!D$3:D$502="INR")*(Income!A$3:A$502=DATE(2026,9,22)),ROW(Income!A$3:A$502)-2),4)),"")&lt;&gt;"",IFERROR(INDEX(Income!B$3:B$502,SMALL(IF((Income!D$3:D$502="INR")*(Income!A$3:A$502=DATE(2026,9,22)),ROW(Income!A$3:A$502)-2),4)),""),""))</f>
        <v/>
      </c>
      <c r="G197" s="63" t="str">
        <f aca="false">IF(IFERROR(-INDEX(Expenses!D$3:D$1002,SMALL(IF((Expenses!E$3:E$1002="INR")*(Expenses!A$3:A$1002=DATE(2026,9,23)),ROW(Expenses!A$3:A$1002)-2),4)),0)+IFERROR(INDEX(Income!C$3:C$502,SMALL(IF((Income!D$3:D$502="INR")*(Income!A$3:A$502=DATE(2026,9,23)),ROW(Income!A$3:A$502)-2),4)),0)=0,"",IFERROR(-INDEX(Expenses!D$3:D$1002,SMALL(IF((Expenses!E$3:E$1002="INR")*(Expenses!A$3:A$1002=DATE(2026,9,23)),ROW(Expenses!A$3:A$1002)-2),4)),0)+IFERROR(INDEX(Income!C$3:C$502,SMALL(IF((Income!D$3:D$502="INR")*(Income!A$3:A$502=DATE(2026,9,23)),ROW(Income!A$3:A$502)-2),4)),0))</f>
        <v/>
      </c>
      <c r="H197" s="38" t="str">
        <f aca="false">IF(IFERROR(INDEX(Expenses!B$3:B$1002,SMALL(IF((Expenses!E$3:E$1002="INR")*(Expenses!A$3:A$1002=DATE(2026,9,23)),ROW(Expenses!A$3:A$1002)-2),4)),"")&lt;&gt;"",IFERROR(INDEX(Expenses!B$3:B$1002,SMALL(IF((Expenses!E$3:E$1002="INR")*(Expenses!A$3:A$1002=DATE(2026,9,23)),ROW(Expenses!A$3:A$1002)-2),4)),""),IF(IFERROR(INDEX(Income!B$3:B$502,SMALL(IF((Income!D$3:D$502="INR")*(Income!A$3:A$502=DATE(2026,9,23)),ROW(Income!A$3:A$502)-2),4)),"")&lt;&gt;"",IFERROR(INDEX(Income!B$3:B$502,SMALL(IF((Income!D$3:D$502="INR")*(Income!A$3:A$502=DATE(2026,9,23)),ROW(Income!A$3:A$502)-2),4)),""),""))</f>
        <v/>
      </c>
      <c r="I197" s="63" t="str">
        <f aca="false">IF(IFERROR(-INDEX(Expenses!D$3:D$1002,SMALL(IF((Expenses!E$3:E$1002="INR")*(Expenses!A$3:A$1002=DATE(2026,9,24)),ROW(Expenses!A$3:A$1002)-2),4)),0)+IFERROR(INDEX(Income!C$3:C$502,SMALL(IF((Income!D$3:D$502="INR")*(Income!A$3:A$502=DATE(2026,9,24)),ROW(Income!A$3:A$502)-2),4)),0)=0,"",IFERROR(-INDEX(Expenses!D$3:D$1002,SMALL(IF((Expenses!E$3:E$1002="INR")*(Expenses!A$3:A$1002=DATE(2026,9,24)),ROW(Expenses!A$3:A$1002)-2),4)),0)+IFERROR(INDEX(Income!C$3:C$502,SMALL(IF((Income!D$3:D$502="INR")*(Income!A$3:A$502=DATE(2026,9,24)),ROW(Income!A$3:A$502)-2),4)),0))</f>
        <v/>
      </c>
      <c r="J197" s="38" t="str">
        <f aca="false">IF(IFERROR(INDEX(Expenses!B$3:B$1002,SMALL(IF((Expenses!E$3:E$1002="INR")*(Expenses!A$3:A$1002=DATE(2026,9,24)),ROW(Expenses!A$3:A$1002)-2),4)),"")&lt;&gt;"",IFERROR(INDEX(Expenses!B$3:B$1002,SMALL(IF((Expenses!E$3:E$1002="INR")*(Expenses!A$3:A$1002=DATE(2026,9,24)),ROW(Expenses!A$3:A$1002)-2),4)),""),IF(IFERROR(INDEX(Income!B$3:B$502,SMALL(IF((Income!D$3:D$502="INR")*(Income!A$3:A$502=DATE(2026,9,24)),ROW(Income!A$3:A$502)-2),4)),"")&lt;&gt;"",IFERROR(INDEX(Income!B$3:B$502,SMALL(IF((Income!D$3:D$502="INR")*(Income!A$3:A$502=DATE(2026,9,24)),ROW(Income!A$3:A$502)-2),4)),""),""))</f>
        <v/>
      </c>
      <c r="K197" s="63" t="str">
        <f aca="false">IF(IFERROR(-INDEX(Expenses!D$3:D$1002,SMALL(IF((Expenses!E$3:E$1002="INR")*(Expenses!A$3:A$1002=DATE(2026,9,25)),ROW(Expenses!A$3:A$1002)-2),4)),0)+IFERROR(INDEX(Income!C$3:C$502,SMALL(IF((Income!D$3:D$502="INR")*(Income!A$3:A$502=DATE(2026,9,25)),ROW(Income!A$3:A$502)-2),4)),0)=0,"",IFERROR(-INDEX(Expenses!D$3:D$1002,SMALL(IF((Expenses!E$3:E$1002="INR")*(Expenses!A$3:A$1002=DATE(2026,9,25)),ROW(Expenses!A$3:A$1002)-2),4)),0)+IFERROR(INDEX(Income!C$3:C$502,SMALL(IF((Income!D$3:D$502="INR")*(Income!A$3:A$502=DATE(2026,9,25)),ROW(Income!A$3:A$502)-2),4)),0))</f>
        <v/>
      </c>
      <c r="L197" s="38" t="str">
        <f aca="false">IF(IFERROR(INDEX(Expenses!B$3:B$1002,SMALL(IF((Expenses!E$3:E$1002="INR")*(Expenses!A$3:A$1002=DATE(2026,9,25)),ROW(Expenses!A$3:A$1002)-2),4)),"")&lt;&gt;"",IFERROR(INDEX(Expenses!B$3:B$1002,SMALL(IF((Expenses!E$3:E$1002="INR")*(Expenses!A$3:A$1002=DATE(2026,9,25)),ROW(Expenses!A$3:A$1002)-2),4)),""),IF(IFERROR(INDEX(Income!B$3:B$502,SMALL(IF((Income!D$3:D$502="INR")*(Income!A$3:A$502=DATE(2026,9,25)),ROW(Income!A$3:A$502)-2),4)),"")&lt;&gt;"",IFERROR(INDEX(Income!B$3:B$502,SMALL(IF((Income!D$3:D$502="INR")*(Income!A$3:A$502=DATE(2026,9,25)),ROW(Income!A$3:A$502)-2),4)),""),""))</f>
        <v/>
      </c>
      <c r="M197" s="63" t="str">
        <f aca="false">IF(IFERROR(-INDEX(Expenses!D$3:D$1002,SMALL(IF((Expenses!E$3:E$1002="INR")*(Expenses!A$3:A$1002=DATE(2026,9,26)),ROW(Expenses!A$3:A$1002)-2),4)),0)+IFERROR(INDEX(Income!C$3:C$502,SMALL(IF((Income!D$3:D$502="INR")*(Income!A$3:A$502=DATE(2026,9,26)),ROW(Income!A$3:A$502)-2),4)),0)=0,"",IFERROR(-INDEX(Expenses!D$3:D$1002,SMALL(IF((Expenses!E$3:E$1002="INR")*(Expenses!A$3:A$1002=DATE(2026,9,26)),ROW(Expenses!A$3:A$1002)-2),4)),0)+IFERROR(INDEX(Income!C$3:C$502,SMALL(IF((Income!D$3:D$502="INR")*(Income!A$3:A$502=DATE(2026,9,26)),ROW(Income!A$3:A$502)-2),4)),0))</f>
        <v/>
      </c>
      <c r="N197" s="38" t="str">
        <f aca="false">IF(IFERROR(INDEX(Expenses!B$3:B$1002,SMALL(IF((Expenses!E$3:E$1002="INR")*(Expenses!A$3:A$1002=DATE(2026,9,26)),ROW(Expenses!A$3:A$1002)-2),4)),"")&lt;&gt;"",IFERROR(INDEX(Expenses!B$3:B$1002,SMALL(IF((Expenses!E$3:E$1002="INR")*(Expenses!A$3:A$1002=DATE(2026,9,26)),ROW(Expenses!A$3:A$1002)-2),4)),""),IF(IFERROR(INDEX(Income!B$3:B$502,SMALL(IF((Income!D$3:D$502="INR")*(Income!A$3:A$502=DATE(2026,9,26)),ROW(Income!A$3:A$502)-2),4)),"")&lt;&gt;"",IFERROR(INDEX(Income!B$3:B$502,SMALL(IF((Income!D$3:D$502="INR")*(Income!A$3:A$502=DATE(2026,9,26)),ROW(Income!A$3:A$502)-2),4)),""),""))</f>
        <v/>
      </c>
      <c r="O197" s="63" t="str">
        <f aca="false">IF(IFERROR(-INDEX(Expenses!D$3:D$1002,SMALL(IF((Expenses!E$3:E$1002="INR")*(Expenses!A$3:A$1002=DATE(2026,9,27)),ROW(Expenses!A$3:A$1002)-2),4)),0)+IFERROR(INDEX(Income!C$3:C$502,SMALL(IF((Income!D$3:D$502="INR")*(Income!A$3:A$502=DATE(2026,9,27)),ROW(Income!A$3:A$502)-2),4)),0)=0,"",IFERROR(-INDEX(Expenses!D$3:D$1002,SMALL(IF((Expenses!E$3:E$1002="INR")*(Expenses!A$3:A$1002=DATE(2026,9,27)),ROW(Expenses!A$3:A$1002)-2),4)),0)+IFERROR(INDEX(Income!C$3:C$502,SMALL(IF((Income!D$3:D$502="INR")*(Income!A$3:A$502=DATE(2026,9,27)),ROW(Income!A$3:A$502)-2),4)),0))</f>
        <v/>
      </c>
      <c r="P197" s="38" t="str">
        <f aca="false">IF(IFERROR(INDEX(Expenses!B$3:B$1002,SMALL(IF((Expenses!E$3:E$1002="INR")*(Expenses!A$3:A$1002=DATE(2026,9,27)),ROW(Expenses!A$3:A$1002)-2),4)),"")&lt;&gt;"",IFERROR(INDEX(Expenses!B$3:B$1002,SMALL(IF((Expenses!E$3:E$1002="INR")*(Expenses!A$3:A$1002=DATE(2026,9,27)),ROW(Expenses!A$3:A$1002)-2),4)),""),IF(IFERROR(INDEX(Income!B$3:B$502,SMALL(IF((Income!D$3:D$502="INR")*(Income!A$3:A$502=DATE(2026,9,27)),ROW(Income!A$3:A$502)-2),4)),"")&lt;&gt;"",IFERROR(INDEX(Income!B$3:B$502,SMALL(IF((Income!D$3:D$502="INR")*(Income!A$3:A$502=DATE(2026,9,27)),ROW(Income!A$3:A$502)-2),4)),""),""))</f>
        <v/>
      </c>
      <c r="Q197" s="16"/>
      <c r="R197" s="16"/>
    </row>
    <row r="198" customFormat="false" ht="15" hidden="false" customHeight="false" outlineLevel="0" collapsed="false">
      <c r="A198" s="16"/>
      <c r="B198" s="16"/>
      <c r="C198" s="63" t="str">
        <f aca="false">IF(IFERROR(-INDEX(Expenses!D$3:D$1002,SMALL(IF((Expenses!E$3:E$1002="INR")*(Expenses!A$3:A$1002=DATE(2026,9,21)),ROW(Expenses!A$3:A$1002)-2),5)),0)+IFERROR(INDEX(Income!C$3:C$502,SMALL(IF((Income!D$3:D$502="INR")*(Income!A$3:A$502=DATE(2026,9,21)),ROW(Income!A$3:A$502)-2),5)),0)=0,"",IFERROR(-INDEX(Expenses!D$3:D$1002,SMALL(IF((Expenses!E$3:E$1002="INR")*(Expenses!A$3:A$1002=DATE(2026,9,21)),ROW(Expenses!A$3:A$1002)-2),5)),0)+IFERROR(INDEX(Income!C$3:C$502,SMALL(IF((Income!D$3:D$502="INR")*(Income!A$3:A$502=DATE(2026,9,21)),ROW(Income!A$3:A$502)-2),5)),0))</f>
        <v/>
      </c>
      <c r="D198" s="38" t="str">
        <f aca="false">IF(IFERROR(INDEX(Expenses!B$3:B$1002,SMALL(IF((Expenses!E$3:E$1002="INR")*(Expenses!A$3:A$1002=DATE(2026,9,21)),ROW(Expenses!A$3:A$1002)-2),5)),"")&lt;&gt;"",IFERROR(INDEX(Expenses!B$3:B$1002,SMALL(IF((Expenses!E$3:E$1002="INR")*(Expenses!A$3:A$1002=DATE(2026,9,21)),ROW(Expenses!A$3:A$1002)-2),5)),""),IF(IFERROR(INDEX(Income!B$3:B$502,SMALL(IF((Income!D$3:D$502="INR")*(Income!A$3:A$502=DATE(2026,9,21)),ROW(Income!A$3:A$502)-2),5)),"")&lt;&gt;"",IFERROR(INDEX(Income!B$3:B$502,SMALL(IF((Income!D$3:D$502="INR")*(Income!A$3:A$502=DATE(2026,9,21)),ROW(Income!A$3:A$502)-2),5)),""),""))</f>
        <v/>
      </c>
      <c r="E198" s="63" t="str">
        <f aca="false">IF(IFERROR(-INDEX(Expenses!D$3:D$1002,SMALL(IF((Expenses!E$3:E$1002="INR")*(Expenses!A$3:A$1002=DATE(2026,9,22)),ROW(Expenses!A$3:A$1002)-2),5)),0)+IFERROR(INDEX(Income!C$3:C$502,SMALL(IF((Income!D$3:D$502="INR")*(Income!A$3:A$502=DATE(2026,9,22)),ROW(Income!A$3:A$502)-2),5)),0)=0,"",IFERROR(-INDEX(Expenses!D$3:D$1002,SMALL(IF((Expenses!E$3:E$1002="INR")*(Expenses!A$3:A$1002=DATE(2026,9,22)),ROW(Expenses!A$3:A$1002)-2),5)),0)+IFERROR(INDEX(Income!C$3:C$502,SMALL(IF((Income!D$3:D$502="INR")*(Income!A$3:A$502=DATE(2026,9,22)),ROW(Income!A$3:A$502)-2),5)),0))</f>
        <v/>
      </c>
      <c r="F198" s="38" t="str">
        <f aca="false">IF(IFERROR(INDEX(Expenses!B$3:B$1002,SMALL(IF((Expenses!E$3:E$1002="INR")*(Expenses!A$3:A$1002=DATE(2026,9,22)),ROW(Expenses!A$3:A$1002)-2),5)),"")&lt;&gt;"",IFERROR(INDEX(Expenses!B$3:B$1002,SMALL(IF((Expenses!E$3:E$1002="INR")*(Expenses!A$3:A$1002=DATE(2026,9,22)),ROW(Expenses!A$3:A$1002)-2),5)),""),IF(IFERROR(INDEX(Income!B$3:B$502,SMALL(IF((Income!D$3:D$502="INR")*(Income!A$3:A$502=DATE(2026,9,22)),ROW(Income!A$3:A$502)-2),5)),"")&lt;&gt;"",IFERROR(INDEX(Income!B$3:B$502,SMALL(IF((Income!D$3:D$502="INR")*(Income!A$3:A$502=DATE(2026,9,22)),ROW(Income!A$3:A$502)-2),5)),""),""))</f>
        <v/>
      </c>
      <c r="G198" s="63" t="str">
        <f aca="false">IF(IFERROR(-INDEX(Expenses!D$3:D$1002,SMALL(IF((Expenses!E$3:E$1002="INR")*(Expenses!A$3:A$1002=DATE(2026,9,23)),ROW(Expenses!A$3:A$1002)-2),5)),0)+IFERROR(INDEX(Income!C$3:C$502,SMALL(IF((Income!D$3:D$502="INR")*(Income!A$3:A$502=DATE(2026,9,23)),ROW(Income!A$3:A$502)-2),5)),0)=0,"",IFERROR(-INDEX(Expenses!D$3:D$1002,SMALL(IF((Expenses!E$3:E$1002="INR")*(Expenses!A$3:A$1002=DATE(2026,9,23)),ROW(Expenses!A$3:A$1002)-2),5)),0)+IFERROR(INDEX(Income!C$3:C$502,SMALL(IF((Income!D$3:D$502="INR")*(Income!A$3:A$502=DATE(2026,9,23)),ROW(Income!A$3:A$502)-2),5)),0))</f>
        <v/>
      </c>
      <c r="H198" s="38" t="str">
        <f aca="false">IF(IFERROR(INDEX(Expenses!B$3:B$1002,SMALL(IF((Expenses!E$3:E$1002="INR")*(Expenses!A$3:A$1002=DATE(2026,9,23)),ROW(Expenses!A$3:A$1002)-2),5)),"")&lt;&gt;"",IFERROR(INDEX(Expenses!B$3:B$1002,SMALL(IF((Expenses!E$3:E$1002="INR")*(Expenses!A$3:A$1002=DATE(2026,9,23)),ROW(Expenses!A$3:A$1002)-2),5)),""),IF(IFERROR(INDEX(Income!B$3:B$502,SMALL(IF((Income!D$3:D$502="INR")*(Income!A$3:A$502=DATE(2026,9,23)),ROW(Income!A$3:A$502)-2),5)),"")&lt;&gt;"",IFERROR(INDEX(Income!B$3:B$502,SMALL(IF((Income!D$3:D$502="INR")*(Income!A$3:A$502=DATE(2026,9,23)),ROW(Income!A$3:A$502)-2),5)),""),""))</f>
        <v/>
      </c>
      <c r="I198" s="63" t="str">
        <f aca="false">IF(IFERROR(-INDEX(Expenses!D$3:D$1002,SMALL(IF((Expenses!E$3:E$1002="INR")*(Expenses!A$3:A$1002=DATE(2026,9,24)),ROW(Expenses!A$3:A$1002)-2),5)),0)+IFERROR(INDEX(Income!C$3:C$502,SMALL(IF((Income!D$3:D$502="INR")*(Income!A$3:A$502=DATE(2026,9,24)),ROW(Income!A$3:A$502)-2),5)),0)=0,"",IFERROR(-INDEX(Expenses!D$3:D$1002,SMALL(IF((Expenses!E$3:E$1002="INR")*(Expenses!A$3:A$1002=DATE(2026,9,24)),ROW(Expenses!A$3:A$1002)-2),5)),0)+IFERROR(INDEX(Income!C$3:C$502,SMALL(IF((Income!D$3:D$502="INR")*(Income!A$3:A$502=DATE(2026,9,24)),ROW(Income!A$3:A$502)-2),5)),0))</f>
        <v/>
      </c>
      <c r="J198" s="38" t="str">
        <f aca="false">IF(IFERROR(INDEX(Expenses!B$3:B$1002,SMALL(IF((Expenses!E$3:E$1002="INR")*(Expenses!A$3:A$1002=DATE(2026,9,24)),ROW(Expenses!A$3:A$1002)-2),5)),"")&lt;&gt;"",IFERROR(INDEX(Expenses!B$3:B$1002,SMALL(IF((Expenses!E$3:E$1002="INR")*(Expenses!A$3:A$1002=DATE(2026,9,24)),ROW(Expenses!A$3:A$1002)-2),5)),""),IF(IFERROR(INDEX(Income!B$3:B$502,SMALL(IF((Income!D$3:D$502="INR")*(Income!A$3:A$502=DATE(2026,9,24)),ROW(Income!A$3:A$502)-2),5)),"")&lt;&gt;"",IFERROR(INDEX(Income!B$3:B$502,SMALL(IF((Income!D$3:D$502="INR")*(Income!A$3:A$502=DATE(2026,9,24)),ROW(Income!A$3:A$502)-2),5)),""),""))</f>
        <v/>
      </c>
      <c r="K198" s="63" t="str">
        <f aca="false">IF(IFERROR(-INDEX(Expenses!D$3:D$1002,SMALL(IF((Expenses!E$3:E$1002="INR")*(Expenses!A$3:A$1002=DATE(2026,9,25)),ROW(Expenses!A$3:A$1002)-2),5)),0)+IFERROR(INDEX(Income!C$3:C$502,SMALL(IF((Income!D$3:D$502="INR")*(Income!A$3:A$502=DATE(2026,9,25)),ROW(Income!A$3:A$502)-2),5)),0)=0,"",IFERROR(-INDEX(Expenses!D$3:D$1002,SMALL(IF((Expenses!E$3:E$1002="INR")*(Expenses!A$3:A$1002=DATE(2026,9,25)),ROW(Expenses!A$3:A$1002)-2),5)),0)+IFERROR(INDEX(Income!C$3:C$502,SMALL(IF((Income!D$3:D$502="INR")*(Income!A$3:A$502=DATE(2026,9,25)),ROW(Income!A$3:A$502)-2),5)),0))</f>
        <v/>
      </c>
      <c r="L198" s="38" t="str">
        <f aca="false">IF(IFERROR(INDEX(Expenses!B$3:B$1002,SMALL(IF((Expenses!E$3:E$1002="INR")*(Expenses!A$3:A$1002=DATE(2026,9,25)),ROW(Expenses!A$3:A$1002)-2),5)),"")&lt;&gt;"",IFERROR(INDEX(Expenses!B$3:B$1002,SMALL(IF((Expenses!E$3:E$1002="INR")*(Expenses!A$3:A$1002=DATE(2026,9,25)),ROW(Expenses!A$3:A$1002)-2),5)),""),IF(IFERROR(INDEX(Income!B$3:B$502,SMALL(IF((Income!D$3:D$502="INR")*(Income!A$3:A$502=DATE(2026,9,25)),ROW(Income!A$3:A$502)-2),5)),"")&lt;&gt;"",IFERROR(INDEX(Income!B$3:B$502,SMALL(IF((Income!D$3:D$502="INR")*(Income!A$3:A$502=DATE(2026,9,25)),ROW(Income!A$3:A$502)-2),5)),""),""))</f>
        <v/>
      </c>
      <c r="M198" s="63" t="str">
        <f aca="false">IF(IFERROR(-INDEX(Expenses!D$3:D$1002,SMALL(IF((Expenses!E$3:E$1002="INR")*(Expenses!A$3:A$1002=DATE(2026,9,26)),ROW(Expenses!A$3:A$1002)-2),5)),0)+IFERROR(INDEX(Income!C$3:C$502,SMALL(IF((Income!D$3:D$502="INR")*(Income!A$3:A$502=DATE(2026,9,26)),ROW(Income!A$3:A$502)-2),5)),0)=0,"",IFERROR(-INDEX(Expenses!D$3:D$1002,SMALL(IF((Expenses!E$3:E$1002="INR")*(Expenses!A$3:A$1002=DATE(2026,9,26)),ROW(Expenses!A$3:A$1002)-2),5)),0)+IFERROR(INDEX(Income!C$3:C$502,SMALL(IF((Income!D$3:D$502="INR")*(Income!A$3:A$502=DATE(2026,9,26)),ROW(Income!A$3:A$502)-2),5)),0))</f>
        <v/>
      </c>
      <c r="N198" s="38" t="str">
        <f aca="false">IF(IFERROR(INDEX(Expenses!B$3:B$1002,SMALL(IF((Expenses!E$3:E$1002="INR")*(Expenses!A$3:A$1002=DATE(2026,9,26)),ROW(Expenses!A$3:A$1002)-2),5)),"")&lt;&gt;"",IFERROR(INDEX(Expenses!B$3:B$1002,SMALL(IF((Expenses!E$3:E$1002="INR")*(Expenses!A$3:A$1002=DATE(2026,9,26)),ROW(Expenses!A$3:A$1002)-2),5)),""),IF(IFERROR(INDEX(Income!B$3:B$502,SMALL(IF((Income!D$3:D$502="INR")*(Income!A$3:A$502=DATE(2026,9,26)),ROW(Income!A$3:A$502)-2),5)),"")&lt;&gt;"",IFERROR(INDEX(Income!B$3:B$502,SMALL(IF((Income!D$3:D$502="INR")*(Income!A$3:A$502=DATE(2026,9,26)),ROW(Income!A$3:A$502)-2),5)),""),""))</f>
        <v/>
      </c>
      <c r="O198" s="63" t="str">
        <f aca="false">IF(IFERROR(-INDEX(Expenses!D$3:D$1002,SMALL(IF((Expenses!E$3:E$1002="INR")*(Expenses!A$3:A$1002=DATE(2026,9,27)),ROW(Expenses!A$3:A$1002)-2),5)),0)+IFERROR(INDEX(Income!C$3:C$502,SMALL(IF((Income!D$3:D$502="INR")*(Income!A$3:A$502=DATE(2026,9,27)),ROW(Income!A$3:A$502)-2),5)),0)=0,"",IFERROR(-INDEX(Expenses!D$3:D$1002,SMALL(IF((Expenses!E$3:E$1002="INR")*(Expenses!A$3:A$1002=DATE(2026,9,27)),ROW(Expenses!A$3:A$1002)-2),5)),0)+IFERROR(INDEX(Income!C$3:C$502,SMALL(IF((Income!D$3:D$502="INR")*(Income!A$3:A$502=DATE(2026,9,27)),ROW(Income!A$3:A$502)-2),5)),0))</f>
        <v/>
      </c>
      <c r="P198" s="38" t="str">
        <f aca="false">IF(IFERROR(INDEX(Expenses!B$3:B$1002,SMALL(IF((Expenses!E$3:E$1002="INR")*(Expenses!A$3:A$1002=DATE(2026,9,27)),ROW(Expenses!A$3:A$1002)-2),5)),"")&lt;&gt;"",IFERROR(INDEX(Expenses!B$3:B$1002,SMALL(IF((Expenses!E$3:E$1002="INR")*(Expenses!A$3:A$1002=DATE(2026,9,27)),ROW(Expenses!A$3:A$1002)-2),5)),""),IF(IFERROR(INDEX(Income!B$3:B$502,SMALL(IF((Income!D$3:D$502="INR")*(Income!A$3:A$502=DATE(2026,9,27)),ROW(Income!A$3:A$502)-2),5)),"")&lt;&gt;"",IFERROR(INDEX(Income!B$3:B$502,SMALL(IF((Income!D$3:D$502="INR")*(Income!A$3:A$502=DATE(2026,9,27)),ROW(Income!A$3:A$502)-2),5)),""),""))</f>
        <v/>
      </c>
      <c r="Q198" s="16"/>
      <c r="R198" s="16"/>
    </row>
    <row r="199" customFormat="false" ht="15" hidden="false" customHeight="false" outlineLevel="0" collapsed="false">
      <c r="A199" s="61" t="n">
        <v>46293</v>
      </c>
      <c r="B199" s="3" t="n">
        <v>40</v>
      </c>
      <c r="C199" s="63" t="str">
        <f aca="false">IF(IFERROR(-INDEX(Expenses!D$3:D$1002,SMALL(IF((Expenses!E$3:E$1002="INR")*(Expenses!A$3:A$1002=DATE(2026,9,28)),ROW(Expenses!A$3:A$1002)-2),1)),0)+IFERROR(INDEX(Income!C$3:C$502,SMALL(IF((Income!D$3:D$502="INR")*(Income!A$3:A$502=DATE(2026,9,28)),ROW(Income!A$3:A$502)-2),1)),0)=0,"",IFERROR(-INDEX(Expenses!D$3:D$1002,SMALL(IF((Expenses!E$3:E$1002="INR")*(Expenses!A$3:A$1002=DATE(2026,9,28)),ROW(Expenses!A$3:A$1002)-2),1)),0)+IFERROR(INDEX(Income!C$3:C$502,SMALL(IF((Income!D$3:D$502="INR")*(Income!A$3:A$502=DATE(2026,9,28)),ROW(Income!A$3:A$502)-2),1)),0))</f>
        <v/>
      </c>
      <c r="D199" s="38" t="str">
        <f aca="false">IF(IFERROR(INDEX(Expenses!B$3:B$1002,SMALL(IF((Expenses!E$3:E$1002="INR")*(Expenses!A$3:A$1002=DATE(2026,9,28)),ROW(Expenses!A$3:A$1002)-2),1)),"")&lt;&gt;"",IFERROR(INDEX(Expenses!B$3:B$1002,SMALL(IF((Expenses!E$3:E$1002="INR")*(Expenses!A$3:A$1002=DATE(2026,9,28)),ROW(Expenses!A$3:A$1002)-2),1)),""),IF(IFERROR(INDEX(Income!B$3:B$502,SMALL(IF((Income!D$3:D$502="INR")*(Income!A$3:A$502=DATE(2026,9,28)),ROW(Income!A$3:A$502)-2),1)),"")&lt;&gt;"",IFERROR(INDEX(Income!B$3:B$502,SMALL(IF((Income!D$3:D$502="INR")*(Income!A$3:A$502=DATE(2026,9,28)),ROW(Income!A$3:A$502)-2),1)),""),""))</f>
        <v/>
      </c>
      <c r="E199" s="63" t="str">
        <f aca="false">IF(IFERROR(-INDEX(Expenses!D$3:D$1002,SMALL(IF((Expenses!E$3:E$1002="INR")*(Expenses!A$3:A$1002=DATE(2026,9,29)),ROW(Expenses!A$3:A$1002)-2),1)),0)+IFERROR(INDEX(Income!C$3:C$502,SMALL(IF((Income!D$3:D$502="INR")*(Income!A$3:A$502=DATE(2026,9,29)),ROW(Income!A$3:A$502)-2),1)),0)=0,"",IFERROR(-INDEX(Expenses!D$3:D$1002,SMALL(IF((Expenses!E$3:E$1002="INR")*(Expenses!A$3:A$1002=DATE(2026,9,29)),ROW(Expenses!A$3:A$1002)-2),1)),0)+IFERROR(INDEX(Income!C$3:C$502,SMALL(IF((Income!D$3:D$502="INR")*(Income!A$3:A$502=DATE(2026,9,29)),ROW(Income!A$3:A$502)-2),1)),0))</f>
        <v/>
      </c>
      <c r="F199" s="38" t="str">
        <f aca="false">IF(IFERROR(INDEX(Expenses!B$3:B$1002,SMALL(IF((Expenses!E$3:E$1002="INR")*(Expenses!A$3:A$1002=DATE(2026,9,29)),ROW(Expenses!A$3:A$1002)-2),1)),"")&lt;&gt;"",IFERROR(INDEX(Expenses!B$3:B$1002,SMALL(IF((Expenses!E$3:E$1002="INR")*(Expenses!A$3:A$1002=DATE(2026,9,29)),ROW(Expenses!A$3:A$1002)-2),1)),""),IF(IFERROR(INDEX(Income!B$3:B$502,SMALL(IF((Income!D$3:D$502="INR")*(Income!A$3:A$502=DATE(2026,9,29)),ROW(Income!A$3:A$502)-2),1)),"")&lt;&gt;"",IFERROR(INDEX(Income!B$3:B$502,SMALL(IF((Income!D$3:D$502="INR")*(Income!A$3:A$502=DATE(2026,9,29)),ROW(Income!A$3:A$502)-2),1)),""),""))</f>
        <v/>
      </c>
      <c r="G199" s="63" t="str">
        <f aca="false">IF(IFERROR(-INDEX(Expenses!D$3:D$1002,SMALL(IF((Expenses!E$3:E$1002="INR")*(Expenses!A$3:A$1002=DATE(2026,9,30)),ROW(Expenses!A$3:A$1002)-2),1)),0)+IFERROR(INDEX(Income!C$3:C$502,SMALL(IF((Income!D$3:D$502="INR")*(Income!A$3:A$502=DATE(2026,9,30)),ROW(Income!A$3:A$502)-2),1)),0)=0,"",IFERROR(-INDEX(Expenses!D$3:D$1002,SMALL(IF((Expenses!E$3:E$1002="INR")*(Expenses!A$3:A$1002=DATE(2026,9,30)),ROW(Expenses!A$3:A$1002)-2),1)),0)+IFERROR(INDEX(Income!C$3:C$502,SMALL(IF((Income!D$3:D$502="INR")*(Income!A$3:A$502=DATE(2026,9,30)),ROW(Income!A$3:A$502)-2),1)),0))</f>
        <v/>
      </c>
      <c r="H199" s="38" t="str">
        <f aca="false">IF(IFERROR(INDEX(Expenses!B$3:B$1002,SMALL(IF((Expenses!E$3:E$1002="INR")*(Expenses!A$3:A$1002=DATE(2026,9,30)),ROW(Expenses!A$3:A$1002)-2),1)),"")&lt;&gt;"",IFERROR(INDEX(Expenses!B$3:B$1002,SMALL(IF((Expenses!E$3:E$1002="INR")*(Expenses!A$3:A$1002=DATE(2026,9,30)),ROW(Expenses!A$3:A$1002)-2),1)),""),IF(IFERROR(INDEX(Income!B$3:B$502,SMALL(IF((Income!D$3:D$502="INR")*(Income!A$3:A$502=DATE(2026,9,30)),ROW(Income!A$3:A$502)-2),1)),"")&lt;&gt;"",IFERROR(INDEX(Income!B$3:B$502,SMALL(IF((Income!D$3:D$502="INR")*(Income!A$3:A$502=DATE(2026,9,30)),ROW(Income!A$3:A$502)-2),1)),""),""))</f>
        <v/>
      </c>
      <c r="I199" s="63" t="str">
        <f aca="false">IF(IFERROR(-INDEX(Expenses!D$3:D$1002,SMALL(IF((Expenses!E$3:E$1002="INR")*(Expenses!A$3:A$1002=DATE(2026,10,1)),ROW(Expenses!A$3:A$1002)-2),1)),0)+IFERROR(INDEX(Income!C$3:C$502,SMALL(IF((Income!D$3:D$502="INR")*(Income!A$3:A$502=DATE(2026,10,1)),ROW(Income!A$3:A$502)-2),1)),0)=0,"",IFERROR(-INDEX(Expenses!D$3:D$1002,SMALL(IF((Expenses!E$3:E$1002="INR")*(Expenses!A$3:A$1002=DATE(2026,10,1)),ROW(Expenses!A$3:A$1002)-2),1)),0)+IFERROR(INDEX(Income!C$3:C$502,SMALL(IF((Income!D$3:D$502="INR")*(Income!A$3:A$502=DATE(2026,10,1)),ROW(Income!A$3:A$502)-2),1)),0))</f>
        <v/>
      </c>
      <c r="J199" s="38" t="str">
        <f aca="false">IF(IFERROR(INDEX(Expenses!B$3:B$1002,SMALL(IF((Expenses!E$3:E$1002="INR")*(Expenses!A$3:A$1002=DATE(2026,10,1)),ROW(Expenses!A$3:A$1002)-2),1)),"")&lt;&gt;"",IFERROR(INDEX(Expenses!B$3:B$1002,SMALL(IF((Expenses!E$3:E$1002="INR")*(Expenses!A$3:A$1002=DATE(2026,10,1)),ROW(Expenses!A$3:A$1002)-2),1)),""),IF(IFERROR(INDEX(Income!B$3:B$502,SMALL(IF((Income!D$3:D$502="INR")*(Income!A$3:A$502=DATE(2026,10,1)),ROW(Income!A$3:A$502)-2),1)),"")&lt;&gt;"",IFERROR(INDEX(Income!B$3:B$502,SMALL(IF((Income!D$3:D$502="INR")*(Income!A$3:A$502=DATE(2026,10,1)),ROW(Income!A$3:A$502)-2),1)),""),""))</f>
        <v/>
      </c>
      <c r="K199" s="63" t="str">
        <f aca="false">IF(IFERROR(-INDEX(Expenses!D$3:D$1002,SMALL(IF((Expenses!E$3:E$1002="INR")*(Expenses!A$3:A$1002=DATE(2026,10,2)),ROW(Expenses!A$3:A$1002)-2),1)),0)+IFERROR(INDEX(Income!C$3:C$502,SMALL(IF((Income!D$3:D$502="INR")*(Income!A$3:A$502=DATE(2026,10,2)),ROW(Income!A$3:A$502)-2),1)),0)=0,"",IFERROR(-INDEX(Expenses!D$3:D$1002,SMALL(IF((Expenses!E$3:E$1002="INR")*(Expenses!A$3:A$1002=DATE(2026,10,2)),ROW(Expenses!A$3:A$1002)-2),1)),0)+IFERROR(INDEX(Income!C$3:C$502,SMALL(IF((Income!D$3:D$502="INR")*(Income!A$3:A$502=DATE(2026,10,2)),ROW(Income!A$3:A$502)-2),1)),0))</f>
        <v/>
      </c>
      <c r="L199" s="38" t="str">
        <f aca="false">IF(IFERROR(INDEX(Expenses!B$3:B$1002,SMALL(IF((Expenses!E$3:E$1002="INR")*(Expenses!A$3:A$1002=DATE(2026,10,2)),ROW(Expenses!A$3:A$1002)-2),1)),"")&lt;&gt;"",IFERROR(INDEX(Expenses!B$3:B$1002,SMALL(IF((Expenses!E$3:E$1002="INR")*(Expenses!A$3:A$1002=DATE(2026,10,2)),ROW(Expenses!A$3:A$1002)-2),1)),""),IF(IFERROR(INDEX(Income!B$3:B$502,SMALL(IF((Income!D$3:D$502="INR")*(Income!A$3:A$502=DATE(2026,10,2)),ROW(Income!A$3:A$502)-2),1)),"")&lt;&gt;"",IFERROR(INDEX(Income!B$3:B$502,SMALL(IF((Income!D$3:D$502="INR")*(Income!A$3:A$502=DATE(2026,10,2)),ROW(Income!A$3:A$502)-2),1)),""),""))</f>
        <v/>
      </c>
      <c r="M199" s="63" t="str">
        <f aca="false">IF(IFERROR(-INDEX(Expenses!D$3:D$1002,SMALL(IF((Expenses!E$3:E$1002="INR")*(Expenses!A$3:A$1002=DATE(2026,10,3)),ROW(Expenses!A$3:A$1002)-2),1)),0)+IFERROR(INDEX(Income!C$3:C$502,SMALL(IF((Income!D$3:D$502="INR")*(Income!A$3:A$502=DATE(2026,10,3)),ROW(Income!A$3:A$502)-2),1)),0)=0,"",IFERROR(-INDEX(Expenses!D$3:D$1002,SMALL(IF((Expenses!E$3:E$1002="INR")*(Expenses!A$3:A$1002=DATE(2026,10,3)),ROW(Expenses!A$3:A$1002)-2),1)),0)+IFERROR(INDEX(Income!C$3:C$502,SMALL(IF((Income!D$3:D$502="INR")*(Income!A$3:A$502=DATE(2026,10,3)),ROW(Income!A$3:A$502)-2),1)),0))</f>
        <v/>
      </c>
      <c r="N199" s="38" t="str">
        <f aca="false">IF(IFERROR(INDEX(Expenses!B$3:B$1002,SMALL(IF((Expenses!E$3:E$1002="INR")*(Expenses!A$3:A$1002=DATE(2026,10,3)),ROW(Expenses!A$3:A$1002)-2),1)),"")&lt;&gt;"",IFERROR(INDEX(Expenses!B$3:B$1002,SMALL(IF((Expenses!E$3:E$1002="INR")*(Expenses!A$3:A$1002=DATE(2026,10,3)),ROW(Expenses!A$3:A$1002)-2),1)),""),IF(IFERROR(INDEX(Income!B$3:B$502,SMALL(IF((Income!D$3:D$502="INR")*(Income!A$3:A$502=DATE(2026,10,3)),ROW(Income!A$3:A$502)-2),1)),"")&lt;&gt;"",IFERROR(INDEX(Income!B$3:B$502,SMALL(IF((Income!D$3:D$502="INR")*(Income!A$3:A$502=DATE(2026,10,3)),ROW(Income!A$3:A$502)-2),1)),""),""))</f>
        <v/>
      </c>
      <c r="O199" s="63" t="str">
        <f aca="false">IF(IFERROR(-INDEX(Expenses!D$3:D$1002,SMALL(IF((Expenses!E$3:E$1002="INR")*(Expenses!A$3:A$1002=DATE(2026,10,4)),ROW(Expenses!A$3:A$1002)-2),1)),0)+IFERROR(INDEX(Income!C$3:C$502,SMALL(IF((Income!D$3:D$502="INR")*(Income!A$3:A$502=DATE(2026,10,4)),ROW(Income!A$3:A$502)-2),1)),0)=0,"",IFERROR(-INDEX(Expenses!D$3:D$1002,SMALL(IF((Expenses!E$3:E$1002="INR")*(Expenses!A$3:A$1002=DATE(2026,10,4)),ROW(Expenses!A$3:A$1002)-2),1)),0)+IFERROR(INDEX(Income!C$3:C$502,SMALL(IF((Income!D$3:D$502="INR")*(Income!A$3:A$502=DATE(2026,10,4)),ROW(Income!A$3:A$502)-2),1)),0))</f>
        <v/>
      </c>
      <c r="P199" s="38" t="str">
        <f aca="false">IF(IFERROR(INDEX(Expenses!B$3:B$1002,SMALL(IF((Expenses!E$3:E$1002="INR")*(Expenses!A$3:A$1002=DATE(2026,10,4)),ROW(Expenses!A$3:A$1002)-2),1)),"")&lt;&gt;"",IFERROR(INDEX(Expenses!B$3:B$1002,SMALL(IF((Expenses!E$3:E$1002="INR")*(Expenses!A$3:A$1002=DATE(2026,10,4)),ROW(Expenses!A$3:A$1002)-2),1)),""),IF(IFERROR(INDEX(Income!B$3:B$502,SMALL(IF((Income!D$3:D$502="INR")*(Income!A$3:A$502=DATE(2026,10,4)),ROW(Income!A$3:A$502)-2),1)),"")&lt;&gt;"",IFERROR(INDEX(Income!B$3:B$502,SMALL(IF((Income!D$3:D$502="INR")*(Income!A$3:A$502=DATE(2026,10,4)),ROW(Income!A$3:A$502)-2),1)),""),""))</f>
        <v/>
      </c>
      <c r="Q199" s="3" t="n">
        <v>40</v>
      </c>
      <c r="R199" s="53" t="n">
        <f aca="false">SUM(C199:C203)+SUM(E199:E203)+SUM(G199:G203)+SUM(I199:I203)+SUM(K199:K203)+SUM(M199:M203)+SUM(O199:O203)</f>
        <v>0</v>
      </c>
    </row>
    <row r="200" customFormat="false" ht="15" hidden="false" customHeight="false" outlineLevel="0" collapsed="false">
      <c r="A200" s="16"/>
      <c r="B200" s="16"/>
      <c r="C200" s="63" t="str">
        <f aca="false">IF(IFERROR(-INDEX(Expenses!D$3:D$1002,SMALL(IF((Expenses!E$3:E$1002="INR")*(Expenses!A$3:A$1002=DATE(2026,9,28)),ROW(Expenses!A$3:A$1002)-2),2)),0)+IFERROR(INDEX(Income!C$3:C$502,SMALL(IF((Income!D$3:D$502="INR")*(Income!A$3:A$502=DATE(2026,9,28)),ROW(Income!A$3:A$502)-2),2)),0)=0,"",IFERROR(-INDEX(Expenses!D$3:D$1002,SMALL(IF((Expenses!E$3:E$1002="INR")*(Expenses!A$3:A$1002=DATE(2026,9,28)),ROW(Expenses!A$3:A$1002)-2),2)),0)+IFERROR(INDEX(Income!C$3:C$502,SMALL(IF((Income!D$3:D$502="INR")*(Income!A$3:A$502=DATE(2026,9,28)),ROW(Income!A$3:A$502)-2),2)),0))</f>
        <v/>
      </c>
      <c r="D200" s="38" t="str">
        <f aca="false">IF(IFERROR(INDEX(Expenses!B$3:B$1002,SMALL(IF((Expenses!E$3:E$1002="INR")*(Expenses!A$3:A$1002=DATE(2026,9,28)),ROW(Expenses!A$3:A$1002)-2),2)),"")&lt;&gt;"",IFERROR(INDEX(Expenses!B$3:B$1002,SMALL(IF((Expenses!E$3:E$1002="INR")*(Expenses!A$3:A$1002=DATE(2026,9,28)),ROW(Expenses!A$3:A$1002)-2),2)),""),IF(IFERROR(INDEX(Income!B$3:B$502,SMALL(IF((Income!D$3:D$502="INR")*(Income!A$3:A$502=DATE(2026,9,28)),ROW(Income!A$3:A$502)-2),2)),"")&lt;&gt;"",IFERROR(INDEX(Income!B$3:B$502,SMALL(IF((Income!D$3:D$502="INR")*(Income!A$3:A$502=DATE(2026,9,28)),ROW(Income!A$3:A$502)-2),2)),""),""))</f>
        <v/>
      </c>
      <c r="E200" s="63" t="str">
        <f aca="false">IF(IFERROR(-INDEX(Expenses!D$3:D$1002,SMALL(IF((Expenses!E$3:E$1002="INR")*(Expenses!A$3:A$1002=DATE(2026,9,29)),ROW(Expenses!A$3:A$1002)-2),2)),0)+IFERROR(INDEX(Income!C$3:C$502,SMALL(IF((Income!D$3:D$502="INR")*(Income!A$3:A$502=DATE(2026,9,29)),ROW(Income!A$3:A$502)-2),2)),0)=0,"",IFERROR(-INDEX(Expenses!D$3:D$1002,SMALL(IF((Expenses!E$3:E$1002="INR")*(Expenses!A$3:A$1002=DATE(2026,9,29)),ROW(Expenses!A$3:A$1002)-2),2)),0)+IFERROR(INDEX(Income!C$3:C$502,SMALL(IF((Income!D$3:D$502="INR")*(Income!A$3:A$502=DATE(2026,9,29)),ROW(Income!A$3:A$502)-2),2)),0))</f>
        <v/>
      </c>
      <c r="F200" s="38" t="str">
        <f aca="false">IF(IFERROR(INDEX(Expenses!B$3:B$1002,SMALL(IF((Expenses!E$3:E$1002="INR")*(Expenses!A$3:A$1002=DATE(2026,9,29)),ROW(Expenses!A$3:A$1002)-2),2)),"")&lt;&gt;"",IFERROR(INDEX(Expenses!B$3:B$1002,SMALL(IF((Expenses!E$3:E$1002="INR")*(Expenses!A$3:A$1002=DATE(2026,9,29)),ROW(Expenses!A$3:A$1002)-2),2)),""),IF(IFERROR(INDEX(Income!B$3:B$502,SMALL(IF((Income!D$3:D$502="INR")*(Income!A$3:A$502=DATE(2026,9,29)),ROW(Income!A$3:A$502)-2),2)),"")&lt;&gt;"",IFERROR(INDEX(Income!B$3:B$502,SMALL(IF((Income!D$3:D$502="INR")*(Income!A$3:A$502=DATE(2026,9,29)),ROW(Income!A$3:A$502)-2),2)),""),""))</f>
        <v/>
      </c>
      <c r="G200" s="63" t="str">
        <f aca="false">IF(IFERROR(-INDEX(Expenses!D$3:D$1002,SMALL(IF((Expenses!E$3:E$1002="INR")*(Expenses!A$3:A$1002=DATE(2026,9,30)),ROW(Expenses!A$3:A$1002)-2),2)),0)+IFERROR(INDEX(Income!C$3:C$502,SMALL(IF((Income!D$3:D$502="INR")*(Income!A$3:A$502=DATE(2026,9,30)),ROW(Income!A$3:A$502)-2),2)),0)=0,"",IFERROR(-INDEX(Expenses!D$3:D$1002,SMALL(IF((Expenses!E$3:E$1002="INR")*(Expenses!A$3:A$1002=DATE(2026,9,30)),ROW(Expenses!A$3:A$1002)-2),2)),0)+IFERROR(INDEX(Income!C$3:C$502,SMALL(IF((Income!D$3:D$502="INR")*(Income!A$3:A$502=DATE(2026,9,30)),ROW(Income!A$3:A$502)-2),2)),0))</f>
        <v/>
      </c>
      <c r="H200" s="38" t="str">
        <f aca="false">IF(IFERROR(INDEX(Expenses!B$3:B$1002,SMALL(IF((Expenses!E$3:E$1002="INR")*(Expenses!A$3:A$1002=DATE(2026,9,30)),ROW(Expenses!A$3:A$1002)-2),2)),"")&lt;&gt;"",IFERROR(INDEX(Expenses!B$3:B$1002,SMALL(IF((Expenses!E$3:E$1002="INR")*(Expenses!A$3:A$1002=DATE(2026,9,30)),ROW(Expenses!A$3:A$1002)-2),2)),""),IF(IFERROR(INDEX(Income!B$3:B$502,SMALL(IF((Income!D$3:D$502="INR")*(Income!A$3:A$502=DATE(2026,9,30)),ROW(Income!A$3:A$502)-2),2)),"")&lt;&gt;"",IFERROR(INDEX(Income!B$3:B$502,SMALL(IF((Income!D$3:D$502="INR")*(Income!A$3:A$502=DATE(2026,9,30)),ROW(Income!A$3:A$502)-2),2)),""),""))</f>
        <v/>
      </c>
      <c r="I200" s="63" t="str">
        <f aca="false">IF(IFERROR(-INDEX(Expenses!D$3:D$1002,SMALL(IF((Expenses!E$3:E$1002="INR")*(Expenses!A$3:A$1002=DATE(2026,10,1)),ROW(Expenses!A$3:A$1002)-2),2)),0)+IFERROR(INDEX(Income!C$3:C$502,SMALL(IF((Income!D$3:D$502="INR")*(Income!A$3:A$502=DATE(2026,10,1)),ROW(Income!A$3:A$502)-2),2)),0)=0,"",IFERROR(-INDEX(Expenses!D$3:D$1002,SMALL(IF((Expenses!E$3:E$1002="INR")*(Expenses!A$3:A$1002=DATE(2026,10,1)),ROW(Expenses!A$3:A$1002)-2),2)),0)+IFERROR(INDEX(Income!C$3:C$502,SMALL(IF((Income!D$3:D$502="INR")*(Income!A$3:A$502=DATE(2026,10,1)),ROW(Income!A$3:A$502)-2),2)),0))</f>
        <v/>
      </c>
      <c r="J200" s="38" t="str">
        <f aca="false">IF(IFERROR(INDEX(Expenses!B$3:B$1002,SMALL(IF((Expenses!E$3:E$1002="INR")*(Expenses!A$3:A$1002=DATE(2026,10,1)),ROW(Expenses!A$3:A$1002)-2),2)),"")&lt;&gt;"",IFERROR(INDEX(Expenses!B$3:B$1002,SMALL(IF((Expenses!E$3:E$1002="INR")*(Expenses!A$3:A$1002=DATE(2026,10,1)),ROW(Expenses!A$3:A$1002)-2),2)),""),IF(IFERROR(INDEX(Income!B$3:B$502,SMALL(IF((Income!D$3:D$502="INR")*(Income!A$3:A$502=DATE(2026,10,1)),ROW(Income!A$3:A$502)-2),2)),"")&lt;&gt;"",IFERROR(INDEX(Income!B$3:B$502,SMALL(IF((Income!D$3:D$502="INR")*(Income!A$3:A$502=DATE(2026,10,1)),ROW(Income!A$3:A$502)-2),2)),""),""))</f>
        <v/>
      </c>
      <c r="K200" s="63" t="str">
        <f aca="false">IF(IFERROR(-INDEX(Expenses!D$3:D$1002,SMALL(IF((Expenses!E$3:E$1002="INR")*(Expenses!A$3:A$1002=DATE(2026,10,2)),ROW(Expenses!A$3:A$1002)-2),2)),0)+IFERROR(INDEX(Income!C$3:C$502,SMALL(IF((Income!D$3:D$502="INR")*(Income!A$3:A$502=DATE(2026,10,2)),ROW(Income!A$3:A$502)-2),2)),0)=0,"",IFERROR(-INDEX(Expenses!D$3:D$1002,SMALL(IF((Expenses!E$3:E$1002="INR")*(Expenses!A$3:A$1002=DATE(2026,10,2)),ROW(Expenses!A$3:A$1002)-2),2)),0)+IFERROR(INDEX(Income!C$3:C$502,SMALL(IF((Income!D$3:D$502="INR")*(Income!A$3:A$502=DATE(2026,10,2)),ROW(Income!A$3:A$502)-2),2)),0))</f>
        <v/>
      </c>
      <c r="L200" s="38" t="str">
        <f aca="false">IF(IFERROR(INDEX(Expenses!B$3:B$1002,SMALL(IF((Expenses!E$3:E$1002="INR")*(Expenses!A$3:A$1002=DATE(2026,10,2)),ROW(Expenses!A$3:A$1002)-2),2)),"")&lt;&gt;"",IFERROR(INDEX(Expenses!B$3:B$1002,SMALL(IF((Expenses!E$3:E$1002="INR")*(Expenses!A$3:A$1002=DATE(2026,10,2)),ROW(Expenses!A$3:A$1002)-2),2)),""),IF(IFERROR(INDEX(Income!B$3:B$502,SMALL(IF((Income!D$3:D$502="INR")*(Income!A$3:A$502=DATE(2026,10,2)),ROW(Income!A$3:A$502)-2),2)),"")&lt;&gt;"",IFERROR(INDEX(Income!B$3:B$502,SMALL(IF((Income!D$3:D$502="INR")*(Income!A$3:A$502=DATE(2026,10,2)),ROW(Income!A$3:A$502)-2),2)),""),""))</f>
        <v/>
      </c>
      <c r="M200" s="63" t="str">
        <f aca="false">IF(IFERROR(-INDEX(Expenses!D$3:D$1002,SMALL(IF((Expenses!E$3:E$1002="INR")*(Expenses!A$3:A$1002=DATE(2026,10,3)),ROW(Expenses!A$3:A$1002)-2),2)),0)+IFERROR(INDEX(Income!C$3:C$502,SMALL(IF((Income!D$3:D$502="INR")*(Income!A$3:A$502=DATE(2026,10,3)),ROW(Income!A$3:A$502)-2),2)),0)=0,"",IFERROR(-INDEX(Expenses!D$3:D$1002,SMALL(IF((Expenses!E$3:E$1002="INR")*(Expenses!A$3:A$1002=DATE(2026,10,3)),ROW(Expenses!A$3:A$1002)-2),2)),0)+IFERROR(INDEX(Income!C$3:C$502,SMALL(IF((Income!D$3:D$502="INR")*(Income!A$3:A$502=DATE(2026,10,3)),ROW(Income!A$3:A$502)-2),2)),0))</f>
        <v/>
      </c>
      <c r="N200" s="38" t="str">
        <f aca="false">IF(IFERROR(INDEX(Expenses!B$3:B$1002,SMALL(IF((Expenses!E$3:E$1002="INR")*(Expenses!A$3:A$1002=DATE(2026,10,3)),ROW(Expenses!A$3:A$1002)-2),2)),"")&lt;&gt;"",IFERROR(INDEX(Expenses!B$3:B$1002,SMALL(IF((Expenses!E$3:E$1002="INR")*(Expenses!A$3:A$1002=DATE(2026,10,3)),ROW(Expenses!A$3:A$1002)-2),2)),""),IF(IFERROR(INDEX(Income!B$3:B$502,SMALL(IF((Income!D$3:D$502="INR")*(Income!A$3:A$502=DATE(2026,10,3)),ROW(Income!A$3:A$502)-2),2)),"")&lt;&gt;"",IFERROR(INDEX(Income!B$3:B$502,SMALL(IF((Income!D$3:D$502="INR")*(Income!A$3:A$502=DATE(2026,10,3)),ROW(Income!A$3:A$502)-2),2)),""),""))</f>
        <v/>
      </c>
      <c r="O200" s="63" t="str">
        <f aca="false">IF(IFERROR(-INDEX(Expenses!D$3:D$1002,SMALL(IF((Expenses!E$3:E$1002="INR")*(Expenses!A$3:A$1002=DATE(2026,10,4)),ROW(Expenses!A$3:A$1002)-2),2)),0)+IFERROR(INDEX(Income!C$3:C$502,SMALL(IF((Income!D$3:D$502="INR")*(Income!A$3:A$502=DATE(2026,10,4)),ROW(Income!A$3:A$502)-2),2)),0)=0,"",IFERROR(-INDEX(Expenses!D$3:D$1002,SMALL(IF((Expenses!E$3:E$1002="INR")*(Expenses!A$3:A$1002=DATE(2026,10,4)),ROW(Expenses!A$3:A$1002)-2),2)),0)+IFERROR(INDEX(Income!C$3:C$502,SMALL(IF((Income!D$3:D$502="INR")*(Income!A$3:A$502=DATE(2026,10,4)),ROW(Income!A$3:A$502)-2),2)),0))</f>
        <v/>
      </c>
      <c r="P200" s="38" t="str">
        <f aca="false">IF(IFERROR(INDEX(Expenses!B$3:B$1002,SMALL(IF((Expenses!E$3:E$1002="INR")*(Expenses!A$3:A$1002=DATE(2026,10,4)),ROW(Expenses!A$3:A$1002)-2),2)),"")&lt;&gt;"",IFERROR(INDEX(Expenses!B$3:B$1002,SMALL(IF((Expenses!E$3:E$1002="INR")*(Expenses!A$3:A$1002=DATE(2026,10,4)),ROW(Expenses!A$3:A$1002)-2),2)),""),IF(IFERROR(INDEX(Income!B$3:B$502,SMALL(IF((Income!D$3:D$502="INR")*(Income!A$3:A$502=DATE(2026,10,4)),ROW(Income!A$3:A$502)-2),2)),"")&lt;&gt;"",IFERROR(INDEX(Income!B$3:B$502,SMALL(IF((Income!D$3:D$502="INR")*(Income!A$3:A$502=DATE(2026,10,4)),ROW(Income!A$3:A$502)-2),2)),""),""))</f>
        <v/>
      </c>
      <c r="Q200" s="16"/>
      <c r="R200" s="16"/>
    </row>
    <row r="201" customFormat="false" ht="15" hidden="false" customHeight="false" outlineLevel="0" collapsed="false">
      <c r="A201" s="16"/>
      <c r="B201" s="16"/>
      <c r="C201" s="63" t="str">
        <f aca="false">IF(IFERROR(-INDEX(Expenses!D$3:D$1002,SMALL(IF((Expenses!E$3:E$1002="INR")*(Expenses!A$3:A$1002=DATE(2026,9,28)),ROW(Expenses!A$3:A$1002)-2),3)),0)+IFERROR(INDEX(Income!C$3:C$502,SMALL(IF((Income!D$3:D$502="INR")*(Income!A$3:A$502=DATE(2026,9,28)),ROW(Income!A$3:A$502)-2),3)),0)=0,"",IFERROR(-INDEX(Expenses!D$3:D$1002,SMALL(IF((Expenses!E$3:E$1002="INR")*(Expenses!A$3:A$1002=DATE(2026,9,28)),ROW(Expenses!A$3:A$1002)-2),3)),0)+IFERROR(INDEX(Income!C$3:C$502,SMALL(IF((Income!D$3:D$502="INR")*(Income!A$3:A$502=DATE(2026,9,28)),ROW(Income!A$3:A$502)-2),3)),0))</f>
        <v/>
      </c>
      <c r="D201" s="38" t="str">
        <f aca="false">IF(IFERROR(INDEX(Expenses!B$3:B$1002,SMALL(IF((Expenses!E$3:E$1002="INR")*(Expenses!A$3:A$1002=DATE(2026,9,28)),ROW(Expenses!A$3:A$1002)-2),3)),"")&lt;&gt;"",IFERROR(INDEX(Expenses!B$3:B$1002,SMALL(IF((Expenses!E$3:E$1002="INR")*(Expenses!A$3:A$1002=DATE(2026,9,28)),ROW(Expenses!A$3:A$1002)-2),3)),""),IF(IFERROR(INDEX(Income!B$3:B$502,SMALL(IF((Income!D$3:D$502="INR")*(Income!A$3:A$502=DATE(2026,9,28)),ROW(Income!A$3:A$502)-2),3)),"")&lt;&gt;"",IFERROR(INDEX(Income!B$3:B$502,SMALL(IF((Income!D$3:D$502="INR")*(Income!A$3:A$502=DATE(2026,9,28)),ROW(Income!A$3:A$502)-2),3)),""),""))</f>
        <v/>
      </c>
      <c r="E201" s="63" t="str">
        <f aca="false">IF(IFERROR(-INDEX(Expenses!D$3:D$1002,SMALL(IF((Expenses!E$3:E$1002="INR")*(Expenses!A$3:A$1002=DATE(2026,9,29)),ROW(Expenses!A$3:A$1002)-2),3)),0)+IFERROR(INDEX(Income!C$3:C$502,SMALL(IF((Income!D$3:D$502="INR")*(Income!A$3:A$502=DATE(2026,9,29)),ROW(Income!A$3:A$502)-2),3)),0)=0,"",IFERROR(-INDEX(Expenses!D$3:D$1002,SMALL(IF((Expenses!E$3:E$1002="INR")*(Expenses!A$3:A$1002=DATE(2026,9,29)),ROW(Expenses!A$3:A$1002)-2),3)),0)+IFERROR(INDEX(Income!C$3:C$502,SMALL(IF((Income!D$3:D$502="INR")*(Income!A$3:A$502=DATE(2026,9,29)),ROW(Income!A$3:A$502)-2),3)),0))</f>
        <v/>
      </c>
      <c r="F201" s="38" t="str">
        <f aca="false">IF(IFERROR(INDEX(Expenses!B$3:B$1002,SMALL(IF((Expenses!E$3:E$1002="INR")*(Expenses!A$3:A$1002=DATE(2026,9,29)),ROW(Expenses!A$3:A$1002)-2),3)),"")&lt;&gt;"",IFERROR(INDEX(Expenses!B$3:B$1002,SMALL(IF((Expenses!E$3:E$1002="INR")*(Expenses!A$3:A$1002=DATE(2026,9,29)),ROW(Expenses!A$3:A$1002)-2),3)),""),IF(IFERROR(INDEX(Income!B$3:B$502,SMALL(IF((Income!D$3:D$502="INR")*(Income!A$3:A$502=DATE(2026,9,29)),ROW(Income!A$3:A$502)-2),3)),"")&lt;&gt;"",IFERROR(INDEX(Income!B$3:B$502,SMALL(IF((Income!D$3:D$502="INR")*(Income!A$3:A$502=DATE(2026,9,29)),ROW(Income!A$3:A$502)-2),3)),""),""))</f>
        <v/>
      </c>
      <c r="G201" s="63" t="str">
        <f aca="false">IF(IFERROR(-INDEX(Expenses!D$3:D$1002,SMALL(IF((Expenses!E$3:E$1002="INR")*(Expenses!A$3:A$1002=DATE(2026,9,30)),ROW(Expenses!A$3:A$1002)-2),3)),0)+IFERROR(INDEX(Income!C$3:C$502,SMALL(IF((Income!D$3:D$502="INR")*(Income!A$3:A$502=DATE(2026,9,30)),ROW(Income!A$3:A$502)-2),3)),0)=0,"",IFERROR(-INDEX(Expenses!D$3:D$1002,SMALL(IF((Expenses!E$3:E$1002="INR")*(Expenses!A$3:A$1002=DATE(2026,9,30)),ROW(Expenses!A$3:A$1002)-2),3)),0)+IFERROR(INDEX(Income!C$3:C$502,SMALL(IF((Income!D$3:D$502="INR")*(Income!A$3:A$502=DATE(2026,9,30)),ROW(Income!A$3:A$502)-2),3)),0))</f>
        <v/>
      </c>
      <c r="H201" s="38" t="str">
        <f aca="false">IF(IFERROR(INDEX(Expenses!B$3:B$1002,SMALL(IF((Expenses!E$3:E$1002="INR")*(Expenses!A$3:A$1002=DATE(2026,9,30)),ROW(Expenses!A$3:A$1002)-2),3)),"")&lt;&gt;"",IFERROR(INDEX(Expenses!B$3:B$1002,SMALL(IF((Expenses!E$3:E$1002="INR")*(Expenses!A$3:A$1002=DATE(2026,9,30)),ROW(Expenses!A$3:A$1002)-2),3)),""),IF(IFERROR(INDEX(Income!B$3:B$502,SMALL(IF((Income!D$3:D$502="INR")*(Income!A$3:A$502=DATE(2026,9,30)),ROW(Income!A$3:A$502)-2),3)),"")&lt;&gt;"",IFERROR(INDEX(Income!B$3:B$502,SMALL(IF((Income!D$3:D$502="INR")*(Income!A$3:A$502=DATE(2026,9,30)),ROW(Income!A$3:A$502)-2),3)),""),""))</f>
        <v/>
      </c>
      <c r="I201" s="63" t="str">
        <f aca="false">IF(IFERROR(-INDEX(Expenses!D$3:D$1002,SMALL(IF((Expenses!E$3:E$1002="INR")*(Expenses!A$3:A$1002=DATE(2026,10,1)),ROW(Expenses!A$3:A$1002)-2),3)),0)+IFERROR(INDEX(Income!C$3:C$502,SMALL(IF((Income!D$3:D$502="INR")*(Income!A$3:A$502=DATE(2026,10,1)),ROW(Income!A$3:A$502)-2),3)),0)=0,"",IFERROR(-INDEX(Expenses!D$3:D$1002,SMALL(IF((Expenses!E$3:E$1002="INR")*(Expenses!A$3:A$1002=DATE(2026,10,1)),ROW(Expenses!A$3:A$1002)-2),3)),0)+IFERROR(INDEX(Income!C$3:C$502,SMALL(IF((Income!D$3:D$502="INR")*(Income!A$3:A$502=DATE(2026,10,1)),ROW(Income!A$3:A$502)-2),3)),0))</f>
        <v/>
      </c>
      <c r="J201" s="38" t="str">
        <f aca="false">IF(IFERROR(INDEX(Expenses!B$3:B$1002,SMALL(IF((Expenses!E$3:E$1002="INR")*(Expenses!A$3:A$1002=DATE(2026,10,1)),ROW(Expenses!A$3:A$1002)-2),3)),"")&lt;&gt;"",IFERROR(INDEX(Expenses!B$3:B$1002,SMALL(IF((Expenses!E$3:E$1002="INR")*(Expenses!A$3:A$1002=DATE(2026,10,1)),ROW(Expenses!A$3:A$1002)-2),3)),""),IF(IFERROR(INDEX(Income!B$3:B$502,SMALL(IF((Income!D$3:D$502="INR")*(Income!A$3:A$502=DATE(2026,10,1)),ROW(Income!A$3:A$502)-2),3)),"")&lt;&gt;"",IFERROR(INDEX(Income!B$3:B$502,SMALL(IF((Income!D$3:D$502="INR")*(Income!A$3:A$502=DATE(2026,10,1)),ROW(Income!A$3:A$502)-2),3)),""),""))</f>
        <v/>
      </c>
      <c r="K201" s="63" t="str">
        <f aca="false">IF(IFERROR(-INDEX(Expenses!D$3:D$1002,SMALL(IF((Expenses!E$3:E$1002="INR")*(Expenses!A$3:A$1002=DATE(2026,10,2)),ROW(Expenses!A$3:A$1002)-2),3)),0)+IFERROR(INDEX(Income!C$3:C$502,SMALL(IF((Income!D$3:D$502="INR")*(Income!A$3:A$502=DATE(2026,10,2)),ROW(Income!A$3:A$502)-2),3)),0)=0,"",IFERROR(-INDEX(Expenses!D$3:D$1002,SMALL(IF((Expenses!E$3:E$1002="INR")*(Expenses!A$3:A$1002=DATE(2026,10,2)),ROW(Expenses!A$3:A$1002)-2),3)),0)+IFERROR(INDEX(Income!C$3:C$502,SMALL(IF((Income!D$3:D$502="INR")*(Income!A$3:A$502=DATE(2026,10,2)),ROW(Income!A$3:A$502)-2),3)),0))</f>
        <v/>
      </c>
      <c r="L201" s="38" t="str">
        <f aca="false">IF(IFERROR(INDEX(Expenses!B$3:B$1002,SMALL(IF((Expenses!E$3:E$1002="INR")*(Expenses!A$3:A$1002=DATE(2026,10,2)),ROW(Expenses!A$3:A$1002)-2),3)),"")&lt;&gt;"",IFERROR(INDEX(Expenses!B$3:B$1002,SMALL(IF((Expenses!E$3:E$1002="INR")*(Expenses!A$3:A$1002=DATE(2026,10,2)),ROW(Expenses!A$3:A$1002)-2),3)),""),IF(IFERROR(INDEX(Income!B$3:B$502,SMALL(IF((Income!D$3:D$502="INR")*(Income!A$3:A$502=DATE(2026,10,2)),ROW(Income!A$3:A$502)-2),3)),"")&lt;&gt;"",IFERROR(INDEX(Income!B$3:B$502,SMALL(IF((Income!D$3:D$502="INR")*(Income!A$3:A$502=DATE(2026,10,2)),ROW(Income!A$3:A$502)-2),3)),""),""))</f>
        <v/>
      </c>
      <c r="M201" s="63" t="str">
        <f aca="false">IF(IFERROR(-INDEX(Expenses!D$3:D$1002,SMALL(IF((Expenses!E$3:E$1002="INR")*(Expenses!A$3:A$1002=DATE(2026,10,3)),ROW(Expenses!A$3:A$1002)-2),3)),0)+IFERROR(INDEX(Income!C$3:C$502,SMALL(IF((Income!D$3:D$502="INR")*(Income!A$3:A$502=DATE(2026,10,3)),ROW(Income!A$3:A$502)-2),3)),0)=0,"",IFERROR(-INDEX(Expenses!D$3:D$1002,SMALL(IF((Expenses!E$3:E$1002="INR")*(Expenses!A$3:A$1002=DATE(2026,10,3)),ROW(Expenses!A$3:A$1002)-2),3)),0)+IFERROR(INDEX(Income!C$3:C$502,SMALL(IF((Income!D$3:D$502="INR")*(Income!A$3:A$502=DATE(2026,10,3)),ROW(Income!A$3:A$502)-2),3)),0))</f>
        <v/>
      </c>
      <c r="N201" s="38" t="str">
        <f aca="false">IF(IFERROR(INDEX(Expenses!B$3:B$1002,SMALL(IF((Expenses!E$3:E$1002="INR")*(Expenses!A$3:A$1002=DATE(2026,10,3)),ROW(Expenses!A$3:A$1002)-2),3)),"")&lt;&gt;"",IFERROR(INDEX(Expenses!B$3:B$1002,SMALL(IF((Expenses!E$3:E$1002="INR")*(Expenses!A$3:A$1002=DATE(2026,10,3)),ROW(Expenses!A$3:A$1002)-2),3)),""),IF(IFERROR(INDEX(Income!B$3:B$502,SMALL(IF((Income!D$3:D$502="INR")*(Income!A$3:A$502=DATE(2026,10,3)),ROW(Income!A$3:A$502)-2),3)),"")&lt;&gt;"",IFERROR(INDEX(Income!B$3:B$502,SMALL(IF((Income!D$3:D$502="INR")*(Income!A$3:A$502=DATE(2026,10,3)),ROW(Income!A$3:A$502)-2),3)),""),""))</f>
        <v/>
      </c>
      <c r="O201" s="63" t="str">
        <f aca="false">IF(IFERROR(-INDEX(Expenses!D$3:D$1002,SMALL(IF((Expenses!E$3:E$1002="INR")*(Expenses!A$3:A$1002=DATE(2026,10,4)),ROW(Expenses!A$3:A$1002)-2),3)),0)+IFERROR(INDEX(Income!C$3:C$502,SMALL(IF((Income!D$3:D$502="INR")*(Income!A$3:A$502=DATE(2026,10,4)),ROW(Income!A$3:A$502)-2),3)),0)=0,"",IFERROR(-INDEX(Expenses!D$3:D$1002,SMALL(IF((Expenses!E$3:E$1002="INR")*(Expenses!A$3:A$1002=DATE(2026,10,4)),ROW(Expenses!A$3:A$1002)-2),3)),0)+IFERROR(INDEX(Income!C$3:C$502,SMALL(IF((Income!D$3:D$502="INR")*(Income!A$3:A$502=DATE(2026,10,4)),ROW(Income!A$3:A$502)-2),3)),0))</f>
        <v/>
      </c>
      <c r="P201" s="38" t="str">
        <f aca="false">IF(IFERROR(INDEX(Expenses!B$3:B$1002,SMALL(IF((Expenses!E$3:E$1002="INR")*(Expenses!A$3:A$1002=DATE(2026,10,4)),ROW(Expenses!A$3:A$1002)-2),3)),"")&lt;&gt;"",IFERROR(INDEX(Expenses!B$3:B$1002,SMALL(IF((Expenses!E$3:E$1002="INR")*(Expenses!A$3:A$1002=DATE(2026,10,4)),ROW(Expenses!A$3:A$1002)-2),3)),""),IF(IFERROR(INDEX(Income!B$3:B$502,SMALL(IF((Income!D$3:D$502="INR")*(Income!A$3:A$502=DATE(2026,10,4)),ROW(Income!A$3:A$502)-2),3)),"")&lt;&gt;"",IFERROR(INDEX(Income!B$3:B$502,SMALL(IF((Income!D$3:D$502="INR")*(Income!A$3:A$502=DATE(2026,10,4)),ROW(Income!A$3:A$502)-2),3)),""),""))</f>
        <v/>
      </c>
      <c r="Q201" s="16"/>
      <c r="R201" s="16"/>
    </row>
    <row r="202" customFormat="false" ht="15" hidden="false" customHeight="false" outlineLevel="0" collapsed="false">
      <c r="A202" s="16"/>
      <c r="B202" s="16"/>
      <c r="C202" s="63" t="str">
        <f aca="false">IF(IFERROR(-INDEX(Expenses!D$3:D$1002,SMALL(IF((Expenses!E$3:E$1002="INR")*(Expenses!A$3:A$1002=DATE(2026,9,28)),ROW(Expenses!A$3:A$1002)-2),4)),0)+IFERROR(INDEX(Income!C$3:C$502,SMALL(IF((Income!D$3:D$502="INR")*(Income!A$3:A$502=DATE(2026,9,28)),ROW(Income!A$3:A$502)-2),4)),0)=0,"",IFERROR(-INDEX(Expenses!D$3:D$1002,SMALL(IF((Expenses!E$3:E$1002="INR")*(Expenses!A$3:A$1002=DATE(2026,9,28)),ROW(Expenses!A$3:A$1002)-2),4)),0)+IFERROR(INDEX(Income!C$3:C$502,SMALL(IF((Income!D$3:D$502="INR")*(Income!A$3:A$502=DATE(2026,9,28)),ROW(Income!A$3:A$502)-2),4)),0))</f>
        <v/>
      </c>
      <c r="D202" s="38" t="str">
        <f aca="false">IF(IFERROR(INDEX(Expenses!B$3:B$1002,SMALL(IF((Expenses!E$3:E$1002="INR")*(Expenses!A$3:A$1002=DATE(2026,9,28)),ROW(Expenses!A$3:A$1002)-2),4)),"")&lt;&gt;"",IFERROR(INDEX(Expenses!B$3:B$1002,SMALL(IF((Expenses!E$3:E$1002="INR")*(Expenses!A$3:A$1002=DATE(2026,9,28)),ROW(Expenses!A$3:A$1002)-2),4)),""),IF(IFERROR(INDEX(Income!B$3:B$502,SMALL(IF((Income!D$3:D$502="INR")*(Income!A$3:A$502=DATE(2026,9,28)),ROW(Income!A$3:A$502)-2),4)),"")&lt;&gt;"",IFERROR(INDEX(Income!B$3:B$502,SMALL(IF((Income!D$3:D$502="INR")*(Income!A$3:A$502=DATE(2026,9,28)),ROW(Income!A$3:A$502)-2),4)),""),""))</f>
        <v/>
      </c>
      <c r="E202" s="63" t="str">
        <f aca="false">IF(IFERROR(-INDEX(Expenses!D$3:D$1002,SMALL(IF((Expenses!E$3:E$1002="INR")*(Expenses!A$3:A$1002=DATE(2026,9,29)),ROW(Expenses!A$3:A$1002)-2),4)),0)+IFERROR(INDEX(Income!C$3:C$502,SMALL(IF((Income!D$3:D$502="INR")*(Income!A$3:A$502=DATE(2026,9,29)),ROW(Income!A$3:A$502)-2),4)),0)=0,"",IFERROR(-INDEX(Expenses!D$3:D$1002,SMALL(IF((Expenses!E$3:E$1002="INR")*(Expenses!A$3:A$1002=DATE(2026,9,29)),ROW(Expenses!A$3:A$1002)-2),4)),0)+IFERROR(INDEX(Income!C$3:C$502,SMALL(IF((Income!D$3:D$502="INR")*(Income!A$3:A$502=DATE(2026,9,29)),ROW(Income!A$3:A$502)-2),4)),0))</f>
        <v/>
      </c>
      <c r="F202" s="38" t="str">
        <f aca="false">IF(IFERROR(INDEX(Expenses!B$3:B$1002,SMALL(IF((Expenses!E$3:E$1002="INR")*(Expenses!A$3:A$1002=DATE(2026,9,29)),ROW(Expenses!A$3:A$1002)-2),4)),"")&lt;&gt;"",IFERROR(INDEX(Expenses!B$3:B$1002,SMALL(IF((Expenses!E$3:E$1002="INR")*(Expenses!A$3:A$1002=DATE(2026,9,29)),ROW(Expenses!A$3:A$1002)-2),4)),""),IF(IFERROR(INDEX(Income!B$3:B$502,SMALL(IF((Income!D$3:D$502="INR")*(Income!A$3:A$502=DATE(2026,9,29)),ROW(Income!A$3:A$502)-2),4)),"")&lt;&gt;"",IFERROR(INDEX(Income!B$3:B$502,SMALL(IF((Income!D$3:D$502="INR")*(Income!A$3:A$502=DATE(2026,9,29)),ROW(Income!A$3:A$502)-2),4)),""),""))</f>
        <v/>
      </c>
      <c r="G202" s="63" t="str">
        <f aca="false">IF(IFERROR(-INDEX(Expenses!D$3:D$1002,SMALL(IF((Expenses!E$3:E$1002="INR")*(Expenses!A$3:A$1002=DATE(2026,9,30)),ROW(Expenses!A$3:A$1002)-2),4)),0)+IFERROR(INDEX(Income!C$3:C$502,SMALL(IF((Income!D$3:D$502="INR")*(Income!A$3:A$502=DATE(2026,9,30)),ROW(Income!A$3:A$502)-2),4)),0)=0,"",IFERROR(-INDEX(Expenses!D$3:D$1002,SMALL(IF((Expenses!E$3:E$1002="INR")*(Expenses!A$3:A$1002=DATE(2026,9,30)),ROW(Expenses!A$3:A$1002)-2),4)),0)+IFERROR(INDEX(Income!C$3:C$502,SMALL(IF((Income!D$3:D$502="INR")*(Income!A$3:A$502=DATE(2026,9,30)),ROW(Income!A$3:A$502)-2),4)),0))</f>
        <v/>
      </c>
      <c r="H202" s="38" t="str">
        <f aca="false">IF(IFERROR(INDEX(Expenses!B$3:B$1002,SMALL(IF((Expenses!E$3:E$1002="INR")*(Expenses!A$3:A$1002=DATE(2026,9,30)),ROW(Expenses!A$3:A$1002)-2),4)),"")&lt;&gt;"",IFERROR(INDEX(Expenses!B$3:B$1002,SMALL(IF((Expenses!E$3:E$1002="INR")*(Expenses!A$3:A$1002=DATE(2026,9,30)),ROW(Expenses!A$3:A$1002)-2),4)),""),IF(IFERROR(INDEX(Income!B$3:B$502,SMALL(IF((Income!D$3:D$502="INR")*(Income!A$3:A$502=DATE(2026,9,30)),ROW(Income!A$3:A$502)-2),4)),"")&lt;&gt;"",IFERROR(INDEX(Income!B$3:B$502,SMALL(IF((Income!D$3:D$502="INR")*(Income!A$3:A$502=DATE(2026,9,30)),ROW(Income!A$3:A$502)-2),4)),""),""))</f>
        <v/>
      </c>
      <c r="I202" s="63" t="str">
        <f aca="false">IF(IFERROR(-INDEX(Expenses!D$3:D$1002,SMALL(IF((Expenses!E$3:E$1002="INR")*(Expenses!A$3:A$1002=DATE(2026,10,1)),ROW(Expenses!A$3:A$1002)-2),4)),0)+IFERROR(INDEX(Income!C$3:C$502,SMALL(IF((Income!D$3:D$502="INR")*(Income!A$3:A$502=DATE(2026,10,1)),ROW(Income!A$3:A$502)-2),4)),0)=0,"",IFERROR(-INDEX(Expenses!D$3:D$1002,SMALL(IF((Expenses!E$3:E$1002="INR")*(Expenses!A$3:A$1002=DATE(2026,10,1)),ROW(Expenses!A$3:A$1002)-2),4)),0)+IFERROR(INDEX(Income!C$3:C$502,SMALL(IF((Income!D$3:D$502="INR")*(Income!A$3:A$502=DATE(2026,10,1)),ROW(Income!A$3:A$502)-2),4)),0))</f>
        <v/>
      </c>
      <c r="J202" s="38" t="str">
        <f aca="false">IF(IFERROR(INDEX(Expenses!B$3:B$1002,SMALL(IF((Expenses!E$3:E$1002="INR")*(Expenses!A$3:A$1002=DATE(2026,10,1)),ROW(Expenses!A$3:A$1002)-2),4)),"")&lt;&gt;"",IFERROR(INDEX(Expenses!B$3:B$1002,SMALL(IF((Expenses!E$3:E$1002="INR")*(Expenses!A$3:A$1002=DATE(2026,10,1)),ROW(Expenses!A$3:A$1002)-2),4)),""),IF(IFERROR(INDEX(Income!B$3:B$502,SMALL(IF((Income!D$3:D$502="INR")*(Income!A$3:A$502=DATE(2026,10,1)),ROW(Income!A$3:A$502)-2),4)),"")&lt;&gt;"",IFERROR(INDEX(Income!B$3:B$502,SMALL(IF((Income!D$3:D$502="INR")*(Income!A$3:A$502=DATE(2026,10,1)),ROW(Income!A$3:A$502)-2),4)),""),""))</f>
        <v/>
      </c>
      <c r="K202" s="63" t="str">
        <f aca="false">IF(IFERROR(-INDEX(Expenses!D$3:D$1002,SMALL(IF((Expenses!E$3:E$1002="INR")*(Expenses!A$3:A$1002=DATE(2026,10,2)),ROW(Expenses!A$3:A$1002)-2),4)),0)+IFERROR(INDEX(Income!C$3:C$502,SMALL(IF((Income!D$3:D$502="INR")*(Income!A$3:A$502=DATE(2026,10,2)),ROW(Income!A$3:A$502)-2),4)),0)=0,"",IFERROR(-INDEX(Expenses!D$3:D$1002,SMALL(IF((Expenses!E$3:E$1002="INR")*(Expenses!A$3:A$1002=DATE(2026,10,2)),ROW(Expenses!A$3:A$1002)-2),4)),0)+IFERROR(INDEX(Income!C$3:C$502,SMALL(IF((Income!D$3:D$502="INR")*(Income!A$3:A$502=DATE(2026,10,2)),ROW(Income!A$3:A$502)-2),4)),0))</f>
        <v/>
      </c>
      <c r="L202" s="38" t="str">
        <f aca="false">IF(IFERROR(INDEX(Expenses!B$3:B$1002,SMALL(IF((Expenses!E$3:E$1002="INR")*(Expenses!A$3:A$1002=DATE(2026,10,2)),ROW(Expenses!A$3:A$1002)-2),4)),"")&lt;&gt;"",IFERROR(INDEX(Expenses!B$3:B$1002,SMALL(IF((Expenses!E$3:E$1002="INR")*(Expenses!A$3:A$1002=DATE(2026,10,2)),ROW(Expenses!A$3:A$1002)-2),4)),""),IF(IFERROR(INDEX(Income!B$3:B$502,SMALL(IF((Income!D$3:D$502="INR")*(Income!A$3:A$502=DATE(2026,10,2)),ROW(Income!A$3:A$502)-2),4)),"")&lt;&gt;"",IFERROR(INDEX(Income!B$3:B$502,SMALL(IF((Income!D$3:D$502="INR")*(Income!A$3:A$502=DATE(2026,10,2)),ROW(Income!A$3:A$502)-2),4)),""),""))</f>
        <v/>
      </c>
      <c r="M202" s="63" t="str">
        <f aca="false">IF(IFERROR(-INDEX(Expenses!D$3:D$1002,SMALL(IF((Expenses!E$3:E$1002="INR")*(Expenses!A$3:A$1002=DATE(2026,10,3)),ROW(Expenses!A$3:A$1002)-2),4)),0)+IFERROR(INDEX(Income!C$3:C$502,SMALL(IF((Income!D$3:D$502="INR")*(Income!A$3:A$502=DATE(2026,10,3)),ROW(Income!A$3:A$502)-2),4)),0)=0,"",IFERROR(-INDEX(Expenses!D$3:D$1002,SMALL(IF((Expenses!E$3:E$1002="INR")*(Expenses!A$3:A$1002=DATE(2026,10,3)),ROW(Expenses!A$3:A$1002)-2),4)),0)+IFERROR(INDEX(Income!C$3:C$502,SMALL(IF((Income!D$3:D$502="INR")*(Income!A$3:A$502=DATE(2026,10,3)),ROW(Income!A$3:A$502)-2),4)),0))</f>
        <v/>
      </c>
      <c r="N202" s="38" t="str">
        <f aca="false">IF(IFERROR(INDEX(Expenses!B$3:B$1002,SMALL(IF((Expenses!E$3:E$1002="INR")*(Expenses!A$3:A$1002=DATE(2026,10,3)),ROW(Expenses!A$3:A$1002)-2),4)),"")&lt;&gt;"",IFERROR(INDEX(Expenses!B$3:B$1002,SMALL(IF((Expenses!E$3:E$1002="INR")*(Expenses!A$3:A$1002=DATE(2026,10,3)),ROW(Expenses!A$3:A$1002)-2),4)),""),IF(IFERROR(INDEX(Income!B$3:B$502,SMALL(IF((Income!D$3:D$502="INR")*(Income!A$3:A$502=DATE(2026,10,3)),ROW(Income!A$3:A$502)-2),4)),"")&lt;&gt;"",IFERROR(INDEX(Income!B$3:B$502,SMALL(IF((Income!D$3:D$502="INR")*(Income!A$3:A$502=DATE(2026,10,3)),ROW(Income!A$3:A$502)-2),4)),""),""))</f>
        <v/>
      </c>
      <c r="O202" s="63" t="str">
        <f aca="false">IF(IFERROR(-INDEX(Expenses!D$3:D$1002,SMALL(IF((Expenses!E$3:E$1002="INR")*(Expenses!A$3:A$1002=DATE(2026,10,4)),ROW(Expenses!A$3:A$1002)-2),4)),0)+IFERROR(INDEX(Income!C$3:C$502,SMALL(IF((Income!D$3:D$502="INR")*(Income!A$3:A$502=DATE(2026,10,4)),ROW(Income!A$3:A$502)-2),4)),0)=0,"",IFERROR(-INDEX(Expenses!D$3:D$1002,SMALL(IF((Expenses!E$3:E$1002="INR")*(Expenses!A$3:A$1002=DATE(2026,10,4)),ROW(Expenses!A$3:A$1002)-2),4)),0)+IFERROR(INDEX(Income!C$3:C$502,SMALL(IF((Income!D$3:D$502="INR")*(Income!A$3:A$502=DATE(2026,10,4)),ROW(Income!A$3:A$502)-2),4)),0))</f>
        <v/>
      </c>
      <c r="P202" s="38" t="str">
        <f aca="false">IF(IFERROR(INDEX(Expenses!B$3:B$1002,SMALL(IF((Expenses!E$3:E$1002="INR")*(Expenses!A$3:A$1002=DATE(2026,10,4)),ROW(Expenses!A$3:A$1002)-2),4)),"")&lt;&gt;"",IFERROR(INDEX(Expenses!B$3:B$1002,SMALL(IF((Expenses!E$3:E$1002="INR")*(Expenses!A$3:A$1002=DATE(2026,10,4)),ROW(Expenses!A$3:A$1002)-2),4)),""),IF(IFERROR(INDEX(Income!B$3:B$502,SMALL(IF((Income!D$3:D$502="INR")*(Income!A$3:A$502=DATE(2026,10,4)),ROW(Income!A$3:A$502)-2),4)),"")&lt;&gt;"",IFERROR(INDEX(Income!B$3:B$502,SMALL(IF((Income!D$3:D$502="INR")*(Income!A$3:A$502=DATE(2026,10,4)),ROW(Income!A$3:A$502)-2),4)),""),""))</f>
        <v/>
      </c>
      <c r="Q202" s="16"/>
      <c r="R202" s="16"/>
    </row>
    <row r="203" customFormat="false" ht="15" hidden="false" customHeight="false" outlineLevel="0" collapsed="false">
      <c r="A203" s="16"/>
      <c r="B203" s="16"/>
      <c r="C203" s="63" t="str">
        <f aca="false">IF(IFERROR(-INDEX(Expenses!D$3:D$1002,SMALL(IF((Expenses!E$3:E$1002="INR")*(Expenses!A$3:A$1002=DATE(2026,9,28)),ROW(Expenses!A$3:A$1002)-2),5)),0)+IFERROR(INDEX(Income!C$3:C$502,SMALL(IF((Income!D$3:D$502="INR")*(Income!A$3:A$502=DATE(2026,9,28)),ROW(Income!A$3:A$502)-2),5)),0)=0,"",IFERROR(-INDEX(Expenses!D$3:D$1002,SMALL(IF((Expenses!E$3:E$1002="INR")*(Expenses!A$3:A$1002=DATE(2026,9,28)),ROW(Expenses!A$3:A$1002)-2),5)),0)+IFERROR(INDEX(Income!C$3:C$502,SMALL(IF((Income!D$3:D$502="INR")*(Income!A$3:A$502=DATE(2026,9,28)),ROW(Income!A$3:A$502)-2),5)),0))</f>
        <v/>
      </c>
      <c r="D203" s="38" t="str">
        <f aca="false">IF(IFERROR(INDEX(Expenses!B$3:B$1002,SMALL(IF((Expenses!E$3:E$1002="INR")*(Expenses!A$3:A$1002=DATE(2026,9,28)),ROW(Expenses!A$3:A$1002)-2),5)),"")&lt;&gt;"",IFERROR(INDEX(Expenses!B$3:B$1002,SMALL(IF((Expenses!E$3:E$1002="INR")*(Expenses!A$3:A$1002=DATE(2026,9,28)),ROW(Expenses!A$3:A$1002)-2),5)),""),IF(IFERROR(INDEX(Income!B$3:B$502,SMALL(IF((Income!D$3:D$502="INR")*(Income!A$3:A$502=DATE(2026,9,28)),ROW(Income!A$3:A$502)-2),5)),"")&lt;&gt;"",IFERROR(INDEX(Income!B$3:B$502,SMALL(IF((Income!D$3:D$502="INR")*(Income!A$3:A$502=DATE(2026,9,28)),ROW(Income!A$3:A$502)-2),5)),""),""))</f>
        <v/>
      </c>
      <c r="E203" s="63" t="str">
        <f aca="false">IF(IFERROR(-INDEX(Expenses!D$3:D$1002,SMALL(IF((Expenses!E$3:E$1002="INR")*(Expenses!A$3:A$1002=DATE(2026,9,29)),ROW(Expenses!A$3:A$1002)-2),5)),0)+IFERROR(INDEX(Income!C$3:C$502,SMALL(IF((Income!D$3:D$502="INR")*(Income!A$3:A$502=DATE(2026,9,29)),ROW(Income!A$3:A$502)-2),5)),0)=0,"",IFERROR(-INDEX(Expenses!D$3:D$1002,SMALL(IF((Expenses!E$3:E$1002="INR")*(Expenses!A$3:A$1002=DATE(2026,9,29)),ROW(Expenses!A$3:A$1002)-2),5)),0)+IFERROR(INDEX(Income!C$3:C$502,SMALL(IF((Income!D$3:D$502="INR")*(Income!A$3:A$502=DATE(2026,9,29)),ROW(Income!A$3:A$502)-2),5)),0))</f>
        <v/>
      </c>
      <c r="F203" s="38" t="str">
        <f aca="false">IF(IFERROR(INDEX(Expenses!B$3:B$1002,SMALL(IF((Expenses!E$3:E$1002="INR")*(Expenses!A$3:A$1002=DATE(2026,9,29)),ROW(Expenses!A$3:A$1002)-2),5)),"")&lt;&gt;"",IFERROR(INDEX(Expenses!B$3:B$1002,SMALL(IF((Expenses!E$3:E$1002="INR")*(Expenses!A$3:A$1002=DATE(2026,9,29)),ROW(Expenses!A$3:A$1002)-2),5)),""),IF(IFERROR(INDEX(Income!B$3:B$502,SMALL(IF((Income!D$3:D$502="INR")*(Income!A$3:A$502=DATE(2026,9,29)),ROW(Income!A$3:A$502)-2),5)),"")&lt;&gt;"",IFERROR(INDEX(Income!B$3:B$502,SMALL(IF((Income!D$3:D$502="INR")*(Income!A$3:A$502=DATE(2026,9,29)),ROW(Income!A$3:A$502)-2),5)),""),""))</f>
        <v/>
      </c>
      <c r="G203" s="63" t="str">
        <f aca="false">IF(IFERROR(-INDEX(Expenses!D$3:D$1002,SMALL(IF((Expenses!E$3:E$1002="INR")*(Expenses!A$3:A$1002=DATE(2026,9,30)),ROW(Expenses!A$3:A$1002)-2),5)),0)+IFERROR(INDEX(Income!C$3:C$502,SMALL(IF((Income!D$3:D$502="INR")*(Income!A$3:A$502=DATE(2026,9,30)),ROW(Income!A$3:A$502)-2),5)),0)=0,"",IFERROR(-INDEX(Expenses!D$3:D$1002,SMALL(IF((Expenses!E$3:E$1002="INR")*(Expenses!A$3:A$1002=DATE(2026,9,30)),ROW(Expenses!A$3:A$1002)-2),5)),0)+IFERROR(INDEX(Income!C$3:C$502,SMALL(IF((Income!D$3:D$502="INR")*(Income!A$3:A$502=DATE(2026,9,30)),ROW(Income!A$3:A$502)-2),5)),0))</f>
        <v/>
      </c>
      <c r="H203" s="38" t="str">
        <f aca="false">IF(IFERROR(INDEX(Expenses!B$3:B$1002,SMALL(IF((Expenses!E$3:E$1002="INR")*(Expenses!A$3:A$1002=DATE(2026,9,30)),ROW(Expenses!A$3:A$1002)-2),5)),"")&lt;&gt;"",IFERROR(INDEX(Expenses!B$3:B$1002,SMALL(IF((Expenses!E$3:E$1002="INR")*(Expenses!A$3:A$1002=DATE(2026,9,30)),ROW(Expenses!A$3:A$1002)-2),5)),""),IF(IFERROR(INDEX(Income!B$3:B$502,SMALL(IF((Income!D$3:D$502="INR")*(Income!A$3:A$502=DATE(2026,9,30)),ROW(Income!A$3:A$502)-2),5)),"")&lt;&gt;"",IFERROR(INDEX(Income!B$3:B$502,SMALL(IF((Income!D$3:D$502="INR")*(Income!A$3:A$502=DATE(2026,9,30)),ROW(Income!A$3:A$502)-2),5)),""),""))</f>
        <v/>
      </c>
      <c r="I203" s="63" t="str">
        <f aca="false">IF(IFERROR(-INDEX(Expenses!D$3:D$1002,SMALL(IF((Expenses!E$3:E$1002="INR")*(Expenses!A$3:A$1002=DATE(2026,10,1)),ROW(Expenses!A$3:A$1002)-2),5)),0)+IFERROR(INDEX(Income!C$3:C$502,SMALL(IF((Income!D$3:D$502="INR")*(Income!A$3:A$502=DATE(2026,10,1)),ROW(Income!A$3:A$502)-2),5)),0)=0,"",IFERROR(-INDEX(Expenses!D$3:D$1002,SMALL(IF((Expenses!E$3:E$1002="INR")*(Expenses!A$3:A$1002=DATE(2026,10,1)),ROW(Expenses!A$3:A$1002)-2),5)),0)+IFERROR(INDEX(Income!C$3:C$502,SMALL(IF((Income!D$3:D$502="INR")*(Income!A$3:A$502=DATE(2026,10,1)),ROW(Income!A$3:A$502)-2),5)),0))</f>
        <v/>
      </c>
      <c r="J203" s="38" t="str">
        <f aca="false">IF(IFERROR(INDEX(Expenses!B$3:B$1002,SMALL(IF((Expenses!E$3:E$1002="INR")*(Expenses!A$3:A$1002=DATE(2026,10,1)),ROW(Expenses!A$3:A$1002)-2),5)),"")&lt;&gt;"",IFERROR(INDEX(Expenses!B$3:B$1002,SMALL(IF((Expenses!E$3:E$1002="INR")*(Expenses!A$3:A$1002=DATE(2026,10,1)),ROW(Expenses!A$3:A$1002)-2),5)),""),IF(IFERROR(INDEX(Income!B$3:B$502,SMALL(IF((Income!D$3:D$502="INR")*(Income!A$3:A$502=DATE(2026,10,1)),ROW(Income!A$3:A$502)-2),5)),"")&lt;&gt;"",IFERROR(INDEX(Income!B$3:B$502,SMALL(IF((Income!D$3:D$502="INR")*(Income!A$3:A$502=DATE(2026,10,1)),ROW(Income!A$3:A$502)-2),5)),""),""))</f>
        <v/>
      </c>
      <c r="K203" s="63" t="str">
        <f aca="false">IF(IFERROR(-INDEX(Expenses!D$3:D$1002,SMALL(IF((Expenses!E$3:E$1002="INR")*(Expenses!A$3:A$1002=DATE(2026,10,2)),ROW(Expenses!A$3:A$1002)-2),5)),0)+IFERROR(INDEX(Income!C$3:C$502,SMALL(IF((Income!D$3:D$502="INR")*(Income!A$3:A$502=DATE(2026,10,2)),ROW(Income!A$3:A$502)-2),5)),0)=0,"",IFERROR(-INDEX(Expenses!D$3:D$1002,SMALL(IF((Expenses!E$3:E$1002="INR")*(Expenses!A$3:A$1002=DATE(2026,10,2)),ROW(Expenses!A$3:A$1002)-2),5)),0)+IFERROR(INDEX(Income!C$3:C$502,SMALL(IF((Income!D$3:D$502="INR")*(Income!A$3:A$502=DATE(2026,10,2)),ROW(Income!A$3:A$502)-2),5)),0))</f>
        <v/>
      </c>
      <c r="L203" s="38" t="str">
        <f aca="false">IF(IFERROR(INDEX(Expenses!B$3:B$1002,SMALL(IF((Expenses!E$3:E$1002="INR")*(Expenses!A$3:A$1002=DATE(2026,10,2)),ROW(Expenses!A$3:A$1002)-2),5)),"")&lt;&gt;"",IFERROR(INDEX(Expenses!B$3:B$1002,SMALL(IF((Expenses!E$3:E$1002="INR")*(Expenses!A$3:A$1002=DATE(2026,10,2)),ROW(Expenses!A$3:A$1002)-2),5)),""),IF(IFERROR(INDEX(Income!B$3:B$502,SMALL(IF((Income!D$3:D$502="INR")*(Income!A$3:A$502=DATE(2026,10,2)),ROW(Income!A$3:A$502)-2),5)),"")&lt;&gt;"",IFERROR(INDEX(Income!B$3:B$502,SMALL(IF((Income!D$3:D$502="INR")*(Income!A$3:A$502=DATE(2026,10,2)),ROW(Income!A$3:A$502)-2),5)),""),""))</f>
        <v/>
      </c>
      <c r="M203" s="63" t="str">
        <f aca="false">IF(IFERROR(-INDEX(Expenses!D$3:D$1002,SMALL(IF((Expenses!E$3:E$1002="INR")*(Expenses!A$3:A$1002=DATE(2026,10,3)),ROW(Expenses!A$3:A$1002)-2),5)),0)+IFERROR(INDEX(Income!C$3:C$502,SMALL(IF((Income!D$3:D$502="INR")*(Income!A$3:A$502=DATE(2026,10,3)),ROW(Income!A$3:A$502)-2),5)),0)=0,"",IFERROR(-INDEX(Expenses!D$3:D$1002,SMALL(IF((Expenses!E$3:E$1002="INR")*(Expenses!A$3:A$1002=DATE(2026,10,3)),ROW(Expenses!A$3:A$1002)-2),5)),0)+IFERROR(INDEX(Income!C$3:C$502,SMALL(IF((Income!D$3:D$502="INR")*(Income!A$3:A$502=DATE(2026,10,3)),ROW(Income!A$3:A$502)-2),5)),0))</f>
        <v/>
      </c>
      <c r="N203" s="38" t="str">
        <f aca="false">IF(IFERROR(INDEX(Expenses!B$3:B$1002,SMALL(IF((Expenses!E$3:E$1002="INR")*(Expenses!A$3:A$1002=DATE(2026,10,3)),ROW(Expenses!A$3:A$1002)-2),5)),"")&lt;&gt;"",IFERROR(INDEX(Expenses!B$3:B$1002,SMALL(IF((Expenses!E$3:E$1002="INR")*(Expenses!A$3:A$1002=DATE(2026,10,3)),ROW(Expenses!A$3:A$1002)-2),5)),""),IF(IFERROR(INDEX(Income!B$3:B$502,SMALL(IF((Income!D$3:D$502="INR")*(Income!A$3:A$502=DATE(2026,10,3)),ROW(Income!A$3:A$502)-2),5)),"")&lt;&gt;"",IFERROR(INDEX(Income!B$3:B$502,SMALL(IF((Income!D$3:D$502="INR")*(Income!A$3:A$502=DATE(2026,10,3)),ROW(Income!A$3:A$502)-2),5)),""),""))</f>
        <v/>
      </c>
      <c r="O203" s="63" t="str">
        <f aca="false">IF(IFERROR(-INDEX(Expenses!D$3:D$1002,SMALL(IF((Expenses!E$3:E$1002="INR")*(Expenses!A$3:A$1002=DATE(2026,10,4)),ROW(Expenses!A$3:A$1002)-2),5)),0)+IFERROR(INDEX(Income!C$3:C$502,SMALL(IF((Income!D$3:D$502="INR")*(Income!A$3:A$502=DATE(2026,10,4)),ROW(Income!A$3:A$502)-2),5)),0)=0,"",IFERROR(-INDEX(Expenses!D$3:D$1002,SMALL(IF((Expenses!E$3:E$1002="INR")*(Expenses!A$3:A$1002=DATE(2026,10,4)),ROW(Expenses!A$3:A$1002)-2),5)),0)+IFERROR(INDEX(Income!C$3:C$502,SMALL(IF((Income!D$3:D$502="INR")*(Income!A$3:A$502=DATE(2026,10,4)),ROW(Income!A$3:A$502)-2),5)),0))</f>
        <v/>
      </c>
      <c r="P203" s="38" t="str">
        <f aca="false">IF(IFERROR(INDEX(Expenses!B$3:B$1002,SMALL(IF((Expenses!E$3:E$1002="INR")*(Expenses!A$3:A$1002=DATE(2026,10,4)),ROW(Expenses!A$3:A$1002)-2),5)),"")&lt;&gt;"",IFERROR(INDEX(Expenses!B$3:B$1002,SMALL(IF((Expenses!E$3:E$1002="INR")*(Expenses!A$3:A$1002=DATE(2026,10,4)),ROW(Expenses!A$3:A$1002)-2),5)),""),IF(IFERROR(INDEX(Income!B$3:B$502,SMALL(IF((Income!D$3:D$502="INR")*(Income!A$3:A$502=DATE(2026,10,4)),ROW(Income!A$3:A$502)-2),5)),"")&lt;&gt;"",IFERROR(INDEX(Income!B$3:B$502,SMALL(IF((Income!D$3:D$502="INR")*(Income!A$3:A$502=DATE(2026,10,4)),ROW(Income!A$3:A$502)-2),5)),""),""))</f>
        <v/>
      </c>
      <c r="Q203" s="16"/>
      <c r="R203" s="16"/>
    </row>
    <row r="204" customFormat="false" ht="15" hidden="false" customHeight="false" outlineLevel="0" collapsed="false">
      <c r="A204" s="61" t="n">
        <v>46300</v>
      </c>
      <c r="B204" s="3" t="n">
        <v>41</v>
      </c>
      <c r="C204" s="63" t="str">
        <f aca="false">IF(IFERROR(-INDEX(Expenses!D$3:D$1002,SMALL(IF((Expenses!E$3:E$1002="INR")*(Expenses!A$3:A$1002=DATE(2026,10,5)),ROW(Expenses!A$3:A$1002)-2),1)),0)+IFERROR(INDEX(Income!C$3:C$502,SMALL(IF((Income!D$3:D$502="INR")*(Income!A$3:A$502=DATE(2026,10,5)),ROW(Income!A$3:A$502)-2),1)),0)=0,"",IFERROR(-INDEX(Expenses!D$3:D$1002,SMALL(IF((Expenses!E$3:E$1002="INR")*(Expenses!A$3:A$1002=DATE(2026,10,5)),ROW(Expenses!A$3:A$1002)-2),1)),0)+IFERROR(INDEX(Income!C$3:C$502,SMALL(IF((Income!D$3:D$502="INR")*(Income!A$3:A$502=DATE(2026,10,5)),ROW(Income!A$3:A$502)-2),1)),0))</f>
        <v/>
      </c>
      <c r="D204" s="38" t="str">
        <f aca="false">IF(IFERROR(INDEX(Expenses!B$3:B$1002,SMALL(IF((Expenses!E$3:E$1002="INR")*(Expenses!A$3:A$1002=DATE(2026,10,5)),ROW(Expenses!A$3:A$1002)-2),1)),"")&lt;&gt;"",IFERROR(INDEX(Expenses!B$3:B$1002,SMALL(IF((Expenses!E$3:E$1002="INR")*(Expenses!A$3:A$1002=DATE(2026,10,5)),ROW(Expenses!A$3:A$1002)-2),1)),""),IF(IFERROR(INDEX(Income!B$3:B$502,SMALL(IF((Income!D$3:D$502="INR")*(Income!A$3:A$502=DATE(2026,10,5)),ROW(Income!A$3:A$502)-2),1)),"")&lt;&gt;"",IFERROR(INDEX(Income!B$3:B$502,SMALL(IF((Income!D$3:D$502="INR")*(Income!A$3:A$502=DATE(2026,10,5)),ROW(Income!A$3:A$502)-2),1)),""),""))</f>
        <v/>
      </c>
      <c r="E204" s="63" t="str">
        <f aca="false">IF(IFERROR(-INDEX(Expenses!D$3:D$1002,SMALL(IF((Expenses!E$3:E$1002="INR")*(Expenses!A$3:A$1002=DATE(2026,10,6)),ROW(Expenses!A$3:A$1002)-2),1)),0)+IFERROR(INDEX(Income!C$3:C$502,SMALL(IF((Income!D$3:D$502="INR")*(Income!A$3:A$502=DATE(2026,10,6)),ROW(Income!A$3:A$502)-2),1)),0)=0,"",IFERROR(-INDEX(Expenses!D$3:D$1002,SMALL(IF((Expenses!E$3:E$1002="INR")*(Expenses!A$3:A$1002=DATE(2026,10,6)),ROW(Expenses!A$3:A$1002)-2),1)),0)+IFERROR(INDEX(Income!C$3:C$502,SMALL(IF((Income!D$3:D$502="INR")*(Income!A$3:A$502=DATE(2026,10,6)),ROW(Income!A$3:A$502)-2),1)),0))</f>
        <v/>
      </c>
      <c r="F204" s="38" t="str">
        <f aca="false">IF(IFERROR(INDEX(Expenses!B$3:B$1002,SMALL(IF((Expenses!E$3:E$1002="INR")*(Expenses!A$3:A$1002=DATE(2026,10,6)),ROW(Expenses!A$3:A$1002)-2),1)),"")&lt;&gt;"",IFERROR(INDEX(Expenses!B$3:B$1002,SMALL(IF((Expenses!E$3:E$1002="INR")*(Expenses!A$3:A$1002=DATE(2026,10,6)),ROW(Expenses!A$3:A$1002)-2),1)),""),IF(IFERROR(INDEX(Income!B$3:B$502,SMALL(IF((Income!D$3:D$502="INR")*(Income!A$3:A$502=DATE(2026,10,6)),ROW(Income!A$3:A$502)-2),1)),"")&lt;&gt;"",IFERROR(INDEX(Income!B$3:B$502,SMALL(IF((Income!D$3:D$502="INR")*(Income!A$3:A$502=DATE(2026,10,6)),ROW(Income!A$3:A$502)-2),1)),""),""))</f>
        <v/>
      </c>
      <c r="G204" s="63" t="str">
        <f aca="false">IF(IFERROR(-INDEX(Expenses!D$3:D$1002,SMALL(IF((Expenses!E$3:E$1002="INR")*(Expenses!A$3:A$1002=DATE(2026,10,7)),ROW(Expenses!A$3:A$1002)-2),1)),0)+IFERROR(INDEX(Income!C$3:C$502,SMALL(IF((Income!D$3:D$502="INR")*(Income!A$3:A$502=DATE(2026,10,7)),ROW(Income!A$3:A$502)-2),1)),0)=0,"",IFERROR(-INDEX(Expenses!D$3:D$1002,SMALL(IF((Expenses!E$3:E$1002="INR")*(Expenses!A$3:A$1002=DATE(2026,10,7)),ROW(Expenses!A$3:A$1002)-2),1)),0)+IFERROR(INDEX(Income!C$3:C$502,SMALL(IF((Income!D$3:D$502="INR")*(Income!A$3:A$502=DATE(2026,10,7)),ROW(Income!A$3:A$502)-2),1)),0))</f>
        <v/>
      </c>
      <c r="H204" s="38" t="str">
        <f aca="false">IF(IFERROR(INDEX(Expenses!B$3:B$1002,SMALL(IF((Expenses!E$3:E$1002="INR")*(Expenses!A$3:A$1002=DATE(2026,10,7)),ROW(Expenses!A$3:A$1002)-2),1)),"")&lt;&gt;"",IFERROR(INDEX(Expenses!B$3:B$1002,SMALL(IF((Expenses!E$3:E$1002="INR")*(Expenses!A$3:A$1002=DATE(2026,10,7)),ROW(Expenses!A$3:A$1002)-2),1)),""),IF(IFERROR(INDEX(Income!B$3:B$502,SMALL(IF((Income!D$3:D$502="INR")*(Income!A$3:A$502=DATE(2026,10,7)),ROW(Income!A$3:A$502)-2),1)),"")&lt;&gt;"",IFERROR(INDEX(Income!B$3:B$502,SMALL(IF((Income!D$3:D$502="INR")*(Income!A$3:A$502=DATE(2026,10,7)),ROW(Income!A$3:A$502)-2),1)),""),""))</f>
        <v/>
      </c>
      <c r="I204" s="63" t="str">
        <f aca="false">IF(IFERROR(-INDEX(Expenses!D$3:D$1002,SMALL(IF((Expenses!E$3:E$1002="INR")*(Expenses!A$3:A$1002=DATE(2026,10,8)),ROW(Expenses!A$3:A$1002)-2),1)),0)+IFERROR(INDEX(Income!C$3:C$502,SMALL(IF((Income!D$3:D$502="INR")*(Income!A$3:A$502=DATE(2026,10,8)),ROW(Income!A$3:A$502)-2),1)),0)=0,"",IFERROR(-INDEX(Expenses!D$3:D$1002,SMALL(IF((Expenses!E$3:E$1002="INR")*(Expenses!A$3:A$1002=DATE(2026,10,8)),ROW(Expenses!A$3:A$1002)-2),1)),0)+IFERROR(INDEX(Income!C$3:C$502,SMALL(IF((Income!D$3:D$502="INR")*(Income!A$3:A$502=DATE(2026,10,8)),ROW(Income!A$3:A$502)-2),1)),0))</f>
        <v/>
      </c>
      <c r="J204" s="38" t="str">
        <f aca="false">IF(IFERROR(INDEX(Expenses!B$3:B$1002,SMALL(IF((Expenses!E$3:E$1002="INR")*(Expenses!A$3:A$1002=DATE(2026,10,8)),ROW(Expenses!A$3:A$1002)-2),1)),"")&lt;&gt;"",IFERROR(INDEX(Expenses!B$3:B$1002,SMALL(IF((Expenses!E$3:E$1002="INR")*(Expenses!A$3:A$1002=DATE(2026,10,8)),ROW(Expenses!A$3:A$1002)-2),1)),""),IF(IFERROR(INDEX(Income!B$3:B$502,SMALL(IF((Income!D$3:D$502="INR")*(Income!A$3:A$502=DATE(2026,10,8)),ROW(Income!A$3:A$502)-2),1)),"")&lt;&gt;"",IFERROR(INDEX(Income!B$3:B$502,SMALL(IF((Income!D$3:D$502="INR")*(Income!A$3:A$502=DATE(2026,10,8)),ROW(Income!A$3:A$502)-2),1)),""),""))</f>
        <v/>
      </c>
      <c r="K204" s="63" t="str">
        <f aca="false">IF(IFERROR(-INDEX(Expenses!D$3:D$1002,SMALL(IF((Expenses!E$3:E$1002="INR")*(Expenses!A$3:A$1002=DATE(2026,10,9)),ROW(Expenses!A$3:A$1002)-2),1)),0)+IFERROR(INDEX(Income!C$3:C$502,SMALL(IF((Income!D$3:D$502="INR")*(Income!A$3:A$502=DATE(2026,10,9)),ROW(Income!A$3:A$502)-2),1)),0)=0,"",IFERROR(-INDEX(Expenses!D$3:D$1002,SMALL(IF((Expenses!E$3:E$1002="INR")*(Expenses!A$3:A$1002=DATE(2026,10,9)),ROW(Expenses!A$3:A$1002)-2),1)),0)+IFERROR(INDEX(Income!C$3:C$502,SMALL(IF((Income!D$3:D$502="INR")*(Income!A$3:A$502=DATE(2026,10,9)),ROW(Income!A$3:A$502)-2),1)),0))</f>
        <v/>
      </c>
      <c r="L204" s="38" t="str">
        <f aca="false">IF(IFERROR(INDEX(Expenses!B$3:B$1002,SMALL(IF((Expenses!E$3:E$1002="INR")*(Expenses!A$3:A$1002=DATE(2026,10,9)),ROW(Expenses!A$3:A$1002)-2),1)),"")&lt;&gt;"",IFERROR(INDEX(Expenses!B$3:B$1002,SMALL(IF((Expenses!E$3:E$1002="INR")*(Expenses!A$3:A$1002=DATE(2026,10,9)),ROW(Expenses!A$3:A$1002)-2),1)),""),IF(IFERROR(INDEX(Income!B$3:B$502,SMALL(IF((Income!D$3:D$502="INR")*(Income!A$3:A$502=DATE(2026,10,9)),ROW(Income!A$3:A$502)-2),1)),"")&lt;&gt;"",IFERROR(INDEX(Income!B$3:B$502,SMALL(IF((Income!D$3:D$502="INR")*(Income!A$3:A$502=DATE(2026,10,9)),ROW(Income!A$3:A$502)-2),1)),""),""))</f>
        <v/>
      </c>
      <c r="M204" s="63" t="str">
        <f aca="false">IF(IFERROR(-INDEX(Expenses!D$3:D$1002,SMALL(IF((Expenses!E$3:E$1002="INR")*(Expenses!A$3:A$1002=DATE(2026,10,10)),ROW(Expenses!A$3:A$1002)-2),1)),0)+IFERROR(INDEX(Income!C$3:C$502,SMALL(IF((Income!D$3:D$502="INR")*(Income!A$3:A$502=DATE(2026,10,10)),ROW(Income!A$3:A$502)-2),1)),0)=0,"",IFERROR(-INDEX(Expenses!D$3:D$1002,SMALL(IF((Expenses!E$3:E$1002="INR")*(Expenses!A$3:A$1002=DATE(2026,10,10)),ROW(Expenses!A$3:A$1002)-2),1)),0)+IFERROR(INDEX(Income!C$3:C$502,SMALL(IF((Income!D$3:D$502="INR")*(Income!A$3:A$502=DATE(2026,10,10)),ROW(Income!A$3:A$502)-2),1)),0))</f>
        <v/>
      </c>
      <c r="N204" s="38" t="str">
        <f aca="false">IF(IFERROR(INDEX(Expenses!B$3:B$1002,SMALL(IF((Expenses!E$3:E$1002="INR")*(Expenses!A$3:A$1002=DATE(2026,10,10)),ROW(Expenses!A$3:A$1002)-2),1)),"")&lt;&gt;"",IFERROR(INDEX(Expenses!B$3:B$1002,SMALL(IF((Expenses!E$3:E$1002="INR")*(Expenses!A$3:A$1002=DATE(2026,10,10)),ROW(Expenses!A$3:A$1002)-2),1)),""),IF(IFERROR(INDEX(Income!B$3:B$502,SMALL(IF((Income!D$3:D$502="INR")*(Income!A$3:A$502=DATE(2026,10,10)),ROW(Income!A$3:A$502)-2),1)),"")&lt;&gt;"",IFERROR(INDEX(Income!B$3:B$502,SMALL(IF((Income!D$3:D$502="INR")*(Income!A$3:A$502=DATE(2026,10,10)),ROW(Income!A$3:A$502)-2),1)),""),""))</f>
        <v/>
      </c>
      <c r="O204" s="63" t="str">
        <f aca="false">IF(IFERROR(-INDEX(Expenses!D$3:D$1002,SMALL(IF((Expenses!E$3:E$1002="INR")*(Expenses!A$3:A$1002=DATE(2026,10,11)),ROW(Expenses!A$3:A$1002)-2),1)),0)+IFERROR(INDEX(Income!C$3:C$502,SMALL(IF((Income!D$3:D$502="INR")*(Income!A$3:A$502=DATE(2026,10,11)),ROW(Income!A$3:A$502)-2),1)),0)=0,"",IFERROR(-INDEX(Expenses!D$3:D$1002,SMALL(IF((Expenses!E$3:E$1002="INR")*(Expenses!A$3:A$1002=DATE(2026,10,11)),ROW(Expenses!A$3:A$1002)-2),1)),0)+IFERROR(INDEX(Income!C$3:C$502,SMALL(IF((Income!D$3:D$502="INR")*(Income!A$3:A$502=DATE(2026,10,11)),ROW(Income!A$3:A$502)-2),1)),0))</f>
        <v/>
      </c>
      <c r="P204" s="38" t="str">
        <f aca="false">IF(IFERROR(INDEX(Expenses!B$3:B$1002,SMALL(IF((Expenses!E$3:E$1002="INR")*(Expenses!A$3:A$1002=DATE(2026,10,11)),ROW(Expenses!A$3:A$1002)-2),1)),"")&lt;&gt;"",IFERROR(INDEX(Expenses!B$3:B$1002,SMALL(IF((Expenses!E$3:E$1002="INR")*(Expenses!A$3:A$1002=DATE(2026,10,11)),ROW(Expenses!A$3:A$1002)-2),1)),""),IF(IFERROR(INDEX(Income!B$3:B$502,SMALL(IF((Income!D$3:D$502="INR")*(Income!A$3:A$502=DATE(2026,10,11)),ROW(Income!A$3:A$502)-2),1)),"")&lt;&gt;"",IFERROR(INDEX(Income!B$3:B$502,SMALL(IF((Income!D$3:D$502="INR")*(Income!A$3:A$502=DATE(2026,10,11)),ROW(Income!A$3:A$502)-2),1)),""),""))</f>
        <v/>
      </c>
      <c r="Q204" s="3" t="n">
        <v>41</v>
      </c>
      <c r="R204" s="53" t="n">
        <f aca="false">SUM(C204:C208)+SUM(E204:E208)+SUM(G204:G208)+SUM(I204:I208)+SUM(K204:K208)+SUM(M204:M208)+SUM(O204:O208)</f>
        <v>0</v>
      </c>
    </row>
    <row r="205" customFormat="false" ht="15" hidden="false" customHeight="false" outlineLevel="0" collapsed="false">
      <c r="A205" s="16"/>
      <c r="B205" s="16"/>
      <c r="C205" s="63" t="str">
        <f aca="false">IF(IFERROR(-INDEX(Expenses!D$3:D$1002,SMALL(IF((Expenses!E$3:E$1002="INR")*(Expenses!A$3:A$1002=DATE(2026,10,5)),ROW(Expenses!A$3:A$1002)-2),2)),0)+IFERROR(INDEX(Income!C$3:C$502,SMALL(IF((Income!D$3:D$502="INR")*(Income!A$3:A$502=DATE(2026,10,5)),ROW(Income!A$3:A$502)-2),2)),0)=0,"",IFERROR(-INDEX(Expenses!D$3:D$1002,SMALL(IF((Expenses!E$3:E$1002="INR")*(Expenses!A$3:A$1002=DATE(2026,10,5)),ROW(Expenses!A$3:A$1002)-2),2)),0)+IFERROR(INDEX(Income!C$3:C$502,SMALL(IF((Income!D$3:D$502="INR")*(Income!A$3:A$502=DATE(2026,10,5)),ROW(Income!A$3:A$502)-2),2)),0))</f>
        <v/>
      </c>
      <c r="D205" s="38" t="str">
        <f aca="false">IF(IFERROR(INDEX(Expenses!B$3:B$1002,SMALL(IF((Expenses!E$3:E$1002="INR")*(Expenses!A$3:A$1002=DATE(2026,10,5)),ROW(Expenses!A$3:A$1002)-2),2)),"")&lt;&gt;"",IFERROR(INDEX(Expenses!B$3:B$1002,SMALL(IF((Expenses!E$3:E$1002="INR")*(Expenses!A$3:A$1002=DATE(2026,10,5)),ROW(Expenses!A$3:A$1002)-2),2)),""),IF(IFERROR(INDEX(Income!B$3:B$502,SMALL(IF((Income!D$3:D$502="INR")*(Income!A$3:A$502=DATE(2026,10,5)),ROW(Income!A$3:A$502)-2),2)),"")&lt;&gt;"",IFERROR(INDEX(Income!B$3:B$502,SMALL(IF((Income!D$3:D$502="INR")*(Income!A$3:A$502=DATE(2026,10,5)),ROW(Income!A$3:A$502)-2),2)),""),""))</f>
        <v/>
      </c>
      <c r="E205" s="63" t="str">
        <f aca="false">IF(IFERROR(-INDEX(Expenses!D$3:D$1002,SMALL(IF((Expenses!E$3:E$1002="INR")*(Expenses!A$3:A$1002=DATE(2026,10,6)),ROW(Expenses!A$3:A$1002)-2),2)),0)+IFERROR(INDEX(Income!C$3:C$502,SMALL(IF((Income!D$3:D$502="INR")*(Income!A$3:A$502=DATE(2026,10,6)),ROW(Income!A$3:A$502)-2),2)),0)=0,"",IFERROR(-INDEX(Expenses!D$3:D$1002,SMALL(IF((Expenses!E$3:E$1002="INR")*(Expenses!A$3:A$1002=DATE(2026,10,6)),ROW(Expenses!A$3:A$1002)-2),2)),0)+IFERROR(INDEX(Income!C$3:C$502,SMALL(IF((Income!D$3:D$502="INR")*(Income!A$3:A$502=DATE(2026,10,6)),ROW(Income!A$3:A$502)-2),2)),0))</f>
        <v/>
      </c>
      <c r="F205" s="38" t="str">
        <f aca="false">IF(IFERROR(INDEX(Expenses!B$3:B$1002,SMALL(IF((Expenses!E$3:E$1002="INR")*(Expenses!A$3:A$1002=DATE(2026,10,6)),ROW(Expenses!A$3:A$1002)-2),2)),"")&lt;&gt;"",IFERROR(INDEX(Expenses!B$3:B$1002,SMALL(IF((Expenses!E$3:E$1002="INR")*(Expenses!A$3:A$1002=DATE(2026,10,6)),ROW(Expenses!A$3:A$1002)-2),2)),""),IF(IFERROR(INDEX(Income!B$3:B$502,SMALL(IF((Income!D$3:D$502="INR")*(Income!A$3:A$502=DATE(2026,10,6)),ROW(Income!A$3:A$502)-2),2)),"")&lt;&gt;"",IFERROR(INDEX(Income!B$3:B$502,SMALL(IF((Income!D$3:D$502="INR")*(Income!A$3:A$502=DATE(2026,10,6)),ROW(Income!A$3:A$502)-2),2)),""),""))</f>
        <v/>
      </c>
      <c r="G205" s="63" t="str">
        <f aca="false">IF(IFERROR(-INDEX(Expenses!D$3:D$1002,SMALL(IF((Expenses!E$3:E$1002="INR")*(Expenses!A$3:A$1002=DATE(2026,10,7)),ROW(Expenses!A$3:A$1002)-2),2)),0)+IFERROR(INDEX(Income!C$3:C$502,SMALL(IF((Income!D$3:D$502="INR")*(Income!A$3:A$502=DATE(2026,10,7)),ROW(Income!A$3:A$502)-2),2)),0)=0,"",IFERROR(-INDEX(Expenses!D$3:D$1002,SMALL(IF((Expenses!E$3:E$1002="INR")*(Expenses!A$3:A$1002=DATE(2026,10,7)),ROW(Expenses!A$3:A$1002)-2),2)),0)+IFERROR(INDEX(Income!C$3:C$502,SMALL(IF((Income!D$3:D$502="INR")*(Income!A$3:A$502=DATE(2026,10,7)),ROW(Income!A$3:A$502)-2),2)),0))</f>
        <v/>
      </c>
      <c r="H205" s="38" t="str">
        <f aca="false">IF(IFERROR(INDEX(Expenses!B$3:B$1002,SMALL(IF((Expenses!E$3:E$1002="INR")*(Expenses!A$3:A$1002=DATE(2026,10,7)),ROW(Expenses!A$3:A$1002)-2),2)),"")&lt;&gt;"",IFERROR(INDEX(Expenses!B$3:B$1002,SMALL(IF((Expenses!E$3:E$1002="INR")*(Expenses!A$3:A$1002=DATE(2026,10,7)),ROW(Expenses!A$3:A$1002)-2),2)),""),IF(IFERROR(INDEX(Income!B$3:B$502,SMALL(IF((Income!D$3:D$502="INR")*(Income!A$3:A$502=DATE(2026,10,7)),ROW(Income!A$3:A$502)-2),2)),"")&lt;&gt;"",IFERROR(INDEX(Income!B$3:B$502,SMALL(IF((Income!D$3:D$502="INR")*(Income!A$3:A$502=DATE(2026,10,7)),ROW(Income!A$3:A$502)-2),2)),""),""))</f>
        <v/>
      </c>
      <c r="I205" s="63" t="str">
        <f aca="false">IF(IFERROR(-INDEX(Expenses!D$3:D$1002,SMALL(IF((Expenses!E$3:E$1002="INR")*(Expenses!A$3:A$1002=DATE(2026,10,8)),ROW(Expenses!A$3:A$1002)-2),2)),0)+IFERROR(INDEX(Income!C$3:C$502,SMALL(IF((Income!D$3:D$502="INR")*(Income!A$3:A$502=DATE(2026,10,8)),ROW(Income!A$3:A$502)-2),2)),0)=0,"",IFERROR(-INDEX(Expenses!D$3:D$1002,SMALL(IF((Expenses!E$3:E$1002="INR")*(Expenses!A$3:A$1002=DATE(2026,10,8)),ROW(Expenses!A$3:A$1002)-2),2)),0)+IFERROR(INDEX(Income!C$3:C$502,SMALL(IF((Income!D$3:D$502="INR")*(Income!A$3:A$502=DATE(2026,10,8)),ROW(Income!A$3:A$502)-2),2)),0))</f>
        <v/>
      </c>
      <c r="J205" s="38" t="str">
        <f aca="false">IF(IFERROR(INDEX(Expenses!B$3:B$1002,SMALL(IF((Expenses!E$3:E$1002="INR")*(Expenses!A$3:A$1002=DATE(2026,10,8)),ROW(Expenses!A$3:A$1002)-2),2)),"")&lt;&gt;"",IFERROR(INDEX(Expenses!B$3:B$1002,SMALL(IF((Expenses!E$3:E$1002="INR")*(Expenses!A$3:A$1002=DATE(2026,10,8)),ROW(Expenses!A$3:A$1002)-2),2)),""),IF(IFERROR(INDEX(Income!B$3:B$502,SMALL(IF((Income!D$3:D$502="INR")*(Income!A$3:A$502=DATE(2026,10,8)),ROW(Income!A$3:A$502)-2),2)),"")&lt;&gt;"",IFERROR(INDEX(Income!B$3:B$502,SMALL(IF((Income!D$3:D$502="INR")*(Income!A$3:A$502=DATE(2026,10,8)),ROW(Income!A$3:A$502)-2),2)),""),""))</f>
        <v/>
      </c>
      <c r="K205" s="63" t="str">
        <f aca="false">IF(IFERROR(-INDEX(Expenses!D$3:D$1002,SMALL(IF((Expenses!E$3:E$1002="INR")*(Expenses!A$3:A$1002=DATE(2026,10,9)),ROW(Expenses!A$3:A$1002)-2),2)),0)+IFERROR(INDEX(Income!C$3:C$502,SMALL(IF((Income!D$3:D$502="INR")*(Income!A$3:A$502=DATE(2026,10,9)),ROW(Income!A$3:A$502)-2),2)),0)=0,"",IFERROR(-INDEX(Expenses!D$3:D$1002,SMALL(IF((Expenses!E$3:E$1002="INR")*(Expenses!A$3:A$1002=DATE(2026,10,9)),ROW(Expenses!A$3:A$1002)-2),2)),0)+IFERROR(INDEX(Income!C$3:C$502,SMALL(IF((Income!D$3:D$502="INR")*(Income!A$3:A$502=DATE(2026,10,9)),ROW(Income!A$3:A$502)-2),2)),0))</f>
        <v/>
      </c>
      <c r="L205" s="38" t="str">
        <f aca="false">IF(IFERROR(INDEX(Expenses!B$3:B$1002,SMALL(IF((Expenses!E$3:E$1002="INR")*(Expenses!A$3:A$1002=DATE(2026,10,9)),ROW(Expenses!A$3:A$1002)-2),2)),"")&lt;&gt;"",IFERROR(INDEX(Expenses!B$3:B$1002,SMALL(IF((Expenses!E$3:E$1002="INR")*(Expenses!A$3:A$1002=DATE(2026,10,9)),ROW(Expenses!A$3:A$1002)-2),2)),""),IF(IFERROR(INDEX(Income!B$3:B$502,SMALL(IF((Income!D$3:D$502="INR")*(Income!A$3:A$502=DATE(2026,10,9)),ROW(Income!A$3:A$502)-2),2)),"")&lt;&gt;"",IFERROR(INDEX(Income!B$3:B$502,SMALL(IF((Income!D$3:D$502="INR")*(Income!A$3:A$502=DATE(2026,10,9)),ROW(Income!A$3:A$502)-2),2)),""),""))</f>
        <v/>
      </c>
      <c r="M205" s="63" t="str">
        <f aca="false">IF(IFERROR(-INDEX(Expenses!D$3:D$1002,SMALL(IF((Expenses!E$3:E$1002="INR")*(Expenses!A$3:A$1002=DATE(2026,10,10)),ROW(Expenses!A$3:A$1002)-2),2)),0)+IFERROR(INDEX(Income!C$3:C$502,SMALL(IF((Income!D$3:D$502="INR")*(Income!A$3:A$502=DATE(2026,10,10)),ROW(Income!A$3:A$502)-2),2)),0)=0,"",IFERROR(-INDEX(Expenses!D$3:D$1002,SMALL(IF((Expenses!E$3:E$1002="INR")*(Expenses!A$3:A$1002=DATE(2026,10,10)),ROW(Expenses!A$3:A$1002)-2),2)),0)+IFERROR(INDEX(Income!C$3:C$502,SMALL(IF((Income!D$3:D$502="INR")*(Income!A$3:A$502=DATE(2026,10,10)),ROW(Income!A$3:A$502)-2),2)),0))</f>
        <v/>
      </c>
      <c r="N205" s="38" t="str">
        <f aca="false">IF(IFERROR(INDEX(Expenses!B$3:B$1002,SMALL(IF((Expenses!E$3:E$1002="INR")*(Expenses!A$3:A$1002=DATE(2026,10,10)),ROW(Expenses!A$3:A$1002)-2),2)),"")&lt;&gt;"",IFERROR(INDEX(Expenses!B$3:B$1002,SMALL(IF((Expenses!E$3:E$1002="INR")*(Expenses!A$3:A$1002=DATE(2026,10,10)),ROW(Expenses!A$3:A$1002)-2),2)),""),IF(IFERROR(INDEX(Income!B$3:B$502,SMALL(IF((Income!D$3:D$502="INR")*(Income!A$3:A$502=DATE(2026,10,10)),ROW(Income!A$3:A$502)-2),2)),"")&lt;&gt;"",IFERROR(INDEX(Income!B$3:B$502,SMALL(IF((Income!D$3:D$502="INR")*(Income!A$3:A$502=DATE(2026,10,10)),ROW(Income!A$3:A$502)-2),2)),""),""))</f>
        <v/>
      </c>
      <c r="O205" s="63" t="str">
        <f aca="false">IF(IFERROR(-INDEX(Expenses!D$3:D$1002,SMALL(IF((Expenses!E$3:E$1002="INR")*(Expenses!A$3:A$1002=DATE(2026,10,11)),ROW(Expenses!A$3:A$1002)-2),2)),0)+IFERROR(INDEX(Income!C$3:C$502,SMALL(IF((Income!D$3:D$502="INR")*(Income!A$3:A$502=DATE(2026,10,11)),ROW(Income!A$3:A$502)-2),2)),0)=0,"",IFERROR(-INDEX(Expenses!D$3:D$1002,SMALL(IF((Expenses!E$3:E$1002="INR")*(Expenses!A$3:A$1002=DATE(2026,10,11)),ROW(Expenses!A$3:A$1002)-2),2)),0)+IFERROR(INDEX(Income!C$3:C$502,SMALL(IF((Income!D$3:D$502="INR")*(Income!A$3:A$502=DATE(2026,10,11)),ROW(Income!A$3:A$502)-2),2)),0))</f>
        <v/>
      </c>
      <c r="P205" s="38" t="str">
        <f aca="false">IF(IFERROR(INDEX(Expenses!B$3:B$1002,SMALL(IF((Expenses!E$3:E$1002="INR")*(Expenses!A$3:A$1002=DATE(2026,10,11)),ROW(Expenses!A$3:A$1002)-2),2)),"")&lt;&gt;"",IFERROR(INDEX(Expenses!B$3:B$1002,SMALL(IF((Expenses!E$3:E$1002="INR")*(Expenses!A$3:A$1002=DATE(2026,10,11)),ROW(Expenses!A$3:A$1002)-2),2)),""),IF(IFERROR(INDEX(Income!B$3:B$502,SMALL(IF((Income!D$3:D$502="INR")*(Income!A$3:A$502=DATE(2026,10,11)),ROW(Income!A$3:A$502)-2),2)),"")&lt;&gt;"",IFERROR(INDEX(Income!B$3:B$502,SMALL(IF((Income!D$3:D$502="INR")*(Income!A$3:A$502=DATE(2026,10,11)),ROW(Income!A$3:A$502)-2),2)),""),""))</f>
        <v/>
      </c>
      <c r="Q205" s="16"/>
      <c r="R205" s="16"/>
    </row>
    <row r="206" customFormat="false" ht="15" hidden="false" customHeight="false" outlineLevel="0" collapsed="false">
      <c r="A206" s="16"/>
      <c r="B206" s="16"/>
      <c r="C206" s="63" t="str">
        <f aca="false">IF(IFERROR(-INDEX(Expenses!D$3:D$1002,SMALL(IF((Expenses!E$3:E$1002="INR")*(Expenses!A$3:A$1002=DATE(2026,10,5)),ROW(Expenses!A$3:A$1002)-2),3)),0)+IFERROR(INDEX(Income!C$3:C$502,SMALL(IF((Income!D$3:D$502="INR")*(Income!A$3:A$502=DATE(2026,10,5)),ROW(Income!A$3:A$502)-2),3)),0)=0,"",IFERROR(-INDEX(Expenses!D$3:D$1002,SMALL(IF((Expenses!E$3:E$1002="INR")*(Expenses!A$3:A$1002=DATE(2026,10,5)),ROW(Expenses!A$3:A$1002)-2),3)),0)+IFERROR(INDEX(Income!C$3:C$502,SMALL(IF((Income!D$3:D$502="INR")*(Income!A$3:A$502=DATE(2026,10,5)),ROW(Income!A$3:A$502)-2),3)),0))</f>
        <v/>
      </c>
      <c r="D206" s="38" t="str">
        <f aca="false">IF(IFERROR(INDEX(Expenses!B$3:B$1002,SMALL(IF((Expenses!E$3:E$1002="INR")*(Expenses!A$3:A$1002=DATE(2026,10,5)),ROW(Expenses!A$3:A$1002)-2),3)),"")&lt;&gt;"",IFERROR(INDEX(Expenses!B$3:B$1002,SMALL(IF((Expenses!E$3:E$1002="INR")*(Expenses!A$3:A$1002=DATE(2026,10,5)),ROW(Expenses!A$3:A$1002)-2),3)),""),IF(IFERROR(INDEX(Income!B$3:B$502,SMALL(IF((Income!D$3:D$502="INR")*(Income!A$3:A$502=DATE(2026,10,5)),ROW(Income!A$3:A$502)-2),3)),"")&lt;&gt;"",IFERROR(INDEX(Income!B$3:B$502,SMALL(IF((Income!D$3:D$502="INR")*(Income!A$3:A$502=DATE(2026,10,5)),ROW(Income!A$3:A$502)-2),3)),""),""))</f>
        <v/>
      </c>
      <c r="E206" s="63" t="str">
        <f aca="false">IF(IFERROR(-INDEX(Expenses!D$3:D$1002,SMALL(IF((Expenses!E$3:E$1002="INR")*(Expenses!A$3:A$1002=DATE(2026,10,6)),ROW(Expenses!A$3:A$1002)-2),3)),0)+IFERROR(INDEX(Income!C$3:C$502,SMALL(IF((Income!D$3:D$502="INR")*(Income!A$3:A$502=DATE(2026,10,6)),ROW(Income!A$3:A$502)-2),3)),0)=0,"",IFERROR(-INDEX(Expenses!D$3:D$1002,SMALL(IF((Expenses!E$3:E$1002="INR")*(Expenses!A$3:A$1002=DATE(2026,10,6)),ROW(Expenses!A$3:A$1002)-2),3)),0)+IFERROR(INDEX(Income!C$3:C$502,SMALL(IF((Income!D$3:D$502="INR")*(Income!A$3:A$502=DATE(2026,10,6)),ROW(Income!A$3:A$502)-2),3)),0))</f>
        <v/>
      </c>
      <c r="F206" s="38" t="str">
        <f aca="false">IF(IFERROR(INDEX(Expenses!B$3:B$1002,SMALL(IF((Expenses!E$3:E$1002="INR")*(Expenses!A$3:A$1002=DATE(2026,10,6)),ROW(Expenses!A$3:A$1002)-2),3)),"")&lt;&gt;"",IFERROR(INDEX(Expenses!B$3:B$1002,SMALL(IF((Expenses!E$3:E$1002="INR")*(Expenses!A$3:A$1002=DATE(2026,10,6)),ROW(Expenses!A$3:A$1002)-2),3)),""),IF(IFERROR(INDEX(Income!B$3:B$502,SMALL(IF((Income!D$3:D$502="INR")*(Income!A$3:A$502=DATE(2026,10,6)),ROW(Income!A$3:A$502)-2),3)),"")&lt;&gt;"",IFERROR(INDEX(Income!B$3:B$502,SMALL(IF((Income!D$3:D$502="INR")*(Income!A$3:A$502=DATE(2026,10,6)),ROW(Income!A$3:A$502)-2),3)),""),""))</f>
        <v/>
      </c>
      <c r="G206" s="63" t="str">
        <f aca="false">IF(IFERROR(-INDEX(Expenses!D$3:D$1002,SMALL(IF((Expenses!E$3:E$1002="INR")*(Expenses!A$3:A$1002=DATE(2026,10,7)),ROW(Expenses!A$3:A$1002)-2),3)),0)+IFERROR(INDEX(Income!C$3:C$502,SMALL(IF((Income!D$3:D$502="INR")*(Income!A$3:A$502=DATE(2026,10,7)),ROW(Income!A$3:A$502)-2),3)),0)=0,"",IFERROR(-INDEX(Expenses!D$3:D$1002,SMALL(IF((Expenses!E$3:E$1002="INR")*(Expenses!A$3:A$1002=DATE(2026,10,7)),ROW(Expenses!A$3:A$1002)-2),3)),0)+IFERROR(INDEX(Income!C$3:C$502,SMALL(IF((Income!D$3:D$502="INR")*(Income!A$3:A$502=DATE(2026,10,7)),ROW(Income!A$3:A$502)-2),3)),0))</f>
        <v/>
      </c>
      <c r="H206" s="38" t="str">
        <f aca="false">IF(IFERROR(INDEX(Expenses!B$3:B$1002,SMALL(IF((Expenses!E$3:E$1002="INR")*(Expenses!A$3:A$1002=DATE(2026,10,7)),ROW(Expenses!A$3:A$1002)-2),3)),"")&lt;&gt;"",IFERROR(INDEX(Expenses!B$3:B$1002,SMALL(IF((Expenses!E$3:E$1002="INR")*(Expenses!A$3:A$1002=DATE(2026,10,7)),ROW(Expenses!A$3:A$1002)-2),3)),""),IF(IFERROR(INDEX(Income!B$3:B$502,SMALL(IF((Income!D$3:D$502="INR")*(Income!A$3:A$502=DATE(2026,10,7)),ROW(Income!A$3:A$502)-2),3)),"")&lt;&gt;"",IFERROR(INDEX(Income!B$3:B$502,SMALL(IF((Income!D$3:D$502="INR")*(Income!A$3:A$502=DATE(2026,10,7)),ROW(Income!A$3:A$502)-2),3)),""),""))</f>
        <v/>
      </c>
      <c r="I206" s="63" t="str">
        <f aca="false">IF(IFERROR(-INDEX(Expenses!D$3:D$1002,SMALL(IF((Expenses!E$3:E$1002="INR")*(Expenses!A$3:A$1002=DATE(2026,10,8)),ROW(Expenses!A$3:A$1002)-2),3)),0)+IFERROR(INDEX(Income!C$3:C$502,SMALL(IF((Income!D$3:D$502="INR")*(Income!A$3:A$502=DATE(2026,10,8)),ROW(Income!A$3:A$502)-2),3)),0)=0,"",IFERROR(-INDEX(Expenses!D$3:D$1002,SMALL(IF((Expenses!E$3:E$1002="INR")*(Expenses!A$3:A$1002=DATE(2026,10,8)),ROW(Expenses!A$3:A$1002)-2),3)),0)+IFERROR(INDEX(Income!C$3:C$502,SMALL(IF((Income!D$3:D$502="INR")*(Income!A$3:A$502=DATE(2026,10,8)),ROW(Income!A$3:A$502)-2),3)),0))</f>
        <v/>
      </c>
      <c r="J206" s="38" t="str">
        <f aca="false">IF(IFERROR(INDEX(Expenses!B$3:B$1002,SMALL(IF((Expenses!E$3:E$1002="INR")*(Expenses!A$3:A$1002=DATE(2026,10,8)),ROW(Expenses!A$3:A$1002)-2),3)),"")&lt;&gt;"",IFERROR(INDEX(Expenses!B$3:B$1002,SMALL(IF((Expenses!E$3:E$1002="INR")*(Expenses!A$3:A$1002=DATE(2026,10,8)),ROW(Expenses!A$3:A$1002)-2),3)),""),IF(IFERROR(INDEX(Income!B$3:B$502,SMALL(IF((Income!D$3:D$502="INR")*(Income!A$3:A$502=DATE(2026,10,8)),ROW(Income!A$3:A$502)-2),3)),"")&lt;&gt;"",IFERROR(INDEX(Income!B$3:B$502,SMALL(IF((Income!D$3:D$502="INR")*(Income!A$3:A$502=DATE(2026,10,8)),ROW(Income!A$3:A$502)-2),3)),""),""))</f>
        <v/>
      </c>
      <c r="K206" s="63" t="str">
        <f aca="false">IF(IFERROR(-INDEX(Expenses!D$3:D$1002,SMALL(IF((Expenses!E$3:E$1002="INR")*(Expenses!A$3:A$1002=DATE(2026,10,9)),ROW(Expenses!A$3:A$1002)-2),3)),0)+IFERROR(INDEX(Income!C$3:C$502,SMALL(IF((Income!D$3:D$502="INR")*(Income!A$3:A$502=DATE(2026,10,9)),ROW(Income!A$3:A$502)-2),3)),0)=0,"",IFERROR(-INDEX(Expenses!D$3:D$1002,SMALL(IF((Expenses!E$3:E$1002="INR")*(Expenses!A$3:A$1002=DATE(2026,10,9)),ROW(Expenses!A$3:A$1002)-2),3)),0)+IFERROR(INDEX(Income!C$3:C$502,SMALL(IF((Income!D$3:D$502="INR")*(Income!A$3:A$502=DATE(2026,10,9)),ROW(Income!A$3:A$502)-2),3)),0))</f>
        <v/>
      </c>
      <c r="L206" s="38" t="str">
        <f aca="false">IF(IFERROR(INDEX(Expenses!B$3:B$1002,SMALL(IF((Expenses!E$3:E$1002="INR")*(Expenses!A$3:A$1002=DATE(2026,10,9)),ROW(Expenses!A$3:A$1002)-2),3)),"")&lt;&gt;"",IFERROR(INDEX(Expenses!B$3:B$1002,SMALL(IF((Expenses!E$3:E$1002="INR")*(Expenses!A$3:A$1002=DATE(2026,10,9)),ROW(Expenses!A$3:A$1002)-2),3)),""),IF(IFERROR(INDEX(Income!B$3:B$502,SMALL(IF((Income!D$3:D$502="INR")*(Income!A$3:A$502=DATE(2026,10,9)),ROW(Income!A$3:A$502)-2),3)),"")&lt;&gt;"",IFERROR(INDEX(Income!B$3:B$502,SMALL(IF((Income!D$3:D$502="INR")*(Income!A$3:A$502=DATE(2026,10,9)),ROW(Income!A$3:A$502)-2),3)),""),""))</f>
        <v/>
      </c>
      <c r="M206" s="63" t="str">
        <f aca="false">IF(IFERROR(-INDEX(Expenses!D$3:D$1002,SMALL(IF((Expenses!E$3:E$1002="INR")*(Expenses!A$3:A$1002=DATE(2026,10,10)),ROW(Expenses!A$3:A$1002)-2),3)),0)+IFERROR(INDEX(Income!C$3:C$502,SMALL(IF((Income!D$3:D$502="INR")*(Income!A$3:A$502=DATE(2026,10,10)),ROW(Income!A$3:A$502)-2),3)),0)=0,"",IFERROR(-INDEX(Expenses!D$3:D$1002,SMALL(IF((Expenses!E$3:E$1002="INR")*(Expenses!A$3:A$1002=DATE(2026,10,10)),ROW(Expenses!A$3:A$1002)-2),3)),0)+IFERROR(INDEX(Income!C$3:C$502,SMALL(IF((Income!D$3:D$502="INR")*(Income!A$3:A$502=DATE(2026,10,10)),ROW(Income!A$3:A$502)-2),3)),0))</f>
        <v/>
      </c>
      <c r="N206" s="38" t="str">
        <f aca="false">IF(IFERROR(INDEX(Expenses!B$3:B$1002,SMALL(IF((Expenses!E$3:E$1002="INR")*(Expenses!A$3:A$1002=DATE(2026,10,10)),ROW(Expenses!A$3:A$1002)-2),3)),"")&lt;&gt;"",IFERROR(INDEX(Expenses!B$3:B$1002,SMALL(IF((Expenses!E$3:E$1002="INR")*(Expenses!A$3:A$1002=DATE(2026,10,10)),ROW(Expenses!A$3:A$1002)-2),3)),""),IF(IFERROR(INDEX(Income!B$3:B$502,SMALL(IF((Income!D$3:D$502="INR")*(Income!A$3:A$502=DATE(2026,10,10)),ROW(Income!A$3:A$502)-2),3)),"")&lt;&gt;"",IFERROR(INDEX(Income!B$3:B$502,SMALL(IF((Income!D$3:D$502="INR")*(Income!A$3:A$502=DATE(2026,10,10)),ROW(Income!A$3:A$502)-2),3)),""),""))</f>
        <v/>
      </c>
      <c r="O206" s="63" t="str">
        <f aca="false">IF(IFERROR(-INDEX(Expenses!D$3:D$1002,SMALL(IF((Expenses!E$3:E$1002="INR")*(Expenses!A$3:A$1002=DATE(2026,10,11)),ROW(Expenses!A$3:A$1002)-2),3)),0)+IFERROR(INDEX(Income!C$3:C$502,SMALL(IF((Income!D$3:D$502="INR")*(Income!A$3:A$502=DATE(2026,10,11)),ROW(Income!A$3:A$502)-2),3)),0)=0,"",IFERROR(-INDEX(Expenses!D$3:D$1002,SMALL(IF((Expenses!E$3:E$1002="INR")*(Expenses!A$3:A$1002=DATE(2026,10,11)),ROW(Expenses!A$3:A$1002)-2),3)),0)+IFERROR(INDEX(Income!C$3:C$502,SMALL(IF((Income!D$3:D$502="INR")*(Income!A$3:A$502=DATE(2026,10,11)),ROW(Income!A$3:A$502)-2),3)),0))</f>
        <v/>
      </c>
      <c r="P206" s="38" t="str">
        <f aca="false">IF(IFERROR(INDEX(Expenses!B$3:B$1002,SMALL(IF((Expenses!E$3:E$1002="INR")*(Expenses!A$3:A$1002=DATE(2026,10,11)),ROW(Expenses!A$3:A$1002)-2),3)),"")&lt;&gt;"",IFERROR(INDEX(Expenses!B$3:B$1002,SMALL(IF((Expenses!E$3:E$1002="INR")*(Expenses!A$3:A$1002=DATE(2026,10,11)),ROW(Expenses!A$3:A$1002)-2),3)),""),IF(IFERROR(INDEX(Income!B$3:B$502,SMALL(IF((Income!D$3:D$502="INR")*(Income!A$3:A$502=DATE(2026,10,11)),ROW(Income!A$3:A$502)-2),3)),"")&lt;&gt;"",IFERROR(INDEX(Income!B$3:B$502,SMALL(IF((Income!D$3:D$502="INR")*(Income!A$3:A$502=DATE(2026,10,11)),ROW(Income!A$3:A$502)-2),3)),""),""))</f>
        <v/>
      </c>
      <c r="Q206" s="16"/>
      <c r="R206" s="16"/>
    </row>
    <row r="207" customFormat="false" ht="15" hidden="false" customHeight="false" outlineLevel="0" collapsed="false">
      <c r="A207" s="16"/>
      <c r="B207" s="16"/>
      <c r="C207" s="63" t="str">
        <f aca="false">IF(IFERROR(-INDEX(Expenses!D$3:D$1002,SMALL(IF((Expenses!E$3:E$1002="INR")*(Expenses!A$3:A$1002=DATE(2026,10,5)),ROW(Expenses!A$3:A$1002)-2),4)),0)+IFERROR(INDEX(Income!C$3:C$502,SMALL(IF((Income!D$3:D$502="INR")*(Income!A$3:A$502=DATE(2026,10,5)),ROW(Income!A$3:A$502)-2),4)),0)=0,"",IFERROR(-INDEX(Expenses!D$3:D$1002,SMALL(IF((Expenses!E$3:E$1002="INR")*(Expenses!A$3:A$1002=DATE(2026,10,5)),ROW(Expenses!A$3:A$1002)-2),4)),0)+IFERROR(INDEX(Income!C$3:C$502,SMALL(IF((Income!D$3:D$502="INR")*(Income!A$3:A$502=DATE(2026,10,5)),ROW(Income!A$3:A$502)-2),4)),0))</f>
        <v/>
      </c>
      <c r="D207" s="38" t="str">
        <f aca="false">IF(IFERROR(INDEX(Expenses!B$3:B$1002,SMALL(IF((Expenses!E$3:E$1002="INR")*(Expenses!A$3:A$1002=DATE(2026,10,5)),ROW(Expenses!A$3:A$1002)-2),4)),"")&lt;&gt;"",IFERROR(INDEX(Expenses!B$3:B$1002,SMALL(IF((Expenses!E$3:E$1002="INR")*(Expenses!A$3:A$1002=DATE(2026,10,5)),ROW(Expenses!A$3:A$1002)-2),4)),""),IF(IFERROR(INDEX(Income!B$3:B$502,SMALL(IF((Income!D$3:D$502="INR")*(Income!A$3:A$502=DATE(2026,10,5)),ROW(Income!A$3:A$502)-2),4)),"")&lt;&gt;"",IFERROR(INDEX(Income!B$3:B$502,SMALL(IF((Income!D$3:D$502="INR")*(Income!A$3:A$502=DATE(2026,10,5)),ROW(Income!A$3:A$502)-2),4)),""),""))</f>
        <v/>
      </c>
      <c r="E207" s="63" t="str">
        <f aca="false">IF(IFERROR(-INDEX(Expenses!D$3:D$1002,SMALL(IF((Expenses!E$3:E$1002="INR")*(Expenses!A$3:A$1002=DATE(2026,10,6)),ROW(Expenses!A$3:A$1002)-2),4)),0)+IFERROR(INDEX(Income!C$3:C$502,SMALL(IF((Income!D$3:D$502="INR")*(Income!A$3:A$502=DATE(2026,10,6)),ROW(Income!A$3:A$502)-2),4)),0)=0,"",IFERROR(-INDEX(Expenses!D$3:D$1002,SMALL(IF((Expenses!E$3:E$1002="INR")*(Expenses!A$3:A$1002=DATE(2026,10,6)),ROW(Expenses!A$3:A$1002)-2),4)),0)+IFERROR(INDEX(Income!C$3:C$502,SMALL(IF((Income!D$3:D$502="INR")*(Income!A$3:A$502=DATE(2026,10,6)),ROW(Income!A$3:A$502)-2),4)),0))</f>
        <v/>
      </c>
      <c r="F207" s="38" t="str">
        <f aca="false">IF(IFERROR(INDEX(Expenses!B$3:B$1002,SMALL(IF((Expenses!E$3:E$1002="INR")*(Expenses!A$3:A$1002=DATE(2026,10,6)),ROW(Expenses!A$3:A$1002)-2),4)),"")&lt;&gt;"",IFERROR(INDEX(Expenses!B$3:B$1002,SMALL(IF((Expenses!E$3:E$1002="INR")*(Expenses!A$3:A$1002=DATE(2026,10,6)),ROW(Expenses!A$3:A$1002)-2),4)),""),IF(IFERROR(INDEX(Income!B$3:B$502,SMALL(IF((Income!D$3:D$502="INR")*(Income!A$3:A$502=DATE(2026,10,6)),ROW(Income!A$3:A$502)-2),4)),"")&lt;&gt;"",IFERROR(INDEX(Income!B$3:B$502,SMALL(IF((Income!D$3:D$502="INR")*(Income!A$3:A$502=DATE(2026,10,6)),ROW(Income!A$3:A$502)-2),4)),""),""))</f>
        <v/>
      </c>
      <c r="G207" s="63" t="str">
        <f aca="false">IF(IFERROR(-INDEX(Expenses!D$3:D$1002,SMALL(IF((Expenses!E$3:E$1002="INR")*(Expenses!A$3:A$1002=DATE(2026,10,7)),ROW(Expenses!A$3:A$1002)-2),4)),0)+IFERROR(INDEX(Income!C$3:C$502,SMALL(IF((Income!D$3:D$502="INR")*(Income!A$3:A$502=DATE(2026,10,7)),ROW(Income!A$3:A$502)-2),4)),0)=0,"",IFERROR(-INDEX(Expenses!D$3:D$1002,SMALL(IF((Expenses!E$3:E$1002="INR")*(Expenses!A$3:A$1002=DATE(2026,10,7)),ROW(Expenses!A$3:A$1002)-2),4)),0)+IFERROR(INDEX(Income!C$3:C$502,SMALL(IF((Income!D$3:D$502="INR")*(Income!A$3:A$502=DATE(2026,10,7)),ROW(Income!A$3:A$502)-2),4)),0))</f>
        <v/>
      </c>
      <c r="H207" s="38" t="str">
        <f aca="false">IF(IFERROR(INDEX(Expenses!B$3:B$1002,SMALL(IF((Expenses!E$3:E$1002="INR")*(Expenses!A$3:A$1002=DATE(2026,10,7)),ROW(Expenses!A$3:A$1002)-2),4)),"")&lt;&gt;"",IFERROR(INDEX(Expenses!B$3:B$1002,SMALL(IF((Expenses!E$3:E$1002="INR")*(Expenses!A$3:A$1002=DATE(2026,10,7)),ROW(Expenses!A$3:A$1002)-2),4)),""),IF(IFERROR(INDEX(Income!B$3:B$502,SMALL(IF((Income!D$3:D$502="INR")*(Income!A$3:A$502=DATE(2026,10,7)),ROW(Income!A$3:A$502)-2),4)),"")&lt;&gt;"",IFERROR(INDEX(Income!B$3:B$502,SMALL(IF((Income!D$3:D$502="INR")*(Income!A$3:A$502=DATE(2026,10,7)),ROW(Income!A$3:A$502)-2),4)),""),""))</f>
        <v/>
      </c>
      <c r="I207" s="63" t="str">
        <f aca="false">IF(IFERROR(-INDEX(Expenses!D$3:D$1002,SMALL(IF((Expenses!E$3:E$1002="INR")*(Expenses!A$3:A$1002=DATE(2026,10,8)),ROW(Expenses!A$3:A$1002)-2),4)),0)+IFERROR(INDEX(Income!C$3:C$502,SMALL(IF((Income!D$3:D$502="INR")*(Income!A$3:A$502=DATE(2026,10,8)),ROW(Income!A$3:A$502)-2),4)),0)=0,"",IFERROR(-INDEX(Expenses!D$3:D$1002,SMALL(IF((Expenses!E$3:E$1002="INR")*(Expenses!A$3:A$1002=DATE(2026,10,8)),ROW(Expenses!A$3:A$1002)-2),4)),0)+IFERROR(INDEX(Income!C$3:C$502,SMALL(IF((Income!D$3:D$502="INR")*(Income!A$3:A$502=DATE(2026,10,8)),ROW(Income!A$3:A$502)-2),4)),0))</f>
        <v/>
      </c>
      <c r="J207" s="38" t="str">
        <f aca="false">IF(IFERROR(INDEX(Expenses!B$3:B$1002,SMALL(IF((Expenses!E$3:E$1002="INR")*(Expenses!A$3:A$1002=DATE(2026,10,8)),ROW(Expenses!A$3:A$1002)-2),4)),"")&lt;&gt;"",IFERROR(INDEX(Expenses!B$3:B$1002,SMALL(IF((Expenses!E$3:E$1002="INR")*(Expenses!A$3:A$1002=DATE(2026,10,8)),ROW(Expenses!A$3:A$1002)-2),4)),""),IF(IFERROR(INDEX(Income!B$3:B$502,SMALL(IF((Income!D$3:D$502="INR")*(Income!A$3:A$502=DATE(2026,10,8)),ROW(Income!A$3:A$502)-2),4)),"")&lt;&gt;"",IFERROR(INDEX(Income!B$3:B$502,SMALL(IF((Income!D$3:D$502="INR")*(Income!A$3:A$502=DATE(2026,10,8)),ROW(Income!A$3:A$502)-2),4)),""),""))</f>
        <v/>
      </c>
      <c r="K207" s="63" t="str">
        <f aca="false">IF(IFERROR(-INDEX(Expenses!D$3:D$1002,SMALL(IF((Expenses!E$3:E$1002="INR")*(Expenses!A$3:A$1002=DATE(2026,10,9)),ROW(Expenses!A$3:A$1002)-2),4)),0)+IFERROR(INDEX(Income!C$3:C$502,SMALL(IF((Income!D$3:D$502="INR")*(Income!A$3:A$502=DATE(2026,10,9)),ROW(Income!A$3:A$502)-2),4)),0)=0,"",IFERROR(-INDEX(Expenses!D$3:D$1002,SMALL(IF((Expenses!E$3:E$1002="INR")*(Expenses!A$3:A$1002=DATE(2026,10,9)),ROW(Expenses!A$3:A$1002)-2),4)),0)+IFERROR(INDEX(Income!C$3:C$502,SMALL(IF((Income!D$3:D$502="INR")*(Income!A$3:A$502=DATE(2026,10,9)),ROW(Income!A$3:A$502)-2),4)),0))</f>
        <v/>
      </c>
      <c r="L207" s="38" t="str">
        <f aca="false">IF(IFERROR(INDEX(Expenses!B$3:B$1002,SMALL(IF((Expenses!E$3:E$1002="INR")*(Expenses!A$3:A$1002=DATE(2026,10,9)),ROW(Expenses!A$3:A$1002)-2),4)),"")&lt;&gt;"",IFERROR(INDEX(Expenses!B$3:B$1002,SMALL(IF((Expenses!E$3:E$1002="INR")*(Expenses!A$3:A$1002=DATE(2026,10,9)),ROW(Expenses!A$3:A$1002)-2),4)),""),IF(IFERROR(INDEX(Income!B$3:B$502,SMALL(IF((Income!D$3:D$502="INR")*(Income!A$3:A$502=DATE(2026,10,9)),ROW(Income!A$3:A$502)-2),4)),"")&lt;&gt;"",IFERROR(INDEX(Income!B$3:B$502,SMALL(IF((Income!D$3:D$502="INR")*(Income!A$3:A$502=DATE(2026,10,9)),ROW(Income!A$3:A$502)-2),4)),""),""))</f>
        <v/>
      </c>
      <c r="M207" s="63" t="str">
        <f aca="false">IF(IFERROR(-INDEX(Expenses!D$3:D$1002,SMALL(IF((Expenses!E$3:E$1002="INR")*(Expenses!A$3:A$1002=DATE(2026,10,10)),ROW(Expenses!A$3:A$1002)-2),4)),0)+IFERROR(INDEX(Income!C$3:C$502,SMALL(IF((Income!D$3:D$502="INR")*(Income!A$3:A$502=DATE(2026,10,10)),ROW(Income!A$3:A$502)-2),4)),0)=0,"",IFERROR(-INDEX(Expenses!D$3:D$1002,SMALL(IF((Expenses!E$3:E$1002="INR")*(Expenses!A$3:A$1002=DATE(2026,10,10)),ROW(Expenses!A$3:A$1002)-2),4)),0)+IFERROR(INDEX(Income!C$3:C$502,SMALL(IF((Income!D$3:D$502="INR")*(Income!A$3:A$502=DATE(2026,10,10)),ROW(Income!A$3:A$502)-2),4)),0))</f>
        <v/>
      </c>
      <c r="N207" s="38" t="str">
        <f aca="false">IF(IFERROR(INDEX(Expenses!B$3:B$1002,SMALL(IF((Expenses!E$3:E$1002="INR")*(Expenses!A$3:A$1002=DATE(2026,10,10)),ROW(Expenses!A$3:A$1002)-2),4)),"")&lt;&gt;"",IFERROR(INDEX(Expenses!B$3:B$1002,SMALL(IF((Expenses!E$3:E$1002="INR")*(Expenses!A$3:A$1002=DATE(2026,10,10)),ROW(Expenses!A$3:A$1002)-2),4)),""),IF(IFERROR(INDEX(Income!B$3:B$502,SMALL(IF((Income!D$3:D$502="INR")*(Income!A$3:A$502=DATE(2026,10,10)),ROW(Income!A$3:A$502)-2),4)),"")&lt;&gt;"",IFERROR(INDEX(Income!B$3:B$502,SMALL(IF((Income!D$3:D$502="INR")*(Income!A$3:A$502=DATE(2026,10,10)),ROW(Income!A$3:A$502)-2),4)),""),""))</f>
        <v/>
      </c>
      <c r="O207" s="63" t="str">
        <f aca="false">IF(IFERROR(-INDEX(Expenses!D$3:D$1002,SMALL(IF((Expenses!E$3:E$1002="INR")*(Expenses!A$3:A$1002=DATE(2026,10,11)),ROW(Expenses!A$3:A$1002)-2),4)),0)+IFERROR(INDEX(Income!C$3:C$502,SMALL(IF((Income!D$3:D$502="INR")*(Income!A$3:A$502=DATE(2026,10,11)),ROW(Income!A$3:A$502)-2),4)),0)=0,"",IFERROR(-INDEX(Expenses!D$3:D$1002,SMALL(IF((Expenses!E$3:E$1002="INR")*(Expenses!A$3:A$1002=DATE(2026,10,11)),ROW(Expenses!A$3:A$1002)-2),4)),0)+IFERROR(INDEX(Income!C$3:C$502,SMALL(IF((Income!D$3:D$502="INR")*(Income!A$3:A$502=DATE(2026,10,11)),ROW(Income!A$3:A$502)-2),4)),0))</f>
        <v/>
      </c>
      <c r="P207" s="38" t="str">
        <f aca="false">IF(IFERROR(INDEX(Expenses!B$3:B$1002,SMALL(IF((Expenses!E$3:E$1002="INR")*(Expenses!A$3:A$1002=DATE(2026,10,11)),ROW(Expenses!A$3:A$1002)-2),4)),"")&lt;&gt;"",IFERROR(INDEX(Expenses!B$3:B$1002,SMALL(IF((Expenses!E$3:E$1002="INR")*(Expenses!A$3:A$1002=DATE(2026,10,11)),ROW(Expenses!A$3:A$1002)-2),4)),""),IF(IFERROR(INDEX(Income!B$3:B$502,SMALL(IF((Income!D$3:D$502="INR")*(Income!A$3:A$502=DATE(2026,10,11)),ROW(Income!A$3:A$502)-2),4)),"")&lt;&gt;"",IFERROR(INDEX(Income!B$3:B$502,SMALL(IF((Income!D$3:D$502="INR")*(Income!A$3:A$502=DATE(2026,10,11)),ROW(Income!A$3:A$502)-2),4)),""),""))</f>
        <v/>
      </c>
      <c r="Q207" s="16"/>
      <c r="R207" s="16"/>
    </row>
    <row r="208" customFormat="false" ht="15" hidden="false" customHeight="false" outlineLevel="0" collapsed="false">
      <c r="A208" s="16"/>
      <c r="B208" s="16"/>
      <c r="C208" s="63" t="str">
        <f aca="false">IF(IFERROR(-INDEX(Expenses!D$3:D$1002,SMALL(IF((Expenses!E$3:E$1002="INR")*(Expenses!A$3:A$1002=DATE(2026,10,5)),ROW(Expenses!A$3:A$1002)-2),5)),0)+IFERROR(INDEX(Income!C$3:C$502,SMALL(IF((Income!D$3:D$502="INR")*(Income!A$3:A$502=DATE(2026,10,5)),ROW(Income!A$3:A$502)-2),5)),0)=0,"",IFERROR(-INDEX(Expenses!D$3:D$1002,SMALL(IF((Expenses!E$3:E$1002="INR")*(Expenses!A$3:A$1002=DATE(2026,10,5)),ROW(Expenses!A$3:A$1002)-2),5)),0)+IFERROR(INDEX(Income!C$3:C$502,SMALL(IF((Income!D$3:D$502="INR")*(Income!A$3:A$502=DATE(2026,10,5)),ROW(Income!A$3:A$502)-2),5)),0))</f>
        <v/>
      </c>
      <c r="D208" s="38" t="str">
        <f aca="false">IF(IFERROR(INDEX(Expenses!B$3:B$1002,SMALL(IF((Expenses!E$3:E$1002="INR")*(Expenses!A$3:A$1002=DATE(2026,10,5)),ROW(Expenses!A$3:A$1002)-2),5)),"")&lt;&gt;"",IFERROR(INDEX(Expenses!B$3:B$1002,SMALL(IF((Expenses!E$3:E$1002="INR")*(Expenses!A$3:A$1002=DATE(2026,10,5)),ROW(Expenses!A$3:A$1002)-2),5)),""),IF(IFERROR(INDEX(Income!B$3:B$502,SMALL(IF((Income!D$3:D$502="INR")*(Income!A$3:A$502=DATE(2026,10,5)),ROW(Income!A$3:A$502)-2),5)),"")&lt;&gt;"",IFERROR(INDEX(Income!B$3:B$502,SMALL(IF((Income!D$3:D$502="INR")*(Income!A$3:A$502=DATE(2026,10,5)),ROW(Income!A$3:A$502)-2),5)),""),""))</f>
        <v/>
      </c>
      <c r="E208" s="63" t="str">
        <f aca="false">IF(IFERROR(-INDEX(Expenses!D$3:D$1002,SMALL(IF((Expenses!E$3:E$1002="INR")*(Expenses!A$3:A$1002=DATE(2026,10,6)),ROW(Expenses!A$3:A$1002)-2),5)),0)+IFERROR(INDEX(Income!C$3:C$502,SMALL(IF((Income!D$3:D$502="INR")*(Income!A$3:A$502=DATE(2026,10,6)),ROW(Income!A$3:A$502)-2),5)),0)=0,"",IFERROR(-INDEX(Expenses!D$3:D$1002,SMALL(IF((Expenses!E$3:E$1002="INR")*(Expenses!A$3:A$1002=DATE(2026,10,6)),ROW(Expenses!A$3:A$1002)-2),5)),0)+IFERROR(INDEX(Income!C$3:C$502,SMALL(IF((Income!D$3:D$502="INR")*(Income!A$3:A$502=DATE(2026,10,6)),ROW(Income!A$3:A$502)-2),5)),0))</f>
        <v/>
      </c>
      <c r="F208" s="38" t="str">
        <f aca="false">IF(IFERROR(INDEX(Expenses!B$3:B$1002,SMALL(IF((Expenses!E$3:E$1002="INR")*(Expenses!A$3:A$1002=DATE(2026,10,6)),ROW(Expenses!A$3:A$1002)-2),5)),"")&lt;&gt;"",IFERROR(INDEX(Expenses!B$3:B$1002,SMALL(IF((Expenses!E$3:E$1002="INR")*(Expenses!A$3:A$1002=DATE(2026,10,6)),ROW(Expenses!A$3:A$1002)-2),5)),""),IF(IFERROR(INDEX(Income!B$3:B$502,SMALL(IF((Income!D$3:D$502="INR")*(Income!A$3:A$502=DATE(2026,10,6)),ROW(Income!A$3:A$502)-2),5)),"")&lt;&gt;"",IFERROR(INDEX(Income!B$3:B$502,SMALL(IF((Income!D$3:D$502="INR")*(Income!A$3:A$502=DATE(2026,10,6)),ROW(Income!A$3:A$502)-2),5)),""),""))</f>
        <v/>
      </c>
      <c r="G208" s="63" t="str">
        <f aca="false">IF(IFERROR(-INDEX(Expenses!D$3:D$1002,SMALL(IF((Expenses!E$3:E$1002="INR")*(Expenses!A$3:A$1002=DATE(2026,10,7)),ROW(Expenses!A$3:A$1002)-2),5)),0)+IFERROR(INDEX(Income!C$3:C$502,SMALL(IF((Income!D$3:D$502="INR")*(Income!A$3:A$502=DATE(2026,10,7)),ROW(Income!A$3:A$502)-2),5)),0)=0,"",IFERROR(-INDEX(Expenses!D$3:D$1002,SMALL(IF((Expenses!E$3:E$1002="INR")*(Expenses!A$3:A$1002=DATE(2026,10,7)),ROW(Expenses!A$3:A$1002)-2),5)),0)+IFERROR(INDEX(Income!C$3:C$502,SMALL(IF((Income!D$3:D$502="INR")*(Income!A$3:A$502=DATE(2026,10,7)),ROW(Income!A$3:A$502)-2),5)),0))</f>
        <v/>
      </c>
      <c r="H208" s="38" t="str">
        <f aca="false">IF(IFERROR(INDEX(Expenses!B$3:B$1002,SMALL(IF((Expenses!E$3:E$1002="INR")*(Expenses!A$3:A$1002=DATE(2026,10,7)),ROW(Expenses!A$3:A$1002)-2),5)),"")&lt;&gt;"",IFERROR(INDEX(Expenses!B$3:B$1002,SMALL(IF((Expenses!E$3:E$1002="INR")*(Expenses!A$3:A$1002=DATE(2026,10,7)),ROW(Expenses!A$3:A$1002)-2),5)),""),IF(IFERROR(INDEX(Income!B$3:B$502,SMALL(IF((Income!D$3:D$502="INR")*(Income!A$3:A$502=DATE(2026,10,7)),ROW(Income!A$3:A$502)-2),5)),"")&lt;&gt;"",IFERROR(INDEX(Income!B$3:B$502,SMALL(IF((Income!D$3:D$502="INR")*(Income!A$3:A$502=DATE(2026,10,7)),ROW(Income!A$3:A$502)-2),5)),""),""))</f>
        <v/>
      </c>
      <c r="I208" s="63" t="str">
        <f aca="false">IF(IFERROR(-INDEX(Expenses!D$3:D$1002,SMALL(IF((Expenses!E$3:E$1002="INR")*(Expenses!A$3:A$1002=DATE(2026,10,8)),ROW(Expenses!A$3:A$1002)-2),5)),0)+IFERROR(INDEX(Income!C$3:C$502,SMALL(IF((Income!D$3:D$502="INR")*(Income!A$3:A$502=DATE(2026,10,8)),ROW(Income!A$3:A$502)-2),5)),0)=0,"",IFERROR(-INDEX(Expenses!D$3:D$1002,SMALL(IF((Expenses!E$3:E$1002="INR")*(Expenses!A$3:A$1002=DATE(2026,10,8)),ROW(Expenses!A$3:A$1002)-2),5)),0)+IFERROR(INDEX(Income!C$3:C$502,SMALL(IF((Income!D$3:D$502="INR")*(Income!A$3:A$502=DATE(2026,10,8)),ROW(Income!A$3:A$502)-2),5)),0))</f>
        <v/>
      </c>
      <c r="J208" s="38" t="str">
        <f aca="false">IF(IFERROR(INDEX(Expenses!B$3:B$1002,SMALL(IF((Expenses!E$3:E$1002="INR")*(Expenses!A$3:A$1002=DATE(2026,10,8)),ROW(Expenses!A$3:A$1002)-2),5)),"")&lt;&gt;"",IFERROR(INDEX(Expenses!B$3:B$1002,SMALL(IF((Expenses!E$3:E$1002="INR")*(Expenses!A$3:A$1002=DATE(2026,10,8)),ROW(Expenses!A$3:A$1002)-2),5)),""),IF(IFERROR(INDEX(Income!B$3:B$502,SMALL(IF((Income!D$3:D$502="INR")*(Income!A$3:A$502=DATE(2026,10,8)),ROW(Income!A$3:A$502)-2),5)),"")&lt;&gt;"",IFERROR(INDEX(Income!B$3:B$502,SMALL(IF((Income!D$3:D$502="INR")*(Income!A$3:A$502=DATE(2026,10,8)),ROW(Income!A$3:A$502)-2),5)),""),""))</f>
        <v/>
      </c>
      <c r="K208" s="63" t="str">
        <f aca="false">IF(IFERROR(-INDEX(Expenses!D$3:D$1002,SMALL(IF((Expenses!E$3:E$1002="INR")*(Expenses!A$3:A$1002=DATE(2026,10,9)),ROW(Expenses!A$3:A$1002)-2),5)),0)+IFERROR(INDEX(Income!C$3:C$502,SMALL(IF((Income!D$3:D$502="INR")*(Income!A$3:A$502=DATE(2026,10,9)),ROW(Income!A$3:A$502)-2),5)),0)=0,"",IFERROR(-INDEX(Expenses!D$3:D$1002,SMALL(IF((Expenses!E$3:E$1002="INR")*(Expenses!A$3:A$1002=DATE(2026,10,9)),ROW(Expenses!A$3:A$1002)-2),5)),0)+IFERROR(INDEX(Income!C$3:C$502,SMALL(IF((Income!D$3:D$502="INR")*(Income!A$3:A$502=DATE(2026,10,9)),ROW(Income!A$3:A$502)-2),5)),0))</f>
        <v/>
      </c>
      <c r="L208" s="38" t="str">
        <f aca="false">IF(IFERROR(INDEX(Expenses!B$3:B$1002,SMALL(IF((Expenses!E$3:E$1002="INR")*(Expenses!A$3:A$1002=DATE(2026,10,9)),ROW(Expenses!A$3:A$1002)-2),5)),"")&lt;&gt;"",IFERROR(INDEX(Expenses!B$3:B$1002,SMALL(IF((Expenses!E$3:E$1002="INR")*(Expenses!A$3:A$1002=DATE(2026,10,9)),ROW(Expenses!A$3:A$1002)-2),5)),""),IF(IFERROR(INDEX(Income!B$3:B$502,SMALL(IF((Income!D$3:D$502="INR")*(Income!A$3:A$502=DATE(2026,10,9)),ROW(Income!A$3:A$502)-2),5)),"")&lt;&gt;"",IFERROR(INDEX(Income!B$3:B$502,SMALL(IF((Income!D$3:D$502="INR")*(Income!A$3:A$502=DATE(2026,10,9)),ROW(Income!A$3:A$502)-2),5)),""),""))</f>
        <v/>
      </c>
      <c r="M208" s="63" t="str">
        <f aca="false">IF(IFERROR(-INDEX(Expenses!D$3:D$1002,SMALL(IF((Expenses!E$3:E$1002="INR")*(Expenses!A$3:A$1002=DATE(2026,10,10)),ROW(Expenses!A$3:A$1002)-2),5)),0)+IFERROR(INDEX(Income!C$3:C$502,SMALL(IF((Income!D$3:D$502="INR")*(Income!A$3:A$502=DATE(2026,10,10)),ROW(Income!A$3:A$502)-2),5)),0)=0,"",IFERROR(-INDEX(Expenses!D$3:D$1002,SMALL(IF((Expenses!E$3:E$1002="INR")*(Expenses!A$3:A$1002=DATE(2026,10,10)),ROW(Expenses!A$3:A$1002)-2),5)),0)+IFERROR(INDEX(Income!C$3:C$502,SMALL(IF((Income!D$3:D$502="INR")*(Income!A$3:A$502=DATE(2026,10,10)),ROW(Income!A$3:A$502)-2),5)),0))</f>
        <v/>
      </c>
      <c r="N208" s="38" t="str">
        <f aca="false">IF(IFERROR(INDEX(Expenses!B$3:B$1002,SMALL(IF((Expenses!E$3:E$1002="INR")*(Expenses!A$3:A$1002=DATE(2026,10,10)),ROW(Expenses!A$3:A$1002)-2),5)),"")&lt;&gt;"",IFERROR(INDEX(Expenses!B$3:B$1002,SMALL(IF((Expenses!E$3:E$1002="INR")*(Expenses!A$3:A$1002=DATE(2026,10,10)),ROW(Expenses!A$3:A$1002)-2),5)),""),IF(IFERROR(INDEX(Income!B$3:B$502,SMALL(IF((Income!D$3:D$502="INR")*(Income!A$3:A$502=DATE(2026,10,10)),ROW(Income!A$3:A$502)-2),5)),"")&lt;&gt;"",IFERROR(INDEX(Income!B$3:B$502,SMALL(IF((Income!D$3:D$502="INR")*(Income!A$3:A$502=DATE(2026,10,10)),ROW(Income!A$3:A$502)-2),5)),""),""))</f>
        <v/>
      </c>
      <c r="O208" s="63" t="str">
        <f aca="false">IF(IFERROR(-INDEX(Expenses!D$3:D$1002,SMALL(IF((Expenses!E$3:E$1002="INR")*(Expenses!A$3:A$1002=DATE(2026,10,11)),ROW(Expenses!A$3:A$1002)-2),5)),0)+IFERROR(INDEX(Income!C$3:C$502,SMALL(IF((Income!D$3:D$502="INR")*(Income!A$3:A$502=DATE(2026,10,11)),ROW(Income!A$3:A$502)-2),5)),0)=0,"",IFERROR(-INDEX(Expenses!D$3:D$1002,SMALL(IF((Expenses!E$3:E$1002="INR")*(Expenses!A$3:A$1002=DATE(2026,10,11)),ROW(Expenses!A$3:A$1002)-2),5)),0)+IFERROR(INDEX(Income!C$3:C$502,SMALL(IF((Income!D$3:D$502="INR")*(Income!A$3:A$502=DATE(2026,10,11)),ROW(Income!A$3:A$502)-2),5)),0))</f>
        <v/>
      </c>
      <c r="P208" s="38" t="str">
        <f aca="false">IF(IFERROR(INDEX(Expenses!B$3:B$1002,SMALL(IF((Expenses!E$3:E$1002="INR")*(Expenses!A$3:A$1002=DATE(2026,10,11)),ROW(Expenses!A$3:A$1002)-2),5)),"")&lt;&gt;"",IFERROR(INDEX(Expenses!B$3:B$1002,SMALL(IF((Expenses!E$3:E$1002="INR")*(Expenses!A$3:A$1002=DATE(2026,10,11)),ROW(Expenses!A$3:A$1002)-2),5)),""),IF(IFERROR(INDEX(Income!B$3:B$502,SMALL(IF((Income!D$3:D$502="INR")*(Income!A$3:A$502=DATE(2026,10,11)),ROW(Income!A$3:A$502)-2),5)),"")&lt;&gt;"",IFERROR(INDEX(Income!B$3:B$502,SMALL(IF((Income!D$3:D$502="INR")*(Income!A$3:A$502=DATE(2026,10,11)),ROW(Income!A$3:A$502)-2),5)),""),""))</f>
        <v/>
      </c>
      <c r="Q208" s="16"/>
      <c r="R208" s="16"/>
    </row>
    <row r="209" customFormat="false" ht="15" hidden="false" customHeight="false" outlineLevel="0" collapsed="false">
      <c r="A209" s="61" t="n">
        <v>46307</v>
      </c>
      <c r="B209" s="3" t="n">
        <v>42</v>
      </c>
      <c r="C209" s="63" t="str">
        <f aca="false">IF(IFERROR(-INDEX(Expenses!D$3:D$1002,SMALL(IF((Expenses!E$3:E$1002="INR")*(Expenses!A$3:A$1002=DATE(2026,10,12)),ROW(Expenses!A$3:A$1002)-2),1)),0)+IFERROR(INDEX(Income!C$3:C$502,SMALL(IF((Income!D$3:D$502="INR")*(Income!A$3:A$502=DATE(2026,10,12)),ROW(Income!A$3:A$502)-2),1)),0)=0,"",IFERROR(-INDEX(Expenses!D$3:D$1002,SMALL(IF((Expenses!E$3:E$1002="INR")*(Expenses!A$3:A$1002=DATE(2026,10,12)),ROW(Expenses!A$3:A$1002)-2),1)),0)+IFERROR(INDEX(Income!C$3:C$502,SMALL(IF((Income!D$3:D$502="INR")*(Income!A$3:A$502=DATE(2026,10,12)),ROW(Income!A$3:A$502)-2),1)),0))</f>
        <v/>
      </c>
      <c r="D209" s="38" t="str">
        <f aca="false">IF(IFERROR(INDEX(Expenses!B$3:B$1002,SMALL(IF((Expenses!E$3:E$1002="INR")*(Expenses!A$3:A$1002=DATE(2026,10,12)),ROW(Expenses!A$3:A$1002)-2),1)),"")&lt;&gt;"",IFERROR(INDEX(Expenses!B$3:B$1002,SMALL(IF((Expenses!E$3:E$1002="INR")*(Expenses!A$3:A$1002=DATE(2026,10,12)),ROW(Expenses!A$3:A$1002)-2),1)),""),IF(IFERROR(INDEX(Income!B$3:B$502,SMALL(IF((Income!D$3:D$502="INR")*(Income!A$3:A$502=DATE(2026,10,12)),ROW(Income!A$3:A$502)-2),1)),"")&lt;&gt;"",IFERROR(INDEX(Income!B$3:B$502,SMALL(IF((Income!D$3:D$502="INR")*(Income!A$3:A$502=DATE(2026,10,12)),ROW(Income!A$3:A$502)-2),1)),""),""))</f>
        <v/>
      </c>
      <c r="E209" s="63" t="str">
        <f aca="false">IF(IFERROR(-INDEX(Expenses!D$3:D$1002,SMALL(IF((Expenses!E$3:E$1002="INR")*(Expenses!A$3:A$1002=DATE(2026,10,13)),ROW(Expenses!A$3:A$1002)-2),1)),0)+IFERROR(INDEX(Income!C$3:C$502,SMALL(IF((Income!D$3:D$502="INR")*(Income!A$3:A$502=DATE(2026,10,13)),ROW(Income!A$3:A$502)-2),1)),0)=0,"",IFERROR(-INDEX(Expenses!D$3:D$1002,SMALL(IF((Expenses!E$3:E$1002="INR")*(Expenses!A$3:A$1002=DATE(2026,10,13)),ROW(Expenses!A$3:A$1002)-2),1)),0)+IFERROR(INDEX(Income!C$3:C$502,SMALL(IF((Income!D$3:D$502="INR")*(Income!A$3:A$502=DATE(2026,10,13)),ROW(Income!A$3:A$502)-2),1)),0))</f>
        <v/>
      </c>
      <c r="F209" s="38" t="str">
        <f aca="false">IF(IFERROR(INDEX(Expenses!B$3:B$1002,SMALL(IF((Expenses!E$3:E$1002="INR")*(Expenses!A$3:A$1002=DATE(2026,10,13)),ROW(Expenses!A$3:A$1002)-2),1)),"")&lt;&gt;"",IFERROR(INDEX(Expenses!B$3:B$1002,SMALL(IF((Expenses!E$3:E$1002="INR")*(Expenses!A$3:A$1002=DATE(2026,10,13)),ROW(Expenses!A$3:A$1002)-2),1)),""),IF(IFERROR(INDEX(Income!B$3:B$502,SMALL(IF((Income!D$3:D$502="INR")*(Income!A$3:A$502=DATE(2026,10,13)),ROW(Income!A$3:A$502)-2),1)),"")&lt;&gt;"",IFERROR(INDEX(Income!B$3:B$502,SMALL(IF((Income!D$3:D$502="INR")*(Income!A$3:A$502=DATE(2026,10,13)),ROW(Income!A$3:A$502)-2),1)),""),""))</f>
        <v/>
      </c>
      <c r="G209" s="63" t="str">
        <f aca="false">IF(IFERROR(-INDEX(Expenses!D$3:D$1002,SMALL(IF((Expenses!E$3:E$1002="INR")*(Expenses!A$3:A$1002=DATE(2026,10,14)),ROW(Expenses!A$3:A$1002)-2),1)),0)+IFERROR(INDEX(Income!C$3:C$502,SMALL(IF((Income!D$3:D$502="INR")*(Income!A$3:A$502=DATE(2026,10,14)),ROW(Income!A$3:A$502)-2),1)),0)=0,"",IFERROR(-INDEX(Expenses!D$3:D$1002,SMALL(IF((Expenses!E$3:E$1002="INR")*(Expenses!A$3:A$1002=DATE(2026,10,14)),ROW(Expenses!A$3:A$1002)-2),1)),0)+IFERROR(INDEX(Income!C$3:C$502,SMALL(IF((Income!D$3:D$502="INR")*(Income!A$3:A$502=DATE(2026,10,14)),ROW(Income!A$3:A$502)-2),1)),0))</f>
        <v/>
      </c>
      <c r="H209" s="38" t="str">
        <f aca="false">IF(IFERROR(INDEX(Expenses!B$3:B$1002,SMALL(IF((Expenses!E$3:E$1002="INR")*(Expenses!A$3:A$1002=DATE(2026,10,14)),ROW(Expenses!A$3:A$1002)-2),1)),"")&lt;&gt;"",IFERROR(INDEX(Expenses!B$3:B$1002,SMALL(IF((Expenses!E$3:E$1002="INR")*(Expenses!A$3:A$1002=DATE(2026,10,14)),ROW(Expenses!A$3:A$1002)-2),1)),""),IF(IFERROR(INDEX(Income!B$3:B$502,SMALL(IF((Income!D$3:D$502="INR")*(Income!A$3:A$502=DATE(2026,10,14)),ROW(Income!A$3:A$502)-2),1)),"")&lt;&gt;"",IFERROR(INDEX(Income!B$3:B$502,SMALL(IF((Income!D$3:D$502="INR")*(Income!A$3:A$502=DATE(2026,10,14)),ROW(Income!A$3:A$502)-2),1)),""),""))</f>
        <v/>
      </c>
      <c r="I209" s="63" t="str">
        <f aca="false">IF(IFERROR(-INDEX(Expenses!D$3:D$1002,SMALL(IF((Expenses!E$3:E$1002="INR")*(Expenses!A$3:A$1002=DATE(2026,10,15)),ROW(Expenses!A$3:A$1002)-2),1)),0)+IFERROR(INDEX(Income!C$3:C$502,SMALL(IF((Income!D$3:D$502="INR")*(Income!A$3:A$502=DATE(2026,10,15)),ROW(Income!A$3:A$502)-2),1)),0)=0,"",IFERROR(-INDEX(Expenses!D$3:D$1002,SMALL(IF((Expenses!E$3:E$1002="INR")*(Expenses!A$3:A$1002=DATE(2026,10,15)),ROW(Expenses!A$3:A$1002)-2),1)),0)+IFERROR(INDEX(Income!C$3:C$502,SMALL(IF((Income!D$3:D$502="INR")*(Income!A$3:A$502=DATE(2026,10,15)),ROW(Income!A$3:A$502)-2),1)),0))</f>
        <v/>
      </c>
      <c r="J209" s="38" t="str">
        <f aca="false">IF(IFERROR(INDEX(Expenses!B$3:B$1002,SMALL(IF((Expenses!E$3:E$1002="INR")*(Expenses!A$3:A$1002=DATE(2026,10,15)),ROW(Expenses!A$3:A$1002)-2),1)),"")&lt;&gt;"",IFERROR(INDEX(Expenses!B$3:B$1002,SMALL(IF((Expenses!E$3:E$1002="INR")*(Expenses!A$3:A$1002=DATE(2026,10,15)),ROW(Expenses!A$3:A$1002)-2),1)),""),IF(IFERROR(INDEX(Income!B$3:B$502,SMALL(IF((Income!D$3:D$502="INR")*(Income!A$3:A$502=DATE(2026,10,15)),ROW(Income!A$3:A$502)-2),1)),"")&lt;&gt;"",IFERROR(INDEX(Income!B$3:B$502,SMALL(IF((Income!D$3:D$502="INR")*(Income!A$3:A$502=DATE(2026,10,15)),ROW(Income!A$3:A$502)-2),1)),""),""))</f>
        <v/>
      </c>
      <c r="K209" s="63" t="str">
        <f aca="false">IF(IFERROR(-INDEX(Expenses!D$3:D$1002,SMALL(IF((Expenses!E$3:E$1002="INR")*(Expenses!A$3:A$1002=DATE(2026,10,16)),ROW(Expenses!A$3:A$1002)-2),1)),0)+IFERROR(INDEX(Income!C$3:C$502,SMALL(IF((Income!D$3:D$502="INR")*(Income!A$3:A$502=DATE(2026,10,16)),ROW(Income!A$3:A$502)-2),1)),0)=0,"",IFERROR(-INDEX(Expenses!D$3:D$1002,SMALL(IF((Expenses!E$3:E$1002="INR")*(Expenses!A$3:A$1002=DATE(2026,10,16)),ROW(Expenses!A$3:A$1002)-2),1)),0)+IFERROR(INDEX(Income!C$3:C$502,SMALL(IF((Income!D$3:D$502="INR")*(Income!A$3:A$502=DATE(2026,10,16)),ROW(Income!A$3:A$502)-2),1)),0))</f>
        <v/>
      </c>
      <c r="L209" s="38" t="str">
        <f aca="false">IF(IFERROR(INDEX(Expenses!B$3:B$1002,SMALL(IF((Expenses!E$3:E$1002="INR")*(Expenses!A$3:A$1002=DATE(2026,10,16)),ROW(Expenses!A$3:A$1002)-2),1)),"")&lt;&gt;"",IFERROR(INDEX(Expenses!B$3:B$1002,SMALL(IF((Expenses!E$3:E$1002="INR")*(Expenses!A$3:A$1002=DATE(2026,10,16)),ROW(Expenses!A$3:A$1002)-2),1)),""),IF(IFERROR(INDEX(Income!B$3:B$502,SMALL(IF((Income!D$3:D$502="INR")*(Income!A$3:A$502=DATE(2026,10,16)),ROW(Income!A$3:A$502)-2),1)),"")&lt;&gt;"",IFERROR(INDEX(Income!B$3:B$502,SMALL(IF((Income!D$3:D$502="INR")*(Income!A$3:A$502=DATE(2026,10,16)),ROW(Income!A$3:A$502)-2),1)),""),""))</f>
        <v/>
      </c>
      <c r="M209" s="63" t="str">
        <f aca="false">IF(IFERROR(-INDEX(Expenses!D$3:D$1002,SMALL(IF((Expenses!E$3:E$1002="INR")*(Expenses!A$3:A$1002=DATE(2026,10,17)),ROW(Expenses!A$3:A$1002)-2),1)),0)+IFERROR(INDEX(Income!C$3:C$502,SMALL(IF((Income!D$3:D$502="INR")*(Income!A$3:A$502=DATE(2026,10,17)),ROW(Income!A$3:A$502)-2),1)),0)=0,"",IFERROR(-INDEX(Expenses!D$3:D$1002,SMALL(IF((Expenses!E$3:E$1002="INR")*(Expenses!A$3:A$1002=DATE(2026,10,17)),ROW(Expenses!A$3:A$1002)-2),1)),0)+IFERROR(INDEX(Income!C$3:C$502,SMALL(IF((Income!D$3:D$502="INR")*(Income!A$3:A$502=DATE(2026,10,17)),ROW(Income!A$3:A$502)-2),1)),0))</f>
        <v/>
      </c>
      <c r="N209" s="38" t="str">
        <f aca="false">IF(IFERROR(INDEX(Expenses!B$3:B$1002,SMALL(IF((Expenses!E$3:E$1002="INR")*(Expenses!A$3:A$1002=DATE(2026,10,17)),ROW(Expenses!A$3:A$1002)-2),1)),"")&lt;&gt;"",IFERROR(INDEX(Expenses!B$3:B$1002,SMALL(IF((Expenses!E$3:E$1002="INR")*(Expenses!A$3:A$1002=DATE(2026,10,17)),ROW(Expenses!A$3:A$1002)-2),1)),""),IF(IFERROR(INDEX(Income!B$3:B$502,SMALL(IF((Income!D$3:D$502="INR")*(Income!A$3:A$502=DATE(2026,10,17)),ROW(Income!A$3:A$502)-2),1)),"")&lt;&gt;"",IFERROR(INDEX(Income!B$3:B$502,SMALL(IF((Income!D$3:D$502="INR")*(Income!A$3:A$502=DATE(2026,10,17)),ROW(Income!A$3:A$502)-2),1)),""),""))</f>
        <v/>
      </c>
      <c r="O209" s="63" t="str">
        <f aca="false">IF(IFERROR(-INDEX(Expenses!D$3:D$1002,SMALL(IF((Expenses!E$3:E$1002="INR")*(Expenses!A$3:A$1002=DATE(2026,10,18)),ROW(Expenses!A$3:A$1002)-2),1)),0)+IFERROR(INDEX(Income!C$3:C$502,SMALL(IF((Income!D$3:D$502="INR")*(Income!A$3:A$502=DATE(2026,10,18)),ROW(Income!A$3:A$502)-2),1)),0)=0,"",IFERROR(-INDEX(Expenses!D$3:D$1002,SMALL(IF((Expenses!E$3:E$1002="INR")*(Expenses!A$3:A$1002=DATE(2026,10,18)),ROW(Expenses!A$3:A$1002)-2),1)),0)+IFERROR(INDEX(Income!C$3:C$502,SMALL(IF((Income!D$3:D$502="INR")*(Income!A$3:A$502=DATE(2026,10,18)),ROW(Income!A$3:A$502)-2),1)),0))</f>
        <v/>
      </c>
      <c r="P209" s="38" t="str">
        <f aca="false">IF(IFERROR(INDEX(Expenses!B$3:B$1002,SMALL(IF((Expenses!E$3:E$1002="INR")*(Expenses!A$3:A$1002=DATE(2026,10,18)),ROW(Expenses!A$3:A$1002)-2),1)),"")&lt;&gt;"",IFERROR(INDEX(Expenses!B$3:B$1002,SMALL(IF((Expenses!E$3:E$1002="INR")*(Expenses!A$3:A$1002=DATE(2026,10,18)),ROW(Expenses!A$3:A$1002)-2),1)),""),IF(IFERROR(INDEX(Income!B$3:B$502,SMALL(IF((Income!D$3:D$502="INR")*(Income!A$3:A$502=DATE(2026,10,18)),ROW(Income!A$3:A$502)-2),1)),"")&lt;&gt;"",IFERROR(INDEX(Income!B$3:B$502,SMALL(IF((Income!D$3:D$502="INR")*(Income!A$3:A$502=DATE(2026,10,18)),ROW(Income!A$3:A$502)-2),1)),""),""))</f>
        <v/>
      </c>
      <c r="Q209" s="3" t="n">
        <v>42</v>
      </c>
      <c r="R209" s="53" t="n">
        <f aca="false">SUM(C209:C213)+SUM(E209:E213)+SUM(G209:G213)+SUM(I209:I213)+SUM(K209:K213)+SUM(M209:M213)+SUM(O209:O213)</f>
        <v>0</v>
      </c>
    </row>
    <row r="210" customFormat="false" ht="15" hidden="false" customHeight="false" outlineLevel="0" collapsed="false">
      <c r="A210" s="16"/>
      <c r="B210" s="16"/>
      <c r="C210" s="63" t="str">
        <f aca="false">IF(IFERROR(-INDEX(Expenses!D$3:D$1002,SMALL(IF((Expenses!E$3:E$1002="INR")*(Expenses!A$3:A$1002=DATE(2026,10,12)),ROW(Expenses!A$3:A$1002)-2),2)),0)+IFERROR(INDEX(Income!C$3:C$502,SMALL(IF((Income!D$3:D$502="INR")*(Income!A$3:A$502=DATE(2026,10,12)),ROW(Income!A$3:A$502)-2),2)),0)=0,"",IFERROR(-INDEX(Expenses!D$3:D$1002,SMALL(IF((Expenses!E$3:E$1002="INR")*(Expenses!A$3:A$1002=DATE(2026,10,12)),ROW(Expenses!A$3:A$1002)-2),2)),0)+IFERROR(INDEX(Income!C$3:C$502,SMALL(IF((Income!D$3:D$502="INR")*(Income!A$3:A$502=DATE(2026,10,12)),ROW(Income!A$3:A$502)-2),2)),0))</f>
        <v/>
      </c>
      <c r="D210" s="38" t="str">
        <f aca="false">IF(IFERROR(INDEX(Expenses!B$3:B$1002,SMALL(IF((Expenses!E$3:E$1002="INR")*(Expenses!A$3:A$1002=DATE(2026,10,12)),ROW(Expenses!A$3:A$1002)-2),2)),"")&lt;&gt;"",IFERROR(INDEX(Expenses!B$3:B$1002,SMALL(IF((Expenses!E$3:E$1002="INR")*(Expenses!A$3:A$1002=DATE(2026,10,12)),ROW(Expenses!A$3:A$1002)-2),2)),""),IF(IFERROR(INDEX(Income!B$3:B$502,SMALL(IF((Income!D$3:D$502="INR")*(Income!A$3:A$502=DATE(2026,10,12)),ROW(Income!A$3:A$502)-2),2)),"")&lt;&gt;"",IFERROR(INDEX(Income!B$3:B$502,SMALL(IF((Income!D$3:D$502="INR")*(Income!A$3:A$502=DATE(2026,10,12)),ROW(Income!A$3:A$502)-2),2)),""),""))</f>
        <v/>
      </c>
      <c r="E210" s="63" t="str">
        <f aca="false">IF(IFERROR(-INDEX(Expenses!D$3:D$1002,SMALL(IF((Expenses!E$3:E$1002="INR")*(Expenses!A$3:A$1002=DATE(2026,10,13)),ROW(Expenses!A$3:A$1002)-2),2)),0)+IFERROR(INDEX(Income!C$3:C$502,SMALL(IF((Income!D$3:D$502="INR")*(Income!A$3:A$502=DATE(2026,10,13)),ROW(Income!A$3:A$502)-2),2)),0)=0,"",IFERROR(-INDEX(Expenses!D$3:D$1002,SMALL(IF((Expenses!E$3:E$1002="INR")*(Expenses!A$3:A$1002=DATE(2026,10,13)),ROW(Expenses!A$3:A$1002)-2),2)),0)+IFERROR(INDEX(Income!C$3:C$502,SMALL(IF((Income!D$3:D$502="INR")*(Income!A$3:A$502=DATE(2026,10,13)),ROW(Income!A$3:A$502)-2),2)),0))</f>
        <v/>
      </c>
      <c r="F210" s="38" t="str">
        <f aca="false">IF(IFERROR(INDEX(Expenses!B$3:B$1002,SMALL(IF((Expenses!E$3:E$1002="INR")*(Expenses!A$3:A$1002=DATE(2026,10,13)),ROW(Expenses!A$3:A$1002)-2),2)),"")&lt;&gt;"",IFERROR(INDEX(Expenses!B$3:B$1002,SMALL(IF((Expenses!E$3:E$1002="INR")*(Expenses!A$3:A$1002=DATE(2026,10,13)),ROW(Expenses!A$3:A$1002)-2),2)),""),IF(IFERROR(INDEX(Income!B$3:B$502,SMALL(IF((Income!D$3:D$502="INR")*(Income!A$3:A$502=DATE(2026,10,13)),ROW(Income!A$3:A$502)-2),2)),"")&lt;&gt;"",IFERROR(INDEX(Income!B$3:B$502,SMALL(IF((Income!D$3:D$502="INR")*(Income!A$3:A$502=DATE(2026,10,13)),ROW(Income!A$3:A$502)-2),2)),""),""))</f>
        <v/>
      </c>
      <c r="G210" s="63" t="str">
        <f aca="false">IF(IFERROR(-INDEX(Expenses!D$3:D$1002,SMALL(IF((Expenses!E$3:E$1002="INR")*(Expenses!A$3:A$1002=DATE(2026,10,14)),ROW(Expenses!A$3:A$1002)-2),2)),0)+IFERROR(INDEX(Income!C$3:C$502,SMALL(IF((Income!D$3:D$502="INR")*(Income!A$3:A$502=DATE(2026,10,14)),ROW(Income!A$3:A$502)-2),2)),0)=0,"",IFERROR(-INDEX(Expenses!D$3:D$1002,SMALL(IF((Expenses!E$3:E$1002="INR")*(Expenses!A$3:A$1002=DATE(2026,10,14)),ROW(Expenses!A$3:A$1002)-2),2)),0)+IFERROR(INDEX(Income!C$3:C$502,SMALL(IF((Income!D$3:D$502="INR")*(Income!A$3:A$502=DATE(2026,10,14)),ROW(Income!A$3:A$502)-2),2)),0))</f>
        <v/>
      </c>
      <c r="H210" s="38" t="str">
        <f aca="false">IF(IFERROR(INDEX(Expenses!B$3:B$1002,SMALL(IF((Expenses!E$3:E$1002="INR")*(Expenses!A$3:A$1002=DATE(2026,10,14)),ROW(Expenses!A$3:A$1002)-2),2)),"")&lt;&gt;"",IFERROR(INDEX(Expenses!B$3:B$1002,SMALL(IF((Expenses!E$3:E$1002="INR")*(Expenses!A$3:A$1002=DATE(2026,10,14)),ROW(Expenses!A$3:A$1002)-2),2)),""),IF(IFERROR(INDEX(Income!B$3:B$502,SMALL(IF((Income!D$3:D$502="INR")*(Income!A$3:A$502=DATE(2026,10,14)),ROW(Income!A$3:A$502)-2),2)),"")&lt;&gt;"",IFERROR(INDEX(Income!B$3:B$502,SMALL(IF((Income!D$3:D$502="INR")*(Income!A$3:A$502=DATE(2026,10,14)),ROW(Income!A$3:A$502)-2),2)),""),""))</f>
        <v/>
      </c>
      <c r="I210" s="63" t="str">
        <f aca="false">IF(IFERROR(-INDEX(Expenses!D$3:D$1002,SMALL(IF((Expenses!E$3:E$1002="INR")*(Expenses!A$3:A$1002=DATE(2026,10,15)),ROW(Expenses!A$3:A$1002)-2),2)),0)+IFERROR(INDEX(Income!C$3:C$502,SMALL(IF((Income!D$3:D$502="INR")*(Income!A$3:A$502=DATE(2026,10,15)),ROW(Income!A$3:A$502)-2),2)),0)=0,"",IFERROR(-INDEX(Expenses!D$3:D$1002,SMALL(IF((Expenses!E$3:E$1002="INR")*(Expenses!A$3:A$1002=DATE(2026,10,15)),ROW(Expenses!A$3:A$1002)-2),2)),0)+IFERROR(INDEX(Income!C$3:C$502,SMALL(IF((Income!D$3:D$502="INR")*(Income!A$3:A$502=DATE(2026,10,15)),ROW(Income!A$3:A$502)-2),2)),0))</f>
        <v/>
      </c>
      <c r="J210" s="38" t="str">
        <f aca="false">IF(IFERROR(INDEX(Expenses!B$3:B$1002,SMALL(IF((Expenses!E$3:E$1002="INR")*(Expenses!A$3:A$1002=DATE(2026,10,15)),ROW(Expenses!A$3:A$1002)-2),2)),"")&lt;&gt;"",IFERROR(INDEX(Expenses!B$3:B$1002,SMALL(IF((Expenses!E$3:E$1002="INR")*(Expenses!A$3:A$1002=DATE(2026,10,15)),ROW(Expenses!A$3:A$1002)-2),2)),""),IF(IFERROR(INDEX(Income!B$3:B$502,SMALL(IF((Income!D$3:D$502="INR")*(Income!A$3:A$502=DATE(2026,10,15)),ROW(Income!A$3:A$502)-2),2)),"")&lt;&gt;"",IFERROR(INDEX(Income!B$3:B$502,SMALL(IF((Income!D$3:D$502="INR")*(Income!A$3:A$502=DATE(2026,10,15)),ROW(Income!A$3:A$502)-2),2)),""),""))</f>
        <v/>
      </c>
      <c r="K210" s="63" t="str">
        <f aca="false">IF(IFERROR(-INDEX(Expenses!D$3:D$1002,SMALL(IF((Expenses!E$3:E$1002="INR")*(Expenses!A$3:A$1002=DATE(2026,10,16)),ROW(Expenses!A$3:A$1002)-2),2)),0)+IFERROR(INDEX(Income!C$3:C$502,SMALL(IF((Income!D$3:D$502="INR")*(Income!A$3:A$502=DATE(2026,10,16)),ROW(Income!A$3:A$502)-2),2)),0)=0,"",IFERROR(-INDEX(Expenses!D$3:D$1002,SMALL(IF((Expenses!E$3:E$1002="INR")*(Expenses!A$3:A$1002=DATE(2026,10,16)),ROW(Expenses!A$3:A$1002)-2),2)),0)+IFERROR(INDEX(Income!C$3:C$502,SMALL(IF((Income!D$3:D$502="INR")*(Income!A$3:A$502=DATE(2026,10,16)),ROW(Income!A$3:A$502)-2),2)),0))</f>
        <v/>
      </c>
      <c r="L210" s="38" t="str">
        <f aca="false">IF(IFERROR(INDEX(Expenses!B$3:B$1002,SMALL(IF((Expenses!E$3:E$1002="INR")*(Expenses!A$3:A$1002=DATE(2026,10,16)),ROW(Expenses!A$3:A$1002)-2),2)),"")&lt;&gt;"",IFERROR(INDEX(Expenses!B$3:B$1002,SMALL(IF((Expenses!E$3:E$1002="INR")*(Expenses!A$3:A$1002=DATE(2026,10,16)),ROW(Expenses!A$3:A$1002)-2),2)),""),IF(IFERROR(INDEX(Income!B$3:B$502,SMALL(IF((Income!D$3:D$502="INR")*(Income!A$3:A$502=DATE(2026,10,16)),ROW(Income!A$3:A$502)-2),2)),"")&lt;&gt;"",IFERROR(INDEX(Income!B$3:B$502,SMALL(IF((Income!D$3:D$502="INR")*(Income!A$3:A$502=DATE(2026,10,16)),ROW(Income!A$3:A$502)-2),2)),""),""))</f>
        <v/>
      </c>
      <c r="M210" s="63" t="str">
        <f aca="false">IF(IFERROR(-INDEX(Expenses!D$3:D$1002,SMALL(IF((Expenses!E$3:E$1002="INR")*(Expenses!A$3:A$1002=DATE(2026,10,17)),ROW(Expenses!A$3:A$1002)-2),2)),0)+IFERROR(INDEX(Income!C$3:C$502,SMALL(IF((Income!D$3:D$502="INR")*(Income!A$3:A$502=DATE(2026,10,17)),ROW(Income!A$3:A$502)-2),2)),0)=0,"",IFERROR(-INDEX(Expenses!D$3:D$1002,SMALL(IF((Expenses!E$3:E$1002="INR")*(Expenses!A$3:A$1002=DATE(2026,10,17)),ROW(Expenses!A$3:A$1002)-2),2)),0)+IFERROR(INDEX(Income!C$3:C$502,SMALL(IF((Income!D$3:D$502="INR")*(Income!A$3:A$502=DATE(2026,10,17)),ROW(Income!A$3:A$502)-2),2)),0))</f>
        <v/>
      </c>
      <c r="N210" s="38" t="str">
        <f aca="false">IF(IFERROR(INDEX(Expenses!B$3:B$1002,SMALL(IF((Expenses!E$3:E$1002="INR")*(Expenses!A$3:A$1002=DATE(2026,10,17)),ROW(Expenses!A$3:A$1002)-2),2)),"")&lt;&gt;"",IFERROR(INDEX(Expenses!B$3:B$1002,SMALL(IF((Expenses!E$3:E$1002="INR")*(Expenses!A$3:A$1002=DATE(2026,10,17)),ROW(Expenses!A$3:A$1002)-2),2)),""),IF(IFERROR(INDEX(Income!B$3:B$502,SMALL(IF((Income!D$3:D$502="INR")*(Income!A$3:A$502=DATE(2026,10,17)),ROW(Income!A$3:A$502)-2),2)),"")&lt;&gt;"",IFERROR(INDEX(Income!B$3:B$502,SMALL(IF((Income!D$3:D$502="INR")*(Income!A$3:A$502=DATE(2026,10,17)),ROW(Income!A$3:A$502)-2),2)),""),""))</f>
        <v/>
      </c>
      <c r="O210" s="63" t="str">
        <f aca="false">IF(IFERROR(-INDEX(Expenses!D$3:D$1002,SMALL(IF((Expenses!E$3:E$1002="INR")*(Expenses!A$3:A$1002=DATE(2026,10,18)),ROW(Expenses!A$3:A$1002)-2),2)),0)+IFERROR(INDEX(Income!C$3:C$502,SMALL(IF((Income!D$3:D$502="INR")*(Income!A$3:A$502=DATE(2026,10,18)),ROW(Income!A$3:A$502)-2),2)),0)=0,"",IFERROR(-INDEX(Expenses!D$3:D$1002,SMALL(IF((Expenses!E$3:E$1002="INR")*(Expenses!A$3:A$1002=DATE(2026,10,18)),ROW(Expenses!A$3:A$1002)-2),2)),0)+IFERROR(INDEX(Income!C$3:C$502,SMALL(IF((Income!D$3:D$502="INR")*(Income!A$3:A$502=DATE(2026,10,18)),ROW(Income!A$3:A$502)-2),2)),0))</f>
        <v/>
      </c>
      <c r="P210" s="38" t="str">
        <f aca="false">IF(IFERROR(INDEX(Expenses!B$3:B$1002,SMALL(IF((Expenses!E$3:E$1002="INR")*(Expenses!A$3:A$1002=DATE(2026,10,18)),ROW(Expenses!A$3:A$1002)-2),2)),"")&lt;&gt;"",IFERROR(INDEX(Expenses!B$3:B$1002,SMALL(IF((Expenses!E$3:E$1002="INR")*(Expenses!A$3:A$1002=DATE(2026,10,18)),ROW(Expenses!A$3:A$1002)-2),2)),""),IF(IFERROR(INDEX(Income!B$3:B$502,SMALL(IF((Income!D$3:D$502="INR")*(Income!A$3:A$502=DATE(2026,10,18)),ROW(Income!A$3:A$502)-2),2)),"")&lt;&gt;"",IFERROR(INDEX(Income!B$3:B$502,SMALL(IF((Income!D$3:D$502="INR")*(Income!A$3:A$502=DATE(2026,10,18)),ROW(Income!A$3:A$502)-2),2)),""),""))</f>
        <v/>
      </c>
      <c r="Q210" s="16"/>
      <c r="R210" s="16"/>
    </row>
    <row r="211" customFormat="false" ht="15" hidden="false" customHeight="false" outlineLevel="0" collapsed="false">
      <c r="A211" s="16"/>
      <c r="B211" s="16"/>
      <c r="C211" s="63" t="str">
        <f aca="false">IF(IFERROR(-INDEX(Expenses!D$3:D$1002,SMALL(IF((Expenses!E$3:E$1002="INR")*(Expenses!A$3:A$1002=DATE(2026,10,12)),ROW(Expenses!A$3:A$1002)-2),3)),0)+IFERROR(INDEX(Income!C$3:C$502,SMALL(IF((Income!D$3:D$502="INR")*(Income!A$3:A$502=DATE(2026,10,12)),ROW(Income!A$3:A$502)-2),3)),0)=0,"",IFERROR(-INDEX(Expenses!D$3:D$1002,SMALL(IF((Expenses!E$3:E$1002="INR")*(Expenses!A$3:A$1002=DATE(2026,10,12)),ROW(Expenses!A$3:A$1002)-2),3)),0)+IFERROR(INDEX(Income!C$3:C$502,SMALL(IF((Income!D$3:D$502="INR")*(Income!A$3:A$502=DATE(2026,10,12)),ROW(Income!A$3:A$502)-2),3)),0))</f>
        <v/>
      </c>
      <c r="D211" s="38" t="str">
        <f aca="false">IF(IFERROR(INDEX(Expenses!B$3:B$1002,SMALL(IF((Expenses!E$3:E$1002="INR")*(Expenses!A$3:A$1002=DATE(2026,10,12)),ROW(Expenses!A$3:A$1002)-2),3)),"")&lt;&gt;"",IFERROR(INDEX(Expenses!B$3:B$1002,SMALL(IF((Expenses!E$3:E$1002="INR")*(Expenses!A$3:A$1002=DATE(2026,10,12)),ROW(Expenses!A$3:A$1002)-2),3)),""),IF(IFERROR(INDEX(Income!B$3:B$502,SMALL(IF((Income!D$3:D$502="INR")*(Income!A$3:A$502=DATE(2026,10,12)),ROW(Income!A$3:A$502)-2),3)),"")&lt;&gt;"",IFERROR(INDEX(Income!B$3:B$502,SMALL(IF((Income!D$3:D$502="INR")*(Income!A$3:A$502=DATE(2026,10,12)),ROW(Income!A$3:A$502)-2),3)),""),""))</f>
        <v/>
      </c>
      <c r="E211" s="63" t="str">
        <f aca="false">IF(IFERROR(-INDEX(Expenses!D$3:D$1002,SMALL(IF((Expenses!E$3:E$1002="INR")*(Expenses!A$3:A$1002=DATE(2026,10,13)),ROW(Expenses!A$3:A$1002)-2),3)),0)+IFERROR(INDEX(Income!C$3:C$502,SMALL(IF((Income!D$3:D$502="INR")*(Income!A$3:A$502=DATE(2026,10,13)),ROW(Income!A$3:A$502)-2),3)),0)=0,"",IFERROR(-INDEX(Expenses!D$3:D$1002,SMALL(IF((Expenses!E$3:E$1002="INR")*(Expenses!A$3:A$1002=DATE(2026,10,13)),ROW(Expenses!A$3:A$1002)-2),3)),0)+IFERROR(INDEX(Income!C$3:C$502,SMALL(IF((Income!D$3:D$502="INR")*(Income!A$3:A$502=DATE(2026,10,13)),ROW(Income!A$3:A$502)-2),3)),0))</f>
        <v/>
      </c>
      <c r="F211" s="38" t="str">
        <f aca="false">IF(IFERROR(INDEX(Expenses!B$3:B$1002,SMALL(IF((Expenses!E$3:E$1002="INR")*(Expenses!A$3:A$1002=DATE(2026,10,13)),ROW(Expenses!A$3:A$1002)-2),3)),"")&lt;&gt;"",IFERROR(INDEX(Expenses!B$3:B$1002,SMALL(IF((Expenses!E$3:E$1002="INR")*(Expenses!A$3:A$1002=DATE(2026,10,13)),ROW(Expenses!A$3:A$1002)-2),3)),""),IF(IFERROR(INDEX(Income!B$3:B$502,SMALL(IF((Income!D$3:D$502="INR")*(Income!A$3:A$502=DATE(2026,10,13)),ROW(Income!A$3:A$502)-2),3)),"")&lt;&gt;"",IFERROR(INDEX(Income!B$3:B$502,SMALL(IF((Income!D$3:D$502="INR")*(Income!A$3:A$502=DATE(2026,10,13)),ROW(Income!A$3:A$502)-2),3)),""),""))</f>
        <v/>
      </c>
      <c r="G211" s="63" t="str">
        <f aca="false">IF(IFERROR(-INDEX(Expenses!D$3:D$1002,SMALL(IF((Expenses!E$3:E$1002="INR")*(Expenses!A$3:A$1002=DATE(2026,10,14)),ROW(Expenses!A$3:A$1002)-2),3)),0)+IFERROR(INDEX(Income!C$3:C$502,SMALL(IF((Income!D$3:D$502="INR")*(Income!A$3:A$502=DATE(2026,10,14)),ROW(Income!A$3:A$502)-2),3)),0)=0,"",IFERROR(-INDEX(Expenses!D$3:D$1002,SMALL(IF((Expenses!E$3:E$1002="INR")*(Expenses!A$3:A$1002=DATE(2026,10,14)),ROW(Expenses!A$3:A$1002)-2),3)),0)+IFERROR(INDEX(Income!C$3:C$502,SMALL(IF((Income!D$3:D$502="INR")*(Income!A$3:A$502=DATE(2026,10,14)),ROW(Income!A$3:A$502)-2),3)),0))</f>
        <v/>
      </c>
      <c r="H211" s="38" t="str">
        <f aca="false">IF(IFERROR(INDEX(Expenses!B$3:B$1002,SMALL(IF((Expenses!E$3:E$1002="INR")*(Expenses!A$3:A$1002=DATE(2026,10,14)),ROW(Expenses!A$3:A$1002)-2),3)),"")&lt;&gt;"",IFERROR(INDEX(Expenses!B$3:B$1002,SMALL(IF((Expenses!E$3:E$1002="INR")*(Expenses!A$3:A$1002=DATE(2026,10,14)),ROW(Expenses!A$3:A$1002)-2),3)),""),IF(IFERROR(INDEX(Income!B$3:B$502,SMALL(IF((Income!D$3:D$502="INR")*(Income!A$3:A$502=DATE(2026,10,14)),ROW(Income!A$3:A$502)-2),3)),"")&lt;&gt;"",IFERROR(INDEX(Income!B$3:B$502,SMALL(IF((Income!D$3:D$502="INR")*(Income!A$3:A$502=DATE(2026,10,14)),ROW(Income!A$3:A$502)-2),3)),""),""))</f>
        <v/>
      </c>
      <c r="I211" s="63" t="str">
        <f aca="false">IF(IFERROR(-INDEX(Expenses!D$3:D$1002,SMALL(IF((Expenses!E$3:E$1002="INR")*(Expenses!A$3:A$1002=DATE(2026,10,15)),ROW(Expenses!A$3:A$1002)-2),3)),0)+IFERROR(INDEX(Income!C$3:C$502,SMALL(IF((Income!D$3:D$502="INR")*(Income!A$3:A$502=DATE(2026,10,15)),ROW(Income!A$3:A$502)-2),3)),0)=0,"",IFERROR(-INDEX(Expenses!D$3:D$1002,SMALL(IF((Expenses!E$3:E$1002="INR")*(Expenses!A$3:A$1002=DATE(2026,10,15)),ROW(Expenses!A$3:A$1002)-2),3)),0)+IFERROR(INDEX(Income!C$3:C$502,SMALL(IF((Income!D$3:D$502="INR")*(Income!A$3:A$502=DATE(2026,10,15)),ROW(Income!A$3:A$502)-2),3)),0))</f>
        <v/>
      </c>
      <c r="J211" s="38" t="str">
        <f aca="false">IF(IFERROR(INDEX(Expenses!B$3:B$1002,SMALL(IF((Expenses!E$3:E$1002="INR")*(Expenses!A$3:A$1002=DATE(2026,10,15)),ROW(Expenses!A$3:A$1002)-2),3)),"")&lt;&gt;"",IFERROR(INDEX(Expenses!B$3:B$1002,SMALL(IF((Expenses!E$3:E$1002="INR")*(Expenses!A$3:A$1002=DATE(2026,10,15)),ROW(Expenses!A$3:A$1002)-2),3)),""),IF(IFERROR(INDEX(Income!B$3:B$502,SMALL(IF((Income!D$3:D$502="INR")*(Income!A$3:A$502=DATE(2026,10,15)),ROW(Income!A$3:A$502)-2),3)),"")&lt;&gt;"",IFERROR(INDEX(Income!B$3:B$502,SMALL(IF((Income!D$3:D$502="INR")*(Income!A$3:A$502=DATE(2026,10,15)),ROW(Income!A$3:A$502)-2),3)),""),""))</f>
        <v/>
      </c>
      <c r="K211" s="63" t="str">
        <f aca="false">IF(IFERROR(-INDEX(Expenses!D$3:D$1002,SMALL(IF((Expenses!E$3:E$1002="INR")*(Expenses!A$3:A$1002=DATE(2026,10,16)),ROW(Expenses!A$3:A$1002)-2),3)),0)+IFERROR(INDEX(Income!C$3:C$502,SMALL(IF((Income!D$3:D$502="INR")*(Income!A$3:A$502=DATE(2026,10,16)),ROW(Income!A$3:A$502)-2),3)),0)=0,"",IFERROR(-INDEX(Expenses!D$3:D$1002,SMALL(IF((Expenses!E$3:E$1002="INR")*(Expenses!A$3:A$1002=DATE(2026,10,16)),ROW(Expenses!A$3:A$1002)-2),3)),0)+IFERROR(INDEX(Income!C$3:C$502,SMALL(IF((Income!D$3:D$502="INR")*(Income!A$3:A$502=DATE(2026,10,16)),ROW(Income!A$3:A$502)-2),3)),0))</f>
        <v/>
      </c>
      <c r="L211" s="38" t="str">
        <f aca="false">IF(IFERROR(INDEX(Expenses!B$3:B$1002,SMALL(IF((Expenses!E$3:E$1002="INR")*(Expenses!A$3:A$1002=DATE(2026,10,16)),ROW(Expenses!A$3:A$1002)-2),3)),"")&lt;&gt;"",IFERROR(INDEX(Expenses!B$3:B$1002,SMALL(IF((Expenses!E$3:E$1002="INR")*(Expenses!A$3:A$1002=DATE(2026,10,16)),ROW(Expenses!A$3:A$1002)-2),3)),""),IF(IFERROR(INDEX(Income!B$3:B$502,SMALL(IF((Income!D$3:D$502="INR")*(Income!A$3:A$502=DATE(2026,10,16)),ROW(Income!A$3:A$502)-2),3)),"")&lt;&gt;"",IFERROR(INDEX(Income!B$3:B$502,SMALL(IF((Income!D$3:D$502="INR")*(Income!A$3:A$502=DATE(2026,10,16)),ROW(Income!A$3:A$502)-2),3)),""),""))</f>
        <v/>
      </c>
      <c r="M211" s="63" t="str">
        <f aca="false">IF(IFERROR(-INDEX(Expenses!D$3:D$1002,SMALL(IF((Expenses!E$3:E$1002="INR")*(Expenses!A$3:A$1002=DATE(2026,10,17)),ROW(Expenses!A$3:A$1002)-2),3)),0)+IFERROR(INDEX(Income!C$3:C$502,SMALL(IF((Income!D$3:D$502="INR")*(Income!A$3:A$502=DATE(2026,10,17)),ROW(Income!A$3:A$502)-2),3)),0)=0,"",IFERROR(-INDEX(Expenses!D$3:D$1002,SMALL(IF((Expenses!E$3:E$1002="INR")*(Expenses!A$3:A$1002=DATE(2026,10,17)),ROW(Expenses!A$3:A$1002)-2),3)),0)+IFERROR(INDEX(Income!C$3:C$502,SMALL(IF((Income!D$3:D$502="INR")*(Income!A$3:A$502=DATE(2026,10,17)),ROW(Income!A$3:A$502)-2),3)),0))</f>
        <v/>
      </c>
      <c r="N211" s="38" t="str">
        <f aca="false">IF(IFERROR(INDEX(Expenses!B$3:B$1002,SMALL(IF((Expenses!E$3:E$1002="INR")*(Expenses!A$3:A$1002=DATE(2026,10,17)),ROW(Expenses!A$3:A$1002)-2),3)),"")&lt;&gt;"",IFERROR(INDEX(Expenses!B$3:B$1002,SMALL(IF((Expenses!E$3:E$1002="INR")*(Expenses!A$3:A$1002=DATE(2026,10,17)),ROW(Expenses!A$3:A$1002)-2),3)),""),IF(IFERROR(INDEX(Income!B$3:B$502,SMALL(IF((Income!D$3:D$502="INR")*(Income!A$3:A$502=DATE(2026,10,17)),ROW(Income!A$3:A$502)-2),3)),"")&lt;&gt;"",IFERROR(INDEX(Income!B$3:B$502,SMALL(IF((Income!D$3:D$502="INR")*(Income!A$3:A$502=DATE(2026,10,17)),ROW(Income!A$3:A$502)-2),3)),""),""))</f>
        <v/>
      </c>
      <c r="O211" s="63" t="str">
        <f aca="false">IF(IFERROR(-INDEX(Expenses!D$3:D$1002,SMALL(IF((Expenses!E$3:E$1002="INR")*(Expenses!A$3:A$1002=DATE(2026,10,18)),ROW(Expenses!A$3:A$1002)-2),3)),0)+IFERROR(INDEX(Income!C$3:C$502,SMALL(IF((Income!D$3:D$502="INR")*(Income!A$3:A$502=DATE(2026,10,18)),ROW(Income!A$3:A$502)-2),3)),0)=0,"",IFERROR(-INDEX(Expenses!D$3:D$1002,SMALL(IF((Expenses!E$3:E$1002="INR")*(Expenses!A$3:A$1002=DATE(2026,10,18)),ROW(Expenses!A$3:A$1002)-2),3)),0)+IFERROR(INDEX(Income!C$3:C$502,SMALL(IF((Income!D$3:D$502="INR")*(Income!A$3:A$502=DATE(2026,10,18)),ROW(Income!A$3:A$502)-2),3)),0))</f>
        <v/>
      </c>
      <c r="P211" s="38" t="str">
        <f aca="false">IF(IFERROR(INDEX(Expenses!B$3:B$1002,SMALL(IF((Expenses!E$3:E$1002="INR")*(Expenses!A$3:A$1002=DATE(2026,10,18)),ROW(Expenses!A$3:A$1002)-2),3)),"")&lt;&gt;"",IFERROR(INDEX(Expenses!B$3:B$1002,SMALL(IF((Expenses!E$3:E$1002="INR")*(Expenses!A$3:A$1002=DATE(2026,10,18)),ROW(Expenses!A$3:A$1002)-2),3)),""),IF(IFERROR(INDEX(Income!B$3:B$502,SMALL(IF((Income!D$3:D$502="INR")*(Income!A$3:A$502=DATE(2026,10,18)),ROW(Income!A$3:A$502)-2),3)),"")&lt;&gt;"",IFERROR(INDEX(Income!B$3:B$502,SMALL(IF((Income!D$3:D$502="INR")*(Income!A$3:A$502=DATE(2026,10,18)),ROW(Income!A$3:A$502)-2),3)),""),""))</f>
        <v/>
      </c>
      <c r="Q211" s="16"/>
      <c r="R211" s="16"/>
    </row>
    <row r="212" customFormat="false" ht="15" hidden="false" customHeight="false" outlineLevel="0" collapsed="false">
      <c r="A212" s="16"/>
      <c r="B212" s="16"/>
      <c r="C212" s="63" t="str">
        <f aca="false">IF(IFERROR(-INDEX(Expenses!D$3:D$1002,SMALL(IF((Expenses!E$3:E$1002="INR")*(Expenses!A$3:A$1002=DATE(2026,10,12)),ROW(Expenses!A$3:A$1002)-2),4)),0)+IFERROR(INDEX(Income!C$3:C$502,SMALL(IF((Income!D$3:D$502="INR")*(Income!A$3:A$502=DATE(2026,10,12)),ROW(Income!A$3:A$502)-2),4)),0)=0,"",IFERROR(-INDEX(Expenses!D$3:D$1002,SMALL(IF((Expenses!E$3:E$1002="INR")*(Expenses!A$3:A$1002=DATE(2026,10,12)),ROW(Expenses!A$3:A$1002)-2),4)),0)+IFERROR(INDEX(Income!C$3:C$502,SMALL(IF((Income!D$3:D$502="INR")*(Income!A$3:A$502=DATE(2026,10,12)),ROW(Income!A$3:A$502)-2),4)),0))</f>
        <v/>
      </c>
      <c r="D212" s="38" t="str">
        <f aca="false">IF(IFERROR(INDEX(Expenses!B$3:B$1002,SMALL(IF((Expenses!E$3:E$1002="INR")*(Expenses!A$3:A$1002=DATE(2026,10,12)),ROW(Expenses!A$3:A$1002)-2),4)),"")&lt;&gt;"",IFERROR(INDEX(Expenses!B$3:B$1002,SMALL(IF((Expenses!E$3:E$1002="INR")*(Expenses!A$3:A$1002=DATE(2026,10,12)),ROW(Expenses!A$3:A$1002)-2),4)),""),IF(IFERROR(INDEX(Income!B$3:B$502,SMALL(IF((Income!D$3:D$502="INR")*(Income!A$3:A$502=DATE(2026,10,12)),ROW(Income!A$3:A$502)-2),4)),"")&lt;&gt;"",IFERROR(INDEX(Income!B$3:B$502,SMALL(IF((Income!D$3:D$502="INR")*(Income!A$3:A$502=DATE(2026,10,12)),ROW(Income!A$3:A$502)-2),4)),""),""))</f>
        <v/>
      </c>
      <c r="E212" s="63" t="str">
        <f aca="false">IF(IFERROR(-INDEX(Expenses!D$3:D$1002,SMALL(IF((Expenses!E$3:E$1002="INR")*(Expenses!A$3:A$1002=DATE(2026,10,13)),ROW(Expenses!A$3:A$1002)-2),4)),0)+IFERROR(INDEX(Income!C$3:C$502,SMALL(IF((Income!D$3:D$502="INR")*(Income!A$3:A$502=DATE(2026,10,13)),ROW(Income!A$3:A$502)-2),4)),0)=0,"",IFERROR(-INDEX(Expenses!D$3:D$1002,SMALL(IF((Expenses!E$3:E$1002="INR")*(Expenses!A$3:A$1002=DATE(2026,10,13)),ROW(Expenses!A$3:A$1002)-2),4)),0)+IFERROR(INDEX(Income!C$3:C$502,SMALL(IF((Income!D$3:D$502="INR")*(Income!A$3:A$502=DATE(2026,10,13)),ROW(Income!A$3:A$502)-2),4)),0))</f>
        <v/>
      </c>
      <c r="F212" s="38" t="str">
        <f aca="false">IF(IFERROR(INDEX(Expenses!B$3:B$1002,SMALL(IF((Expenses!E$3:E$1002="INR")*(Expenses!A$3:A$1002=DATE(2026,10,13)),ROW(Expenses!A$3:A$1002)-2),4)),"")&lt;&gt;"",IFERROR(INDEX(Expenses!B$3:B$1002,SMALL(IF((Expenses!E$3:E$1002="INR")*(Expenses!A$3:A$1002=DATE(2026,10,13)),ROW(Expenses!A$3:A$1002)-2),4)),""),IF(IFERROR(INDEX(Income!B$3:B$502,SMALL(IF((Income!D$3:D$502="INR")*(Income!A$3:A$502=DATE(2026,10,13)),ROW(Income!A$3:A$502)-2),4)),"")&lt;&gt;"",IFERROR(INDEX(Income!B$3:B$502,SMALL(IF((Income!D$3:D$502="INR")*(Income!A$3:A$502=DATE(2026,10,13)),ROW(Income!A$3:A$502)-2),4)),""),""))</f>
        <v/>
      </c>
      <c r="G212" s="63" t="str">
        <f aca="false">IF(IFERROR(-INDEX(Expenses!D$3:D$1002,SMALL(IF((Expenses!E$3:E$1002="INR")*(Expenses!A$3:A$1002=DATE(2026,10,14)),ROW(Expenses!A$3:A$1002)-2),4)),0)+IFERROR(INDEX(Income!C$3:C$502,SMALL(IF((Income!D$3:D$502="INR")*(Income!A$3:A$502=DATE(2026,10,14)),ROW(Income!A$3:A$502)-2),4)),0)=0,"",IFERROR(-INDEX(Expenses!D$3:D$1002,SMALL(IF((Expenses!E$3:E$1002="INR")*(Expenses!A$3:A$1002=DATE(2026,10,14)),ROW(Expenses!A$3:A$1002)-2),4)),0)+IFERROR(INDEX(Income!C$3:C$502,SMALL(IF((Income!D$3:D$502="INR")*(Income!A$3:A$502=DATE(2026,10,14)),ROW(Income!A$3:A$502)-2),4)),0))</f>
        <v/>
      </c>
      <c r="H212" s="38" t="str">
        <f aca="false">IF(IFERROR(INDEX(Expenses!B$3:B$1002,SMALL(IF((Expenses!E$3:E$1002="INR")*(Expenses!A$3:A$1002=DATE(2026,10,14)),ROW(Expenses!A$3:A$1002)-2),4)),"")&lt;&gt;"",IFERROR(INDEX(Expenses!B$3:B$1002,SMALL(IF((Expenses!E$3:E$1002="INR")*(Expenses!A$3:A$1002=DATE(2026,10,14)),ROW(Expenses!A$3:A$1002)-2),4)),""),IF(IFERROR(INDEX(Income!B$3:B$502,SMALL(IF((Income!D$3:D$502="INR")*(Income!A$3:A$502=DATE(2026,10,14)),ROW(Income!A$3:A$502)-2),4)),"")&lt;&gt;"",IFERROR(INDEX(Income!B$3:B$502,SMALL(IF((Income!D$3:D$502="INR")*(Income!A$3:A$502=DATE(2026,10,14)),ROW(Income!A$3:A$502)-2),4)),""),""))</f>
        <v/>
      </c>
      <c r="I212" s="63" t="str">
        <f aca="false">IF(IFERROR(-INDEX(Expenses!D$3:D$1002,SMALL(IF((Expenses!E$3:E$1002="INR")*(Expenses!A$3:A$1002=DATE(2026,10,15)),ROW(Expenses!A$3:A$1002)-2),4)),0)+IFERROR(INDEX(Income!C$3:C$502,SMALL(IF((Income!D$3:D$502="INR")*(Income!A$3:A$502=DATE(2026,10,15)),ROW(Income!A$3:A$502)-2),4)),0)=0,"",IFERROR(-INDEX(Expenses!D$3:D$1002,SMALL(IF((Expenses!E$3:E$1002="INR")*(Expenses!A$3:A$1002=DATE(2026,10,15)),ROW(Expenses!A$3:A$1002)-2),4)),0)+IFERROR(INDEX(Income!C$3:C$502,SMALL(IF((Income!D$3:D$502="INR")*(Income!A$3:A$502=DATE(2026,10,15)),ROW(Income!A$3:A$502)-2),4)),0))</f>
        <v/>
      </c>
      <c r="J212" s="38" t="str">
        <f aca="false">IF(IFERROR(INDEX(Expenses!B$3:B$1002,SMALL(IF((Expenses!E$3:E$1002="INR")*(Expenses!A$3:A$1002=DATE(2026,10,15)),ROW(Expenses!A$3:A$1002)-2),4)),"")&lt;&gt;"",IFERROR(INDEX(Expenses!B$3:B$1002,SMALL(IF((Expenses!E$3:E$1002="INR")*(Expenses!A$3:A$1002=DATE(2026,10,15)),ROW(Expenses!A$3:A$1002)-2),4)),""),IF(IFERROR(INDEX(Income!B$3:B$502,SMALL(IF((Income!D$3:D$502="INR")*(Income!A$3:A$502=DATE(2026,10,15)),ROW(Income!A$3:A$502)-2),4)),"")&lt;&gt;"",IFERROR(INDEX(Income!B$3:B$502,SMALL(IF((Income!D$3:D$502="INR")*(Income!A$3:A$502=DATE(2026,10,15)),ROW(Income!A$3:A$502)-2),4)),""),""))</f>
        <v/>
      </c>
      <c r="K212" s="63" t="str">
        <f aca="false">IF(IFERROR(-INDEX(Expenses!D$3:D$1002,SMALL(IF((Expenses!E$3:E$1002="INR")*(Expenses!A$3:A$1002=DATE(2026,10,16)),ROW(Expenses!A$3:A$1002)-2),4)),0)+IFERROR(INDEX(Income!C$3:C$502,SMALL(IF((Income!D$3:D$502="INR")*(Income!A$3:A$502=DATE(2026,10,16)),ROW(Income!A$3:A$502)-2),4)),0)=0,"",IFERROR(-INDEX(Expenses!D$3:D$1002,SMALL(IF((Expenses!E$3:E$1002="INR")*(Expenses!A$3:A$1002=DATE(2026,10,16)),ROW(Expenses!A$3:A$1002)-2),4)),0)+IFERROR(INDEX(Income!C$3:C$502,SMALL(IF((Income!D$3:D$502="INR")*(Income!A$3:A$502=DATE(2026,10,16)),ROW(Income!A$3:A$502)-2),4)),0))</f>
        <v/>
      </c>
      <c r="L212" s="38" t="str">
        <f aca="false">IF(IFERROR(INDEX(Expenses!B$3:B$1002,SMALL(IF((Expenses!E$3:E$1002="INR")*(Expenses!A$3:A$1002=DATE(2026,10,16)),ROW(Expenses!A$3:A$1002)-2),4)),"")&lt;&gt;"",IFERROR(INDEX(Expenses!B$3:B$1002,SMALL(IF((Expenses!E$3:E$1002="INR")*(Expenses!A$3:A$1002=DATE(2026,10,16)),ROW(Expenses!A$3:A$1002)-2),4)),""),IF(IFERROR(INDEX(Income!B$3:B$502,SMALL(IF((Income!D$3:D$502="INR")*(Income!A$3:A$502=DATE(2026,10,16)),ROW(Income!A$3:A$502)-2),4)),"")&lt;&gt;"",IFERROR(INDEX(Income!B$3:B$502,SMALL(IF((Income!D$3:D$502="INR")*(Income!A$3:A$502=DATE(2026,10,16)),ROW(Income!A$3:A$502)-2),4)),""),""))</f>
        <v/>
      </c>
      <c r="M212" s="63" t="str">
        <f aca="false">IF(IFERROR(-INDEX(Expenses!D$3:D$1002,SMALL(IF((Expenses!E$3:E$1002="INR")*(Expenses!A$3:A$1002=DATE(2026,10,17)),ROW(Expenses!A$3:A$1002)-2),4)),0)+IFERROR(INDEX(Income!C$3:C$502,SMALL(IF((Income!D$3:D$502="INR")*(Income!A$3:A$502=DATE(2026,10,17)),ROW(Income!A$3:A$502)-2),4)),0)=0,"",IFERROR(-INDEX(Expenses!D$3:D$1002,SMALL(IF((Expenses!E$3:E$1002="INR")*(Expenses!A$3:A$1002=DATE(2026,10,17)),ROW(Expenses!A$3:A$1002)-2),4)),0)+IFERROR(INDEX(Income!C$3:C$502,SMALL(IF((Income!D$3:D$502="INR")*(Income!A$3:A$502=DATE(2026,10,17)),ROW(Income!A$3:A$502)-2),4)),0))</f>
        <v/>
      </c>
      <c r="N212" s="38" t="str">
        <f aca="false">IF(IFERROR(INDEX(Expenses!B$3:B$1002,SMALL(IF((Expenses!E$3:E$1002="INR")*(Expenses!A$3:A$1002=DATE(2026,10,17)),ROW(Expenses!A$3:A$1002)-2),4)),"")&lt;&gt;"",IFERROR(INDEX(Expenses!B$3:B$1002,SMALL(IF((Expenses!E$3:E$1002="INR")*(Expenses!A$3:A$1002=DATE(2026,10,17)),ROW(Expenses!A$3:A$1002)-2),4)),""),IF(IFERROR(INDEX(Income!B$3:B$502,SMALL(IF((Income!D$3:D$502="INR")*(Income!A$3:A$502=DATE(2026,10,17)),ROW(Income!A$3:A$502)-2),4)),"")&lt;&gt;"",IFERROR(INDEX(Income!B$3:B$502,SMALL(IF((Income!D$3:D$502="INR")*(Income!A$3:A$502=DATE(2026,10,17)),ROW(Income!A$3:A$502)-2),4)),""),""))</f>
        <v/>
      </c>
      <c r="O212" s="63" t="str">
        <f aca="false">IF(IFERROR(-INDEX(Expenses!D$3:D$1002,SMALL(IF((Expenses!E$3:E$1002="INR")*(Expenses!A$3:A$1002=DATE(2026,10,18)),ROW(Expenses!A$3:A$1002)-2),4)),0)+IFERROR(INDEX(Income!C$3:C$502,SMALL(IF((Income!D$3:D$502="INR")*(Income!A$3:A$502=DATE(2026,10,18)),ROW(Income!A$3:A$502)-2),4)),0)=0,"",IFERROR(-INDEX(Expenses!D$3:D$1002,SMALL(IF((Expenses!E$3:E$1002="INR")*(Expenses!A$3:A$1002=DATE(2026,10,18)),ROW(Expenses!A$3:A$1002)-2),4)),0)+IFERROR(INDEX(Income!C$3:C$502,SMALL(IF((Income!D$3:D$502="INR")*(Income!A$3:A$502=DATE(2026,10,18)),ROW(Income!A$3:A$502)-2),4)),0))</f>
        <v/>
      </c>
      <c r="P212" s="38" t="str">
        <f aca="false">IF(IFERROR(INDEX(Expenses!B$3:B$1002,SMALL(IF((Expenses!E$3:E$1002="INR")*(Expenses!A$3:A$1002=DATE(2026,10,18)),ROW(Expenses!A$3:A$1002)-2),4)),"")&lt;&gt;"",IFERROR(INDEX(Expenses!B$3:B$1002,SMALL(IF((Expenses!E$3:E$1002="INR")*(Expenses!A$3:A$1002=DATE(2026,10,18)),ROW(Expenses!A$3:A$1002)-2),4)),""),IF(IFERROR(INDEX(Income!B$3:B$502,SMALL(IF((Income!D$3:D$502="INR")*(Income!A$3:A$502=DATE(2026,10,18)),ROW(Income!A$3:A$502)-2),4)),"")&lt;&gt;"",IFERROR(INDEX(Income!B$3:B$502,SMALL(IF((Income!D$3:D$502="INR")*(Income!A$3:A$502=DATE(2026,10,18)),ROW(Income!A$3:A$502)-2),4)),""),""))</f>
        <v/>
      </c>
      <c r="Q212" s="16"/>
      <c r="R212" s="16"/>
    </row>
    <row r="213" customFormat="false" ht="15" hidden="false" customHeight="false" outlineLevel="0" collapsed="false">
      <c r="A213" s="16"/>
      <c r="B213" s="16"/>
      <c r="C213" s="63" t="str">
        <f aca="false">IF(IFERROR(-INDEX(Expenses!D$3:D$1002,SMALL(IF((Expenses!E$3:E$1002="INR")*(Expenses!A$3:A$1002=DATE(2026,10,12)),ROW(Expenses!A$3:A$1002)-2),5)),0)+IFERROR(INDEX(Income!C$3:C$502,SMALL(IF((Income!D$3:D$502="INR")*(Income!A$3:A$502=DATE(2026,10,12)),ROW(Income!A$3:A$502)-2),5)),0)=0,"",IFERROR(-INDEX(Expenses!D$3:D$1002,SMALL(IF((Expenses!E$3:E$1002="INR")*(Expenses!A$3:A$1002=DATE(2026,10,12)),ROW(Expenses!A$3:A$1002)-2),5)),0)+IFERROR(INDEX(Income!C$3:C$502,SMALL(IF((Income!D$3:D$502="INR")*(Income!A$3:A$502=DATE(2026,10,12)),ROW(Income!A$3:A$502)-2),5)),0))</f>
        <v/>
      </c>
      <c r="D213" s="38" t="str">
        <f aca="false">IF(IFERROR(INDEX(Expenses!B$3:B$1002,SMALL(IF((Expenses!E$3:E$1002="INR")*(Expenses!A$3:A$1002=DATE(2026,10,12)),ROW(Expenses!A$3:A$1002)-2),5)),"")&lt;&gt;"",IFERROR(INDEX(Expenses!B$3:B$1002,SMALL(IF((Expenses!E$3:E$1002="INR")*(Expenses!A$3:A$1002=DATE(2026,10,12)),ROW(Expenses!A$3:A$1002)-2),5)),""),IF(IFERROR(INDEX(Income!B$3:B$502,SMALL(IF((Income!D$3:D$502="INR")*(Income!A$3:A$502=DATE(2026,10,12)),ROW(Income!A$3:A$502)-2),5)),"")&lt;&gt;"",IFERROR(INDEX(Income!B$3:B$502,SMALL(IF((Income!D$3:D$502="INR")*(Income!A$3:A$502=DATE(2026,10,12)),ROW(Income!A$3:A$502)-2),5)),""),""))</f>
        <v/>
      </c>
      <c r="E213" s="63" t="str">
        <f aca="false">IF(IFERROR(-INDEX(Expenses!D$3:D$1002,SMALL(IF((Expenses!E$3:E$1002="INR")*(Expenses!A$3:A$1002=DATE(2026,10,13)),ROW(Expenses!A$3:A$1002)-2),5)),0)+IFERROR(INDEX(Income!C$3:C$502,SMALL(IF((Income!D$3:D$502="INR")*(Income!A$3:A$502=DATE(2026,10,13)),ROW(Income!A$3:A$502)-2),5)),0)=0,"",IFERROR(-INDEX(Expenses!D$3:D$1002,SMALL(IF((Expenses!E$3:E$1002="INR")*(Expenses!A$3:A$1002=DATE(2026,10,13)),ROW(Expenses!A$3:A$1002)-2),5)),0)+IFERROR(INDEX(Income!C$3:C$502,SMALL(IF((Income!D$3:D$502="INR")*(Income!A$3:A$502=DATE(2026,10,13)),ROW(Income!A$3:A$502)-2),5)),0))</f>
        <v/>
      </c>
      <c r="F213" s="38" t="str">
        <f aca="false">IF(IFERROR(INDEX(Expenses!B$3:B$1002,SMALL(IF((Expenses!E$3:E$1002="INR")*(Expenses!A$3:A$1002=DATE(2026,10,13)),ROW(Expenses!A$3:A$1002)-2),5)),"")&lt;&gt;"",IFERROR(INDEX(Expenses!B$3:B$1002,SMALL(IF((Expenses!E$3:E$1002="INR")*(Expenses!A$3:A$1002=DATE(2026,10,13)),ROW(Expenses!A$3:A$1002)-2),5)),""),IF(IFERROR(INDEX(Income!B$3:B$502,SMALL(IF((Income!D$3:D$502="INR")*(Income!A$3:A$502=DATE(2026,10,13)),ROW(Income!A$3:A$502)-2),5)),"")&lt;&gt;"",IFERROR(INDEX(Income!B$3:B$502,SMALL(IF((Income!D$3:D$502="INR")*(Income!A$3:A$502=DATE(2026,10,13)),ROW(Income!A$3:A$502)-2),5)),""),""))</f>
        <v/>
      </c>
      <c r="G213" s="63" t="str">
        <f aca="false">IF(IFERROR(-INDEX(Expenses!D$3:D$1002,SMALL(IF((Expenses!E$3:E$1002="INR")*(Expenses!A$3:A$1002=DATE(2026,10,14)),ROW(Expenses!A$3:A$1002)-2),5)),0)+IFERROR(INDEX(Income!C$3:C$502,SMALL(IF((Income!D$3:D$502="INR")*(Income!A$3:A$502=DATE(2026,10,14)),ROW(Income!A$3:A$502)-2),5)),0)=0,"",IFERROR(-INDEX(Expenses!D$3:D$1002,SMALL(IF((Expenses!E$3:E$1002="INR")*(Expenses!A$3:A$1002=DATE(2026,10,14)),ROW(Expenses!A$3:A$1002)-2),5)),0)+IFERROR(INDEX(Income!C$3:C$502,SMALL(IF((Income!D$3:D$502="INR")*(Income!A$3:A$502=DATE(2026,10,14)),ROW(Income!A$3:A$502)-2),5)),0))</f>
        <v/>
      </c>
      <c r="H213" s="38" t="str">
        <f aca="false">IF(IFERROR(INDEX(Expenses!B$3:B$1002,SMALL(IF((Expenses!E$3:E$1002="INR")*(Expenses!A$3:A$1002=DATE(2026,10,14)),ROW(Expenses!A$3:A$1002)-2),5)),"")&lt;&gt;"",IFERROR(INDEX(Expenses!B$3:B$1002,SMALL(IF((Expenses!E$3:E$1002="INR")*(Expenses!A$3:A$1002=DATE(2026,10,14)),ROW(Expenses!A$3:A$1002)-2),5)),""),IF(IFERROR(INDEX(Income!B$3:B$502,SMALL(IF((Income!D$3:D$502="INR")*(Income!A$3:A$502=DATE(2026,10,14)),ROW(Income!A$3:A$502)-2),5)),"")&lt;&gt;"",IFERROR(INDEX(Income!B$3:B$502,SMALL(IF((Income!D$3:D$502="INR")*(Income!A$3:A$502=DATE(2026,10,14)),ROW(Income!A$3:A$502)-2),5)),""),""))</f>
        <v/>
      </c>
      <c r="I213" s="63" t="str">
        <f aca="false">IF(IFERROR(-INDEX(Expenses!D$3:D$1002,SMALL(IF((Expenses!E$3:E$1002="INR")*(Expenses!A$3:A$1002=DATE(2026,10,15)),ROW(Expenses!A$3:A$1002)-2),5)),0)+IFERROR(INDEX(Income!C$3:C$502,SMALL(IF((Income!D$3:D$502="INR")*(Income!A$3:A$502=DATE(2026,10,15)),ROW(Income!A$3:A$502)-2),5)),0)=0,"",IFERROR(-INDEX(Expenses!D$3:D$1002,SMALL(IF((Expenses!E$3:E$1002="INR")*(Expenses!A$3:A$1002=DATE(2026,10,15)),ROW(Expenses!A$3:A$1002)-2),5)),0)+IFERROR(INDEX(Income!C$3:C$502,SMALL(IF((Income!D$3:D$502="INR")*(Income!A$3:A$502=DATE(2026,10,15)),ROW(Income!A$3:A$502)-2),5)),0))</f>
        <v/>
      </c>
      <c r="J213" s="38" t="str">
        <f aca="false">IF(IFERROR(INDEX(Expenses!B$3:B$1002,SMALL(IF((Expenses!E$3:E$1002="INR")*(Expenses!A$3:A$1002=DATE(2026,10,15)),ROW(Expenses!A$3:A$1002)-2),5)),"")&lt;&gt;"",IFERROR(INDEX(Expenses!B$3:B$1002,SMALL(IF((Expenses!E$3:E$1002="INR")*(Expenses!A$3:A$1002=DATE(2026,10,15)),ROW(Expenses!A$3:A$1002)-2),5)),""),IF(IFERROR(INDEX(Income!B$3:B$502,SMALL(IF((Income!D$3:D$502="INR")*(Income!A$3:A$502=DATE(2026,10,15)),ROW(Income!A$3:A$502)-2),5)),"")&lt;&gt;"",IFERROR(INDEX(Income!B$3:B$502,SMALL(IF((Income!D$3:D$502="INR")*(Income!A$3:A$502=DATE(2026,10,15)),ROW(Income!A$3:A$502)-2),5)),""),""))</f>
        <v/>
      </c>
      <c r="K213" s="63" t="str">
        <f aca="false">IF(IFERROR(-INDEX(Expenses!D$3:D$1002,SMALL(IF((Expenses!E$3:E$1002="INR")*(Expenses!A$3:A$1002=DATE(2026,10,16)),ROW(Expenses!A$3:A$1002)-2),5)),0)+IFERROR(INDEX(Income!C$3:C$502,SMALL(IF((Income!D$3:D$502="INR")*(Income!A$3:A$502=DATE(2026,10,16)),ROW(Income!A$3:A$502)-2),5)),0)=0,"",IFERROR(-INDEX(Expenses!D$3:D$1002,SMALL(IF((Expenses!E$3:E$1002="INR")*(Expenses!A$3:A$1002=DATE(2026,10,16)),ROW(Expenses!A$3:A$1002)-2),5)),0)+IFERROR(INDEX(Income!C$3:C$502,SMALL(IF((Income!D$3:D$502="INR")*(Income!A$3:A$502=DATE(2026,10,16)),ROW(Income!A$3:A$502)-2),5)),0))</f>
        <v/>
      </c>
      <c r="L213" s="38" t="str">
        <f aca="false">IF(IFERROR(INDEX(Expenses!B$3:B$1002,SMALL(IF((Expenses!E$3:E$1002="INR")*(Expenses!A$3:A$1002=DATE(2026,10,16)),ROW(Expenses!A$3:A$1002)-2),5)),"")&lt;&gt;"",IFERROR(INDEX(Expenses!B$3:B$1002,SMALL(IF((Expenses!E$3:E$1002="INR")*(Expenses!A$3:A$1002=DATE(2026,10,16)),ROW(Expenses!A$3:A$1002)-2),5)),""),IF(IFERROR(INDEX(Income!B$3:B$502,SMALL(IF((Income!D$3:D$502="INR")*(Income!A$3:A$502=DATE(2026,10,16)),ROW(Income!A$3:A$502)-2),5)),"")&lt;&gt;"",IFERROR(INDEX(Income!B$3:B$502,SMALL(IF((Income!D$3:D$502="INR")*(Income!A$3:A$502=DATE(2026,10,16)),ROW(Income!A$3:A$502)-2),5)),""),""))</f>
        <v/>
      </c>
      <c r="M213" s="63" t="str">
        <f aca="false">IF(IFERROR(-INDEX(Expenses!D$3:D$1002,SMALL(IF((Expenses!E$3:E$1002="INR")*(Expenses!A$3:A$1002=DATE(2026,10,17)),ROW(Expenses!A$3:A$1002)-2),5)),0)+IFERROR(INDEX(Income!C$3:C$502,SMALL(IF((Income!D$3:D$502="INR")*(Income!A$3:A$502=DATE(2026,10,17)),ROW(Income!A$3:A$502)-2),5)),0)=0,"",IFERROR(-INDEX(Expenses!D$3:D$1002,SMALL(IF((Expenses!E$3:E$1002="INR")*(Expenses!A$3:A$1002=DATE(2026,10,17)),ROW(Expenses!A$3:A$1002)-2),5)),0)+IFERROR(INDEX(Income!C$3:C$502,SMALL(IF((Income!D$3:D$502="INR")*(Income!A$3:A$502=DATE(2026,10,17)),ROW(Income!A$3:A$502)-2),5)),0))</f>
        <v/>
      </c>
      <c r="N213" s="38" t="str">
        <f aca="false">IF(IFERROR(INDEX(Expenses!B$3:B$1002,SMALL(IF((Expenses!E$3:E$1002="INR")*(Expenses!A$3:A$1002=DATE(2026,10,17)),ROW(Expenses!A$3:A$1002)-2),5)),"")&lt;&gt;"",IFERROR(INDEX(Expenses!B$3:B$1002,SMALL(IF((Expenses!E$3:E$1002="INR")*(Expenses!A$3:A$1002=DATE(2026,10,17)),ROW(Expenses!A$3:A$1002)-2),5)),""),IF(IFERROR(INDEX(Income!B$3:B$502,SMALL(IF((Income!D$3:D$502="INR")*(Income!A$3:A$502=DATE(2026,10,17)),ROW(Income!A$3:A$502)-2),5)),"")&lt;&gt;"",IFERROR(INDEX(Income!B$3:B$502,SMALL(IF((Income!D$3:D$502="INR")*(Income!A$3:A$502=DATE(2026,10,17)),ROW(Income!A$3:A$502)-2),5)),""),""))</f>
        <v/>
      </c>
      <c r="O213" s="63" t="str">
        <f aca="false">IF(IFERROR(-INDEX(Expenses!D$3:D$1002,SMALL(IF((Expenses!E$3:E$1002="INR")*(Expenses!A$3:A$1002=DATE(2026,10,18)),ROW(Expenses!A$3:A$1002)-2),5)),0)+IFERROR(INDEX(Income!C$3:C$502,SMALL(IF((Income!D$3:D$502="INR")*(Income!A$3:A$502=DATE(2026,10,18)),ROW(Income!A$3:A$502)-2),5)),0)=0,"",IFERROR(-INDEX(Expenses!D$3:D$1002,SMALL(IF((Expenses!E$3:E$1002="INR")*(Expenses!A$3:A$1002=DATE(2026,10,18)),ROW(Expenses!A$3:A$1002)-2),5)),0)+IFERROR(INDEX(Income!C$3:C$502,SMALL(IF((Income!D$3:D$502="INR")*(Income!A$3:A$502=DATE(2026,10,18)),ROW(Income!A$3:A$502)-2),5)),0))</f>
        <v/>
      </c>
      <c r="P213" s="38" t="str">
        <f aca="false">IF(IFERROR(INDEX(Expenses!B$3:B$1002,SMALL(IF((Expenses!E$3:E$1002="INR")*(Expenses!A$3:A$1002=DATE(2026,10,18)),ROW(Expenses!A$3:A$1002)-2),5)),"")&lt;&gt;"",IFERROR(INDEX(Expenses!B$3:B$1002,SMALL(IF((Expenses!E$3:E$1002="INR")*(Expenses!A$3:A$1002=DATE(2026,10,18)),ROW(Expenses!A$3:A$1002)-2),5)),""),IF(IFERROR(INDEX(Income!B$3:B$502,SMALL(IF((Income!D$3:D$502="INR")*(Income!A$3:A$502=DATE(2026,10,18)),ROW(Income!A$3:A$502)-2),5)),"")&lt;&gt;"",IFERROR(INDEX(Income!B$3:B$502,SMALL(IF((Income!D$3:D$502="INR")*(Income!A$3:A$502=DATE(2026,10,18)),ROW(Income!A$3:A$502)-2),5)),""),""))</f>
        <v/>
      </c>
      <c r="Q213" s="16"/>
      <c r="R213" s="16"/>
    </row>
    <row r="214" customFormat="false" ht="15" hidden="false" customHeight="false" outlineLevel="0" collapsed="false">
      <c r="A214" s="61" t="n">
        <v>46314</v>
      </c>
      <c r="B214" s="3" t="n">
        <v>43</v>
      </c>
      <c r="C214" s="63" t="str">
        <f aca="false">IF(IFERROR(-INDEX(Expenses!D$3:D$1002,SMALL(IF((Expenses!E$3:E$1002="INR")*(Expenses!A$3:A$1002=DATE(2026,10,19)),ROW(Expenses!A$3:A$1002)-2),1)),0)+IFERROR(INDEX(Income!C$3:C$502,SMALL(IF((Income!D$3:D$502="INR")*(Income!A$3:A$502=DATE(2026,10,19)),ROW(Income!A$3:A$502)-2),1)),0)=0,"",IFERROR(-INDEX(Expenses!D$3:D$1002,SMALL(IF((Expenses!E$3:E$1002="INR")*(Expenses!A$3:A$1002=DATE(2026,10,19)),ROW(Expenses!A$3:A$1002)-2),1)),0)+IFERROR(INDEX(Income!C$3:C$502,SMALL(IF((Income!D$3:D$502="INR")*(Income!A$3:A$502=DATE(2026,10,19)),ROW(Income!A$3:A$502)-2),1)),0))</f>
        <v/>
      </c>
      <c r="D214" s="38" t="str">
        <f aca="false">IF(IFERROR(INDEX(Expenses!B$3:B$1002,SMALL(IF((Expenses!E$3:E$1002="INR")*(Expenses!A$3:A$1002=DATE(2026,10,19)),ROW(Expenses!A$3:A$1002)-2),1)),"")&lt;&gt;"",IFERROR(INDEX(Expenses!B$3:B$1002,SMALL(IF((Expenses!E$3:E$1002="INR")*(Expenses!A$3:A$1002=DATE(2026,10,19)),ROW(Expenses!A$3:A$1002)-2),1)),""),IF(IFERROR(INDEX(Income!B$3:B$502,SMALL(IF((Income!D$3:D$502="INR")*(Income!A$3:A$502=DATE(2026,10,19)),ROW(Income!A$3:A$502)-2),1)),"")&lt;&gt;"",IFERROR(INDEX(Income!B$3:B$502,SMALL(IF((Income!D$3:D$502="INR")*(Income!A$3:A$502=DATE(2026,10,19)),ROW(Income!A$3:A$502)-2),1)),""),""))</f>
        <v/>
      </c>
      <c r="E214" s="63" t="str">
        <f aca="false">IF(IFERROR(-INDEX(Expenses!D$3:D$1002,SMALL(IF((Expenses!E$3:E$1002="INR")*(Expenses!A$3:A$1002=DATE(2026,10,20)),ROW(Expenses!A$3:A$1002)-2),1)),0)+IFERROR(INDEX(Income!C$3:C$502,SMALL(IF((Income!D$3:D$502="INR")*(Income!A$3:A$502=DATE(2026,10,20)),ROW(Income!A$3:A$502)-2),1)),0)=0,"",IFERROR(-INDEX(Expenses!D$3:D$1002,SMALL(IF((Expenses!E$3:E$1002="INR")*(Expenses!A$3:A$1002=DATE(2026,10,20)),ROW(Expenses!A$3:A$1002)-2),1)),0)+IFERROR(INDEX(Income!C$3:C$502,SMALL(IF((Income!D$3:D$502="INR")*(Income!A$3:A$502=DATE(2026,10,20)),ROW(Income!A$3:A$502)-2),1)),0))</f>
        <v/>
      </c>
      <c r="F214" s="38" t="str">
        <f aca="false">IF(IFERROR(INDEX(Expenses!B$3:B$1002,SMALL(IF((Expenses!E$3:E$1002="INR")*(Expenses!A$3:A$1002=DATE(2026,10,20)),ROW(Expenses!A$3:A$1002)-2),1)),"")&lt;&gt;"",IFERROR(INDEX(Expenses!B$3:B$1002,SMALL(IF((Expenses!E$3:E$1002="INR")*(Expenses!A$3:A$1002=DATE(2026,10,20)),ROW(Expenses!A$3:A$1002)-2),1)),""),IF(IFERROR(INDEX(Income!B$3:B$502,SMALL(IF((Income!D$3:D$502="INR")*(Income!A$3:A$502=DATE(2026,10,20)),ROW(Income!A$3:A$502)-2),1)),"")&lt;&gt;"",IFERROR(INDEX(Income!B$3:B$502,SMALL(IF((Income!D$3:D$502="INR")*(Income!A$3:A$502=DATE(2026,10,20)),ROW(Income!A$3:A$502)-2),1)),""),""))</f>
        <v/>
      </c>
      <c r="G214" s="63" t="str">
        <f aca="false">IF(IFERROR(-INDEX(Expenses!D$3:D$1002,SMALL(IF((Expenses!E$3:E$1002="INR")*(Expenses!A$3:A$1002=DATE(2026,10,21)),ROW(Expenses!A$3:A$1002)-2),1)),0)+IFERROR(INDEX(Income!C$3:C$502,SMALL(IF((Income!D$3:D$502="INR")*(Income!A$3:A$502=DATE(2026,10,21)),ROW(Income!A$3:A$502)-2),1)),0)=0,"",IFERROR(-INDEX(Expenses!D$3:D$1002,SMALL(IF((Expenses!E$3:E$1002="INR")*(Expenses!A$3:A$1002=DATE(2026,10,21)),ROW(Expenses!A$3:A$1002)-2),1)),0)+IFERROR(INDEX(Income!C$3:C$502,SMALL(IF((Income!D$3:D$502="INR")*(Income!A$3:A$502=DATE(2026,10,21)),ROW(Income!A$3:A$502)-2),1)),0))</f>
        <v/>
      </c>
      <c r="H214" s="38" t="str">
        <f aca="false">IF(IFERROR(INDEX(Expenses!B$3:B$1002,SMALL(IF((Expenses!E$3:E$1002="INR")*(Expenses!A$3:A$1002=DATE(2026,10,21)),ROW(Expenses!A$3:A$1002)-2),1)),"")&lt;&gt;"",IFERROR(INDEX(Expenses!B$3:B$1002,SMALL(IF((Expenses!E$3:E$1002="INR")*(Expenses!A$3:A$1002=DATE(2026,10,21)),ROW(Expenses!A$3:A$1002)-2),1)),""),IF(IFERROR(INDEX(Income!B$3:B$502,SMALL(IF((Income!D$3:D$502="INR")*(Income!A$3:A$502=DATE(2026,10,21)),ROW(Income!A$3:A$502)-2),1)),"")&lt;&gt;"",IFERROR(INDEX(Income!B$3:B$502,SMALL(IF((Income!D$3:D$502="INR")*(Income!A$3:A$502=DATE(2026,10,21)),ROW(Income!A$3:A$502)-2),1)),""),""))</f>
        <v/>
      </c>
      <c r="I214" s="63" t="str">
        <f aca="false">IF(IFERROR(-INDEX(Expenses!D$3:D$1002,SMALL(IF((Expenses!E$3:E$1002="INR")*(Expenses!A$3:A$1002=DATE(2026,10,22)),ROW(Expenses!A$3:A$1002)-2),1)),0)+IFERROR(INDEX(Income!C$3:C$502,SMALL(IF((Income!D$3:D$502="INR")*(Income!A$3:A$502=DATE(2026,10,22)),ROW(Income!A$3:A$502)-2),1)),0)=0,"",IFERROR(-INDEX(Expenses!D$3:D$1002,SMALL(IF((Expenses!E$3:E$1002="INR")*(Expenses!A$3:A$1002=DATE(2026,10,22)),ROW(Expenses!A$3:A$1002)-2),1)),0)+IFERROR(INDEX(Income!C$3:C$502,SMALL(IF((Income!D$3:D$502="INR")*(Income!A$3:A$502=DATE(2026,10,22)),ROW(Income!A$3:A$502)-2),1)),0))</f>
        <v/>
      </c>
      <c r="J214" s="38" t="str">
        <f aca="false">IF(IFERROR(INDEX(Expenses!B$3:B$1002,SMALL(IF((Expenses!E$3:E$1002="INR")*(Expenses!A$3:A$1002=DATE(2026,10,22)),ROW(Expenses!A$3:A$1002)-2),1)),"")&lt;&gt;"",IFERROR(INDEX(Expenses!B$3:B$1002,SMALL(IF((Expenses!E$3:E$1002="INR")*(Expenses!A$3:A$1002=DATE(2026,10,22)),ROW(Expenses!A$3:A$1002)-2),1)),""),IF(IFERROR(INDEX(Income!B$3:B$502,SMALL(IF((Income!D$3:D$502="INR")*(Income!A$3:A$502=DATE(2026,10,22)),ROW(Income!A$3:A$502)-2),1)),"")&lt;&gt;"",IFERROR(INDEX(Income!B$3:B$502,SMALL(IF((Income!D$3:D$502="INR")*(Income!A$3:A$502=DATE(2026,10,22)),ROW(Income!A$3:A$502)-2),1)),""),""))</f>
        <v/>
      </c>
      <c r="K214" s="63" t="str">
        <f aca="false">IF(IFERROR(-INDEX(Expenses!D$3:D$1002,SMALL(IF((Expenses!E$3:E$1002="INR")*(Expenses!A$3:A$1002=DATE(2026,10,23)),ROW(Expenses!A$3:A$1002)-2),1)),0)+IFERROR(INDEX(Income!C$3:C$502,SMALL(IF((Income!D$3:D$502="INR")*(Income!A$3:A$502=DATE(2026,10,23)),ROW(Income!A$3:A$502)-2),1)),0)=0,"",IFERROR(-INDEX(Expenses!D$3:D$1002,SMALL(IF((Expenses!E$3:E$1002="INR")*(Expenses!A$3:A$1002=DATE(2026,10,23)),ROW(Expenses!A$3:A$1002)-2),1)),0)+IFERROR(INDEX(Income!C$3:C$502,SMALL(IF((Income!D$3:D$502="INR")*(Income!A$3:A$502=DATE(2026,10,23)),ROW(Income!A$3:A$502)-2),1)),0))</f>
        <v/>
      </c>
      <c r="L214" s="38" t="str">
        <f aca="false">IF(IFERROR(INDEX(Expenses!B$3:B$1002,SMALL(IF((Expenses!E$3:E$1002="INR")*(Expenses!A$3:A$1002=DATE(2026,10,23)),ROW(Expenses!A$3:A$1002)-2),1)),"")&lt;&gt;"",IFERROR(INDEX(Expenses!B$3:B$1002,SMALL(IF((Expenses!E$3:E$1002="INR")*(Expenses!A$3:A$1002=DATE(2026,10,23)),ROW(Expenses!A$3:A$1002)-2),1)),""),IF(IFERROR(INDEX(Income!B$3:B$502,SMALL(IF((Income!D$3:D$502="INR")*(Income!A$3:A$502=DATE(2026,10,23)),ROW(Income!A$3:A$502)-2),1)),"")&lt;&gt;"",IFERROR(INDEX(Income!B$3:B$502,SMALL(IF((Income!D$3:D$502="INR")*(Income!A$3:A$502=DATE(2026,10,23)),ROW(Income!A$3:A$502)-2),1)),""),""))</f>
        <v/>
      </c>
      <c r="M214" s="63" t="str">
        <f aca="false">IF(IFERROR(-INDEX(Expenses!D$3:D$1002,SMALL(IF((Expenses!E$3:E$1002="INR")*(Expenses!A$3:A$1002=DATE(2026,10,24)),ROW(Expenses!A$3:A$1002)-2),1)),0)+IFERROR(INDEX(Income!C$3:C$502,SMALL(IF((Income!D$3:D$502="INR")*(Income!A$3:A$502=DATE(2026,10,24)),ROW(Income!A$3:A$502)-2),1)),0)=0,"",IFERROR(-INDEX(Expenses!D$3:D$1002,SMALL(IF((Expenses!E$3:E$1002="INR")*(Expenses!A$3:A$1002=DATE(2026,10,24)),ROW(Expenses!A$3:A$1002)-2),1)),0)+IFERROR(INDEX(Income!C$3:C$502,SMALL(IF((Income!D$3:D$502="INR")*(Income!A$3:A$502=DATE(2026,10,24)),ROW(Income!A$3:A$502)-2),1)),0))</f>
        <v/>
      </c>
      <c r="N214" s="38" t="str">
        <f aca="false">IF(IFERROR(INDEX(Expenses!B$3:B$1002,SMALL(IF((Expenses!E$3:E$1002="INR")*(Expenses!A$3:A$1002=DATE(2026,10,24)),ROW(Expenses!A$3:A$1002)-2),1)),"")&lt;&gt;"",IFERROR(INDEX(Expenses!B$3:B$1002,SMALL(IF((Expenses!E$3:E$1002="INR")*(Expenses!A$3:A$1002=DATE(2026,10,24)),ROW(Expenses!A$3:A$1002)-2),1)),""),IF(IFERROR(INDEX(Income!B$3:B$502,SMALL(IF((Income!D$3:D$502="INR")*(Income!A$3:A$502=DATE(2026,10,24)),ROW(Income!A$3:A$502)-2),1)),"")&lt;&gt;"",IFERROR(INDEX(Income!B$3:B$502,SMALL(IF((Income!D$3:D$502="INR")*(Income!A$3:A$502=DATE(2026,10,24)),ROW(Income!A$3:A$502)-2),1)),""),""))</f>
        <v/>
      </c>
      <c r="O214" s="63" t="str">
        <f aca="false">IF(IFERROR(-INDEX(Expenses!D$3:D$1002,SMALL(IF((Expenses!E$3:E$1002="INR")*(Expenses!A$3:A$1002=DATE(2026,10,25)),ROW(Expenses!A$3:A$1002)-2),1)),0)+IFERROR(INDEX(Income!C$3:C$502,SMALL(IF((Income!D$3:D$502="INR")*(Income!A$3:A$502=DATE(2026,10,25)),ROW(Income!A$3:A$502)-2),1)),0)=0,"",IFERROR(-INDEX(Expenses!D$3:D$1002,SMALL(IF((Expenses!E$3:E$1002="INR")*(Expenses!A$3:A$1002=DATE(2026,10,25)),ROW(Expenses!A$3:A$1002)-2),1)),0)+IFERROR(INDEX(Income!C$3:C$502,SMALL(IF((Income!D$3:D$502="INR")*(Income!A$3:A$502=DATE(2026,10,25)),ROW(Income!A$3:A$502)-2),1)),0))</f>
        <v/>
      </c>
      <c r="P214" s="38" t="str">
        <f aca="false">IF(IFERROR(INDEX(Expenses!B$3:B$1002,SMALL(IF((Expenses!E$3:E$1002="INR")*(Expenses!A$3:A$1002=DATE(2026,10,25)),ROW(Expenses!A$3:A$1002)-2),1)),"")&lt;&gt;"",IFERROR(INDEX(Expenses!B$3:B$1002,SMALL(IF((Expenses!E$3:E$1002="INR")*(Expenses!A$3:A$1002=DATE(2026,10,25)),ROW(Expenses!A$3:A$1002)-2),1)),""),IF(IFERROR(INDEX(Income!B$3:B$502,SMALL(IF((Income!D$3:D$502="INR")*(Income!A$3:A$502=DATE(2026,10,25)),ROW(Income!A$3:A$502)-2),1)),"")&lt;&gt;"",IFERROR(INDEX(Income!B$3:B$502,SMALL(IF((Income!D$3:D$502="INR")*(Income!A$3:A$502=DATE(2026,10,25)),ROW(Income!A$3:A$502)-2),1)),""),""))</f>
        <v/>
      </c>
      <c r="Q214" s="3" t="n">
        <v>43</v>
      </c>
      <c r="R214" s="53" t="n">
        <f aca="false">SUM(C214:C218)+SUM(E214:E218)+SUM(G214:G218)+SUM(I214:I218)+SUM(K214:K218)+SUM(M214:M218)+SUM(O214:O218)</f>
        <v>0</v>
      </c>
    </row>
    <row r="215" customFormat="false" ht="15" hidden="false" customHeight="false" outlineLevel="0" collapsed="false">
      <c r="A215" s="16"/>
      <c r="B215" s="16"/>
      <c r="C215" s="63" t="str">
        <f aca="false">IF(IFERROR(-INDEX(Expenses!D$3:D$1002,SMALL(IF((Expenses!E$3:E$1002="INR")*(Expenses!A$3:A$1002=DATE(2026,10,19)),ROW(Expenses!A$3:A$1002)-2),2)),0)+IFERROR(INDEX(Income!C$3:C$502,SMALL(IF((Income!D$3:D$502="INR")*(Income!A$3:A$502=DATE(2026,10,19)),ROW(Income!A$3:A$502)-2),2)),0)=0,"",IFERROR(-INDEX(Expenses!D$3:D$1002,SMALL(IF((Expenses!E$3:E$1002="INR")*(Expenses!A$3:A$1002=DATE(2026,10,19)),ROW(Expenses!A$3:A$1002)-2),2)),0)+IFERROR(INDEX(Income!C$3:C$502,SMALL(IF((Income!D$3:D$502="INR")*(Income!A$3:A$502=DATE(2026,10,19)),ROW(Income!A$3:A$502)-2),2)),0))</f>
        <v/>
      </c>
      <c r="D215" s="38" t="str">
        <f aca="false">IF(IFERROR(INDEX(Expenses!B$3:B$1002,SMALL(IF((Expenses!E$3:E$1002="INR")*(Expenses!A$3:A$1002=DATE(2026,10,19)),ROW(Expenses!A$3:A$1002)-2),2)),"")&lt;&gt;"",IFERROR(INDEX(Expenses!B$3:B$1002,SMALL(IF((Expenses!E$3:E$1002="INR")*(Expenses!A$3:A$1002=DATE(2026,10,19)),ROW(Expenses!A$3:A$1002)-2),2)),""),IF(IFERROR(INDEX(Income!B$3:B$502,SMALL(IF((Income!D$3:D$502="INR")*(Income!A$3:A$502=DATE(2026,10,19)),ROW(Income!A$3:A$502)-2),2)),"")&lt;&gt;"",IFERROR(INDEX(Income!B$3:B$502,SMALL(IF((Income!D$3:D$502="INR")*(Income!A$3:A$502=DATE(2026,10,19)),ROW(Income!A$3:A$502)-2),2)),""),""))</f>
        <v/>
      </c>
      <c r="E215" s="63" t="str">
        <f aca="false">IF(IFERROR(-INDEX(Expenses!D$3:D$1002,SMALL(IF((Expenses!E$3:E$1002="INR")*(Expenses!A$3:A$1002=DATE(2026,10,20)),ROW(Expenses!A$3:A$1002)-2),2)),0)+IFERROR(INDEX(Income!C$3:C$502,SMALL(IF((Income!D$3:D$502="INR")*(Income!A$3:A$502=DATE(2026,10,20)),ROW(Income!A$3:A$502)-2),2)),0)=0,"",IFERROR(-INDEX(Expenses!D$3:D$1002,SMALL(IF((Expenses!E$3:E$1002="INR")*(Expenses!A$3:A$1002=DATE(2026,10,20)),ROW(Expenses!A$3:A$1002)-2),2)),0)+IFERROR(INDEX(Income!C$3:C$502,SMALL(IF((Income!D$3:D$502="INR")*(Income!A$3:A$502=DATE(2026,10,20)),ROW(Income!A$3:A$502)-2),2)),0))</f>
        <v/>
      </c>
      <c r="F215" s="38" t="str">
        <f aca="false">IF(IFERROR(INDEX(Expenses!B$3:B$1002,SMALL(IF((Expenses!E$3:E$1002="INR")*(Expenses!A$3:A$1002=DATE(2026,10,20)),ROW(Expenses!A$3:A$1002)-2),2)),"")&lt;&gt;"",IFERROR(INDEX(Expenses!B$3:B$1002,SMALL(IF((Expenses!E$3:E$1002="INR")*(Expenses!A$3:A$1002=DATE(2026,10,20)),ROW(Expenses!A$3:A$1002)-2),2)),""),IF(IFERROR(INDEX(Income!B$3:B$502,SMALL(IF((Income!D$3:D$502="INR")*(Income!A$3:A$502=DATE(2026,10,20)),ROW(Income!A$3:A$502)-2),2)),"")&lt;&gt;"",IFERROR(INDEX(Income!B$3:B$502,SMALL(IF((Income!D$3:D$502="INR")*(Income!A$3:A$502=DATE(2026,10,20)),ROW(Income!A$3:A$502)-2),2)),""),""))</f>
        <v/>
      </c>
      <c r="G215" s="63" t="str">
        <f aca="false">IF(IFERROR(-INDEX(Expenses!D$3:D$1002,SMALL(IF((Expenses!E$3:E$1002="INR")*(Expenses!A$3:A$1002=DATE(2026,10,21)),ROW(Expenses!A$3:A$1002)-2),2)),0)+IFERROR(INDEX(Income!C$3:C$502,SMALL(IF((Income!D$3:D$502="INR")*(Income!A$3:A$502=DATE(2026,10,21)),ROW(Income!A$3:A$502)-2),2)),0)=0,"",IFERROR(-INDEX(Expenses!D$3:D$1002,SMALL(IF((Expenses!E$3:E$1002="INR")*(Expenses!A$3:A$1002=DATE(2026,10,21)),ROW(Expenses!A$3:A$1002)-2),2)),0)+IFERROR(INDEX(Income!C$3:C$502,SMALL(IF((Income!D$3:D$502="INR")*(Income!A$3:A$502=DATE(2026,10,21)),ROW(Income!A$3:A$502)-2),2)),0))</f>
        <v/>
      </c>
      <c r="H215" s="38" t="str">
        <f aca="false">IF(IFERROR(INDEX(Expenses!B$3:B$1002,SMALL(IF((Expenses!E$3:E$1002="INR")*(Expenses!A$3:A$1002=DATE(2026,10,21)),ROW(Expenses!A$3:A$1002)-2),2)),"")&lt;&gt;"",IFERROR(INDEX(Expenses!B$3:B$1002,SMALL(IF((Expenses!E$3:E$1002="INR")*(Expenses!A$3:A$1002=DATE(2026,10,21)),ROW(Expenses!A$3:A$1002)-2),2)),""),IF(IFERROR(INDEX(Income!B$3:B$502,SMALL(IF((Income!D$3:D$502="INR")*(Income!A$3:A$502=DATE(2026,10,21)),ROW(Income!A$3:A$502)-2),2)),"")&lt;&gt;"",IFERROR(INDEX(Income!B$3:B$502,SMALL(IF((Income!D$3:D$502="INR")*(Income!A$3:A$502=DATE(2026,10,21)),ROW(Income!A$3:A$502)-2),2)),""),""))</f>
        <v/>
      </c>
      <c r="I215" s="63" t="str">
        <f aca="false">IF(IFERROR(-INDEX(Expenses!D$3:D$1002,SMALL(IF((Expenses!E$3:E$1002="INR")*(Expenses!A$3:A$1002=DATE(2026,10,22)),ROW(Expenses!A$3:A$1002)-2),2)),0)+IFERROR(INDEX(Income!C$3:C$502,SMALL(IF((Income!D$3:D$502="INR")*(Income!A$3:A$502=DATE(2026,10,22)),ROW(Income!A$3:A$502)-2),2)),0)=0,"",IFERROR(-INDEX(Expenses!D$3:D$1002,SMALL(IF((Expenses!E$3:E$1002="INR")*(Expenses!A$3:A$1002=DATE(2026,10,22)),ROW(Expenses!A$3:A$1002)-2),2)),0)+IFERROR(INDEX(Income!C$3:C$502,SMALL(IF((Income!D$3:D$502="INR")*(Income!A$3:A$502=DATE(2026,10,22)),ROW(Income!A$3:A$502)-2),2)),0))</f>
        <v/>
      </c>
      <c r="J215" s="38" t="str">
        <f aca="false">IF(IFERROR(INDEX(Expenses!B$3:B$1002,SMALL(IF((Expenses!E$3:E$1002="INR")*(Expenses!A$3:A$1002=DATE(2026,10,22)),ROW(Expenses!A$3:A$1002)-2),2)),"")&lt;&gt;"",IFERROR(INDEX(Expenses!B$3:B$1002,SMALL(IF((Expenses!E$3:E$1002="INR")*(Expenses!A$3:A$1002=DATE(2026,10,22)),ROW(Expenses!A$3:A$1002)-2),2)),""),IF(IFERROR(INDEX(Income!B$3:B$502,SMALL(IF((Income!D$3:D$502="INR")*(Income!A$3:A$502=DATE(2026,10,22)),ROW(Income!A$3:A$502)-2),2)),"")&lt;&gt;"",IFERROR(INDEX(Income!B$3:B$502,SMALL(IF((Income!D$3:D$502="INR")*(Income!A$3:A$502=DATE(2026,10,22)),ROW(Income!A$3:A$502)-2),2)),""),""))</f>
        <v/>
      </c>
      <c r="K215" s="63" t="str">
        <f aca="false">IF(IFERROR(-INDEX(Expenses!D$3:D$1002,SMALL(IF((Expenses!E$3:E$1002="INR")*(Expenses!A$3:A$1002=DATE(2026,10,23)),ROW(Expenses!A$3:A$1002)-2),2)),0)+IFERROR(INDEX(Income!C$3:C$502,SMALL(IF((Income!D$3:D$502="INR")*(Income!A$3:A$502=DATE(2026,10,23)),ROW(Income!A$3:A$502)-2),2)),0)=0,"",IFERROR(-INDEX(Expenses!D$3:D$1002,SMALL(IF((Expenses!E$3:E$1002="INR")*(Expenses!A$3:A$1002=DATE(2026,10,23)),ROW(Expenses!A$3:A$1002)-2),2)),0)+IFERROR(INDEX(Income!C$3:C$502,SMALL(IF((Income!D$3:D$502="INR")*(Income!A$3:A$502=DATE(2026,10,23)),ROW(Income!A$3:A$502)-2),2)),0))</f>
        <v/>
      </c>
      <c r="L215" s="38" t="str">
        <f aca="false">IF(IFERROR(INDEX(Expenses!B$3:B$1002,SMALL(IF((Expenses!E$3:E$1002="INR")*(Expenses!A$3:A$1002=DATE(2026,10,23)),ROW(Expenses!A$3:A$1002)-2),2)),"")&lt;&gt;"",IFERROR(INDEX(Expenses!B$3:B$1002,SMALL(IF((Expenses!E$3:E$1002="INR")*(Expenses!A$3:A$1002=DATE(2026,10,23)),ROW(Expenses!A$3:A$1002)-2),2)),""),IF(IFERROR(INDEX(Income!B$3:B$502,SMALL(IF((Income!D$3:D$502="INR")*(Income!A$3:A$502=DATE(2026,10,23)),ROW(Income!A$3:A$502)-2),2)),"")&lt;&gt;"",IFERROR(INDEX(Income!B$3:B$502,SMALL(IF((Income!D$3:D$502="INR")*(Income!A$3:A$502=DATE(2026,10,23)),ROW(Income!A$3:A$502)-2),2)),""),""))</f>
        <v/>
      </c>
      <c r="M215" s="63" t="str">
        <f aca="false">IF(IFERROR(-INDEX(Expenses!D$3:D$1002,SMALL(IF((Expenses!E$3:E$1002="INR")*(Expenses!A$3:A$1002=DATE(2026,10,24)),ROW(Expenses!A$3:A$1002)-2),2)),0)+IFERROR(INDEX(Income!C$3:C$502,SMALL(IF((Income!D$3:D$502="INR")*(Income!A$3:A$502=DATE(2026,10,24)),ROW(Income!A$3:A$502)-2),2)),0)=0,"",IFERROR(-INDEX(Expenses!D$3:D$1002,SMALL(IF((Expenses!E$3:E$1002="INR")*(Expenses!A$3:A$1002=DATE(2026,10,24)),ROW(Expenses!A$3:A$1002)-2),2)),0)+IFERROR(INDEX(Income!C$3:C$502,SMALL(IF((Income!D$3:D$502="INR")*(Income!A$3:A$502=DATE(2026,10,24)),ROW(Income!A$3:A$502)-2),2)),0))</f>
        <v/>
      </c>
      <c r="N215" s="38" t="str">
        <f aca="false">IF(IFERROR(INDEX(Expenses!B$3:B$1002,SMALL(IF((Expenses!E$3:E$1002="INR")*(Expenses!A$3:A$1002=DATE(2026,10,24)),ROW(Expenses!A$3:A$1002)-2),2)),"")&lt;&gt;"",IFERROR(INDEX(Expenses!B$3:B$1002,SMALL(IF((Expenses!E$3:E$1002="INR")*(Expenses!A$3:A$1002=DATE(2026,10,24)),ROW(Expenses!A$3:A$1002)-2),2)),""),IF(IFERROR(INDEX(Income!B$3:B$502,SMALL(IF((Income!D$3:D$502="INR")*(Income!A$3:A$502=DATE(2026,10,24)),ROW(Income!A$3:A$502)-2),2)),"")&lt;&gt;"",IFERROR(INDEX(Income!B$3:B$502,SMALL(IF((Income!D$3:D$502="INR")*(Income!A$3:A$502=DATE(2026,10,24)),ROW(Income!A$3:A$502)-2),2)),""),""))</f>
        <v/>
      </c>
      <c r="O215" s="63" t="str">
        <f aca="false">IF(IFERROR(-INDEX(Expenses!D$3:D$1002,SMALL(IF((Expenses!E$3:E$1002="INR")*(Expenses!A$3:A$1002=DATE(2026,10,25)),ROW(Expenses!A$3:A$1002)-2),2)),0)+IFERROR(INDEX(Income!C$3:C$502,SMALL(IF((Income!D$3:D$502="INR")*(Income!A$3:A$502=DATE(2026,10,25)),ROW(Income!A$3:A$502)-2),2)),0)=0,"",IFERROR(-INDEX(Expenses!D$3:D$1002,SMALL(IF((Expenses!E$3:E$1002="INR")*(Expenses!A$3:A$1002=DATE(2026,10,25)),ROW(Expenses!A$3:A$1002)-2),2)),0)+IFERROR(INDEX(Income!C$3:C$502,SMALL(IF((Income!D$3:D$502="INR")*(Income!A$3:A$502=DATE(2026,10,25)),ROW(Income!A$3:A$502)-2),2)),0))</f>
        <v/>
      </c>
      <c r="P215" s="38" t="str">
        <f aca="false">IF(IFERROR(INDEX(Expenses!B$3:B$1002,SMALL(IF((Expenses!E$3:E$1002="INR")*(Expenses!A$3:A$1002=DATE(2026,10,25)),ROW(Expenses!A$3:A$1002)-2),2)),"")&lt;&gt;"",IFERROR(INDEX(Expenses!B$3:B$1002,SMALL(IF((Expenses!E$3:E$1002="INR")*(Expenses!A$3:A$1002=DATE(2026,10,25)),ROW(Expenses!A$3:A$1002)-2),2)),""),IF(IFERROR(INDEX(Income!B$3:B$502,SMALL(IF((Income!D$3:D$502="INR")*(Income!A$3:A$502=DATE(2026,10,25)),ROW(Income!A$3:A$502)-2),2)),"")&lt;&gt;"",IFERROR(INDEX(Income!B$3:B$502,SMALL(IF((Income!D$3:D$502="INR")*(Income!A$3:A$502=DATE(2026,10,25)),ROW(Income!A$3:A$502)-2),2)),""),""))</f>
        <v/>
      </c>
      <c r="Q215" s="16"/>
      <c r="R215" s="16"/>
    </row>
    <row r="216" customFormat="false" ht="15" hidden="false" customHeight="false" outlineLevel="0" collapsed="false">
      <c r="A216" s="16"/>
      <c r="B216" s="16"/>
      <c r="C216" s="63" t="str">
        <f aca="false">IF(IFERROR(-INDEX(Expenses!D$3:D$1002,SMALL(IF((Expenses!E$3:E$1002="INR")*(Expenses!A$3:A$1002=DATE(2026,10,19)),ROW(Expenses!A$3:A$1002)-2),3)),0)+IFERROR(INDEX(Income!C$3:C$502,SMALL(IF((Income!D$3:D$502="INR")*(Income!A$3:A$502=DATE(2026,10,19)),ROW(Income!A$3:A$502)-2),3)),0)=0,"",IFERROR(-INDEX(Expenses!D$3:D$1002,SMALL(IF((Expenses!E$3:E$1002="INR")*(Expenses!A$3:A$1002=DATE(2026,10,19)),ROW(Expenses!A$3:A$1002)-2),3)),0)+IFERROR(INDEX(Income!C$3:C$502,SMALL(IF((Income!D$3:D$502="INR")*(Income!A$3:A$502=DATE(2026,10,19)),ROW(Income!A$3:A$502)-2),3)),0))</f>
        <v/>
      </c>
      <c r="D216" s="38" t="str">
        <f aca="false">IF(IFERROR(INDEX(Expenses!B$3:B$1002,SMALL(IF((Expenses!E$3:E$1002="INR")*(Expenses!A$3:A$1002=DATE(2026,10,19)),ROW(Expenses!A$3:A$1002)-2),3)),"")&lt;&gt;"",IFERROR(INDEX(Expenses!B$3:B$1002,SMALL(IF((Expenses!E$3:E$1002="INR")*(Expenses!A$3:A$1002=DATE(2026,10,19)),ROW(Expenses!A$3:A$1002)-2),3)),""),IF(IFERROR(INDEX(Income!B$3:B$502,SMALL(IF((Income!D$3:D$502="INR")*(Income!A$3:A$502=DATE(2026,10,19)),ROW(Income!A$3:A$502)-2),3)),"")&lt;&gt;"",IFERROR(INDEX(Income!B$3:B$502,SMALL(IF((Income!D$3:D$502="INR")*(Income!A$3:A$502=DATE(2026,10,19)),ROW(Income!A$3:A$502)-2),3)),""),""))</f>
        <v/>
      </c>
      <c r="E216" s="63" t="str">
        <f aca="false">IF(IFERROR(-INDEX(Expenses!D$3:D$1002,SMALL(IF((Expenses!E$3:E$1002="INR")*(Expenses!A$3:A$1002=DATE(2026,10,20)),ROW(Expenses!A$3:A$1002)-2),3)),0)+IFERROR(INDEX(Income!C$3:C$502,SMALL(IF((Income!D$3:D$502="INR")*(Income!A$3:A$502=DATE(2026,10,20)),ROW(Income!A$3:A$502)-2),3)),0)=0,"",IFERROR(-INDEX(Expenses!D$3:D$1002,SMALL(IF((Expenses!E$3:E$1002="INR")*(Expenses!A$3:A$1002=DATE(2026,10,20)),ROW(Expenses!A$3:A$1002)-2),3)),0)+IFERROR(INDEX(Income!C$3:C$502,SMALL(IF((Income!D$3:D$502="INR")*(Income!A$3:A$502=DATE(2026,10,20)),ROW(Income!A$3:A$502)-2),3)),0))</f>
        <v/>
      </c>
      <c r="F216" s="38" t="str">
        <f aca="false">IF(IFERROR(INDEX(Expenses!B$3:B$1002,SMALL(IF((Expenses!E$3:E$1002="INR")*(Expenses!A$3:A$1002=DATE(2026,10,20)),ROW(Expenses!A$3:A$1002)-2),3)),"")&lt;&gt;"",IFERROR(INDEX(Expenses!B$3:B$1002,SMALL(IF((Expenses!E$3:E$1002="INR")*(Expenses!A$3:A$1002=DATE(2026,10,20)),ROW(Expenses!A$3:A$1002)-2),3)),""),IF(IFERROR(INDEX(Income!B$3:B$502,SMALL(IF((Income!D$3:D$502="INR")*(Income!A$3:A$502=DATE(2026,10,20)),ROW(Income!A$3:A$502)-2),3)),"")&lt;&gt;"",IFERROR(INDEX(Income!B$3:B$502,SMALL(IF((Income!D$3:D$502="INR")*(Income!A$3:A$502=DATE(2026,10,20)),ROW(Income!A$3:A$502)-2),3)),""),""))</f>
        <v/>
      </c>
      <c r="G216" s="63" t="str">
        <f aca="false">IF(IFERROR(-INDEX(Expenses!D$3:D$1002,SMALL(IF((Expenses!E$3:E$1002="INR")*(Expenses!A$3:A$1002=DATE(2026,10,21)),ROW(Expenses!A$3:A$1002)-2),3)),0)+IFERROR(INDEX(Income!C$3:C$502,SMALL(IF((Income!D$3:D$502="INR")*(Income!A$3:A$502=DATE(2026,10,21)),ROW(Income!A$3:A$502)-2),3)),0)=0,"",IFERROR(-INDEX(Expenses!D$3:D$1002,SMALL(IF((Expenses!E$3:E$1002="INR")*(Expenses!A$3:A$1002=DATE(2026,10,21)),ROW(Expenses!A$3:A$1002)-2),3)),0)+IFERROR(INDEX(Income!C$3:C$502,SMALL(IF((Income!D$3:D$502="INR")*(Income!A$3:A$502=DATE(2026,10,21)),ROW(Income!A$3:A$502)-2),3)),0))</f>
        <v/>
      </c>
      <c r="H216" s="38" t="str">
        <f aca="false">IF(IFERROR(INDEX(Expenses!B$3:B$1002,SMALL(IF((Expenses!E$3:E$1002="INR")*(Expenses!A$3:A$1002=DATE(2026,10,21)),ROW(Expenses!A$3:A$1002)-2),3)),"")&lt;&gt;"",IFERROR(INDEX(Expenses!B$3:B$1002,SMALL(IF((Expenses!E$3:E$1002="INR")*(Expenses!A$3:A$1002=DATE(2026,10,21)),ROW(Expenses!A$3:A$1002)-2),3)),""),IF(IFERROR(INDEX(Income!B$3:B$502,SMALL(IF((Income!D$3:D$502="INR")*(Income!A$3:A$502=DATE(2026,10,21)),ROW(Income!A$3:A$502)-2),3)),"")&lt;&gt;"",IFERROR(INDEX(Income!B$3:B$502,SMALL(IF((Income!D$3:D$502="INR")*(Income!A$3:A$502=DATE(2026,10,21)),ROW(Income!A$3:A$502)-2),3)),""),""))</f>
        <v/>
      </c>
      <c r="I216" s="63" t="str">
        <f aca="false">IF(IFERROR(-INDEX(Expenses!D$3:D$1002,SMALL(IF((Expenses!E$3:E$1002="INR")*(Expenses!A$3:A$1002=DATE(2026,10,22)),ROW(Expenses!A$3:A$1002)-2),3)),0)+IFERROR(INDEX(Income!C$3:C$502,SMALL(IF((Income!D$3:D$502="INR")*(Income!A$3:A$502=DATE(2026,10,22)),ROW(Income!A$3:A$502)-2),3)),0)=0,"",IFERROR(-INDEX(Expenses!D$3:D$1002,SMALL(IF((Expenses!E$3:E$1002="INR")*(Expenses!A$3:A$1002=DATE(2026,10,22)),ROW(Expenses!A$3:A$1002)-2),3)),0)+IFERROR(INDEX(Income!C$3:C$502,SMALL(IF((Income!D$3:D$502="INR")*(Income!A$3:A$502=DATE(2026,10,22)),ROW(Income!A$3:A$502)-2),3)),0))</f>
        <v/>
      </c>
      <c r="J216" s="38" t="str">
        <f aca="false">IF(IFERROR(INDEX(Expenses!B$3:B$1002,SMALL(IF((Expenses!E$3:E$1002="INR")*(Expenses!A$3:A$1002=DATE(2026,10,22)),ROW(Expenses!A$3:A$1002)-2),3)),"")&lt;&gt;"",IFERROR(INDEX(Expenses!B$3:B$1002,SMALL(IF((Expenses!E$3:E$1002="INR")*(Expenses!A$3:A$1002=DATE(2026,10,22)),ROW(Expenses!A$3:A$1002)-2),3)),""),IF(IFERROR(INDEX(Income!B$3:B$502,SMALL(IF((Income!D$3:D$502="INR")*(Income!A$3:A$502=DATE(2026,10,22)),ROW(Income!A$3:A$502)-2),3)),"")&lt;&gt;"",IFERROR(INDEX(Income!B$3:B$502,SMALL(IF((Income!D$3:D$502="INR")*(Income!A$3:A$502=DATE(2026,10,22)),ROW(Income!A$3:A$502)-2),3)),""),""))</f>
        <v/>
      </c>
      <c r="K216" s="63" t="str">
        <f aca="false">IF(IFERROR(-INDEX(Expenses!D$3:D$1002,SMALL(IF((Expenses!E$3:E$1002="INR")*(Expenses!A$3:A$1002=DATE(2026,10,23)),ROW(Expenses!A$3:A$1002)-2),3)),0)+IFERROR(INDEX(Income!C$3:C$502,SMALL(IF((Income!D$3:D$502="INR")*(Income!A$3:A$502=DATE(2026,10,23)),ROW(Income!A$3:A$502)-2),3)),0)=0,"",IFERROR(-INDEX(Expenses!D$3:D$1002,SMALL(IF((Expenses!E$3:E$1002="INR")*(Expenses!A$3:A$1002=DATE(2026,10,23)),ROW(Expenses!A$3:A$1002)-2),3)),0)+IFERROR(INDEX(Income!C$3:C$502,SMALL(IF((Income!D$3:D$502="INR")*(Income!A$3:A$502=DATE(2026,10,23)),ROW(Income!A$3:A$502)-2),3)),0))</f>
        <v/>
      </c>
      <c r="L216" s="38" t="str">
        <f aca="false">IF(IFERROR(INDEX(Expenses!B$3:B$1002,SMALL(IF((Expenses!E$3:E$1002="INR")*(Expenses!A$3:A$1002=DATE(2026,10,23)),ROW(Expenses!A$3:A$1002)-2),3)),"")&lt;&gt;"",IFERROR(INDEX(Expenses!B$3:B$1002,SMALL(IF((Expenses!E$3:E$1002="INR")*(Expenses!A$3:A$1002=DATE(2026,10,23)),ROW(Expenses!A$3:A$1002)-2),3)),""),IF(IFERROR(INDEX(Income!B$3:B$502,SMALL(IF((Income!D$3:D$502="INR")*(Income!A$3:A$502=DATE(2026,10,23)),ROW(Income!A$3:A$502)-2),3)),"")&lt;&gt;"",IFERROR(INDEX(Income!B$3:B$502,SMALL(IF((Income!D$3:D$502="INR")*(Income!A$3:A$502=DATE(2026,10,23)),ROW(Income!A$3:A$502)-2),3)),""),""))</f>
        <v/>
      </c>
      <c r="M216" s="63" t="str">
        <f aca="false">IF(IFERROR(-INDEX(Expenses!D$3:D$1002,SMALL(IF((Expenses!E$3:E$1002="INR")*(Expenses!A$3:A$1002=DATE(2026,10,24)),ROW(Expenses!A$3:A$1002)-2),3)),0)+IFERROR(INDEX(Income!C$3:C$502,SMALL(IF((Income!D$3:D$502="INR")*(Income!A$3:A$502=DATE(2026,10,24)),ROW(Income!A$3:A$502)-2),3)),0)=0,"",IFERROR(-INDEX(Expenses!D$3:D$1002,SMALL(IF((Expenses!E$3:E$1002="INR")*(Expenses!A$3:A$1002=DATE(2026,10,24)),ROW(Expenses!A$3:A$1002)-2),3)),0)+IFERROR(INDEX(Income!C$3:C$502,SMALL(IF((Income!D$3:D$502="INR")*(Income!A$3:A$502=DATE(2026,10,24)),ROW(Income!A$3:A$502)-2),3)),0))</f>
        <v/>
      </c>
      <c r="N216" s="38" t="str">
        <f aca="false">IF(IFERROR(INDEX(Expenses!B$3:B$1002,SMALL(IF((Expenses!E$3:E$1002="INR")*(Expenses!A$3:A$1002=DATE(2026,10,24)),ROW(Expenses!A$3:A$1002)-2),3)),"")&lt;&gt;"",IFERROR(INDEX(Expenses!B$3:B$1002,SMALL(IF((Expenses!E$3:E$1002="INR")*(Expenses!A$3:A$1002=DATE(2026,10,24)),ROW(Expenses!A$3:A$1002)-2),3)),""),IF(IFERROR(INDEX(Income!B$3:B$502,SMALL(IF((Income!D$3:D$502="INR")*(Income!A$3:A$502=DATE(2026,10,24)),ROW(Income!A$3:A$502)-2),3)),"")&lt;&gt;"",IFERROR(INDEX(Income!B$3:B$502,SMALL(IF((Income!D$3:D$502="INR")*(Income!A$3:A$502=DATE(2026,10,24)),ROW(Income!A$3:A$502)-2),3)),""),""))</f>
        <v/>
      </c>
      <c r="O216" s="63" t="str">
        <f aca="false">IF(IFERROR(-INDEX(Expenses!D$3:D$1002,SMALL(IF((Expenses!E$3:E$1002="INR")*(Expenses!A$3:A$1002=DATE(2026,10,25)),ROW(Expenses!A$3:A$1002)-2),3)),0)+IFERROR(INDEX(Income!C$3:C$502,SMALL(IF((Income!D$3:D$502="INR")*(Income!A$3:A$502=DATE(2026,10,25)),ROW(Income!A$3:A$502)-2),3)),0)=0,"",IFERROR(-INDEX(Expenses!D$3:D$1002,SMALL(IF((Expenses!E$3:E$1002="INR")*(Expenses!A$3:A$1002=DATE(2026,10,25)),ROW(Expenses!A$3:A$1002)-2),3)),0)+IFERROR(INDEX(Income!C$3:C$502,SMALL(IF((Income!D$3:D$502="INR")*(Income!A$3:A$502=DATE(2026,10,25)),ROW(Income!A$3:A$502)-2),3)),0))</f>
        <v/>
      </c>
      <c r="P216" s="38" t="str">
        <f aca="false">IF(IFERROR(INDEX(Expenses!B$3:B$1002,SMALL(IF((Expenses!E$3:E$1002="INR")*(Expenses!A$3:A$1002=DATE(2026,10,25)),ROW(Expenses!A$3:A$1002)-2),3)),"")&lt;&gt;"",IFERROR(INDEX(Expenses!B$3:B$1002,SMALL(IF((Expenses!E$3:E$1002="INR")*(Expenses!A$3:A$1002=DATE(2026,10,25)),ROW(Expenses!A$3:A$1002)-2),3)),""),IF(IFERROR(INDEX(Income!B$3:B$502,SMALL(IF((Income!D$3:D$502="INR")*(Income!A$3:A$502=DATE(2026,10,25)),ROW(Income!A$3:A$502)-2),3)),"")&lt;&gt;"",IFERROR(INDEX(Income!B$3:B$502,SMALL(IF((Income!D$3:D$502="INR")*(Income!A$3:A$502=DATE(2026,10,25)),ROW(Income!A$3:A$502)-2),3)),""),""))</f>
        <v/>
      </c>
      <c r="Q216" s="16"/>
      <c r="R216" s="16"/>
    </row>
    <row r="217" customFormat="false" ht="15" hidden="false" customHeight="false" outlineLevel="0" collapsed="false">
      <c r="A217" s="16"/>
      <c r="B217" s="16"/>
      <c r="C217" s="63" t="str">
        <f aca="false">IF(IFERROR(-INDEX(Expenses!D$3:D$1002,SMALL(IF((Expenses!E$3:E$1002="INR")*(Expenses!A$3:A$1002=DATE(2026,10,19)),ROW(Expenses!A$3:A$1002)-2),4)),0)+IFERROR(INDEX(Income!C$3:C$502,SMALL(IF((Income!D$3:D$502="INR")*(Income!A$3:A$502=DATE(2026,10,19)),ROW(Income!A$3:A$502)-2),4)),0)=0,"",IFERROR(-INDEX(Expenses!D$3:D$1002,SMALL(IF((Expenses!E$3:E$1002="INR")*(Expenses!A$3:A$1002=DATE(2026,10,19)),ROW(Expenses!A$3:A$1002)-2),4)),0)+IFERROR(INDEX(Income!C$3:C$502,SMALL(IF((Income!D$3:D$502="INR")*(Income!A$3:A$502=DATE(2026,10,19)),ROW(Income!A$3:A$502)-2),4)),0))</f>
        <v/>
      </c>
      <c r="D217" s="38" t="str">
        <f aca="false">IF(IFERROR(INDEX(Expenses!B$3:B$1002,SMALL(IF((Expenses!E$3:E$1002="INR")*(Expenses!A$3:A$1002=DATE(2026,10,19)),ROW(Expenses!A$3:A$1002)-2),4)),"")&lt;&gt;"",IFERROR(INDEX(Expenses!B$3:B$1002,SMALL(IF((Expenses!E$3:E$1002="INR")*(Expenses!A$3:A$1002=DATE(2026,10,19)),ROW(Expenses!A$3:A$1002)-2),4)),""),IF(IFERROR(INDEX(Income!B$3:B$502,SMALL(IF((Income!D$3:D$502="INR")*(Income!A$3:A$502=DATE(2026,10,19)),ROW(Income!A$3:A$502)-2),4)),"")&lt;&gt;"",IFERROR(INDEX(Income!B$3:B$502,SMALL(IF((Income!D$3:D$502="INR")*(Income!A$3:A$502=DATE(2026,10,19)),ROW(Income!A$3:A$502)-2),4)),""),""))</f>
        <v/>
      </c>
      <c r="E217" s="63" t="str">
        <f aca="false">IF(IFERROR(-INDEX(Expenses!D$3:D$1002,SMALL(IF((Expenses!E$3:E$1002="INR")*(Expenses!A$3:A$1002=DATE(2026,10,20)),ROW(Expenses!A$3:A$1002)-2),4)),0)+IFERROR(INDEX(Income!C$3:C$502,SMALL(IF((Income!D$3:D$502="INR")*(Income!A$3:A$502=DATE(2026,10,20)),ROW(Income!A$3:A$502)-2),4)),0)=0,"",IFERROR(-INDEX(Expenses!D$3:D$1002,SMALL(IF((Expenses!E$3:E$1002="INR")*(Expenses!A$3:A$1002=DATE(2026,10,20)),ROW(Expenses!A$3:A$1002)-2),4)),0)+IFERROR(INDEX(Income!C$3:C$502,SMALL(IF((Income!D$3:D$502="INR")*(Income!A$3:A$502=DATE(2026,10,20)),ROW(Income!A$3:A$502)-2),4)),0))</f>
        <v/>
      </c>
      <c r="F217" s="38" t="str">
        <f aca="false">IF(IFERROR(INDEX(Expenses!B$3:B$1002,SMALL(IF((Expenses!E$3:E$1002="INR")*(Expenses!A$3:A$1002=DATE(2026,10,20)),ROW(Expenses!A$3:A$1002)-2),4)),"")&lt;&gt;"",IFERROR(INDEX(Expenses!B$3:B$1002,SMALL(IF((Expenses!E$3:E$1002="INR")*(Expenses!A$3:A$1002=DATE(2026,10,20)),ROW(Expenses!A$3:A$1002)-2),4)),""),IF(IFERROR(INDEX(Income!B$3:B$502,SMALL(IF((Income!D$3:D$502="INR")*(Income!A$3:A$502=DATE(2026,10,20)),ROW(Income!A$3:A$502)-2),4)),"")&lt;&gt;"",IFERROR(INDEX(Income!B$3:B$502,SMALL(IF((Income!D$3:D$502="INR")*(Income!A$3:A$502=DATE(2026,10,20)),ROW(Income!A$3:A$502)-2),4)),""),""))</f>
        <v/>
      </c>
      <c r="G217" s="63" t="str">
        <f aca="false">IF(IFERROR(-INDEX(Expenses!D$3:D$1002,SMALL(IF((Expenses!E$3:E$1002="INR")*(Expenses!A$3:A$1002=DATE(2026,10,21)),ROW(Expenses!A$3:A$1002)-2),4)),0)+IFERROR(INDEX(Income!C$3:C$502,SMALL(IF((Income!D$3:D$502="INR")*(Income!A$3:A$502=DATE(2026,10,21)),ROW(Income!A$3:A$502)-2),4)),0)=0,"",IFERROR(-INDEX(Expenses!D$3:D$1002,SMALL(IF((Expenses!E$3:E$1002="INR")*(Expenses!A$3:A$1002=DATE(2026,10,21)),ROW(Expenses!A$3:A$1002)-2),4)),0)+IFERROR(INDEX(Income!C$3:C$502,SMALL(IF((Income!D$3:D$502="INR")*(Income!A$3:A$502=DATE(2026,10,21)),ROW(Income!A$3:A$502)-2),4)),0))</f>
        <v/>
      </c>
      <c r="H217" s="38" t="str">
        <f aca="false">IF(IFERROR(INDEX(Expenses!B$3:B$1002,SMALL(IF((Expenses!E$3:E$1002="INR")*(Expenses!A$3:A$1002=DATE(2026,10,21)),ROW(Expenses!A$3:A$1002)-2),4)),"")&lt;&gt;"",IFERROR(INDEX(Expenses!B$3:B$1002,SMALL(IF((Expenses!E$3:E$1002="INR")*(Expenses!A$3:A$1002=DATE(2026,10,21)),ROW(Expenses!A$3:A$1002)-2),4)),""),IF(IFERROR(INDEX(Income!B$3:B$502,SMALL(IF((Income!D$3:D$502="INR")*(Income!A$3:A$502=DATE(2026,10,21)),ROW(Income!A$3:A$502)-2),4)),"")&lt;&gt;"",IFERROR(INDEX(Income!B$3:B$502,SMALL(IF((Income!D$3:D$502="INR")*(Income!A$3:A$502=DATE(2026,10,21)),ROW(Income!A$3:A$502)-2),4)),""),""))</f>
        <v/>
      </c>
      <c r="I217" s="63" t="str">
        <f aca="false">IF(IFERROR(-INDEX(Expenses!D$3:D$1002,SMALL(IF((Expenses!E$3:E$1002="INR")*(Expenses!A$3:A$1002=DATE(2026,10,22)),ROW(Expenses!A$3:A$1002)-2),4)),0)+IFERROR(INDEX(Income!C$3:C$502,SMALL(IF((Income!D$3:D$502="INR")*(Income!A$3:A$502=DATE(2026,10,22)),ROW(Income!A$3:A$502)-2),4)),0)=0,"",IFERROR(-INDEX(Expenses!D$3:D$1002,SMALL(IF((Expenses!E$3:E$1002="INR")*(Expenses!A$3:A$1002=DATE(2026,10,22)),ROW(Expenses!A$3:A$1002)-2),4)),0)+IFERROR(INDEX(Income!C$3:C$502,SMALL(IF((Income!D$3:D$502="INR")*(Income!A$3:A$502=DATE(2026,10,22)),ROW(Income!A$3:A$502)-2),4)),0))</f>
        <v/>
      </c>
      <c r="J217" s="38" t="str">
        <f aca="false">IF(IFERROR(INDEX(Expenses!B$3:B$1002,SMALL(IF((Expenses!E$3:E$1002="INR")*(Expenses!A$3:A$1002=DATE(2026,10,22)),ROW(Expenses!A$3:A$1002)-2),4)),"")&lt;&gt;"",IFERROR(INDEX(Expenses!B$3:B$1002,SMALL(IF((Expenses!E$3:E$1002="INR")*(Expenses!A$3:A$1002=DATE(2026,10,22)),ROW(Expenses!A$3:A$1002)-2),4)),""),IF(IFERROR(INDEX(Income!B$3:B$502,SMALL(IF((Income!D$3:D$502="INR")*(Income!A$3:A$502=DATE(2026,10,22)),ROW(Income!A$3:A$502)-2),4)),"")&lt;&gt;"",IFERROR(INDEX(Income!B$3:B$502,SMALL(IF((Income!D$3:D$502="INR")*(Income!A$3:A$502=DATE(2026,10,22)),ROW(Income!A$3:A$502)-2),4)),""),""))</f>
        <v/>
      </c>
      <c r="K217" s="63" t="str">
        <f aca="false">IF(IFERROR(-INDEX(Expenses!D$3:D$1002,SMALL(IF((Expenses!E$3:E$1002="INR")*(Expenses!A$3:A$1002=DATE(2026,10,23)),ROW(Expenses!A$3:A$1002)-2),4)),0)+IFERROR(INDEX(Income!C$3:C$502,SMALL(IF((Income!D$3:D$502="INR")*(Income!A$3:A$502=DATE(2026,10,23)),ROW(Income!A$3:A$502)-2),4)),0)=0,"",IFERROR(-INDEX(Expenses!D$3:D$1002,SMALL(IF((Expenses!E$3:E$1002="INR")*(Expenses!A$3:A$1002=DATE(2026,10,23)),ROW(Expenses!A$3:A$1002)-2),4)),0)+IFERROR(INDEX(Income!C$3:C$502,SMALL(IF((Income!D$3:D$502="INR")*(Income!A$3:A$502=DATE(2026,10,23)),ROW(Income!A$3:A$502)-2),4)),0))</f>
        <v/>
      </c>
      <c r="L217" s="38" t="str">
        <f aca="false">IF(IFERROR(INDEX(Expenses!B$3:B$1002,SMALL(IF((Expenses!E$3:E$1002="INR")*(Expenses!A$3:A$1002=DATE(2026,10,23)),ROW(Expenses!A$3:A$1002)-2),4)),"")&lt;&gt;"",IFERROR(INDEX(Expenses!B$3:B$1002,SMALL(IF((Expenses!E$3:E$1002="INR")*(Expenses!A$3:A$1002=DATE(2026,10,23)),ROW(Expenses!A$3:A$1002)-2),4)),""),IF(IFERROR(INDEX(Income!B$3:B$502,SMALL(IF((Income!D$3:D$502="INR")*(Income!A$3:A$502=DATE(2026,10,23)),ROW(Income!A$3:A$502)-2),4)),"")&lt;&gt;"",IFERROR(INDEX(Income!B$3:B$502,SMALL(IF((Income!D$3:D$502="INR")*(Income!A$3:A$502=DATE(2026,10,23)),ROW(Income!A$3:A$502)-2),4)),""),""))</f>
        <v/>
      </c>
      <c r="M217" s="63" t="str">
        <f aca="false">IF(IFERROR(-INDEX(Expenses!D$3:D$1002,SMALL(IF((Expenses!E$3:E$1002="INR")*(Expenses!A$3:A$1002=DATE(2026,10,24)),ROW(Expenses!A$3:A$1002)-2),4)),0)+IFERROR(INDEX(Income!C$3:C$502,SMALL(IF((Income!D$3:D$502="INR")*(Income!A$3:A$502=DATE(2026,10,24)),ROW(Income!A$3:A$502)-2),4)),0)=0,"",IFERROR(-INDEX(Expenses!D$3:D$1002,SMALL(IF((Expenses!E$3:E$1002="INR")*(Expenses!A$3:A$1002=DATE(2026,10,24)),ROW(Expenses!A$3:A$1002)-2),4)),0)+IFERROR(INDEX(Income!C$3:C$502,SMALL(IF((Income!D$3:D$502="INR")*(Income!A$3:A$502=DATE(2026,10,24)),ROW(Income!A$3:A$502)-2),4)),0))</f>
        <v/>
      </c>
      <c r="N217" s="38" t="str">
        <f aca="false">IF(IFERROR(INDEX(Expenses!B$3:B$1002,SMALL(IF((Expenses!E$3:E$1002="INR")*(Expenses!A$3:A$1002=DATE(2026,10,24)),ROW(Expenses!A$3:A$1002)-2),4)),"")&lt;&gt;"",IFERROR(INDEX(Expenses!B$3:B$1002,SMALL(IF((Expenses!E$3:E$1002="INR")*(Expenses!A$3:A$1002=DATE(2026,10,24)),ROW(Expenses!A$3:A$1002)-2),4)),""),IF(IFERROR(INDEX(Income!B$3:B$502,SMALL(IF((Income!D$3:D$502="INR")*(Income!A$3:A$502=DATE(2026,10,24)),ROW(Income!A$3:A$502)-2),4)),"")&lt;&gt;"",IFERROR(INDEX(Income!B$3:B$502,SMALL(IF((Income!D$3:D$502="INR")*(Income!A$3:A$502=DATE(2026,10,24)),ROW(Income!A$3:A$502)-2),4)),""),""))</f>
        <v/>
      </c>
      <c r="O217" s="63" t="str">
        <f aca="false">IF(IFERROR(-INDEX(Expenses!D$3:D$1002,SMALL(IF((Expenses!E$3:E$1002="INR")*(Expenses!A$3:A$1002=DATE(2026,10,25)),ROW(Expenses!A$3:A$1002)-2),4)),0)+IFERROR(INDEX(Income!C$3:C$502,SMALL(IF((Income!D$3:D$502="INR")*(Income!A$3:A$502=DATE(2026,10,25)),ROW(Income!A$3:A$502)-2),4)),0)=0,"",IFERROR(-INDEX(Expenses!D$3:D$1002,SMALL(IF((Expenses!E$3:E$1002="INR")*(Expenses!A$3:A$1002=DATE(2026,10,25)),ROW(Expenses!A$3:A$1002)-2),4)),0)+IFERROR(INDEX(Income!C$3:C$502,SMALL(IF((Income!D$3:D$502="INR")*(Income!A$3:A$502=DATE(2026,10,25)),ROW(Income!A$3:A$502)-2),4)),0))</f>
        <v/>
      </c>
      <c r="P217" s="38" t="str">
        <f aca="false">IF(IFERROR(INDEX(Expenses!B$3:B$1002,SMALL(IF((Expenses!E$3:E$1002="INR")*(Expenses!A$3:A$1002=DATE(2026,10,25)),ROW(Expenses!A$3:A$1002)-2),4)),"")&lt;&gt;"",IFERROR(INDEX(Expenses!B$3:B$1002,SMALL(IF((Expenses!E$3:E$1002="INR")*(Expenses!A$3:A$1002=DATE(2026,10,25)),ROW(Expenses!A$3:A$1002)-2),4)),""),IF(IFERROR(INDEX(Income!B$3:B$502,SMALL(IF((Income!D$3:D$502="INR")*(Income!A$3:A$502=DATE(2026,10,25)),ROW(Income!A$3:A$502)-2),4)),"")&lt;&gt;"",IFERROR(INDEX(Income!B$3:B$502,SMALL(IF((Income!D$3:D$502="INR")*(Income!A$3:A$502=DATE(2026,10,25)),ROW(Income!A$3:A$502)-2),4)),""),""))</f>
        <v/>
      </c>
      <c r="Q217" s="16"/>
      <c r="R217" s="16"/>
    </row>
    <row r="218" customFormat="false" ht="15" hidden="false" customHeight="false" outlineLevel="0" collapsed="false">
      <c r="A218" s="16"/>
      <c r="B218" s="16"/>
      <c r="C218" s="63" t="str">
        <f aca="false">IF(IFERROR(-INDEX(Expenses!D$3:D$1002,SMALL(IF((Expenses!E$3:E$1002="INR")*(Expenses!A$3:A$1002=DATE(2026,10,19)),ROW(Expenses!A$3:A$1002)-2),5)),0)+IFERROR(INDEX(Income!C$3:C$502,SMALL(IF((Income!D$3:D$502="INR")*(Income!A$3:A$502=DATE(2026,10,19)),ROW(Income!A$3:A$502)-2),5)),0)=0,"",IFERROR(-INDEX(Expenses!D$3:D$1002,SMALL(IF((Expenses!E$3:E$1002="INR")*(Expenses!A$3:A$1002=DATE(2026,10,19)),ROW(Expenses!A$3:A$1002)-2),5)),0)+IFERROR(INDEX(Income!C$3:C$502,SMALL(IF((Income!D$3:D$502="INR")*(Income!A$3:A$502=DATE(2026,10,19)),ROW(Income!A$3:A$502)-2),5)),0))</f>
        <v/>
      </c>
      <c r="D218" s="38" t="str">
        <f aca="false">IF(IFERROR(INDEX(Expenses!B$3:B$1002,SMALL(IF((Expenses!E$3:E$1002="INR")*(Expenses!A$3:A$1002=DATE(2026,10,19)),ROW(Expenses!A$3:A$1002)-2),5)),"")&lt;&gt;"",IFERROR(INDEX(Expenses!B$3:B$1002,SMALL(IF((Expenses!E$3:E$1002="INR")*(Expenses!A$3:A$1002=DATE(2026,10,19)),ROW(Expenses!A$3:A$1002)-2),5)),""),IF(IFERROR(INDEX(Income!B$3:B$502,SMALL(IF((Income!D$3:D$502="INR")*(Income!A$3:A$502=DATE(2026,10,19)),ROW(Income!A$3:A$502)-2),5)),"")&lt;&gt;"",IFERROR(INDEX(Income!B$3:B$502,SMALL(IF((Income!D$3:D$502="INR")*(Income!A$3:A$502=DATE(2026,10,19)),ROW(Income!A$3:A$502)-2),5)),""),""))</f>
        <v/>
      </c>
      <c r="E218" s="63" t="str">
        <f aca="false">IF(IFERROR(-INDEX(Expenses!D$3:D$1002,SMALL(IF((Expenses!E$3:E$1002="INR")*(Expenses!A$3:A$1002=DATE(2026,10,20)),ROW(Expenses!A$3:A$1002)-2),5)),0)+IFERROR(INDEX(Income!C$3:C$502,SMALL(IF((Income!D$3:D$502="INR")*(Income!A$3:A$502=DATE(2026,10,20)),ROW(Income!A$3:A$502)-2),5)),0)=0,"",IFERROR(-INDEX(Expenses!D$3:D$1002,SMALL(IF((Expenses!E$3:E$1002="INR")*(Expenses!A$3:A$1002=DATE(2026,10,20)),ROW(Expenses!A$3:A$1002)-2),5)),0)+IFERROR(INDEX(Income!C$3:C$502,SMALL(IF((Income!D$3:D$502="INR")*(Income!A$3:A$502=DATE(2026,10,20)),ROW(Income!A$3:A$502)-2),5)),0))</f>
        <v/>
      </c>
      <c r="F218" s="38" t="str">
        <f aca="false">IF(IFERROR(INDEX(Expenses!B$3:B$1002,SMALL(IF((Expenses!E$3:E$1002="INR")*(Expenses!A$3:A$1002=DATE(2026,10,20)),ROW(Expenses!A$3:A$1002)-2),5)),"")&lt;&gt;"",IFERROR(INDEX(Expenses!B$3:B$1002,SMALL(IF((Expenses!E$3:E$1002="INR")*(Expenses!A$3:A$1002=DATE(2026,10,20)),ROW(Expenses!A$3:A$1002)-2),5)),""),IF(IFERROR(INDEX(Income!B$3:B$502,SMALL(IF((Income!D$3:D$502="INR")*(Income!A$3:A$502=DATE(2026,10,20)),ROW(Income!A$3:A$502)-2),5)),"")&lt;&gt;"",IFERROR(INDEX(Income!B$3:B$502,SMALL(IF((Income!D$3:D$502="INR")*(Income!A$3:A$502=DATE(2026,10,20)),ROW(Income!A$3:A$502)-2),5)),""),""))</f>
        <v/>
      </c>
      <c r="G218" s="63" t="str">
        <f aca="false">IF(IFERROR(-INDEX(Expenses!D$3:D$1002,SMALL(IF((Expenses!E$3:E$1002="INR")*(Expenses!A$3:A$1002=DATE(2026,10,21)),ROW(Expenses!A$3:A$1002)-2),5)),0)+IFERROR(INDEX(Income!C$3:C$502,SMALL(IF((Income!D$3:D$502="INR")*(Income!A$3:A$502=DATE(2026,10,21)),ROW(Income!A$3:A$502)-2),5)),0)=0,"",IFERROR(-INDEX(Expenses!D$3:D$1002,SMALL(IF((Expenses!E$3:E$1002="INR")*(Expenses!A$3:A$1002=DATE(2026,10,21)),ROW(Expenses!A$3:A$1002)-2),5)),0)+IFERROR(INDEX(Income!C$3:C$502,SMALL(IF((Income!D$3:D$502="INR")*(Income!A$3:A$502=DATE(2026,10,21)),ROW(Income!A$3:A$502)-2),5)),0))</f>
        <v/>
      </c>
      <c r="H218" s="38" t="str">
        <f aca="false">IF(IFERROR(INDEX(Expenses!B$3:B$1002,SMALL(IF((Expenses!E$3:E$1002="INR")*(Expenses!A$3:A$1002=DATE(2026,10,21)),ROW(Expenses!A$3:A$1002)-2),5)),"")&lt;&gt;"",IFERROR(INDEX(Expenses!B$3:B$1002,SMALL(IF((Expenses!E$3:E$1002="INR")*(Expenses!A$3:A$1002=DATE(2026,10,21)),ROW(Expenses!A$3:A$1002)-2),5)),""),IF(IFERROR(INDEX(Income!B$3:B$502,SMALL(IF((Income!D$3:D$502="INR")*(Income!A$3:A$502=DATE(2026,10,21)),ROW(Income!A$3:A$502)-2),5)),"")&lt;&gt;"",IFERROR(INDEX(Income!B$3:B$502,SMALL(IF((Income!D$3:D$502="INR")*(Income!A$3:A$502=DATE(2026,10,21)),ROW(Income!A$3:A$502)-2),5)),""),""))</f>
        <v/>
      </c>
      <c r="I218" s="63" t="str">
        <f aca="false">IF(IFERROR(-INDEX(Expenses!D$3:D$1002,SMALL(IF((Expenses!E$3:E$1002="INR")*(Expenses!A$3:A$1002=DATE(2026,10,22)),ROW(Expenses!A$3:A$1002)-2),5)),0)+IFERROR(INDEX(Income!C$3:C$502,SMALL(IF((Income!D$3:D$502="INR")*(Income!A$3:A$502=DATE(2026,10,22)),ROW(Income!A$3:A$502)-2),5)),0)=0,"",IFERROR(-INDEX(Expenses!D$3:D$1002,SMALL(IF((Expenses!E$3:E$1002="INR")*(Expenses!A$3:A$1002=DATE(2026,10,22)),ROW(Expenses!A$3:A$1002)-2),5)),0)+IFERROR(INDEX(Income!C$3:C$502,SMALL(IF((Income!D$3:D$502="INR")*(Income!A$3:A$502=DATE(2026,10,22)),ROW(Income!A$3:A$502)-2),5)),0))</f>
        <v/>
      </c>
      <c r="J218" s="38" t="str">
        <f aca="false">IF(IFERROR(INDEX(Expenses!B$3:B$1002,SMALL(IF((Expenses!E$3:E$1002="INR")*(Expenses!A$3:A$1002=DATE(2026,10,22)),ROW(Expenses!A$3:A$1002)-2),5)),"")&lt;&gt;"",IFERROR(INDEX(Expenses!B$3:B$1002,SMALL(IF((Expenses!E$3:E$1002="INR")*(Expenses!A$3:A$1002=DATE(2026,10,22)),ROW(Expenses!A$3:A$1002)-2),5)),""),IF(IFERROR(INDEX(Income!B$3:B$502,SMALL(IF((Income!D$3:D$502="INR")*(Income!A$3:A$502=DATE(2026,10,22)),ROW(Income!A$3:A$502)-2),5)),"")&lt;&gt;"",IFERROR(INDEX(Income!B$3:B$502,SMALL(IF((Income!D$3:D$502="INR")*(Income!A$3:A$502=DATE(2026,10,22)),ROW(Income!A$3:A$502)-2),5)),""),""))</f>
        <v/>
      </c>
      <c r="K218" s="63" t="str">
        <f aca="false">IF(IFERROR(-INDEX(Expenses!D$3:D$1002,SMALL(IF((Expenses!E$3:E$1002="INR")*(Expenses!A$3:A$1002=DATE(2026,10,23)),ROW(Expenses!A$3:A$1002)-2),5)),0)+IFERROR(INDEX(Income!C$3:C$502,SMALL(IF((Income!D$3:D$502="INR")*(Income!A$3:A$502=DATE(2026,10,23)),ROW(Income!A$3:A$502)-2),5)),0)=0,"",IFERROR(-INDEX(Expenses!D$3:D$1002,SMALL(IF((Expenses!E$3:E$1002="INR")*(Expenses!A$3:A$1002=DATE(2026,10,23)),ROW(Expenses!A$3:A$1002)-2),5)),0)+IFERROR(INDEX(Income!C$3:C$502,SMALL(IF((Income!D$3:D$502="INR")*(Income!A$3:A$502=DATE(2026,10,23)),ROW(Income!A$3:A$502)-2),5)),0))</f>
        <v/>
      </c>
      <c r="L218" s="38" t="str">
        <f aca="false">IF(IFERROR(INDEX(Expenses!B$3:B$1002,SMALL(IF((Expenses!E$3:E$1002="INR")*(Expenses!A$3:A$1002=DATE(2026,10,23)),ROW(Expenses!A$3:A$1002)-2),5)),"")&lt;&gt;"",IFERROR(INDEX(Expenses!B$3:B$1002,SMALL(IF((Expenses!E$3:E$1002="INR")*(Expenses!A$3:A$1002=DATE(2026,10,23)),ROW(Expenses!A$3:A$1002)-2),5)),""),IF(IFERROR(INDEX(Income!B$3:B$502,SMALL(IF((Income!D$3:D$502="INR")*(Income!A$3:A$502=DATE(2026,10,23)),ROW(Income!A$3:A$502)-2),5)),"")&lt;&gt;"",IFERROR(INDEX(Income!B$3:B$502,SMALL(IF((Income!D$3:D$502="INR")*(Income!A$3:A$502=DATE(2026,10,23)),ROW(Income!A$3:A$502)-2),5)),""),""))</f>
        <v/>
      </c>
      <c r="M218" s="63" t="str">
        <f aca="false">IF(IFERROR(-INDEX(Expenses!D$3:D$1002,SMALL(IF((Expenses!E$3:E$1002="INR")*(Expenses!A$3:A$1002=DATE(2026,10,24)),ROW(Expenses!A$3:A$1002)-2),5)),0)+IFERROR(INDEX(Income!C$3:C$502,SMALL(IF((Income!D$3:D$502="INR")*(Income!A$3:A$502=DATE(2026,10,24)),ROW(Income!A$3:A$502)-2),5)),0)=0,"",IFERROR(-INDEX(Expenses!D$3:D$1002,SMALL(IF((Expenses!E$3:E$1002="INR")*(Expenses!A$3:A$1002=DATE(2026,10,24)),ROW(Expenses!A$3:A$1002)-2),5)),0)+IFERROR(INDEX(Income!C$3:C$502,SMALL(IF((Income!D$3:D$502="INR")*(Income!A$3:A$502=DATE(2026,10,24)),ROW(Income!A$3:A$502)-2),5)),0))</f>
        <v/>
      </c>
      <c r="N218" s="38" t="str">
        <f aca="false">IF(IFERROR(INDEX(Expenses!B$3:B$1002,SMALL(IF((Expenses!E$3:E$1002="INR")*(Expenses!A$3:A$1002=DATE(2026,10,24)),ROW(Expenses!A$3:A$1002)-2),5)),"")&lt;&gt;"",IFERROR(INDEX(Expenses!B$3:B$1002,SMALL(IF((Expenses!E$3:E$1002="INR")*(Expenses!A$3:A$1002=DATE(2026,10,24)),ROW(Expenses!A$3:A$1002)-2),5)),""),IF(IFERROR(INDEX(Income!B$3:B$502,SMALL(IF((Income!D$3:D$502="INR")*(Income!A$3:A$502=DATE(2026,10,24)),ROW(Income!A$3:A$502)-2),5)),"")&lt;&gt;"",IFERROR(INDEX(Income!B$3:B$502,SMALL(IF((Income!D$3:D$502="INR")*(Income!A$3:A$502=DATE(2026,10,24)),ROW(Income!A$3:A$502)-2),5)),""),""))</f>
        <v/>
      </c>
      <c r="O218" s="63" t="str">
        <f aca="false">IF(IFERROR(-INDEX(Expenses!D$3:D$1002,SMALL(IF((Expenses!E$3:E$1002="INR")*(Expenses!A$3:A$1002=DATE(2026,10,25)),ROW(Expenses!A$3:A$1002)-2),5)),0)+IFERROR(INDEX(Income!C$3:C$502,SMALL(IF((Income!D$3:D$502="INR")*(Income!A$3:A$502=DATE(2026,10,25)),ROW(Income!A$3:A$502)-2),5)),0)=0,"",IFERROR(-INDEX(Expenses!D$3:D$1002,SMALL(IF((Expenses!E$3:E$1002="INR")*(Expenses!A$3:A$1002=DATE(2026,10,25)),ROW(Expenses!A$3:A$1002)-2),5)),0)+IFERROR(INDEX(Income!C$3:C$502,SMALL(IF((Income!D$3:D$502="INR")*(Income!A$3:A$502=DATE(2026,10,25)),ROW(Income!A$3:A$502)-2),5)),0))</f>
        <v/>
      </c>
      <c r="P218" s="38" t="str">
        <f aca="false">IF(IFERROR(INDEX(Expenses!B$3:B$1002,SMALL(IF((Expenses!E$3:E$1002="INR")*(Expenses!A$3:A$1002=DATE(2026,10,25)),ROW(Expenses!A$3:A$1002)-2),5)),"")&lt;&gt;"",IFERROR(INDEX(Expenses!B$3:B$1002,SMALL(IF((Expenses!E$3:E$1002="INR")*(Expenses!A$3:A$1002=DATE(2026,10,25)),ROW(Expenses!A$3:A$1002)-2),5)),""),IF(IFERROR(INDEX(Income!B$3:B$502,SMALL(IF((Income!D$3:D$502="INR")*(Income!A$3:A$502=DATE(2026,10,25)),ROW(Income!A$3:A$502)-2),5)),"")&lt;&gt;"",IFERROR(INDEX(Income!B$3:B$502,SMALL(IF((Income!D$3:D$502="INR")*(Income!A$3:A$502=DATE(2026,10,25)),ROW(Income!A$3:A$502)-2),5)),""),""))</f>
        <v/>
      </c>
      <c r="Q218" s="16"/>
      <c r="R218" s="16"/>
    </row>
    <row r="219" customFormat="false" ht="15" hidden="false" customHeight="false" outlineLevel="0" collapsed="false">
      <c r="A219" s="61" t="n">
        <v>46321</v>
      </c>
      <c r="B219" s="3" t="n">
        <v>44</v>
      </c>
      <c r="C219" s="63" t="str">
        <f aca="false">IF(IFERROR(-INDEX(Expenses!D$3:D$1002,SMALL(IF((Expenses!E$3:E$1002="INR")*(Expenses!A$3:A$1002=DATE(2026,10,26)),ROW(Expenses!A$3:A$1002)-2),1)),0)+IFERROR(INDEX(Income!C$3:C$502,SMALL(IF((Income!D$3:D$502="INR")*(Income!A$3:A$502=DATE(2026,10,26)),ROW(Income!A$3:A$502)-2),1)),0)=0,"",IFERROR(-INDEX(Expenses!D$3:D$1002,SMALL(IF((Expenses!E$3:E$1002="INR")*(Expenses!A$3:A$1002=DATE(2026,10,26)),ROW(Expenses!A$3:A$1002)-2),1)),0)+IFERROR(INDEX(Income!C$3:C$502,SMALL(IF((Income!D$3:D$502="INR")*(Income!A$3:A$502=DATE(2026,10,26)),ROW(Income!A$3:A$502)-2),1)),0))</f>
        <v/>
      </c>
      <c r="D219" s="38" t="str">
        <f aca="false">IF(IFERROR(INDEX(Expenses!B$3:B$1002,SMALL(IF((Expenses!E$3:E$1002="INR")*(Expenses!A$3:A$1002=DATE(2026,10,26)),ROW(Expenses!A$3:A$1002)-2),1)),"")&lt;&gt;"",IFERROR(INDEX(Expenses!B$3:B$1002,SMALL(IF((Expenses!E$3:E$1002="INR")*(Expenses!A$3:A$1002=DATE(2026,10,26)),ROW(Expenses!A$3:A$1002)-2),1)),""),IF(IFERROR(INDEX(Income!B$3:B$502,SMALL(IF((Income!D$3:D$502="INR")*(Income!A$3:A$502=DATE(2026,10,26)),ROW(Income!A$3:A$502)-2),1)),"")&lt;&gt;"",IFERROR(INDEX(Income!B$3:B$502,SMALL(IF((Income!D$3:D$502="INR")*(Income!A$3:A$502=DATE(2026,10,26)),ROW(Income!A$3:A$502)-2),1)),""),""))</f>
        <v/>
      </c>
      <c r="E219" s="63" t="str">
        <f aca="false">IF(IFERROR(-INDEX(Expenses!D$3:D$1002,SMALL(IF((Expenses!E$3:E$1002="INR")*(Expenses!A$3:A$1002=DATE(2026,10,27)),ROW(Expenses!A$3:A$1002)-2),1)),0)+IFERROR(INDEX(Income!C$3:C$502,SMALL(IF((Income!D$3:D$502="INR")*(Income!A$3:A$502=DATE(2026,10,27)),ROW(Income!A$3:A$502)-2),1)),0)=0,"",IFERROR(-INDEX(Expenses!D$3:D$1002,SMALL(IF((Expenses!E$3:E$1002="INR")*(Expenses!A$3:A$1002=DATE(2026,10,27)),ROW(Expenses!A$3:A$1002)-2),1)),0)+IFERROR(INDEX(Income!C$3:C$502,SMALL(IF((Income!D$3:D$502="INR")*(Income!A$3:A$502=DATE(2026,10,27)),ROW(Income!A$3:A$502)-2),1)),0))</f>
        <v/>
      </c>
      <c r="F219" s="38" t="str">
        <f aca="false">IF(IFERROR(INDEX(Expenses!B$3:B$1002,SMALL(IF((Expenses!E$3:E$1002="INR")*(Expenses!A$3:A$1002=DATE(2026,10,27)),ROW(Expenses!A$3:A$1002)-2),1)),"")&lt;&gt;"",IFERROR(INDEX(Expenses!B$3:B$1002,SMALL(IF((Expenses!E$3:E$1002="INR")*(Expenses!A$3:A$1002=DATE(2026,10,27)),ROW(Expenses!A$3:A$1002)-2),1)),""),IF(IFERROR(INDEX(Income!B$3:B$502,SMALL(IF((Income!D$3:D$502="INR")*(Income!A$3:A$502=DATE(2026,10,27)),ROW(Income!A$3:A$502)-2),1)),"")&lt;&gt;"",IFERROR(INDEX(Income!B$3:B$502,SMALL(IF((Income!D$3:D$502="INR")*(Income!A$3:A$502=DATE(2026,10,27)),ROW(Income!A$3:A$502)-2),1)),""),""))</f>
        <v/>
      </c>
      <c r="G219" s="63" t="str">
        <f aca="false">IF(IFERROR(-INDEX(Expenses!D$3:D$1002,SMALL(IF((Expenses!E$3:E$1002="INR")*(Expenses!A$3:A$1002=DATE(2026,10,28)),ROW(Expenses!A$3:A$1002)-2),1)),0)+IFERROR(INDEX(Income!C$3:C$502,SMALL(IF((Income!D$3:D$502="INR")*(Income!A$3:A$502=DATE(2026,10,28)),ROW(Income!A$3:A$502)-2),1)),0)=0,"",IFERROR(-INDEX(Expenses!D$3:D$1002,SMALL(IF((Expenses!E$3:E$1002="INR")*(Expenses!A$3:A$1002=DATE(2026,10,28)),ROW(Expenses!A$3:A$1002)-2),1)),0)+IFERROR(INDEX(Income!C$3:C$502,SMALL(IF((Income!D$3:D$502="INR")*(Income!A$3:A$502=DATE(2026,10,28)),ROW(Income!A$3:A$502)-2),1)),0))</f>
        <v/>
      </c>
      <c r="H219" s="38" t="str">
        <f aca="false">IF(IFERROR(INDEX(Expenses!B$3:B$1002,SMALL(IF((Expenses!E$3:E$1002="INR")*(Expenses!A$3:A$1002=DATE(2026,10,28)),ROW(Expenses!A$3:A$1002)-2),1)),"")&lt;&gt;"",IFERROR(INDEX(Expenses!B$3:B$1002,SMALL(IF((Expenses!E$3:E$1002="INR")*(Expenses!A$3:A$1002=DATE(2026,10,28)),ROW(Expenses!A$3:A$1002)-2),1)),""),IF(IFERROR(INDEX(Income!B$3:B$502,SMALL(IF((Income!D$3:D$502="INR")*(Income!A$3:A$502=DATE(2026,10,28)),ROW(Income!A$3:A$502)-2),1)),"")&lt;&gt;"",IFERROR(INDEX(Income!B$3:B$502,SMALL(IF((Income!D$3:D$502="INR")*(Income!A$3:A$502=DATE(2026,10,28)),ROW(Income!A$3:A$502)-2),1)),""),""))</f>
        <v/>
      </c>
      <c r="I219" s="63" t="str">
        <f aca="false">IF(IFERROR(-INDEX(Expenses!D$3:D$1002,SMALL(IF((Expenses!E$3:E$1002="INR")*(Expenses!A$3:A$1002=DATE(2026,10,29)),ROW(Expenses!A$3:A$1002)-2),1)),0)+IFERROR(INDEX(Income!C$3:C$502,SMALL(IF((Income!D$3:D$502="INR")*(Income!A$3:A$502=DATE(2026,10,29)),ROW(Income!A$3:A$502)-2),1)),0)=0,"",IFERROR(-INDEX(Expenses!D$3:D$1002,SMALL(IF((Expenses!E$3:E$1002="INR")*(Expenses!A$3:A$1002=DATE(2026,10,29)),ROW(Expenses!A$3:A$1002)-2),1)),0)+IFERROR(INDEX(Income!C$3:C$502,SMALL(IF((Income!D$3:D$502="INR")*(Income!A$3:A$502=DATE(2026,10,29)),ROW(Income!A$3:A$502)-2),1)),0))</f>
        <v/>
      </c>
      <c r="J219" s="38" t="str">
        <f aca="false">IF(IFERROR(INDEX(Expenses!B$3:B$1002,SMALL(IF((Expenses!E$3:E$1002="INR")*(Expenses!A$3:A$1002=DATE(2026,10,29)),ROW(Expenses!A$3:A$1002)-2),1)),"")&lt;&gt;"",IFERROR(INDEX(Expenses!B$3:B$1002,SMALL(IF((Expenses!E$3:E$1002="INR")*(Expenses!A$3:A$1002=DATE(2026,10,29)),ROW(Expenses!A$3:A$1002)-2),1)),""),IF(IFERROR(INDEX(Income!B$3:B$502,SMALL(IF((Income!D$3:D$502="INR")*(Income!A$3:A$502=DATE(2026,10,29)),ROW(Income!A$3:A$502)-2),1)),"")&lt;&gt;"",IFERROR(INDEX(Income!B$3:B$502,SMALL(IF((Income!D$3:D$502="INR")*(Income!A$3:A$502=DATE(2026,10,29)),ROW(Income!A$3:A$502)-2),1)),""),""))</f>
        <v/>
      </c>
      <c r="K219" s="63" t="str">
        <f aca="false">IF(IFERROR(-INDEX(Expenses!D$3:D$1002,SMALL(IF((Expenses!E$3:E$1002="INR")*(Expenses!A$3:A$1002=DATE(2026,10,30)),ROW(Expenses!A$3:A$1002)-2),1)),0)+IFERROR(INDEX(Income!C$3:C$502,SMALL(IF((Income!D$3:D$502="INR")*(Income!A$3:A$502=DATE(2026,10,30)),ROW(Income!A$3:A$502)-2),1)),0)=0,"",IFERROR(-INDEX(Expenses!D$3:D$1002,SMALL(IF((Expenses!E$3:E$1002="INR")*(Expenses!A$3:A$1002=DATE(2026,10,30)),ROW(Expenses!A$3:A$1002)-2),1)),0)+IFERROR(INDEX(Income!C$3:C$502,SMALL(IF((Income!D$3:D$502="INR")*(Income!A$3:A$502=DATE(2026,10,30)),ROW(Income!A$3:A$502)-2),1)),0))</f>
        <v/>
      </c>
      <c r="L219" s="38" t="str">
        <f aca="false">IF(IFERROR(INDEX(Expenses!B$3:B$1002,SMALL(IF((Expenses!E$3:E$1002="INR")*(Expenses!A$3:A$1002=DATE(2026,10,30)),ROW(Expenses!A$3:A$1002)-2),1)),"")&lt;&gt;"",IFERROR(INDEX(Expenses!B$3:B$1002,SMALL(IF((Expenses!E$3:E$1002="INR")*(Expenses!A$3:A$1002=DATE(2026,10,30)),ROW(Expenses!A$3:A$1002)-2),1)),""),IF(IFERROR(INDEX(Income!B$3:B$502,SMALL(IF((Income!D$3:D$502="INR")*(Income!A$3:A$502=DATE(2026,10,30)),ROW(Income!A$3:A$502)-2),1)),"")&lt;&gt;"",IFERROR(INDEX(Income!B$3:B$502,SMALL(IF((Income!D$3:D$502="INR")*(Income!A$3:A$502=DATE(2026,10,30)),ROW(Income!A$3:A$502)-2),1)),""),""))</f>
        <v/>
      </c>
      <c r="M219" s="63" t="str">
        <f aca="false">IF(IFERROR(-INDEX(Expenses!D$3:D$1002,SMALL(IF((Expenses!E$3:E$1002="INR")*(Expenses!A$3:A$1002=DATE(2026,10,31)),ROW(Expenses!A$3:A$1002)-2),1)),0)+IFERROR(INDEX(Income!C$3:C$502,SMALL(IF((Income!D$3:D$502="INR")*(Income!A$3:A$502=DATE(2026,10,31)),ROW(Income!A$3:A$502)-2),1)),0)=0,"",IFERROR(-INDEX(Expenses!D$3:D$1002,SMALL(IF((Expenses!E$3:E$1002="INR")*(Expenses!A$3:A$1002=DATE(2026,10,31)),ROW(Expenses!A$3:A$1002)-2),1)),0)+IFERROR(INDEX(Income!C$3:C$502,SMALL(IF((Income!D$3:D$502="INR")*(Income!A$3:A$502=DATE(2026,10,31)),ROW(Income!A$3:A$502)-2),1)),0))</f>
        <v/>
      </c>
      <c r="N219" s="38" t="str">
        <f aca="false">IF(IFERROR(INDEX(Expenses!B$3:B$1002,SMALL(IF((Expenses!E$3:E$1002="INR")*(Expenses!A$3:A$1002=DATE(2026,10,31)),ROW(Expenses!A$3:A$1002)-2),1)),"")&lt;&gt;"",IFERROR(INDEX(Expenses!B$3:B$1002,SMALL(IF((Expenses!E$3:E$1002="INR")*(Expenses!A$3:A$1002=DATE(2026,10,31)),ROW(Expenses!A$3:A$1002)-2),1)),""),IF(IFERROR(INDEX(Income!B$3:B$502,SMALL(IF((Income!D$3:D$502="INR")*(Income!A$3:A$502=DATE(2026,10,31)),ROW(Income!A$3:A$502)-2),1)),"")&lt;&gt;"",IFERROR(INDEX(Income!B$3:B$502,SMALL(IF((Income!D$3:D$502="INR")*(Income!A$3:A$502=DATE(2026,10,31)),ROW(Income!A$3:A$502)-2),1)),""),""))</f>
        <v/>
      </c>
      <c r="O219" s="63" t="str">
        <f aca="false">IF(IFERROR(-INDEX(Expenses!D$3:D$1002,SMALL(IF((Expenses!E$3:E$1002="INR")*(Expenses!A$3:A$1002=DATE(2026,11,1)),ROW(Expenses!A$3:A$1002)-2),1)),0)+IFERROR(INDEX(Income!C$3:C$502,SMALL(IF((Income!D$3:D$502="INR")*(Income!A$3:A$502=DATE(2026,11,1)),ROW(Income!A$3:A$502)-2),1)),0)=0,"",IFERROR(-INDEX(Expenses!D$3:D$1002,SMALL(IF((Expenses!E$3:E$1002="INR")*(Expenses!A$3:A$1002=DATE(2026,11,1)),ROW(Expenses!A$3:A$1002)-2),1)),0)+IFERROR(INDEX(Income!C$3:C$502,SMALL(IF((Income!D$3:D$502="INR")*(Income!A$3:A$502=DATE(2026,11,1)),ROW(Income!A$3:A$502)-2),1)),0))</f>
        <v/>
      </c>
      <c r="P219" s="38" t="str">
        <f aca="false">IF(IFERROR(INDEX(Expenses!B$3:B$1002,SMALL(IF((Expenses!E$3:E$1002="INR")*(Expenses!A$3:A$1002=DATE(2026,11,1)),ROW(Expenses!A$3:A$1002)-2),1)),"")&lt;&gt;"",IFERROR(INDEX(Expenses!B$3:B$1002,SMALL(IF((Expenses!E$3:E$1002="INR")*(Expenses!A$3:A$1002=DATE(2026,11,1)),ROW(Expenses!A$3:A$1002)-2),1)),""),IF(IFERROR(INDEX(Income!B$3:B$502,SMALL(IF((Income!D$3:D$502="INR")*(Income!A$3:A$502=DATE(2026,11,1)),ROW(Income!A$3:A$502)-2),1)),"")&lt;&gt;"",IFERROR(INDEX(Income!B$3:B$502,SMALL(IF((Income!D$3:D$502="INR")*(Income!A$3:A$502=DATE(2026,11,1)),ROW(Income!A$3:A$502)-2),1)),""),""))</f>
        <v/>
      </c>
      <c r="Q219" s="3" t="n">
        <v>44</v>
      </c>
      <c r="R219" s="53" t="n">
        <f aca="false">SUM(C219:C223)+SUM(E219:E223)+SUM(G219:G223)+SUM(I219:I223)+SUM(K219:K223)+SUM(M219:M223)+SUM(O219:O223)</f>
        <v>0</v>
      </c>
    </row>
    <row r="220" customFormat="false" ht="15" hidden="false" customHeight="false" outlineLevel="0" collapsed="false">
      <c r="A220" s="16"/>
      <c r="B220" s="16"/>
      <c r="C220" s="63" t="str">
        <f aca="false">IF(IFERROR(-INDEX(Expenses!D$3:D$1002,SMALL(IF((Expenses!E$3:E$1002="INR")*(Expenses!A$3:A$1002=DATE(2026,10,26)),ROW(Expenses!A$3:A$1002)-2),2)),0)+IFERROR(INDEX(Income!C$3:C$502,SMALL(IF((Income!D$3:D$502="INR")*(Income!A$3:A$502=DATE(2026,10,26)),ROW(Income!A$3:A$502)-2),2)),0)=0,"",IFERROR(-INDEX(Expenses!D$3:D$1002,SMALL(IF((Expenses!E$3:E$1002="INR")*(Expenses!A$3:A$1002=DATE(2026,10,26)),ROW(Expenses!A$3:A$1002)-2),2)),0)+IFERROR(INDEX(Income!C$3:C$502,SMALL(IF((Income!D$3:D$502="INR")*(Income!A$3:A$502=DATE(2026,10,26)),ROW(Income!A$3:A$502)-2),2)),0))</f>
        <v/>
      </c>
      <c r="D220" s="38" t="str">
        <f aca="false">IF(IFERROR(INDEX(Expenses!B$3:B$1002,SMALL(IF((Expenses!E$3:E$1002="INR")*(Expenses!A$3:A$1002=DATE(2026,10,26)),ROW(Expenses!A$3:A$1002)-2),2)),"")&lt;&gt;"",IFERROR(INDEX(Expenses!B$3:B$1002,SMALL(IF((Expenses!E$3:E$1002="INR")*(Expenses!A$3:A$1002=DATE(2026,10,26)),ROW(Expenses!A$3:A$1002)-2),2)),""),IF(IFERROR(INDEX(Income!B$3:B$502,SMALL(IF((Income!D$3:D$502="INR")*(Income!A$3:A$502=DATE(2026,10,26)),ROW(Income!A$3:A$502)-2),2)),"")&lt;&gt;"",IFERROR(INDEX(Income!B$3:B$502,SMALL(IF((Income!D$3:D$502="INR")*(Income!A$3:A$502=DATE(2026,10,26)),ROW(Income!A$3:A$502)-2),2)),""),""))</f>
        <v/>
      </c>
      <c r="E220" s="63" t="str">
        <f aca="false">IF(IFERROR(-INDEX(Expenses!D$3:D$1002,SMALL(IF((Expenses!E$3:E$1002="INR")*(Expenses!A$3:A$1002=DATE(2026,10,27)),ROW(Expenses!A$3:A$1002)-2),2)),0)+IFERROR(INDEX(Income!C$3:C$502,SMALL(IF((Income!D$3:D$502="INR")*(Income!A$3:A$502=DATE(2026,10,27)),ROW(Income!A$3:A$502)-2),2)),0)=0,"",IFERROR(-INDEX(Expenses!D$3:D$1002,SMALL(IF((Expenses!E$3:E$1002="INR")*(Expenses!A$3:A$1002=DATE(2026,10,27)),ROW(Expenses!A$3:A$1002)-2),2)),0)+IFERROR(INDEX(Income!C$3:C$502,SMALL(IF((Income!D$3:D$502="INR")*(Income!A$3:A$502=DATE(2026,10,27)),ROW(Income!A$3:A$502)-2),2)),0))</f>
        <v/>
      </c>
      <c r="F220" s="38" t="str">
        <f aca="false">IF(IFERROR(INDEX(Expenses!B$3:B$1002,SMALL(IF((Expenses!E$3:E$1002="INR")*(Expenses!A$3:A$1002=DATE(2026,10,27)),ROW(Expenses!A$3:A$1002)-2),2)),"")&lt;&gt;"",IFERROR(INDEX(Expenses!B$3:B$1002,SMALL(IF((Expenses!E$3:E$1002="INR")*(Expenses!A$3:A$1002=DATE(2026,10,27)),ROW(Expenses!A$3:A$1002)-2),2)),""),IF(IFERROR(INDEX(Income!B$3:B$502,SMALL(IF((Income!D$3:D$502="INR")*(Income!A$3:A$502=DATE(2026,10,27)),ROW(Income!A$3:A$502)-2),2)),"")&lt;&gt;"",IFERROR(INDEX(Income!B$3:B$502,SMALL(IF((Income!D$3:D$502="INR")*(Income!A$3:A$502=DATE(2026,10,27)),ROW(Income!A$3:A$502)-2),2)),""),""))</f>
        <v/>
      </c>
      <c r="G220" s="63" t="str">
        <f aca="false">IF(IFERROR(-INDEX(Expenses!D$3:D$1002,SMALL(IF((Expenses!E$3:E$1002="INR")*(Expenses!A$3:A$1002=DATE(2026,10,28)),ROW(Expenses!A$3:A$1002)-2),2)),0)+IFERROR(INDEX(Income!C$3:C$502,SMALL(IF((Income!D$3:D$502="INR")*(Income!A$3:A$502=DATE(2026,10,28)),ROW(Income!A$3:A$502)-2),2)),0)=0,"",IFERROR(-INDEX(Expenses!D$3:D$1002,SMALL(IF((Expenses!E$3:E$1002="INR")*(Expenses!A$3:A$1002=DATE(2026,10,28)),ROW(Expenses!A$3:A$1002)-2),2)),0)+IFERROR(INDEX(Income!C$3:C$502,SMALL(IF((Income!D$3:D$502="INR")*(Income!A$3:A$502=DATE(2026,10,28)),ROW(Income!A$3:A$502)-2),2)),0))</f>
        <v/>
      </c>
      <c r="H220" s="38" t="str">
        <f aca="false">IF(IFERROR(INDEX(Expenses!B$3:B$1002,SMALL(IF((Expenses!E$3:E$1002="INR")*(Expenses!A$3:A$1002=DATE(2026,10,28)),ROW(Expenses!A$3:A$1002)-2),2)),"")&lt;&gt;"",IFERROR(INDEX(Expenses!B$3:B$1002,SMALL(IF((Expenses!E$3:E$1002="INR")*(Expenses!A$3:A$1002=DATE(2026,10,28)),ROW(Expenses!A$3:A$1002)-2),2)),""),IF(IFERROR(INDEX(Income!B$3:B$502,SMALL(IF((Income!D$3:D$502="INR")*(Income!A$3:A$502=DATE(2026,10,28)),ROW(Income!A$3:A$502)-2),2)),"")&lt;&gt;"",IFERROR(INDEX(Income!B$3:B$502,SMALL(IF((Income!D$3:D$502="INR")*(Income!A$3:A$502=DATE(2026,10,28)),ROW(Income!A$3:A$502)-2),2)),""),""))</f>
        <v/>
      </c>
      <c r="I220" s="63" t="str">
        <f aca="false">IF(IFERROR(-INDEX(Expenses!D$3:D$1002,SMALL(IF((Expenses!E$3:E$1002="INR")*(Expenses!A$3:A$1002=DATE(2026,10,29)),ROW(Expenses!A$3:A$1002)-2),2)),0)+IFERROR(INDEX(Income!C$3:C$502,SMALL(IF((Income!D$3:D$502="INR")*(Income!A$3:A$502=DATE(2026,10,29)),ROW(Income!A$3:A$502)-2),2)),0)=0,"",IFERROR(-INDEX(Expenses!D$3:D$1002,SMALL(IF((Expenses!E$3:E$1002="INR")*(Expenses!A$3:A$1002=DATE(2026,10,29)),ROW(Expenses!A$3:A$1002)-2),2)),0)+IFERROR(INDEX(Income!C$3:C$502,SMALL(IF((Income!D$3:D$502="INR")*(Income!A$3:A$502=DATE(2026,10,29)),ROW(Income!A$3:A$502)-2),2)),0))</f>
        <v/>
      </c>
      <c r="J220" s="38" t="str">
        <f aca="false">IF(IFERROR(INDEX(Expenses!B$3:B$1002,SMALL(IF((Expenses!E$3:E$1002="INR")*(Expenses!A$3:A$1002=DATE(2026,10,29)),ROW(Expenses!A$3:A$1002)-2),2)),"")&lt;&gt;"",IFERROR(INDEX(Expenses!B$3:B$1002,SMALL(IF((Expenses!E$3:E$1002="INR")*(Expenses!A$3:A$1002=DATE(2026,10,29)),ROW(Expenses!A$3:A$1002)-2),2)),""),IF(IFERROR(INDEX(Income!B$3:B$502,SMALL(IF((Income!D$3:D$502="INR")*(Income!A$3:A$502=DATE(2026,10,29)),ROW(Income!A$3:A$502)-2),2)),"")&lt;&gt;"",IFERROR(INDEX(Income!B$3:B$502,SMALL(IF((Income!D$3:D$502="INR")*(Income!A$3:A$502=DATE(2026,10,29)),ROW(Income!A$3:A$502)-2),2)),""),""))</f>
        <v/>
      </c>
      <c r="K220" s="63" t="str">
        <f aca="false">IF(IFERROR(-INDEX(Expenses!D$3:D$1002,SMALL(IF((Expenses!E$3:E$1002="INR")*(Expenses!A$3:A$1002=DATE(2026,10,30)),ROW(Expenses!A$3:A$1002)-2),2)),0)+IFERROR(INDEX(Income!C$3:C$502,SMALL(IF((Income!D$3:D$502="INR")*(Income!A$3:A$502=DATE(2026,10,30)),ROW(Income!A$3:A$502)-2),2)),0)=0,"",IFERROR(-INDEX(Expenses!D$3:D$1002,SMALL(IF((Expenses!E$3:E$1002="INR")*(Expenses!A$3:A$1002=DATE(2026,10,30)),ROW(Expenses!A$3:A$1002)-2),2)),0)+IFERROR(INDEX(Income!C$3:C$502,SMALL(IF((Income!D$3:D$502="INR")*(Income!A$3:A$502=DATE(2026,10,30)),ROW(Income!A$3:A$502)-2),2)),0))</f>
        <v/>
      </c>
      <c r="L220" s="38" t="str">
        <f aca="false">IF(IFERROR(INDEX(Expenses!B$3:B$1002,SMALL(IF((Expenses!E$3:E$1002="INR")*(Expenses!A$3:A$1002=DATE(2026,10,30)),ROW(Expenses!A$3:A$1002)-2),2)),"")&lt;&gt;"",IFERROR(INDEX(Expenses!B$3:B$1002,SMALL(IF((Expenses!E$3:E$1002="INR")*(Expenses!A$3:A$1002=DATE(2026,10,30)),ROW(Expenses!A$3:A$1002)-2),2)),""),IF(IFERROR(INDEX(Income!B$3:B$502,SMALL(IF((Income!D$3:D$502="INR")*(Income!A$3:A$502=DATE(2026,10,30)),ROW(Income!A$3:A$502)-2),2)),"")&lt;&gt;"",IFERROR(INDEX(Income!B$3:B$502,SMALL(IF((Income!D$3:D$502="INR")*(Income!A$3:A$502=DATE(2026,10,30)),ROW(Income!A$3:A$502)-2),2)),""),""))</f>
        <v/>
      </c>
      <c r="M220" s="63" t="str">
        <f aca="false">IF(IFERROR(-INDEX(Expenses!D$3:D$1002,SMALL(IF((Expenses!E$3:E$1002="INR")*(Expenses!A$3:A$1002=DATE(2026,10,31)),ROW(Expenses!A$3:A$1002)-2),2)),0)+IFERROR(INDEX(Income!C$3:C$502,SMALL(IF((Income!D$3:D$502="INR")*(Income!A$3:A$502=DATE(2026,10,31)),ROW(Income!A$3:A$502)-2),2)),0)=0,"",IFERROR(-INDEX(Expenses!D$3:D$1002,SMALL(IF((Expenses!E$3:E$1002="INR")*(Expenses!A$3:A$1002=DATE(2026,10,31)),ROW(Expenses!A$3:A$1002)-2),2)),0)+IFERROR(INDEX(Income!C$3:C$502,SMALL(IF((Income!D$3:D$502="INR")*(Income!A$3:A$502=DATE(2026,10,31)),ROW(Income!A$3:A$502)-2),2)),0))</f>
        <v/>
      </c>
      <c r="N220" s="38" t="str">
        <f aca="false">IF(IFERROR(INDEX(Expenses!B$3:B$1002,SMALL(IF((Expenses!E$3:E$1002="INR")*(Expenses!A$3:A$1002=DATE(2026,10,31)),ROW(Expenses!A$3:A$1002)-2),2)),"")&lt;&gt;"",IFERROR(INDEX(Expenses!B$3:B$1002,SMALL(IF((Expenses!E$3:E$1002="INR")*(Expenses!A$3:A$1002=DATE(2026,10,31)),ROW(Expenses!A$3:A$1002)-2),2)),""),IF(IFERROR(INDEX(Income!B$3:B$502,SMALL(IF((Income!D$3:D$502="INR")*(Income!A$3:A$502=DATE(2026,10,31)),ROW(Income!A$3:A$502)-2),2)),"")&lt;&gt;"",IFERROR(INDEX(Income!B$3:B$502,SMALL(IF((Income!D$3:D$502="INR")*(Income!A$3:A$502=DATE(2026,10,31)),ROW(Income!A$3:A$502)-2),2)),""),""))</f>
        <v/>
      </c>
      <c r="O220" s="63" t="str">
        <f aca="false">IF(IFERROR(-INDEX(Expenses!D$3:D$1002,SMALL(IF((Expenses!E$3:E$1002="INR")*(Expenses!A$3:A$1002=DATE(2026,11,1)),ROW(Expenses!A$3:A$1002)-2),2)),0)+IFERROR(INDEX(Income!C$3:C$502,SMALL(IF((Income!D$3:D$502="INR")*(Income!A$3:A$502=DATE(2026,11,1)),ROW(Income!A$3:A$502)-2),2)),0)=0,"",IFERROR(-INDEX(Expenses!D$3:D$1002,SMALL(IF((Expenses!E$3:E$1002="INR")*(Expenses!A$3:A$1002=DATE(2026,11,1)),ROW(Expenses!A$3:A$1002)-2),2)),0)+IFERROR(INDEX(Income!C$3:C$502,SMALL(IF((Income!D$3:D$502="INR")*(Income!A$3:A$502=DATE(2026,11,1)),ROW(Income!A$3:A$502)-2),2)),0))</f>
        <v/>
      </c>
      <c r="P220" s="38" t="str">
        <f aca="false">IF(IFERROR(INDEX(Expenses!B$3:B$1002,SMALL(IF((Expenses!E$3:E$1002="INR")*(Expenses!A$3:A$1002=DATE(2026,11,1)),ROW(Expenses!A$3:A$1002)-2),2)),"")&lt;&gt;"",IFERROR(INDEX(Expenses!B$3:B$1002,SMALL(IF((Expenses!E$3:E$1002="INR")*(Expenses!A$3:A$1002=DATE(2026,11,1)),ROW(Expenses!A$3:A$1002)-2),2)),""),IF(IFERROR(INDEX(Income!B$3:B$502,SMALL(IF((Income!D$3:D$502="INR")*(Income!A$3:A$502=DATE(2026,11,1)),ROW(Income!A$3:A$502)-2),2)),"")&lt;&gt;"",IFERROR(INDEX(Income!B$3:B$502,SMALL(IF((Income!D$3:D$502="INR")*(Income!A$3:A$502=DATE(2026,11,1)),ROW(Income!A$3:A$502)-2),2)),""),""))</f>
        <v/>
      </c>
      <c r="Q220" s="16"/>
      <c r="R220" s="16"/>
    </row>
    <row r="221" customFormat="false" ht="15" hidden="false" customHeight="false" outlineLevel="0" collapsed="false">
      <c r="A221" s="16"/>
      <c r="B221" s="16"/>
      <c r="C221" s="63" t="str">
        <f aca="false">IF(IFERROR(-INDEX(Expenses!D$3:D$1002,SMALL(IF((Expenses!E$3:E$1002="INR")*(Expenses!A$3:A$1002=DATE(2026,10,26)),ROW(Expenses!A$3:A$1002)-2),3)),0)+IFERROR(INDEX(Income!C$3:C$502,SMALL(IF((Income!D$3:D$502="INR")*(Income!A$3:A$502=DATE(2026,10,26)),ROW(Income!A$3:A$502)-2),3)),0)=0,"",IFERROR(-INDEX(Expenses!D$3:D$1002,SMALL(IF((Expenses!E$3:E$1002="INR")*(Expenses!A$3:A$1002=DATE(2026,10,26)),ROW(Expenses!A$3:A$1002)-2),3)),0)+IFERROR(INDEX(Income!C$3:C$502,SMALL(IF((Income!D$3:D$502="INR")*(Income!A$3:A$502=DATE(2026,10,26)),ROW(Income!A$3:A$502)-2),3)),0))</f>
        <v/>
      </c>
      <c r="D221" s="38" t="str">
        <f aca="false">IF(IFERROR(INDEX(Expenses!B$3:B$1002,SMALL(IF((Expenses!E$3:E$1002="INR")*(Expenses!A$3:A$1002=DATE(2026,10,26)),ROW(Expenses!A$3:A$1002)-2),3)),"")&lt;&gt;"",IFERROR(INDEX(Expenses!B$3:B$1002,SMALL(IF((Expenses!E$3:E$1002="INR")*(Expenses!A$3:A$1002=DATE(2026,10,26)),ROW(Expenses!A$3:A$1002)-2),3)),""),IF(IFERROR(INDEX(Income!B$3:B$502,SMALL(IF((Income!D$3:D$502="INR")*(Income!A$3:A$502=DATE(2026,10,26)),ROW(Income!A$3:A$502)-2),3)),"")&lt;&gt;"",IFERROR(INDEX(Income!B$3:B$502,SMALL(IF((Income!D$3:D$502="INR")*(Income!A$3:A$502=DATE(2026,10,26)),ROW(Income!A$3:A$502)-2),3)),""),""))</f>
        <v/>
      </c>
      <c r="E221" s="63" t="str">
        <f aca="false">IF(IFERROR(-INDEX(Expenses!D$3:D$1002,SMALL(IF((Expenses!E$3:E$1002="INR")*(Expenses!A$3:A$1002=DATE(2026,10,27)),ROW(Expenses!A$3:A$1002)-2),3)),0)+IFERROR(INDEX(Income!C$3:C$502,SMALL(IF((Income!D$3:D$502="INR")*(Income!A$3:A$502=DATE(2026,10,27)),ROW(Income!A$3:A$502)-2),3)),0)=0,"",IFERROR(-INDEX(Expenses!D$3:D$1002,SMALL(IF((Expenses!E$3:E$1002="INR")*(Expenses!A$3:A$1002=DATE(2026,10,27)),ROW(Expenses!A$3:A$1002)-2),3)),0)+IFERROR(INDEX(Income!C$3:C$502,SMALL(IF((Income!D$3:D$502="INR")*(Income!A$3:A$502=DATE(2026,10,27)),ROW(Income!A$3:A$502)-2),3)),0))</f>
        <v/>
      </c>
      <c r="F221" s="38" t="str">
        <f aca="false">IF(IFERROR(INDEX(Expenses!B$3:B$1002,SMALL(IF((Expenses!E$3:E$1002="INR")*(Expenses!A$3:A$1002=DATE(2026,10,27)),ROW(Expenses!A$3:A$1002)-2),3)),"")&lt;&gt;"",IFERROR(INDEX(Expenses!B$3:B$1002,SMALL(IF((Expenses!E$3:E$1002="INR")*(Expenses!A$3:A$1002=DATE(2026,10,27)),ROW(Expenses!A$3:A$1002)-2),3)),""),IF(IFERROR(INDEX(Income!B$3:B$502,SMALL(IF((Income!D$3:D$502="INR")*(Income!A$3:A$502=DATE(2026,10,27)),ROW(Income!A$3:A$502)-2),3)),"")&lt;&gt;"",IFERROR(INDEX(Income!B$3:B$502,SMALL(IF((Income!D$3:D$502="INR")*(Income!A$3:A$502=DATE(2026,10,27)),ROW(Income!A$3:A$502)-2),3)),""),""))</f>
        <v/>
      </c>
      <c r="G221" s="63" t="str">
        <f aca="false">IF(IFERROR(-INDEX(Expenses!D$3:D$1002,SMALL(IF((Expenses!E$3:E$1002="INR")*(Expenses!A$3:A$1002=DATE(2026,10,28)),ROW(Expenses!A$3:A$1002)-2),3)),0)+IFERROR(INDEX(Income!C$3:C$502,SMALL(IF((Income!D$3:D$502="INR")*(Income!A$3:A$502=DATE(2026,10,28)),ROW(Income!A$3:A$502)-2),3)),0)=0,"",IFERROR(-INDEX(Expenses!D$3:D$1002,SMALL(IF((Expenses!E$3:E$1002="INR")*(Expenses!A$3:A$1002=DATE(2026,10,28)),ROW(Expenses!A$3:A$1002)-2),3)),0)+IFERROR(INDEX(Income!C$3:C$502,SMALL(IF((Income!D$3:D$502="INR")*(Income!A$3:A$502=DATE(2026,10,28)),ROW(Income!A$3:A$502)-2),3)),0))</f>
        <v/>
      </c>
      <c r="H221" s="38" t="str">
        <f aca="false">IF(IFERROR(INDEX(Expenses!B$3:B$1002,SMALL(IF((Expenses!E$3:E$1002="INR")*(Expenses!A$3:A$1002=DATE(2026,10,28)),ROW(Expenses!A$3:A$1002)-2),3)),"")&lt;&gt;"",IFERROR(INDEX(Expenses!B$3:B$1002,SMALL(IF((Expenses!E$3:E$1002="INR")*(Expenses!A$3:A$1002=DATE(2026,10,28)),ROW(Expenses!A$3:A$1002)-2),3)),""),IF(IFERROR(INDEX(Income!B$3:B$502,SMALL(IF((Income!D$3:D$502="INR")*(Income!A$3:A$502=DATE(2026,10,28)),ROW(Income!A$3:A$502)-2),3)),"")&lt;&gt;"",IFERROR(INDEX(Income!B$3:B$502,SMALL(IF((Income!D$3:D$502="INR")*(Income!A$3:A$502=DATE(2026,10,28)),ROW(Income!A$3:A$502)-2),3)),""),""))</f>
        <v/>
      </c>
      <c r="I221" s="63" t="str">
        <f aca="false">IF(IFERROR(-INDEX(Expenses!D$3:D$1002,SMALL(IF((Expenses!E$3:E$1002="INR")*(Expenses!A$3:A$1002=DATE(2026,10,29)),ROW(Expenses!A$3:A$1002)-2),3)),0)+IFERROR(INDEX(Income!C$3:C$502,SMALL(IF((Income!D$3:D$502="INR")*(Income!A$3:A$502=DATE(2026,10,29)),ROW(Income!A$3:A$502)-2),3)),0)=0,"",IFERROR(-INDEX(Expenses!D$3:D$1002,SMALL(IF((Expenses!E$3:E$1002="INR")*(Expenses!A$3:A$1002=DATE(2026,10,29)),ROW(Expenses!A$3:A$1002)-2),3)),0)+IFERROR(INDEX(Income!C$3:C$502,SMALL(IF((Income!D$3:D$502="INR")*(Income!A$3:A$502=DATE(2026,10,29)),ROW(Income!A$3:A$502)-2),3)),0))</f>
        <v/>
      </c>
      <c r="J221" s="38" t="str">
        <f aca="false">IF(IFERROR(INDEX(Expenses!B$3:B$1002,SMALL(IF((Expenses!E$3:E$1002="INR")*(Expenses!A$3:A$1002=DATE(2026,10,29)),ROW(Expenses!A$3:A$1002)-2),3)),"")&lt;&gt;"",IFERROR(INDEX(Expenses!B$3:B$1002,SMALL(IF((Expenses!E$3:E$1002="INR")*(Expenses!A$3:A$1002=DATE(2026,10,29)),ROW(Expenses!A$3:A$1002)-2),3)),""),IF(IFERROR(INDEX(Income!B$3:B$502,SMALL(IF((Income!D$3:D$502="INR")*(Income!A$3:A$502=DATE(2026,10,29)),ROW(Income!A$3:A$502)-2),3)),"")&lt;&gt;"",IFERROR(INDEX(Income!B$3:B$502,SMALL(IF((Income!D$3:D$502="INR")*(Income!A$3:A$502=DATE(2026,10,29)),ROW(Income!A$3:A$502)-2),3)),""),""))</f>
        <v/>
      </c>
      <c r="K221" s="63" t="str">
        <f aca="false">IF(IFERROR(-INDEX(Expenses!D$3:D$1002,SMALL(IF((Expenses!E$3:E$1002="INR")*(Expenses!A$3:A$1002=DATE(2026,10,30)),ROW(Expenses!A$3:A$1002)-2),3)),0)+IFERROR(INDEX(Income!C$3:C$502,SMALL(IF((Income!D$3:D$502="INR")*(Income!A$3:A$502=DATE(2026,10,30)),ROW(Income!A$3:A$502)-2),3)),0)=0,"",IFERROR(-INDEX(Expenses!D$3:D$1002,SMALL(IF((Expenses!E$3:E$1002="INR")*(Expenses!A$3:A$1002=DATE(2026,10,30)),ROW(Expenses!A$3:A$1002)-2),3)),0)+IFERROR(INDEX(Income!C$3:C$502,SMALL(IF((Income!D$3:D$502="INR")*(Income!A$3:A$502=DATE(2026,10,30)),ROW(Income!A$3:A$502)-2),3)),0))</f>
        <v/>
      </c>
      <c r="L221" s="38" t="str">
        <f aca="false">IF(IFERROR(INDEX(Expenses!B$3:B$1002,SMALL(IF((Expenses!E$3:E$1002="INR")*(Expenses!A$3:A$1002=DATE(2026,10,30)),ROW(Expenses!A$3:A$1002)-2),3)),"")&lt;&gt;"",IFERROR(INDEX(Expenses!B$3:B$1002,SMALL(IF((Expenses!E$3:E$1002="INR")*(Expenses!A$3:A$1002=DATE(2026,10,30)),ROW(Expenses!A$3:A$1002)-2),3)),""),IF(IFERROR(INDEX(Income!B$3:B$502,SMALL(IF((Income!D$3:D$502="INR")*(Income!A$3:A$502=DATE(2026,10,30)),ROW(Income!A$3:A$502)-2),3)),"")&lt;&gt;"",IFERROR(INDEX(Income!B$3:B$502,SMALL(IF((Income!D$3:D$502="INR")*(Income!A$3:A$502=DATE(2026,10,30)),ROW(Income!A$3:A$502)-2),3)),""),""))</f>
        <v/>
      </c>
      <c r="M221" s="63" t="str">
        <f aca="false">IF(IFERROR(-INDEX(Expenses!D$3:D$1002,SMALL(IF((Expenses!E$3:E$1002="INR")*(Expenses!A$3:A$1002=DATE(2026,10,31)),ROW(Expenses!A$3:A$1002)-2),3)),0)+IFERROR(INDEX(Income!C$3:C$502,SMALL(IF((Income!D$3:D$502="INR")*(Income!A$3:A$502=DATE(2026,10,31)),ROW(Income!A$3:A$502)-2),3)),0)=0,"",IFERROR(-INDEX(Expenses!D$3:D$1002,SMALL(IF((Expenses!E$3:E$1002="INR")*(Expenses!A$3:A$1002=DATE(2026,10,31)),ROW(Expenses!A$3:A$1002)-2),3)),0)+IFERROR(INDEX(Income!C$3:C$502,SMALL(IF((Income!D$3:D$502="INR")*(Income!A$3:A$502=DATE(2026,10,31)),ROW(Income!A$3:A$502)-2),3)),0))</f>
        <v/>
      </c>
      <c r="N221" s="38" t="str">
        <f aca="false">IF(IFERROR(INDEX(Expenses!B$3:B$1002,SMALL(IF((Expenses!E$3:E$1002="INR")*(Expenses!A$3:A$1002=DATE(2026,10,31)),ROW(Expenses!A$3:A$1002)-2),3)),"")&lt;&gt;"",IFERROR(INDEX(Expenses!B$3:B$1002,SMALL(IF((Expenses!E$3:E$1002="INR")*(Expenses!A$3:A$1002=DATE(2026,10,31)),ROW(Expenses!A$3:A$1002)-2),3)),""),IF(IFERROR(INDEX(Income!B$3:B$502,SMALL(IF((Income!D$3:D$502="INR")*(Income!A$3:A$502=DATE(2026,10,31)),ROW(Income!A$3:A$502)-2),3)),"")&lt;&gt;"",IFERROR(INDEX(Income!B$3:B$502,SMALL(IF((Income!D$3:D$502="INR")*(Income!A$3:A$502=DATE(2026,10,31)),ROW(Income!A$3:A$502)-2),3)),""),""))</f>
        <v/>
      </c>
      <c r="O221" s="63" t="str">
        <f aca="false">IF(IFERROR(-INDEX(Expenses!D$3:D$1002,SMALL(IF((Expenses!E$3:E$1002="INR")*(Expenses!A$3:A$1002=DATE(2026,11,1)),ROW(Expenses!A$3:A$1002)-2),3)),0)+IFERROR(INDEX(Income!C$3:C$502,SMALL(IF((Income!D$3:D$502="INR")*(Income!A$3:A$502=DATE(2026,11,1)),ROW(Income!A$3:A$502)-2),3)),0)=0,"",IFERROR(-INDEX(Expenses!D$3:D$1002,SMALL(IF((Expenses!E$3:E$1002="INR")*(Expenses!A$3:A$1002=DATE(2026,11,1)),ROW(Expenses!A$3:A$1002)-2),3)),0)+IFERROR(INDEX(Income!C$3:C$502,SMALL(IF((Income!D$3:D$502="INR")*(Income!A$3:A$502=DATE(2026,11,1)),ROW(Income!A$3:A$502)-2),3)),0))</f>
        <v/>
      </c>
      <c r="P221" s="38" t="str">
        <f aca="false">IF(IFERROR(INDEX(Expenses!B$3:B$1002,SMALL(IF((Expenses!E$3:E$1002="INR")*(Expenses!A$3:A$1002=DATE(2026,11,1)),ROW(Expenses!A$3:A$1002)-2),3)),"")&lt;&gt;"",IFERROR(INDEX(Expenses!B$3:B$1002,SMALL(IF((Expenses!E$3:E$1002="INR")*(Expenses!A$3:A$1002=DATE(2026,11,1)),ROW(Expenses!A$3:A$1002)-2),3)),""),IF(IFERROR(INDEX(Income!B$3:B$502,SMALL(IF((Income!D$3:D$502="INR")*(Income!A$3:A$502=DATE(2026,11,1)),ROW(Income!A$3:A$502)-2),3)),"")&lt;&gt;"",IFERROR(INDEX(Income!B$3:B$502,SMALL(IF((Income!D$3:D$502="INR")*(Income!A$3:A$502=DATE(2026,11,1)),ROW(Income!A$3:A$502)-2),3)),""),""))</f>
        <v/>
      </c>
      <c r="Q221" s="16"/>
      <c r="R221" s="16"/>
    </row>
    <row r="222" customFormat="false" ht="15" hidden="false" customHeight="false" outlineLevel="0" collapsed="false">
      <c r="A222" s="16"/>
      <c r="B222" s="16"/>
      <c r="C222" s="63" t="str">
        <f aca="false">IF(IFERROR(-INDEX(Expenses!D$3:D$1002,SMALL(IF((Expenses!E$3:E$1002="INR")*(Expenses!A$3:A$1002=DATE(2026,10,26)),ROW(Expenses!A$3:A$1002)-2),4)),0)+IFERROR(INDEX(Income!C$3:C$502,SMALL(IF((Income!D$3:D$502="INR")*(Income!A$3:A$502=DATE(2026,10,26)),ROW(Income!A$3:A$502)-2),4)),0)=0,"",IFERROR(-INDEX(Expenses!D$3:D$1002,SMALL(IF((Expenses!E$3:E$1002="INR")*(Expenses!A$3:A$1002=DATE(2026,10,26)),ROW(Expenses!A$3:A$1002)-2),4)),0)+IFERROR(INDEX(Income!C$3:C$502,SMALL(IF((Income!D$3:D$502="INR")*(Income!A$3:A$502=DATE(2026,10,26)),ROW(Income!A$3:A$502)-2),4)),0))</f>
        <v/>
      </c>
      <c r="D222" s="38" t="str">
        <f aca="false">IF(IFERROR(INDEX(Expenses!B$3:B$1002,SMALL(IF((Expenses!E$3:E$1002="INR")*(Expenses!A$3:A$1002=DATE(2026,10,26)),ROW(Expenses!A$3:A$1002)-2),4)),"")&lt;&gt;"",IFERROR(INDEX(Expenses!B$3:B$1002,SMALL(IF((Expenses!E$3:E$1002="INR")*(Expenses!A$3:A$1002=DATE(2026,10,26)),ROW(Expenses!A$3:A$1002)-2),4)),""),IF(IFERROR(INDEX(Income!B$3:B$502,SMALL(IF((Income!D$3:D$502="INR")*(Income!A$3:A$502=DATE(2026,10,26)),ROW(Income!A$3:A$502)-2),4)),"")&lt;&gt;"",IFERROR(INDEX(Income!B$3:B$502,SMALL(IF((Income!D$3:D$502="INR")*(Income!A$3:A$502=DATE(2026,10,26)),ROW(Income!A$3:A$502)-2),4)),""),""))</f>
        <v/>
      </c>
      <c r="E222" s="63" t="str">
        <f aca="false">IF(IFERROR(-INDEX(Expenses!D$3:D$1002,SMALL(IF((Expenses!E$3:E$1002="INR")*(Expenses!A$3:A$1002=DATE(2026,10,27)),ROW(Expenses!A$3:A$1002)-2),4)),0)+IFERROR(INDEX(Income!C$3:C$502,SMALL(IF((Income!D$3:D$502="INR")*(Income!A$3:A$502=DATE(2026,10,27)),ROW(Income!A$3:A$502)-2),4)),0)=0,"",IFERROR(-INDEX(Expenses!D$3:D$1002,SMALL(IF((Expenses!E$3:E$1002="INR")*(Expenses!A$3:A$1002=DATE(2026,10,27)),ROW(Expenses!A$3:A$1002)-2),4)),0)+IFERROR(INDEX(Income!C$3:C$502,SMALL(IF((Income!D$3:D$502="INR")*(Income!A$3:A$502=DATE(2026,10,27)),ROW(Income!A$3:A$502)-2),4)),0))</f>
        <v/>
      </c>
      <c r="F222" s="38" t="str">
        <f aca="false">IF(IFERROR(INDEX(Expenses!B$3:B$1002,SMALL(IF((Expenses!E$3:E$1002="INR")*(Expenses!A$3:A$1002=DATE(2026,10,27)),ROW(Expenses!A$3:A$1002)-2),4)),"")&lt;&gt;"",IFERROR(INDEX(Expenses!B$3:B$1002,SMALL(IF((Expenses!E$3:E$1002="INR")*(Expenses!A$3:A$1002=DATE(2026,10,27)),ROW(Expenses!A$3:A$1002)-2),4)),""),IF(IFERROR(INDEX(Income!B$3:B$502,SMALL(IF((Income!D$3:D$502="INR")*(Income!A$3:A$502=DATE(2026,10,27)),ROW(Income!A$3:A$502)-2),4)),"")&lt;&gt;"",IFERROR(INDEX(Income!B$3:B$502,SMALL(IF((Income!D$3:D$502="INR")*(Income!A$3:A$502=DATE(2026,10,27)),ROW(Income!A$3:A$502)-2),4)),""),""))</f>
        <v/>
      </c>
      <c r="G222" s="63" t="str">
        <f aca="false">IF(IFERROR(-INDEX(Expenses!D$3:D$1002,SMALL(IF((Expenses!E$3:E$1002="INR")*(Expenses!A$3:A$1002=DATE(2026,10,28)),ROW(Expenses!A$3:A$1002)-2),4)),0)+IFERROR(INDEX(Income!C$3:C$502,SMALL(IF((Income!D$3:D$502="INR")*(Income!A$3:A$502=DATE(2026,10,28)),ROW(Income!A$3:A$502)-2),4)),0)=0,"",IFERROR(-INDEX(Expenses!D$3:D$1002,SMALL(IF((Expenses!E$3:E$1002="INR")*(Expenses!A$3:A$1002=DATE(2026,10,28)),ROW(Expenses!A$3:A$1002)-2),4)),0)+IFERROR(INDEX(Income!C$3:C$502,SMALL(IF((Income!D$3:D$502="INR")*(Income!A$3:A$502=DATE(2026,10,28)),ROW(Income!A$3:A$502)-2),4)),0))</f>
        <v/>
      </c>
      <c r="H222" s="38" t="str">
        <f aca="false">IF(IFERROR(INDEX(Expenses!B$3:B$1002,SMALL(IF((Expenses!E$3:E$1002="INR")*(Expenses!A$3:A$1002=DATE(2026,10,28)),ROW(Expenses!A$3:A$1002)-2),4)),"")&lt;&gt;"",IFERROR(INDEX(Expenses!B$3:B$1002,SMALL(IF((Expenses!E$3:E$1002="INR")*(Expenses!A$3:A$1002=DATE(2026,10,28)),ROW(Expenses!A$3:A$1002)-2),4)),""),IF(IFERROR(INDEX(Income!B$3:B$502,SMALL(IF((Income!D$3:D$502="INR")*(Income!A$3:A$502=DATE(2026,10,28)),ROW(Income!A$3:A$502)-2),4)),"")&lt;&gt;"",IFERROR(INDEX(Income!B$3:B$502,SMALL(IF((Income!D$3:D$502="INR")*(Income!A$3:A$502=DATE(2026,10,28)),ROW(Income!A$3:A$502)-2),4)),""),""))</f>
        <v/>
      </c>
      <c r="I222" s="63" t="str">
        <f aca="false">IF(IFERROR(-INDEX(Expenses!D$3:D$1002,SMALL(IF((Expenses!E$3:E$1002="INR")*(Expenses!A$3:A$1002=DATE(2026,10,29)),ROW(Expenses!A$3:A$1002)-2),4)),0)+IFERROR(INDEX(Income!C$3:C$502,SMALL(IF((Income!D$3:D$502="INR")*(Income!A$3:A$502=DATE(2026,10,29)),ROW(Income!A$3:A$502)-2),4)),0)=0,"",IFERROR(-INDEX(Expenses!D$3:D$1002,SMALL(IF((Expenses!E$3:E$1002="INR")*(Expenses!A$3:A$1002=DATE(2026,10,29)),ROW(Expenses!A$3:A$1002)-2),4)),0)+IFERROR(INDEX(Income!C$3:C$502,SMALL(IF((Income!D$3:D$502="INR")*(Income!A$3:A$502=DATE(2026,10,29)),ROW(Income!A$3:A$502)-2),4)),0))</f>
        <v/>
      </c>
      <c r="J222" s="38" t="str">
        <f aca="false">IF(IFERROR(INDEX(Expenses!B$3:B$1002,SMALL(IF((Expenses!E$3:E$1002="INR")*(Expenses!A$3:A$1002=DATE(2026,10,29)),ROW(Expenses!A$3:A$1002)-2),4)),"")&lt;&gt;"",IFERROR(INDEX(Expenses!B$3:B$1002,SMALL(IF((Expenses!E$3:E$1002="INR")*(Expenses!A$3:A$1002=DATE(2026,10,29)),ROW(Expenses!A$3:A$1002)-2),4)),""),IF(IFERROR(INDEX(Income!B$3:B$502,SMALL(IF((Income!D$3:D$502="INR")*(Income!A$3:A$502=DATE(2026,10,29)),ROW(Income!A$3:A$502)-2),4)),"")&lt;&gt;"",IFERROR(INDEX(Income!B$3:B$502,SMALL(IF((Income!D$3:D$502="INR")*(Income!A$3:A$502=DATE(2026,10,29)),ROW(Income!A$3:A$502)-2),4)),""),""))</f>
        <v/>
      </c>
      <c r="K222" s="63" t="str">
        <f aca="false">IF(IFERROR(-INDEX(Expenses!D$3:D$1002,SMALL(IF((Expenses!E$3:E$1002="INR")*(Expenses!A$3:A$1002=DATE(2026,10,30)),ROW(Expenses!A$3:A$1002)-2),4)),0)+IFERROR(INDEX(Income!C$3:C$502,SMALL(IF((Income!D$3:D$502="INR")*(Income!A$3:A$502=DATE(2026,10,30)),ROW(Income!A$3:A$502)-2),4)),0)=0,"",IFERROR(-INDEX(Expenses!D$3:D$1002,SMALL(IF((Expenses!E$3:E$1002="INR")*(Expenses!A$3:A$1002=DATE(2026,10,30)),ROW(Expenses!A$3:A$1002)-2),4)),0)+IFERROR(INDEX(Income!C$3:C$502,SMALL(IF((Income!D$3:D$502="INR")*(Income!A$3:A$502=DATE(2026,10,30)),ROW(Income!A$3:A$502)-2),4)),0))</f>
        <v/>
      </c>
      <c r="L222" s="38" t="str">
        <f aca="false">IF(IFERROR(INDEX(Expenses!B$3:B$1002,SMALL(IF((Expenses!E$3:E$1002="INR")*(Expenses!A$3:A$1002=DATE(2026,10,30)),ROW(Expenses!A$3:A$1002)-2),4)),"")&lt;&gt;"",IFERROR(INDEX(Expenses!B$3:B$1002,SMALL(IF((Expenses!E$3:E$1002="INR")*(Expenses!A$3:A$1002=DATE(2026,10,30)),ROW(Expenses!A$3:A$1002)-2),4)),""),IF(IFERROR(INDEX(Income!B$3:B$502,SMALL(IF((Income!D$3:D$502="INR")*(Income!A$3:A$502=DATE(2026,10,30)),ROW(Income!A$3:A$502)-2),4)),"")&lt;&gt;"",IFERROR(INDEX(Income!B$3:B$502,SMALL(IF((Income!D$3:D$502="INR")*(Income!A$3:A$502=DATE(2026,10,30)),ROW(Income!A$3:A$502)-2),4)),""),""))</f>
        <v/>
      </c>
      <c r="M222" s="63" t="str">
        <f aca="false">IF(IFERROR(-INDEX(Expenses!D$3:D$1002,SMALL(IF((Expenses!E$3:E$1002="INR")*(Expenses!A$3:A$1002=DATE(2026,10,31)),ROW(Expenses!A$3:A$1002)-2),4)),0)+IFERROR(INDEX(Income!C$3:C$502,SMALL(IF((Income!D$3:D$502="INR")*(Income!A$3:A$502=DATE(2026,10,31)),ROW(Income!A$3:A$502)-2),4)),0)=0,"",IFERROR(-INDEX(Expenses!D$3:D$1002,SMALL(IF((Expenses!E$3:E$1002="INR")*(Expenses!A$3:A$1002=DATE(2026,10,31)),ROW(Expenses!A$3:A$1002)-2),4)),0)+IFERROR(INDEX(Income!C$3:C$502,SMALL(IF((Income!D$3:D$502="INR")*(Income!A$3:A$502=DATE(2026,10,31)),ROW(Income!A$3:A$502)-2),4)),0))</f>
        <v/>
      </c>
      <c r="N222" s="38" t="str">
        <f aca="false">IF(IFERROR(INDEX(Expenses!B$3:B$1002,SMALL(IF((Expenses!E$3:E$1002="INR")*(Expenses!A$3:A$1002=DATE(2026,10,31)),ROW(Expenses!A$3:A$1002)-2),4)),"")&lt;&gt;"",IFERROR(INDEX(Expenses!B$3:B$1002,SMALL(IF((Expenses!E$3:E$1002="INR")*(Expenses!A$3:A$1002=DATE(2026,10,31)),ROW(Expenses!A$3:A$1002)-2),4)),""),IF(IFERROR(INDEX(Income!B$3:B$502,SMALL(IF((Income!D$3:D$502="INR")*(Income!A$3:A$502=DATE(2026,10,31)),ROW(Income!A$3:A$502)-2),4)),"")&lt;&gt;"",IFERROR(INDEX(Income!B$3:B$502,SMALL(IF((Income!D$3:D$502="INR")*(Income!A$3:A$502=DATE(2026,10,31)),ROW(Income!A$3:A$502)-2),4)),""),""))</f>
        <v/>
      </c>
      <c r="O222" s="63" t="str">
        <f aca="false">IF(IFERROR(-INDEX(Expenses!D$3:D$1002,SMALL(IF((Expenses!E$3:E$1002="INR")*(Expenses!A$3:A$1002=DATE(2026,11,1)),ROW(Expenses!A$3:A$1002)-2),4)),0)+IFERROR(INDEX(Income!C$3:C$502,SMALL(IF((Income!D$3:D$502="INR")*(Income!A$3:A$502=DATE(2026,11,1)),ROW(Income!A$3:A$502)-2),4)),0)=0,"",IFERROR(-INDEX(Expenses!D$3:D$1002,SMALL(IF((Expenses!E$3:E$1002="INR")*(Expenses!A$3:A$1002=DATE(2026,11,1)),ROW(Expenses!A$3:A$1002)-2),4)),0)+IFERROR(INDEX(Income!C$3:C$502,SMALL(IF((Income!D$3:D$502="INR")*(Income!A$3:A$502=DATE(2026,11,1)),ROW(Income!A$3:A$502)-2),4)),0))</f>
        <v/>
      </c>
      <c r="P222" s="38" t="str">
        <f aca="false">IF(IFERROR(INDEX(Expenses!B$3:B$1002,SMALL(IF((Expenses!E$3:E$1002="INR")*(Expenses!A$3:A$1002=DATE(2026,11,1)),ROW(Expenses!A$3:A$1002)-2),4)),"")&lt;&gt;"",IFERROR(INDEX(Expenses!B$3:B$1002,SMALL(IF((Expenses!E$3:E$1002="INR")*(Expenses!A$3:A$1002=DATE(2026,11,1)),ROW(Expenses!A$3:A$1002)-2),4)),""),IF(IFERROR(INDEX(Income!B$3:B$502,SMALL(IF((Income!D$3:D$502="INR")*(Income!A$3:A$502=DATE(2026,11,1)),ROW(Income!A$3:A$502)-2),4)),"")&lt;&gt;"",IFERROR(INDEX(Income!B$3:B$502,SMALL(IF((Income!D$3:D$502="INR")*(Income!A$3:A$502=DATE(2026,11,1)),ROW(Income!A$3:A$502)-2),4)),""),""))</f>
        <v/>
      </c>
      <c r="Q222" s="16"/>
      <c r="R222" s="16"/>
    </row>
    <row r="223" customFormat="false" ht="15" hidden="false" customHeight="false" outlineLevel="0" collapsed="false">
      <c r="A223" s="16"/>
      <c r="B223" s="16"/>
      <c r="C223" s="63" t="str">
        <f aca="false">IF(IFERROR(-INDEX(Expenses!D$3:D$1002,SMALL(IF((Expenses!E$3:E$1002="INR")*(Expenses!A$3:A$1002=DATE(2026,10,26)),ROW(Expenses!A$3:A$1002)-2),5)),0)+IFERROR(INDEX(Income!C$3:C$502,SMALL(IF((Income!D$3:D$502="INR")*(Income!A$3:A$502=DATE(2026,10,26)),ROW(Income!A$3:A$502)-2),5)),0)=0,"",IFERROR(-INDEX(Expenses!D$3:D$1002,SMALL(IF((Expenses!E$3:E$1002="INR")*(Expenses!A$3:A$1002=DATE(2026,10,26)),ROW(Expenses!A$3:A$1002)-2),5)),0)+IFERROR(INDEX(Income!C$3:C$502,SMALL(IF((Income!D$3:D$502="INR")*(Income!A$3:A$502=DATE(2026,10,26)),ROW(Income!A$3:A$502)-2),5)),0))</f>
        <v/>
      </c>
      <c r="D223" s="38" t="str">
        <f aca="false">IF(IFERROR(INDEX(Expenses!B$3:B$1002,SMALL(IF((Expenses!E$3:E$1002="INR")*(Expenses!A$3:A$1002=DATE(2026,10,26)),ROW(Expenses!A$3:A$1002)-2),5)),"")&lt;&gt;"",IFERROR(INDEX(Expenses!B$3:B$1002,SMALL(IF((Expenses!E$3:E$1002="INR")*(Expenses!A$3:A$1002=DATE(2026,10,26)),ROW(Expenses!A$3:A$1002)-2),5)),""),IF(IFERROR(INDEX(Income!B$3:B$502,SMALL(IF((Income!D$3:D$502="INR")*(Income!A$3:A$502=DATE(2026,10,26)),ROW(Income!A$3:A$502)-2),5)),"")&lt;&gt;"",IFERROR(INDEX(Income!B$3:B$502,SMALL(IF((Income!D$3:D$502="INR")*(Income!A$3:A$502=DATE(2026,10,26)),ROW(Income!A$3:A$502)-2),5)),""),""))</f>
        <v/>
      </c>
      <c r="E223" s="63" t="str">
        <f aca="false">IF(IFERROR(-INDEX(Expenses!D$3:D$1002,SMALL(IF((Expenses!E$3:E$1002="INR")*(Expenses!A$3:A$1002=DATE(2026,10,27)),ROW(Expenses!A$3:A$1002)-2),5)),0)+IFERROR(INDEX(Income!C$3:C$502,SMALL(IF((Income!D$3:D$502="INR")*(Income!A$3:A$502=DATE(2026,10,27)),ROW(Income!A$3:A$502)-2),5)),0)=0,"",IFERROR(-INDEX(Expenses!D$3:D$1002,SMALL(IF((Expenses!E$3:E$1002="INR")*(Expenses!A$3:A$1002=DATE(2026,10,27)),ROW(Expenses!A$3:A$1002)-2),5)),0)+IFERROR(INDEX(Income!C$3:C$502,SMALL(IF((Income!D$3:D$502="INR")*(Income!A$3:A$502=DATE(2026,10,27)),ROW(Income!A$3:A$502)-2),5)),0))</f>
        <v/>
      </c>
      <c r="F223" s="38" t="str">
        <f aca="false">IF(IFERROR(INDEX(Expenses!B$3:B$1002,SMALL(IF((Expenses!E$3:E$1002="INR")*(Expenses!A$3:A$1002=DATE(2026,10,27)),ROW(Expenses!A$3:A$1002)-2),5)),"")&lt;&gt;"",IFERROR(INDEX(Expenses!B$3:B$1002,SMALL(IF((Expenses!E$3:E$1002="INR")*(Expenses!A$3:A$1002=DATE(2026,10,27)),ROW(Expenses!A$3:A$1002)-2),5)),""),IF(IFERROR(INDEX(Income!B$3:B$502,SMALL(IF((Income!D$3:D$502="INR")*(Income!A$3:A$502=DATE(2026,10,27)),ROW(Income!A$3:A$502)-2),5)),"")&lt;&gt;"",IFERROR(INDEX(Income!B$3:B$502,SMALL(IF((Income!D$3:D$502="INR")*(Income!A$3:A$502=DATE(2026,10,27)),ROW(Income!A$3:A$502)-2),5)),""),""))</f>
        <v/>
      </c>
      <c r="G223" s="63" t="str">
        <f aca="false">IF(IFERROR(-INDEX(Expenses!D$3:D$1002,SMALL(IF((Expenses!E$3:E$1002="INR")*(Expenses!A$3:A$1002=DATE(2026,10,28)),ROW(Expenses!A$3:A$1002)-2),5)),0)+IFERROR(INDEX(Income!C$3:C$502,SMALL(IF((Income!D$3:D$502="INR")*(Income!A$3:A$502=DATE(2026,10,28)),ROW(Income!A$3:A$502)-2),5)),0)=0,"",IFERROR(-INDEX(Expenses!D$3:D$1002,SMALL(IF((Expenses!E$3:E$1002="INR")*(Expenses!A$3:A$1002=DATE(2026,10,28)),ROW(Expenses!A$3:A$1002)-2),5)),0)+IFERROR(INDEX(Income!C$3:C$502,SMALL(IF((Income!D$3:D$502="INR")*(Income!A$3:A$502=DATE(2026,10,28)),ROW(Income!A$3:A$502)-2),5)),0))</f>
        <v/>
      </c>
      <c r="H223" s="38" t="str">
        <f aca="false">IF(IFERROR(INDEX(Expenses!B$3:B$1002,SMALL(IF((Expenses!E$3:E$1002="INR")*(Expenses!A$3:A$1002=DATE(2026,10,28)),ROW(Expenses!A$3:A$1002)-2),5)),"")&lt;&gt;"",IFERROR(INDEX(Expenses!B$3:B$1002,SMALL(IF((Expenses!E$3:E$1002="INR")*(Expenses!A$3:A$1002=DATE(2026,10,28)),ROW(Expenses!A$3:A$1002)-2),5)),""),IF(IFERROR(INDEX(Income!B$3:B$502,SMALL(IF((Income!D$3:D$502="INR")*(Income!A$3:A$502=DATE(2026,10,28)),ROW(Income!A$3:A$502)-2),5)),"")&lt;&gt;"",IFERROR(INDEX(Income!B$3:B$502,SMALL(IF((Income!D$3:D$502="INR")*(Income!A$3:A$502=DATE(2026,10,28)),ROW(Income!A$3:A$502)-2),5)),""),""))</f>
        <v/>
      </c>
      <c r="I223" s="63" t="str">
        <f aca="false">IF(IFERROR(-INDEX(Expenses!D$3:D$1002,SMALL(IF((Expenses!E$3:E$1002="INR")*(Expenses!A$3:A$1002=DATE(2026,10,29)),ROW(Expenses!A$3:A$1002)-2),5)),0)+IFERROR(INDEX(Income!C$3:C$502,SMALL(IF((Income!D$3:D$502="INR")*(Income!A$3:A$502=DATE(2026,10,29)),ROW(Income!A$3:A$502)-2),5)),0)=0,"",IFERROR(-INDEX(Expenses!D$3:D$1002,SMALL(IF((Expenses!E$3:E$1002="INR")*(Expenses!A$3:A$1002=DATE(2026,10,29)),ROW(Expenses!A$3:A$1002)-2),5)),0)+IFERROR(INDEX(Income!C$3:C$502,SMALL(IF((Income!D$3:D$502="INR")*(Income!A$3:A$502=DATE(2026,10,29)),ROW(Income!A$3:A$502)-2),5)),0))</f>
        <v/>
      </c>
      <c r="J223" s="38" t="str">
        <f aca="false">IF(IFERROR(INDEX(Expenses!B$3:B$1002,SMALL(IF((Expenses!E$3:E$1002="INR")*(Expenses!A$3:A$1002=DATE(2026,10,29)),ROW(Expenses!A$3:A$1002)-2),5)),"")&lt;&gt;"",IFERROR(INDEX(Expenses!B$3:B$1002,SMALL(IF((Expenses!E$3:E$1002="INR")*(Expenses!A$3:A$1002=DATE(2026,10,29)),ROW(Expenses!A$3:A$1002)-2),5)),""),IF(IFERROR(INDEX(Income!B$3:B$502,SMALL(IF((Income!D$3:D$502="INR")*(Income!A$3:A$502=DATE(2026,10,29)),ROW(Income!A$3:A$502)-2),5)),"")&lt;&gt;"",IFERROR(INDEX(Income!B$3:B$502,SMALL(IF((Income!D$3:D$502="INR")*(Income!A$3:A$502=DATE(2026,10,29)),ROW(Income!A$3:A$502)-2),5)),""),""))</f>
        <v/>
      </c>
      <c r="K223" s="63" t="str">
        <f aca="false">IF(IFERROR(-INDEX(Expenses!D$3:D$1002,SMALL(IF((Expenses!E$3:E$1002="INR")*(Expenses!A$3:A$1002=DATE(2026,10,30)),ROW(Expenses!A$3:A$1002)-2),5)),0)+IFERROR(INDEX(Income!C$3:C$502,SMALL(IF((Income!D$3:D$502="INR")*(Income!A$3:A$502=DATE(2026,10,30)),ROW(Income!A$3:A$502)-2),5)),0)=0,"",IFERROR(-INDEX(Expenses!D$3:D$1002,SMALL(IF((Expenses!E$3:E$1002="INR")*(Expenses!A$3:A$1002=DATE(2026,10,30)),ROW(Expenses!A$3:A$1002)-2),5)),0)+IFERROR(INDEX(Income!C$3:C$502,SMALL(IF((Income!D$3:D$502="INR")*(Income!A$3:A$502=DATE(2026,10,30)),ROW(Income!A$3:A$502)-2),5)),0))</f>
        <v/>
      </c>
      <c r="L223" s="38" t="str">
        <f aca="false">IF(IFERROR(INDEX(Expenses!B$3:B$1002,SMALL(IF((Expenses!E$3:E$1002="INR")*(Expenses!A$3:A$1002=DATE(2026,10,30)),ROW(Expenses!A$3:A$1002)-2),5)),"")&lt;&gt;"",IFERROR(INDEX(Expenses!B$3:B$1002,SMALL(IF((Expenses!E$3:E$1002="INR")*(Expenses!A$3:A$1002=DATE(2026,10,30)),ROW(Expenses!A$3:A$1002)-2),5)),""),IF(IFERROR(INDEX(Income!B$3:B$502,SMALL(IF((Income!D$3:D$502="INR")*(Income!A$3:A$502=DATE(2026,10,30)),ROW(Income!A$3:A$502)-2),5)),"")&lt;&gt;"",IFERROR(INDEX(Income!B$3:B$502,SMALL(IF((Income!D$3:D$502="INR")*(Income!A$3:A$502=DATE(2026,10,30)),ROW(Income!A$3:A$502)-2),5)),""),""))</f>
        <v/>
      </c>
      <c r="M223" s="63" t="str">
        <f aca="false">IF(IFERROR(-INDEX(Expenses!D$3:D$1002,SMALL(IF((Expenses!E$3:E$1002="INR")*(Expenses!A$3:A$1002=DATE(2026,10,31)),ROW(Expenses!A$3:A$1002)-2),5)),0)+IFERROR(INDEX(Income!C$3:C$502,SMALL(IF((Income!D$3:D$502="INR")*(Income!A$3:A$502=DATE(2026,10,31)),ROW(Income!A$3:A$502)-2),5)),0)=0,"",IFERROR(-INDEX(Expenses!D$3:D$1002,SMALL(IF((Expenses!E$3:E$1002="INR")*(Expenses!A$3:A$1002=DATE(2026,10,31)),ROW(Expenses!A$3:A$1002)-2),5)),0)+IFERROR(INDEX(Income!C$3:C$502,SMALL(IF((Income!D$3:D$502="INR")*(Income!A$3:A$502=DATE(2026,10,31)),ROW(Income!A$3:A$502)-2),5)),0))</f>
        <v/>
      </c>
      <c r="N223" s="38" t="str">
        <f aca="false">IF(IFERROR(INDEX(Expenses!B$3:B$1002,SMALL(IF((Expenses!E$3:E$1002="INR")*(Expenses!A$3:A$1002=DATE(2026,10,31)),ROW(Expenses!A$3:A$1002)-2),5)),"")&lt;&gt;"",IFERROR(INDEX(Expenses!B$3:B$1002,SMALL(IF((Expenses!E$3:E$1002="INR")*(Expenses!A$3:A$1002=DATE(2026,10,31)),ROW(Expenses!A$3:A$1002)-2),5)),""),IF(IFERROR(INDEX(Income!B$3:B$502,SMALL(IF((Income!D$3:D$502="INR")*(Income!A$3:A$502=DATE(2026,10,31)),ROW(Income!A$3:A$502)-2),5)),"")&lt;&gt;"",IFERROR(INDEX(Income!B$3:B$502,SMALL(IF((Income!D$3:D$502="INR")*(Income!A$3:A$502=DATE(2026,10,31)),ROW(Income!A$3:A$502)-2),5)),""),""))</f>
        <v/>
      </c>
      <c r="O223" s="63" t="str">
        <f aca="false">IF(IFERROR(-INDEX(Expenses!D$3:D$1002,SMALL(IF((Expenses!E$3:E$1002="INR")*(Expenses!A$3:A$1002=DATE(2026,11,1)),ROW(Expenses!A$3:A$1002)-2),5)),0)+IFERROR(INDEX(Income!C$3:C$502,SMALL(IF((Income!D$3:D$502="INR")*(Income!A$3:A$502=DATE(2026,11,1)),ROW(Income!A$3:A$502)-2),5)),0)=0,"",IFERROR(-INDEX(Expenses!D$3:D$1002,SMALL(IF((Expenses!E$3:E$1002="INR")*(Expenses!A$3:A$1002=DATE(2026,11,1)),ROW(Expenses!A$3:A$1002)-2),5)),0)+IFERROR(INDEX(Income!C$3:C$502,SMALL(IF((Income!D$3:D$502="INR")*(Income!A$3:A$502=DATE(2026,11,1)),ROW(Income!A$3:A$502)-2),5)),0))</f>
        <v/>
      </c>
      <c r="P223" s="38" t="str">
        <f aca="false">IF(IFERROR(INDEX(Expenses!B$3:B$1002,SMALL(IF((Expenses!E$3:E$1002="INR")*(Expenses!A$3:A$1002=DATE(2026,11,1)),ROW(Expenses!A$3:A$1002)-2),5)),"")&lt;&gt;"",IFERROR(INDEX(Expenses!B$3:B$1002,SMALL(IF((Expenses!E$3:E$1002="INR")*(Expenses!A$3:A$1002=DATE(2026,11,1)),ROW(Expenses!A$3:A$1002)-2),5)),""),IF(IFERROR(INDEX(Income!B$3:B$502,SMALL(IF((Income!D$3:D$502="INR")*(Income!A$3:A$502=DATE(2026,11,1)),ROW(Income!A$3:A$502)-2),5)),"")&lt;&gt;"",IFERROR(INDEX(Income!B$3:B$502,SMALL(IF((Income!D$3:D$502="INR")*(Income!A$3:A$502=DATE(2026,11,1)),ROW(Income!A$3:A$502)-2),5)),""),""))</f>
        <v/>
      </c>
      <c r="Q223" s="16"/>
      <c r="R223" s="16"/>
    </row>
    <row r="224" customFormat="false" ht="15" hidden="false" customHeight="false" outlineLevel="0" collapsed="false">
      <c r="A224" s="61" t="n">
        <v>46328</v>
      </c>
      <c r="B224" s="3" t="n">
        <v>45</v>
      </c>
      <c r="C224" s="63" t="str">
        <f aca="false">IF(IFERROR(-INDEX(Expenses!D$3:D$1002,SMALL(IF((Expenses!E$3:E$1002="INR")*(Expenses!A$3:A$1002=DATE(2026,11,2)),ROW(Expenses!A$3:A$1002)-2),1)),0)+IFERROR(INDEX(Income!C$3:C$502,SMALL(IF((Income!D$3:D$502="INR")*(Income!A$3:A$502=DATE(2026,11,2)),ROW(Income!A$3:A$502)-2),1)),0)=0,"",IFERROR(-INDEX(Expenses!D$3:D$1002,SMALL(IF((Expenses!E$3:E$1002="INR")*(Expenses!A$3:A$1002=DATE(2026,11,2)),ROW(Expenses!A$3:A$1002)-2),1)),0)+IFERROR(INDEX(Income!C$3:C$502,SMALL(IF((Income!D$3:D$502="INR")*(Income!A$3:A$502=DATE(2026,11,2)),ROW(Income!A$3:A$502)-2),1)),0))</f>
        <v/>
      </c>
      <c r="D224" s="38" t="str">
        <f aca="false">IF(IFERROR(INDEX(Expenses!B$3:B$1002,SMALL(IF((Expenses!E$3:E$1002="INR")*(Expenses!A$3:A$1002=DATE(2026,11,2)),ROW(Expenses!A$3:A$1002)-2),1)),"")&lt;&gt;"",IFERROR(INDEX(Expenses!B$3:B$1002,SMALL(IF((Expenses!E$3:E$1002="INR")*(Expenses!A$3:A$1002=DATE(2026,11,2)),ROW(Expenses!A$3:A$1002)-2),1)),""),IF(IFERROR(INDEX(Income!B$3:B$502,SMALL(IF((Income!D$3:D$502="INR")*(Income!A$3:A$502=DATE(2026,11,2)),ROW(Income!A$3:A$502)-2),1)),"")&lt;&gt;"",IFERROR(INDEX(Income!B$3:B$502,SMALL(IF((Income!D$3:D$502="INR")*(Income!A$3:A$502=DATE(2026,11,2)),ROW(Income!A$3:A$502)-2),1)),""),""))</f>
        <v/>
      </c>
      <c r="E224" s="63" t="str">
        <f aca="false">IF(IFERROR(-INDEX(Expenses!D$3:D$1002,SMALL(IF((Expenses!E$3:E$1002="INR")*(Expenses!A$3:A$1002=DATE(2026,11,3)),ROW(Expenses!A$3:A$1002)-2),1)),0)+IFERROR(INDEX(Income!C$3:C$502,SMALL(IF((Income!D$3:D$502="INR")*(Income!A$3:A$502=DATE(2026,11,3)),ROW(Income!A$3:A$502)-2),1)),0)=0,"",IFERROR(-INDEX(Expenses!D$3:D$1002,SMALL(IF((Expenses!E$3:E$1002="INR")*(Expenses!A$3:A$1002=DATE(2026,11,3)),ROW(Expenses!A$3:A$1002)-2),1)),0)+IFERROR(INDEX(Income!C$3:C$502,SMALL(IF((Income!D$3:D$502="INR")*(Income!A$3:A$502=DATE(2026,11,3)),ROW(Income!A$3:A$502)-2),1)),0))</f>
        <v/>
      </c>
      <c r="F224" s="38" t="str">
        <f aca="false">IF(IFERROR(INDEX(Expenses!B$3:B$1002,SMALL(IF((Expenses!E$3:E$1002="INR")*(Expenses!A$3:A$1002=DATE(2026,11,3)),ROW(Expenses!A$3:A$1002)-2),1)),"")&lt;&gt;"",IFERROR(INDEX(Expenses!B$3:B$1002,SMALL(IF((Expenses!E$3:E$1002="INR")*(Expenses!A$3:A$1002=DATE(2026,11,3)),ROW(Expenses!A$3:A$1002)-2),1)),""),IF(IFERROR(INDEX(Income!B$3:B$502,SMALL(IF((Income!D$3:D$502="INR")*(Income!A$3:A$502=DATE(2026,11,3)),ROW(Income!A$3:A$502)-2),1)),"")&lt;&gt;"",IFERROR(INDEX(Income!B$3:B$502,SMALL(IF((Income!D$3:D$502="INR")*(Income!A$3:A$502=DATE(2026,11,3)),ROW(Income!A$3:A$502)-2),1)),""),""))</f>
        <v/>
      </c>
      <c r="G224" s="63" t="str">
        <f aca="false">IF(IFERROR(-INDEX(Expenses!D$3:D$1002,SMALL(IF((Expenses!E$3:E$1002="INR")*(Expenses!A$3:A$1002=DATE(2026,11,4)),ROW(Expenses!A$3:A$1002)-2),1)),0)+IFERROR(INDEX(Income!C$3:C$502,SMALL(IF((Income!D$3:D$502="INR")*(Income!A$3:A$502=DATE(2026,11,4)),ROW(Income!A$3:A$502)-2),1)),0)=0,"",IFERROR(-INDEX(Expenses!D$3:D$1002,SMALL(IF((Expenses!E$3:E$1002="INR")*(Expenses!A$3:A$1002=DATE(2026,11,4)),ROW(Expenses!A$3:A$1002)-2),1)),0)+IFERROR(INDEX(Income!C$3:C$502,SMALL(IF((Income!D$3:D$502="INR")*(Income!A$3:A$502=DATE(2026,11,4)),ROW(Income!A$3:A$502)-2),1)),0))</f>
        <v/>
      </c>
      <c r="H224" s="38" t="str">
        <f aca="false">IF(IFERROR(INDEX(Expenses!B$3:B$1002,SMALL(IF((Expenses!E$3:E$1002="INR")*(Expenses!A$3:A$1002=DATE(2026,11,4)),ROW(Expenses!A$3:A$1002)-2),1)),"")&lt;&gt;"",IFERROR(INDEX(Expenses!B$3:B$1002,SMALL(IF((Expenses!E$3:E$1002="INR")*(Expenses!A$3:A$1002=DATE(2026,11,4)),ROW(Expenses!A$3:A$1002)-2),1)),""),IF(IFERROR(INDEX(Income!B$3:B$502,SMALL(IF((Income!D$3:D$502="INR")*(Income!A$3:A$502=DATE(2026,11,4)),ROW(Income!A$3:A$502)-2),1)),"")&lt;&gt;"",IFERROR(INDEX(Income!B$3:B$502,SMALL(IF((Income!D$3:D$502="INR")*(Income!A$3:A$502=DATE(2026,11,4)),ROW(Income!A$3:A$502)-2),1)),""),""))</f>
        <v/>
      </c>
      <c r="I224" s="63" t="str">
        <f aca="false">IF(IFERROR(-INDEX(Expenses!D$3:D$1002,SMALL(IF((Expenses!E$3:E$1002="INR")*(Expenses!A$3:A$1002=DATE(2026,11,5)),ROW(Expenses!A$3:A$1002)-2),1)),0)+IFERROR(INDEX(Income!C$3:C$502,SMALL(IF((Income!D$3:D$502="INR")*(Income!A$3:A$502=DATE(2026,11,5)),ROW(Income!A$3:A$502)-2),1)),0)=0,"",IFERROR(-INDEX(Expenses!D$3:D$1002,SMALL(IF((Expenses!E$3:E$1002="INR")*(Expenses!A$3:A$1002=DATE(2026,11,5)),ROW(Expenses!A$3:A$1002)-2),1)),0)+IFERROR(INDEX(Income!C$3:C$502,SMALL(IF((Income!D$3:D$502="INR")*(Income!A$3:A$502=DATE(2026,11,5)),ROW(Income!A$3:A$502)-2),1)),0))</f>
        <v/>
      </c>
      <c r="J224" s="38" t="str">
        <f aca="false">IF(IFERROR(INDEX(Expenses!B$3:B$1002,SMALL(IF((Expenses!E$3:E$1002="INR")*(Expenses!A$3:A$1002=DATE(2026,11,5)),ROW(Expenses!A$3:A$1002)-2),1)),"")&lt;&gt;"",IFERROR(INDEX(Expenses!B$3:B$1002,SMALL(IF((Expenses!E$3:E$1002="INR")*(Expenses!A$3:A$1002=DATE(2026,11,5)),ROW(Expenses!A$3:A$1002)-2),1)),""),IF(IFERROR(INDEX(Income!B$3:B$502,SMALL(IF((Income!D$3:D$502="INR")*(Income!A$3:A$502=DATE(2026,11,5)),ROW(Income!A$3:A$502)-2),1)),"")&lt;&gt;"",IFERROR(INDEX(Income!B$3:B$502,SMALL(IF((Income!D$3:D$502="INR")*(Income!A$3:A$502=DATE(2026,11,5)),ROW(Income!A$3:A$502)-2),1)),""),""))</f>
        <v/>
      </c>
      <c r="K224" s="63" t="str">
        <f aca="false">IF(IFERROR(-INDEX(Expenses!D$3:D$1002,SMALL(IF((Expenses!E$3:E$1002="INR")*(Expenses!A$3:A$1002=DATE(2026,11,6)),ROW(Expenses!A$3:A$1002)-2),1)),0)+IFERROR(INDEX(Income!C$3:C$502,SMALL(IF((Income!D$3:D$502="INR")*(Income!A$3:A$502=DATE(2026,11,6)),ROW(Income!A$3:A$502)-2),1)),0)=0,"",IFERROR(-INDEX(Expenses!D$3:D$1002,SMALL(IF((Expenses!E$3:E$1002="INR")*(Expenses!A$3:A$1002=DATE(2026,11,6)),ROW(Expenses!A$3:A$1002)-2),1)),0)+IFERROR(INDEX(Income!C$3:C$502,SMALL(IF((Income!D$3:D$502="INR")*(Income!A$3:A$502=DATE(2026,11,6)),ROW(Income!A$3:A$502)-2),1)),0))</f>
        <v/>
      </c>
      <c r="L224" s="38" t="str">
        <f aca="false">IF(IFERROR(INDEX(Expenses!B$3:B$1002,SMALL(IF((Expenses!E$3:E$1002="INR")*(Expenses!A$3:A$1002=DATE(2026,11,6)),ROW(Expenses!A$3:A$1002)-2),1)),"")&lt;&gt;"",IFERROR(INDEX(Expenses!B$3:B$1002,SMALL(IF((Expenses!E$3:E$1002="INR")*(Expenses!A$3:A$1002=DATE(2026,11,6)),ROW(Expenses!A$3:A$1002)-2),1)),""),IF(IFERROR(INDEX(Income!B$3:B$502,SMALL(IF((Income!D$3:D$502="INR")*(Income!A$3:A$502=DATE(2026,11,6)),ROW(Income!A$3:A$502)-2),1)),"")&lt;&gt;"",IFERROR(INDEX(Income!B$3:B$502,SMALL(IF((Income!D$3:D$502="INR")*(Income!A$3:A$502=DATE(2026,11,6)),ROW(Income!A$3:A$502)-2),1)),""),""))</f>
        <v/>
      </c>
      <c r="M224" s="63" t="str">
        <f aca="false">IF(IFERROR(-INDEX(Expenses!D$3:D$1002,SMALL(IF((Expenses!E$3:E$1002="INR")*(Expenses!A$3:A$1002=DATE(2026,11,7)),ROW(Expenses!A$3:A$1002)-2),1)),0)+IFERROR(INDEX(Income!C$3:C$502,SMALL(IF((Income!D$3:D$502="INR")*(Income!A$3:A$502=DATE(2026,11,7)),ROW(Income!A$3:A$502)-2),1)),0)=0,"",IFERROR(-INDEX(Expenses!D$3:D$1002,SMALL(IF((Expenses!E$3:E$1002="INR")*(Expenses!A$3:A$1002=DATE(2026,11,7)),ROW(Expenses!A$3:A$1002)-2),1)),0)+IFERROR(INDEX(Income!C$3:C$502,SMALL(IF((Income!D$3:D$502="INR")*(Income!A$3:A$502=DATE(2026,11,7)),ROW(Income!A$3:A$502)-2),1)),0))</f>
        <v/>
      </c>
      <c r="N224" s="38" t="str">
        <f aca="false">IF(IFERROR(INDEX(Expenses!B$3:B$1002,SMALL(IF((Expenses!E$3:E$1002="INR")*(Expenses!A$3:A$1002=DATE(2026,11,7)),ROW(Expenses!A$3:A$1002)-2),1)),"")&lt;&gt;"",IFERROR(INDEX(Expenses!B$3:B$1002,SMALL(IF((Expenses!E$3:E$1002="INR")*(Expenses!A$3:A$1002=DATE(2026,11,7)),ROW(Expenses!A$3:A$1002)-2),1)),""),IF(IFERROR(INDEX(Income!B$3:B$502,SMALL(IF((Income!D$3:D$502="INR")*(Income!A$3:A$502=DATE(2026,11,7)),ROW(Income!A$3:A$502)-2),1)),"")&lt;&gt;"",IFERROR(INDEX(Income!B$3:B$502,SMALL(IF((Income!D$3:D$502="INR")*(Income!A$3:A$502=DATE(2026,11,7)),ROW(Income!A$3:A$502)-2),1)),""),""))</f>
        <v/>
      </c>
      <c r="O224" s="63" t="str">
        <f aca="false">IF(IFERROR(-INDEX(Expenses!D$3:D$1002,SMALL(IF((Expenses!E$3:E$1002="INR")*(Expenses!A$3:A$1002=DATE(2026,11,8)),ROW(Expenses!A$3:A$1002)-2),1)),0)+IFERROR(INDEX(Income!C$3:C$502,SMALL(IF((Income!D$3:D$502="INR")*(Income!A$3:A$502=DATE(2026,11,8)),ROW(Income!A$3:A$502)-2),1)),0)=0,"",IFERROR(-INDEX(Expenses!D$3:D$1002,SMALL(IF((Expenses!E$3:E$1002="INR")*(Expenses!A$3:A$1002=DATE(2026,11,8)),ROW(Expenses!A$3:A$1002)-2),1)),0)+IFERROR(INDEX(Income!C$3:C$502,SMALL(IF((Income!D$3:D$502="INR")*(Income!A$3:A$502=DATE(2026,11,8)),ROW(Income!A$3:A$502)-2),1)),0))</f>
        <v/>
      </c>
      <c r="P224" s="38" t="str">
        <f aca="false">IF(IFERROR(INDEX(Expenses!B$3:B$1002,SMALL(IF((Expenses!E$3:E$1002="INR")*(Expenses!A$3:A$1002=DATE(2026,11,8)),ROW(Expenses!A$3:A$1002)-2),1)),"")&lt;&gt;"",IFERROR(INDEX(Expenses!B$3:B$1002,SMALL(IF((Expenses!E$3:E$1002="INR")*(Expenses!A$3:A$1002=DATE(2026,11,8)),ROW(Expenses!A$3:A$1002)-2),1)),""),IF(IFERROR(INDEX(Income!B$3:B$502,SMALL(IF((Income!D$3:D$502="INR")*(Income!A$3:A$502=DATE(2026,11,8)),ROW(Income!A$3:A$502)-2),1)),"")&lt;&gt;"",IFERROR(INDEX(Income!B$3:B$502,SMALL(IF((Income!D$3:D$502="INR")*(Income!A$3:A$502=DATE(2026,11,8)),ROW(Income!A$3:A$502)-2),1)),""),""))</f>
        <v/>
      </c>
      <c r="Q224" s="3" t="n">
        <v>45</v>
      </c>
      <c r="R224" s="53" t="n">
        <f aca="false">SUM(C224:C228)+SUM(E224:E228)+SUM(G224:G228)+SUM(I224:I228)+SUM(K224:K228)+SUM(M224:M228)+SUM(O224:O228)</f>
        <v>0</v>
      </c>
    </row>
    <row r="225" customFormat="false" ht="15" hidden="false" customHeight="false" outlineLevel="0" collapsed="false">
      <c r="A225" s="16"/>
      <c r="B225" s="16"/>
      <c r="C225" s="63" t="str">
        <f aca="false">IF(IFERROR(-INDEX(Expenses!D$3:D$1002,SMALL(IF((Expenses!E$3:E$1002="INR")*(Expenses!A$3:A$1002=DATE(2026,11,2)),ROW(Expenses!A$3:A$1002)-2),2)),0)+IFERROR(INDEX(Income!C$3:C$502,SMALL(IF((Income!D$3:D$502="INR")*(Income!A$3:A$502=DATE(2026,11,2)),ROW(Income!A$3:A$502)-2),2)),0)=0,"",IFERROR(-INDEX(Expenses!D$3:D$1002,SMALL(IF((Expenses!E$3:E$1002="INR")*(Expenses!A$3:A$1002=DATE(2026,11,2)),ROW(Expenses!A$3:A$1002)-2),2)),0)+IFERROR(INDEX(Income!C$3:C$502,SMALL(IF((Income!D$3:D$502="INR")*(Income!A$3:A$502=DATE(2026,11,2)),ROW(Income!A$3:A$502)-2),2)),0))</f>
        <v/>
      </c>
      <c r="D225" s="38" t="str">
        <f aca="false">IF(IFERROR(INDEX(Expenses!B$3:B$1002,SMALL(IF((Expenses!E$3:E$1002="INR")*(Expenses!A$3:A$1002=DATE(2026,11,2)),ROW(Expenses!A$3:A$1002)-2),2)),"")&lt;&gt;"",IFERROR(INDEX(Expenses!B$3:B$1002,SMALL(IF((Expenses!E$3:E$1002="INR")*(Expenses!A$3:A$1002=DATE(2026,11,2)),ROW(Expenses!A$3:A$1002)-2),2)),""),IF(IFERROR(INDEX(Income!B$3:B$502,SMALL(IF((Income!D$3:D$502="INR")*(Income!A$3:A$502=DATE(2026,11,2)),ROW(Income!A$3:A$502)-2),2)),"")&lt;&gt;"",IFERROR(INDEX(Income!B$3:B$502,SMALL(IF((Income!D$3:D$502="INR")*(Income!A$3:A$502=DATE(2026,11,2)),ROW(Income!A$3:A$502)-2),2)),""),""))</f>
        <v/>
      </c>
      <c r="E225" s="63" t="str">
        <f aca="false">IF(IFERROR(-INDEX(Expenses!D$3:D$1002,SMALL(IF((Expenses!E$3:E$1002="INR")*(Expenses!A$3:A$1002=DATE(2026,11,3)),ROW(Expenses!A$3:A$1002)-2),2)),0)+IFERROR(INDEX(Income!C$3:C$502,SMALL(IF((Income!D$3:D$502="INR")*(Income!A$3:A$502=DATE(2026,11,3)),ROW(Income!A$3:A$502)-2),2)),0)=0,"",IFERROR(-INDEX(Expenses!D$3:D$1002,SMALL(IF((Expenses!E$3:E$1002="INR")*(Expenses!A$3:A$1002=DATE(2026,11,3)),ROW(Expenses!A$3:A$1002)-2),2)),0)+IFERROR(INDEX(Income!C$3:C$502,SMALL(IF((Income!D$3:D$502="INR")*(Income!A$3:A$502=DATE(2026,11,3)),ROW(Income!A$3:A$502)-2),2)),0))</f>
        <v/>
      </c>
      <c r="F225" s="38" t="str">
        <f aca="false">IF(IFERROR(INDEX(Expenses!B$3:B$1002,SMALL(IF((Expenses!E$3:E$1002="INR")*(Expenses!A$3:A$1002=DATE(2026,11,3)),ROW(Expenses!A$3:A$1002)-2),2)),"")&lt;&gt;"",IFERROR(INDEX(Expenses!B$3:B$1002,SMALL(IF((Expenses!E$3:E$1002="INR")*(Expenses!A$3:A$1002=DATE(2026,11,3)),ROW(Expenses!A$3:A$1002)-2),2)),""),IF(IFERROR(INDEX(Income!B$3:B$502,SMALL(IF((Income!D$3:D$502="INR")*(Income!A$3:A$502=DATE(2026,11,3)),ROW(Income!A$3:A$502)-2),2)),"")&lt;&gt;"",IFERROR(INDEX(Income!B$3:B$502,SMALL(IF((Income!D$3:D$502="INR")*(Income!A$3:A$502=DATE(2026,11,3)),ROW(Income!A$3:A$502)-2),2)),""),""))</f>
        <v/>
      </c>
      <c r="G225" s="63" t="str">
        <f aca="false">IF(IFERROR(-INDEX(Expenses!D$3:D$1002,SMALL(IF((Expenses!E$3:E$1002="INR")*(Expenses!A$3:A$1002=DATE(2026,11,4)),ROW(Expenses!A$3:A$1002)-2),2)),0)+IFERROR(INDEX(Income!C$3:C$502,SMALL(IF((Income!D$3:D$502="INR")*(Income!A$3:A$502=DATE(2026,11,4)),ROW(Income!A$3:A$502)-2),2)),0)=0,"",IFERROR(-INDEX(Expenses!D$3:D$1002,SMALL(IF((Expenses!E$3:E$1002="INR")*(Expenses!A$3:A$1002=DATE(2026,11,4)),ROW(Expenses!A$3:A$1002)-2),2)),0)+IFERROR(INDEX(Income!C$3:C$502,SMALL(IF((Income!D$3:D$502="INR")*(Income!A$3:A$502=DATE(2026,11,4)),ROW(Income!A$3:A$502)-2),2)),0))</f>
        <v/>
      </c>
      <c r="H225" s="38" t="str">
        <f aca="false">IF(IFERROR(INDEX(Expenses!B$3:B$1002,SMALL(IF((Expenses!E$3:E$1002="INR")*(Expenses!A$3:A$1002=DATE(2026,11,4)),ROW(Expenses!A$3:A$1002)-2),2)),"")&lt;&gt;"",IFERROR(INDEX(Expenses!B$3:B$1002,SMALL(IF((Expenses!E$3:E$1002="INR")*(Expenses!A$3:A$1002=DATE(2026,11,4)),ROW(Expenses!A$3:A$1002)-2),2)),""),IF(IFERROR(INDEX(Income!B$3:B$502,SMALL(IF((Income!D$3:D$502="INR")*(Income!A$3:A$502=DATE(2026,11,4)),ROW(Income!A$3:A$502)-2),2)),"")&lt;&gt;"",IFERROR(INDEX(Income!B$3:B$502,SMALL(IF((Income!D$3:D$502="INR")*(Income!A$3:A$502=DATE(2026,11,4)),ROW(Income!A$3:A$502)-2),2)),""),""))</f>
        <v/>
      </c>
      <c r="I225" s="63" t="str">
        <f aca="false">IF(IFERROR(-INDEX(Expenses!D$3:D$1002,SMALL(IF((Expenses!E$3:E$1002="INR")*(Expenses!A$3:A$1002=DATE(2026,11,5)),ROW(Expenses!A$3:A$1002)-2),2)),0)+IFERROR(INDEX(Income!C$3:C$502,SMALL(IF((Income!D$3:D$502="INR")*(Income!A$3:A$502=DATE(2026,11,5)),ROW(Income!A$3:A$502)-2),2)),0)=0,"",IFERROR(-INDEX(Expenses!D$3:D$1002,SMALL(IF((Expenses!E$3:E$1002="INR")*(Expenses!A$3:A$1002=DATE(2026,11,5)),ROW(Expenses!A$3:A$1002)-2),2)),0)+IFERROR(INDEX(Income!C$3:C$502,SMALL(IF((Income!D$3:D$502="INR")*(Income!A$3:A$502=DATE(2026,11,5)),ROW(Income!A$3:A$502)-2),2)),0))</f>
        <v/>
      </c>
      <c r="J225" s="38" t="str">
        <f aca="false">IF(IFERROR(INDEX(Expenses!B$3:B$1002,SMALL(IF((Expenses!E$3:E$1002="INR")*(Expenses!A$3:A$1002=DATE(2026,11,5)),ROW(Expenses!A$3:A$1002)-2),2)),"")&lt;&gt;"",IFERROR(INDEX(Expenses!B$3:B$1002,SMALL(IF((Expenses!E$3:E$1002="INR")*(Expenses!A$3:A$1002=DATE(2026,11,5)),ROW(Expenses!A$3:A$1002)-2),2)),""),IF(IFERROR(INDEX(Income!B$3:B$502,SMALL(IF((Income!D$3:D$502="INR")*(Income!A$3:A$502=DATE(2026,11,5)),ROW(Income!A$3:A$502)-2),2)),"")&lt;&gt;"",IFERROR(INDEX(Income!B$3:B$502,SMALL(IF((Income!D$3:D$502="INR")*(Income!A$3:A$502=DATE(2026,11,5)),ROW(Income!A$3:A$502)-2),2)),""),""))</f>
        <v/>
      </c>
      <c r="K225" s="63" t="str">
        <f aca="false">IF(IFERROR(-INDEX(Expenses!D$3:D$1002,SMALL(IF((Expenses!E$3:E$1002="INR")*(Expenses!A$3:A$1002=DATE(2026,11,6)),ROW(Expenses!A$3:A$1002)-2),2)),0)+IFERROR(INDEX(Income!C$3:C$502,SMALL(IF((Income!D$3:D$502="INR")*(Income!A$3:A$502=DATE(2026,11,6)),ROW(Income!A$3:A$502)-2),2)),0)=0,"",IFERROR(-INDEX(Expenses!D$3:D$1002,SMALL(IF((Expenses!E$3:E$1002="INR")*(Expenses!A$3:A$1002=DATE(2026,11,6)),ROW(Expenses!A$3:A$1002)-2),2)),0)+IFERROR(INDEX(Income!C$3:C$502,SMALL(IF((Income!D$3:D$502="INR")*(Income!A$3:A$502=DATE(2026,11,6)),ROW(Income!A$3:A$502)-2),2)),0))</f>
        <v/>
      </c>
      <c r="L225" s="38" t="str">
        <f aca="false">IF(IFERROR(INDEX(Expenses!B$3:B$1002,SMALL(IF((Expenses!E$3:E$1002="INR")*(Expenses!A$3:A$1002=DATE(2026,11,6)),ROW(Expenses!A$3:A$1002)-2),2)),"")&lt;&gt;"",IFERROR(INDEX(Expenses!B$3:B$1002,SMALL(IF((Expenses!E$3:E$1002="INR")*(Expenses!A$3:A$1002=DATE(2026,11,6)),ROW(Expenses!A$3:A$1002)-2),2)),""),IF(IFERROR(INDEX(Income!B$3:B$502,SMALL(IF((Income!D$3:D$502="INR")*(Income!A$3:A$502=DATE(2026,11,6)),ROW(Income!A$3:A$502)-2),2)),"")&lt;&gt;"",IFERROR(INDEX(Income!B$3:B$502,SMALL(IF((Income!D$3:D$502="INR")*(Income!A$3:A$502=DATE(2026,11,6)),ROW(Income!A$3:A$502)-2),2)),""),""))</f>
        <v/>
      </c>
      <c r="M225" s="63" t="str">
        <f aca="false">IF(IFERROR(-INDEX(Expenses!D$3:D$1002,SMALL(IF((Expenses!E$3:E$1002="INR")*(Expenses!A$3:A$1002=DATE(2026,11,7)),ROW(Expenses!A$3:A$1002)-2),2)),0)+IFERROR(INDEX(Income!C$3:C$502,SMALL(IF((Income!D$3:D$502="INR")*(Income!A$3:A$502=DATE(2026,11,7)),ROW(Income!A$3:A$502)-2),2)),0)=0,"",IFERROR(-INDEX(Expenses!D$3:D$1002,SMALL(IF((Expenses!E$3:E$1002="INR")*(Expenses!A$3:A$1002=DATE(2026,11,7)),ROW(Expenses!A$3:A$1002)-2),2)),0)+IFERROR(INDEX(Income!C$3:C$502,SMALL(IF((Income!D$3:D$502="INR")*(Income!A$3:A$502=DATE(2026,11,7)),ROW(Income!A$3:A$502)-2),2)),0))</f>
        <v/>
      </c>
      <c r="N225" s="38" t="str">
        <f aca="false">IF(IFERROR(INDEX(Expenses!B$3:B$1002,SMALL(IF((Expenses!E$3:E$1002="INR")*(Expenses!A$3:A$1002=DATE(2026,11,7)),ROW(Expenses!A$3:A$1002)-2),2)),"")&lt;&gt;"",IFERROR(INDEX(Expenses!B$3:B$1002,SMALL(IF((Expenses!E$3:E$1002="INR")*(Expenses!A$3:A$1002=DATE(2026,11,7)),ROW(Expenses!A$3:A$1002)-2),2)),""),IF(IFERROR(INDEX(Income!B$3:B$502,SMALL(IF((Income!D$3:D$502="INR")*(Income!A$3:A$502=DATE(2026,11,7)),ROW(Income!A$3:A$502)-2),2)),"")&lt;&gt;"",IFERROR(INDEX(Income!B$3:B$502,SMALL(IF((Income!D$3:D$502="INR")*(Income!A$3:A$502=DATE(2026,11,7)),ROW(Income!A$3:A$502)-2),2)),""),""))</f>
        <v/>
      </c>
      <c r="O225" s="63" t="str">
        <f aca="false">IF(IFERROR(-INDEX(Expenses!D$3:D$1002,SMALL(IF((Expenses!E$3:E$1002="INR")*(Expenses!A$3:A$1002=DATE(2026,11,8)),ROW(Expenses!A$3:A$1002)-2),2)),0)+IFERROR(INDEX(Income!C$3:C$502,SMALL(IF((Income!D$3:D$502="INR")*(Income!A$3:A$502=DATE(2026,11,8)),ROW(Income!A$3:A$502)-2),2)),0)=0,"",IFERROR(-INDEX(Expenses!D$3:D$1002,SMALL(IF((Expenses!E$3:E$1002="INR")*(Expenses!A$3:A$1002=DATE(2026,11,8)),ROW(Expenses!A$3:A$1002)-2),2)),0)+IFERROR(INDEX(Income!C$3:C$502,SMALL(IF((Income!D$3:D$502="INR")*(Income!A$3:A$502=DATE(2026,11,8)),ROW(Income!A$3:A$502)-2),2)),0))</f>
        <v/>
      </c>
      <c r="P225" s="38" t="str">
        <f aca="false">IF(IFERROR(INDEX(Expenses!B$3:B$1002,SMALL(IF((Expenses!E$3:E$1002="INR")*(Expenses!A$3:A$1002=DATE(2026,11,8)),ROW(Expenses!A$3:A$1002)-2),2)),"")&lt;&gt;"",IFERROR(INDEX(Expenses!B$3:B$1002,SMALL(IF((Expenses!E$3:E$1002="INR")*(Expenses!A$3:A$1002=DATE(2026,11,8)),ROW(Expenses!A$3:A$1002)-2),2)),""),IF(IFERROR(INDEX(Income!B$3:B$502,SMALL(IF((Income!D$3:D$502="INR")*(Income!A$3:A$502=DATE(2026,11,8)),ROW(Income!A$3:A$502)-2),2)),"")&lt;&gt;"",IFERROR(INDEX(Income!B$3:B$502,SMALL(IF((Income!D$3:D$502="INR")*(Income!A$3:A$502=DATE(2026,11,8)),ROW(Income!A$3:A$502)-2),2)),""),""))</f>
        <v/>
      </c>
      <c r="Q225" s="16"/>
      <c r="R225" s="16"/>
    </row>
    <row r="226" customFormat="false" ht="15" hidden="false" customHeight="false" outlineLevel="0" collapsed="false">
      <c r="A226" s="16"/>
      <c r="B226" s="16"/>
      <c r="C226" s="63" t="str">
        <f aca="false">IF(IFERROR(-INDEX(Expenses!D$3:D$1002,SMALL(IF((Expenses!E$3:E$1002="INR")*(Expenses!A$3:A$1002=DATE(2026,11,2)),ROW(Expenses!A$3:A$1002)-2),3)),0)+IFERROR(INDEX(Income!C$3:C$502,SMALL(IF((Income!D$3:D$502="INR")*(Income!A$3:A$502=DATE(2026,11,2)),ROW(Income!A$3:A$502)-2),3)),0)=0,"",IFERROR(-INDEX(Expenses!D$3:D$1002,SMALL(IF((Expenses!E$3:E$1002="INR")*(Expenses!A$3:A$1002=DATE(2026,11,2)),ROW(Expenses!A$3:A$1002)-2),3)),0)+IFERROR(INDEX(Income!C$3:C$502,SMALL(IF((Income!D$3:D$502="INR")*(Income!A$3:A$502=DATE(2026,11,2)),ROW(Income!A$3:A$502)-2),3)),0))</f>
        <v/>
      </c>
      <c r="D226" s="38" t="str">
        <f aca="false">IF(IFERROR(INDEX(Expenses!B$3:B$1002,SMALL(IF((Expenses!E$3:E$1002="INR")*(Expenses!A$3:A$1002=DATE(2026,11,2)),ROW(Expenses!A$3:A$1002)-2),3)),"")&lt;&gt;"",IFERROR(INDEX(Expenses!B$3:B$1002,SMALL(IF((Expenses!E$3:E$1002="INR")*(Expenses!A$3:A$1002=DATE(2026,11,2)),ROW(Expenses!A$3:A$1002)-2),3)),""),IF(IFERROR(INDEX(Income!B$3:B$502,SMALL(IF((Income!D$3:D$502="INR")*(Income!A$3:A$502=DATE(2026,11,2)),ROW(Income!A$3:A$502)-2),3)),"")&lt;&gt;"",IFERROR(INDEX(Income!B$3:B$502,SMALL(IF((Income!D$3:D$502="INR")*(Income!A$3:A$502=DATE(2026,11,2)),ROW(Income!A$3:A$502)-2),3)),""),""))</f>
        <v/>
      </c>
      <c r="E226" s="63" t="str">
        <f aca="false">IF(IFERROR(-INDEX(Expenses!D$3:D$1002,SMALL(IF((Expenses!E$3:E$1002="INR")*(Expenses!A$3:A$1002=DATE(2026,11,3)),ROW(Expenses!A$3:A$1002)-2),3)),0)+IFERROR(INDEX(Income!C$3:C$502,SMALL(IF((Income!D$3:D$502="INR")*(Income!A$3:A$502=DATE(2026,11,3)),ROW(Income!A$3:A$502)-2),3)),0)=0,"",IFERROR(-INDEX(Expenses!D$3:D$1002,SMALL(IF((Expenses!E$3:E$1002="INR")*(Expenses!A$3:A$1002=DATE(2026,11,3)),ROW(Expenses!A$3:A$1002)-2),3)),0)+IFERROR(INDEX(Income!C$3:C$502,SMALL(IF((Income!D$3:D$502="INR")*(Income!A$3:A$502=DATE(2026,11,3)),ROW(Income!A$3:A$502)-2),3)),0))</f>
        <v/>
      </c>
      <c r="F226" s="38" t="str">
        <f aca="false">IF(IFERROR(INDEX(Expenses!B$3:B$1002,SMALL(IF((Expenses!E$3:E$1002="INR")*(Expenses!A$3:A$1002=DATE(2026,11,3)),ROW(Expenses!A$3:A$1002)-2),3)),"")&lt;&gt;"",IFERROR(INDEX(Expenses!B$3:B$1002,SMALL(IF((Expenses!E$3:E$1002="INR")*(Expenses!A$3:A$1002=DATE(2026,11,3)),ROW(Expenses!A$3:A$1002)-2),3)),""),IF(IFERROR(INDEX(Income!B$3:B$502,SMALL(IF((Income!D$3:D$502="INR")*(Income!A$3:A$502=DATE(2026,11,3)),ROW(Income!A$3:A$502)-2),3)),"")&lt;&gt;"",IFERROR(INDEX(Income!B$3:B$502,SMALL(IF((Income!D$3:D$502="INR")*(Income!A$3:A$502=DATE(2026,11,3)),ROW(Income!A$3:A$502)-2),3)),""),""))</f>
        <v/>
      </c>
      <c r="G226" s="63" t="str">
        <f aca="false">IF(IFERROR(-INDEX(Expenses!D$3:D$1002,SMALL(IF((Expenses!E$3:E$1002="INR")*(Expenses!A$3:A$1002=DATE(2026,11,4)),ROW(Expenses!A$3:A$1002)-2),3)),0)+IFERROR(INDEX(Income!C$3:C$502,SMALL(IF((Income!D$3:D$502="INR")*(Income!A$3:A$502=DATE(2026,11,4)),ROW(Income!A$3:A$502)-2),3)),0)=0,"",IFERROR(-INDEX(Expenses!D$3:D$1002,SMALL(IF((Expenses!E$3:E$1002="INR")*(Expenses!A$3:A$1002=DATE(2026,11,4)),ROW(Expenses!A$3:A$1002)-2),3)),0)+IFERROR(INDEX(Income!C$3:C$502,SMALL(IF((Income!D$3:D$502="INR")*(Income!A$3:A$502=DATE(2026,11,4)),ROW(Income!A$3:A$502)-2),3)),0))</f>
        <v/>
      </c>
      <c r="H226" s="38" t="str">
        <f aca="false">IF(IFERROR(INDEX(Expenses!B$3:B$1002,SMALL(IF((Expenses!E$3:E$1002="INR")*(Expenses!A$3:A$1002=DATE(2026,11,4)),ROW(Expenses!A$3:A$1002)-2),3)),"")&lt;&gt;"",IFERROR(INDEX(Expenses!B$3:B$1002,SMALL(IF((Expenses!E$3:E$1002="INR")*(Expenses!A$3:A$1002=DATE(2026,11,4)),ROW(Expenses!A$3:A$1002)-2),3)),""),IF(IFERROR(INDEX(Income!B$3:B$502,SMALL(IF((Income!D$3:D$502="INR")*(Income!A$3:A$502=DATE(2026,11,4)),ROW(Income!A$3:A$502)-2),3)),"")&lt;&gt;"",IFERROR(INDEX(Income!B$3:B$502,SMALL(IF((Income!D$3:D$502="INR")*(Income!A$3:A$502=DATE(2026,11,4)),ROW(Income!A$3:A$502)-2),3)),""),""))</f>
        <v/>
      </c>
      <c r="I226" s="63" t="str">
        <f aca="false">IF(IFERROR(-INDEX(Expenses!D$3:D$1002,SMALL(IF((Expenses!E$3:E$1002="INR")*(Expenses!A$3:A$1002=DATE(2026,11,5)),ROW(Expenses!A$3:A$1002)-2),3)),0)+IFERROR(INDEX(Income!C$3:C$502,SMALL(IF((Income!D$3:D$502="INR")*(Income!A$3:A$502=DATE(2026,11,5)),ROW(Income!A$3:A$502)-2),3)),0)=0,"",IFERROR(-INDEX(Expenses!D$3:D$1002,SMALL(IF((Expenses!E$3:E$1002="INR")*(Expenses!A$3:A$1002=DATE(2026,11,5)),ROW(Expenses!A$3:A$1002)-2),3)),0)+IFERROR(INDEX(Income!C$3:C$502,SMALL(IF((Income!D$3:D$502="INR")*(Income!A$3:A$502=DATE(2026,11,5)),ROW(Income!A$3:A$502)-2),3)),0))</f>
        <v/>
      </c>
      <c r="J226" s="38" t="str">
        <f aca="false">IF(IFERROR(INDEX(Expenses!B$3:B$1002,SMALL(IF((Expenses!E$3:E$1002="INR")*(Expenses!A$3:A$1002=DATE(2026,11,5)),ROW(Expenses!A$3:A$1002)-2),3)),"")&lt;&gt;"",IFERROR(INDEX(Expenses!B$3:B$1002,SMALL(IF((Expenses!E$3:E$1002="INR")*(Expenses!A$3:A$1002=DATE(2026,11,5)),ROW(Expenses!A$3:A$1002)-2),3)),""),IF(IFERROR(INDEX(Income!B$3:B$502,SMALL(IF((Income!D$3:D$502="INR")*(Income!A$3:A$502=DATE(2026,11,5)),ROW(Income!A$3:A$502)-2),3)),"")&lt;&gt;"",IFERROR(INDEX(Income!B$3:B$502,SMALL(IF((Income!D$3:D$502="INR")*(Income!A$3:A$502=DATE(2026,11,5)),ROW(Income!A$3:A$502)-2),3)),""),""))</f>
        <v/>
      </c>
      <c r="K226" s="63" t="str">
        <f aca="false">IF(IFERROR(-INDEX(Expenses!D$3:D$1002,SMALL(IF((Expenses!E$3:E$1002="INR")*(Expenses!A$3:A$1002=DATE(2026,11,6)),ROW(Expenses!A$3:A$1002)-2),3)),0)+IFERROR(INDEX(Income!C$3:C$502,SMALL(IF((Income!D$3:D$502="INR")*(Income!A$3:A$502=DATE(2026,11,6)),ROW(Income!A$3:A$502)-2),3)),0)=0,"",IFERROR(-INDEX(Expenses!D$3:D$1002,SMALL(IF((Expenses!E$3:E$1002="INR")*(Expenses!A$3:A$1002=DATE(2026,11,6)),ROW(Expenses!A$3:A$1002)-2),3)),0)+IFERROR(INDEX(Income!C$3:C$502,SMALL(IF((Income!D$3:D$502="INR")*(Income!A$3:A$502=DATE(2026,11,6)),ROW(Income!A$3:A$502)-2),3)),0))</f>
        <v/>
      </c>
      <c r="L226" s="38" t="str">
        <f aca="false">IF(IFERROR(INDEX(Expenses!B$3:B$1002,SMALL(IF((Expenses!E$3:E$1002="INR")*(Expenses!A$3:A$1002=DATE(2026,11,6)),ROW(Expenses!A$3:A$1002)-2),3)),"")&lt;&gt;"",IFERROR(INDEX(Expenses!B$3:B$1002,SMALL(IF((Expenses!E$3:E$1002="INR")*(Expenses!A$3:A$1002=DATE(2026,11,6)),ROW(Expenses!A$3:A$1002)-2),3)),""),IF(IFERROR(INDEX(Income!B$3:B$502,SMALL(IF((Income!D$3:D$502="INR")*(Income!A$3:A$502=DATE(2026,11,6)),ROW(Income!A$3:A$502)-2),3)),"")&lt;&gt;"",IFERROR(INDEX(Income!B$3:B$502,SMALL(IF((Income!D$3:D$502="INR")*(Income!A$3:A$502=DATE(2026,11,6)),ROW(Income!A$3:A$502)-2),3)),""),""))</f>
        <v/>
      </c>
      <c r="M226" s="63" t="str">
        <f aca="false">IF(IFERROR(-INDEX(Expenses!D$3:D$1002,SMALL(IF((Expenses!E$3:E$1002="INR")*(Expenses!A$3:A$1002=DATE(2026,11,7)),ROW(Expenses!A$3:A$1002)-2),3)),0)+IFERROR(INDEX(Income!C$3:C$502,SMALL(IF((Income!D$3:D$502="INR")*(Income!A$3:A$502=DATE(2026,11,7)),ROW(Income!A$3:A$502)-2),3)),0)=0,"",IFERROR(-INDEX(Expenses!D$3:D$1002,SMALL(IF((Expenses!E$3:E$1002="INR")*(Expenses!A$3:A$1002=DATE(2026,11,7)),ROW(Expenses!A$3:A$1002)-2),3)),0)+IFERROR(INDEX(Income!C$3:C$502,SMALL(IF((Income!D$3:D$502="INR")*(Income!A$3:A$502=DATE(2026,11,7)),ROW(Income!A$3:A$502)-2),3)),0))</f>
        <v/>
      </c>
      <c r="N226" s="38" t="str">
        <f aca="false">IF(IFERROR(INDEX(Expenses!B$3:B$1002,SMALL(IF((Expenses!E$3:E$1002="INR")*(Expenses!A$3:A$1002=DATE(2026,11,7)),ROW(Expenses!A$3:A$1002)-2),3)),"")&lt;&gt;"",IFERROR(INDEX(Expenses!B$3:B$1002,SMALL(IF((Expenses!E$3:E$1002="INR")*(Expenses!A$3:A$1002=DATE(2026,11,7)),ROW(Expenses!A$3:A$1002)-2),3)),""),IF(IFERROR(INDEX(Income!B$3:B$502,SMALL(IF((Income!D$3:D$502="INR")*(Income!A$3:A$502=DATE(2026,11,7)),ROW(Income!A$3:A$502)-2),3)),"")&lt;&gt;"",IFERROR(INDEX(Income!B$3:B$502,SMALL(IF((Income!D$3:D$502="INR")*(Income!A$3:A$502=DATE(2026,11,7)),ROW(Income!A$3:A$502)-2),3)),""),""))</f>
        <v/>
      </c>
      <c r="O226" s="63" t="str">
        <f aca="false">IF(IFERROR(-INDEX(Expenses!D$3:D$1002,SMALL(IF((Expenses!E$3:E$1002="INR")*(Expenses!A$3:A$1002=DATE(2026,11,8)),ROW(Expenses!A$3:A$1002)-2),3)),0)+IFERROR(INDEX(Income!C$3:C$502,SMALL(IF((Income!D$3:D$502="INR")*(Income!A$3:A$502=DATE(2026,11,8)),ROW(Income!A$3:A$502)-2),3)),0)=0,"",IFERROR(-INDEX(Expenses!D$3:D$1002,SMALL(IF((Expenses!E$3:E$1002="INR")*(Expenses!A$3:A$1002=DATE(2026,11,8)),ROW(Expenses!A$3:A$1002)-2),3)),0)+IFERROR(INDEX(Income!C$3:C$502,SMALL(IF((Income!D$3:D$502="INR")*(Income!A$3:A$502=DATE(2026,11,8)),ROW(Income!A$3:A$502)-2),3)),0))</f>
        <v/>
      </c>
      <c r="P226" s="38" t="str">
        <f aca="false">IF(IFERROR(INDEX(Expenses!B$3:B$1002,SMALL(IF((Expenses!E$3:E$1002="INR")*(Expenses!A$3:A$1002=DATE(2026,11,8)),ROW(Expenses!A$3:A$1002)-2),3)),"")&lt;&gt;"",IFERROR(INDEX(Expenses!B$3:B$1002,SMALL(IF((Expenses!E$3:E$1002="INR")*(Expenses!A$3:A$1002=DATE(2026,11,8)),ROW(Expenses!A$3:A$1002)-2),3)),""),IF(IFERROR(INDEX(Income!B$3:B$502,SMALL(IF((Income!D$3:D$502="INR")*(Income!A$3:A$502=DATE(2026,11,8)),ROW(Income!A$3:A$502)-2),3)),"")&lt;&gt;"",IFERROR(INDEX(Income!B$3:B$502,SMALL(IF((Income!D$3:D$502="INR")*(Income!A$3:A$502=DATE(2026,11,8)),ROW(Income!A$3:A$502)-2),3)),""),""))</f>
        <v/>
      </c>
      <c r="Q226" s="16"/>
      <c r="R226" s="16"/>
    </row>
    <row r="227" customFormat="false" ht="15" hidden="false" customHeight="false" outlineLevel="0" collapsed="false">
      <c r="A227" s="16"/>
      <c r="B227" s="16"/>
      <c r="C227" s="63" t="str">
        <f aca="false">IF(IFERROR(-INDEX(Expenses!D$3:D$1002,SMALL(IF((Expenses!E$3:E$1002="INR")*(Expenses!A$3:A$1002=DATE(2026,11,2)),ROW(Expenses!A$3:A$1002)-2),4)),0)+IFERROR(INDEX(Income!C$3:C$502,SMALL(IF((Income!D$3:D$502="INR")*(Income!A$3:A$502=DATE(2026,11,2)),ROW(Income!A$3:A$502)-2),4)),0)=0,"",IFERROR(-INDEX(Expenses!D$3:D$1002,SMALL(IF((Expenses!E$3:E$1002="INR")*(Expenses!A$3:A$1002=DATE(2026,11,2)),ROW(Expenses!A$3:A$1002)-2),4)),0)+IFERROR(INDEX(Income!C$3:C$502,SMALL(IF((Income!D$3:D$502="INR")*(Income!A$3:A$502=DATE(2026,11,2)),ROW(Income!A$3:A$502)-2),4)),0))</f>
        <v/>
      </c>
      <c r="D227" s="38" t="str">
        <f aca="false">IF(IFERROR(INDEX(Expenses!B$3:B$1002,SMALL(IF((Expenses!E$3:E$1002="INR")*(Expenses!A$3:A$1002=DATE(2026,11,2)),ROW(Expenses!A$3:A$1002)-2),4)),"")&lt;&gt;"",IFERROR(INDEX(Expenses!B$3:B$1002,SMALL(IF((Expenses!E$3:E$1002="INR")*(Expenses!A$3:A$1002=DATE(2026,11,2)),ROW(Expenses!A$3:A$1002)-2),4)),""),IF(IFERROR(INDEX(Income!B$3:B$502,SMALL(IF((Income!D$3:D$502="INR")*(Income!A$3:A$502=DATE(2026,11,2)),ROW(Income!A$3:A$502)-2),4)),"")&lt;&gt;"",IFERROR(INDEX(Income!B$3:B$502,SMALL(IF((Income!D$3:D$502="INR")*(Income!A$3:A$502=DATE(2026,11,2)),ROW(Income!A$3:A$502)-2),4)),""),""))</f>
        <v/>
      </c>
      <c r="E227" s="63" t="str">
        <f aca="false">IF(IFERROR(-INDEX(Expenses!D$3:D$1002,SMALL(IF((Expenses!E$3:E$1002="INR")*(Expenses!A$3:A$1002=DATE(2026,11,3)),ROW(Expenses!A$3:A$1002)-2),4)),0)+IFERROR(INDEX(Income!C$3:C$502,SMALL(IF((Income!D$3:D$502="INR")*(Income!A$3:A$502=DATE(2026,11,3)),ROW(Income!A$3:A$502)-2),4)),0)=0,"",IFERROR(-INDEX(Expenses!D$3:D$1002,SMALL(IF((Expenses!E$3:E$1002="INR")*(Expenses!A$3:A$1002=DATE(2026,11,3)),ROW(Expenses!A$3:A$1002)-2),4)),0)+IFERROR(INDEX(Income!C$3:C$502,SMALL(IF((Income!D$3:D$502="INR")*(Income!A$3:A$502=DATE(2026,11,3)),ROW(Income!A$3:A$502)-2),4)),0))</f>
        <v/>
      </c>
      <c r="F227" s="38" t="str">
        <f aca="false">IF(IFERROR(INDEX(Expenses!B$3:B$1002,SMALL(IF((Expenses!E$3:E$1002="INR")*(Expenses!A$3:A$1002=DATE(2026,11,3)),ROW(Expenses!A$3:A$1002)-2),4)),"")&lt;&gt;"",IFERROR(INDEX(Expenses!B$3:B$1002,SMALL(IF((Expenses!E$3:E$1002="INR")*(Expenses!A$3:A$1002=DATE(2026,11,3)),ROW(Expenses!A$3:A$1002)-2),4)),""),IF(IFERROR(INDEX(Income!B$3:B$502,SMALL(IF((Income!D$3:D$502="INR")*(Income!A$3:A$502=DATE(2026,11,3)),ROW(Income!A$3:A$502)-2),4)),"")&lt;&gt;"",IFERROR(INDEX(Income!B$3:B$502,SMALL(IF((Income!D$3:D$502="INR")*(Income!A$3:A$502=DATE(2026,11,3)),ROW(Income!A$3:A$502)-2),4)),""),""))</f>
        <v/>
      </c>
      <c r="G227" s="63" t="str">
        <f aca="false">IF(IFERROR(-INDEX(Expenses!D$3:D$1002,SMALL(IF((Expenses!E$3:E$1002="INR")*(Expenses!A$3:A$1002=DATE(2026,11,4)),ROW(Expenses!A$3:A$1002)-2),4)),0)+IFERROR(INDEX(Income!C$3:C$502,SMALL(IF((Income!D$3:D$502="INR")*(Income!A$3:A$502=DATE(2026,11,4)),ROW(Income!A$3:A$502)-2),4)),0)=0,"",IFERROR(-INDEX(Expenses!D$3:D$1002,SMALL(IF((Expenses!E$3:E$1002="INR")*(Expenses!A$3:A$1002=DATE(2026,11,4)),ROW(Expenses!A$3:A$1002)-2),4)),0)+IFERROR(INDEX(Income!C$3:C$502,SMALL(IF((Income!D$3:D$502="INR")*(Income!A$3:A$502=DATE(2026,11,4)),ROW(Income!A$3:A$502)-2),4)),0))</f>
        <v/>
      </c>
      <c r="H227" s="38" t="str">
        <f aca="false">IF(IFERROR(INDEX(Expenses!B$3:B$1002,SMALL(IF((Expenses!E$3:E$1002="INR")*(Expenses!A$3:A$1002=DATE(2026,11,4)),ROW(Expenses!A$3:A$1002)-2),4)),"")&lt;&gt;"",IFERROR(INDEX(Expenses!B$3:B$1002,SMALL(IF((Expenses!E$3:E$1002="INR")*(Expenses!A$3:A$1002=DATE(2026,11,4)),ROW(Expenses!A$3:A$1002)-2),4)),""),IF(IFERROR(INDEX(Income!B$3:B$502,SMALL(IF((Income!D$3:D$502="INR")*(Income!A$3:A$502=DATE(2026,11,4)),ROW(Income!A$3:A$502)-2),4)),"")&lt;&gt;"",IFERROR(INDEX(Income!B$3:B$502,SMALL(IF((Income!D$3:D$502="INR")*(Income!A$3:A$502=DATE(2026,11,4)),ROW(Income!A$3:A$502)-2),4)),""),""))</f>
        <v/>
      </c>
      <c r="I227" s="63" t="str">
        <f aca="false">IF(IFERROR(-INDEX(Expenses!D$3:D$1002,SMALL(IF((Expenses!E$3:E$1002="INR")*(Expenses!A$3:A$1002=DATE(2026,11,5)),ROW(Expenses!A$3:A$1002)-2),4)),0)+IFERROR(INDEX(Income!C$3:C$502,SMALL(IF((Income!D$3:D$502="INR")*(Income!A$3:A$502=DATE(2026,11,5)),ROW(Income!A$3:A$502)-2),4)),0)=0,"",IFERROR(-INDEX(Expenses!D$3:D$1002,SMALL(IF((Expenses!E$3:E$1002="INR")*(Expenses!A$3:A$1002=DATE(2026,11,5)),ROW(Expenses!A$3:A$1002)-2),4)),0)+IFERROR(INDEX(Income!C$3:C$502,SMALL(IF((Income!D$3:D$502="INR")*(Income!A$3:A$502=DATE(2026,11,5)),ROW(Income!A$3:A$502)-2),4)),0))</f>
        <v/>
      </c>
      <c r="J227" s="38" t="str">
        <f aca="false">IF(IFERROR(INDEX(Expenses!B$3:B$1002,SMALL(IF((Expenses!E$3:E$1002="INR")*(Expenses!A$3:A$1002=DATE(2026,11,5)),ROW(Expenses!A$3:A$1002)-2),4)),"")&lt;&gt;"",IFERROR(INDEX(Expenses!B$3:B$1002,SMALL(IF((Expenses!E$3:E$1002="INR")*(Expenses!A$3:A$1002=DATE(2026,11,5)),ROW(Expenses!A$3:A$1002)-2),4)),""),IF(IFERROR(INDEX(Income!B$3:B$502,SMALL(IF((Income!D$3:D$502="INR")*(Income!A$3:A$502=DATE(2026,11,5)),ROW(Income!A$3:A$502)-2),4)),"")&lt;&gt;"",IFERROR(INDEX(Income!B$3:B$502,SMALL(IF((Income!D$3:D$502="INR")*(Income!A$3:A$502=DATE(2026,11,5)),ROW(Income!A$3:A$502)-2),4)),""),""))</f>
        <v/>
      </c>
      <c r="K227" s="63" t="str">
        <f aca="false">IF(IFERROR(-INDEX(Expenses!D$3:D$1002,SMALL(IF((Expenses!E$3:E$1002="INR")*(Expenses!A$3:A$1002=DATE(2026,11,6)),ROW(Expenses!A$3:A$1002)-2),4)),0)+IFERROR(INDEX(Income!C$3:C$502,SMALL(IF((Income!D$3:D$502="INR")*(Income!A$3:A$502=DATE(2026,11,6)),ROW(Income!A$3:A$502)-2),4)),0)=0,"",IFERROR(-INDEX(Expenses!D$3:D$1002,SMALL(IF((Expenses!E$3:E$1002="INR")*(Expenses!A$3:A$1002=DATE(2026,11,6)),ROW(Expenses!A$3:A$1002)-2),4)),0)+IFERROR(INDEX(Income!C$3:C$502,SMALL(IF((Income!D$3:D$502="INR")*(Income!A$3:A$502=DATE(2026,11,6)),ROW(Income!A$3:A$502)-2),4)),0))</f>
        <v/>
      </c>
      <c r="L227" s="38" t="str">
        <f aca="false">IF(IFERROR(INDEX(Expenses!B$3:B$1002,SMALL(IF((Expenses!E$3:E$1002="INR")*(Expenses!A$3:A$1002=DATE(2026,11,6)),ROW(Expenses!A$3:A$1002)-2),4)),"")&lt;&gt;"",IFERROR(INDEX(Expenses!B$3:B$1002,SMALL(IF((Expenses!E$3:E$1002="INR")*(Expenses!A$3:A$1002=DATE(2026,11,6)),ROW(Expenses!A$3:A$1002)-2),4)),""),IF(IFERROR(INDEX(Income!B$3:B$502,SMALL(IF((Income!D$3:D$502="INR")*(Income!A$3:A$502=DATE(2026,11,6)),ROW(Income!A$3:A$502)-2),4)),"")&lt;&gt;"",IFERROR(INDEX(Income!B$3:B$502,SMALL(IF((Income!D$3:D$502="INR")*(Income!A$3:A$502=DATE(2026,11,6)),ROW(Income!A$3:A$502)-2),4)),""),""))</f>
        <v/>
      </c>
      <c r="M227" s="63" t="str">
        <f aca="false">IF(IFERROR(-INDEX(Expenses!D$3:D$1002,SMALL(IF((Expenses!E$3:E$1002="INR")*(Expenses!A$3:A$1002=DATE(2026,11,7)),ROW(Expenses!A$3:A$1002)-2),4)),0)+IFERROR(INDEX(Income!C$3:C$502,SMALL(IF((Income!D$3:D$502="INR")*(Income!A$3:A$502=DATE(2026,11,7)),ROW(Income!A$3:A$502)-2),4)),0)=0,"",IFERROR(-INDEX(Expenses!D$3:D$1002,SMALL(IF((Expenses!E$3:E$1002="INR")*(Expenses!A$3:A$1002=DATE(2026,11,7)),ROW(Expenses!A$3:A$1002)-2),4)),0)+IFERROR(INDEX(Income!C$3:C$502,SMALL(IF((Income!D$3:D$502="INR")*(Income!A$3:A$502=DATE(2026,11,7)),ROW(Income!A$3:A$502)-2),4)),0))</f>
        <v/>
      </c>
      <c r="N227" s="38" t="str">
        <f aca="false">IF(IFERROR(INDEX(Expenses!B$3:B$1002,SMALL(IF((Expenses!E$3:E$1002="INR")*(Expenses!A$3:A$1002=DATE(2026,11,7)),ROW(Expenses!A$3:A$1002)-2),4)),"")&lt;&gt;"",IFERROR(INDEX(Expenses!B$3:B$1002,SMALL(IF((Expenses!E$3:E$1002="INR")*(Expenses!A$3:A$1002=DATE(2026,11,7)),ROW(Expenses!A$3:A$1002)-2),4)),""),IF(IFERROR(INDEX(Income!B$3:B$502,SMALL(IF((Income!D$3:D$502="INR")*(Income!A$3:A$502=DATE(2026,11,7)),ROW(Income!A$3:A$502)-2),4)),"")&lt;&gt;"",IFERROR(INDEX(Income!B$3:B$502,SMALL(IF((Income!D$3:D$502="INR")*(Income!A$3:A$502=DATE(2026,11,7)),ROW(Income!A$3:A$502)-2),4)),""),""))</f>
        <v/>
      </c>
      <c r="O227" s="63" t="str">
        <f aca="false">IF(IFERROR(-INDEX(Expenses!D$3:D$1002,SMALL(IF((Expenses!E$3:E$1002="INR")*(Expenses!A$3:A$1002=DATE(2026,11,8)),ROW(Expenses!A$3:A$1002)-2),4)),0)+IFERROR(INDEX(Income!C$3:C$502,SMALL(IF((Income!D$3:D$502="INR")*(Income!A$3:A$502=DATE(2026,11,8)),ROW(Income!A$3:A$502)-2),4)),0)=0,"",IFERROR(-INDEX(Expenses!D$3:D$1002,SMALL(IF((Expenses!E$3:E$1002="INR")*(Expenses!A$3:A$1002=DATE(2026,11,8)),ROW(Expenses!A$3:A$1002)-2),4)),0)+IFERROR(INDEX(Income!C$3:C$502,SMALL(IF((Income!D$3:D$502="INR")*(Income!A$3:A$502=DATE(2026,11,8)),ROW(Income!A$3:A$502)-2),4)),0))</f>
        <v/>
      </c>
      <c r="P227" s="38" t="str">
        <f aca="false">IF(IFERROR(INDEX(Expenses!B$3:B$1002,SMALL(IF((Expenses!E$3:E$1002="INR")*(Expenses!A$3:A$1002=DATE(2026,11,8)),ROW(Expenses!A$3:A$1002)-2),4)),"")&lt;&gt;"",IFERROR(INDEX(Expenses!B$3:B$1002,SMALL(IF((Expenses!E$3:E$1002="INR")*(Expenses!A$3:A$1002=DATE(2026,11,8)),ROW(Expenses!A$3:A$1002)-2),4)),""),IF(IFERROR(INDEX(Income!B$3:B$502,SMALL(IF((Income!D$3:D$502="INR")*(Income!A$3:A$502=DATE(2026,11,8)),ROW(Income!A$3:A$502)-2),4)),"")&lt;&gt;"",IFERROR(INDEX(Income!B$3:B$502,SMALL(IF((Income!D$3:D$502="INR")*(Income!A$3:A$502=DATE(2026,11,8)),ROW(Income!A$3:A$502)-2),4)),""),""))</f>
        <v/>
      </c>
      <c r="Q227" s="16"/>
      <c r="R227" s="16"/>
    </row>
    <row r="228" customFormat="false" ht="15" hidden="false" customHeight="false" outlineLevel="0" collapsed="false">
      <c r="A228" s="16"/>
      <c r="B228" s="16"/>
      <c r="C228" s="63" t="str">
        <f aca="false">IF(IFERROR(-INDEX(Expenses!D$3:D$1002,SMALL(IF((Expenses!E$3:E$1002="INR")*(Expenses!A$3:A$1002=DATE(2026,11,2)),ROW(Expenses!A$3:A$1002)-2),5)),0)+IFERROR(INDEX(Income!C$3:C$502,SMALL(IF((Income!D$3:D$502="INR")*(Income!A$3:A$502=DATE(2026,11,2)),ROW(Income!A$3:A$502)-2),5)),0)=0,"",IFERROR(-INDEX(Expenses!D$3:D$1002,SMALL(IF((Expenses!E$3:E$1002="INR")*(Expenses!A$3:A$1002=DATE(2026,11,2)),ROW(Expenses!A$3:A$1002)-2),5)),0)+IFERROR(INDEX(Income!C$3:C$502,SMALL(IF((Income!D$3:D$502="INR")*(Income!A$3:A$502=DATE(2026,11,2)),ROW(Income!A$3:A$502)-2),5)),0))</f>
        <v/>
      </c>
      <c r="D228" s="38" t="str">
        <f aca="false">IF(IFERROR(INDEX(Expenses!B$3:B$1002,SMALL(IF((Expenses!E$3:E$1002="INR")*(Expenses!A$3:A$1002=DATE(2026,11,2)),ROW(Expenses!A$3:A$1002)-2),5)),"")&lt;&gt;"",IFERROR(INDEX(Expenses!B$3:B$1002,SMALL(IF((Expenses!E$3:E$1002="INR")*(Expenses!A$3:A$1002=DATE(2026,11,2)),ROW(Expenses!A$3:A$1002)-2),5)),""),IF(IFERROR(INDEX(Income!B$3:B$502,SMALL(IF((Income!D$3:D$502="INR")*(Income!A$3:A$502=DATE(2026,11,2)),ROW(Income!A$3:A$502)-2),5)),"")&lt;&gt;"",IFERROR(INDEX(Income!B$3:B$502,SMALL(IF((Income!D$3:D$502="INR")*(Income!A$3:A$502=DATE(2026,11,2)),ROW(Income!A$3:A$502)-2),5)),""),""))</f>
        <v/>
      </c>
      <c r="E228" s="63" t="str">
        <f aca="false">IF(IFERROR(-INDEX(Expenses!D$3:D$1002,SMALL(IF((Expenses!E$3:E$1002="INR")*(Expenses!A$3:A$1002=DATE(2026,11,3)),ROW(Expenses!A$3:A$1002)-2),5)),0)+IFERROR(INDEX(Income!C$3:C$502,SMALL(IF((Income!D$3:D$502="INR")*(Income!A$3:A$502=DATE(2026,11,3)),ROW(Income!A$3:A$502)-2),5)),0)=0,"",IFERROR(-INDEX(Expenses!D$3:D$1002,SMALL(IF((Expenses!E$3:E$1002="INR")*(Expenses!A$3:A$1002=DATE(2026,11,3)),ROW(Expenses!A$3:A$1002)-2),5)),0)+IFERROR(INDEX(Income!C$3:C$502,SMALL(IF((Income!D$3:D$502="INR")*(Income!A$3:A$502=DATE(2026,11,3)),ROW(Income!A$3:A$502)-2),5)),0))</f>
        <v/>
      </c>
      <c r="F228" s="38" t="str">
        <f aca="false">IF(IFERROR(INDEX(Expenses!B$3:B$1002,SMALL(IF((Expenses!E$3:E$1002="INR")*(Expenses!A$3:A$1002=DATE(2026,11,3)),ROW(Expenses!A$3:A$1002)-2),5)),"")&lt;&gt;"",IFERROR(INDEX(Expenses!B$3:B$1002,SMALL(IF((Expenses!E$3:E$1002="INR")*(Expenses!A$3:A$1002=DATE(2026,11,3)),ROW(Expenses!A$3:A$1002)-2),5)),""),IF(IFERROR(INDEX(Income!B$3:B$502,SMALL(IF((Income!D$3:D$502="INR")*(Income!A$3:A$502=DATE(2026,11,3)),ROW(Income!A$3:A$502)-2),5)),"")&lt;&gt;"",IFERROR(INDEX(Income!B$3:B$502,SMALL(IF((Income!D$3:D$502="INR")*(Income!A$3:A$502=DATE(2026,11,3)),ROW(Income!A$3:A$502)-2),5)),""),""))</f>
        <v/>
      </c>
      <c r="G228" s="63" t="str">
        <f aca="false">IF(IFERROR(-INDEX(Expenses!D$3:D$1002,SMALL(IF((Expenses!E$3:E$1002="INR")*(Expenses!A$3:A$1002=DATE(2026,11,4)),ROW(Expenses!A$3:A$1002)-2),5)),0)+IFERROR(INDEX(Income!C$3:C$502,SMALL(IF((Income!D$3:D$502="INR")*(Income!A$3:A$502=DATE(2026,11,4)),ROW(Income!A$3:A$502)-2),5)),0)=0,"",IFERROR(-INDEX(Expenses!D$3:D$1002,SMALL(IF((Expenses!E$3:E$1002="INR")*(Expenses!A$3:A$1002=DATE(2026,11,4)),ROW(Expenses!A$3:A$1002)-2),5)),0)+IFERROR(INDEX(Income!C$3:C$502,SMALL(IF((Income!D$3:D$502="INR")*(Income!A$3:A$502=DATE(2026,11,4)),ROW(Income!A$3:A$502)-2),5)),0))</f>
        <v/>
      </c>
      <c r="H228" s="38" t="str">
        <f aca="false">IF(IFERROR(INDEX(Expenses!B$3:B$1002,SMALL(IF((Expenses!E$3:E$1002="INR")*(Expenses!A$3:A$1002=DATE(2026,11,4)),ROW(Expenses!A$3:A$1002)-2),5)),"")&lt;&gt;"",IFERROR(INDEX(Expenses!B$3:B$1002,SMALL(IF((Expenses!E$3:E$1002="INR")*(Expenses!A$3:A$1002=DATE(2026,11,4)),ROW(Expenses!A$3:A$1002)-2),5)),""),IF(IFERROR(INDEX(Income!B$3:B$502,SMALL(IF((Income!D$3:D$502="INR")*(Income!A$3:A$502=DATE(2026,11,4)),ROW(Income!A$3:A$502)-2),5)),"")&lt;&gt;"",IFERROR(INDEX(Income!B$3:B$502,SMALL(IF((Income!D$3:D$502="INR")*(Income!A$3:A$502=DATE(2026,11,4)),ROW(Income!A$3:A$502)-2),5)),""),""))</f>
        <v/>
      </c>
      <c r="I228" s="63" t="str">
        <f aca="false">IF(IFERROR(-INDEX(Expenses!D$3:D$1002,SMALL(IF((Expenses!E$3:E$1002="INR")*(Expenses!A$3:A$1002=DATE(2026,11,5)),ROW(Expenses!A$3:A$1002)-2),5)),0)+IFERROR(INDEX(Income!C$3:C$502,SMALL(IF((Income!D$3:D$502="INR")*(Income!A$3:A$502=DATE(2026,11,5)),ROW(Income!A$3:A$502)-2),5)),0)=0,"",IFERROR(-INDEX(Expenses!D$3:D$1002,SMALL(IF((Expenses!E$3:E$1002="INR")*(Expenses!A$3:A$1002=DATE(2026,11,5)),ROW(Expenses!A$3:A$1002)-2),5)),0)+IFERROR(INDEX(Income!C$3:C$502,SMALL(IF((Income!D$3:D$502="INR")*(Income!A$3:A$502=DATE(2026,11,5)),ROW(Income!A$3:A$502)-2),5)),0))</f>
        <v/>
      </c>
      <c r="J228" s="38" t="str">
        <f aca="false">IF(IFERROR(INDEX(Expenses!B$3:B$1002,SMALL(IF((Expenses!E$3:E$1002="INR")*(Expenses!A$3:A$1002=DATE(2026,11,5)),ROW(Expenses!A$3:A$1002)-2),5)),"")&lt;&gt;"",IFERROR(INDEX(Expenses!B$3:B$1002,SMALL(IF((Expenses!E$3:E$1002="INR")*(Expenses!A$3:A$1002=DATE(2026,11,5)),ROW(Expenses!A$3:A$1002)-2),5)),""),IF(IFERROR(INDEX(Income!B$3:B$502,SMALL(IF((Income!D$3:D$502="INR")*(Income!A$3:A$502=DATE(2026,11,5)),ROW(Income!A$3:A$502)-2),5)),"")&lt;&gt;"",IFERROR(INDEX(Income!B$3:B$502,SMALL(IF((Income!D$3:D$502="INR")*(Income!A$3:A$502=DATE(2026,11,5)),ROW(Income!A$3:A$502)-2),5)),""),""))</f>
        <v/>
      </c>
      <c r="K228" s="63" t="str">
        <f aca="false">IF(IFERROR(-INDEX(Expenses!D$3:D$1002,SMALL(IF((Expenses!E$3:E$1002="INR")*(Expenses!A$3:A$1002=DATE(2026,11,6)),ROW(Expenses!A$3:A$1002)-2),5)),0)+IFERROR(INDEX(Income!C$3:C$502,SMALL(IF((Income!D$3:D$502="INR")*(Income!A$3:A$502=DATE(2026,11,6)),ROW(Income!A$3:A$502)-2),5)),0)=0,"",IFERROR(-INDEX(Expenses!D$3:D$1002,SMALL(IF((Expenses!E$3:E$1002="INR")*(Expenses!A$3:A$1002=DATE(2026,11,6)),ROW(Expenses!A$3:A$1002)-2),5)),0)+IFERROR(INDEX(Income!C$3:C$502,SMALL(IF((Income!D$3:D$502="INR")*(Income!A$3:A$502=DATE(2026,11,6)),ROW(Income!A$3:A$502)-2),5)),0))</f>
        <v/>
      </c>
      <c r="L228" s="38" t="str">
        <f aca="false">IF(IFERROR(INDEX(Expenses!B$3:B$1002,SMALL(IF((Expenses!E$3:E$1002="INR")*(Expenses!A$3:A$1002=DATE(2026,11,6)),ROW(Expenses!A$3:A$1002)-2),5)),"")&lt;&gt;"",IFERROR(INDEX(Expenses!B$3:B$1002,SMALL(IF((Expenses!E$3:E$1002="INR")*(Expenses!A$3:A$1002=DATE(2026,11,6)),ROW(Expenses!A$3:A$1002)-2),5)),""),IF(IFERROR(INDEX(Income!B$3:B$502,SMALL(IF((Income!D$3:D$502="INR")*(Income!A$3:A$502=DATE(2026,11,6)),ROW(Income!A$3:A$502)-2),5)),"")&lt;&gt;"",IFERROR(INDEX(Income!B$3:B$502,SMALL(IF((Income!D$3:D$502="INR")*(Income!A$3:A$502=DATE(2026,11,6)),ROW(Income!A$3:A$502)-2),5)),""),""))</f>
        <v/>
      </c>
      <c r="M228" s="63" t="str">
        <f aca="false">IF(IFERROR(-INDEX(Expenses!D$3:D$1002,SMALL(IF((Expenses!E$3:E$1002="INR")*(Expenses!A$3:A$1002=DATE(2026,11,7)),ROW(Expenses!A$3:A$1002)-2),5)),0)+IFERROR(INDEX(Income!C$3:C$502,SMALL(IF((Income!D$3:D$502="INR")*(Income!A$3:A$502=DATE(2026,11,7)),ROW(Income!A$3:A$502)-2),5)),0)=0,"",IFERROR(-INDEX(Expenses!D$3:D$1002,SMALL(IF((Expenses!E$3:E$1002="INR")*(Expenses!A$3:A$1002=DATE(2026,11,7)),ROW(Expenses!A$3:A$1002)-2),5)),0)+IFERROR(INDEX(Income!C$3:C$502,SMALL(IF((Income!D$3:D$502="INR")*(Income!A$3:A$502=DATE(2026,11,7)),ROW(Income!A$3:A$502)-2),5)),0))</f>
        <v/>
      </c>
      <c r="N228" s="38" t="str">
        <f aca="false">IF(IFERROR(INDEX(Expenses!B$3:B$1002,SMALL(IF((Expenses!E$3:E$1002="INR")*(Expenses!A$3:A$1002=DATE(2026,11,7)),ROW(Expenses!A$3:A$1002)-2),5)),"")&lt;&gt;"",IFERROR(INDEX(Expenses!B$3:B$1002,SMALL(IF((Expenses!E$3:E$1002="INR")*(Expenses!A$3:A$1002=DATE(2026,11,7)),ROW(Expenses!A$3:A$1002)-2),5)),""),IF(IFERROR(INDEX(Income!B$3:B$502,SMALL(IF((Income!D$3:D$502="INR")*(Income!A$3:A$502=DATE(2026,11,7)),ROW(Income!A$3:A$502)-2),5)),"")&lt;&gt;"",IFERROR(INDEX(Income!B$3:B$502,SMALL(IF((Income!D$3:D$502="INR")*(Income!A$3:A$502=DATE(2026,11,7)),ROW(Income!A$3:A$502)-2),5)),""),""))</f>
        <v/>
      </c>
      <c r="O228" s="63" t="str">
        <f aca="false">IF(IFERROR(-INDEX(Expenses!D$3:D$1002,SMALL(IF((Expenses!E$3:E$1002="INR")*(Expenses!A$3:A$1002=DATE(2026,11,8)),ROW(Expenses!A$3:A$1002)-2),5)),0)+IFERROR(INDEX(Income!C$3:C$502,SMALL(IF((Income!D$3:D$502="INR")*(Income!A$3:A$502=DATE(2026,11,8)),ROW(Income!A$3:A$502)-2),5)),0)=0,"",IFERROR(-INDEX(Expenses!D$3:D$1002,SMALL(IF((Expenses!E$3:E$1002="INR")*(Expenses!A$3:A$1002=DATE(2026,11,8)),ROW(Expenses!A$3:A$1002)-2),5)),0)+IFERROR(INDEX(Income!C$3:C$502,SMALL(IF((Income!D$3:D$502="INR")*(Income!A$3:A$502=DATE(2026,11,8)),ROW(Income!A$3:A$502)-2),5)),0))</f>
        <v/>
      </c>
      <c r="P228" s="38" t="str">
        <f aca="false">IF(IFERROR(INDEX(Expenses!B$3:B$1002,SMALL(IF((Expenses!E$3:E$1002="INR")*(Expenses!A$3:A$1002=DATE(2026,11,8)),ROW(Expenses!A$3:A$1002)-2),5)),"")&lt;&gt;"",IFERROR(INDEX(Expenses!B$3:B$1002,SMALL(IF((Expenses!E$3:E$1002="INR")*(Expenses!A$3:A$1002=DATE(2026,11,8)),ROW(Expenses!A$3:A$1002)-2),5)),""),IF(IFERROR(INDEX(Income!B$3:B$502,SMALL(IF((Income!D$3:D$502="INR")*(Income!A$3:A$502=DATE(2026,11,8)),ROW(Income!A$3:A$502)-2),5)),"")&lt;&gt;"",IFERROR(INDEX(Income!B$3:B$502,SMALL(IF((Income!D$3:D$502="INR")*(Income!A$3:A$502=DATE(2026,11,8)),ROW(Income!A$3:A$502)-2),5)),""),""))</f>
        <v/>
      </c>
      <c r="Q228" s="16"/>
      <c r="R228" s="16"/>
    </row>
    <row r="229" customFormat="false" ht="15" hidden="false" customHeight="false" outlineLevel="0" collapsed="false">
      <c r="A229" s="61" t="n">
        <v>46335</v>
      </c>
      <c r="B229" s="3" t="n">
        <v>46</v>
      </c>
      <c r="C229" s="63" t="str">
        <f aca="false">IF(IFERROR(-INDEX(Expenses!D$3:D$1002,SMALL(IF((Expenses!E$3:E$1002="INR")*(Expenses!A$3:A$1002=DATE(2026,11,9)),ROW(Expenses!A$3:A$1002)-2),1)),0)+IFERROR(INDEX(Income!C$3:C$502,SMALL(IF((Income!D$3:D$502="INR")*(Income!A$3:A$502=DATE(2026,11,9)),ROW(Income!A$3:A$502)-2),1)),0)=0,"",IFERROR(-INDEX(Expenses!D$3:D$1002,SMALL(IF((Expenses!E$3:E$1002="INR")*(Expenses!A$3:A$1002=DATE(2026,11,9)),ROW(Expenses!A$3:A$1002)-2),1)),0)+IFERROR(INDEX(Income!C$3:C$502,SMALL(IF((Income!D$3:D$502="INR")*(Income!A$3:A$502=DATE(2026,11,9)),ROW(Income!A$3:A$502)-2),1)),0))</f>
        <v/>
      </c>
      <c r="D229" s="38" t="str">
        <f aca="false">IF(IFERROR(INDEX(Expenses!B$3:B$1002,SMALL(IF((Expenses!E$3:E$1002="INR")*(Expenses!A$3:A$1002=DATE(2026,11,9)),ROW(Expenses!A$3:A$1002)-2),1)),"")&lt;&gt;"",IFERROR(INDEX(Expenses!B$3:B$1002,SMALL(IF((Expenses!E$3:E$1002="INR")*(Expenses!A$3:A$1002=DATE(2026,11,9)),ROW(Expenses!A$3:A$1002)-2),1)),""),IF(IFERROR(INDEX(Income!B$3:B$502,SMALL(IF((Income!D$3:D$502="INR")*(Income!A$3:A$502=DATE(2026,11,9)),ROW(Income!A$3:A$502)-2),1)),"")&lt;&gt;"",IFERROR(INDEX(Income!B$3:B$502,SMALL(IF((Income!D$3:D$502="INR")*(Income!A$3:A$502=DATE(2026,11,9)),ROW(Income!A$3:A$502)-2),1)),""),""))</f>
        <v/>
      </c>
      <c r="E229" s="63" t="str">
        <f aca="false">IF(IFERROR(-INDEX(Expenses!D$3:D$1002,SMALL(IF((Expenses!E$3:E$1002="INR")*(Expenses!A$3:A$1002=DATE(2026,11,10)),ROW(Expenses!A$3:A$1002)-2),1)),0)+IFERROR(INDEX(Income!C$3:C$502,SMALL(IF((Income!D$3:D$502="INR")*(Income!A$3:A$502=DATE(2026,11,10)),ROW(Income!A$3:A$502)-2),1)),0)=0,"",IFERROR(-INDEX(Expenses!D$3:D$1002,SMALL(IF((Expenses!E$3:E$1002="INR")*(Expenses!A$3:A$1002=DATE(2026,11,10)),ROW(Expenses!A$3:A$1002)-2),1)),0)+IFERROR(INDEX(Income!C$3:C$502,SMALL(IF((Income!D$3:D$502="INR")*(Income!A$3:A$502=DATE(2026,11,10)),ROW(Income!A$3:A$502)-2),1)),0))</f>
        <v/>
      </c>
      <c r="F229" s="38" t="str">
        <f aca="false">IF(IFERROR(INDEX(Expenses!B$3:B$1002,SMALL(IF((Expenses!E$3:E$1002="INR")*(Expenses!A$3:A$1002=DATE(2026,11,10)),ROW(Expenses!A$3:A$1002)-2),1)),"")&lt;&gt;"",IFERROR(INDEX(Expenses!B$3:B$1002,SMALL(IF((Expenses!E$3:E$1002="INR")*(Expenses!A$3:A$1002=DATE(2026,11,10)),ROW(Expenses!A$3:A$1002)-2),1)),""),IF(IFERROR(INDEX(Income!B$3:B$502,SMALL(IF((Income!D$3:D$502="INR")*(Income!A$3:A$502=DATE(2026,11,10)),ROW(Income!A$3:A$502)-2),1)),"")&lt;&gt;"",IFERROR(INDEX(Income!B$3:B$502,SMALL(IF((Income!D$3:D$502="INR")*(Income!A$3:A$502=DATE(2026,11,10)),ROW(Income!A$3:A$502)-2),1)),""),""))</f>
        <v/>
      </c>
      <c r="G229" s="63" t="str">
        <f aca="false">IF(IFERROR(-INDEX(Expenses!D$3:D$1002,SMALL(IF((Expenses!E$3:E$1002="INR")*(Expenses!A$3:A$1002=DATE(2026,11,11)),ROW(Expenses!A$3:A$1002)-2),1)),0)+IFERROR(INDEX(Income!C$3:C$502,SMALL(IF((Income!D$3:D$502="INR")*(Income!A$3:A$502=DATE(2026,11,11)),ROW(Income!A$3:A$502)-2),1)),0)=0,"",IFERROR(-INDEX(Expenses!D$3:D$1002,SMALL(IF((Expenses!E$3:E$1002="INR")*(Expenses!A$3:A$1002=DATE(2026,11,11)),ROW(Expenses!A$3:A$1002)-2),1)),0)+IFERROR(INDEX(Income!C$3:C$502,SMALL(IF((Income!D$3:D$502="INR")*(Income!A$3:A$502=DATE(2026,11,11)),ROW(Income!A$3:A$502)-2),1)),0))</f>
        <v/>
      </c>
      <c r="H229" s="38" t="str">
        <f aca="false">IF(IFERROR(INDEX(Expenses!B$3:B$1002,SMALL(IF((Expenses!E$3:E$1002="INR")*(Expenses!A$3:A$1002=DATE(2026,11,11)),ROW(Expenses!A$3:A$1002)-2),1)),"")&lt;&gt;"",IFERROR(INDEX(Expenses!B$3:B$1002,SMALL(IF((Expenses!E$3:E$1002="INR")*(Expenses!A$3:A$1002=DATE(2026,11,11)),ROW(Expenses!A$3:A$1002)-2),1)),""),IF(IFERROR(INDEX(Income!B$3:B$502,SMALL(IF((Income!D$3:D$502="INR")*(Income!A$3:A$502=DATE(2026,11,11)),ROW(Income!A$3:A$502)-2),1)),"")&lt;&gt;"",IFERROR(INDEX(Income!B$3:B$502,SMALL(IF((Income!D$3:D$502="INR")*(Income!A$3:A$502=DATE(2026,11,11)),ROW(Income!A$3:A$502)-2),1)),""),""))</f>
        <v/>
      </c>
      <c r="I229" s="63" t="str">
        <f aca="false">IF(IFERROR(-INDEX(Expenses!D$3:D$1002,SMALL(IF((Expenses!E$3:E$1002="INR")*(Expenses!A$3:A$1002=DATE(2026,11,12)),ROW(Expenses!A$3:A$1002)-2),1)),0)+IFERROR(INDEX(Income!C$3:C$502,SMALL(IF((Income!D$3:D$502="INR")*(Income!A$3:A$502=DATE(2026,11,12)),ROW(Income!A$3:A$502)-2),1)),0)=0,"",IFERROR(-INDEX(Expenses!D$3:D$1002,SMALL(IF((Expenses!E$3:E$1002="INR")*(Expenses!A$3:A$1002=DATE(2026,11,12)),ROW(Expenses!A$3:A$1002)-2),1)),0)+IFERROR(INDEX(Income!C$3:C$502,SMALL(IF((Income!D$3:D$502="INR")*(Income!A$3:A$502=DATE(2026,11,12)),ROW(Income!A$3:A$502)-2),1)),0))</f>
        <v/>
      </c>
      <c r="J229" s="38" t="str">
        <f aca="false">IF(IFERROR(INDEX(Expenses!B$3:B$1002,SMALL(IF((Expenses!E$3:E$1002="INR")*(Expenses!A$3:A$1002=DATE(2026,11,12)),ROW(Expenses!A$3:A$1002)-2),1)),"")&lt;&gt;"",IFERROR(INDEX(Expenses!B$3:B$1002,SMALL(IF((Expenses!E$3:E$1002="INR")*(Expenses!A$3:A$1002=DATE(2026,11,12)),ROW(Expenses!A$3:A$1002)-2),1)),""),IF(IFERROR(INDEX(Income!B$3:B$502,SMALL(IF((Income!D$3:D$502="INR")*(Income!A$3:A$502=DATE(2026,11,12)),ROW(Income!A$3:A$502)-2),1)),"")&lt;&gt;"",IFERROR(INDEX(Income!B$3:B$502,SMALL(IF((Income!D$3:D$502="INR")*(Income!A$3:A$502=DATE(2026,11,12)),ROW(Income!A$3:A$502)-2),1)),""),""))</f>
        <v/>
      </c>
      <c r="K229" s="63" t="str">
        <f aca="false">IF(IFERROR(-INDEX(Expenses!D$3:D$1002,SMALL(IF((Expenses!E$3:E$1002="INR")*(Expenses!A$3:A$1002=DATE(2026,11,13)),ROW(Expenses!A$3:A$1002)-2),1)),0)+IFERROR(INDEX(Income!C$3:C$502,SMALL(IF((Income!D$3:D$502="INR")*(Income!A$3:A$502=DATE(2026,11,13)),ROW(Income!A$3:A$502)-2),1)),0)=0,"",IFERROR(-INDEX(Expenses!D$3:D$1002,SMALL(IF((Expenses!E$3:E$1002="INR")*(Expenses!A$3:A$1002=DATE(2026,11,13)),ROW(Expenses!A$3:A$1002)-2),1)),0)+IFERROR(INDEX(Income!C$3:C$502,SMALL(IF((Income!D$3:D$502="INR")*(Income!A$3:A$502=DATE(2026,11,13)),ROW(Income!A$3:A$502)-2),1)),0))</f>
        <v/>
      </c>
      <c r="L229" s="38" t="str">
        <f aca="false">IF(IFERROR(INDEX(Expenses!B$3:B$1002,SMALL(IF((Expenses!E$3:E$1002="INR")*(Expenses!A$3:A$1002=DATE(2026,11,13)),ROW(Expenses!A$3:A$1002)-2),1)),"")&lt;&gt;"",IFERROR(INDEX(Expenses!B$3:B$1002,SMALL(IF((Expenses!E$3:E$1002="INR")*(Expenses!A$3:A$1002=DATE(2026,11,13)),ROW(Expenses!A$3:A$1002)-2),1)),""),IF(IFERROR(INDEX(Income!B$3:B$502,SMALL(IF((Income!D$3:D$502="INR")*(Income!A$3:A$502=DATE(2026,11,13)),ROW(Income!A$3:A$502)-2),1)),"")&lt;&gt;"",IFERROR(INDEX(Income!B$3:B$502,SMALL(IF((Income!D$3:D$502="INR")*(Income!A$3:A$502=DATE(2026,11,13)),ROW(Income!A$3:A$502)-2),1)),""),""))</f>
        <v/>
      </c>
      <c r="M229" s="63" t="str">
        <f aca="false">IF(IFERROR(-INDEX(Expenses!D$3:D$1002,SMALL(IF((Expenses!E$3:E$1002="INR")*(Expenses!A$3:A$1002=DATE(2026,11,14)),ROW(Expenses!A$3:A$1002)-2),1)),0)+IFERROR(INDEX(Income!C$3:C$502,SMALL(IF((Income!D$3:D$502="INR")*(Income!A$3:A$502=DATE(2026,11,14)),ROW(Income!A$3:A$502)-2),1)),0)=0,"",IFERROR(-INDEX(Expenses!D$3:D$1002,SMALL(IF((Expenses!E$3:E$1002="INR")*(Expenses!A$3:A$1002=DATE(2026,11,14)),ROW(Expenses!A$3:A$1002)-2),1)),0)+IFERROR(INDEX(Income!C$3:C$502,SMALL(IF((Income!D$3:D$502="INR")*(Income!A$3:A$502=DATE(2026,11,14)),ROW(Income!A$3:A$502)-2),1)),0))</f>
        <v/>
      </c>
      <c r="N229" s="38" t="str">
        <f aca="false">IF(IFERROR(INDEX(Expenses!B$3:B$1002,SMALL(IF((Expenses!E$3:E$1002="INR")*(Expenses!A$3:A$1002=DATE(2026,11,14)),ROW(Expenses!A$3:A$1002)-2),1)),"")&lt;&gt;"",IFERROR(INDEX(Expenses!B$3:B$1002,SMALL(IF((Expenses!E$3:E$1002="INR")*(Expenses!A$3:A$1002=DATE(2026,11,14)),ROW(Expenses!A$3:A$1002)-2),1)),""),IF(IFERROR(INDEX(Income!B$3:B$502,SMALL(IF((Income!D$3:D$502="INR")*(Income!A$3:A$502=DATE(2026,11,14)),ROW(Income!A$3:A$502)-2),1)),"")&lt;&gt;"",IFERROR(INDEX(Income!B$3:B$502,SMALL(IF((Income!D$3:D$502="INR")*(Income!A$3:A$502=DATE(2026,11,14)),ROW(Income!A$3:A$502)-2),1)),""),""))</f>
        <v/>
      </c>
      <c r="O229" s="63" t="str">
        <f aca="false">IF(IFERROR(-INDEX(Expenses!D$3:D$1002,SMALL(IF((Expenses!E$3:E$1002="INR")*(Expenses!A$3:A$1002=DATE(2026,11,15)),ROW(Expenses!A$3:A$1002)-2),1)),0)+IFERROR(INDEX(Income!C$3:C$502,SMALL(IF((Income!D$3:D$502="INR")*(Income!A$3:A$502=DATE(2026,11,15)),ROW(Income!A$3:A$502)-2),1)),0)=0,"",IFERROR(-INDEX(Expenses!D$3:D$1002,SMALL(IF((Expenses!E$3:E$1002="INR")*(Expenses!A$3:A$1002=DATE(2026,11,15)),ROW(Expenses!A$3:A$1002)-2),1)),0)+IFERROR(INDEX(Income!C$3:C$502,SMALL(IF((Income!D$3:D$502="INR")*(Income!A$3:A$502=DATE(2026,11,15)),ROW(Income!A$3:A$502)-2),1)),0))</f>
        <v/>
      </c>
      <c r="P229" s="38" t="str">
        <f aca="false">IF(IFERROR(INDEX(Expenses!B$3:B$1002,SMALL(IF((Expenses!E$3:E$1002="INR")*(Expenses!A$3:A$1002=DATE(2026,11,15)),ROW(Expenses!A$3:A$1002)-2),1)),"")&lt;&gt;"",IFERROR(INDEX(Expenses!B$3:B$1002,SMALL(IF((Expenses!E$3:E$1002="INR")*(Expenses!A$3:A$1002=DATE(2026,11,15)),ROW(Expenses!A$3:A$1002)-2),1)),""),IF(IFERROR(INDEX(Income!B$3:B$502,SMALL(IF((Income!D$3:D$502="INR")*(Income!A$3:A$502=DATE(2026,11,15)),ROW(Income!A$3:A$502)-2),1)),"")&lt;&gt;"",IFERROR(INDEX(Income!B$3:B$502,SMALL(IF((Income!D$3:D$502="INR")*(Income!A$3:A$502=DATE(2026,11,15)),ROW(Income!A$3:A$502)-2),1)),""),""))</f>
        <v/>
      </c>
      <c r="Q229" s="3" t="n">
        <v>46</v>
      </c>
      <c r="R229" s="53" t="n">
        <f aca="false">SUM(C229:C233)+SUM(E229:E233)+SUM(G229:G233)+SUM(I229:I233)+SUM(K229:K233)+SUM(M229:M233)+SUM(O229:O233)</f>
        <v>0</v>
      </c>
    </row>
    <row r="230" customFormat="false" ht="15" hidden="false" customHeight="false" outlineLevel="0" collapsed="false">
      <c r="A230" s="16"/>
      <c r="B230" s="16"/>
      <c r="C230" s="63" t="str">
        <f aca="false">IF(IFERROR(-INDEX(Expenses!D$3:D$1002,SMALL(IF((Expenses!E$3:E$1002="INR")*(Expenses!A$3:A$1002=DATE(2026,11,9)),ROW(Expenses!A$3:A$1002)-2),2)),0)+IFERROR(INDEX(Income!C$3:C$502,SMALL(IF((Income!D$3:D$502="INR")*(Income!A$3:A$502=DATE(2026,11,9)),ROW(Income!A$3:A$502)-2),2)),0)=0,"",IFERROR(-INDEX(Expenses!D$3:D$1002,SMALL(IF((Expenses!E$3:E$1002="INR")*(Expenses!A$3:A$1002=DATE(2026,11,9)),ROW(Expenses!A$3:A$1002)-2),2)),0)+IFERROR(INDEX(Income!C$3:C$502,SMALL(IF((Income!D$3:D$502="INR")*(Income!A$3:A$502=DATE(2026,11,9)),ROW(Income!A$3:A$502)-2),2)),0))</f>
        <v/>
      </c>
      <c r="D230" s="38" t="str">
        <f aca="false">IF(IFERROR(INDEX(Expenses!B$3:B$1002,SMALL(IF((Expenses!E$3:E$1002="INR")*(Expenses!A$3:A$1002=DATE(2026,11,9)),ROW(Expenses!A$3:A$1002)-2),2)),"")&lt;&gt;"",IFERROR(INDEX(Expenses!B$3:B$1002,SMALL(IF((Expenses!E$3:E$1002="INR")*(Expenses!A$3:A$1002=DATE(2026,11,9)),ROW(Expenses!A$3:A$1002)-2),2)),""),IF(IFERROR(INDEX(Income!B$3:B$502,SMALL(IF((Income!D$3:D$502="INR")*(Income!A$3:A$502=DATE(2026,11,9)),ROW(Income!A$3:A$502)-2),2)),"")&lt;&gt;"",IFERROR(INDEX(Income!B$3:B$502,SMALL(IF((Income!D$3:D$502="INR")*(Income!A$3:A$502=DATE(2026,11,9)),ROW(Income!A$3:A$502)-2),2)),""),""))</f>
        <v/>
      </c>
      <c r="E230" s="63" t="str">
        <f aca="false">IF(IFERROR(-INDEX(Expenses!D$3:D$1002,SMALL(IF((Expenses!E$3:E$1002="INR")*(Expenses!A$3:A$1002=DATE(2026,11,10)),ROW(Expenses!A$3:A$1002)-2),2)),0)+IFERROR(INDEX(Income!C$3:C$502,SMALL(IF((Income!D$3:D$502="INR")*(Income!A$3:A$502=DATE(2026,11,10)),ROW(Income!A$3:A$502)-2),2)),0)=0,"",IFERROR(-INDEX(Expenses!D$3:D$1002,SMALL(IF((Expenses!E$3:E$1002="INR")*(Expenses!A$3:A$1002=DATE(2026,11,10)),ROW(Expenses!A$3:A$1002)-2),2)),0)+IFERROR(INDEX(Income!C$3:C$502,SMALL(IF((Income!D$3:D$502="INR")*(Income!A$3:A$502=DATE(2026,11,10)),ROW(Income!A$3:A$502)-2),2)),0))</f>
        <v/>
      </c>
      <c r="F230" s="38" t="str">
        <f aca="false">IF(IFERROR(INDEX(Expenses!B$3:B$1002,SMALL(IF((Expenses!E$3:E$1002="INR")*(Expenses!A$3:A$1002=DATE(2026,11,10)),ROW(Expenses!A$3:A$1002)-2),2)),"")&lt;&gt;"",IFERROR(INDEX(Expenses!B$3:B$1002,SMALL(IF((Expenses!E$3:E$1002="INR")*(Expenses!A$3:A$1002=DATE(2026,11,10)),ROW(Expenses!A$3:A$1002)-2),2)),""),IF(IFERROR(INDEX(Income!B$3:B$502,SMALL(IF((Income!D$3:D$502="INR")*(Income!A$3:A$502=DATE(2026,11,10)),ROW(Income!A$3:A$502)-2),2)),"")&lt;&gt;"",IFERROR(INDEX(Income!B$3:B$502,SMALL(IF((Income!D$3:D$502="INR")*(Income!A$3:A$502=DATE(2026,11,10)),ROW(Income!A$3:A$502)-2),2)),""),""))</f>
        <v/>
      </c>
      <c r="G230" s="63" t="str">
        <f aca="false">IF(IFERROR(-INDEX(Expenses!D$3:D$1002,SMALL(IF((Expenses!E$3:E$1002="INR")*(Expenses!A$3:A$1002=DATE(2026,11,11)),ROW(Expenses!A$3:A$1002)-2),2)),0)+IFERROR(INDEX(Income!C$3:C$502,SMALL(IF((Income!D$3:D$502="INR")*(Income!A$3:A$502=DATE(2026,11,11)),ROW(Income!A$3:A$502)-2),2)),0)=0,"",IFERROR(-INDEX(Expenses!D$3:D$1002,SMALL(IF((Expenses!E$3:E$1002="INR")*(Expenses!A$3:A$1002=DATE(2026,11,11)),ROW(Expenses!A$3:A$1002)-2),2)),0)+IFERROR(INDEX(Income!C$3:C$502,SMALL(IF((Income!D$3:D$502="INR")*(Income!A$3:A$502=DATE(2026,11,11)),ROW(Income!A$3:A$502)-2),2)),0))</f>
        <v/>
      </c>
      <c r="H230" s="38" t="str">
        <f aca="false">IF(IFERROR(INDEX(Expenses!B$3:B$1002,SMALL(IF((Expenses!E$3:E$1002="INR")*(Expenses!A$3:A$1002=DATE(2026,11,11)),ROW(Expenses!A$3:A$1002)-2),2)),"")&lt;&gt;"",IFERROR(INDEX(Expenses!B$3:B$1002,SMALL(IF((Expenses!E$3:E$1002="INR")*(Expenses!A$3:A$1002=DATE(2026,11,11)),ROW(Expenses!A$3:A$1002)-2),2)),""),IF(IFERROR(INDEX(Income!B$3:B$502,SMALL(IF((Income!D$3:D$502="INR")*(Income!A$3:A$502=DATE(2026,11,11)),ROW(Income!A$3:A$502)-2),2)),"")&lt;&gt;"",IFERROR(INDEX(Income!B$3:B$502,SMALL(IF((Income!D$3:D$502="INR")*(Income!A$3:A$502=DATE(2026,11,11)),ROW(Income!A$3:A$502)-2),2)),""),""))</f>
        <v/>
      </c>
      <c r="I230" s="63" t="str">
        <f aca="false">IF(IFERROR(-INDEX(Expenses!D$3:D$1002,SMALL(IF((Expenses!E$3:E$1002="INR")*(Expenses!A$3:A$1002=DATE(2026,11,12)),ROW(Expenses!A$3:A$1002)-2),2)),0)+IFERROR(INDEX(Income!C$3:C$502,SMALL(IF((Income!D$3:D$502="INR")*(Income!A$3:A$502=DATE(2026,11,12)),ROW(Income!A$3:A$502)-2),2)),0)=0,"",IFERROR(-INDEX(Expenses!D$3:D$1002,SMALL(IF((Expenses!E$3:E$1002="INR")*(Expenses!A$3:A$1002=DATE(2026,11,12)),ROW(Expenses!A$3:A$1002)-2),2)),0)+IFERROR(INDEX(Income!C$3:C$502,SMALL(IF((Income!D$3:D$502="INR")*(Income!A$3:A$502=DATE(2026,11,12)),ROW(Income!A$3:A$502)-2),2)),0))</f>
        <v/>
      </c>
      <c r="J230" s="38" t="str">
        <f aca="false">IF(IFERROR(INDEX(Expenses!B$3:B$1002,SMALL(IF((Expenses!E$3:E$1002="INR")*(Expenses!A$3:A$1002=DATE(2026,11,12)),ROW(Expenses!A$3:A$1002)-2),2)),"")&lt;&gt;"",IFERROR(INDEX(Expenses!B$3:B$1002,SMALL(IF((Expenses!E$3:E$1002="INR")*(Expenses!A$3:A$1002=DATE(2026,11,12)),ROW(Expenses!A$3:A$1002)-2),2)),""),IF(IFERROR(INDEX(Income!B$3:B$502,SMALL(IF((Income!D$3:D$502="INR")*(Income!A$3:A$502=DATE(2026,11,12)),ROW(Income!A$3:A$502)-2),2)),"")&lt;&gt;"",IFERROR(INDEX(Income!B$3:B$502,SMALL(IF((Income!D$3:D$502="INR")*(Income!A$3:A$502=DATE(2026,11,12)),ROW(Income!A$3:A$502)-2),2)),""),""))</f>
        <v/>
      </c>
      <c r="K230" s="63" t="str">
        <f aca="false">IF(IFERROR(-INDEX(Expenses!D$3:D$1002,SMALL(IF((Expenses!E$3:E$1002="INR")*(Expenses!A$3:A$1002=DATE(2026,11,13)),ROW(Expenses!A$3:A$1002)-2),2)),0)+IFERROR(INDEX(Income!C$3:C$502,SMALL(IF((Income!D$3:D$502="INR")*(Income!A$3:A$502=DATE(2026,11,13)),ROW(Income!A$3:A$502)-2),2)),0)=0,"",IFERROR(-INDEX(Expenses!D$3:D$1002,SMALL(IF((Expenses!E$3:E$1002="INR")*(Expenses!A$3:A$1002=DATE(2026,11,13)),ROW(Expenses!A$3:A$1002)-2),2)),0)+IFERROR(INDEX(Income!C$3:C$502,SMALL(IF((Income!D$3:D$502="INR")*(Income!A$3:A$502=DATE(2026,11,13)),ROW(Income!A$3:A$502)-2),2)),0))</f>
        <v/>
      </c>
      <c r="L230" s="38" t="str">
        <f aca="false">IF(IFERROR(INDEX(Expenses!B$3:B$1002,SMALL(IF((Expenses!E$3:E$1002="INR")*(Expenses!A$3:A$1002=DATE(2026,11,13)),ROW(Expenses!A$3:A$1002)-2),2)),"")&lt;&gt;"",IFERROR(INDEX(Expenses!B$3:B$1002,SMALL(IF((Expenses!E$3:E$1002="INR")*(Expenses!A$3:A$1002=DATE(2026,11,13)),ROW(Expenses!A$3:A$1002)-2),2)),""),IF(IFERROR(INDEX(Income!B$3:B$502,SMALL(IF((Income!D$3:D$502="INR")*(Income!A$3:A$502=DATE(2026,11,13)),ROW(Income!A$3:A$502)-2),2)),"")&lt;&gt;"",IFERROR(INDEX(Income!B$3:B$502,SMALL(IF((Income!D$3:D$502="INR")*(Income!A$3:A$502=DATE(2026,11,13)),ROW(Income!A$3:A$502)-2),2)),""),""))</f>
        <v/>
      </c>
      <c r="M230" s="63" t="str">
        <f aca="false">IF(IFERROR(-INDEX(Expenses!D$3:D$1002,SMALL(IF((Expenses!E$3:E$1002="INR")*(Expenses!A$3:A$1002=DATE(2026,11,14)),ROW(Expenses!A$3:A$1002)-2),2)),0)+IFERROR(INDEX(Income!C$3:C$502,SMALL(IF((Income!D$3:D$502="INR")*(Income!A$3:A$502=DATE(2026,11,14)),ROW(Income!A$3:A$502)-2),2)),0)=0,"",IFERROR(-INDEX(Expenses!D$3:D$1002,SMALL(IF((Expenses!E$3:E$1002="INR")*(Expenses!A$3:A$1002=DATE(2026,11,14)),ROW(Expenses!A$3:A$1002)-2),2)),0)+IFERROR(INDEX(Income!C$3:C$502,SMALL(IF((Income!D$3:D$502="INR")*(Income!A$3:A$502=DATE(2026,11,14)),ROW(Income!A$3:A$502)-2),2)),0))</f>
        <v/>
      </c>
      <c r="N230" s="38" t="str">
        <f aca="false">IF(IFERROR(INDEX(Expenses!B$3:B$1002,SMALL(IF((Expenses!E$3:E$1002="INR")*(Expenses!A$3:A$1002=DATE(2026,11,14)),ROW(Expenses!A$3:A$1002)-2),2)),"")&lt;&gt;"",IFERROR(INDEX(Expenses!B$3:B$1002,SMALL(IF((Expenses!E$3:E$1002="INR")*(Expenses!A$3:A$1002=DATE(2026,11,14)),ROW(Expenses!A$3:A$1002)-2),2)),""),IF(IFERROR(INDEX(Income!B$3:B$502,SMALL(IF((Income!D$3:D$502="INR")*(Income!A$3:A$502=DATE(2026,11,14)),ROW(Income!A$3:A$502)-2),2)),"")&lt;&gt;"",IFERROR(INDEX(Income!B$3:B$502,SMALL(IF((Income!D$3:D$502="INR")*(Income!A$3:A$502=DATE(2026,11,14)),ROW(Income!A$3:A$502)-2),2)),""),""))</f>
        <v/>
      </c>
      <c r="O230" s="63" t="str">
        <f aca="false">IF(IFERROR(-INDEX(Expenses!D$3:D$1002,SMALL(IF((Expenses!E$3:E$1002="INR")*(Expenses!A$3:A$1002=DATE(2026,11,15)),ROW(Expenses!A$3:A$1002)-2),2)),0)+IFERROR(INDEX(Income!C$3:C$502,SMALL(IF((Income!D$3:D$502="INR")*(Income!A$3:A$502=DATE(2026,11,15)),ROW(Income!A$3:A$502)-2),2)),0)=0,"",IFERROR(-INDEX(Expenses!D$3:D$1002,SMALL(IF((Expenses!E$3:E$1002="INR")*(Expenses!A$3:A$1002=DATE(2026,11,15)),ROW(Expenses!A$3:A$1002)-2),2)),0)+IFERROR(INDEX(Income!C$3:C$502,SMALL(IF((Income!D$3:D$502="INR")*(Income!A$3:A$502=DATE(2026,11,15)),ROW(Income!A$3:A$502)-2),2)),0))</f>
        <v/>
      </c>
      <c r="P230" s="38" t="str">
        <f aca="false">IF(IFERROR(INDEX(Expenses!B$3:B$1002,SMALL(IF((Expenses!E$3:E$1002="INR")*(Expenses!A$3:A$1002=DATE(2026,11,15)),ROW(Expenses!A$3:A$1002)-2),2)),"")&lt;&gt;"",IFERROR(INDEX(Expenses!B$3:B$1002,SMALL(IF((Expenses!E$3:E$1002="INR")*(Expenses!A$3:A$1002=DATE(2026,11,15)),ROW(Expenses!A$3:A$1002)-2),2)),""),IF(IFERROR(INDEX(Income!B$3:B$502,SMALL(IF((Income!D$3:D$502="INR")*(Income!A$3:A$502=DATE(2026,11,15)),ROW(Income!A$3:A$502)-2),2)),"")&lt;&gt;"",IFERROR(INDEX(Income!B$3:B$502,SMALL(IF((Income!D$3:D$502="INR")*(Income!A$3:A$502=DATE(2026,11,15)),ROW(Income!A$3:A$502)-2),2)),""),""))</f>
        <v/>
      </c>
      <c r="Q230" s="16"/>
      <c r="R230" s="16"/>
    </row>
    <row r="231" customFormat="false" ht="15" hidden="false" customHeight="false" outlineLevel="0" collapsed="false">
      <c r="A231" s="16"/>
      <c r="B231" s="16"/>
      <c r="C231" s="63" t="str">
        <f aca="false">IF(IFERROR(-INDEX(Expenses!D$3:D$1002,SMALL(IF((Expenses!E$3:E$1002="INR")*(Expenses!A$3:A$1002=DATE(2026,11,9)),ROW(Expenses!A$3:A$1002)-2),3)),0)+IFERROR(INDEX(Income!C$3:C$502,SMALL(IF((Income!D$3:D$502="INR")*(Income!A$3:A$502=DATE(2026,11,9)),ROW(Income!A$3:A$502)-2),3)),0)=0,"",IFERROR(-INDEX(Expenses!D$3:D$1002,SMALL(IF((Expenses!E$3:E$1002="INR")*(Expenses!A$3:A$1002=DATE(2026,11,9)),ROW(Expenses!A$3:A$1002)-2),3)),0)+IFERROR(INDEX(Income!C$3:C$502,SMALL(IF((Income!D$3:D$502="INR")*(Income!A$3:A$502=DATE(2026,11,9)),ROW(Income!A$3:A$502)-2),3)),0))</f>
        <v/>
      </c>
      <c r="D231" s="38" t="str">
        <f aca="false">IF(IFERROR(INDEX(Expenses!B$3:B$1002,SMALL(IF((Expenses!E$3:E$1002="INR")*(Expenses!A$3:A$1002=DATE(2026,11,9)),ROW(Expenses!A$3:A$1002)-2),3)),"")&lt;&gt;"",IFERROR(INDEX(Expenses!B$3:B$1002,SMALL(IF((Expenses!E$3:E$1002="INR")*(Expenses!A$3:A$1002=DATE(2026,11,9)),ROW(Expenses!A$3:A$1002)-2),3)),""),IF(IFERROR(INDEX(Income!B$3:B$502,SMALL(IF((Income!D$3:D$502="INR")*(Income!A$3:A$502=DATE(2026,11,9)),ROW(Income!A$3:A$502)-2),3)),"")&lt;&gt;"",IFERROR(INDEX(Income!B$3:B$502,SMALL(IF((Income!D$3:D$502="INR")*(Income!A$3:A$502=DATE(2026,11,9)),ROW(Income!A$3:A$502)-2),3)),""),""))</f>
        <v/>
      </c>
      <c r="E231" s="63" t="str">
        <f aca="false">IF(IFERROR(-INDEX(Expenses!D$3:D$1002,SMALL(IF((Expenses!E$3:E$1002="INR")*(Expenses!A$3:A$1002=DATE(2026,11,10)),ROW(Expenses!A$3:A$1002)-2),3)),0)+IFERROR(INDEX(Income!C$3:C$502,SMALL(IF((Income!D$3:D$502="INR")*(Income!A$3:A$502=DATE(2026,11,10)),ROW(Income!A$3:A$502)-2),3)),0)=0,"",IFERROR(-INDEX(Expenses!D$3:D$1002,SMALL(IF((Expenses!E$3:E$1002="INR")*(Expenses!A$3:A$1002=DATE(2026,11,10)),ROW(Expenses!A$3:A$1002)-2),3)),0)+IFERROR(INDEX(Income!C$3:C$502,SMALL(IF((Income!D$3:D$502="INR")*(Income!A$3:A$502=DATE(2026,11,10)),ROW(Income!A$3:A$502)-2),3)),0))</f>
        <v/>
      </c>
      <c r="F231" s="38" t="str">
        <f aca="false">IF(IFERROR(INDEX(Expenses!B$3:B$1002,SMALL(IF((Expenses!E$3:E$1002="INR")*(Expenses!A$3:A$1002=DATE(2026,11,10)),ROW(Expenses!A$3:A$1002)-2),3)),"")&lt;&gt;"",IFERROR(INDEX(Expenses!B$3:B$1002,SMALL(IF((Expenses!E$3:E$1002="INR")*(Expenses!A$3:A$1002=DATE(2026,11,10)),ROW(Expenses!A$3:A$1002)-2),3)),""),IF(IFERROR(INDEX(Income!B$3:B$502,SMALL(IF((Income!D$3:D$502="INR")*(Income!A$3:A$502=DATE(2026,11,10)),ROW(Income!A$3:A$502)-2),3)),"")&lt;&gt;"",IFERROR(INDEX(Income!B$3:B$502,SMALL(IF((Income!D$3:D$502="INR")*(Income!A$3:A$502=DATE(2026,11,10)),ROW(Income!A$3:A$502)-2),3)),""),""))</f>
        <v/>
      </c>
      <c r="G231" s="63" t="str">
        <f aca="false">IF(IFERROR(-INDEX(Expenses!D$3:D$1002,SMALL(IF((Expenses!E$3:E$1002="INR")*(Expenses!A$3:A$1002=DATE(2026,11,11)),ROW(Expenses!A$3:A$1002)-2),3)),0)+IFERROR(INDEX(Income!C$3:C$502,SMALL(IF((Income!D$3:D$502="INR")*(Income!A$3:A$502=DATE(2026,11,11)),ROW(Income!A$3:A$502)-2),3)),0)=0,"",IFERROR(-INDEX(Expenses!D$3:D$1002,SMALL(IF((Expenses!E$3:E$1002="INR")*(Expenses!A$3:A$1002=DATE(2026,11,11)),ROW(Expenses!A$3:A$1002)-2),3)),0)+IFERROR(INDEX(Income!C$3:C$502,SMALL(IF((Income!D$3:D$502="INR")*(Income!A$3:A$502=DATE(2026,11,11)),ROW(Income!A$3:A$502)-2),3)),0))</f>
        <v/>
      </c>
      <c r="H231" s="38" t="str">
        <f aca="false">IF(IFERROR(INDEX(Expenses!B$3:B$1002,SMALL(IF((Expenses!E$3:E$1002="INR")*(Expenses!A$3:A$1002=DATE(2026,11,11)),ROW(Expenses!A$3:A$1002)-2),3)),"")&lt;&gt;"",IFERROR(INDEX(Expenses!B$3:B$1002,SMALL(IF((Expenses!E$3:E$1002="INR")*(Expenses!A$3:A$1002=DATE(2026,11,11)),ROW(Expenses!A$3:A$1002)-2),3)),""),IF(IFERROR(INDEX(Income!B$3:B$502,SMALL(IF((Income!D$3:D$502="INR")*(Income!A$3:A$502=DATE(2026,11,11)),ROW(Income!A$3:A$502)-2),3)),"")&lt;&gt;"",IFERROR(INDEX(Income!B$3:B$502,SMALL(IF((Income!D$3:D$502="INR")*(Income!A$3:A$502=DATE(2026,11,11)),ROW(Income!A$3:A$502)-2),3)),""),""))</f>
        <v/>
      </c>
      <c r="I231" s="63" t="str">
        <f aca="false">IF(IFERROR(-INDEX(Expenses!D$3:D$1002,SMALL(IF((Expenses!E$3:E$1002="INR")*(Expenses!A$3:A$1002=DATE(2026,11,12)),ROW(Expenses!A$3:A$1002)-2),3)),0)+IFERROR(INDEX(Income!C$3:C$502,SMALL(IF((Income!D$3:D$502="INR")*(Income!A$3:A$502=DATE(2026,11,12)),ROW(Income!A$3:A$502)-2),3)),0)=0,"",IFERROR(-INDEX(Expenses!D$3:D$1002,SMALL(IF((Expenses!E$3:E$1002="INR")*(Expenses!A$3:A$1002=DATE(2026,11,12)),ROW(Expenses!A$3:A$1002)-2),3)),0)+IFERROR(INDEX(Income!C$3:C$502,SMALL(IF((Income!D$3:D$502="INR")*(Income!A$3:A$502=DATE(2026,11,12)),ROW(Income!A$3:A$502)-2),3)),0))</f>
        <v/>
      </c>
      <c r="J231" s="38" t="str">
        <f aca="false">IF(IFERROR(INDEX(Expenses!B$3:B$1002,SMALL(IF((Expenses!E$3:E$1002="INR")*(Expenses!A$3:A$1002=DATE(2026,11,12)),ROW(Expenses!A$3:A$1002)-2),3)),"")&lt;&gt;"",IFERROR(INDEX(Expenses!B$3:B$1002,SMALL(IF((Expenses!E$3:E$1002="INR")*(Expenses!A$3:A$1002=DATE(2026,11,12)),ROW(Expenses!A$3:A$1002)-2),3)),""),IF(IFERROR(INDEX(Income!B$3:B$502,SMALL(IF((Income!D$3:D$502="INR")*(Income!A$3:A$502=DATE(2026,11,12)),ROW(Income!A$3:A$502)-2),3)),"")&lt;&gt;"",IFERROR(INDEX(Income!B$3:B$502,SMALL(IF((Income!D$3:D$502="INR")*(Income!A$3:A$502=DATE(2026,11,12)),ROW(Income!A$3:A$502)-2),3)),""),""))</f>
        <v/>
      </c>
      <c r="K231" s="63" t="str">
        <f aca="false">IF(IFERROR(-INDEX(Expenses!D$3:D$1002,SMALL(IF((Expenses!E$3:E$1002="INR")*(Expenses!A$3:A$1002=DATE(2026,11,13)),ROW(Expenses!A$3:A$1002)-2),3)),0)+IFERROR(INDEX(Income!C$3:C$502,SMALL(IF((Income!D$3:D$502="INR")*(Income!A$3:A$502=DATE(2026,11,13)),ROW(Income!A$3:A$502)-2),3)),0)=0,"",IFERROR(-INDEX(Expenses!D$3:D$1002,SMALL(IF((Expenses!E$3:E$1002="INR")*(Expenses!A$3:A$1002=DATE(2026,11,13)),ROW(Expenses!A$3:A$1002)-2),3)),0)+IFERROR(INDEX(Income!C$3:C$502,SMALL(IF((Income!D$3:D$502="INR")*(Income!A$3:A$502=DATE(2026,11,13)),ROW(Income!A$3:A$502)-2),3)),0))</f>
        <v/>
      </c>
      <c r="L231" s="38" t="str">
        <f aca="false">IF(IFERROR(INDEX(Expenses!B$3:B$1002,SMALL(IF((Expenses!E$3:E$1002="INR")*(Expenses!A$3:A$1002=DATE(2026,11,13)),ROW(Expenses!A$3:A$1002)-2),3)),"")&lt;&gt;"",IFERROR(INDEX(Expenses!B$3:B$1002,SMALL(IF((Expenses!E$3:E$1002="INR")*(Expenses!A$3:A$1002=DATE(2026,11,13)),ROW(Expenses!A$3:A$1002)-2),3)),""),IF(IFERROR(INDEX(Income!B$3:B$502,SMALL(IF((Income!D$3:D$502="INR")*(Income!A$3:A$502=DATE(2026,11,13)),ROW(Income!A$3:A$502)-2),3)),"")&lt;&gt;"",IFERROR(INDEX(Income!B$3:B$502,SMALL(IF((Income!D$3:D$502="INR")*(Income!A$3:A$502=DATE(2026,11,13)),ROW(Income!A$3:A$502)-2),3)),""),""))</f>
        <v/>
      </c>
      <c r="M231" s="63" t="str">
        <f aca="false">IF(IFERROR(-INDEX(Expenses!D$3:D$1002,SMALL(IF((Expenses!E$3:E$1002="INR")*(Expenses!A$3:A$1002=DATE(2026,11,14)),ROW(Expenses!A$3:A$1002)-2),3)),0)+IFERROR(INDEX(Income!C$3:C$502,SMALL(IF((Income!D$3:D$502="INR")*(Income!A$3:A$502=DATE(2026,11,14)),ROW(Income!A$3:A$502)-2),3)),0)=0,"",IFERROR(-INDEX(Expenses!D$3:D$1002,SMALL(IF((Expenses!E$3:E$1002="INR")*(Expenses!A$3:A$1002=DATE(2026,11,14)),ROW(Expenses!A$3:A$1002)-2),3)),0)+IFERROR(INDEX(Income!C$3:C$502,SMALL(IF((Income!D$3:D$502="INR")*(Income!A$3:A$502=DATE(2026,11,14)),ROW(Income!A$3:A$502)-2),3)),0))</f>
        <v/>
      </c>
      <c r="N231" s="38" t="str">
        <f aca="false">IF(IFERROR(INDEX(Expenses!B$3:B$1002,SMALL(IF((Expenses!E$3:E$1002="INR")*(Expenses!A$3:A$1002=DATE(2026,11,14)),ROW(Expenses!A$3:A$1002)-2),3)),"")&lt;&gt;"",IFERROR(INDEX(Expenses!B$3:B$1002,SMALL(IF((Expenses!E$3:E$1002="INR")*(Expenses!A$3:A$1002=DATE(2026,11,14)),ROW(Expenses!A$3:A$1002)-2),3)),""),IF(IFERROR(INDEX(Income!B$3:B$502,SMALL(IF((Income!D$3:D$502="INR")*(Income!A$3:A$502=DATE(2026,11,14)),ROW(Income!A$3:A$502)-2),3)),"")&lt;&gt;"",IFERROR(INDEX(Income!B$3:B$502,SMALL(IF((Income!D$3:D$502="INR")*(Income!A$3:A$502=DATE(2026,11,14)),ROW(Income!A$3:A$502)-2),3)),""),""))</f>
        <v/>
      </c>
      <c r="O231" s="63" t="str">
        <f aca="false">IF(IFERROR(-INDEX(Expenses!D$3:D$1002,SMALL(IF((Expenses!E$3:E$1002="INR")*(Expenses!A$3:A$1002=DATE(2026,11,15)),ROW(Expenses!A$3:A$1002)-2),3)),0)+IFERROR(INDEX(Income!C$3:C$502,SMALL(IF((Income!D$3:D$502="INR")*(Income!A$3:A$502=DATE(2026,11,15)),ROW(Income!A$3:A$502)-2),3)),0)=0,"",IFERROR(-INDEX(Expenses!D$3:D$1002,SMALL(IF((Expenses!E$3:E$1002="INR")*(Expenses!A$3:A$1002=DATE(2026,11,15)),ROW(Expenses!A$3:A$1002)-2),3)),0)+IFERROR(INDEX(Income!C$3:C$502,SMALL(IF((Income!D$3:D$502="INR")*(Income!A$3:A$502=DATE(2026,11,15)),ROW(Income!A$3:A$502)-2),3)),0))</f>
        <v/>
      </c>
      <c r="P231" s="38" t="str">
        <f aca="false">IF(IFERROR(INDEX(Expenses!B$3:B$1002,SMALL(IF((Expenses!E$3:E$1002="INR")*(Expenses!A$3:A$1002=DATE(2026,11,15)),ROW(Expenses!A$3:A$1002)-2),3)),"")&lt;&gt;"",IFERROR(INDEX(Expenses!B$3:B$1002,SMALL(IF((Expenses!E$3:E$1002="INR")*(Expenses!A$3:A$1002=DATE(2026,11,15)),ROW(Expenses!A$3:A$1002)-2),3)),""),IF(IFERROR(INDEX(Income!B$3:B$502,SMALL(IF((Income!D$3:D$502="INR")*(Income!A$3:A$502=DATE(2026,11,15)),ROW(Income!A$3:A$502)-2),3)),"")&lt;&gt;"",IFERROR(INDEX(Income!B$3:B$502,SMALL(IF((Income!D$3:D$502="INR")*(Income!A$3:A$502=DATE(2026,11,15)),ROW(Income!A$3:A$502)-2),3)),""),""))</f>
        <v/>
      </c>
      <c r="Q231" s="16"/>
      <c r="R231" s="16"/>
    </row>
    <row r="232" customFormat="false" ht="15" hidden="false" customHeight="false" outlineLevel="0" collapsed="false">
      <c r="A232" s="16"/>
      <c r="B232" s="16"/>
      <c r="C232" s="63" t="str">
        <f aca="false">IF(IFERROR(-INDEX(Expenses!D$3:D$1002,SMALL(IF((Expenses!E$3:E$1002="INR")*(Expenses!A$3:A$1002=DATE(2026,11,9)),ROW(Expenses!A$3:A$1002)-2),4)),0)+IFERROR(INDEX(Income!C$3:C$502,SMALL(IF((Income!D$3:D$502="INR")*(Income!A$3:A$502=DATE(2026,11,9)),ROW(Income!A$3:A$502)-2),4)),0)=0,"",IFERROR(-INDEX(Expenses!D$3:D$1002,SMALL(IF((Expenses!E$3:E$1002="INR")*(Expenses!A$3:A$1002=DATE(2026,11,9)),ROW(Expenses!A$3:A$1002)-2),4)),0)+IFERROR(INDEX(Income!C$3:C$502,SMALL(IF((Income!D$3:D$502="INR")*(Income!A$3:A$502=DATE(2026,11,9)),ROW(Income!A$3:A$502)-2),4)),0))</f>
        <v/>
      </c>
      <c r="D232" s="38" t="str">
        <f aca="false">IF(IFERROR(INDEX(Expenses!B$3:B$1002,SMALL(IF((Expenses!E$3:E$1002="INR")*(Expenses!A$3:A$1002=DATE(2026,11,9)),ROW(Expenses!A$3:A$1002)-2),4)),"")&lt;&gt;"",IFERROR(INDEX(Expenses!B$3:B$1002,SMALL(IF((Expenses!E$3:E$1002="INR")*(Expenses!A$3:A$1002=DATE(2026,11,9)),ROW(Expenses!A$3:A$1002)-2),4)),""),IF(IFERROR(INDEX(Income!B$3:B$502,SMALL(IF((Income!D$3:D$502="INR")*(Income!A$3:A$502=DATE(2026,11,9)),ROW(Income!A$3:A$502)-2),4)),"")&lt;&gt;"",IFERROR(INDEX(Income!B$3:B$502,SMALL(IF((Income!D$3:D$502="INR")*(Income!A$3:A$502=DATE(2026,11,9)),ROW(Income!A$3:A$502)-2),4)),""),""))</f>
        <v/>
      </c>
      <c r="E232" s="63" t="str">
        <f aca="false">IF(IFERROR(-INDEX(Expenses!D$3:D$1002,SMALL(IF((Expenses!E$3:E$1002="INR")*(Expenses!A$3:A$1002=DATE(2026,11,10)),ROW(Expenses!A$3:A$1002)-2),4)),0)+IFERROR(INDEX(Income!C$3:C$502,SMALL(IF((Income!D$3:D$502="INR")*(Income!A$3:A$502=DATE(2026,11,10)),ROW(Income!A$3:A$502)-2),4)),0)=0,"",IFERROR(-INDEX(Expenses!D$3:D$1002,SMALL(IF((Expenses!E$3:E$1002="INR")*(Expenses!A$3:A$1002=DATE(2026,11,10)),ROW(Expenses!A$3:A$1002)-2),4)),0)+IFERROR(INDEX(Income!C$3:C$502,SMALL(IF((Income!D$3:D$502="INR")*(Income!A$3:A$502=DATE(2026,11,10)),ROW(Income!A$3:A$502)-2),4)),0))</f>
        <v/>
      </c>
      <c r="F232" s="38" t="str">
        <f aca="false">IF(IFERROR(INDEX(Expenses!B$3:B$1002,SMALL(IF((Expenses!E$3:E$1002="INR")*(Expenses!A$3:A$1002=DATE(2026,11,10)),ROW(Expenses!A$3:A$1002)-2),4)),"")&lt;&gt;"",IFERROR(INDEX(Expenses!B$3:B$1002,SMALL(IF((Expenses!E$3:E$1002="INR")*(Expenses!A$3:A$1002=DATE(2026,11,10)),ROW(Expenses!A$3:A$1002)-2),4)),""),IF(IFERROR(INDEX(Income!B$3:B$502,SMALL(IF((Income!D$3:D$502="INR")*(Income!A$3:A$502=DATE(2026,11,10)),ROW(Income!A$3:A$502)-2),4)),"")&lt;&gt;"",IFERROR(INDEX(Income!B$3:B$502,SMALL(IF((Income!D$3:D$502="INR")*(Income!A$3:A$502=DATE(2026,11,10)),ROW(Income!A$3:A$502)-2),4)),""),""))</f>
        <v/>
      </c>
      <c r="G232" s="63" t="str">
        <f aca="false">IF(IFERROR(-INDEX(Expenses!D$3:D$1002,SMALL(IF((Expenses!E$3:E$1002="INR")*(Expenses!A$3:A$1002=DATE(2026,11,11)),ROW(Expenses!A$3:A$1002)-2),4)),0)+IFERROR(INDEX(Income!C$3:C$502,SMALL(IF((Income!D$3:D$502="INR")*(Income!A$3:A$502=DATE(2026,11,11)),ROW(Income!A$3:A$502)-2),4)),0)=0,"",IFERROR(-INDEX(Expenses!D$3:D$1002,SMALL(IF((Expenses!E$3:E$1002="INR")*(Expenses!A$3:A$1002=DATE(2026,11,11)),ROW(Expenses!A$3:A$1002)-2),4)),0)+IFERROR(INDEX(Income!C$3:C$502,SMALL(IF((Income!D$3:D$502="INR")*(Income!A$3:A$502=DATE(2026,11,11)),ROW(Income!A$3:A$502)-2),4)),0))</f>
        <v/>
      </c>
      <c r="H232" s="38" t="str">
        <f aca="false">IF(IFERROR(INDEX(Expenses!B$3:B$1002,SMALL(IF((Expenses!E$3:E$1002="INR")*(Expenses!A$3:A$1002=DATE(2026,11,11)),ROW(Expenses!A$3:A$1002)-2),4)),"")&lt;&gt;"",IFERROR(INDEX(Expenses!B$3:B$1002,SMALL(IF((Expenses!E$3:E$1002="INR")*(Expenses!A$3:A$1002=DATE(2026,11,11)),ROW(Expenses!A$3:A$1002)-2),4)),""),IF(IFERROR(INDEX(Income!B$3:B$502,SMALL(IF((Income!D$3:D$502="INR")*(Income!A$3:A$502=DATE(2026,11,11)),ROW(Income!A$3:A$502)-2),4)),"")&lt;&gt;"",IFERROR(INDEX(Income!B$3:B$502,SMALL(IF((Income!D$3:D$502="INR")*(Income!A$3:A$502=DATE(2026,11,11)),ROW(Income!A$3:A$502)-2),4)),""),""))</f>
        <v/>
      </c>
      <c r="I232" s="63" t="str">
        <f aca="false">IF(IFERROR(-INDEX(Expenses!D$3:D$1002,SMALL(IF((Expenses!E$3:E$1002="INR")*(Expenses!A$3:A$1002=DATE(2026,11,12)),ROW(Expenses!A$3:A$1002)-2),4)),0)+IFERROR(INDEX(Income!C$3:C$502,SMALL(IF((Income!D$3:D$502="INR")*(Income!A$3:A$502=DATE(2026,11,12)),ROW(Income!A$3:A$502)-2),4)),0)=0,"",IFERROR(-INDEX(Expenses!D$3:D$1002,SMALL(IF((Expenses!E$3:E$1002="INR")*(Expenses!A$3:A$1002=DATE(2026,11,12)),ROW(Expenses!A$3:A$1002)-2),4)),0)+IFERROR(INDEX(Income!C$3:C$502,SMALL(IF((Income!D$3:D$502="INR")*(Income!A$3:A$502=DATE(2026,11,12)),ROW(Income!A$3:A$502)-2),4)),0))</f>
        <v/>
      </c>
      <c r="J232" s="38" t="str">
        <f aca="false">IF(IFERROR(INDEX(Expenses!B$3:B$1002,SMALL(IF((Expenses!E$3:E$1002="INR")*(Expenses!A$3:A$1002=DATE(2026,11,12)),ROW(Expenses!A$3:A$1002)-2),4)),"")&lt;&gt;"",IFERROR(INDEX(Expenses!B$3:B$1002,SMALL(IF((Expenses!E$3:E$1002="INR")*(Expenses!A$3:A$1002=DATE(2026,11,12)),ROW(Expenses!A$3:A$1002)-2),4)),""),IF(IFERROR(INDEX(Income!B$3:B$502,SMALL(IF((Income!D$3:D$502="INR")*(Income!A$3:A$502=DATE(2026,11,12)),ROW(Income!A$3:A$502)-2),4)),"")&lt;&gt;"",IFERROR(INDEX(Income!B$3:B$502,SMALL(IF((Income!D$3:D$502="INR")*(Income!A$3:A$502=DATE(2026,11,12)),ROW(Income!A$3:A$502)-2),4)),""),""))</f>
        <v/>
      </c>
      <c r="K232" s="63" t="str">
        <f aca="false">IF(IFERROR(-INDEX(Expenses!D$3:D$1002,SMALL(IF((Expenses!E$3:E$1002="INR")*(Expenses!A$3:A$1002=DATE(2026,11,13)),ROW(Expenses!A$3:A$1002)-2),4)),0)+IFERROR(INDEX(Income!C$3:C$502,SMALL(IF((Income!D$3:D$502="INR")*(Income!A$3:A$502=DATE(2026,11,13)),ROW(Income!A$3:A$502)-2),4)),0)=0,"",IFERROR(-INDEX(Expenses!D$3:D$1002,SMALL(IF((Expenses!E$3:E$1002="INR")*(Expenses!A$3:A$1002=DATE(2026,11,13)),ROW(Expenses!A$3:A$1002)-2),4)),0)+IFERROR(INDEX(Income!C$3:C$502,SMALL(IF((Income!D$3:D$502="INR")*(Income!A$3:A$502=DATE(2026,11,13)),ROW(Income!A$3:A$502)-2),4)),0))</f>
        <v/>
      </c>
      <c r="L232" s="38" t="str">
        <f aca="false">IF(IFERROR(INDEX(Expenses!B$3:B$1002,SMALL(IF((Expenses!E$3:E$1002="INR")*(Expenses!A$3:A$1002=DATE(2026,11,13)),ROW(Expenses!A$3:A$1002)-2),4)),"")&lt;&gt;"",IFERROR(INDEX(Expenses!B$3:B$1002,SMALL(IF((Expenses!E$3:E$1002="INR")*(Expenses!A$3:A$1002=DATE(2026,11,13)),ROW(Expenses!A$3:A$1002)-2),4)),""),IF(IFERROR(INDEX(Income!B$3:B$502,SMALL(IF((Income!D$3:D$502="INR")*(Income!A$3:A$502=DATE(2026,11,13)),ROW(Income!A$3:A$502)-2),4)),"")&lt;&gt;"",IFERROR(INDEX(Income!B$3:B$502,SMALL(IF((Income!D$3:D$502="INR")*(Income!A$3:A$502=DATE(2026,11,13)),ROW(Income!A$3:A$502)-2),4)),""),""))</f>
        <v/>
      </c>
      <c r="M232" s="63" t="str">
        <f aca="false">IF(IFERROR(-INDEX(Expenses!D$3:D$1002,SMALL(IF((Expenses!E$3:E$1002="INR")*(Expenses!A$3:A$1002=DATE(2026,11,14)),ROW(Expenses!A$3:A$1002)-2),4)),0)+IFERROR(INDEX(Income!C$3:C$502,SMALL(IF((Income!D$3:D$502="INR")*(Income!A$3:A$502=DATE(2026,11,14)),ROW(Income!A$3:A$502)-2),4)),0)=0,"",IFERROR(-INDEX(Expenses!D$3:D$1002,SMALL(IF((Expenses!E$3:E$1002="INR")*(Expenses!A$3:A$1002=DATE(2026,11,14)),ROW(Expenses!A$3:A$1002)-2),4)),0)+IFERROR(INDEX(Income!C$3:C$502,SMALL(IF((Income!D$3:D$502="INR")*(Income!A$3:A$502=DATE(2026,11,14)),ROW(Income!A$3:A$502)-2),4)),0))</f>
        <v/>
      </c>
      <c r="N232" s="38" t="str">
        <f aca="false">IF(IFERROR(INDEX(Expenses!B$3:B$1002,SMALL(IF((Expenses!E$3:E$1002="INR")*(Expenses!A$3:A$1002=DATE(2026,11,14)),ROW(Expenses!A$3:A$1002)-2),4)),"")&lt;&gt;"",IFERROR(INDEX(Expenses!B$3:B$1002,SMALL(IF((Expenses!E$3:E$1002="INR")*(Expenses!A$3:A$1002=DATE(2026,11,14)),ROW(Expenses!A$3:A$1002)-2),4)),""),IF(IFERROR(INDEX(Income!B$3:B$502,SMALL(IF((Income!D$3:D$502="INR")*(Income!A$3:A$502=DATE(2026,11,14)),ROW(Income!A$3:A$502)-2),4)),"")&lt;&gt;"",IFERROR(INDEX(Income!B$3:B$502,SMALL(IF((Income!D$3:D$502="INR")*(Income!A$3:A$502=DATE(2026,11,14)),ROW(Income!A$3:A$502)-2),4)),""),""))</f>
        <v/>
      </c>
      <c r="O232" s="63" t="str">
        <f aca="false">IF(IFERROR(-INDEX(Expenses!D$3:D$1002,SMALL(IF((Expenses!E$3:E$1002="INR")*(Expenses!A$3:A$1002=DATE(2026,11,15)),ROW(Expenses!A$3:A$1002)-2),4)),0)+IFERROR(INDEX(Income!C$3:C$502,SMALL(IF((Income!D$3:D$502="INR")*(Income!A$3:A$502=DATE(2026,11,15)),ROW(Income!A$3:A$502)-2),4)),0)=0,"",IFERROR(-INDEX(Expenses!D$3:D$1002,SMALL(IF((Expenses!E$3:E$1002="INR")*(Expenses!A$3:A$1002=DATE(2026,11,15)),ROW(Expenses!A$3:A$1002)-2),4)),0)+IFERROR(INDEX(Income!C$3:C$502,SMALL(IF((Income!D$3:D$502="INR")*(Income!A$3:A$502=DATE(2026,11,15)),ROW(Income!A$3:A$502)-2),4)),0))</f>
        <v/>
      </c>
      <c r="P232" s="38" t="str">
        <f aca="false">IF(IFERROR(INDEX(Expenses!B$3:B$1002,SMALL(IF((Expenses!E$3:E$1002="INR")*(Expenses!A$3:A$1002=DATE(2026,11,15)),ROW(Expenses!A$3:A$1002)-2),4)),"")&lt;&gt;"",IFERROR(INDEX(Expenses!B$3:B$1002,SMALL(IF((Expenses!E$3:E$1002="INR")*(Expenses!A$3:A$1002=DATE(2026,11,15)),ROW(Expenses!A$3:A$1002)-2),4)),""),IF(IFERROR(INDEX(Income!B$3:B$502,SMALL(IF((Income!D$3:D$502="INR")*(Income!A$3:A$502=DATE(2026,11,15)),ROW(Income!A$3:A$502)-2),4)),"")&lt;&gt;"",IFERROR(INDEX(Income!B$3:B$502,SMALL(IF((Income!D$3:D$502="INR")*(Income!A$3:A$502=DATE(2026,11,15)),ROW(Income!A$3:A$502)-2),4)),""),""))</f>
        <v/>
      </c>
      <c r="Q232" s="16"/>
      <c r="R232" s="16"/>
    </row>
    <row r="233" customFormat="false" ht="15" hidden="false" customHeight="false" outlineLevel="0" collapsed="false">
      <c r="A233" s="16"/>
      <c r="B233" s="16"/>
      <c r="C233" s="63" t="str">
        <f aca="false">IF(IFERROR(-INDEX(Expenses!D$3:D$1002,SMALL(IF((Expenses!E$3:E$1002="INR")*(Expenses!A$3:A$1002=DATE(2026,11,9)),ROW(Expenses!A$3:A$1002)-2),5)),0)+IFERROR(INDEX(Income!C$3:C$502,SMALL(IF((Income!D$3:D$502="INR")*(Income!A$3:A$502=DATE(2026,11,9)),ROW(Income!A$3:A$502)-2),5)),0)=0,"",IFERROR(-INDEX(Expenses!D$3:D$1002,SMALL(IF((Expenses!E$3:E$1002="INR")*(Expenses!A$3:A$1002=DATE(2026,11,9)),ROW(Expenses!A$3:A$1002)-2),5)),0)+IFERROR(INDEX(Income!C$3:C$502,SMALL(IF((Income!D$3:D$502="INR")*(Income!A$3:A$502=DATE(2026,11,9)),ROW(Income!A$3:A$502)-2),5)),0))</f>
        <v/>
      </c>
      <c r="D233" s="38" t="str">
        <f aca="false">IF(IFERROR(INDEX(Expenses!B$3:B$1002,SMALL(IF((Expenses!E$3:E$1002="INR")*(Expenses!A$3:A$1002=DATE(2026,11,9)),ROW(Expenses!A$3:A$1002)-2),5)),"")&lt;&gt;"",IFERROR(INDEX(Expenses!B$3:B$1002,SMALL(IF((Expenses!E$3:E$1002="INR")*(Expenses!A$3:A$1002=DATE(2026,11,9)),ROW(Expenses!A$3:A$1002)-2),5)),""),IF(IFERROR(INDEX(Income!B$3:B$502,SMALL(IF((Income!D$3:D$502="INR")*(Income!A$3:A$502=DATE(2026,11,9)),ROW(Income!A$3:A$502)-2),5)),"")&lt;&gt;"",IFERROR(INDEX(Income!B$3:B$502,SMALL(IF((Income!D$3:D$502="INR")*(Income!A$3:A$502=DATE(2026,11,9)),ROW(Income!A$3:A$502)-2),5)),""),""))</f>
        <v/>
      </c>
      <c r="E233" s="63" t="str">
        <f aca="false">IF(IFERROR(-INDEX(Expenses!D$3:D$1002,SMALL(IF((Expenses!E$3:E$1002="INR")*(Expenses!A$3:A$1002=DATE(2026,11,10)),ROW(Expenses!A$3:A$1002)-2),5)),0)+IFERROR(INDEX(Income!C$3:C$502,SMALL(IF((Income!D$3:D$502="INR")*(Income!A$3:A$502=DATE(2026,11,10)),ROW(Income!A$3:A$502)-2),5)),0)=0,"",IFERROR(-INDEX(Expenses!D$3:D$1002,SMALL(IF((Expenses!E$3:E$1002="INR")*(Expenses!A$3:A$1002=DATE(2026,11,10)),ROW(Expenses!A$3:A$1002)-2),5)),0)+IFERROR(INDEX(Income!C$3:C$502,SMALL(IF((Income!D$3:D$502="INR")*(Income!A$3:A$502=DATE(2026,11,10)),ROW(Income!A$3:A$502)-2),5)),0))</f>
        <v/>
      </c>
      <c r="F233" s="38" t="str">
        <f aca="false">IF(IFERROR(INDEX(Expenses!B$3:B$1002,SMALL(IF((Expenses!E$3:E$1002="INR")*(Expenses!A$3:A$1002=DATE(2026,11,10)),ROW(Expenses!A$3:A$1002)-2),5)),"")&lt;&gt;"",IFERROR(INDEX(Expenses!B$3:B$1002,SMALL(IF((Expenses!E$3:E$1002="INR")*(Expenses!A$3:A$1002=DATE(2026,11,10)),ROW(Expenses!A$3:A$1002)-2),5)),""),IF(IFERROR(INDEX(Income!B$3:B$502,SMALL(IF((Income!D$3:D$502="INR")*(Income!A$3:A$502=DATE(2026,11,10)),ROW(Income!A$3:A$502)-2),5)),"")&lt;&gt;"",IFERROR(INDEX(Income!B$3:B$502,SMALL(IF((Income!D$3:D$502="INR")*(Income!A$3:A$502=DATE(2026,11,10)),ROW(Income!A$3:A$502)-2),5)),""),""))</f>
        <v/>
      </c>
      <c r="G233" s="63" t="str">
        <f aca="false">IF(IFERROR(-INDEX(Expenses!D$3:D$1002,SMALL(IF((Expenses!E$3:E$1002="INR")*(Expenses!A$3:A$1002=DATE(2026,11,11)),ROW(Expenses!A$3:A$1002)-2),5)),0)+IFERROR(INDEX(Income!C$3:C$502,SMALL(IF((Income!D$3:D$502="INR")*(Income!A$3:A$502=DATE(2026,11,11)),ROW(Income!A$3:A$502)-2),5)),0)=0,"",IFERROR(-INDEX(Expenses!D$3:D$1002,SMALL(IF((Expenses!E$3:E$1002="INR")*(Expenses!A$3:A$1002=DATE(2026,11,11)),ROW(Expenses!A$3:A$1002)-2),5)),0)+IFERROR(INDEX(Income!C$3:C$502,SMALL(IF((Income!D$3:D$502="INR")*(Income!A$3:A$502=DATE(2026,11,11)),ROW(Income!A$3:A$502)-2),5)),0))</f>
        <v/>
      </c>
      <c r="H233" s="38" t="str">
        <f aca="false">IF(IFERROR(INDEX(Expenses!B$3:B$1002,SMALL(IF((Expenses!E$3:E$1002="INR")*(Expenses!A$3:A$1002=DATE(2026,11,11)),ROW(Expenses!A$3:A$1002)-2),5)),"")&lt;&gt;"",IFERROR(INDEX(Expenses!B$3:B$1002,SMALL(IF((Expenses!E$3:E$1002="INR")*(Expenses!A$3:A$1002=DATE(2026,11,11)),ROW(Expenses!A$3:A$1002)-2),5)),""),IF(IFERROR(INDEX(Income!B$3:B$502,SMALL(IF((Income!D$3:D$502="INR")*(Income!A$3:A$502=DATE(2026,11,11)),ROW(Income!A$3:A$502)-2),5)),"")&lt;&gt;"",IFERROR(INDEX(Income!B$3:B$502,SMALL(IF((Income!D$3:D$502="INR")*(Income!A$3:A$502=DATE(2026,11,11)),ROW(Income!A$3:A$502)-2),5)),""),""))</f>
        <v/>
      </c>
      <c r="I233" s="63" t="str">
        <f aca="false">IF(IFERROR(-INDEX(Expenses!D$3:D$1002,SMALL(IF((Expenses!E$3:E$1002="INR")*(Expenses!A$3:A$1002=DATE(2026,11,12)),ROW(Expenses!A$3:A$1002)-2),5)),0)+IFERROR(INDEX(Income!C$3:C$502,SMALL(IF((Income!D$3:D$502="INR")*(Income!A$3:A$502=DATE(2026,11,12)),ROW(Income!A$3:A$502)-2),5)),0)=0,"",IFERROR(-INDEX(Expenses!D$3:D$1002,SMALL(IF((Expenses!E$3:E$1002="INR")*(Expenses!A$3:A$1002=DATE(2026,11,12)),ROW(Expenses!A$3:A$1002)-2),5)),0)+IFERROR(INDEX(Income!C$3:C$502,SMALL(IF((Income!D$3:D$502="INR")*(Income!A$3:A$502=DATE(2026,11,12)),ROW(Income!A$3:A$502)-2),5)),0))</f>
        <v/>
      </c>
      <c r="J233" s="38" t="str">
        <f aca="false">IF(IFERROR(INDEX(Expenses!B$3:B$1002,SMALL(IF((Expenses!E$3:E$1002="INR")*(Expenses!A$3:A$1002=DATE(2026,11,12)),ROW(Expenses!A$3:A$1002)-2),5)),"")&lt;&gt;"",IFERROR(INDEX(Expenses!B$3:B$1002,SMALL(IF((Expenses!E$3:E$1002="INR")*(Expenses!A$3:A$1002=DATE(2026,11,12)),ROW(Expenses!A$3:A$1002)-2),5)),""),IF(IFERROR(INDEX(Income!B$3:B$502,SMALL(IF((Income!D$3:D$502="INR")*(Income!A$3:A$502=DATE(2026,11,12)),ROW(Income!A$3:A$502)-2),5)),"")&lt;&gt;"",IFERROR(INDEX(Income!B$3:B$502,SMALL(IF((Income!D$3:D$502="INR")*(Income!A$3:A$502=DATE(2026,11,12)),ROW(Income!A$3:A$502)-2),5)),""),""))</f>
        <v/>
      </c>
      <c r="K233" s="63" t="str">
        <f aca="false">IF(IFERROR(-INDEX(Expenses!D$3:D$1002,SMALL(IF((Expenses!E$3:E$1002="INR")*(Expenses!A$3:A$1002=DATE(2026,11,13)),ROW(Expenses!A$3:A$1002)-2),5)),0)+IFERROR(INDEX(Income!C$3:C$502,SMALL(IF((Income!D$3:D$502="INR")*(Income!A$3:A$502=DATE(2026,11,13)),ROW(Income!A$3:A$502)-2),5)),0)=0,"",IFERROR(-INDEX(Expenses!D$3:D$1002,SMALL(IF((Expenses!E$3:E$1002="INR")*(Expenses!A$3:A$1002=DATE(2026,11,13)),ROW(Expenses!A$3:A$1002)-2),5)),0)+IFERROR(INDEX(Income!C$3:C$502,SMALL(IF((Income!D$3:D$502="INR")*(Income!A$3:A$502=DATE(2026,11,13)),ROW(Income!A$3:A$502)-2),5)),0))</f>
        <v/>
      </c>
      <c r="L233" s="38" t="str">
        <f aca="false">IF(IFERROR(INDEX(Expenses!B$3:B$1002,SMALL(IF((Expenses!E$3:E$1002="INR")*(Expenses!A$3:A$1002=DATE(2026,11,13)),ROW(Expenses!A$3:A$1002)-2),5)),"")&lt;&gt;"",IFERROR(INDEX(Expenses!B$3:B$1002,SMALL(IF((Expenses!E$3:E$1002="INR")*(Expenses!A$3:A$1002=DATE(2026,11,13)),ROW(Expenses!A$3:A$1002)-2),5)),""),IF(IFERROR(INDEX(Income!B$3:B$502,SMALL(IF((Income!D$3:D$502="INR")*(Income!A$3:A$502=DATE(2026,11,13)),ROW(Income!A$3:A$502)-2),5)),"")&lt;&gt;"",IFERROR(INDEX(Income!B$3:B$502,SMALL(IF((Income!D$3:D$502="INR")*(Income!A$3:A$502=DATE(2026,11,13)),ROW(Income!A$3:A$502)-2),5)),""),""))</f>
        <v/>
      </c>
      <c r="M233" s="63" t="str">
        <f aca="false">IF(IFERROR(-INDEX(Expenses!D$3:D$1002,SMALL(IF((Expenses!E$3:E$1002="INR")*(Expenses!A$3:A$1002=DATE(2026,11,14)),ROW(Expenses!A$3:A$1002)-2),5)),0)+IFERROR(INDEX(Income!C$3:C$502,SMALL(IF((Income!D$3:D$502="INR")*(Income!A$3:A$502=DATE(2026,11,14)),ROW(Income!A$3:A$502)-2),5)),0)=0,"",IFERROR(-INDEX(Expenses!D$3:D$1002,SMALL(IF((Expenses!E$3:E$1002="INR")*(Expenses!A$3:A$1002=DATE(2026,11,14)),ROW(Expenses!A$3:A$1002)-2),5)),0)+IFERROR(INDEX(Income!C$3:C$502,SMALL(IF((Income!D$3:D$502="INR")*(Income!A$3:A$502=DATE(2026,11,14)),ROW(Income!A$3:A$502)-2),5)),0))</f>
        <v/>
      </c>
      <c r="N233" s="38" t="str">
        <f aca="false">IF(IFERROR(INDEX(Expenses!B$3:B$1002,SMALL(IF((Expenses!E$3:E$1002="INR")*(Expenses!A$3:A$1002=DATE(2026,11,14)),ROW(Expenses!A$3:A$1002)-2),5)),"")&lt;&gt;"",IFERROR(INDEX(Expenses!B$3:B$1002,SMALL(IF((Expenses!E$3:E$1002="INR")*(Expenses!A$3:A$1002=DATE(2026,11,14)),ROW(Expenses!A$3:A$1002)-2),5)),""),IF(IFERROR(INDEX(Income!B$3:B$502,SMALL(IF((Income!D$3:D$502="INR")*(Income!A$3:A$502=DATE(2026,11,14)),ROW(Income!A$3:A$502)-2),5)),"")&lt;&gt;"",IFERROR(INDEX(Income!B$3:B$502,SMALL(IF((Income!D$3:D$502="INR")*(Income!A$3:A$502=DATE(2026,11,14)),ROW(Income!A$3:A$502)-2),5)),""),""))</f>
        <v/>
      </c>
      <c r="O233" s="63" t="str">
        <f aca="false">IF(IFERROR(-INDEX(Expenses!D$3:D$1002,SMALL(IF((Expenses!E$3:E$1002="INR")*(Expenses!A$3:A$1002=DATE(2026,11,15)),ROW(Expenses!A$3:A$1002)-2),5)),0)+IFERROR(INDEX(Income!C$3:C$502,SMALL(IF((Income!D$3:D$502="INR")*(Income!A$3:A$502=DATE(2026,11,15)),ROW(Income!A$3:A$502)-2),5)),0)=0,"",IFERROR(-INDEX(Expenses!D$3:D$1002,SMALL(IF((Expenses!E$3:E$1002="INR")*(Expenses!A$3:A$1002=DATE(2026,11,15)),ROW(Expenses!A$3:A$1002)-2),5)),0)+IFERROR(INDEX(Income!C$3:C$502,SMALL(IF((Income!D$3:D$502="INR")*(Income!A$3:A$502=DATE(2026,11,15)),ROW(Income!A$3:A$502)-2),5)),0))</f>
        <v/>
      </c>
      <c r="P233" s="38" t="str">
        <f aca="false">IF(IFERROR(INDEX(Expenses!B$3:B$1002,SMALL(IF((Expenses!E$3:E$1002="INR")*(Expenses!A$3:A$1002=DATE(2026,11,15)),ROW(Expenses!A$3:A$1002)-2),5)),"")&lt;&gt;"",IFERROR(INDEX(Expenses!B$3:B$1002,SMALL(IF((Expenses!E$3:E$1002="INR")*(Expenses!A$3:A$1002=DATE(2026,11,15)),ROW(Expenses!A$3:A$1002)-2),5)),""),IF(IFERROR(INDEX(Income!B$3:B$502,SMALL(IF((Income!D$3:D$502="INR")*(Income!A$3:A$502=DATE(2026,11,15)),ROW(Income!A$3:A$502)-2),5)),"")&lt;&gt;"",IFERROR(INDEX(Income!B$3:B$502,SMALL(IF((Income!D$3:D$502="INR")*(Income!A$3:A$502=DATE(2026,11,15)),ROW(Income!A$3:A$502)-2),5)),""),""))</f>
        <v/>
      </c>
      <c r="Q233" s="16"/>
      <c r="R233" s="16"/>
    </row>
    <row r="234" customFormat="false" ht="15" hidden="false" customHeight="false" outlineLevel="0" collapsed="false">
      <c r="A234" s="61" t="n">
        <v>46342</v>
      </c>
      <c r="B234" s="3" t="n">
        <v>47</v>
      </c>
      <c r="C234" s="63" t="str">
        <f aca="false">IF(IFERROR(-INDEX(Expenses!D$3:D$1002,SMALL(IF((Expenses!E$3:E$1002="INR")*(Expenses!A$3:A$1002=DATE(2026,11,16)),ROW(Expenses!A$3:A$1002)-2),1)),0)+IFERROR(INDEX(Income!C$3:C$502,SMALL(IF((Income!D$3:D$502="INR")*(Income!A$3:A$502=DATE(2026,11,16)),ROW(Income!A$3:A$502)-2),1)),0)=0,"",IFERROR(-INDEX(Expenses!D$3:D$1002,SMALL(IF((Expenses!E$3:E$1002="INR")*(Expenses!A$3:A$1002=DATE(2026,11,16)),ROW(Expenses!A$3:A$1002)-2),1)),0)+IFERROR(INDEX(Income!C$3:C$502,SMALL(IF((Income!D$3:D$502="INR")*(Income!A$3:A$502=DATE(2026,11,16)),ROW(Income!A$3:A$502)-2),1)),0))</f>
        <v/>
      </c>
      <c r="D234" s="38" t="str">
        <f aca="false">IF(IFERROR(INDEX(Expenses!B$3:B$1002,SMALL(IF((Expenses!E$3:E$1002="INR")*(Expenses!A$3:A$1002=DATE(2026,11,16)),ROW(Expenses!A$3:A$1002)-2),1)),"")&lt;&gt;"",IFERROR(INDEX(Expenses!B$3:B$1002,SMALL(IF((Expenses!E$3:E$1002="INR")*(Expenses!A$3:A$1002=DATE(2026,11,16)),ROW(Expenses!A$3:A$1002)-2),1)),""),IF(IFERROR(INDEX(Income!B$3:B$502,SMALL(IF((Income!D$3:D$502="INR")*(Income!A$3:A$502=DATE(2026,11,16)),ROW(Income!A$3:A$502)-2),1)),"")&lt;&gt;"",IFERROR(INDEX(Income!B$3:B$502,SMALL(IF((Income!D$3:D$502="INR")*(Income!A$3:A$502=DATE(2026,11,16)),ROW(Income!A$3:A$502)-2),1)),""),""))</f>
        <v/>
      </c>
      <c r="E234" s="63" t="str">
        <f aca="false">IF(IFERROR(-INDEX(Expenses!D$3:D$1002,SMALL(IF((Expenses!E$3:E$1002="INR")*(Expenses!A$3:A$1002=DATE(2026,11,17)),ROW(Expenses!A$3:A$1002)-2),1)),0)+IFERROR(INDEX(Income!C$3:C$502,SMALL(IF((Income!D$3:D$502="INR")*(Income!A$3:A$502=DATE(2026,11,17)),ROW(Income!A$3:A$502)-2),1)),0)=0,"",IFERROR(-INDEX(Expenses!D$3:D$1002,SMALL(IF((Expenses!E$3:E$1002="INR")*(Expenses!A$3:A$1002=DATE(2026,11,17)),ROW(Expenses!A$3:A$1002)-2),1)),0)+IFERROR(INDEX(Income!C$3:C$502,SMALL(IF((Income!D$3:D$502="INR")*(Income!A$3:A$502=DATE(2026,11,17)),ROW(Income!A$3:A$502)-2),1)),0))</f>
        <v/>
      </c>
      <c r="F234" s="38" t="str">
        <f aca="false">IF(IFERROR(INDEX(Expenses!B$3:B$1002,SMALL(IF((Expenses!E$3:E$1002="INR")*(Expenses!A$3:A$1002=DATE(2026,11,17)),ROW(Expenses!A$3:A$1002)-2),1)),"")&lt;&gt;"",IFERROR(INDEX(Expenses!B$3:B$1002,SMALL(IF((Expenses!E$3:E$1002="INR")*(Expenses!A$3:A$1002=DATE(2026,11,17)),ROW(Expenses!A$3:A$1002)-2),1)),""),IF(IFERROR(INDEX(Income!B$3:B$502,SMALL(IF((Income!D$3:D$502="INR")*(Income!A$3:A$502=DATE(2026,11,17)),ROW(Income!A$3:A$502)-2),1)),"")&lt;&gt;"",IFERROR(INDEX(Income!B$3:B$502,SMALL(IF((Income!D$3:D$502="INR")*(Income!A$3:A$502=DATE(2026,11,17)),ROW(Income!A$3:A$502)-2),1)),""),""))</f>
        <v/>
      </c>
      <c r="G234" s="63" t="str">
        <f aca="false">IF(IFERROR(-INDEX(Expenses!D$3:D$1002,SMALL(IF((Expenses!E$3:E$1002="INR")*(Expenses!A$3:A$1002=DATE(2026,11,18)),ROW(Expenses!A$3:A$1002)-2),1)),0)+IFERROR(INDEX(Income!C$3:C$502,SMALL(IF((Income!D$3:D$502="INR")*(Income!A$3:A$502=DATE(2026,11,18)),ROW(Income!A$3:A$502)-2),1)),0)=0,"",IFERROR(-INDEX(Expenses!D$3:D$1002,SMALL(IF((Expenses!E$3:E$1002="INR")*(Expenses!A$3:A$1002=DATE(2026,11,18)),ROW(Expenses!A$3:A$1002)-2),1)),0)+IFERROR(INDEX(Income!C$3:C$502,SMALL(IF((Income!D$3:D$502="INR")*(Income!A$3:A$502=DATE(2026,11,18)),ROW(Income!A$3:A$502)-2),1)),0))</f>
        <v/>
      </c>
      <c r="H234" s="38" t="str">
        <f aca="false">IF(IFERROR(INDEX(Expenses!B$3:B$1002,SMALL(IF((Expenses!E$3:E$1002="INR")*(Expenses!A$3:A$1002=DATE(2026,11,18)),ROW(Expenses!A$3:A$1002)-2),1)),"")&lt;&gt;"",IFERROR(INDEX(Expenses!B$3:B$1002,SMALL(IF((Expenses!E$3:E$1002="INR")*(Expenses!A$3:A$1002=DATE(2026,11,18)),ROW(Expenses!A$3:A$1002)-2),1)),""),IF(IFERROR(INDEX(Income!B$3:B$502,SMALL(IF((Income!D$3:D$502="INR")*(Income!A$3:A$502=DATE(2026,11,18)),ROW(Income!A$3:A$502)-2),1)),"")&lt;&gt;"",IFERROR(INDEX(Income!B$3:B$502,SMALL(IF((Income!D$3:D$502="INR")*(Income!A$3:A$502=DATE(2026,11,18)),ROW(Income!A$3:A$502)-2),1)),""),""))</f>
        <v/>
      </c>
      <c r="I234" s="63" t="str">
        <f aca="false">IF(IFERROR(-INDEX(Expenses!D$3:D$1002,SMALL(IF((Expenses!E$3:E$1002="INR")*(Expenses!A$3:A$1002=DATE(2026,11,19)),ROW(Expenses!A$3:A$1002)-2),1)),0)+IFERROR(INDEX(Income!C$3:C$502,SMALL(IF((Income!D$3:D$502="INR")*(Income!A$3:A$502=DATE(2026,11,19)),ROW(Income!A$3:A$502)-2),1)),0)=0,"",IFERROR(-INDEX(Expenses!D$3:D$1002,SMALL(IF((Expenses!E$3:E$1002="INR")*(Expenses!A$3:A$1002=DATE(2026,11,19)),ROW(Expenses!A$3:A$1002)-2),1)),0)+IFERROR(INDEX(Income!C$3:C$502,SMALL(IF((Income!D$3:D$502="INR")*(Income!A$3:A$502=DATE(2026,11,19)),ROW(Income!A$3:A$502)-2),1)),0))</f>
        <v/>
      </c>
      <c r="J234" s="38" t="str">
        <f aca="false">IF(IFERROR(INDEX(Expenses!B$3:B$1002,SMALL(IF((Expenses!E$3:E$1002="INR")*(Expenses!A$3:A$1002=DATE(2026,11,19)),ROW(Expenses!A$3:A$1002)-2),1)),"")&lt;&gt;"",IFERROR(INDEX(Expenses!B$3:B$1002,SMALL(IF((Expenses!E$3:E$1002="INR")*(Expenses!A$3:A$1002=DATE(2026,11,19)),ROW(Expenses!A$3:A$1002)-2),1)),""),IF(IFERROR(INDEX(Income!B$3:B$502,SMALL(IF((Income!D$3:D$502="INR")*(Income!A$3:A$502=DATE(2026,11,19)),ROW(Income!A$3:A$502)-2),1)),"")&lt;&gt;"",IFERROR(INDEX(Income!B$3:B$502,SMALL(IF((Income!D$3:D$502="INR")*(Income!A$3:A$502=DATE(2026,11,19)),ROW(Income!A$3:A$502)-2),1)),""),""))</f>
        <v/>
      </c>
      <c r="K234" s="63" t="str">
        <f aca="false">IF(IFERROR(-INDEX(Expenses!D$3:D$1002,SMALL(IF((Expenses!E$3:E$1002="INR")*(Expenses!A$3:A$1002=DATE(2026,11,20)),ROW(Expenses!A$3:A$1002)-2),1)),0)+IFERROR(INDEX(Income!C$3:C$502,SMALL(IF((Income!D$3:D$502="INR")*(Income!A$3:A$502=DATE(2026,11,20)),ROW(Income!A$3:A$502)-2),1)),0)=0,"",IFERROR(-INDEX(Expenses!D$3:D$1002,SMALL(IF((Expenses!E$3:E$1002="INR")*(Expenses!A$3:A$1002=DATE(2026,11,20)),ROW(Expenses!A$3:A$1002)-2),1)),0)+IFERROR(INDEX(Income!C$3:C$502,SMALL(IF((Income!D$3:D$502="INR")*(Income!A$3:A$502=DATE(2026,11,20)),ROW(Income!A$3:A$502)-2),1)),0))</f>
        <v/>
      </c>
      <c r="L234" s="38" t="str">
        <f aca="false">IF(IFERROR(INDEX(Expenses!B$3:B$1002,SMALL(IF((Expenses!E$3:E$1002="INR")*(Expenses!A$3:A$1002=DATE(2026,11,20)),ROW(Expenses!A$3:A$1002)-2),1)),"")&lt;&gt;"",IFERROR(INDEX(Expenses!B$3:B$1002,SMALL(IF((Expenses!E$3:E$1002="INR")*(Expenses!A$3:A$1002=DATE(2026,11,20)),ROW(Expenses!A$3:A$1002)-2),1)),""),IF(IFERROR(INDEX(Income!B$3:B$502,SMALL(IF((Income!D$3:D$502="INR")*(Income!A$3:A$502=DATE(2026,11,20)),ROW(Income!A$3:A$502)-2),1)),"")&lt;&gt;"",IFERROR(INDEX(Income!B$3:B$502,SMALL(IF((Income!D$3:D$502="INR")*(Income!A$3:A$502=DATE(2026,11,20)),ROW(Income!A$3:A$502)-2),1)),""),""))</f>
        <v/>
      </c>
      <c r="M234" s="63" t="str">
        <f aca="false">IF(IFERROR(-INDEX(Expenses!D$3:D$1002,SMALL(IF((Expenses!E$3:E$1002="INR")*(Expenses!A$3:A$1002=DATE(2026,11,21)),ROW(Expenses!A$3:A$1002)-2),1)),0)+IFERROR(INDEX(Income!C$3:C$502,SMALL(IF((Income!D$3:D$502="INR")*(Income!A$3:A$502=DATE(2026,11,21)),ROW(Income!A$3:A$502)-2),1)),0)=0,"",IFERROR(-INDEX(Expenses!D$3:D$1002,SMALL(IF((Expenses!E$3:E$1002="INR")*(Expenses!A$3:A$1002=DATE(2026,11,21)),ROW(Expenses!A$3:A$1002)-2),1)),0)+IFERROR(INDEX(Income!C$3:C$502,SMALL(IF((Income!D$3:D$502="INR")*(Income!A$3:A$502=DATE(2026,11,21)),ROW(Income!A$3:A$502)-2),1)),0))</f>
        <v/>
      </c>
      <c r="N234" s="38" t="str">
        <f aca="false">IF(IFERROR(INDEX(Expenses!B$3:B$1002,SMALL(IF((Expenses!E$3:E$1002="INR")*(Expenses!A$3:A$1002=DATE(2026,11,21)),ROW(Expenses!A$3:A$1002)-2),1)),"")&lt;&gt;"",IFERROR(INDEX(Expenses!B$3:B$1002,SMALL(IF((Expenses!E$3:E$1002="INR")*(Expenses!A$3:A$1002=DATE(2026,11,21)),ROW(Expenses!A$3:A$1002)-2),1)),""),IF(IFERROR(INDEX(Income!B$3:B$502,SMALL(IF((Income!D$3:D$502="INR")*(Income!A$3:A$502=DATE(2026,11,21)),ROW(Income!A$3:A$502)-2),1)),"")&lt;&gt;"",IFERROR(INDEX(Income!B$3:B$502,SMALL(IF((Income!D$3:D$502="INR")*(Income!A$3:A$502=DATE(2026,11,21)),ROW(Income!A$3:A$502)-2),1)),""),""))</f>
        <v/>
      </c>
      <c r="O234" s="63" t="str">
        <f aca="false">IF(IFERROR(-INDEX(Expenses!D$3:D$1002,SMALL(IF((Expenses!E$3:E$1002="INR")*(Expenses!A$3:A$1002=DATE(2026,11,22)),ROW(Expenses!A$3:A$1002)-2),1)),0)+IFERROR(INDEX(Income!C$3:C$502,SMALL(IF((Income!D$3:D$502="INR")*(Income!A$3:A$502=DATE(2026,11,22)),ROW(Income!A$3:A$502)-2),1)),0)=0,"",IFERROR(-INDEX(Expenses!D$3:D$1002,SMALL(IF((Expenses!E$3:E$1002="INR")*(Expenses!A$3:A$1002=DATE(2026,11,22)),ROW(Expenses!A$3:A$1002)-2),1)),0)+IFERROR(INDEX(Income!C$3:C$502,SMALL(IF((Income!D$3:D$502="INR")*(Income!A$3:A$502=DATE(2026,11,22)),ROW(Income!A$3:A$502)-2),1)),0))</f>
        <v/>
      </c>
      <c r="P234" s="38" t="str">
        <f aca="false">IF(IFERROR(INDEX(Expenses!B$3:B$1002,SMALL(IF((Expenses!E$3:E$1002="INR")*(Expenses!A$3:A$1002=DATE(2026,11,22)),ROW(Expenses!A$3:A$1002)-2),1)),"")&lt;&gt;"",IFERROR(INDEX(Expenses!B$3:B$1002,SMALL(IF((Expenses!E$3:E$1002="INR")*(Expenses!A$3:A$1002=DATE(2026,11,22)),ROW(Expenses!A$3:A$1002)-2),1)),""),IF(IFERROR(INDEX(Income!B$3:B$502,SMALL(IF((Income!D$3:D$502="INR")*(Income!A$3:A$502=DATE(2026,11,22)),ROW(Income!A$3:A$502)-2),1)),"")&lt;&gt;"",IFERROR(INDEX(Income!B$3:B$502,SMALL(IF((Income!D$3:D$502="INR")*(Income!A$3:A$502=DATE(2026,11,22)),ROW(Income!A$3:A$502)-2),1)),""),""))</f>
        <v/>
      </c>
      <c r="Q234" s="3" t="n">
        <v>47</v>
      </c>
      <c r="R234" s="53" t="n">
        <f aca="false">SUM(C234:C238)+SUM(E234:E238)+SUM(G234:G238)+SUM(I234:I238)+SUM(K234:K238)+SUM(M234:M238)+SUM(O234:O238)</f>
        <v>0</v>
      </c>
    </row>
    <row r="235" customFormat="false" ht="15" hidden="false" customHeight="false" outlineLevel="0" collapsed="false">
      <c r="A235" s="16"/>
      <c r="B235" s="16"/>
      <c r="C235" s="63" t="str">
        <f aca="false">IF(IFERROR(-INDEX(Expenses!D$3:D$1002,SMALL(IF((Expenses!E$3:E$1002="INR")*(Expenses!A$3:A$1002=DATE(2026,11,16)),ROW(Expenses!A$3:A$1002)-2),2)),0)+IFERROR(INDEX(Income!C$3:C$502,SMALL(IF((Income!D$3:D$502="INR")*(Income!A$3:A$502=DATE(2026,11,16)),ROW(Income!A$3:A$502)-2),2)),0)=0,"",IFERROR(-INDEX(Expenses!D$3:D$1002,SMALL(IF((Expenses!E$3:E$1002="INR")*(Expenses!A$3:A$1002=DATE(2026,11,16)),ROW(Expenses!A$3:A$1002)-2),2)),0)+IFERROR(INDEX(Income!C$3:C$502,SMALL(IF((Income!D$3:D$502="INR")*(Income!A$3:A$502=DATE(2026,11,16)),ROW(Income!A$3:A$502)-2),2)),0))</f>
        <v/>
      </c>
      <c r="D235" s="38" t="str">
        <f aca="false">IF(IFERROR(INDEX(Expenses!B$3:B$1002,SMALL(IF((Expenses!E$3:E$1002="INR")*(Expenses!A$3:A$1002=DATE(2026,11,16)),ROW(Expenses!A$3:A$1002)-2),2)),"")&lt;&gt;"",IFERROR(INDEX(Expenses!B$3:B$1002,SMALL(IF((Expenses!E$3:E$1002="INR")*(Expenses!A$3:A$1002=DATE(2026,11,16)),ROW(Expenses!A$3:A$1002)-2),2)),""),IF(IFERROR(INDEX(Income!B$3:B$502,SMALL(IF((Income!D$3:D$502="INR")*(Income!A$3:A$502=DATE(2026,11,16)),ROW(Income!A$3:A$502)-2),2)),"")&lt;&gt;"",IFERROR(INDEX(Income!B$3:B$502,SMALL(IF((Income!D$3:D$502="INR")*(Income!A$3:A$502=DATE(2026,11,16)),ROW(Income!A$3:A$502)-2),2)),""),""))</f>
        <v/>
      </c>
      <c r="E235" s="63" t="str">
        <f aca="false">IF(IFERROR(-INDEX(Expenses!D$3:D$1002,SMALL(IF((Expenses!E$3:E$1002="INR")*(Expenses!A$3:A$1002=DATE(2026,11,17)),ROW(Expenses!A$3:A$1002)-2),2)),0)+IFERROR(INDEX(Income!C$3:C$502,SMALL(IF((Income!D$3:D$502="INR")*(Income!A$3:A$502=DATE(2026,11,17)),ROW(Income!A$3:A$502)-2),2)),0)=0,"",IFERROR(-INDEX(Expenses!D$3:D$1002,SMALL(IF((Expenses!E$3:E$1002="INR")*(Expenses!A$3:A$1002=DATE(2026,11,17)),ROW(Expenses!A$3:A$1002)-2),2)),0)+IFERROR(INDEX(Income!C$3:C$502,SMALL(IF((Income!D$3:D$502="INR")*(Income!A$3:A$502=DATE(2026,11,17)),ROW(Income!A$3:A$502)-2),2)),0))</f>
        <v/>
      </c>
      <c r="F235" s="38" t="str">
        <f aca="false">IF(IFERROR(INDEX(Expenses!B$3:B$1002,SMALL(IF((Expenses!E$3:E$1002="INR")*(Expenses!A$3:A$1002=DATE(2026,11,17)),ROW(Expenses!A$3:A$1002)-2),2)),"")&lt;&gt;"",IFERROR(INDEX(Expenses!B$3:B$1002,SMALL(IF((Expenses!E$3:E$1002="INR")*(Expenses!A$3:A$1002=DATE(2026,11,17)),ROW(Expenses!A$3:A$1002)-2),2)),""),IF(IFERROR(INDEX(Income!B$3:B$502,SMALL(IF((Income!D$3:D$502="INR")*(Income!A$3:A$502=DATE(2026,11,17)),ROW(Income!A$3:A$502)-2),2)),"")&lt;&gt;"",IFERROR(INDEX(Income!B$3:B$502,SMALL(IF((Income!D$3:D$502="INR")*(Income!A$3:A$502=DATE(2026,11,17)),ROW(Income!A$3:A$502)-2),2)),""),""))</f>
        <v/>
      </c>
      <c r="G235" s="63" t="str">
        <f aca="false">IF(IFERROR(-INDEX(Expenses!D$3:D$1002,SMALL(IF((Expenses!E$3:E$1002="INR")*(Expenses!A$3:A$1002=DATE(2026,11,18)),ROW(Expenses!A$3:A$1002)-2),2)),0)+IFERROR(INDEX(Income!C$3:C$502,SMALL(IF((Income!D$3:D$502="INR")*(Income!A$3:A$502=DATE(2026,11,18)),ROW(Income!A$3:A$502)-2),2)),0)=0,"",IFERROR(-INDEX(Expenses!D$3:D$1002,SMALL(IF((Expenses!E$3:E$1002="INR")*(Expenses!A$3:A$1002=DATE(2026,11,18)),ROW(Expenses!A$3:A$1002)-2),2)),0)+IFERROR(INDEX(Income!C$3:C$502,SMALL(IF((Income!D$3:D$502="INR")*(Income!A$3:A$502=DATE(2026,11,18)),ROW(Income!A$3:A$502)-2),2)),0))</f>
        <v/>
      </c>
      <c r="H235" s="38" t="str">
        <f aca="false">IF(IFERROR(INDEX(Expenses!B$3:B$1002,SMALL(IF((Expenses!E$3:E$1002="INR")*(Expenses!A$3:A$1002=DATE(2026,11,18)),ROW(Expenses!A$3:A$1002)-2),2)),"")&lt;&gt;"",IFERROR(INDEX(Expenses!B$3:B$1002,SMALL(IF((Expenses!E$3:E$1002="INR")*(Expenses!A$3:A$1002=DATE(2026,11,18)),ROW(Expenses!A$3:A$1002)-2),2)),""),IF(IFERROR(INDEX(Income!B$3:B$502,SMALL(IF((Income!D$3:D$502="INR")*(Income!A$3:A$502=DATE(2026,11,18)),ROW(Income!A$3:A$502)-2),2)),"")&lt;&gt;"",IFERROR(INDEX(Income!B$3:B$502,SMALL(IF((Income!D$3:D$502="INR")*(Income!A$3:A$502=DATE(2026,11,18)),ROW(Income!A$3:A$502)-2),2)),""),""))</f>
        <v/>
      </c>
      <c r="I235" s="63" t="str">
        <f aca="false">IF(IFERROR(-INDEX(Expenses!D$3:D$1002,SMALL(IF((Expenses!E$3:E$1002="INR")*(Expenses!A$3:A$1002=DATE(2026,11,19)),ROW(Expenses!A$3:A$1002)-2),2)),0)+IFERROR(INDEX(Income!C$3:C$502,SMALL(IF((Income!D$3:D$502="INR")*(Income!A$3:A$502=DATE(2026,11,19)),ROW(Income!A$3:A$502)-2),2)),0)=0,"",IFERROR(-INDEX(Expenses!D$3:D$1002,SMALL(IF((Expenses!E$3:E$1002="INR")*(Expenses!A$3:A$1002=DATE(2026,11,19)),ROW(Expenses!A$3:A$1002)-2),2)),0)+IFERROR(INDEX(Income!C$3:C$502,SMALL(IF((Income!D$3:D$502="INR")*(Income!A$3:A$502=DATE(2026,11,19)),ROW(Income!A$3:A$502)-2),2)),0))</f>
        <v/>
      </c>
      <c r="J235" s="38" t="str">
        <f aca="false">IF(IFERROR(INDEX(Expenses!B$3:B$1002,SMALL(IF((Expenses!E$3:E$1002="INR")*(Expenses!A$3:A$1002=DATE(2026,11,19)),ROW(Expenses!A$3:A$1002)-2),2)),"")&lt;&gt;"",IFERROR(INDEX(Expenses!B$3:B$1002,SMALL(IF((Expenses!E$3:E$1002="INR")*(Expenses!A$3:A$1002=DATE(2026,11,19)),ROW(Expenses!A$3:A$1002)-2),2)),""),IF(IFERROR(INDEX(Income!B$3:B$502,SMALL(IF((Income!D$3:D$502="INR")*(Income!A$3:A$502=DATE(2026,11,19)),ROW(Income!A$3:A$502)-2),2)),"")&lt;&gt;"",IFERROR(INDEX(Income!B$3:B$502,SMALL(IF((Income!D$3:D$502="INR")*(Income!A$3:A$502=DATE(2026,11,19)),ROW(Income!A$3:A$502)-2),2)),""),""))</f>
        <v/>
      </c>
      <c r="K235" s="63" t="str">
        <f aca="false">IF(IFERROR(-INDEX(Expenses!D$3:D$1002,SMALL(IF((Expenses!E$3:E$1002="INR")*(Expenses!A$3:A$1002=DATE(2026,11,20)),ROW(Expenses!A$3:A$1002)-2),2)),0)+IFERROR(INDEX(Income!C$3:C$502,SMALL(IF((Income!D$3:D$502="INR")*(Income!A$3:A$502=DATE(2026,11,20)),ROW(Income!A$3:A$502)-2),2)),0)=0,"",IFERROR(-INDEX(Expenses!D$3:D$1002,SMALL(IF((Expenses!E$3:E$1002="INR")*(Expenses!A$3:A$1002=DATE(2026,11,20)),ROW(Expenses!A$3:A$1002)-2),2)),0)+IFERROR(INDEX(Income!C$3:C$502,SMALL(IF((Income!D$3:D$502="INR")*(Income!A$3:A$502=DATE(2026,11,20)),ROW(Income!A$3:A$502)-2),2)),0))</f>
        <v/>
      </c>
      <c r="L235" s="38" t="str">
        <f aca="false">IF(IFERROR(INDEX(Expenses!B$3:B$1002,SMALL(IF((Expenses!E$3:E$1002="INR")*(Expenses!A$3:A$1002=DATE(2026,11,20)),ROW(Expenses!A$3:A$1002)-2),2)),"")&lt;&gt;"",IFERROR(INDEX(Expenses!B$3:B$1002,SMALL(IF((Expenses!E$3:E$1002="INR")*(Expenses!A$3:A$1002=DATE(2026,11,20)),ROW(Expenses!A$3:A$1002)-2),2)),""),IF(IFERROR(INDEX(Income!B$3:B$502,SMALL(IF((Income!D$3:D$502="INR")*(Income!A$3:A$502=DATE(2026,11,20)),ROW(Income!A$3:A$502)-2),2)),"")&lt;&gt;"",IFERROR(INDEX(Income!B$3:B$502,SMALL(IF((Income!D$3:D$502="INR")*(Income!A$3:A$502=DATE(2026,11,20)),ROW(Income!A$3:A$502)-2),2)),""),""))</f>
        <v/>
      </c>
      <c r="M235" s="63" t="str">
        <f aca="false">IF(IFERROR(-INDEX(Expenses!D$3:D$1002,SMALL(IF((Expenses!E$3:E$1002="INR")*(Expenses!A$3:A$1002=DATE(2026,11,21)),ROW(Expenses!A$3:A$1002)-2),2)),0)+IFERROR(INDEX(Income!C$3:C$502,SMALL(IF((Income!D$3:D$502="INR")*(Income!A$3:A$502=DATE(2026,11,21)),ROW(Income!A$3:A$502)-2),2)),0)=0,"",IFERROR(-INDEX(Expenses!D$3:D$1002,SMALL(IF((Expenses!E$3:E$1002="INR")*(Expenses!A$3:A$1002=DATE(2026,11,21)),ROW(Expenses!A$3:A$1002)-2),2)),0)+IFERROR(INDEX(Income!C$3:C$502,SMALL(IF((Income!D$3:D$502="INR")*(Income!A$3:A$502=DATE(2026,11,21)),ROW(Income!A$3:A$502)-2),2)),0))</f>
        <v/>
      </c>
      <c r="N235" s="38" t="str">
        <f aca="false">IF(IFERROR(INDEX(Expenses!B$3:B$1002,SMALL(IF((Expenses!E$3:E$1002="INR")*(Expenses!A$3:A$1002=DATE(2026,11,21)),ROW(Expenses!A$3:A$1002)-2),2)),"")&lt;&gt;"",IFERROR(INDEX(Expenses!B$3:B$1002,SMALL(IF((Expenses!E$3:E$1002="INR")*(Expenses!A$3:A$1002=DATE(2026,11,21)),ROW(Expenses!A$3:A$1002)-2),2)),""),IF(IFERROR(INDEX(Income!B$3:B$502,SMALL(IF((Income!D$3:D$502="INR")*(Income!A$3:A$502=DATE(2026,11,21)),ROW(Income!A$3:A$502)-2),2)),"")&lt;&gt;"",IFERROR(INDEX(Income!B$3:B$502,SMALL(IF((Income!D$3:D$502="INR")*(Income!A$3:A$502=DATE(2026,11,21)),ROW(Income!A$3:A$502)-2),2)),""),""))</f>
        <v/>
      </c>
      <c r="O235" s="63" t="str">
        <f aca="false">IF(IFERROR(-INDEX(Expenses!D$3:D$1002,SMALL(IF((Expenses!E$3:E$1002="INR")*(Expenses!A$3:A$1002=DATE(2026,11,22)),ROW(Expenses!A$3:A$1002)-2),2)),0)+IFERROR(INDEX(Income!C$3:C$502,SMALL(IF((Income!D$3:D$502="INR")*(Income!A$3:A$502=DATE(2026,11,22)),ROW(Income!A$3:A$502)-2),2)),0)=0,"",IFERROR(-INDEX(Expenses!D$3:D$1002,SMALL(IF((Expenses!E$3:E$1002="INR")*(Expenses!A$3:A$1002=DATE(2026,11,22)),ROW(Expenses!A$3:A$1002)-2),2)),0)+IFERROR(INDEX(Income!C$3:C$502,SMALL(IF((Income!D$3:D$502="INR")*(Income!A$3:A$502=DATE(2026,11,22)),ROW(Income!A$3:A$502)-2),2)),0))</f>
        <v/>
      </c>
      <c r="P235" s="38" t="str">
        <f aca="false">IF(IFERROR(INDEX(Expenses!B$3:B$1002,SMALL(IF((Expenses!E$3:E$1002="INR")*(Expenses!A$3:A$1002=DATE(2026,11,22)),ROW(Expenses!A$3:A$1002)-2),2)),"")&lt;&gt;"",IFERROR(INDEX(Expenses!B$3:B$1002,SMALL(IF((Expenses!E$3:E$1002="INR")*(Expenses!A$3:A$1002=DATE(2026,11,22)),ROW(Expenses!A$3:A$1002)-2),2)),""),IF(IFERROR(INDEX(Income!B$3:B$502,SMALL(IF((Income!D$3:D$502="INR")*(Income!A$3:A$502=DATE(2026,11,22)),ROW(Income!A$3:A$502)-2),2)),"")&lt;&gt;"",IFERROR(INDEX(Income!B$3:B$502,SMALL(IF((Income!D$3:D$502="INR")*(Income!A$3:A$502=DATE(2026,11,22)),ROW(Income!A$3:A$502)-2),2)),""),""))</f>
        <v/>
      </c>
      <c r="Q235" s="16"/>
      <c r="R235" s="16"/>
    </row>
    <row r="236" customFormat="false" ht="15" hidden="false" customHeight="false" outlineLevel="0" collapsed="false">
      <c r="A236" s="16"/>
      <c r="B236" s="16"/>
      <c r="C236" s="63" t="str">
        <f aca="false">IF(IFERROR(-INDEX(Expenses!D$3:D$1002,SMALL(IF((Expenses!E$3:E$1002="INR")*(Expenses!A$3:A$1002=DATE(2026,11,16)),ROW(Expenses!A$3:A$1002)-2),3)),0)+IFERROR(INDEX(Income!C$3:C$502,SMALL(IF((Income!D$3:D$502="INR")*(Income!A$3:A$502=DATE(2026,11,16)),ROW(Income!A$3:A$502)-2),3)),0)=0,"",IFERROR(-INDEX(Expenses!D$3:D$1002,SMALL(IF((Expenses!E$3:E$1002="INR")*(Expenses!A$3:A$1002=DATE(2026,11,16)),ROW(Expenses!A$3:A$1002)-2),3)),0)+IFERROR(INDEX(Income!C$3:C$502,SMALL(IF((Income!D$3:D$502="INR")*(Income!A$3:A$502=DATE(2026,11,16)),ROW(Income!A$3:A$502)-2),3)),0))</f>
        <v/>
      </c>
      <c r="D236" s="38" t="str">
        <f aca="false">IF(IFERROR(INDEX(Expenses!B$3:B$1002,SMALL(IF((Expenses!E$3:E$1002="INR")*(Expenses!A$3:A$1002=DATE(2026,11,16)),ROW(Expenses!A$3:A$1002)-2),3)),"")&lt;&gt;"",IFERROR(INDEX(Expenses!B$3:B$1002,SMALL(IF((Expenses!E$3:E$1002="INR")*(Expenses!A$3:A$1002=DATE(2026,11,16)),ROW(Expenses!A$3:A$1002)-2),3)),""),IF(IFERROR(INDEX(Income!B$3:B$502,SMALL(IF((Income!D$3:D$502="INR")*(Income!A$3:A$502=DATE(2026,11,16)),ROW(Income!A$3:A$502)-2),3)),"")&lt;&gt;"",IFERROR(INDEX(Income!B$3:B$502,SMALL(IF((Income!D$3:D$502="INR")*(Income!A$3:A$502=DATE(2026,11,16)),ROW(Income!A$3:A$502)-2),3)),""),""))</f>
        <v/>
      </c>
      <c r="E236" s="63" t="str">
        <f aca="false">IF(IFERROR(-INDEX(Expenses!D$3:D$1002,SMALL(IF((Expenses!E$3:E$1002="INR")*(Expenses!A$3:A$1002=DATE(2026,11,17)),ROW(Expenses!A$3:A$1002)-2),3)),0)+IFERROR(INDEX(Income!C$3:C$502,SMALL(IF((Income!D$3:D$502="INR")*(Income!A$3:A$502=DATE(2026,11,17)),ROW(Income!A$3:A$502)-2),3)),0)=0,"",IFERROR(-INDEX(Expenses!D$3:D$1002,SMALL(IF((Expenses!E$3:E$1002="INR")*(Expenses!A$3:A$1002=DATE(2026,11,17)),ROW(Expenses!A$3:A$1002)-2),3)),0)+IFERROR(INDEX(Income!C$3:C$502,SMALL(IF((Income!D$3:D$502="INR")*(Income!A$3:A$502=DATE(2026,11,17)),ROW(Income!A$3:A$502)-2),3)),0))</f>
        <v/>
      </c>
      <c r="F236" s="38" t="str">
        <f aca="false">IF(IFERROR(INDEX(Expenses!B$3:B$1002,SMALL(IF((Expenses!E$3:E$1002="INR")*(Expenses!A$3:A$1002=DATE(2026,11,17)),ROW(Expenses!A$3:A$1002)-2),3)),"")&lt;&gt;"",IFERROR(INDEX(Expenses!B$3:B$1002,SMALL(IF((Expenses!E$3:E$1002="INR")*(Expenses!A$3:A$1002=DATE(2026,11,17)),ROW(Expenses!A$3:A$1002)-2),3)),""),IF(IFERROR(INDEX(Income!B$3:B$502,SMALL(IF((Income!D$3:D$502="INR")*(Income!A$3:A$502=DATE(2026,11,17)),ROW(Income!A$3:A$502)-2),3)),"")&lt;&gt;"",IFERROR(INDEX(Income!B$3:B$502,SMALL(IF((Income!D$3:D$502="INR")*(Income!A$3:A$502=DATE(2026,11,17)),ROW(Income!A$3:A$502)-2),3)),""),""))</f>
        <v/>
      </c>
      <c r="G236" s="63" t="str">
        <f aca="false">IF(IFERROR(-INDEX(Expenses!D$3:D$1002,SMALL(IF((Expenses!E$3:E$1002="INR")*(Expenses!A$3:A$1002=DATE(2026,11,18)),ROW(Expenses!A$3:A$1002)-2),3)),0)+IFERROR(INDEX(Income!C$3:C$502,SMALL(IF((Income!D$3:D$502="INR")*(Income!A$3:A$502=DATE(2026,11,18)),ROW(Income!A$3:A$502)-2),3)),0)=0,"",IFERROR(-INDEX(Expenses!D$3:D$1002,SMALL(IF((Expenses!E$3:E$1002="INR")*(Expenses!A$3:A$1002=DATE(2026,11,18)),ROW(Expenses!A$3:A$1002)-2),3)),0)+IFERROR(INDEX(Income!C$3:C$502,SMALL(IF((Income!D$3:D$502="INR")*(Income!A$3:A$502=DATE(2026,11,18)),ROW(Income!A$3:A$502)-2),3)),0))</f>
        <v/>
      </c>
      <c r="H236" s="38" t="str">
        <f aca="false">IF(IFERROR(INDEX(Expenses!B$3:B$1002,SMALL(IF((Expenses!E$3:E$1002="INR")*(Expenses!A$3:A$1002=DATE(2026,11,18)),ROW(Expenses!A$3:A$1002)-2),3)),"")&lt;&gt;"",IFERROR(INDEX(Expenses!B$3:B$1002,SMALL(IF((Expenses!E$3:E$1002="INR")*(Expenses!A$3:A$1002=DATE(2026,11,18)),ROW(Expenses!A$3:A$1002)-2),3)),""),IF(IFERROR(INDEX(Income!B$3:B$502,SMALL(IF((Income!D$3:D$502="INR")*(Income!A$3:A$502=DATE(2026,11,18)),ROW(Income!A$3:A$502)-2),3)),"")&lt;&gt;"",IFERROR(INDEX(Income!B$3:B$502,SMALL(IF((Income!D$3:D$502="INR")*(Income!A$3:A$502=DATE(2026,11,18)),ROW(Income!A$3:A$502)-2),3)),""),""))</f>
        <v/>
      </c>
      <c r="I236" s="63" t="str">
        <f aca="false">IF(IFERROR(-INDEX(Expenses!D$3:D$1002,SMALL(IF((Expenses!E$3:E$1002="INR")*(Expenses!A$3:A$1002=DATE(2026,11,19)),ROW(Expenses!A$3:A$1002)-2),3)),0)+IFERROR(INDEX(Income!C$3:C$502,SMALL(IF((Income!D$3:D$502="INR")*(Income!A$3:A$502=DATE(2026,11,19)),ROW(Income!A$3:A$502)-2),3)),0)=0,"",IFERROR(-INDEX(Expenses!D$3:D$1002,SMALL(IF((Expenses!E$3:E$1002="INR")*(Expenses!A$3:A$1002=DATE(2026,11,19)),ROW(Expenses!A$3:A$1002)-2),3)),0)+IFERROR(INDEX(Income!C$3:C$502,SMALL(IF((Income!D$3:D$502="INR")*(Income!A$3:A$502=DATE(2026,11,19)),ROW(Income!A$3:A$502)-2),3)),0))</f>
        <v/>
      </c>
      <c r="J236" s="38" t="str">
        <f aca="false">IF(IFERROR(INDEX(Expenses!B$3:B$1002,SMALL(IF((Expenses!E$3:E$1002="INR")*(Expenses!A$3:A$1002=DATE(2026,11,19)),ROW(Expenses!A$3:A$1002)-2),3)),"")&lt;&gt;"",IFERROR(INDEX(Expenses!B$3:B$1002,SMALL(IF((Expenses!E$3:E$1002="INR")*(Expenses!A$3:A$1002=DATE(2026,11,19)),ROW(Expenses!A$3:A$1002)-2),3)),""),IF(IFERROR(INDEX(Income!B$3:B$502,SMALL(IF((Income!D$3:D$502="INR")*(Income!A$3:A$502=DATE(2026,11,19)),ROW(Income!A$3:A$502)-2),3)),"")&lt;&gt;"",IFERROR(INDEX(Income!B$3:B$502,SMALL(IF((Income!D$3:D$502="INR")*(Income!A$3:A$502=DATE(2026,11,19)),ROW(Income!A$3:A$502)-2),3)),""),""))</f>
        <v/>
      </c>
      <c r="K236" s="63" t="str">
        <f aca="false">IF(IFERROR(-INDEX(Expenses!D$3:D$1002,SMALL(IF((Expenses!E$3:E$1002="INR")*(Expenses!A$3:A$1002=DATE(2026,11,20)),ROW(Expenses!A$3:A$1002)-2),3)),0)+IFERROR(INDEX(Income!C$3:C$502,SMALL(IF((Income!D$3:D$502="INR")*(Income!A$3:A$502=DATE(2026,11,20)),ROW(Income!A$3:A$502)-2),3)),0)=0,"",IFERROR(-INDEX(Expenses!D$3:D$1002,SMALL(IF((Expenses!E$3:E$1002="INR")*(Expenses!A$3:A$1002=DATE(2026,11,20)),ROW(Expenses!A$3:A$1002)-2),3)),0)+IFERROR(INDEX(Income!C$3:C$502,SMALL(IF((Income!D$3:D$502="INR")*(Income!A$3:A$502=DATE(2026,11,20)),ROW(Income!A$3:A$502)-2),3)),0))</f>
        <v/>
      </c>
      <c r="L236" s="38" t="str">
        <f aca="false">IF(IFERROR(INDEX(Expenses!B$3:B$1002,SMALL(IF((Expenses!E$3:E$1002="INR")*(Expenses!A$3:A$1002=DATE(2026,11,20)),ROW(Expenses!A$3:A$1002)-2),3)),"")&lt;&gt;"",IFERROR(INDEX(Expenses!B$3:B$1002,SMALL(IF((Expenses!E$3:E$1002="INR")*(Expenses!A$3:A$1002=DATE(2026,11,20)),ROW(Expenses!A$3:A$1002)-2),3)),""),IF(IFERROR(INDEX(Income!B$3:B$502,SMALL(IF((Income!D$3:D$502="INR")*(Income!A$3:A$502=DATE(2026,11,20)),ROW(Income!A$3:A$502)-2),3)),"")&lt;&gt;"",IFERROR(INDEX(Income!B$3:B$502,SMALL(IF((Income!D$3:D$502="INR")*(Income!A$3:A$502=DATE(2026,11,20)),ROW(Income!A$3:A$502)-2),3)),""),""))</f>
        <v/>
      </c>
      <c r="M236" s="63" t="str">
        <f aca="false">IF(IFERROR(-INDEX(Expenses!D$3:D$1002,SMALL(IF((Expenses!E$3:E$1002="INR")*(Expenses!A$3:A$1002=DATE(2026,11,21)),ROW(Expenses!A$3:A$1002)-2),3)),0)+IFERROR(INDEX(Income!C$3:C$502,SMALL(IF((Income!D$3:D$502="INR")*(Income!A$3:A$502=DATE(2026,11,21)),ROW(Income!A$3:A$502)-2),3)),0)=0,"",IFERROR(-INDEX(Expenses!D$3:D$1002,SMALL(IF((Expenses!E$3:E$1002="INR")*(Expenses!A$3:A$1002=DATE(2026,11,21)),ROW(Expenses!A$3:A$1002)-2),3)),0)+IFERROR(INDEX(Income!C$3:C$502,SMALL(IF((Income!D$3:D$502="INR")*(Income!A$3:A$502=DATE(2026,11,21)),ROW(Income!A$3:A$502)-2),3)),0))</f>
        <v/>
      </c>
      <c r="N236" s="38" t="str">
        <f aca="false">IF(IFERROR(INDEX(Expenses!B$3:B$1002,SMALL(IF((Expenses!E$3:E$1002="INR")*(Expenses!A$3:A$1002=DATE(2026,11,21)),ROW(Expenses!A$3:A$1002)-2),3)),"")&lt;&gt;"",IFERROR(INDEX(Expenses!B$3:B$1002,SMALL(IF((Expenses!E$3:E$1002="INR")*(Expenses!A$3:A$1002=DATE(2026,11,21)),ROW(Expenses!A$3:A$1002)-2),3)),""),IF(IFERROR(INDEX(Income!B$3:B$502,SMALL(IF((Income!D$3:D$502="INR")*(Income!A$3:A$502=DATE(2026,11,21)),ROW(Income!A$3:A$502)-2),3)),"")&lt;&gt;"",IFERROR(INDEX(Income!B$3:B$502,SMALL(IF((Income!D$3:D$502="INR")*(Income!A$3:A$502=DATE(2026,11,21)),ROW(Income!A$3:A$502)-2),3)),""),""))</f>
        <v/>
      </c>
      <c r="O236" s="63" t="str">
        <f aca="false">IF(IFERROR(-INDEX(Expenses!D$3:D$1002,SMALL(IF((Expenses!E$3:E$1002="INR")*(Expenses!A$3:A$1002=DATE(2026,11,22)),ROW(Expenses!A$3:A$1002)-2),3)),0)+IFERROR(INDEX(Income!C$3:C$502,SMALL(IF((Income!D$3:D$502="INR")*(Income!A$3:A$502=DATE(2026,11,22)),ROW(Income!A$3:A$502)-2),3)),0)=0,"",IFERROR(-INDEX(Expenses!D$3:D$1002,SMALL(IF((Expenses!E$3:E$1002="INR")*(Expenses!A$3:A$1002=DATE(2026,11,22)),ROW(Expenses!A$3:A$1002)-2),3)),0)+IFERROR(INDEX(Income!C$3:C$502,SMALL(IF((Income!D$3:D$502="INR")*(Income!A$3:A$502=DATE(2026,11,22)),ROW(Income!A$3:A$502)-2),3)),0))</f>
        <v/>
      </c>
      <c r="P236" s="38" t="str">
        <f aca="false">IF(IFERROR(INDEX(Expenses!B$3:B$1002,SMALL(IF((Expenses!E$3:E$1002="INR")*(Expenses!A$3:A$1002=DATE(2026,11,22)),ROW(Expenses!A$3:A$1002)-2),3)),"")&lt;&gt;"",IFERROR(INDEX(Expenses!B$3:B$1002,SMALL(IF((Expenses!E$3:E$1002="INR")*(Expenses!A$3:A$1002=DATE(2026,11,22)),ROW(Expenses!A$3:A$1002)-2),3)),""),IF(IFERROR(INDEX(Income!B$3:B$502,SMALL(IF((Income!D$3:D$502="INR")*(Income!A$3:A$502=DATE(2026,11,22)),ROW(Income!A$3:A$502)-2),3)),"")&lt;&gt;"",IFERROR(INDEX(Income!B$3:B$502,SMALL(IF((Income!D$3:D$502="INR")*(Income!A$3:A$502=DATE(2026,11,22)),ROW(Income!A$3:A$502)-2),3)),""),""))</f>
        <v/>
      </c>
      <c r="Q236" s="16"/>
      <c r="R236" s="16"/>
    </row>
    <row r="237" customFormat="false" ht="15" hidden="false" customHeight="false" outlineLevel="0" collapsed="false">
      <c r="A237" s="16"/>
      <c r="B237" s="16"/>
      <c r="C237" s="63" t="str">
        <f aca="false">IF(IFERROR(-INDEX(Expenses!D$3:D$1002,SMALL(IF((Expenses!E$3:E$1002="INR")*(Expenses!A$3:A$1002=DATE(2026,11,16)),ROW(Expenses!A$3:A$1002)-2),4)),0)+IFERROR(INDEX(Income!C$3:C$502,SMALL(IF((Income!D$3:D$502="INR")*(Income!A$3:A$502=DATE(2026,11,16)),ROW(Income!A$3:A$502)-2),4)),0)=0,"",IFERROR(-INDEX(Expenses!D$3:D$1002,SMALL(IF((Expenses!E$3:E$1002="INR")*(Expenses!A$3:A$1002=DATE(2026,11,16)),ROW(Expenses!A$3:A$1002)-2),4)),0)+IFERROR(INDEX(Income!C$3:C$502,SMALL(IF((Income!D$3:D$502="INR")*(Income!A$3:A$502=DATE(2026,11,16)),ROW(Income!A$3:A$502)-2),4)),0))</f>
        <v/>
      </c>
      <c r="D237" s="38" t="str">
        <f aca="false">IF(IFERROR(INDEX(Expenses!B$3:B$1002,SMALL(IF((Expenses!E$3:E$1002="INR")*(Expenses!A$3:A$1002=DATE(2026,11,16)),ROW(Expenses!A$3:A$1002)-2),4)),"")&lt;&gt;"",IFERROR(INDEX(Expenses!B$3:B$1002,SMALL(IF((Expenses!E$3:E$1002="INR")*(Expenses!A$3:A$1002=DATE(2026,11,16)),ROW(Expenses!A$3:A$1002)-2),4)),""),IF(IFERROR(INDEX(Income!B$3:B$502,SMALL(IF((Income!D$3:D$502="INR")*(Income!A$3:A$502=DATE(2026,11,16)),ROW(Income!A$3:A$502)-2),4)),"")&lt;&gt;"",IFERROR(INDEX(Income!B$3:B$502,SMALL(IF((Income!D$3:D$502="INR")*(Income!A$3:A$502=DATE(2026,11,16)),ROW(Income!A$3:A$502)-2),4)),""),""))</f>
        <v/>
      </c>
      <c r="E237" s="63" t="str">
        <f aca="false">IF(IFERROR(-INDEX(Expenses!D$3:D$1002,SMALL(IF((Expenses!E$3:E$1002="INR")*(Expenses!A$3:A$1002=DATE(2026,11,17)),ROW(Expenses!A$3:A$1002)-2),4)),0)+IFERROR(INDEX(Income!C$3:C$502,SMALL(IF((Income!D$3:D$502="INR")*(Income!A$3:A$502=DATE(2026,11,17)),ROW(Income!A$3:A$502)-2),4)),0)=0,"",IFERROR(-INDEX(Expenses!D$3:D$1002,SMALL(IF((Expenses!E$3:E$1002="INR")*(Expenses!A$3:A$1002=DATE(2026,11,17)),ROW(Expenses!A$3:A$1002)-2),4)),0)+IFERROR(INDEX(Income!C$3:C$502,SMALL(IF((Income!D$3:D$502="INR")*(Income!A$3:A$502=DATE(2026,11,17)),ROW(Income!A$3:A$502)-2),4)),0))</f>
        <v/>
      </c>
      <c r="F237" s="38" t="str">
        <f aca="false">IF(IFERROR(INDEX(Expenses!B$3:B$1002,SMALL(IF((Expenses!E$3:E$1002="INR")*(Expenses!A$3:A$1002=DATE(2026,11,17)),ROW(Expenses!A$3:A$1002)-2),4)),"")&lt;&gt;"",IFERROR(INDEX(Expenses!B$3:B$1002,SMALL(IF((Expenses!E$3:E$1002="INR")*(Expenses!A$3:A$1002=DATE(2026,11,17)),ROW(Expenses!A$3:A$1002)-2),4)),""),IF(IFERROR(INDEX(Income!B$3:B$502,SMALL(IF((Income!D$3:D$502="INR")*(Income!A$3:A$502=DATE(2026,11,17)),ROW(Income!A$3:A$502)-2),4)),"")&lt;&gt;"",IFERROR(INDEX(Income!B$3:B$502,SMALL(IF((Income!D$3:D$502="INR")*(Income!A$3:A$502=DATE(2026,11,17)),ROW(Income!A$3:A$502)-2),4)),""),""))</f>
        <v/>
      </c>
      <c r="G237" s="63" t="str">
        <f aca="false">IF(IFERROR(-INDEX(Expenses!D$3:D$1002,SMALL(IF((Expenses!E$3:E$1002="INR")*(Expenses!A$3:A$1002=DATE(2026,11,18)),ROW(Expenses!A$3:A$1002)-2),4)),0)+IFERROR(INDEX(Income!C$3:C$502,SMALL(IF((Income!D$3:D$502="INR")*(Income!A$3:A$502=DATE(2026,11,18)),ROW(Income!A$3:A$502)-2),4)),0)=0,"",IFERROR(-INDEX(Expenses!D$3:D$1002,SMALL(IF((Expenses!E$3:E$1002="INR")*(Expenses!A$3:A$1002=DATE(2026,11,18)),ROW(Expenses!A$3:A$1002)-2),4)),0)+IFERROR(INDEX(Income!C$3:C$502,SMALL(IF((Income!D$3:D$502="INR")*(Income!A$3:A$502=DATE(2026,11,18)),ROW(Income!A$3:A$502)-2),4)),0))</f>
        <v/>
      </c>
      <c r="H237" s="38" t="str">
        <f aca="false">IF(IFERROR(INDEX(Expenses!B$3:B$1002,SMALL(IF((Expenses!E$3:E$1002="INR")*(Expenses!A$3:A$1002=DATE(2026,11,18)),ROW(Expenses!A$3:A$1002)-2),4)),"")&lt;&gt;"",IFERROR(INDEX(Expenses!B$3:B$1002,SMALL(IF((Expenses!E$3:E$1002="INR")*(Expenses!A$3:A$1002=DATE(2026,11,18)),ROW(Expenses!A$3:A$1002)-2),4)),""),IF(IFERROR(INDEX(Income!B$3:B$502,SMALL(IF((Income!D$3:D$502="INR")*(Income!A$3:A$502=DATE(2026,11,18)),ROW(Income!A$3:A$502)-2),4)),"")&lt;&gt;"",IFERROR(INDEX(Income!B$3:B$502,SMALL(IF((Income!D$3:D$502="INR")*(Income!A$3:A$502=DATE(2026,11,18)),ROW(Income!A$3:A$502)-2),4)),""),""))</f>
        <v/>
      </c>
      <c r="I237" s="63" t="str">
        <f aca="false">IF(IFERROR(-INDEX(Expenses!D$3:D$1002,SMALL(IF((Expenses!E$3:E$1002="INR")*(Expenses!A$3:A$1002=DATE(2026,11,19)),ROW(Expenses!A$3:A$1002)-2),4)),0)+IFERROR(INDEX(Income!C$3:C$502,SMALL(IF((Income!D$3:D$502="INR")*(Income!A$3:A$502=DATE(2026,11,19)),ROW(Income!A$3:A$502)-2),4)),0)=0,"",IFERROR(-INDEX(Expenses!D$3:D$1002,SMALL(IF((Expenses!E$3:E$1002="INR")*(Expenses!A$3:A$1002=DATE(2026,11,19)),ROW(Expenses!A$3:A$1002)-2),4)),0)+IFERROR(INDEX(Income!C$3:C$502,SMALL(IF((Income!D$3:D$502="INR")*(Income!A$3:A$502=DATE(2026,11,19)),ROW(Income!A$3:A$502)-2),4)),0))</f>
        <v/>
      </c>
      <c r="J237" s="38" t="str">
        <f aca="false">IF(IFERROR(INDEX(Expenses!B$3:B$1002,SMALL(IF((Expenses!E$3:E$1002="INR")*(Expenses!A$3:A$1002=DATE(2026,11,19)),ROW(Expenses!A$3:A$1002)-2),4)),"")&lt;&gt;"",IFERROR(INDEX(Expenses!B$3:B$1002,SMALL(IF((Expenses!E$3:E$1002="INR")*(Expenses!A$3:A$1002=DATE(2026,11,19)),ROW(Expenses!A$3:A$1002)-2),4)),""),IF(IFERROR(INDEX(Income!B$3:B$502,SMALL(IF((Income!D$3:D$502="INR")*(Income!A$3:A$502=DATE(2026,11,19)),ROW(Income!A$3:A$502)-2),4)),"")&lt;&gt;"",IFERROR(INDEX(Income!B$3:B$502,SMALL(IF((Income!D$3:D$502="INR")*(Income!A$3:A$502=DATE(2026,11,19)),ROW(Income!A$3:A$502)-2),4)),""),""))</f>
        <v/>
      </c>
      <c r="K237" s="63" t="str">
        <f aca="false">IF(IFERROR(-INDEX(Expenses!D$3:D$1002,SMALL(IF((Expenses!E$3:E$1002="INR")*(Expenses!A$3:A$1002=DATE(2026,11,20)),ROW(Expenses!A$3:A$1002)-2),4)),0)+IFERROR(INDEX(Income!C$3:C$502,SMALL(IF((Income!D$3:D$502="INR")*(Income!A$3:A$502=DATE(2026,11,20)),ROW(Income!A$3:A$502)-2),4)),0)=0,"",IFERROR(-INDEX(Expenses!D$3:D$1002,SMALL(IF((Expenses!E$3:E$1002="INR")*(Expenses!A$3:A$1002=DATE(2026,11,20)),ROW(Expenses!A$3:A$1002)-2),4)),0)+IFERROR(INDEX(Income!C$3:C$502,SMALL(IF((Income!D$3:D$502="INR")*(Income!A$3:A$502=DATE(2026,11,20)),ROW(Income!A$3:A$502)-2),4)),0))</f>
        <v/>
      </c>
      <c r="L237" s="38" t="str">
        <f aca="false">IF(IFERROR(INDEX(Expenses!B$3:B$1002,SMALL(IF((Expenses!E$3:E$1002="INR")*(Expenses!A$3:A$1002=DATE(2026,11,20)),ROW(Expenses!A$3:A$1002)-2),4)),"")&lt;&gt;"",IFERROR(INDEX(Expenses!B$3:B$1002,SMALL(IF((Expenses!E$3:E$1002="INR")*(Expenses!A$3:A$1002=DATE(2026,11,20)),ROW(Expenses!A$3:A$1002)-2),4)),""),IF(IFERROR(INDEX(Income!B$3:B$502,SMALL(IF((Income!D$3:D$502="INR")*(Income!A$3:A$502=DATE(2026,11,20)),ROW(Income!A$3:A$502)-2),4)),"")&lt;&gt;"",IFERROR(INDEX(Income!B$3:B$502,SMALL(IF((Income!D$3:D$502="INR")*(Income!A$3:A$502=DATE(2026,11,20)),ROW(Income!A$3:A$502)-2),4)),""),""))</f>
        <v/>
      </c>
      <c r="M237" s="63" t="str">
        <f aca="false">IF(IFERROR(-INDEX(Expenses!D$3:D$1002,SMALL(IF((Expenses!E$3:E$1002="INR")*(Expenses!A$3:A$1002=DATE(2026,11,21)),ROW(Expenses!A$3:A$1002)-2),4)),0)+IFERROR(INDEX(Income!C$3:C$502,SMALL(IF((Income!D$3:D$502="INR")*(Income!A$3:A$502=DATE(2026,11,21)),ROW(Income!A$3:A$502)-2),4)),0)=0,"",IFERROR(-INDEX(Expenses!D$3:D$1002,SMALL(IF((Expenses!E$3:E$1002="INR")*(Expenses!A$3:A$1002=DATE(2026,11,21)),ROW(Expenses!A$3:A$1002)-2),4)),0)+IFERROR(INDEX(Income!C$3:C$502,SMALL(IF((Income!D$3:D$502="INR")*(Income!A$3:A$502=DATE(2026,11,21)),ROW(Income!A$3:A$502)-2),4)),0))</f>
        <v/>
      </c>
      <c r="N237" s="38" t="str">
        <f aca="false">IF(IFERROR(INDEX(Expenses!B$3:B$1002,SMALL(IF((Expenses!E$3:E$1002="INR")*(Expenses!A$3:A$1002=DATE(2026,11,21)),ROW(Expenses!A$3:A$1002)-2),4)),"")&lt;&gt;"",IFERROR(INDEX(Expenses!B$3:B$1002,SMALL(IF((Expenses!E$3:E$1002="INR")*(Expenses!A$3:A$1002=DATE(2026,11,21)),ROW(Expenses!A$3:A$1002)-2),4)),""),IF(IFERROR(INDEX(Income!B$3:B$502,SMALL(IF((Income!D$3:D$502="INR")*(Income!A$3:A$502=DATE(2026,11,21)),ROW(Income!A$3:A$502)-2),4)),"")&lt;&gt;"",IFERROR(INDEX(Income!B$3:B$502,SMALL(IF((Income!D$3:D$502="INR")*(Income!A$3:A$502=DATE(2026,11,21)),ROW(Income!A$3:A$502)-2),4)),""),""))</f>
        <v/>
      </c>
      <c r="O237" s="63" t="str">
        <f aca="false">IF(IFERROR(-INDEX(Expenses!D$3:D$1002,SMALL(IF((Expenses!E$3:E$1002="INR")*(Expenses!A$3:A$1002=DATE(2026,11,22)),ROW(Expenses!A$3:A$1002)-2),4)),0)+IFERROR(INDEX(Income!C$3:C$502,SMALL(IF((Income!D$3:D$502="INR")*(Income!A$3:A$502=DATE(2026,11,22)),ROW(Income!A$3:A$502)-2),4)),0)=0,"",IFERROR(-INDEX(Expenses!D$3:D$1002,SMALL(IF((Expenses!E$3:E$1002="INR")*(Expenses!A$3:A$1002=DATE(2026,11,22)),ROW(Expenses!A$3:A$1002)-2),4)),0)+IFERROR(INDEX(Income!C$3:C$502,SMALL(IF((Income!D$3:D$502="INR")*(Income!A$3:A$502=DATE(2026,11,22)),ROW(Income!A$3:A$502)-2),4)),0))</f>
        <v/>
      </c>
      <c r="P237" s="38" t="str">
        <f aca="false">IF(IFERROR(INDEX(Expenses!B$3:B$1002,SMALL(IF((Expenses!E$3:E$1002="INR")*(Expenses!A$3:A$1002=DATE(2026,11,22)),ROW(Expenses!A$3:A$1002)-2),4)),"")&lt;&gt;"",IFERROR(INDEX(Expenses!B$3:B$1002,SMALL(IF((Expenses!E$3:E$1002="INR")*(Expenses!A$3:A$1002=DATE(2026,11,22)),ROW(Expenses!A$3:A$1002)-2),4)),""),IF(IFERROR(INDEX(Income!B$3:B$502,SMALL(IF((Income!D$3:D$502="INR")*(Income!A$3:A$502=DATE(2026,11,22)),ROW(Income!A$3:A$502)-2),4)),"")&lt;&gt;"",IFERROR(INDEX(Income!B$3:B$502,SMALL(IF((Income!D$3:D$502="INR")*(Income!A$3:A$502=DATE(2026,11,22)),ROW(Income!A$3:A$502)-2),4)),""),""))</f>
        <v/>
      </c>
      <c r="Q237" s="16"/>
      <c r="R237" s="16"/>
    </row>
    <row r="238" customFormat="false" ht="15" hidden="false" customHeight="false" outlineLevel="0" collapsed="false">
      <c r="A238" s="16"/>
      <c r="B238" s="16"/>
      <c r="C238" s="63" t="str">
        <f aca="false">IF(IFERROR(-INDEX(Expenses!D$3:D$1002,SMALL(IF((Expenses!E$3:E$1002="INR")*(Expenses!A$3:A$1002=DATE(2026,11,16)),ROW(Expenses!A$3:A$1002)-2),5)),0)+IFERROR(INDEX(Income!C$3:C$502,SMALL(IF((Income!D$3:D$502="INR")*(Income!A$3:A$502=DATE(2026,11,16)),ROW(Income!A$3:A$502)-2),5)),0)=0,"",IFERROR(-INDEX(Expenses!D$3:D$1002,SMALL(IF((Expenses!E$3:E$1002="INR")*(Expenses!A$3:A$1002=DATE(2026,11,16)),ROW(Expenses!A$3:A$1002)-2),5)),0)+IFERROR(INDEX(Income!C$3:C$502,SMALL(IF((Income!D$3:D$502="INR")*(Income!A$3:A$502=DATE(2026,11,16)),ROW(Income!A$3:A$502)-2),5)),0))</f>
        <v/>
      </c>
      <c r="D238" s="38" t="str">
        <f aca="false">IF(IFERROR(INDEX(Expenses!B$3:B$1002,SMALL(IF((Expenses!E$3:E$1002="INR")*(Expenses!A$3:A$1002=DATE(2026,11,16)),ROW(Expenses!A$3:A$1002)-2),5)),"")&lt;&gt;"",IFERROR(INDEX(Expenses!B$3:B$1002,SMALL(IF((Expenses!E$3:E$1002="INR")*(Expenses!A$3:A$1002=DATE(2026,11,16)),ROW(Expenses!A$3:A$1002)-2),5)),""),IF(IFERROR(INDEX(Income!B$3:B$502,SMALL(IF((Income!D$3:D$502="INR")*(Income!A$3:A$502=DATE(2026,11,16)),ROW(Income!A$3:A$502)-2),5)),"")&lt;&gt;"",IFERROR(INDEX(Income!B$3:B$502,SMALL(IF((Income!D$3:D$502="INR")*(Income!A$3:A$502=DATE(2026,11,16)),ROW(Income!A$3:A$502)-2),5)),""),""))</f>
        <v/>
      </c>
      <c r="E238" s="63" t="str">
        <f aca="false">IF(IFERROR(-INDEX(Expenses!D$3:D$1002,SMALL(IF((Expenses!E$3:E$1002="INR")*(Expenses!A$3:A$1002=DATE(2026,11,17)),ROW(Expenses!A$3:A$1002)-2),5)),0)+IFERROR(INDEX(Income!C$3:C$502,SMALL(IF((Income!D$3:D$502="INR")*(Income!A$3:A$502=DATE(2026,11,17)),ROW(Income!A$3:A$502)-2),5)),0)=0,"",IFERROR(-INDEX(Expenses!D$3:D$1002,SMALL(IF((Expenses!E$3:E$1002="INR")*(Expenses!A$3:A$1002=DATE(2026,11,17)),ROW(Expenses!A$3:A$1002)-2),5)),0)+IFERROR(INDEX(Income!C$3:C$502,SMALL(IF((Income!D$3:D$502="INR")*(Income!A$3:A$502=DATE(2026,11,17)),ROW(Income!A$3:A$502)-2),5)),0))</f>
        <v/>
      </c>
      <c r="F238" s="38" t="str">
        <f aca="false">IF(IFERROR(INDEX(Expenses!B$3:B$1002,SMALL(IF((Expenses!E$3:E$1002="INR")*(Expenses!A$3:A$1002=DATE(2026,11,17)),ROW(Expenses!A$3:A$1002)-2),5)),"")&lt;&gt;"",IFERROR(INDEX(Expenses!B$3:B$1002,SMALL(IF((Expenses!E$3:E$1002="INR")*(Expenses!A$3:A$1002=DATE(2026,11,17)),ROW(Expenses!A$3:A$1002)-2),5)),""),IF(IFERROR(INDEX(Income!B$3:B$502,SMALL(IF((Income!D$3:D$502="INR")*(Income!A$3:A$502=DATE(2026,11,17)),ROW(Income!A$3:A$502)-2),5)),"")&lt;&gt;"",IFERROR(INDEX(Income!B$3:B$502,SMALL(IF((Income!D$3:D$502="INR")*(Income!A$3:A$502=DATE(2026,11,17)),ROW(Income!A$3:A$502)-2),5)),""),""))</f>
        <v/>
      </c>
      <c r="G238" s="63" t="str">
        <f aca="false">IF(IFERROR(-INDEX(Expenses!D$3:D$1002,SMALL(IF((Expenses!E$3:E$1002="INR")*(Expenses!A$3:A$1002=DATE(2026,11,18)),ROW(Expenses!A$3:A$1002)-2),5)),0)+IFERROR(INDEX(Income!C$3:C$502,SMALL(IF((Income!D$3:D$502="INR")*(Income!A$3:A$502=DATE(2026,11,18)),ROW(Income!A$3:A$502)-2),5)),0)=0,"",IFERROR(-INDEX(Expenses!D$3:D$1002,SMALL(IF((Expenses!E$3:E$1002="INR")*(Expenses!A$3:A$1002=DATE(2026,11,18)),ROW(Expenses!A$3:A$1002)-2),5)),0)+IFERROR(INDEX(Income!C$3:C$502,SMALL(IF((Income!D$3:D$502="INR")*(Income!A$3:A$502=DATE(2026,11,18)),ROW(Income!A$3:A$502)-2),5)),0))</f>
        <v/>
      </c>
      <c r="H238" s="38" t="str">
        <f aca="false">IF(IFERROR(INDEX(Expenses!B$3:B$1002,SMALL(IF((Expenses!E$3:E$1002="INR")*(Expenses!A$3:A$1002=DATE(2026,11,18)),ROW(Expenses!A$3:A$1002)-2),5)),"")&lt;&gt;"",IFERROR(INDEX(Expenses!B$3:B$1002,SMALL(IF((Expenses!E$3:E$1002="INR")*(Expenses!A$3:A$1002=DATE(2026,11,18)),ROW(Expenses!A$3:A$1002)-2),5)),""),IF(IFERROR(INDEX(Income!B$3:B$502,SMALL(IF((Income!D$3:D$502="INR")*(Income!A$3:A$502=DATE(2026,11,18)),ROW(Income!A$3:A$502)-2),5)),"")&lt;&gt;"",IFERROR(INDEX(Income!B$3:B$502,SMALL(IF((Income!D$3:D$502="INR")*(Income!A$3:A$502=DATE(2026,11,18)),ROW(Income!A$3:A$502)-2),5)),""),""))</f>
        <v/>
      </c>
      <c r="I238" s="63" t="str">
        <f aca="false">IF(IFERROR(-INDEX(Expenses!D$3:D$1002,SMALL(IF((Expenses!E$3:E$1002="INR")*(Expenses!A$3:A$1002=DATE(2026,11,19)),ROW(Expenses!A$3:A$1002)-2),5)),0)+IFERROR(INDEX(Income!C$3:C$502,SMALL(IF((Income!D$3:D$502="INR")*(Income!A$3:A$502=DATE(2026,11,19)),ROW(Income!A$3:A$502)-2),5)),0)=0,"",IFERROR(-INDEX(Expenses!D$3:D$1002,SMALL(IF((Expenses!E$3:E$1002="INR")*(Expenses!A$3:A$1002=DATE(2026,11,19)),ROW(Expenses!A$3:A$1002)-2),5)),0)+IFERROR(INDEX(Income!C$3:C$502,SMALL(IF((Income!D$3:D$502="INR")*(Income!A$3:A$502=DATE(2026,11,19)),ROW(Income!A$3:A$502)-2),5)),0))</f>
        <v/>
      </c>
      <c r="J238" s="38" t="str">
        <f aca="false">IF(IFERROR(INDEX(Expenses!B$3:B$1002,SMALL(IF((Expenses!E$3:E$1002="INR")*(Expenses!A$3:A$1002=DATE(2026,11,19)),ROW(Expenses!A$3:A$1002)-2),5)),"")&lt;&gt;"",IFERROR(INDEX(Expenses!B$3:B$1002,SMALL(IF((Expenses!E$3:E$1002="INR")*(Expenses!A$3:A$1002=DATE(2026,11,19)),ROW(Expenses!A$3:A$1002)-2),5)),""),IF(IFERROR(INDEX(Income!B$3:B$502,SMALL(IF((Income!D$3:D$502="INR")*(Income!A$3:A$502=DATE(2026,11,19)),ROW(Income!A$3:A$502)-2),5)),"")&lt;&gt;"",IFERROR(INDEX(Income!B$3:B$502,SMALL(IF((Income!D$3:D$502="INR")*(Income!A$3:A$502=DATE(2026,11,19)),ROW(Income!A$3:A$502)-2),5)),""),""))</f>
        <v/>
      </c>
      <c r="K238" s="63" t="str">
        <f aca="false">IF(IFERROR(-INDEX(Expenses!D$3:D$1002,SMALL(IF((Expenses!E$3:E$1002="INR")*(Expenses!A$3:A$1002=DATE(2026,11,20)),ROW(Expenses!A$3:A$1002)-2),5)),0)+IFERROR(INDEX(Income!C$3:C$502,SMALL(IF((Income!D$3:D$502="INR")*(Income!A$3:A$502=DATE(2026,11,20)),ROW(Income!A$3:A$502)-2),5)),0)=0,"",IFERROR(-INDEX(Expenses!D$3:D$1002,SMALL(IF((Expenses!E$3:E$1002="INR")*(Expenses!A$3:A$1002=DATE(2026,11,20)),ROW(Expenses!A$3:A$1002)-2),5)),0)+IFERROR(INDEX(Income!C$3:C$502,SMALL(IF((Income!D$3:D$502="INR")*(Income!A$3:A$502=DATE(2026,11,20)),ROW(Income!A$3:A$502)-2),5)),0))</f>
        <v/>
      </c>
      <c r="L238" s="38" t="str">
        <f aca="false">IF(IFERROR(INDEX(Expenses!B$3:B$1002,SMALL(IF((Expenses!E$3:E$1002="INR")*(Expenses!A$3:A$1002=DATE(2026,11,20)),ROW(Expenses!A$3:A$1002)-2),5)),"")&lt;&gt;"",IFERROR(INDEX(Expenses!B$3:B$1002,SMALL(IF((Expenses!E$3:E$1002="INR")*(Expenses!A$3:A$1002=DATE(2026,11,20)),ROW(Expenses!A$3:A$1002)-2),5)),""),IF(IFERROR(INDEX(Income!B$3:B$502,SMALL(IF((Income!D$3:D$502="INR")*(Income!A$3:A$502=DATE(2026,11,20)),ROW(Income!A$3:A$502)-2),5)),"")&lt;&gt;"",IFERROR(INDEX(Income!B$3:B$502,SMALL(IF((Income!D$3:D$502="INR")*(Income!A$3:A$502=DATE(2026,11,20)),ROW(Income!A$3:A$502)-2),5)),""),""))</f>
        <v/>
      </c>
      <c r="M238" s="63" t="str">
        <f aca="false">IF(IFERROR(-INDEX(Expenses!D$3:D$1002,SMALL(IF((Expenses!E$3:E$1002="INR")*(Expenses!A$3:A$1002=DATE(2026,11,21)),ROW(Expenses!A$3:A$1002)-2),5)),0)+IFERROR(INDEX(Income!C$3:C$502,SMALL(IF((Income!D$3:D$502="INR")*(Income!A$3:A$502=DATE(2026,11,21)),ROW(Income!A$3:A$502)-2),5)),0)=0,"",IFERROR(-INDEX(Expenses!D$3:D$1002,SMALL(IF((Expenses!E$3:E$1002="INR")*(Expenses!A$3:A$1002=DATE(2026,11,21)),ROW(Expenses!A$3:A$1002)-2),5)),0)+IFERROR(INDEX(Income!C$3:C$502,SMALL(IF((Income!D$3:D$502="INR")*(Income!A$3:A$502=DATE(2026,11,21)),ROW(Income!A$3:A$502)-2),5)),0))</f>
        <v/>
      </c>
      <c r="N238" s="38" t="str">
        <f aca="false">IF(IFERROR(INDEX(Expenses!B$3:B$1002,SMALL(IF((Expenses!E$3:E$1002="INR")*(Expenses!A$3:A$1002=DATE(2026,11,21)),ROW(Expenses!A$3:A$1002)-2),5)),"")&lt;&gt;"",IFERROR(INDEX(Expenses!B$3:B$1002,SMALL(IF((Expenses!E$3:E$1002="INR")*(Expenses!A$3:A$1002=DATE(2026,11,21)),ROW(Expenses!A$3:A$1002)-2),5)),""),IF(IFERROR(INDEX(Income!B$3:B$502,SMALL(IF((Income!D$3:D$502="INR")*(Income!A$3:A$502=DATE(2026,11,21)),ROW(Income!A$3:A$502)-2),5)),"")&lt;&gt;"",IFERROR(INDEX(Income!B$3:B$502,SMALL(IF((Income!D$3:D$502="INR")*(Income!A$3:A$502=DATE(2026,11,21)),ROW(Income!A$3:A$502)-2),5)),""),""))</f>
        <v/>
      </c>
      <c r="O238" s="63" t="str">
        <f aca="false">IF(IFERROR(-INDEX(Expenses!D$3:D$1002,SMALL(IF((Expenses!E$3:E$1002="INR")*(Expenses!A$3:A$1002=DATE(2026,11,22)),ROW(Expenses!A$3:A$1002)-2),5)),0)+IFERROR(INDEX(Income!C$3:C$502,SMALL(IF((Income!D$3:D$502="INR")*(Income!A$3:A$502=DATE(2026,11,22)),ROW(Income!A$3:A$502)-2),5)),0)=0,"",IFERROR(-INDEX(Expenses!D$3:D$1002,SMALL(IF((Expenses!E$3:E$1002="INR")*(Expenses!A$3:A$1002=DATE(2026,11,22)),ROW(Expenses!A$3:A$1002)-2),5)),0)+IFERROR(INDEX(Income!C$3:C$502,SMALL(IF((Income!D$3:D$502="INR")*(Income!A$3:A$502=DATE(2026,11,22)),ROW(Income!A$3:A$502)-2),5)),0))</f>
        <v/>
      </c>
      <c r="P238" s="38" t="str">
        <f aca="false">IF(IFERROR(INDEX(Expenses!B$3:B$1002,SMALL(IF((Expenses!E$3:E$1002="INR")*(Expenses!A$3:A$1002=DATE(2026,11,22)),ROW(Expenses!A$3:A$1002)-2),5)),"")&lt;&gt;"",IFERROR(INDEX(Expenses!B$3:B$1002,SMALL(IF((Expenses!E$3:E$1002="INR")*(Expenses!A$3:A$1002=DATE(2026,11,22)),ROW(Expenses!A$3:A$1002)-2),5)),""),IF(IFERROR(INDEX(Income!B$3:B$502,SMALL(IF((Income!D$3:D$502="INR")*(Income!A$3:A$502=DATE(2026,11,22)),ROW(Income!A$3:A$502)-2),5)),"")&lt;&gt;"",IFERROR(INDEX(Income!B$3:B$502,SMALL(IF((Income!D$3:D$502="INR")*(Income!A$3:A$502=DATE(2026,11,22)),ROW(Income!A$3:A$502)-2),5)),""),""))</f>
        <v/>
      </c>
      <c r="Q238" s="16"/>
      <c r="R238" s="16"/>
    </row>
    <row r="239" customFormat="false" ht="15" hidden="false" customHeight="false" outlineLevel="0" collapsed="false">
      <c r="A239" s="61" t="n">
        <v>46349</v>
      </c>
      <c r="B239" s="3" t="n">
        <v>48</v>
      </c>
      <c r="C239" s="63" t="str">
        <f aca="false">IF(IFERROR(-INDEX(Expenses!D$3:D$1002,SMALL(IF((Expenses!E$3:E$1002="INR")*(Expenses!A$3:A$1002=DATE(2026,11,23)),ROW(Expenses!A$3:A$1002)-2),1)),0)+IFERROR(INDEX(Income!C$3:C$502,SMALL(IF((Income!D$3:D$502="INR")*(Income!A$3:A$502=DATE(2026,11,23)),ROW(Income!A$3:A$502)-2),1)),0)=0,"",IFERROR(-INDEX(Expenses!D$3:D$1002,SMALL(IF((Expenses!E$3:E$1002="INR")*(Expenses!A$3:A$1002=DATE(2026,11,23)),ROW(Expenses!A$3:A$1002)-2),1)),0)+IFERROR(INDEX(Income!C$3:C$502,SMALL(IF((Income!D$3:D$502="INR")*(Income!A$3:A$502=DATE(2026,11,23)),ROW(Income!A$3:A$502)-2),1)),0))</f>
        <v/>
      </c>
      <c r="D239" s="38" t="str">
        <f aca="false">IF(IFERROR(INDEX(Expenses!B$3:B$1002,SMALL(IF((Expenses!E$3:E$1002="INR")*(Expenses!A$3:A$1002=DATE(2026,11,23)),ROW(Expenses!A$3:A$1002)-2),1)),"")&lt;&gt;"",IFERROR(INDEX(Expenses!B$3:B$1002,SMALL(IF((Expenses!E$3:E$1002="INR")*(Expenses!A$3:A$1002=DATE(2026,11,23)),ROW(Expenses!A$3:A$1002)-2),1)),""),IF(IFERROR(INDEX(Income!B$3:B$502,SMALL(IF((Income!D$3:D$502="INR")*(Income!A$3:A$502=DATE(2026,11,23)),ROW(Income!A$3:A$502)-2),1)),"")&lt;&gt;"",IFERROR(INDEX(Income!B$3:B$502,SMALL(IF((Income!D$3:D$502="INR")*(Income!A$3:A$502=DATE(2026,11,23)),ROW(Income!A$3:A$502)-2),1)),""),""))</f>
        <v/>
      </c>
      <c r="E239" s="63" t="str">
        <f aca="false">IF(IFERROR(-INDEX(Expenses!D$3:D$1002,SMALL(IF((Expenses!E$3:E$1002="INR")*(Expenses!A$3:A$1002=DATE(2026,11,24)),ROW(Expenses!A$3:A$1002)-2),1)),0)+IFERROR(INDEX(Income!C$3:C$502,SMALL(IF((Income!D$3:D$502="INR")*(Income!A$3:A$502=DATE(2026,11,24)),ROW(Income!A$3:A$502)-2),1)),0)=0,"",IFERROR(-INDEX(Expenses!D$3:D$1002,SMALL(IF((Expenses!E$3:E$1002="INR")*(Expenses!A$3:A$1002=DATE(2026,11,24)),ROW(Expenses!A$3:A$1002)-2),1)),0)+IFERROR(INDEX(Income!C$3:C$502,SMALL(IF((Income!D$3:D$502="INR")*(Income!A$3:A$502=DATE(2026,11,24)),ROW(Income!A$3:A$502)-2),1)),0))</f>
        <v/>
      </c>
      <c r="F239" s="38" t="str">
        <f aca="false">IF(IFERROR(INDEX(Expenses!B$3:B$1002,SMALL(IF((Expenses!E$3:E$1002="INR")*(Expenses!A$3:A$1002=DATE(2026,11,24)),ROW(Expenses!A$3:A$1002)-2),1)),"")&lt;&gt;"",IFERROR(INDEX(Expenses!B$3:B$1002,SMALL(IF((Expenses!E$3:E$1002="INR")*(Expenses!A$3:A$1002=DATE(2026,11,24)),ROW(Expenses!A$3:A$1002)-2),1)),""),IF(IFERROR(INDEX(Income!B$3:B$502,SMALL(IF((Income!D$3:D$502="INR")*(Income!A$3:A$502=DATE(2026,11,24)),ROW(Income!A$3:A$502)-2),1)),"")&lt;&gt;"",IFERROR(INDEX(Income!B$3:B$502,SMALL(IF((Income!D$3:D$502="INR")*(Income!A$3:A$502=DATE(2026,11,24)),ROW(Income!A$3:A$502)-2),1)),""),""))</f>
        <v/>
      </c>
      <c r="G239" s="63" t="str">
        <f aca="false">IF(IFERROR(-INDEX(Expenses!D$3:D$1002,SMALL(IF((Expenses!E$3:E$1002="INR")*(Expenses!A$3:A$1002=DATE(2026,11,25)),ROW(Expenses!A$3:A$1002)-2),1)),0)+IFERROR(INDEX(Income!C$3:C$502,SMALL(IF((Income!D$3:D$502="INR")*(Income!A$3:A$502=DATE(2026,11,25)),ROW(Income!A$3:A$502)-2),1)),0)=0,"",IFERROR(-INDEX(Expenses!D$3:D$1002,SMALL(IF((Expenses!E$3:E$1002="INR")*(Expenses!A$3:A$1002=DATE(2026,11,25)),ROW(Expenses!A$3:A$1002)-2),1)),0)+IFERROR(INDEX(Income!C$3:C$502,SMALL(IF((Income!D$3:D$502="INR")*(Income!A$3:A$502=DATE(2026,11,25)),ROW(Income!A$3:A$502)-2),1)),0))</f>
        <v/>
      </c>
      <c r="H239" s="38" t="str">
        <f aca="false">IF(IFERROR(INDEX(Expenses!B$3:B$1002,SMALL(IF((Expenses!E$3:E$1002="INR")*(Expenses!A$3:A$1002=DATE(2026,11,25)),ROW(Expenses!A$3:A$1002)-2),1)),"")&lt;&gt;"",IFERROR(INDEX(Expenses!B$3:B$1002,SMALL(IF((Expenses!E$3:E$1002="INR")*(Expenses!A$3:A$1002=DATE(2026,11,25)),ROW(Expenses!A$3:A$1002)-2),1)),""),IF(IFERROR(INDEX(Income!B$3:B$502,SMALL(IF((Income!D$3:D$502="INR")*(Income!A$3:A$502=DATE(2026,11,25)),ROW(Income!A$3:A$502)-2),1)),"")&lt;&gt;"",IFERROR(INDEX(Income!B$3:B$502,SMALL(IF((Income!D$3:D$502="INR")*(Income!A$3:A$502=DATE(2026,11,25)),ROW(Income!A$3:A$502)-2),1)),""),""))</f>
        <v/>
      </c>
      <c r="I239" s="63" t="str">
        <f aca="false">IF(IFERROR(-INDEX(Expenses!D$3:D$1002,SMALL(IF((Expenses!E$3:E$1002="INR")*(Expenses!A$3:A$1002=DATE(2026,11,26)),ROW(Expenses!A$3:A$1002)-2),1)),0)+IFERROR(INDEX(Income!C$3:C$502,SMALL(IF((Income!D$3:D$502="INR")*(Income!A$3:A$502=DATE(2026,11,26)),ROW(Income!A$3:A$502)-2),1)),0)=0,"",IFERROR(-INDEX(Expenses!D$3:D$1002,SMALL(IF((Expenses!E$3:E$1002="INR")*(Expenses!A$3:A$1002=DATE(2026,11,26)),ROW(Expenses!A$3:A$1002)-2),1)),0)+IFERROR(INDEX(Income!C$3:C$502,SMALL(IF((Income!D$3:D$502="INR")*(Income!A$3:A$502=DATE(2026,11,26)),ROW(Income!A$3:A$502)-2),1)),0))</f>
        <v/>
      </c>
      <c r="J239" s="38" t="str">
        <f aca="false">IF(IFERROR(INDEX(Expenses!B$3:B$1002,SMALL(IF((Expenses!E$3:E$1002="INR")*(Expenses!A$3:A$1002=DATE(2026,11,26)),ROW(Expenses!A$3:A$1002)-2),1)),"")&lt;&gt;"",IFERROR(INDEX(Expenses!B$3:B$1002,SMALL(IF((Expenses!E$3:E$1002="INR")*(Expenses!A$3:A$1002=DATE(2026,11,26)),ROW(Expenses!A$3:A$1002)-2),1)),""),IF(IFERROR(INDEX(Income!B$3:B$502,SMALL(IF((Income!D$3:D$502="INR")*(Income!A$3:A$502=DATE(2026,11,26)),ROW(Income!A$3:A$502)-2),1)),"")&lt;&gt;"",IFERROR(INDEX(Income!B$3:B$502,SMALL(IF((Income!D$3:D$502="INR")*(Income!A$3:A$502=DATE(2026,11,26)),ROW(Income!A$3:A$502)-2),1)),""),""))</f>
        <v/>
      </c>
      <c r="K239" s="63" t="str">
        <f aca="false">IF(IFERROR(-INDEX(Expenses!D$3:D$1002,SMALL(IF((Expenses!E$3:E$1002="INR")*(Expenses!A$3:A$1002=DATE(2026,11,27)),ROW(Expenses!A$3:A$1002)-2),1)),0)+IFERROR(INDEX(Income!C$3:C$502,SMALL(IF((Income!D$3:D$502="INR")*(Income!A$3:A$502=DATE(2026,11,27)),ROW(Income!A$3:A$502)-2),1)),0)=0,"",IFERROR(-INDEX(Expenses!D$3:D$1002,SMALL(IF((Expenses!E$3:E$1002="INR")*(Expenses!A$3:A$1002=DATE(2026,11,27)),ROW(Expenses!A$3:A$1002)-2),1)),0)+IFERROR(INDEX(Income!C$3:C$502,SMALL(IF((Income!D$3:D$502="INR")*(Income!A$3:A$502=DATE(2026,11,27)),ROW(Income!A$3:A$502)-2),1)),0))</f>
        <v/>
      </c>
      <c r="L239" s="38" t="str">
        <f aca="false">IF(IFERROR(INDEX(Expenses!B$3:B$1002,SMALL(IF((Expenses!E$3:E$1002="INR")*(Expenses!A$3:A$1002=DATE(2026,11,27)),ROW(Expenses!A$3:A$1002)-2),1)),"")&lt;&gt;"",IFERROR(INDEX(Expenses!B$3:B$1002,SMALL(IF((Expenses!E$3:E$1002="INR")*(Expenses!A$3:A$1002=DATE(2026,11,27)),ROW(Expenses!A$3:A$1002)-2),1)),""),IF(IFERROR(INDEX(Income!B$3:B$502,SMALL(IF((Income!D$3:D$502="INR")*(Income!A$3:A$502=DATE(2026,11,27)),ROW(Income!A$3:A$502)-2),1)),"")&lt;&gt;"",IFERROR(INDEX(Income!B$3:B$502,SMALL(IF((Income!D$3:D$502="INR")*(Income!A$3:A$502=DATE(2026,11,27)),ROW(Income!A$3:A$502)-2),1)),""),""))</f>
        <v/>
      </c>
      <c r="M239" s="63" t="str">
        <f aca="false">IF(IFERROR(-INDEX(Expenses!D$3:D$1002,SMALL(IF((Expenses!E$3:E$1002="INR")*(Expenses!A$3:A$1002=DATE(2026,11,28)),ROW(Expenses!A$3:A$1002)-2),1)),0)+IFERROR(INDEX(Income!C$3:C$502,SMALL(IF((Income!D$3:D$502="INR")*(Income!A$3:A$502=DATE(2026,11,28)),ROW(Income!A$3:A$502)-2),1)),0)=0,"",IFERROR(-INDEX(Expenses!D$3:D$1002,SMALL(IF((Expenses!E$3:E$1002="INR")*(Expenses!A$3:A$1002=DATE(2026,11,28)),ROW(Expenses!A$3:A$1002)-2),1)),0)+IFERROR(INDEX(Income!C$3:C$502,SMALL(IF((Income!D$3:D$502="INR")*(Income!A$3:A$502=DATE(2026,11,28)),ROW(Income!A$3:A$502)-2),1)),0))</f>
        <v/>
      </c>
      <c r="N239" s="38" t="str">
        <f aca="false">IF(IFERROR(INDEX(Expenses!B$3:B$1002,SMALL(IF((Expenses!E$3:E$1002="INR")*(Expenses!A$3:A$1002=DATE(2026,11,28)),ROW(Expenses!A$3:A$1002)-2),1)),"")&lt;&gt;"",IFERROR(INDEX(Expenses!B$3:B$1002,SMALL(IF((Expenses!E$3:E$1002="INR")*(Expenses!A$3:A$1002=DATE(2026,11,28)),ROW(Expenses!A$3:A$1002)-2),1)),""),IF(IFERROR(INDEX(Income!B$3:B$502,SMALL(IF((Income!D$3:D$502="INR")*(Income!A$3:A$502=DATE(2026,11,28)),ROW(Income!A$3:A$502)-2),1)),"")&lt;&gt;"",IFERROR(INDEX(Income!B$3:B$502,SMALL(IF((Income!D$3:D$502="INR")*(Income!A$3:A$502=DATE(2026,11,28)),ROW(Income!A$3:A$502)-2),1)),""),""))</f>
        <v/>
      </c>
      <c r="O239" s="63" t="str">
        <f aca="false">IF(IFERROR(-INDEX(Expenses!D$3:D$1002,SMALL(IF((Expenses!E$3:E$1002="INR")*(Expenses!A$3:A$1002=DATE(2026,11,29)),ROW(Expenses!A$3:A$1002)-2),1)),0)+IFERROR(INDEX(Income!C$3:C$502,SMALL(IF((Income!D$3:D$502="INR")*(Income!A$3:A$502=DATE(2026,11,29)),ROW(Income!A$3:A$502)-2),1)),0)=0,"",IFERROR(-INDEX(Expenses!D$3:D$1002,SMALL(IF((Expenses!E$3:E$1002="INR")*(Expenses!A$3:A$1002=DATE(2026,11,29)),ROW(Expenses!A$3:A$1002)-2),1)),0)+IFERROR(INDEX(Income!C$3:C$502,SMALL(IF((Income!D$3:D$502="INR")*(Income!A$3:A$502=DATE(2026,11,29)),ROW(Income!A$3:A$502)-2),1)),0))</f>
        <v/>
      </c>
      <c r="P239" s="38" t="str">
        <f aca="false">IF(IFERROR(INDEX(Expenses!B$3:B$1002,SMALL(IF((Expenses!E$3:E$1002="INR")*(Expenses!A$3:A$1002=DATE(2026,11,29)),ROW(Expenses!A$3:A$1002)-2),1)),"")&lt;&gt;"",IFERROR(INDEX(Expenses!B$3:B$1002,SMALL(IF((Expenses!E$3:E$1002="INR")*(Expenses!A$3:A$1002=DATE(2026,11,29)),ROW(Expenses!A$3:A$1002)-2),1)),""),IF(IFERROR(INDEX(Income!B$3:B$502,SMALL(IF((Income!D$3:D$502="INR")*(Income!A$3:A$502=DATE(2026,11,29)),ROW(Income!A$3:A$502)-2),1)),"")&lt;&gt;"",IFERROR(INDEX(Income!B$3:B$502,SMALL(IF((Income!D$3:D$502="INR")*(Income!A$3:A$502=DATE(2026,11,29)),ROW(Income!A$3:A$502)-2),1)),""),""))</f>
        <v/>
      </c>
      <c r="Q239" s="3" t="n">
        <v>48</v>
      </c>
      <c r="R239" s="53" t="n">
        <f aca="false">SUM(C239:C243)+SUM(E239:E243)+SUM(G239:G243)+SUM(I239:I243)+SUM(K239:K243)+SUM(M239:M243)+SUM(O239:O243)</f>
        <v>0</v>
      </c>
    </row>
    <row r="240" customFormat="false" ht="15" hidden="false" customHeight="false" outlineLevel="0" collapsed="false">
      <c r="A240" s="16"/>
      <c r="B240" s="16"/>
      <c r="C240" s="63" t="str">
        <f aca="false">IF(IFERROR(-INDEX(Expenses!D$3:D$1002,SMALL(IF((Expenses!E$3:E$1002="INR")*(Expenses!A$3:A$1002=DATE(2026,11,23)),ROW(Expenses!A$3:A$1002)-2),2)),0)+IFERROR(INDEX(Income!C$3:C$502,SMALL(IF((Income!D$3:D$502="INR")*(Income!A$3:A$502=DATE(2026,11,23)),ROW(Income!A$3:A$502)-2),2)),0)=0,"",IFERROR(-INDEX(Expenses!D$3:D$1002,SMALL(IF((Expenses!E$3:E$1002="INR")*(Expenses!A$3:A$1002=DATE(2026,11,23)),ROW(Expenses!A$3:A$1002)-2),2)),0)+IFERROR(INDEX(Income!C$3:C$502,SMALL(IF((Income!D$3:D$502="INR")*(Income!A$3:A$502=DATE(2026,11,23)),ROW(Income!A$3:A$502)-2),2)),0))</f>
        <v/>
      </c>
      <c r="D240" s="38" t="str">
        <f aca="false">IF(IFERROR(INDEX(Expenses!B$3:B$1002,SMALL(IF((Expenses!E$3:E$1002="INR")*(Expenses!A$3:A$1002=DATE(2026,11,23)),ROW(Expenses!A$3:A$1002)-2),2)),"")&lt;&gt;"",IFERROR(INDEX(Expenses!B$3:B$1002,SMALL(IF((Expenses!E$3:E$1002="INR")*(Expenses!A$3:A$1002=DATE(2026,11,23)),ROW(Expenses!A$3:A$1002)-2),2)),""),IF(IFERROR(INDEX(Income!B$3:B$502,SMALL(IF((Income!D$3:D$502="INR")*(Income!A$3:A$502=DATE(2026,11,23)),ROW(Income!A$3:A$502)-2),2)),"")&lt;&gt;"",IFERROR(INDEX(Income!B$3:B$502,SMALL(IF((Income!D$3:D$502="INR")*(Income!A$3:A$502=DATE(2026,11,23)),ROW(Income!A$3:A$502)-2),2)),""),""))</f>
        <v/>
      </c>
      <c r="E240" s="63" t="str">
        <f aca="false">IF(IFERROR(-INDEX(Expenses!D$3:D$1002,SMALL(IF((Expenses!E$3:E$1002="INR")*(Expenses!A$3:A$1002=DATE(2026,11,24)),ROW(Expenses!A$3:A$1002)-2),2)),0)+IFERROR(INDEX(Income!C$3:C$502,SMALL(IF((Income!D$3:D$502="INR")*(Income!A$3:A$502=DATE(2026,11,24)),ROW(Income!A$3:A$502)-2),2)),0)=0,"",IFERROR(-INDEX(Expenses!D$3:D$1002,SMALL(IF((Expenses!E$3:E$1002="INR")*(Expenses!A$3:A$1002=DATE(2026,11,24)),ROW(Expenses!A$3:A$1002)-2),2)),0)+IFERROR(INDEX(Income!C$3:C$502,SMALL(IF((Income!D$3:D$502="INR")*(Income!A$3:A$502=DATE(2026,11,24)),ROW(Income!A$3:A$502)-2),2)),0))</f>
        <v/>
      </c>
      <c r="F240" s="38" t="str">
        <f aca="false">IF(IFERROR(INDEX(Expenses!B$3:B$1002,SMALL(IF((Expenses!E$3:E$1002="INR")*(Expenses!A$3:A$1002=DATE(2026,11,24)),ROW(Expenses!A$3:A$1002)-2),2)),"")&lt;&gt;"",IFERROR(INDEX(Expenses!B$3:B$1002,SMALL(IF((Expenses!E$3:E$1002="INR")*(Expenses!A$3:A$1002=DATE(2026,11,24)),ROW(Expenses!A$3:A$1002)-2),2)),""),IF(IFERROR(INDEX(Income!B$3:B$502,SMALL(IF((Income!D$3:D$502="INR")*(Income!A$3:A$502=DATE(2026,11,24)),ROW(Income!A$3:A$502)-2),2)),"")&lt;&gt;"",IFERROR(INDEX(Income!B$3:B$502,SMALL(IF((Income!D$3:D$502="INR")*(Income!A$3:A$502=DATE(2026,11,24)),ROW(Income!A$3:A$502)-2),2)),""),""))</f>
        <v/>
      </c>
      <c r="G240" s="63" t="str">
        <f aca="false">IF(IFERROR(-INDEX(Expenses!D$3:D$1002,SMALL(IF((Expenses!E$3:E$1002="INR")*(Expenses!A$3:A$1002=DATE(2026,11,25)),ROW(Expenses!A$3:A$1002)-2),2)),0)+IFERROR(INDEX(Income!C$3:C$502,SMALL(IF((Income!D$3:D$502="INR")*(Income!A$3:A$502=DATE(2026,11,25)),ROW(Income!A$3:A$502)-2),2)),0)=0,"",IFERROR(-INDEX(Expenses!D$3:D$1002,SMALL(IF((Expenses!E$3:E$1002="INR")*(Expenses!A$3:A$1002=DATE(2026,11,25)),ROW(Expenses!A$3:A$1002)-2),2)),0)+IFERROR(INDEX(Income!C$3:C$502,SMALL(IF((Income!D$3:D$502="INR")*(Income!A$3:A$502=DATE(2026,11,25)),ROW(Income!A$3:A$502)-2),2)),0))</f>
        <v/>
      </c>
      <c r="H240" s="38" t="str">
        <f aca="false">IF(IFERROR(INDEX(Expenses!B$3:B$1002,SMALL(IF((Expenses!E$3:E$1002="INR")*(Expenses!A$3:A$1002=DATE(2026,11,25)),ROW(Expenses!A$3:A$1002)-2),2)),"")&lt;&gt;"",IFERROR(INDEX(Expenses!B$3:B$1002,SMALL(IF((Expenses!E$3:E$1002="INR")*(Expenses!A$3:A$1002=DATE(2026,11,25)),ROW(Expenses!A$3:A$1002)-2),2)),""),IF(IFERROR(INDEX(Income!B$3:B$502,SMALL(IF((Income!D$3:D$502="INR")*(Income!A$3:A$502=DATE(2026,11,25)),ROW(Income!A$3:A$502)-2),2)),"")&lt;&gt;"",IFERROR(INDEX(Income!B$3:B$502,SMALL(IF((Income!D$3:D$502="INR")*(Income!A$3:A$502=DATE(2026,11,25)),ROW(Income!A$3:A$502)-2),2)),""),""))</f>
        <v/>
      </c>
      <c r="I240" s="63" t="str">
        <f aca="false">IF(IFERROR(-INDEX(Expenses!D$3:D$1002,SMALL(IF((Expenses!E$3:E$1002="INR")*(Expenses!A$3:A$1002=DATE(2026,11,26)),ROW(Expenses!A$3:A$1002)-2),2)),0)+IFERROR(INDEX(Income!C$3:C$502,SMALL(IF((Income!D$3:D$502="INR")*(Income!A$3:A$502=DATE(2026,11,26)),ROW(Income!A$3:A$502)-2),2)),0)=0,"",IFERROR(-INDEX(Expenses!D$3:D$1002,SMALL(IF((Expenses!E$3:E$1002="INR")*(Expenses!A$3:A$1002=DATE(2026,11,26)),ROW(Expenses!A$3:A$1002)-2),2)),0)+IFERROR(INDEX(Income!C$3:C$502,SMALL(IF((Income!D$3:D$502="INR")*(Income!A$3:A$502=DATE(2026,11,26)),ROW(Income!A$3:A$502)-2),2)),0))</f>
        <v/>
      </c>
      <c r="J240" s="38" t="str">
        <f aca="false">IF(IFERROR(INDEX(Expenses!B$3:B$1002,SMALL(IF((Expenses!E$3:E$1002="INR")*(Expenses!A$3:A$1002=DATE(2026,11,26)),ROW(Expenses!A$3:A$1002)-2),2)),"")&lt;&gt;"",IFERROR(INDEX(Expenses!B$3:B$1002,SMALL(IF((Expenses!E$3:E$1002="INR")*(Expenses!A$3:A$1002=DATE(2026,11,26)),ROW(Expenses!A$3:A$1002)-2),2)),""),IF(IFERROR(INDEX(Income!B$3:B$502,SMALL(IF((Income!D$3:D$502="INR")*(Income!A$3:A$502=DATE(2026,11,26)),ROW(Income!A$3:A$502)-2),2)),"")&lt;&gt;"",IFERROR(INDEX(Income!B$3:B$502,SMALL(IF((Income!D$3:D$502="INR")*(Income!A$3:A$502=DATE(2026,11,26)),ROW(Income!A$3:A$502)-2),2)),""),""))</f>
        <v/>
      </c>
      <c r="K240" s="63" t="str">
        <f aca="false">IF(IFERROR(-INDEX(Expenses!D$3:D$1002,SMALL(IF((Expenses!E$3:E$1002="INR")*(Expenses!A$3:A$1002=DATE(2026,11,27)),ROW(Expenses!A$3:A$1002)-2),2)),0)+IFERROR(INDEX(Income!C$3:C$502,SMALL(IF((Income!D$3:D$502="INR")*(Income!A$3:A$502=DATE(2026,11,27)),ROW(Income!A$3:A$502)-2),2)),0)=0,"",IFERROR(-INDEX(Expenses!D$3:D$1002,SMALL(IF((Expenses!E$3:E$1002="INR")*(Expenses!A$3:A$1002=DATE(2026,11,27)),ROW(Expenses!A$3:A$1002)-2),2)),0)+IFERROR(INDEX(Income!C$3:C$502,SMALL(IF((Income!D$3:D$502="INR")*(Income!A$3:A$502=DATE(2026,11,27)),ROW(Income!A$3:A$502)-2),2)),0))</f>
        <v/>
      </c>
      <c r="L240" s="38" t="str">
        <f aca="false">IF(IFERROR(INDEX(Expenses!B$3:B$1002,SMALL(IF((Expenses!E$3:E$1002="INR")*(Expenses!A$3:A$1002=DATE(2026,11,27)),ROW(Expenses!A$3:A$1002)-2),2)),"")&lt;&gt;"",IFERROR(INDEX(Expenses!B$3:B$1002,SMALL(IF((Expenses!E$3:E$1002="INR")*(Expenses!A$3:A$1002=DATE(2026,11,27)),ROW(Expenses!A$3:A$1002)-2),2)),""),IF(IFERROR(INDEX(Income!B$3:B$502,SMALL(IF((Income!D$3:D$502="INR")*(Income!A$3:A$502=DATE(2026,11,27)),ROW(Income!A$3:A$502)-2),2)),"")&lt;&gt;"",IFERROR(INDEX(Income!B$3:B$502,SMALL(IF((Income!D$3:D$502="INR")*(Income!A$3:A$502=DATE(2026,11,27)),ROW(Income!A$3:A$502)-2),2)),""),""))</f>
        <v/>
      </c>
      <c r="M240" s="63" t="str">
        <f aca="false">IF(IFERROR(-INDEX(Expenses!D$3:D$1002,SMALL(IF((Expenses!E$3:E$1002="INR")*(Expenses!A$3:A$1002=DATE(2026,11,28)),ROW(Expenses!A$3:A$1002)-2),2)),0)+IFERROR(INDEX(Income!C$3:C$502,SMALL(IF((Income!D$3:D$502="INR")*(Income!A$3:A$502=DATE(2026,11,28)),ROW(Income!A$3:A$502)-2),2)),0)=0,"",IFERROR(-INDEX(Expenses!D$3:D$1002,SMALL(IF((Expenses!E$3:E$1002="INR")*(Expenses!A$3:A$1002=DATE(2026,11,28)),ROW(Expenses!A$3:A$1002)-2),2)),0)+IFERROR(INDEX(Income!C$3:C$502,SMALL(IF((Income!D$3:D$502="INR")*(Income!A$3:A$502=DATE(2026,11,28)),ROW(Income!A$3:A$502)-2),2)),0))</f>
        <v/>
      </c>
      <c r="N240" s="38" t="str">
        <f aca="false">IF(IFERROR(INDEX(Expenses!B$3:B$1002,SMALL(IF((Expenses!E$3:E$1002="INR")*(Expenses!A$3:A$1002=DATE(2026,11,28)),ROW(Expenses!A$3:A$1002)-2),2)),"")&lt;&gt;"",IFERROR(INDEX(Expenses!B$3:B$1002,SMALL(IF((Expenses!E$3:E$1002="INR")*(Expenses!A$3:A$1002=DATE(2026,11,28)),ROW(Expenses!A$3:A$1002)-2),2)),""),IF(IFERROR(INDEX(Income!B$3:B$502,SMALL(IF((Income!D$3:D$502="INR")*(Income!A$3:A$502=DATE(2026,11,28)),ROW(Income!A$3:A$502)-2),2)),"")&lt;&gt;"",IFERROR(INDEX(Income!B$3:B$502,SMALL(IF((Income!D$3:D$502="INR")*(Income!A$3:A$502=DATE(2026,11,28)),ROW(Income!A$3:A$502)-2),2)),""),""))</f>
        <v/>
      </c>
      <c r="O240" s="63" t="str">
        <f aca="false">IF(IFERROR(-INDEX(Expenses!D$3:D$1002,SMALL(IF((Expenses!E$3:E$1002="INR")*(Expenses!A$3:A$1002=DATE(2026,11,29)),ROW(Expenses!A$3:A$1002)-2),2)),0)+IFERROR(INDEX(Income!C$3:C$502,SMALL(IF((Income!D$3:D$502="INR")*(Income!A$3:A$502=DATE(2026,11,29)),ROW(Income!A$3:A$502)-2),2)),0)=0,"",IFERROR(-INDEX(Expenses!D$3:D$1002,SMALL(IF((Expenses!E$3:E$1002="INR")*(Expenses!A$3:A$1002=DATE(2026,11,29)),ROW(Expenses!A$3:A$1002)-2),2)),0)+IFERROR(INDEX(Income!C$3:C$502,SMALL(IF((Income!D$3:D$502="INR")*(Income!A$3:A$502=DATE(2026,11,29)),ROW(Income!A$3:A$502)-2),2)),0))</f>
        <v/>
      </c>
      <c r="P240" s="38" t="str">
        <f aca="false">IF(IFERROR(INDEX(Expenses!B$3:B$1002,SMALL(IF((Expenses!E$3:E$1002="INR")*(Expenses!A$3:A$1002=DATE(2026,11,29)),ROW(Expenses!A$3:A$1002)-2),2)),"")&lt;&gt;"",IFERROR(INDEX(Expenses!B$3:B$1002,SMALL(IF((Expenses!E$3:E$1002="INR")*(Expenses!A$3:A$1002=DATE(2026,11,29)),ROW(Expenses!A$3:A$1002)-2),2)),""),IF(IFERROR(INDEX(Income!B$3:B$502,SMALL(IF((Income!D$3:D$502="INR")*(Income!A$3:A$502=DATE(2026,11,29)),ROW(Income!A$3:A$502)-2),2)),"")&lt;&gt;"",IFERROR(INDEX(Income!B$3:B$502,SMALL(IF((Income!D$3:D$502="INR")*(Income!A$3:A$502=DATE(2026,11,29)),ROW(Income!A$3:A$502)-2),2)),""),""))</f>
        <v/>
      </c>
      <c r="Q240" s="16"/>
      <c r="R240" s="16"/>
    </row>
    <row r="241" customFormat="false" ht="15" hidden="false" customHeight="false" outlineLevel="0" collapsed="false">
      <c r="A241" s="16"/>
      <c r="B241" s="16"/>
      <c r="C241" s="63" t="str">
        <f aca="false">IF(IFERROR(-INDEX(Expenses!D$3:D$1002,SMALL(IF((Expenses!E$3:E$1002="INR")*(Expenses!A$3:A$1002=DATE(2026,11,23)),ROW(Expenses!A$3:A$1002)-2),3)),0)+IFERROR(INDEX(Income!C$3:C$502,SMALL(IF((Income!D$3:D$502="INR")*(Income!A$3:A$502=DATE(2026,11,23)),ROW(Income!A$3:A$502)-2),3)),0)=0,"",IFERROR(-INDEX(Expenses!D$3:D$1002,SMALL(IF((Expenses!E$3:E$1002="INR")*(Expenses!A$3:A$1002=DATE(2026,11,23)),ROW(Expenses!A$3:A$1002)-2),3)),0)+IFERROR(INDEX(Income!C$3:C$502,SMALL(IF((Income!D$3:D$502="INR")*(Income!A$3:A$502=DATE(2026,11,23)),ROW(Income!A$3:A$502)-2),3)),0))</f>
        <v/>
      </c>
      <c r="D241" s="38" t="str">
        <f aca="false">IF(IFERROR(INDEX(Expenses!B$3:B$1002,SMALL(IF((Expenses!E$3:E$1002="INR")*(Expenses!A$3:A$1002=DATE(2026,11,23)),ROW(Expenses!A$3:A$1002)-2),3)),"")&lt;&gt;"",IFERROR(INDEX(Expenses!B$3:B$1002,SMALL(IF((Expenses!E$3:E$1002="INR")*(Expenses!A$3:A$1002=DATE(2026,11,23)),ROW(Expenses!A$3:A$1002)-2),3)),""),IF(IFERROR(INDEX(Income!B$3:B$502,SMALL(IF((Income!D$3:D$502="INR")*(Income!A$3:A$502=DATE(2026,11,23)),ROW(Income!A$3:A$502)-2),3)),"")&lt;&gt;"",IFERROR(INDEX(Income!B$3:B$502,SMALL(IF((Income!D$3:D$502="INR")*(Income!A$3:A$502=DATE(2026,11,23)),ROW(Income!A$3:A$502)-2),3)),""),""))</f>
        <v/>
      </c>
      <c r="E241" s="63" t="str">
        <f aca="false">IF(IFERROR(-INDEX(Expenses!D$3:D$1002,SMALL(IF((Expenses!E$3:E$1002="INR")*(Expenses!A$3:A$1002=DATE(2026,11,24)),ROW(Expenses!A$3:A$1002)-2),3)),0)+IFERROR(INDEX(Income!C$3:C$502,SMALL(IF((Income!D$3:D$502="INR")*(Income!A$3:A$502=DATE(2026,11,24)),ROW(Income!A$3:A$502)-2),3)),0)=0,"",IFERROR(-INDEX(Expenses!D$3:D$1002,SMALL(IF((Expenses!E$3:E$1002="INR")*(Expenses!A$3:A$1002=DATE(2026,11,24)),ROW(Expenses!A$3:A$1002)-2),3)),0)+IFERROR(INDEX(Income!C$3:C$502,SMALL(IF((Income!D$3:D$502="INR")*(Income!A$3:A$502=DATE(2026,11,24)),ROW(Income!A$3:A$502)-2),3)),0))</f>
        <v/>
      </c>
      <c r="F241" s="38" t="str">
        <f aca="false">IF(IFERROR(INDEX(Expenses!B$3:B$1002,SMALL(IF((Expenses!E$3:E$1002="INR")*(Expenses!A$3:A$1002=DATE(2026,11,24)),ROW(Expenses!A$3:A$1002)-2),3)),"")&lt;&gt;"",IFERROR(INDEX(Expenses!B$3:B$1002,SMALL(IF((Expenses!E$3:E$1002="INR")*(Expenses!A$3:A$1002=DATE(2026,11,24)),ROW(Expenses!A$3:A$1002)-2),3)),""),IF(IFERROR(INDEX(Income!B$3:B$502,SMALL(IF((Income!D$3:D$502="INR")*(Income!A$3:A$502=DATE(2026,11,24)),ROW(Income!A$3:A$502)-2),3)),"")&lt;&gt;"",IFERROR(INDEX(Income!B$3:B$502,SMALL(IF((Income!D$3:D$502="INR")*(Income!A$3:A$502=DATE(2026,11,24)),ROW(Income!A$3:A$502)-2),3)),""),""))</f>
        <v/>
      </c>
      <c r="G241" s="63" t="str">
        <f aca="false">IF(IFERROR(-INDEX(Expenses!D$3:D$1002,SMALL(IF((Expenses!E$3:E$1002="INR")*(Expenses!A$3:A$1002=DATE(2026,11,25)),ROW(Expenses!A$3:A$1002)-2),3)),0)+IFERROR(INDEX(Income!C$3:C$502,SMALL(IF((Income!D$3:D$502="INR")*(Income!A$3:A$502=DATE(2026,11,25)),ROW(Income!A$3:A$502)-2),3)),0)=0,"",IFERROR(-INDEX(Expenses!D$3:D$1002,SMALL(IF((Expenses!E$3:E$1002="INR")*(Expenses!A$3:A$1002=DATE(2026,11,25)),ROW(Expenses!A$3:A$1002)-2),3)),0)+IFERROR(INDEX(Income!C$3:C$502,SMALL(IF((Income!D$3:D$502="INR")*(Income!A$3:A$502=DATE(2026,11,25)),ROW(Income!A$3:A$502)-2),3)),0))</f>
        <v/>
      </c>
      <c r="H241" s="38" t="str">
        <f aca="false">IF(IFERROR(INDEX(Expenses!B$3:B$1002,SMALL(IF((Expenses!E$3:E$1002="INR")*(Expenses!A$3:A$1002=DATE(2026,11,25)),ROW(Expenses!A$3:A$1002)-2),3)),"")&lt;&gt;"",IFERROR(INDEX(Expenses!B$3:B$1002,SMALL(IF((Expenses!E$3:E$1002="INR")*(Expenses!A$3:A$1002=DATE(2026,11,25)),ROW(Expenses!A$3:A$1002)-2),3)),""),IF(IFERROR(INDEX(Income!B$3:B$502,SMALL(IF((Income!D$3:D$502="INR")*(Income!A$3:A$502=DATE(2026,11,25)),ROW(Income!A$3:A$502)-2),3)),"")&lt;&gt;"",IFERROR(INDEX(Income!B$3:B$502,SMALL(IF((Income!D$3:D$502="INR")*(Income!A$3:A$502=DATE(2026,11,25)),ROW(Income!A$3:A$502)-2),3)),""),""))</f>
        <v/>
      </c>
      <c r="I241" s="63" t="str">
        <f aca="false">IF(IFERROR(-INDEX(Expenses!D$3:D$1002,SMALL(IF((Expenses!E$3:E$1002="INR")*(Expenses!A$3:A$1002=DATE(2026,11,26)),ROW(Expenses!A$3:A$1002)-2),3)),0)+IFERROR(INDEX(Income!C$3:C$502,SMALL(IF((Income!D$3:D$502="INR")*(Income!A$3:A$502=DATE(2026,11,26)),ROW(Income!A$3:A$502)-2),3)),0)=0,"",IFERROR(-INDEX(Expenses!D$3:D$1002,SMALL(IF((Expenses!E$3:E$1002="INR")*(Expenses!A$3:A$1002=DATE(2026,11,26)),ROW(Expenses!A$3:A$1002)-2),3)),0)+IFERROR(INDEX(Income!C$3:C$502,SMALL(IF((Income!D$3:D$502="INR")*(Income!A$3:A$502=DATE(2026,11,26)),ROW(Income!A$3:A$502)-2),3)),0))</f>
        <v/>
      </c>
      <c r="J241" s="38" t="str">
        <f aca="false">IF(IFERROR(INDEX(Expenses!B$3:B$1002,SMALL(IF((Expenses!E$3:E$1002="INR")*(Expenses!A$3:A$1002=DATE(2026,11,26)),ROW(Expenses!A$3:A$1002)-2),3)),"")&lt;&gt;"",IFERROR(INDEX(Expenses!B$3:B$1002,SMALL(IF((Expenses!E$3:E$1002="INR")*(Expenses!A$3:A$1002=DATE(2026,11,26)),ROW(Expenses!A$3:A$1002)-2),3)),""),IF(IFERROR(INDEX(Income!B$3:B$502,SMALL(IF((Income!D$3:D$502="INR")*(Income!A$3:A$502=DATE(2026,11,26)),ROW(Income!A$3:A$502)-2),3)),"")&lt;&gt;"",IFERROR(INDEX(Income!B$3:B$502,SMALL(IF((Income!D$3:D$502="INR")*(Income!A$3:A$502=DATE(2026,11,26)),ROW(Income!A$3:A$502)-2),3)),""),""))</f>
        <v/>
      </c>
      <c r="K241" s="63" t="str">
        <f aca="false">IF(IFERROR(-INDEX(Expenses!D$3:D$1002,SMALL(IF((Expenses!E$3:E$1002="INR")*(Expenses!A$3:A$1002=DATE(2026,11,27)),ROW(Expenses!A$3:A$1002)-2),3)),0)+IFERROR(INDEX(Income!C$3:C$502,SMALL(IF((Income!D$3:D$502="INR")*(Income!A$3:A$502=DATE(2026,11,27)),ROW(Income!A$3:A$502)-2),3)),0)=0,"",IFERROR(-INDEX(Expenses!D$3:D$1002,SMALL(IF((Expenses!E$3:E$1002="INR")*(Expenses!A$3:A$1002=DATE(2026,11,27)),ROW(Expenses!A$3:A$1002)-2),3)),0)+IFERROR(INDEX(Income!C$3:C$502,SMALL(IF((Income!D$3:D$502="INR")*(Income!A$3:A$502=DATE(2026,11,27)),ROW(Income!A$3:A$502)-2),3)),0))</f>
        <v/>
      </c>
      <c r="L241" s="38" t="str">
        <f aca="false">IF(IFERROR(INDEX(Expenses!B$3:B$1002,SMALL(IF((Expenses!E$3:E$1002="INR")*(Expenses!A$3:A$1002=DATE(2026,11,27)),ROW(Expenses!A$3:A$1002)-2),3)),"")&lt;&gt;"",IFERROR(INDEX(Expenses!B$3:B$1002,SMALL(IF((Expenses!E$3:E$1002="INR")*(Expenses!A$3:A$1002=DATE(2026,11,27)),ROW(Expenses!A$3:A$1002)-2),3)),""),IF(IFERROR(INDEX(Income!B$3:B$502,SMALL(IF((Income!D$3:D$502="INR")*(Income!A$3:A$502=DATE(2026,11,27)),ROW(Income!A$3:A$502)-2),3)),"")&lt;&gt;"",IFERROR(INDEX(Income!B$3:B$502,SMALL(IF((Income!D$3:D$502="INR")*(Income!A$3:A$502=DATE(2026,11,27)),ROW(Income!A$3:A$502)-2),3)),""),""))</f>
        <v/>
      </c>
      <c r="M241" s="63" t="str">
        <f aca="false">IF(IFERROR(-INDEX(Expenses!D$3:D$1002,SMALL(IF((Expenses!E$3:E$1002="INR")*(Expenses!A$3:A$1002=DATE(2026,11,28)),ROW(Expenses!A$3:A$1002)-2),3)),0)+IFERROR(INDEX(Income!C$3:C$502,SMALL(IF((Income!D$3:D$502="INR")*(Income!A$3:A$502=DATE(2026,11,28)),ROW(Income!A$3:A$502)-2),3)),0)=0,"",IFERROR(-INDEX(Expenses!D$3:D$1002,SMALL(IF((Expenses!E$3:E$1002="INR")*(Expenses!A$3:A$1002=DATE(2026,11,28)),ROW(Expenses!A$3:A$1002)-2),3)),0)+IFERROR(INDEX(Income!C$3:C$502,SMALL(IF((Income!D$3:D$502="INR")*(Income!A$3:A$502=DATE(2026,11,28)),ROW(Income!A$3:A$502)-2),3)),0))</f>
        <v/>
      </c>
      <c r="N241" s="38" t="str">
        <f aca="false">IF(IFERROR(INDEX(Expenses!B$3:B$1002,SMALL(IF((Expenses!E$3:E$1002="INR")*(Expenses!A$3:A$1002=DATE(2026,11,28)),ROW(Expenses!A$3:A$1002)-2),3)),"")&lt;&gt;"",IFERROR(INDEX(Expenses!B$3:B$1002,SMALL(IF((Expenses!E$3:E$1002="INR")*(Expenses!A$3:A$1002=DATE(2026,11,28)),ROW(Expenses!A$3:A$1002)-2),3)),""),IF(IFERROR(INDEX(Income!B$3:B$502,SMALL(IF((Income!D$3:D$502="INR")*(Income!A$3:A$502=DATE(2026,11,28)),ROW(Income!A$3:A$502)-2),3)),"")&lt;&gt;"",IFERROR(INDEX(Income!B$3:B$502,SMALL(IF((Income!D$3:D$502="INR")*(Income!A$3:A$502=DATE(2026,11,28)),ROW(Income!A$3:A$502)-2),3)),""),""))</f>
        <v/>
      </c>
      <c r="O241" s="63" t="str">
        <f aca="false">IF(IFERROR(-INDEX(Expenses!D$3:D$1002,SMALL(IF((Expenses!E$3:E$1002="INR")*(Expenses!A$3:A$1002=DATE(2026,11,29)),ROW(Expenses!A$3:A$1002)-2),3)),0)+IFERROR(INDEX(Income!C$3:C$502,SMALL(IF((Income!D$3:D$502="INR")*(Income!A$3:A$502=DATE(2026,11,29)),ROW(Income!A$3:A$502)-2),3)),0)=0,"",IFERROR(-INDEX(Expenses!D$3:D$1002,SMALL(IF((Expenses!E$3:E$1002="INR")*(Expenses!A$3:A$1002=DATE(2026,11,29)),ROW(Expenses!A$3:A$1002)-2),3)),0)+IFERROR(INDEX(Income!C$3:C$502,SMALL(IF((Income!D$3:D$502="INR")*(Income!A$3:A$502=DATE(2026,11,29)),ROW(Income!A$3:A$502)-2),3)),0))</f>
        <v/>
      </c>
      <c r="P241" s="38" t="str">
        <f aca="false">IF(IFERROR(INDEX(Expenses!B$3:B$1002,SMALL(IF((Expenses!E$3:E$1002="INR")*(Expenses!A$3:A$1002=DATE(2026,11,29)),ROW(Expenses!A$3:A$1002)-2),3)),"")&lt;&gt;"",IFERROR(INDEX(Expenses!B$3:B$1002,SMALL(IF((Expenses!E$3:E$1002="INR")*(Expenses!A$3:A$1002=DATE(2026,11,29)),ROW(Expenses!A$3:A$1002)-2),3)),""),IF(IFERROR(INDEX(Income!B$3:B$502,SMALL(IF((Income!D$3:D$502="INR")*(Income!A$3:A$502=DATE(2026,11,29)),ROW(Income!A$3:A$502)-2),3)),"")&lt;&gt;"",IFERROR(INDEX(Income!B$3:B$502,SMALL(IF((Income!D$3:D$502="INR")*(Income!A$3:A$502=DATE(2026,11,29)),ROW(Income!A$3:A$502)-2),3)),""),""))</f>
        <v/>
      </c>
      <c r="Q241" s="16"/>
      <c r="R241" s="16"/>
    </row>
    <row r="242" customFormat="false" ht="15" hidden="false" customHeight="false" outlineLevel="0" collapsed="false">
      <c r="A242" s="16"/>
      <c r="B242" s="16"/>
      <c r="C242" s="63" t="str">
        <f aca="false">IF(IFERROR(-INDEX(Expenses!D$3:D$1002,SMALL(IF((Expenses!E$3:E$1002="INR")*(Expenses!A$3:A$1002=DATE(2026,11,23)),ROW(Expenses!A$3:A$1002)-2),4)),0)+IFERROR(INDEX(Income!C$3:C$502,SMALL(IF((Income!D$3:D$502="INR")*(Income!A$3:A$502=DATE(2026,11,23)),ROW(Income!A$3:A$502)-2),4)),0)=0,"",IFERROR(-INDEX(Expenses!D$3:D$1002,SMALL(IF((Expenses!E$3:E$1002="INR")*(Expenses!A$3:A$1002=DATE(2026,11,23)),ROW(Expenses!A$3:A$1002)-2),4)),0)+IFERROR(INDEX(Income!C$3:C$502,SMALL(IF((Income!D$3:D$502="INR")*(Income!A$3:A$502=DATE(2026,11,23)),ROW(Income!A$3:A$502)-2),4)),0))</f>
        <v/>
      </c>
      <c r="D242" s="38" t="str">
        <f aca="false">IF(IFERROR(INDEX(Expenses!B$3:B$1002,SMALL(IF((Expenses!E$3:E$1002="INR")*(Expenses!A$3:A$1002=DATE(2026,11,23)),ROW(Expenses!A$3:A$1002)-2),4)),"")&lt;&gt;"",IFERROR(INDEX(Expenses!B$3:B$1002,SMALL(IF((Expenses!E$3:E$1002="INR")*(Expenses!A$3:A$1002=DATE(2026,11,23)),ROW(Expenses!A$3:A$1002)-2),4)),""),IF(IFERROR(INDEX(Income!B$3:B$502,SMALL(IF((Income!D$3:D$502="INR")*(Income!A$3:A$502=DATE(2026,11,23)),ROW(Income!A$3:A$502)-2),4)),"")&lt;&gt;"",IFERROR(INDEX(Income!B$3:B$502,SMALL(IF((Income!D$3:D$502="INR")*(Income!A$3:A$502=DATE(2026,11,23)),ROW(Income!A$3:A$502)-2),4)),""),""))</f>
        <v/>
      </c>
      <c r="E242" s="63" t="str">
        <f aca="false">IF(IFERROR(-INDEX(Expenses!D$3:D$1002,SMALL(IF((Expenses!E$3:E$1002="INR")*(Expenses!A$3:A$1002=DATE(2026,11,24)),ROW(Expenses!A$3:A$1002)-2),4)),0)+IFERROR(INDEX(Income!C$3:C$502,SMALL(IF((Income!D$3:D$502="INR")*(Income!A$3:A$502=DATE(2026,11,24)),ROW(Income!A$3:A$502)-2),4)),0)=0,"",IFERROR(-INDEX(Expenses!D$3:D$1002,SMALL(IF((Expenses!E$3:E$1002="INR")*(Expenses!A$3:A$1002=DATE(2026,11,24)),ROW(Expenses!A$3:A$1002)-2),4)),0)+IFERROR(INDEX(Income!C$3:C$502,SMALL(IF((Income!D$3:D$502="INR")*(Income!A$3:A$502=DATE(2026,11,24)),ROW(Income!A$3:A$502)-2),4)),0))</f>
        <v/>
      </c>
      <c r="F242" s="38" t="str">
        <f aca="false">IF(IFERROR(INDEX(Expenses!B$3:B$1002,SMALL(IF((Expenses!E$3:E$1002="INR")*(Expenses!A$3:A$1002=DATE(2026,11,24)),ROW(Expenses!A$3:A$1002)-2),4)),"")&lt;&gt;"",IFERROR(INDEX(Expenses!B$3:B$1002,SMALL(IF((Expenses!E$3:E$1002="INR")*(Expenses!A$3:A$1002=DATE(2026,11,24)),ROW(Expenses!A$3:A$1002)-2),4)),""),IF(IFERROR(INDEX(Income!B$3:B$502,SMALL(IF((Income!D$3:D$502="INR")*(Income!A$3:A$502=DATE(2026,11,24)),ROW(Income!A$3:A$502)-2),4)),"")&lt;&gt;"",IFERROR(INDEX(Income!B$3:B$502,SMALL(IF((Income!D$3:D$502="INR")*(Income!A$3:A$502=DATE(2026,11,24)),ROW(Income!A$3:A$502)-2),4)),""),""))</f>
        <v/>
      </c>
      <c r="G242" s="63" t="str">
        <f aca="false">IF(IFERROR(-INDEX(Expenses!D$3:D$1002,SMALL(IF((Expenses!E$3:E$1002="INR")*(Expenses!A$3:A$1002=DATE(2026,11,25)),ROW(Expenses!A$3:A$1002)-2),4)),0)+IFERROR(INDEX(Income!C$3:C$502,SMALL(IF((Income!D$3:D$502="INR")*(Income!A$3:A$502=DATE(2026,11,25)),ROW(Income!A$3:A$502)-2),4)),0)=0,"",IFERROR(-INDEX(Expenses!D$3:D$1002,SMALL(IF((Expenses!E$3:E$1002="INR")*(Expenses!A$3:A$1002=DATE(2026,11,25)),ROW(Expenses!A$3:A$1002)-2),4)),0)+IFERROR(INDEX(Income!C$3:C$502,SMALL(IF((Income!D$3:D$502="INR")*(Income!A$3:A$502=DATE(2026,11,25)),ROW(Income!A$3:A$502)-2),4)),0))</f>
        <v/>
      </c>
      <c r="H242" s="38" t="str">
        <f aca="false">IF(IFERROR(INDEX(Expenses!B$3:B$1002,SMALL(IF((Expenses!E$3:E$1002="INR")*(Expenses!A$3:A$1002=DATE(2026,11,25)),ROW(Expenses!A$3:A$1002)-2),4)),"")&lt;&gt;"",IFERROR(INDEX(Expenses!B$3:B$1002,SMALL(IF((Expenses!E$3:E$1002="INR")*(Expenses!A$3:A$1002=DATE(2026,11,25)),ROW(Expenses!A$3:A$1002)-2),4)),""),IF(IFERROR(INDEX(Income!B$3:B$502,SMALL(IF((Income!D$3:D$502="INR")*(Income!A$3:A$502=DATE(2026,11,25)),ROW(Income!A$3:A$502)-2),4)),"")&lt;&gt;"",IFERROR(INDEX(Income!B$3:B$502,SMALL(IF((Income!D$3:D$502="INR")*(Income!A$3:A$502=DATE(2026,11,25)),ROW(Income!A$3:A$502)-2),4)),""),""))</f>
        <v/>
      </c>
      <c r="I242" s="63" t="str">
        <f aca="false">IF(IFERROR(-INDEX(Expenses!D$3:D$1002,SMALL(IF((Expenses!E$3:E$1002="INR")*(Expenses!A$3:A$1002=DATE(2026,11,26)),ROW(Expenses!A$3:A$1002)-2),4)),0)+IFERROR(INDEX(Income!C$3:C$502,SMALL(IF((Income!D$3:D$502="INR")*(Income!A$3:A$502=DATE(2026,11,26)),ROW(Income!A$3:A$502)-2),4)),0)=0,"",IFERROR(-INDEX(Expenses!D$3:D$1002,SMALL(IF((Expenses!E$3:E$1002="INR")*(Expenses!A$3:A$1002=DATE(2026,11,26)),ROW(Expenses!A$3:A$1002)-2),4)),0)+IFERROR(INDEX(Income!C$3:C$502,SMALL(IF((Income!D$3:D$502="INR")*(Income!A$3:A$502=DATE(2026,11,26)),ROW(Income!A$3:A$502)-2),4)),0))</f>
        <v/>
      </c>
      <c r="J242" s="38" t="str">
        <f aca="false">IF(IFERROR(INDEX(Expenses!B$3:B$1002,SMALL(IF((Expenses!E$3:E$1002="INR")*(Expenses!A$3:A$1002=DATE(2026,11,26)),ROW(Expenses!A$3:A$1002)-2),4)),"")&lt;&gt;"",IFERROR(INDEX(Expenses!B$3:B$1002,SMALL(IF((Expenses!E$3:E$1002="INR")*(Expenses!A$3:A$1002=DATE(2026,11,26)),ROW(Expenses!A$3:A$1002)-2),4)),""),IF(IFERROR(INDEX(Income!B$3:B$502,SMALL(IF((Income!D$3:D$502="INR")*(Income!A$3:A$502=DATE(2026,11,26)),ROW(Income!A$3:A$502)-2),4)),"")&lt;&gt;"",IFERROR(INDEX(Income!B$3:B$502,SMALL(IF((Income!D$3:D$502="INR")*(Income!A$3:A$502=DATE(2026,11,26)),ROW(Income!A$3:A$502)-2),4)),""),""))</f>
        <v/>
      </c>
      <c r="K242" s="63" t="str">
        <f aca="false">IF(IFERROR(-INDEX(Expenses!D$3:D$1002,SMALL(IF((Expenses!E$3:E$1002="INR")*(Expenses!A$3:A$1002=DATE(2026,11,27)),ROW(Expenses!A$3:A$1002)-2),4)),0)+IFERROR(INDEX(Income!C$3:C$502,SMALL(IF((Income!D$3:D$502="INR")*(Income!A$3:A$502=DATE(2026,11,27)),ROW(Income!A$3:A$502)-2),4)),0)=0,"",IFERROR(-INDEX(Expenses!D$3:D$1002,SMALL(IF((Expenses!E$3:E$1002="INR")*(Expenses!A$3:A$1002=DATE(2026,11,27)),ROW(Expenses!A$3:A$1002)-2),4)),0)+IFERROR(INDEX(Income!C$3:C$502,SMALL(IF((Income!D$3:D$502="INR")*(Income!A$3:A$502=DATE(2026,11,27)),ROW(Income!A$3:A$502)-2),4)),0))</f>
        <v/>
      </c>
      <c r="L242" s="38" t="str">
        <f aca="false">IF(IFERROR(INDEX(Expenses!B$3:B$1002,SMALL(IF((Expenses!E$3:E$1002="INR")*(Expenses!A$3:A$1002=DATE(2026,11,27)),ROW(Expenses!A$3:A$1002)-2),4)),"")&lt;&gt;"",IFERROR(INDEX(Expenses!B$3:B$1002,SMALL(IF((Expenses!E$3:E$1002="INR")*(Expenses!A$3:A$1002=DATE(2026,11,27)),ROW(Expenses!A$3:A$1002)-2),4)),""),IF(IFERROR(INDEX(Income!B$3:B$502,SMALL(IF((Income!D$3:D$502="INR")*(Income!A$3:A$502=DATE(2026,11,27)),ROW(Income!A$3:A$502)-2),4)),"")&lt;&gt;"",IFERROR(INDEX(Income!B$3:B$502,SMALL(IF((Income!D$3:D$502="INR")*(Income!A$3:A$502=DATE(2026,11,27)),ROW(Income!A$3:A$502)-2),4)),""),""))</f>
        <v/>
      </c>
      <c r="M242" s="63" t="str">
        <f aca="false">IF(IFERROR(-INDEX(Expenses!D$3:D$1002,SMALL(IF((Expenses!E$3:E$1002="INR")*(Expenses!A$3:A$1002=DATE(2026,11,28)),ROW(Expenses!A$3:A$1002)-2),4)),0)+IFERROR(INDEX(Income!C$3:C$502,SMALL(IF((Income!D$3:D$502="INR")*(Income!A$3:A$502=DATE(2026,11,28)),ROW(Income!A$3:A$502)-2),4)),0)=0,"",IFERROR(-INDEX(Expenses!D$3:D$1002,SMALL(IF((Expenses!E$3:E$1002="INR")*(Expenses!A$3:A$1002=DATE(2026,11,28)),ROW(Expenses!A$3:A$1002)-2),4)),0)+IFERROR(INDEX(Income!C$3:C$502,SMALL(IF((Income!D$3:D$502="INR")*(Income!A$3:A$502=DATE(2026,11,28)),ROW(Income!A$3:A$502)-2),4)),0))</f>
        <v/>
      </c>
      <c r="N242" s="38" t="str">
        <f aca="false">IF(IFERROR(INDEX(Expenses!B$3:B$1002,SMALL(IF((Expenses!E$3:E$1002="INR")*(Expenses!A$3:A$1002=DATE(2026,11,28)),ROW(Expenses!A$3:A$1002)-2),4)),"")&lt;&gt;"",IFERROR(INDEX(Expenses!B$3:B$1002,SMALL(IF((Expenses!E$3:E$1002="INR")*(Expenses!A$3:A$1002=DATE(2026,11,28)),ROW(Expenses!A$3:A$1002)-2),4)),""),IF(IFERROR(INDEX(Income!B$3:B$502,SMALL(IF((Income!D$3:D$502="INR")*(Income!A$3:A$502=DATE(2026,11,28)),ROW(Income!A$3:A$502)-2),4)),"")&lt;&gt;"",IFERROR(INDEX(Income!B$3:B$502,SMALL(IF((Income!D$3:D$502="INR")*(Income!A$3:A$502=DATE(2026,11,28)),ROW(Income!A$3:A$502)-2),4)),""),""))</f>
        <v/>
      </c>
      <c r="O242" s="63" t="str">
        <f aca="false">IF(IFERROR(-INDEX(Expenses!D$3:D$1002,SMALL(IF((Expenses!E$3:E$1002="INR")*(Expenses!A$3:A$1002=DATE(2026,11,29)),ROW(Expenses!A$3:A$1002)-2),4)),0)+IFERROR(INDEX(Income!C$3:C$502,SMALL(IF((Income!D$3:D$502="INR")*(Income!A$3:A$502=DATE(2026,11,29)),ROW(Income!A$3:A$502)-2),4)),0)=0,"",IFERROR(-INDEX(Expenses!D$3:D$1002,SMALL(IF((Expenses!E$3:E$1002="INR")*(Expenses!A$3:A$1002=DATE(2026,11,29)),ROW(Expenses!A$3:A$1002)-2),4)),0)+IFERROR(INDEX(Income!C$3:C$502,SMALL(IF((Income!D$3:D$502="INR")*(Income!A$3:A$502=DATE(2026,11,29)),ROW(Income!A$3:A$502)-2),4)),0))</f>
        <v/>
      </c>
      <c r="P242" s="38" t="str">
        <f aca="false">IF(IFERROR(INDEX(Expenses!B$3:B$1002,SMALL(IF((Expenses!E$3:E$1002="INR")*(Expenses!A$3:A$1002=DATE(2026,11,29)),ROW(Expenses!A$3:A$1002)-2),4)),"")&lt;&gt;"",IFERROR(INDEX(Expenses!B$3:B$1002,SMALL(IF((Expenses!E$3:E$1002="INR")*(Expenses!A$3:A$1002=DATE(2026,11,29)),ROW(Expenses!A$3:A$1002)-2),4)),""),IF(IFERROR(INDEX(Income!B$3:B$502,SMALL(IF((Income!D$3:D$502="INR")*(Income!A$3:A$502=DATE(2026,11,29)),ROW(Income!A$3:A$502)-2),4)),"")&lt;&gt;"",IFERROR(INDEX(Income!B$3:B$502,SMALL(IF((Income!D$3:D$502="INR")*(Income!A$3:A$502=DATE(2026,11,29)),ROW(Income!A$3:A$502)-2),4)),""),""))</f>
        <v/>
      </c>
      <c r="Q242" s="16"/>
      <c r="R242" s="16"/>
    </row>
    <row r="243" customFormat="false" ht="15" hidden="false" customHeight="false" outlineLevel="0" collapsed="false">
      <c r="A243" s="16"/>
      <c r="B243" s="16"/>
      <c r="C243" s="63" t="str">
        <f aca="false">IF(IFERROR(-INDEX(Expenses!D$3:D$1002,SMALL(IF((Expenses!E$3:E$1002="INR")*(Expenses!A$3:A$1002=DATE(2026,11,23)),ROW(Expenses!A$3:A$1002)-2),5)),0)+IFERROR(INDEX(Income!C$3:C$502,SMALL(IF((Income!D$3:D$502="INR")*(Income!A$3:A$502=DATE(2026,11,23)),ROW(Income!A$3:A$502)-2),5)),0)=0,"",IFERROR(-INDEX(Expenses!D$3:D$1002,SMALL(IF((Expenses!E$3:E$1002="INR")*(Expenses!A$3:A$1002=DATE(2026,11,23)),ROW(Expenses!A$3:A$1002)-2),5)),0)+IFERROR(INDEX(Income!C$3:C$502,SMALL(IF((Income!D$3:D$502="INR")*(Income!A$3:A$502=DATE(2026,11,23)),ROW(Income!A$3:A$502)-2),5)),0))</f>
        <v/>
      </c>
      <c r="D243" s="38" t="str">
        <f aca="false">IF(IFERROR(INDEX(Expenses!B$3:B$1002,SMALL(IF((Expenses!E$3:E$1002="INR")*(Expenses!A$3:A$1002=DATE(2026,11,23)),ROW(Expenses!A$3:A$1002)-2),5)),"")&lt;&gt;"",IFERROR(INDEX(Expenses!B$3:B$1002,SMALL(IF((Expenses!E$3:E$1002="INR")*(Expenses!A$3:A$1002=DATE(2026,11,23)),ROW(Expenses!A$3:A$1002)-2),5)),""),IF(IFERROR(INDEX(Income!B$3:B$502,SMALL(IF((Income!D$3:D$502="INR")*(Income!A$3:A$502=DATE(2026,11,23)),ROW(Income!A$3:A$502)-2),5)),"")&lt;&gt;"",IFERROR(INDEX(Income!B$3:B$502,SMALL(IF((Income!D$3:D$502="INR")*(Income!A$3:A$502=DATE(2026,11,23)),ROW(Income!A$3:A$502)-2),5)),""),""))</f>
        <v/>
      </c>
      <c r="E243" s="63" t="str">
        <f aca="false">IF(IFERROR(-INDEX(Expenses!D$3:D$1002,SMALL(IF((Expenses!E$3:E$1002="INR")*(Expenses!A$3:A$1002=DATE(2026,11,24)),ROW(Expenses!A$3:A$1002)-2),5)),0)+IFERROR(INDEX(Income!C$3:C$502,SMALL(IF((Income!D$3:D$502="INR")*(Income!A$3:A$502=DATE(2026,11,24)),ROW(Income!A$3:A$502)-2),5)),0)=0,"",IFERROR(-INDEX(Expenses!D$3:D$1002,SMALL(IF((Expenses!E$3:E$1002="INR")*(Expenses!A$3:A$1002=DATE(2026,11,24)),ROW(Expenses!A$3:A$1002)-2),5)),0)+IFERROR(INDEX(Income!C$3:C$502,SMALL(IF((Income!D$3:D$502="INR")*(Income!A$3:A$502=DATE(2026,11,24)),ROW(Income!A$3:A$502)-2),5)),0))</f>
        <v/>
      </c>
      <c r="F243" s="38" t="str">
        <f aca="false">IF(IFERROR(INDEX(Expenses!B$3:B$1002,SMALL(IF((Expenses!E$3:E$1002="INR")*(Expenses!A$3:A$1002=DATE(2026,11,24)),ROW(Expenses!A$3:A$1002)-2),5)),"")&lt;&gt;"",IFERROR(INDEX(Expenses!B$3:B$1002,SMALL(IF((Expenses!E$3:E$1002="INR")*(Expenses!A$3:A$1002=DATE(2026,11,24)),ROW(Expenses!A$3:A$1002)-2),5)),""),IF(IFERROR(INDEX(Income!B$3:B$502,SMALL(IF((Income!D$3:D$502="INR")*(Income!A$3:A$502=DATE(2026,11,24)),ROW(Income!A$3:A$502)-2),5)),"")&lt;&gt;"",IFERROR(INDEX(Income!B$3:B$502,SMALL(IF((Income!D$3:D$502="INR")*(Income!A$3:A$502=DATE(2026,11,24)),ROW(Income!A$3:A$502)-2),5)),""),""))</f>
        <v/>
      </c>
      <c r="G243" s="63" t="str">
        <f aca="false">IF(IFERROR(-INDEX(Expenses!D$3:D$1002,SMALL(IF((Expenses!E$3:E$1002="INR")*(Expenses!A$3:A$1002=DATE(2026,11,25)),ROW(Expenses!A$3:A$1002)-2),5)),0)+IFERROR(INDEX(Income!C$3:C$502,SMALL(IF((Income!D$3:D$502="INR")*(Income!A$3:A$502=DATE(2026,11,25)),ROW(Income!A$3:A$502)-2),5)),0)=0,"",IFERROR(-INDEX(Expenses!D$3:D$1002,SMALL(IF((Expenses!E$3:E$1002="INR")*(Expenses!A$3:A$1002=DATE(2026,11,25)),ROW(Expenses!A$3:A$1002)-2),5)),0)+IFERROR(INDEX(Income!C$3:C$502,SMALL(IF((Income!D$3:D$502="INR")*(Income!A$3:A$502=DATE(2026,11,25)),ROW(Income!A$3:A$502)-2),5)),0))</f>
        <v/>
      </c>
      <c r="H243" s="38" t="str">
        <f aca="false">IF(IFERROR(INDEX(Expenses!B$3:B$1002,SMALL(IF((Expenses!E$3:E$1002="INR")*(Expenses!A$3:A$1002=DATE(2026,11,25)),ROW(Expenses!A$3:A$1002)-2),5)),"")&lt;&gt;"",IFERROR(INDEX(Expenses!B$3:B$1002,SMALL(IF((Expenses!E$3:E$1002="INR")*(Expenses!A$3:A$1002=DATE(2026,11,25)),ROW(Expenses!A$3:A$1002)-2),5)),""),IF(IFERROR(INDEX(Income!B$3:B$502,SMALL(IF((Income!D$3:D$502="INR")*(Income!A$3:A$502=DATE(2026,11,25)),ROW(Income!A$3:A$502)-2),5)),"")&lt;&gt;"",IFERROR(INDEX(Income!B$3:B$502,SMALL(IF((Income!D$3:D$502="INR")*(Income!A$3:A$502=DATE(2026,11,25)),ROW(Income!A$3:A$502)-2),5)),""),""))</f>
        <v/>
      </c>
      <c r="I243" s="63" t="str">
        <f aca="false">IF(IFERROR(-INDEX(Expenses!D$3:D$1002,SMALL(IF((Expenses!E$3:E$1002="INR")*(Expenses!A$3:A$1002=DATE(2026,11,26)),ROW(Expenses!A$3:A$1002)-2),5)),0)+IFERROR(INDEX(Income!C$3:C$502,SMALL(IF((Income!D$3:D$502="INR")*(Income!A$3:A$502=DATE(2026,11,26)),ROW(Income!A$3:A$502)-2),5)),0)=0,"",IFERROR(-INDEX(Expenses!D$3:D$1002,SMALL(IF((Expenses!E$3:E$1002="INR")*(Expenses!A$3:A$1002=DATE(2026,11,26)),ROW(Expenses!A$3:A$1002)-2),5)),0)+IFERROR(INDEX(Income!C$3:C$502,SMALL(IF((Income!D$3:D$502="INR")*(Income!A$3:A$502=DATE(2026,11,26)),ROW(Income!A$3:A$502)-2),5)),0))</f>
        <v/>
      </c>
      <c r="J243" s="38" t="str">
        <f aca="false">IF(IFERROR(INDEX(Expenses!B$3:B$1002,SMALL(IF((Expenses!E$3:E$1002="INR")*(Expenses!A$3:A$1002=DATE(2026,11,26)),ROW(Expenses!A$3:A$1002)-2),5)),"")&lt;&gt;"",IFERROR(INDEX(Expenses!B$3:B$1002,SMALL(IF((Expenses!E$3:E$1002="INR")*(Expenses!A$3:A$1002=DATE(2026,11,26)),ROW(Expenses!A$3:A$1002)-2),5)),""),IF(IFERROR(INDEX(Income!B$3:B$502,SMALL(IF((Income!D$3:D$502="INR")*(Income!A$3:A$502=DATE(2026,11,26)),ROW(Income!A$3:A$502)-2),5)),"")&lt;&gt;"",IFERROR(INDEX(Income!B$3:B$502,SMALL(IF((Income!D$3:D$502="INR")*(Income!A$3:A$502=DATE(2026,11,26)),ROW(Income!A$3:A$502)-2),5)),""),""))</f>
        <v/>
      </c>
      <c r="K243" s="63" t="str">
        <f aca="false">IF(IFERROR(-INDEX(Expenses!D$3:D$1002,SMALL(IF((Expenses!E$3:E$1002="INR")*(Expenses!A$3:A$1002=DATE(2026,11,27)),ROW(Expenses!A$3:A$1002)-2),5)),0)+IFERROR(INDEX(Income!C$3:C$502,SMALL(IF((Income!D$3:D$502="INR")*(Income!A$3:A$502=DATE(2026,11,27)),ROW(Income!A$3:A$502)-2),5)),0)=0,"",IFERROR(-INDEX(Expenses!D$3:D$1002,SMALL(IF((Expenses!E$3:E$1002="INR")*(Expenses!A$3:A$1002=DATE(2026,11,27)),ROW(Expenses!A$3:A$1002)-2),5)),0)+IFERROR(INDEX(Income!C$3:C$502,SMALL(IF((Income!D$3:D$502="INR")*(Income!A$3:A$502=DATE(2026,11,27)),ROW(Income!A$3:A$502)-2),5)),0))</f>
        <v/>
      </c>
      <c r="L243" s="38" t="str">
        <f aca="false">IF(IFERROR(INDEX(Expenses!B$3:B$1002,SMALL(IF((Expenses!E$3:E$1002="INR")*(Expenses!A$3:A$1002=DATE(2026,11,27)),ROW(Expenses!A$3:A$1002)-2),5)),"")&lt;&gt;"",IFERROR(INDEX(Expenses!B$3:B$1002,SMALL(IF((Expenses!E$3:E$1002="INR")*(Expenses!A$3:A$1002=DATE(2026,11,27)),ROW(Expenses!A$3:A$1002)-2),5)),""),IF(IFERROR(INDEX(Income!B$3:B$502,SMALL(IF((Income!D$3:D$502="INR")*(Income!A$3:A$502=DATE(2026,11,27)),ROW(Income!A$3:A$502)-2),5)),"")&lt;&gt;"",IFERROR(INDEX(Income!B$3:B$502,SMALL(IF((Income!D$3:D$502="INR")*(Income!A$3:A$502=DATE(2026,11,27)),ROW(Income!A$3:A$502)-2),5)),""),""))</f>
        <v/>
      </c>
      <c r="M243" s="63" t="str">
        <f aca="false">IF(IFERROR(-INDEX(Expenses!D$3:D$1002,SMALL(IF((Expenses!E$3:E$1002="INR")*(Expenses!A$3:A$1002=DATE(2026,11,28)),ROW(Expenses!A$3:A$1002)-2),5)),0)+IFERROR(INDEX(Income!C$3:C$502,SMALL(IF((Income!D$3:D$502="INR")*(Income!A$3:A$502=DATE(2026,11,28)),ROW(Income!A$3:A$502)-2),5)),0)=0,"",IFERROR(-INDEX(Expenses!D$3:D$1002,SMALL(IF((Expenses!E$3:E$1002="INR")*(Expenses!A$3:A$1002=DATE(2026,11,28)),ROW(Expenses!A$3:A$1002)-2),5)),0)+IFERROR(INDEX(Income!C$3:C$502,SMALL(IF((Income!D$3:D$502="INR")*(Income!A$3:A$502=DATE(2026,11,28)),ROW(Income!A$3:A$502)-2),5)),0))</f>
        <v/>
      </c>
      <c r="N243" s="38" t="str">
        <f aca="false">IF(IFERROR(INDEX(Expenses!B$3:B$1002,SMALL(IF((Expenses!E$3:E$1002="INR")*(Expenses!A$3:A$1002=DATE(2026,11,28)),ROW(Expenses!A$3:A$1002)-2),5)),"")&lt;&gt;"",IFERROR(INDEX(Expenses!B$3:B$1002,SMALL(IF((Expenses!E$3:E$1002="INR")*(Expenses!A$3:A$1002=DATE(2026,11,28)),ROW(Expenses!A$3:A$1002)-2),5)),""),IF(IFERROR(INDEX(Income!B$3:B$502,SMALL(IF((Income!D$3:D$502="INR")*(Income!A$3:A$502=DATE(2026,11,28)),ROW(Income!A$3:A$502)-2),5)),"")&lt;&gt;"",IFERROR(INDEX(Income!B$3:B$502,SMALL(IF((Income!D$3:D$502="INR")*(Income!A$3:A$502=DATE(2026,11,28)),ROW(Income!A$3:A$502)-2),5)),""),""))</f>
        <v/>
      </c>
      <c r="O243" s="63" t="str">
        <f aca="false">IF(IFERROR(-INDEX(Expenses!D$3:D$1002,SMALL(IF((Expenses!E$3:E$1002="INR")*(Expenses!A$3:A$1002=DATE(2026,11,29)),ROW(Expenses!A$3:A$1002)-2),5)),0)+IFERROR(INDEX(Income!C$3:C$502,SMALL(IF((Income!D$3:D$502="INR")*(Income!A$3:A$502=DATE(2026,11,29)),ROW(Income!A$3:A$502)-2),5)),0)=0,"",IFERROR(-INDEX(Expenses!D$3:D$1002,SMALL(IF((Expenses!E$3:E$1002="INR")*(Expenses!A$3:A$1002=DATE(2026,11,29)),ROW(Expenses!A$3:A$1002)-2),5)),0)+IFERROR(INDEX(Income!C$3:C$502,SMALL(IF((Income!D$3:D$502="INR")*(Income!A$3:A$502=DATE(2026,11,29)),ROW(Income!A$3:A$502)-2),5)),0))</f>
        <v/>
      </c>
      <c r="P243" s="38" t="str">
        <f aca="false">IF(IFERROR(INDEX(Expenses!B$3:B$1002,SMALL(IF((Expenses!E$3:E$1002="INR")*(Expenses!A$3:A$1002=DATE(2026,11,29)),ROW(Expenses!A$3:A$1002)-2),5)),"")&lt;&gt;"",IFERROR(INDEX(Expenses!B$3:B$1002,SMALL(IF((Expenses!E$3:E$1002="INR")*(Expenses!A$3:A$1002=DATE(2026,11,29)),ROW(Expenses!A$3:A$1002)-2),5)),""),IF(IFERROR(INDEX(Income!B$3:B$502,SMALL(IF((Income!D$3:D$502="INR")*(Income!A$3:A$502=DATE(2026,11,29)),ROW(Income!A$3:A$502)-2),5)),"")&lt;&gt;"",IFERROR(INDEX(Income!B$3:B$502,SMALL(IF((Income!D$3:D$502="INR")*(Income!A$3:A$502=DATE(2026,11,29)),ROW(Income!A$3:A$502)-2),5)),""),""))</f>
        <v/>
      </c>
      <c r="Q243" s="16"/>
      <c r="R243" s="16"/>
    </row>
    <row r="244" customFormat="false" ht="15" hidden="false" customHeight="false" outlineLevel="0" collapsed="false">
      <c r="A244" s="61" t="n">
        <v>46356</v>
      </c>
      <c r="B244" s="3" t="n">
        <v>49</v>
      </c>
      <c r="C244" s="63" t="str">
        <f aca="false">IF(IFERROR(-INDEX(Expenses!D$3:D$1002,SMALL(IF((Expenses!E$3:E$1002="INR")*(Expenses!A$3:A$1002=DATE(2026,11,30)),ROW(Expenses!A$3:A$1002)-2),1)),0)+IFERROR(INDEX(Income!C$3:C$502,SMALL(IF((Income!D$3:D$502="INR")*(Income!A$3:A$502=DATE(2026,11,30)),ROW(Income!A$3:A$502)-2),1)),0)=0,"",IFERROR(-INDEX(Expenses!D$3:D$1002,SMALL(IF((Expenses!E$3:E$1002="INR")*(Expenses!A$3:A$1002=DATE(2026,11,30)),ROW(Expenses!A$3:A$1002)-2),1)),0)+IFERROR(INDEX(Income!C$3:C$502,SMALL(IF((Income!D$3:D$502="INR")*(Income!A$3:A$502=DATE(2026,11,30)),ROW(Income!A$3:A$502)-2),1)),0))</f>
        <v/>
      </c>
      <c r="D244" s="38" t="str">
        <f aca="false">IF(IFERROR(INDEX(Expenses!B$3:B$1002,SMALL(IF((Expenses!E$3:E$1002="INR")*(Expenses!A$3:A$1002=DATE(2026,11,30)),ROW(Expenses!A$3:A$1002)-2),1)),"")&lt;&gt;"",IFERROR(INDEX(Expenses!B$3:B$1002,SMALL(IF((Expenses!E$3:E$1002="INR")*(Expenses!A$3:A$1002=DATE(2026,11,30)),ROW(Expenses!A$3:A$1002)-2),1)),""),IF(IFERROR(INDEX(Income!B$3:B$502,SMALL(IF((Income!D$3:D$502="INR")*(Income!A$3:A$502=DATE(2026,11,30)),ROW(Income!A$3:A$502)-2),1)),"")&lt;&gt;"",IFERROR(INDEX(Income!B$3:B$502,SMALL(IF((Income!D$3:D$502="INR")*(Income!A$3:A$502=DATE(2026,11,30)),ROW(Income!A$3:A$502)-2),1)),""),""))</f>
        <v/>
      </c>
      <c r="E244" s="63" t="str">
        <f aca="false">IF(IFERROR(-INDEX(Expenses!D$3:D$1002,SMALL(IF((Expenses!E$3:E$1002="INR")*(Expenses!A$3:A$1002=DATE(2026,12,1)),ROW(Expenses!A$3:A$1002)-2),1)),0)+IFERROR(INDEX(Income!C$3:C$502,SMALL(IF((Income!D$3:D$502="INR")*(Income!A$3:A$502=DATE(2026,12,1)),ROW(Income!A$3:A$502)-2),1)),0)=0,"",IFERROR(-INDEX(Expenses!D$3:D$1002,SMALL(IF((Expenses!E$3:E$1002="INR")*(Expenses!A$3:A$1002=DATE(2026,12,1)),ROW(Expenses!A$3:A$1002)-2),1)),0)+IFERROR(INDEX(Income!C$3:C$502,SMALL(IF((Income!D$3:D$502="INR")*(Income!A$3:A$502=DATE(2026,12,1)),ROW(Income!A$3:A$502)-2),1)),0))</f>
        <v/>
      </c>
      <c r="F244" s="38" t="str">
        <f aca="false">IF(IFERROR(INDEX(Expenses!B$3:B$1002,SMALL(IF((Expenses!E$3:E$1002="INR")*(Expenses!A$3:A$1002=DATE(2026,12,1)),ROW(Expenses!A$3:A$1002)-2),1)),"")&lt;&gt;"",IFERROR(INDEX(Expenses!B$3:B$1002,SMALL(IF((Expenses!E$3:E$1002="INR")*(Expenses!A$3:A$1002=DATE(2026,12,1)),ROW(Expenses!A$3:A$1002)-2),1)),""),IF(IFERROR(INDEX(Income!B$3:B$502,SMALL(IF((Income!D$3:D$502="INR")*(Income!A$3:A$502=DATE(2026,12,1)),ROW(Income!A$3:A$502)-2),1)),"")&lt;&gt;"",IFERROR(INDEX(Income!B$3:B$502,SMALL(IF((Income!D$3:D$502="INR")*(Income!A$3:A$502=DATE(2026,12,1)),ROW(Income!A$3:A$502)-2),1)),""),""))</f>
        <v/>
      </c>
      <c r="G244" s="63" t="str">
        <f aca="false">IF(IFERROR(-INDEX(Expenses!D$3:D$1002,SMALL(IF((Expenses!E$3:E$1002="INR")*(Expenses!A$3:A$1002=DATE(2026,12,2)),ROW(Expenses!A$3:A$1002)-2),1)),0)+IFERROR(INDEX(Income!C$3:C$502,SMALL(IF((Income!D$3:D$502="INR")*(Income!A$3:A$502=DATE(2026,12,2)),ROW(Income!A$3:A$502)-2),1)),0)=0,"",IFERROR(-INDEX(Expenses!D$3:D$1002,SMALL(IF((Expenses!E$3:E$1002="INR")*(Expenses!A$3:A$1002=DATE(2026,12,2)),ROW(Expenses!A$3:A$1002)-2),1)),0)+IFERROR(INDEX(Income!C$3:C$502,SMALL(IF((Income!D$3:D$502="INR")*(Income!A$3:A$502=DATE(2026,12,2)),ROW(Income!A$3:A$502)-2),1)),0))</f>
        <v/>
      </c>
      <c r="H244" s="38" t="str">
        <f aca="false">IF(IFERROR(INDEX(Expenses!B$3:B$1002,SMALL(IF((Expenses!E$3:E$1002="INR")*(Expenses!A$3:A$1002=DATE(2026,12,2)),ROW(Expenses!A$3:A$1002)-2),1)),"")&lt;&gt;"",IFERROR(INDEX(Expenses!B$3:B$1002,SMALL(IF((Expenses!E$3:E$1002="INR")*(Expenses!A$3:A$1002=DATE(2026,12,2)),ROW(Expenses!A$3:A$1002)-2),1)),""),IF(IFERROR(INDEX(Income!B$3:B$502,SMALL(IF((Income!D$3:D$502="INR")*(Income!A$3:A$502=DATE(2026,12,2)),ROW(Income!A$3:A$502)-2),1)),"")&lt;&gt;"",IFERROR(INDEX(Income!B$3:B$502,SMALL(IF((Income!D$3:D$502="INR")*(Income!A$3:A$502=DATE(2026,12,2)),ROW(Income!A$3:A$502)-2),1)),""),""))</f>
        <v/>
      </c>
      <c r="I244" s="63" t="str">
        <f aca="false">IF(IFERROR(-INDEX(Expenses!D$3:D$1002,SMALL(IF((Expenses!E$3:E$1002="INR")*(Expenses!A$3:A$1002=DATE(2026,12,3)),ROW(Expenses!A$3:A$1002)-2),1)),0)+IFERROR(INDEX(Income!C$3:C$502,SMALL(IF((Income!D$3:D$502="INR")*(Income!A$3:A$502=DATE(2026,12,3)),ROW(Income!A$3:A$502)-2),1)),0)=0,"",IFERROR(-INDEX(Expenses!D$3:D$1002,SMALL(IF((Expenses!E$3:E$1002="INR")*(Expenses!A$3:A$1002=DATE(2026,12,3)),ROW(Expenses!A$3:A$1002)-2),1)),0)+IFERROR(INDEX(Income!C$3:C$502,SMALL(IF((Income!D$3:D$502="INR")*(Income!A$3:A$502=DATE(2026,12,3)),ROW(Income!A$3:A$502)-2),1)),0))</f>
        <v/>
      </c>
      <c r="J244" s="38" t="str">
        <f aca="false">IF(IFERROR(INDEX(Expenses!B$3:B$1002,SMALL(IF((Expenses!E$3:E$1002="INR")*(Expenses!A$3:A$1002=DATE(2026,12,3)),ROW(Expenses!A$3:A$1002)-2),1)),"")&lt;&gt;"",IFERROR(INDEX(Expenses!B$3:B$1002,SMALL(IF((Expenses!E$3:E$1002="INR")*(Expenses!A$3:A$1002=DATE(2026,12,3)),ROW(Expenses!A$3:A$1002)-2),1)),""),IF(IFERROR(INDEX(Income!B$3:B$502,SMALL(IF((Income!D$3:D$502="INR")*(Income!A$3:A$502=DATE(2026,12,3)),ROW(Income!A$3:A$502)-2),1)),"")&lt;&gt;"",IFERROR(INDEX(Income!B$3:B$502,SMALL(IF((Income!D$3:D$502="INR")*(Income!A$3:A$502=DATE(2026,12,3)),ROW(Income!A$3:A$502)-2),1)),""),""))</f>
        <v/>
      </c>
      <c r="K244" s="63" t="str">
        <f aca="false">IF(IFERROR(-INDEX(Expenses!D$3:D$1002,SMALL(IF((Expenses!E$3:E$1002="INR")*(Expenses!A$3:A$1002=DATE(2026,12,4)),ROW(Expenses!A$3:A$1002)-2),1)),0)+IFERROR(INDEX(Income!C$3:C$502,SMALL(IF((Income!D$3:D$502="INR")*(Income!A$3:A$502=DATE(2026,12,4)),ROW(Income!A$3:A$502)-2),1)),0)=0,"",IFERROR(-INDEX(Expenses!D$3:D$1002,SMALL(IF((Expenses!E$3:E$1002="INR")*(Expenses!A$3:A$1002=DATE(2026,12,4)),ROW(Expenses!A$3:A$1002)-2),1)),0)+IFERROR(INDEX(Income!C$3:C$502,SMALL(IF((Income!D$3:D$502="INR")*(Income!A$3:A$502=DATE(2026,12,4)),ROW(Income!A$3:A$502)-2),1)),0))</f>
        <v/>
      </c>
      <c r="L244" s="38" t="str">
        <f aca="false">IF(IFERROR(INDEX(Expenses!B$3:B$1002,SMALL(IF((Expenses!E$3:E$1002="INR")*(Expenses!A$3:A$1002=DATE(2026,12,4)),ROW(Expenses!A$3:A$1002)-2),1)),"")&lt;&gt;"",IFERROR(INDEX(Expenses!B$3:B$1002,SMALL(IF((Expenses!E$3:E$1002="INR")*(Expenses!A$3:A$1002=DATE(2026,12,4)),ROW(Expenses!A$3:A$1002)-2),1)),""),IF(IFERROR(INDEX(Income!B$3:B$502,SMALL(IF((Income!D$3:D$502="INR")*(Income!A$3:A$502=DATE(2026,12,4)),ROW(Income!A$3:A$502)-2),1)),"")&lt;&gt;"",IFERROR(INDEX(Income!B$3:B$502,SMALL(IF((Income!D$3:D$502="INR")*(Income!A$3:A$502=DATE(2026,12,4)),ROW(Income!A$3:A$502)-2),1)),""),""))</f>
        <v/>
      </c>
      <c r="M244" s="63" t="str">
        <f aca="false">IF(IFERROR(-INDEX(Expenses!D$3:D$1002,SMALL(IF((Expenses!E$3:E$1002="INR")*(Expenses!A$3:A$1002=DATE(2026,12,5)),ROW(Expenses!A$3:A$1002)-2),1)),0)+IFERROR(INDEX(Income!C$3:C$502,SMALL(IF((Income!D$3:D$502="INR")*(Income!A$3:A$502=DATE(2026,12,5)),ROW(Income!A$3:A$502)-2),1)),0)=0,"",IFERROR(-INDEX(Expenses!D$3:D$1002,SMALL(IF((Expenses!E$3:E$1002="INR")*(Expenses!A$3:A$1002=DATE(2026,12,5)),ROW(Expenses!A$3:A$1002)-2),1)),0)+IFERROR(INDEX(Income!C$3:C$502,SMALL(IF((Income!D$3:D$502="INR")*(Income!A$3:A$502=DATE(2026,12,5)),ROW(Income!A$3:A$502)-2),1)),0))</f>
        <v/>
      </c>
      <c r="N244" s="38" t="str">
        <f aca="false">IF(IFERROR(INDEX(Expenses!B$3:B$1002,SMALL(IF((Expenses!E$3:E$1002="INR")*(Expenses!A$3:A$1002=DATE(2026,12,5)),ROW(Expenses!A$3:A$1002)-2),1)),"")&lt;&gt;"",IFERROR(INDEX(Expenses!B$3:B$1002,SMALL(IF((Expenses!E$3:E$1002="INR")*(Expenses!A$3:A$1002=DATE(2026,12,5)),ROW(Expenses!A$3:A$1002)-2),1)),""),IF(IFERROR(INDEX(Income!B$3:B$502,SMALL(IF((Income!D$3:D$502="INR")*(Income!A$3:A$502=DATE(2026,12,5)),ROW(Income!A$3:A$502)-2),1)),"")&lt;&gt;"",IFERROR(INDEX(Income!B$3:B$502,SMALL(IF((Income!D$3:D$502="INR")*(Income!A$3:A$502=DATE(2026,12,5)),ROW(Income!A$3:A$502)-2),1)),""),""))</f>
        <v/>
      </c>
      <c r="O244" s="63" t="str">
        <f aca="false">IF(IFERROR(-INDEX(Expenses!D$3:D$1002,SMALL(IF((Expenses!E$3:E$1002="INR")*(Expenses!A$3:A$1002=DATE(2026,12,6)),ROW(Expenses!A$3:A$1002)-2),1)),0)+IFERROR(INDEX(Income!C$3:C$502,SMALL(IF((Income!D$3:D$502="INR")*(Income!A$3:A$502=DATE(2026,12,6)),ROW(Income!A$3:A$502)-2),1)),0)=0,"",IFERROR(-INDEX(Expenses!D$3:D$1002,SMALL(IF((Expenses!E$3:E$1002="INR")*(Expenses!A$3:A$1002=DATE(2026,12,6)),ROW(Expenses!A$3:A$1002)-2),1)),0)+IFERROR(INDEX(Income!C$3:C$502,SMALL(IF((Income!D$3:D$502="INR")*(Income!A$3:A$502=DATE(2026,12,6)),ROW(Income!A$3:A$502)-2),1)),0))</f>
        <v/>
      </c>
      <c r="P244" s="38" t="str">
        <f aca="false">IF(IFERROR(INDEX(Expenses!B$3:B$1002,SMALL(IF((Expenses!E$3:E$1002="INR")*(Expenses!A$3:A$1002=DATE(2026,12,6)),ROW(Expenses!A$3:A$1002)-2),1)),"")&lt;&gt;"",IFERROR(INDEX(Expenses!B$3:B$1002,SMALL(IF((Expenses!E$3:E$1002="INR")*(Expenses!A$3:A$1002=DATE(2026,12,6)),ROW(Expenses!A$3:A$1002)-2),1)),""),IF(IFERROR(INDEX(Income!B$3:B$502,SMALL(IF((Income!D$3:D$502="INR")*(Income!A$3:A$502=DATE(2026,12,6)),ROW(Income!A$3:A$502)-2),1)),"")&lt;&gt;"",IFERROR(INDEX(Income!B$3:B$502,SMALL(IF((Income!D$3:D$502="INR")*(Income!A$3:A$502=DATE(2026,12,6)),ROW(Income!A$3:A$502)-2),1)),""),""))</f>
        <v/>
      </c>
      <c r="Q244" s="3" t="n">
        <v>49</v>
      </c>
      <c r="R244" s="53" t="n">
        <f aca="false">SUM(C244:C248)+SUM(E244:E248)+SUM(G244:G248)+SUM(I244:I248)+SUM(K244:K248)+SUM(M244:M248)+SUM(O244:O248)</f>
        <v>0</v>
      </c>
    </row>
    <row r="245" customFormat="false" ht="15" hidden="false" customHeight="false" outlineLevel="0" collapsed="false">
      <c r="A245" s="16"/>
      <c r="B245" s="16"/>
      <c r="C245" s="63" t="str">
        <f aca="false">IF(IFERROR(-INDEX(Expenses!D$3:D$1002,SMALL(IF((Expenses!E$3:E$1002="INR")*(Expenses!A$3:A$1002=DATE(2026,11,30)),ROW(Expenses!A$3:A$1002)-2),2)),0)+IFERROR(INDEX(Income!C$3:C$502,SMALL(IF((Income!D$3:D$502="INR")*(Income!A$3:A$502=DATE(2026,11,30)),ROW(Income!A$3:A$502)-2),2)),0)=0,"",IFERROR(-INDEX(Expenses!D$3:D$1002,SMALL(IF((Expenses!E$3:E$1002="INR")*(Expenses!A$3:A$1002=DATE(2026,11,30)),ROW(Expenses!A$3:A$1002)-2),2)),0)+IFERROR(INDEX(Income!C$3:C$502,SMALL(IF((Income!D$3:D$502="INR")*(Income!A$3:A$502=DATE(2026,11,30)),ROW(Income!A$3:A$502)-2),2)),0))</f>
        <v/>
      </c>
      <c r="D245" s="38" t="str">
        <f aca="false">IF(IFERROR(INDEX(Expenses!B$3:B$1002,SMALL(IF((Expenses!E$3:E$1002="INR")*(Expenses!A$3:A$1002=DATE(2026,11,30)),ROW(Expenses!A$3:A$1002)-2),2)),"")&lt;&gt;"",IFERROR(INDEX(Expenses!B$3:B$1002,SMALL(IF((Expenses!E$3:E$1002="INR")*(Expenses!A$3:A$1002=DATE(2026,11,30)),ROW(Expenses!A$3:A$1002)-2),2)),""),IF(IFERROR(INDEX(Income!B$3:B$502,SMALL(IF((Income!D$3:D$502="INR")*(Income!A$3:A$502=DATE(2026,11,30)),ROW(Income!A$3:A$502)-2),2)),"")&lt;&gt;"",IFERROR(INDEX(Income!B$3:B$502,SMALL(IF((Income!D$3:D$502="INR")*(Income!A$3:A$502=DATE(2026,11,30)),ROW(Income!A$3:A$502)-2),2)),""),""))</f>
        <v/>
      </c>
      <c r="E245" s="63" t="str">
        <f aca="false">IF(IFERROR(-INDEX(Expenses!D$3:D$1002,SMALL(IF((Expenses!E$3:E$1002="INR")*(Expenses!A$3:A$1002=DATE(2026,12,1)),ROW(Expenses!A$3:A$1002)-2),2)),0)+IFERROR(INDEX(Income!C$3:C$502,SMALL(IF((Income!D$3:D$502="INR")*(Income!A$3:A$502=DATE(2026,12,1)),ROW(Income!A$3:A$502)-2),2)),0)=0,"",IFERROR(-INDEX(Expenses!D$3:D$1002,SMALL(IF((Expenses!E$3:E$1002="INR")*(Expenses!A$3:A$1002=DATE(2026,12,1)),ROW(Expenses!A$3:A$1002)-2),2)),0)+IFERROR(INDEX(Income!C$3:C$502,SMALL(IF((Income!D$3:D$502="INR")*(Income!A$3:A$502=DATE(2026,12,1)),ROW(Income!A$3:A$502)-2),2)),0))</f>
        <v/>
      </c>
      <c r="F245" s="38" t="str">
        <f aca="false">IF(IFERROR(INDEX(Expenses!B$3:B$1002,SMALL(IF((Expenses!E$3:E$1002="INR")*(Expenses!A$3:A$1002=DATE(2026,12,1)),ROW(Expenses!A$3:A$1002)-2),2)),"")&lt;&gt;"",IFERROR(INDEX(Expenses!B$3:B$1002,SMALL(IF((Expenses!E$3:E$1002="INR")*(Expenses!A$3:A$1002=DATE(2026,12,1)),ROW(Expenses!A$3:A$1002)-2),2)),""),IF(IFERROR(INDEX(Income!B$3:B$502,SMALL(IF((Income!D$3:D$502="INR")*(Income!A$3:A$502=DATE(2026,12,1)),ROW(Income!A$3:A$502)-2),2)),"")&lt;&gt;"",IFERROR(INDEX(Income!B$3:B$502,SMALL(IF((Income!D$3:D$502="INR")*(Income!A$3:A$502=DATE(2026,12,1)),ROW(Income!A$3:A$502)-2),2)),""),""))</f>
        <v/>
      </c>
      <c r="G245" s="63" t="str">
        <f aca="false">IF(IFERROR(-INDEX(Expenses!D$3:D$1002,SMALL(IF((Expenses!E$3:E$1002="INR")*(Expenses!A$3:A$1002=DATE(2026,12,2)),ROW(Expenses!A$3:A$1002)-2),2)),0)+IFERROR(INDEX(Income!C$3:C$502,SMALL(IF((Income!D$3:D$502="INR")*(Income!A$3:A$502=DATE(2026,12,2)),ROW(Income!A$3:A$502)-2),2)),0)=0,"",IFERROR(-INDEX(Expenses!D$3:D$1002,SMALL(IF((Expenses!E$3:E$1002="INR")*(Expenses!A$3:A$1002=DATE(2026,12,2)),ROW(Expenses!A$3:A$1002)-2),2)),0)+IFERROR(INDEX(Income!C$3:C$502,SMALL(IF((Income!D$3:D$502="INR")*(Income!A$3:A$502=DATE(2026,12,2)),ROW(Income!A$3:A$502)-2),2)),0))</f>
        <v/>
      </c>
      <c r="H245" s="38" t="str">
        <f aca="false">IF(IFERROR(INDEX(Expenses!B$3:B$1002,SMALL(IF((Expenses!E$3:E$1002="INR")*(Expenses!A$3:A$1002=DATE(2026,12,2)),ROW(Expenses!A$3:A$1002)-2),2)),"")&lt;&gt;"",IFERROR(INDEX(Expenses!B$3:B$1002,SMALL(IF((Expenses!E$3:E$1002="INR")*(Expenses!A$3:A$1002=DATE(2026,12,2)),ROW(Expenses!A$3:A$1002)-2),2)),""),IF(IFERROR(INDEX(Income!B$3:B$502,SMALL(IF((Income!D$3:D$502="INR")*(Income!A$3:A$502=DATE(2026,12,2)),ROW(Income!A$3:A$502)-2),2)),"")&lt;&gt;"",IFERROR(INDEX(Income!B$3:B$502,SMALL(IF((Income!D$3:D$502="INR")*(Income!A$3:A$502=DATE(2026,12,2)),ROW(Income!A$3:A$502)-2),2)),""),""))</f>
        <v/>
      </c>
      <c r="I245" s="63" t="str">
        <f aca="false">IF(IFERROR(-INDEX(Expenses!D$3:D$1002,SMALL(IF((Expenses!E$3:E$1002="INR")*(Expenses!A$3:A$1002=DATE(2026,12,3)),ROW(Expenses!A$3:A$1002)-2),2)),0)+IFERROR(INDEX(Income!C$3:C$502,SMALL(IF((Income!D$3:D$502="INR")*(Income!A$3:A$502=DATE(2026,12,3)),ROW(Income!A$3:A$502)-2),2)),0)=0,"",IFERROR(-INDEX(Expenses!D$3:D$1002,SMALL(IF((Expenses!E$3:E$1002="INR")*(Expenses!A$3:A$1002=DATE(2026,12,3)),ROW(Expenses!A$3:A$1002)-2),2)),0)+IFERROR(INDEX(Income!C$3:C$502,SMALL(IF((Income!D$3:D$502="INR")*(Income!A$3:A$502=DATE(2026,12,3)),ROW(Income!A$3:A$502)-2),2)),0))</f>
        <v/>
      </c>
      <c r="J245" s="38" t="str">
        <f aca="false">IF(IFERROR(INDEX(Expenses!B$3:B$1002,SMALL(IF((Expenses!E$3:E$1002="INR")*(Expenses!A$3:A$1002=DATE(2026,12,3)),ROW(Expenses!A$3:A$1002)-2),2)),"")&lt;&gt;"",IFERROR(INDEX(Expenses!B$3:B$1002,SMALL(IF((Expenses!E$3:E$1002="INR")*(Expenses!A$3:A$1002=DATE(2026,12,3)),ROW(Expenses!A$3:A$1002)-2),2)),""),IF(IFERROR(INDEX(Income!B$3:B$502,SMALL(IF((Income!D$3:D$502="INR")*(Income!A$3:A$502=DATE(2026,12,3)),ROW(Income!A$3:A$502)-2),2)),"")&lt;&gt;"",IFERROR(INDEX(Income!B$3:B$502,SMALL(IF((Income!D$3:D$502="INR")*(Income!A$3:A$502=DATE(2026,12,3)),ROW(Income!A$3:A$502)-2),2)),""),""))</f>
        <v/>
      </c>
      <c r="K245" s="63" t="str">
        <f aca="false">IF(IFERROR(-INDEX(Expenses!D$3:D$1002,SMALL(IF((Expenses!E$3:E$1002="INR")*(Expenses!A$3:A$1002=DATE(2026,12,4)),ROW(Expenses!A$3:A$1002)-2),2)),0)+IFERROR(INDEX(Income!C$3:C$502,SMALL(IF((Income!D$3:D$502="INR")*(Income!A$3:A$502=DATE(2026,12,4)),ROW(Income!A$3:A$502)-2),2)),0)=0,"",IFERROR(-INDEX(Expenses!D$3:D$1002,SMALL(IF((Expenses!E$3:E$1002="INR")*(Expenses!A$3:A$1002=DATE(2026,12,4)),ROW(Expenses!A$3:A$1002)-2),2)),0)+IFERROR(INDEX(Income!C$3:C$502,SMALL(IF((Income!D$3:D$502="INR")*(Income!A$3:A$502=DATE(2026,12,4)),ROW(Income!A$3:A$502)-2),2)),0))</f>
        <v/>
      </c>
      <c r="L245" s="38" t="str">
        <f aca="false">IF(IFERROR(INDEX(Expenses!B$3:B$1002,SMALL(IF((Expenses!E$3:E$1002="INR")*(Expenses!A$3:A$1002=DATE(2026,12,4)),ROW(Expenses!A$3:A$1002)-2),2)),"")&lt;&gt;"",IFERROR(INDEX(Expenses!B$3:B$1002,SMALL(IF((Expenses!E$3:E$1002="INR")*(Expenses!A$3:A$1002=DATE(2026,12,4)),ROW(Expenses!A$3:A$1002)-2),2)),""),IF(IFERROR(INDEX(Income!B$3:B$502,SMALL(IF((Income!D$3:D$502="INR")*(Income!A$3:A$502=DATE(2026,12,4)),ROW(Income!A$3:A$502)-2),2)),"")&lt;&gt;"",IFERROR(INDEX(Income!B$3:B$502,SMALL(IF((Income!D$3:D$502="INR")*(Income!A$3:A$502=DATE(2026,12,4)),ROW(Income!A$3:A$502)-2),2)),""),""))</f>
        <v/>
      </c>
      <c r="M245" s="63" t="str">
        <f aca="false">IF(IFERROR(-INDEX(Expenses!D$3:D$1002,SMALL(IF((Expenses!E$3:E$1002="INR")*(Expenses!A$3:A$1002=DATE(2026,12,5)),ROW(Expenses!A$3:A$1002)-2),2)),0)+IFERROR(INDEX(Income!C$3:C$502,SMALL(IF((Income!D$3:D$502="INR")*(Income!A$3:A$502=DATE(2026,12,5)),ROW(Income!A$3:A$502)-2),2)),0)=0,"",IFERROR(-INDEX(Expenses!D$3:D$1002,SMALL(IF((Expenses!E$3:E$1002="INR")*(Expenses!A$3:A$1002=DATE(2026,12,5)),ROW(Expenses!A$3:A$1002)-2),2)),0)+IFERROR(INDEX(Income!C$3:C$502,SMALL(IF((Income!D$3:D$502="INR")*(Income!A$3:A$502=DATE(2026,12,5)),ROW(Income!A$3:A$502)-2),2)),0))</f>
        <v/>
      </c>
      <c r="N245" s="38" t="str">
        <f aca="false">IF(IFERROR(INDEX(Expenses!B$3:B$1002,SMALL(IF((Expenses!E$3:E$1002="INR")*(Expenses!A$3:A$1002=DATE(2026,12,5)),ROW(Expenses!A$3:A$1002)-2),2)),"")&lt;&gt;"",IFERROR(INDEX(Expenses!B$3:B$1002,SMALL(IF((Expenses!E$3:E$1002="INR")*(Expenses!A$3:A$1002=DATE(2026,12,5)),ROW(Expenses!A$3:A$1002)-2),2)),""),IF(IFERROR(INDEX(Income!B$3:B$502,SMALL(IF((Income!D$3:D$502="INR")*(Income!A$3:A$502=DATE(2026,12,5)),ROW(Income!A$3:A$502)-2),2)),"")&lt;&gt;"",IFERROR(INDEX(Income!B$3:B$502,SMALL(IF((Income!D$3:D$502="INR")*(Income!A$3:A$502=DATE(2026,12,5)),ROW(Income!A$3:A$502)-2),2)),""),""))</f>
        <v/>
      </c>
      <c r="O245" s="63" t="str">
        <f aca="false">IF(IFERROR(-INDEX(Expenses!D$3:D$1002,SMALL(IF((Expenses!E$3:E$1002="INR")*(Expenses!A$3:A$1002=DATE(2026,12,6)),ROW(Expenses!A$3:A$1002)-2),2)),0)+IFERROR(INDEX(Income!C$3:C$502,SMALL(IF((Income!D$3:D$502="INR")*(Income!A$3:A$502=DATE(2026,12,6)),ROW(Income!A$3:A$502)-2),2)),0)=0,"",IFERROR(-INDEX(Expenses!D$3:D$1002,SMALL(IF((Expenses!E$3:E$1002="INR")*(Expenses!A$3:A$1002=DATE(2026,12,6)),ROW(Expenses!A$3:A$1002)-2),2)),0)+IFERROR(INDEX(Income!C$3:C$502,SMALL(IF((Income!D$3:D$502="INR")*(Income!A$3:A$502=DATE(2026,12,6)),ROW(Income!A$3:A$502)-2),2)),0))</f>
        <v/>
      </c>
      <c r="P245" s="38" t="str">
        <f aca="false">IF(IFERROR(INDEX(Expenses!B$3:B$1002,SMALL(IF((Expenses!E$3:E$1002="INR")*(Expenses!A$3:A$1002=DATE(2026,12,6)),ROW(Expenses!A$3:A$1002)-2),2)),"")&lt;&gt;"",IFERROR(INDEX(Expenses!B$3:B$1002,SMALL(IF((Expenses!E$3:E$1002="INR")*(Expenses!A$3:A$1002=DATE(2026,12,6)),ROW(Expenses!A$3:A$1002)-2),2)),""),IF(IFERROR(INDEX(Income!B$3:B$502,SMALL(IF((Income!D$3:D$502="INR")*(Income!A$3:A$502=DATE(2026,12,6)),ROW(Income!A$3:A$502)-2),2)),"")&lt;&gt;"",IFERROR(INDEX(Income!B$3:B$502,SMALL(IF((Income!D$3:D$502="INR")*(Income!A$3:A$502=DATE(2026,12,6)),ROW(Income!A$3:A$502)-2),2)),""),""))</f>
        <v/>
      </c>
      <c r="Q245" s="16"/>
      <c r="R245" s="16"/>
    </row>
    <row r="246" customFormat="false" ht="15" hidden="false" customHeight="false" outlineLevel="0" collapsed="false">
      <c r="A246" s="16"/>
      <c r="B246" s="16"/>
      <c r="C246" s="63" t="str">
        <f aca="false">IF(IFERROR(-INDEX(Expenses!D$3:D$1002,SMALL(IF((Expenses!E$3:E$1002="INR")*(Expenses!A$3:A$1002=DATE(2026,11,30)),ROW(Expenses!A$3:A$1002)-2),3)),0)+IFERROR(INDEX(Income!C$3:C$502,SMALL(IF((Income!D$3:D$502="INR")*(Income!A$3:A$502=DATE(2026,11,30)),ROW(Income!A$3:A$502)-2),3)),0)=0,"",IFERROR(-INDEX(Expenses!D$3:D$1002,SMALL(IF((Expenses!E$3:E$1002="INR")*(Expenses!A$3:A$1002=DATE(2026,11,30)),ROW(Expenses!A$3:A$1002)-2),3)),0)+IFERROR(INDEX(Income!C$3:C$502,SMALL(IF((Income!D$3:D$502="INR")*(Income!A$3:A$502=DATE(2026,11,30)),ROW(Income!A$3:A$502)-2),3)),0))</f>
        <v/>
      </c>
      <c r="D246" s="38" t="str">
        <f aca="false">IF(IFERROR(INDEX(Expenses!B$3:B$1002,SMALL(IF((Expenses!E$3:E$1002="INR")*(Expenses!A$3:A$1002=DATE(2026,11,30)),ROW(Expenses!A$3:A$1002)-2),3)),"")&lt;&gt;"",IFERROR(INDEX(Expenses!B$3:B$1002,SMALL(IF((Expenses!E$3:E$1002="INR")*(Expenses!A$3:A$1002=DATE(2026,11,30)),ROW(Expenses!A$3:A$1002)-2),3)),""),IF(IFERROR(INDEX(Income!B$3:B$502,SMALL(IF((Income!D$3:D$502="INR")*(Income!A$3:A$502=DATE(2026,11,30)),ROW(Income!A$3:A$502)-2),3)),"")&lt;&gt;"",IFERROR(INDEX(Income!B$3:B$502,SMALL(IF((Income!D$3:D$502="INR")*(Income!A$3:A$502=DATE(2026,11,30)),ROW(Income!A$3:A$502)-2),3)),""),""))</f>
        <v/>
      </c>
      <c r="E246" s="63" t="str">
        <f aca="false">IF(IFERROR(-INDEX(Expenses!D$3:D$1002,SMALL(IF((Expenses!E$3:E$1002="INR")*(Expenses!A$3:A$1002=DATE(2026,12,1)),ROW(Expenses!A$3:A$1002)-2),3)),0)+IFERROR(INDEX(Income!C$3:C$502,SMALL(IF((Income!D$3:D$502="INR")*(Income!A$3:A$502=DATE(2026,12,1)),ROW(Income!A$3:A$502)-2),3)),0)=0,"",IFERROR(-INDEX(Expenses!D$3:D$1002,SMALL(IF((Expenses!E$3:E$1002="INR")*(Expenses!A$3:A$1002=DATE(2026,12,1)),ROW(Expenses!A$3:A$1002)-2),3)),0)+IFERROR(INDEX(Income!C$3:C$502,SMALL(IF((Income!D$3:D$502="INR")*(Income!A$3:A$502=DATE(2026,12,1)),ROW(Income!A$3:A$502)-2),3)),0))</f>
        <v/>
      </c>
      <c r="F246" s="38" t="str">
        <f aca="false">IF(IFERROR(INDEX(Expenses!B$3:B$1002,SMALL(IF((Expenses!E$3:E$1002="INR")*(Expenses!A$3:A$1002=DATE(2026,12,1)),ROW(Expenses!A$3:A$1002)-2),3)),"")&lt;&gt;"",IFERROR(INDEX(Expenses!B$3:B$1002,SMALL(IF((Expenses!E$3:E$1002="INR")*(Expenses!A$3:A$1002=DATE(2026,12,1)),ROW(Expenses!A$3:A$1002)-2),3)),""),IF(IFERROR(INDEX(Income!B$3:B$502,SMALL(IF((Income!D$3:D$502="INR")*(Income!A$3:A$502=DATE(2026,12,1)),ROW(Income!A$3:A$502)-2),3)),"")&lt;&gt;"",IFERROR(INDEX(Income!B$3:B$502,SMALL(IF((Income!D$3:D$502="INR")*(Income!A$3:A$502=DATE(2026,12,1)),ROW(Income!A$3:A$502)-2),3)),""),""))</f>
        <v/>
      </c>
      <c r="G246" s="63" t="str">
        <f aca="false">IF(IFERROR(-INDEX(Expenses!D$3:D$1002,SMALL(IF((Expenses!E$3:E$1002="INR")*(Expenses!A$3:A$1002=DATE(2026,12,2)),ROW(Expenses!A$3:A$1002)-2),3)),0)+IFERROR(INDEX(Income!C$3:C$502,SMALL(IF((Income!D$3:D$502="INR")*(Income!A$3:A$502=DATE(2026,12,2)),ROW(Income!A$3:A$502)-2),3)),0)=0,"",IFERROR(-INDEX(Expenses!D$3:D$1002,SMALL(IF((Expenses!E$3:E$1002="INR")*(Expenses!A$3:A$1002=DATE(2026,12,2)),ROW(Expenses!A$3:A$1002)-2),3)),0)+IFERROR(INDEX(Income!C$3:C$502,SMALL(IF((Income!D$3:D$502="INR")*(Income!A$3:A$502=DATE(2026,12,2)),ROW(Income!A$3:A$502)-2),3)),0))</f>
        <v/>
      </c>
      <c r="H246" s="38" t="str">
        <f aca="false">IF(IFERROR(INDEX(Expenses!B$3:B$1002,SMALL(IF((Expenses!E$3:E$1002="INR")*(Expenses!A$3:A$1002=DATE(2026,12,2)),ROW(Expenses!A$3:A$1002)-2),3)),"")&lt;&gt;"",IFERROR(INDEX(Expenses!B$3:B$1002,SMALL(IF((Expenses!E$3:E$1002="INR")*(Expenses!A$3:A$1002=DATE(2026,12,2)),ROW(Expenses!A$3:A$1002)-2),3)),""),IF(IFERROR(INDEX(Income!B$3:B$502,SMALL(IF((Income!D$3:D$502="INR")*(Income!A$3:A$502=DATE(2026,12,2)),ROW(Income!A$3:A$502)-2),3)),"")&lt;&gt;"",IFERROR(INDEX(Income!B$3:B$502,SMALL(IF((Income!D$3:D$502="INR")*(Income!A$3:A$502=DATE(2026,12,2)),ROW(Income!A$3:A$502)-2),3)),""),""))</f>
        <v/>
      </c>
      <c r="I246" s="63" t="str">
        <f aca="false">IF(IFERROR(-INDEX(Expenses!D$3:D$1002,SMALL(IF((Expenses!E$3:E$1002="INR")*(Expenses!A$3:A$1002=DATE(2026,12,3)),ROW(Expenses!A$3:A$1002)-2),3)),0)+IFERROR(INDEX(Income!C$3:C$502,SMALL(IF((Income!D$3:D$502="INR")*(Income!A$3:A$502=DATE(2026,12,3)),ROW(Income!A$3:A$502)-2),3)),0)=0,"",IFERROR(-INDEX(Expenses!D$3:D$1002,SMALL(IF((Expenses!E$3:E$1002="INR")*(Expenses!A$3:A$1002=DATE(2026,12,3)),ROW(Expenses!A$3:A$1002)-2),3)),0)+IFERROR(INDEX(Income!C$3:C$502,SMALL(IF((Income!D$3:D$502="INR")*(Income!A$3:A$502=DATE(2026,12,3)),ROW(Income!A$3:A$502)-2),3)),0))</f>
        <v/>
      </c>
      <c r="J246" s="38" t="str">
        <f aca="false">IF(IFERROR(INDEX(Expenses!B$3:B$1002,SMALL(IF((Expenses!E$3:E$1002="INR")*(Expenses!A$3:A$1002=DATE(2026,12,3)),ROW(Expenses!A$3:A$1002)-2),3)),"")&lt;&gt;"",IFERROR(INDEX(Expenses!B$3:B$1002,SMALL(IF((Expenses!E$3:E$1002="INR")*(Expenses!A$3:A$1002=DATE(2026,12,3)),ROW(Expenses!A$3:A$1002)-2),3)),""),IF(IFERROR(INDEX(Income!B$3:B$502,SMALL(IF((Income!D$3:D$502="INR")*(Income!A$3:A$502=DATE(2026,12,3)),ROW(Income!A$3:A$502)-2),3)),"")&lt;&gt;"",IFERROR(INDEX(Income!B$3:B$502,SMALL(IF((Income!D$3:D$502="INR")*(Income!A$3:A$502=DATE(2026,12,3)),ROW(Income!A$3:A$502)-2),3)),""),""))</f>
        <v/>
      </c>
      <c r="K246" s="63" t="str">
        <f aca="false">IF(IFERROR(-INDEX(Expenses!D$3:D$1002,SMALL(IF((Expenses!E$3:E$1002="INR")*(Expenses!A$3:A$1002=DATE(2026,12,4)),ROW(Expenses!A$3:A$1002)-2),3)),0)+IFERROR(INDEX(Income!C$3:C$502,SMALL(IF((Income!D$3:D$502="INR")*(Income!A$3:A$502=DATE(2026,12,4)),ROW(Income!A$3:A$502)-2),3)),0)=0,"",IFERROR(-INDEX(Expenses!D$3:D$1002,SMALL(IF((Expenses!E$3:E$1002="INR")*(Expenses!A$3:A$1002=DATE(2026,12,4)),ROW(Expenses!A$3:A$1002)-2),3)),0)+IFERROR(INDEX(Income!C$3:C$502,SMALL(IF((Income!D$3:D$502="INR")*(Income!A$3:A$502=DATE(2026,12,4)),ROW(Income!A$3:A$502)-2),3)),0))</f>
        <v/>
      </c>
      <c r="L246" s="38" t="str">
        <f aca="false">IF(IFERROR(INDEX(Expenses!B$3:B$1002,SMALL(IF((Expenses!E$3:E$1002="INR")*(Expenses!A$3:A$1002=DATE(2026,12,4)),ROW(Expenses!A$3:A$1002)-2),3)),"")&lt;&gt;"",IFERROR(INDEX(Expenses!B$3:B$1002,SMALL(IF((Expenses!E$3:E$1002="INR")*(Expenses!A$3:A$1002=DATE(2026,12,4)),ROW(Expenses!A$3:A$1002)-2),3)),""),IF(IFERROR(INDEX(Income!B$3:B$502,SMALL(IF((Income!D$3:D$502="INR")*(Income!A$3:A$502=DATE(2026,12,4)),ROW(Income!A$3:A$502)-2),3)),"")&lt;&gt;"",IFERROR(INDEX(Income!B$3:B$502,SMALL(IF((Income!D$3:D$502="INR")*(Income!A$3:A$502=DATE(2026,12,4)),ROW(Income!A$3:A$502)-2),3)),""),""))</f>
        <v/>
      </c>
      <c r="M246" s="63" t="str">
        <f aca="false">IF(IFERROR(-INDEX(Expenses!D$3:D$1002,SMALL(IF((Expenses!E$3:E$1002="INR")*(Expenses!A$3:A$1002=DATE(2026,12,5)),ROW(Expenses!A$3:A$1002)-2),3)),0)+IFERROR(INDEX(Income!C$3:C$502,SMALL(IF((Income!D$3:D$502="INR")*(Income!A$3:A$502=DATE(2026,12,5)),ROW(Income!A$3:A$502)-2),3)),0)=0,"",IFERROR(-INDEX(Expenses!D$3:D$1002,SMALL(IF((Expenses!E$3:E$1002="INR")*(Expenses!A$3:A$1002=DATE(2026,12,5)),ROW(Expenses!A$3:A$1002)-2),3)),0)+IFERROR(INDEX(Income!C$3:C$502,SMALL(IF((Income!D$3:D$502="INR")*(Income!A$3:A$502=DATE(2026,12,5)),ROW(Income!A$3:A$502)-2),3)),0))</f>
        <v/>
      </c>
      <c r="N246" s="38" t="str">
        <f aca="false">IF(IFERROR(INDEX(Expenses!B$3:B$1002,SMALL(IF((Expenses!E$3:E$1002="INR")*(Expenses!A$3:A$1002=DATE(2026,12,5)),ROW(Expenses!A$3:A$1002)-2),3)),"")&lt;&gt;"",IFERROR(INDEX(Expenses!B$3:B$1002,SMALL(IF((Expenses!E$3:E$1002="INR")*(Expenses!A$3:A$1002=DATE(2026,12,5)),ROW(Expenses!A$3:A$1002)-2),3)),""),IF(IFERROR(INDEX(Income!B$3:B$502,SMALL(IF((Income!D$3:D$502="INR")*(Income!A$3:A$502=DATE(2026,12,5)),ROW(Income!A$3:A$502)-2),3)),"")&lt;&gt;"",IFERROR(INDEX(Income!B$3:B$502,SMALL(IF((Income!D$3:D$502="INR")*(Income!A$3:A$502=DATE(2026,12,5)),ROW(Income!A$3:A$502)-2),3)),""),""))</f>
        <v/>
      </c>
      <c r="O246" s="63" t="str">
        <f aca="false">IF(IFERROR(-INDEX(Expenses!D$3:D$1002,SMALL(IF((Expenses!E$3:E$1002="INR")*(Expenses!A$3:A$1002=DATE(2026,12,6)),ROW(Expenses!A$3:A$1002)-2),3)),0)+IFERROR(INDEX(Income!C$3:C$502,SMALL(IF((Income!D$3:D$502="INR")*(Income!A$3:A$502=DATE(2026,12,6)),ROW(Income!A$3:A$502)-2),3)),0)=0,"",IFERROR(-INDEX(Expenses!D$3:D$1002,SMALL(IF((Expenses!E$3:E$1002="INR")*(Expenses!A$3:A$1002=DATE(2026,12,6)),ROW(Expenses!A$3:A$1002)-2),3)),0)+IFERROR(INDEX(Income!C$3:C$502,SMALL(IF((Income!D$3:D$502="INR")*(Income!A$3:A$502=DATE(2026,12,6)),ROW(Income!A$3:A$502)-2),3)),0))</f>
        <v/>
      </c>
      <c r="P246" s="38" t="str">
        <f aca="false">IF(IFERROR(INDEX(Expenses!B$3:B$1002,SMALL(IF((Expenses!E$3:E$1002="INR")*(Expenses!A$3:A$1002=DATE(2026,12,6)),ROW(Expenses!A$3:A$1002)-2),3)),"")&lt;&gt;"",IFERROR(INDEX(Expenses!B$3:B$1002,SMALL(IF((Expenses!E$3:E$1002="INR")*(Expenses!A$3:A$1002=DATE(2026,12,6)),ROW(Expenses!A$3:A$1002)-2),3)),""),IF(IFERROR(INDEX(Income!B$3:B$502,SMALL(IF((Income!D$3:D$502="INR")*(Income!A$3:A$502=DATE(2026,12,6)),ROW(Income!A$3:A$502)-2),3)),"")&lt;&gt;"",IFERROR(INDEX(Income!B$3:B$502,SMALL(IF((Income!D$3:D$502="INR")*(Income!A$3:A$502=DATE(2026,12,6)),ROW(Income!A$3:A$502)-2),3)),""),""))</f>
        <v/>
      </c>
      <c r="Q246" s="16"/>
      <c r="R246" s="16"/>
    </row>
    <row r="247" customFormat="false" ht="15" hidden="false" customHeight="false" outlineLevel="0" collapsed="false">
      <c r="A247" s="16"/>
      <c r="B247" s="16"/>
      <c r="C247" s="63" t="str">
        <f aca="false">IF(IFERROR(-INDEX(Expenses!D$3:D$1002,SMALL(IF((Expenses!E$3:E$1002="INR")*(Expenses!A$3:A$1002=DATE(2026,11,30)),ROW(Expenses!A$3:A$1002)-2),4)),0)+IFERROR(INDEX(Income!C$3:C$502,SMALL(IF((Income!D$3:D$502="INR")*(Income!A$3:A$502=DATE(2026,11,30)),ROW(Income!A$3:A$502)-2),4)),0)=0,"",IFERROR(-INDEX(Expenses!D$3:D$1002,SMALL(IF((Expenses!E$3:E$1002="INR")*(Expenses!A$3:A$1002=DATE(2026,11,30)),ROW(Expenses!A$3:A$1002)-2),4)),0)+IFERROR(INDEX(Income!C$3:C$502,SMALL(IF((Income!D$3:D$502="INR")*(Income!A$3:A$502=DATE(2026,11,30)),ROW(Income!A$3:A$502)-2),4)),0))</f>
        <v/>
      </c>
      <c r="D247" s="38" t="str">
        <f aca="false">IF(IFERROR(INDEX(Expenses!B$3:B$1002,SMALL(IF((Expenses!E$3:E$1002="INR")*(Expenses!A$3:A$1002=DATE(2026,11,30)),ROW(Expenses!A$3:A$1002)-2),4)),"")&lt;&gt;"",IFERROR(INDEX(Expenses!B$3:B$1002,SMALL(IF((Expenses!E$3:E$1002="INR")*(Expenses!A$3:A$1002=DATE(2026,11,30)),ROW(Expenses!A$3:A$1002)-2),4)),""),IF(IFERROR(INDEX(Income!B$3:B$502,SMALL(IF((Income!D$3:D$502="INR")*(Income!A$3:A$502=DATE(2026,11,30)),ROW(Income!A$3:A$502)-2),4)),"")&lt;&gt;"",IFERROR(INDEX(Income!B$3:B$502,SMALL(IF((Income!D$3:D$502="INR")*(Income!A$3:A$502=DATE(2026,11,30)),ROW(Income!A$3:A$502)-2),4)),""),""))</f>
        <v/>
      </c>
      <c r="E247" s="63" t="str">
        <f aca="false">IF(IFERROR(-INDEX(Expenses!D$3:D$1002,SMALL(IF((Expenses!E$3:E$1002="INR")*(Expenses!A$3:A$1002=DATE(2026,12,1)),ROW(Expenses!A$3:A$1002)-2),4)),0)+IFERROR(INDEX(Income!C$3:C$502,SMALL(IF((Income!D$3:D$502="INR")*(Income!A$3:A$502=DATE(2026,12,1)),ROW(Income!A$3:A$502)-2),4)),0)=0,"",IFERROR(-INDEX(Expenses!D$3:D$1002,SMALL(IF((Expenses!E$3:E$1002="INR")*(Expenses!A$3:A$1002=DATE(2026,12,1)),ROW(Expenses!A$3:A$1002)-2),4)),0)+IFERROR(INDEX(Income!C$3:C$502,SMALL(IF((Income!D$3:D$502="INR")*(Income!A$3:A$502=DATE(2026,12,1)),ROW(Income!A$3:A$502)-2),4)),0))</f>
        <v/>
      </c>
      <c r="F247" s="38" t="str">
        <f aca="false">IF(IFERROR(INDEX(Expenses!B$3:B$1002,SMALL(IF((Expenses!E$3:E$1002="INR")*(Expenses!A$3:A$1002=DATE(2026,12,1)),ROW(Expenses!A$3:A$1002)-2),4)),"")&lt;&gt;"",IFERROR(INDEX(Expenses!B$3:B$1002,SMALL(IF((Expenses!E$3:E$1002="INR")*(Expenses!A$3:A$1002=DATE(2026,12,1)),ROW(Expenses!A$3:A$1002)-2),4)),""),IF(IFERROR(INDEX(Income!B$3:B$502,SMALL(IF((Income!D$3:D$502="INR")*(Income!A$3:A$502=DATE(2026,12,1)),ROW(Income!A$3:A$502)-2),4)),"")&lt;&gt;"",IFERROR(INDEX(Income!B$3:B$502,SMALL(IF((Income!D$3:D$502="INR")*(Income!A$3:A$502=DATE(2026,12,1)),ROW(Income!A$3:A$502)-2),4)),""),""))</f>
        <v/>
      </c>
      <c r="G247" s="63" t="str">
        <f aca="false">IF(IFERROR(-INDEX(Expenses!D$3:D$1002,SMALL(IF((Expenses!E$3:E$1002="INR")*(Expenses!A$3:A$1002=DATE(2026,12,2)),ROW(Expenses!A$3:A$1002)-2),4)),0)+IFERROR(INDEX(Income!C$3:C$502,SMALL(IF((Income!D$3:D$502="INR")*(Income!A$3:A$502=DATE(2026,12,2)),ROW(Income!A$3:A$502)-2),4)),0)=0,"",IFERROR(-INDEX(Expenses!D$3:D$1002,SMALL(IF((Expenses!E$3:E$1002="INR")*(Expenses!A$3:A$1002=DATE(2026,12,2)),ROW(Expenses!A$3:A$1002)-2),4)),0)+IFERROR(INDEX(Income!C$3:C$502,SMALL(IF((Income!D$3:D$502="INR")*(Income!A$3:A$502=DATE(2026,12,2)),ROW(Income!A$3:A$502)-2),4)),0))</f>
        <v/>
      </c>
      <c r="H247" s="38" t="str">
        <f aca="false">IF(IFERROR(INDEX(Expenses!B$3:B$1002,SMALL(IF((Expenses!E$3:E$1002="INR")*(Expenses!A$3:A$1002=DATE(2026,12,2)),ROW(Expenses!A$3:A$1002)-2),4)),"")&lt;&gt;"",IFERROR(INDEX(Expenses!B$3:B$1002,SMALL(IF((Expenses!E$3:E$1002="INR")*(Expenses!A$3:A$1002=DATE(2026,12,2)),ROW(Expenses!A$3:A$1002)-2),4)),""),IF(IFERROR(INDEX(Income!B$3:B$502,SMALL(IF((Income!D$3:D$502="INR")*(Income!A$3:A$502=DATE(2026,12,2)),ROW(Income!A$3:A$502)-2),4)),"")&lt;&gt;"",IFERROR(INDEX(Income!B$3:B$502,SMALL(IF((Income!D$3:D$502="INR")*(Income!A$3:A$502=DATE(2026,12,2)),ROW(Income!A$3:A$502)-2),4)),""),""))</f>
        <v/>
      </c>
      <c r="I247" s="63" t="str">
        <f aca="false">IF(IFERROR(-INDEX(Expenses!D$3:D$1002,SMALL(IF((Expenses!E$3:E$1002="INR")*(Expenses!A$3:A$1002=DATE(2026,12,3)),ROW(Expenses!A$3:A$1002)-2),4)),0)+IFERROR(INDEX(Income!C$3:C$502,SMALL(IF((Income!D$3:D$502="INR")*(Income!A$3:A$502=DATE(2026,12,3)),ROW(Income!A$3:A$502)-2),4)),0)=0,"",IFERROR(-INDEX(Expenses!D$3:D$1002,SMALL(IF((Expenses!E$3:E$1002="INR")*(Expenses!A$3:A$1002=DATE(2026,12,3)),ROW(Expenses!A$3:A$1002)-2),4)),0)+IFERROR(INDEX(Income!C$3:C$502,SMALL(IF((Income!D$3:D$502="INR")*(Income!A$3:A$502=DATE(2026,12,3)),ROW(Income!A$3:A$502)-2),4)),0))</f>
        <v/>
      </c>
      <c r="J247" s="38" t="str">
        <f aca="false">IF(IFERROR(INDEX(Expenses!B$3:B$1002,SMALL(IF((Expenses!E$3:E$1002="INR")*(Expenses!A$3:A$1002=DATE(2026,12,3)),ROW(Expenses!A$3:A$1002)-2),4)),"")&lt;&gt;"",IFERROR(INDEX(Expenses!B$3:B$1002,SMALL(IF((Expenses!E$3:E$1002="INR")*(Expenses!A$3:A$1002=DATE(2026,12,3)),ROW(Expenses!A$3:A$1002)-2),4)),""),IF(IFERROR(INDEX(Income!B$3:B$502,SMALL(IF((Income!D$3:D$502="INR")*(Income!A$3:A$502=DATE(2026,12,3)),ROW(Income!A$3:A$502)-2),4)),"")&lt;&gt;"",IFERROR(INDEX(Income!B$3:B$502,SMALL(IF((Income!D$3:D$502="INR")*(Income!A$3:A$502=DATE(2026,12,3)),ROW(Income!A$3:A$502)-2),4)),""),""))</f>
        <v/>
      </c>
      <c r="K247" s="63" t="str">
        <f aca="false">IF(IFERROR(-INDEX(Expenses!D$3:D$1002,SMALL(IF((Expenses!E$3:E$1002="INR")*(Expenses!A$3:A$1002=DATE(2026,12,4)),ROW(Expenses!A$3:A$1002)-2),4)),0)+IFERROR(INDEX(Income!C$3:C$502,SMALL(IF((Income!D$3:D$502="INR")*(Income!A$3:A$502=DATE(2026,12,4)),ROW(Income!A$3:A$502)-2),4)),0)=0,"",IFERROR(-INDEX(Expenses!D$3:D$1002,SMALL(IF((Expenses!E$3:E$1002="INR")*(Expenses!A$3:A$1002=DATE(2026,12,4)),ROW(Expenses!A$3:A$1002)-2),4)),0)+IFERROR(INDEX(Income!C$3:C$502,SMALL(IF((Income!D$3:D$502="INR")*(Income!A$3:A$502=DATE(2026,12,4)),ROW(Income!A$3:A$502)-2),4)),0))</f>
        <v/>
      </c>
      <c r="L247" s="38" t="str">
        <f aca="false">IF(IFERROR(INDEX(Expenses!B$3:B$1002,SMALL(IF((Expenses!E$3:E$1002="INR")*(Expenses!A$3:A$1002=DATE(2026,12,4)),ROW(Expenses!A$3:A$1002)-2),4)),"")&lt;&gt;"",IFERROR(INDEX(Expenses!B$3:B$1002,SMALL(IF((Expenses!E$3:E$1002="INR")*(Expenses!A$3:A$1002=DATE(2026,12,4)),ROW(Expenses!A$3:A$1002)-2),4)),""),IF(IFERROR(INDEX(Income!B$3:B$502,SMALL(IF((Income!D$3:D$502="INR")*(Income!A$3:A$502=DATE(2026,12,4)),ROW(Income!A$3:A$502)-2),4)),"")&lt;&gt;"",IFERROR(INDEX(Income!B$3:B$502,SMALL(IF((Income!D$3:D$502="INR")*(Income!A$3:A$502=DATE(2026,12,4)),ROW(Income!A$3:A$502)-2),4)),""),""))</f>
        <v/>
      </c>
      <c r="M247" s="63" t="str">
        <f aca="false">IF(IFERROR(-INDEX(Expenses!D$3:D$1002,SMALL(IF((Expenses!E$3:E$1002="INR")*(Expenses!A$3:A$1002=DATE(2026,12,5)),ROW(Expenses!A$3:A$1002)-2),4)),0)+IFERROR(INDEX(Income!C$3:C$502,SMALL(IF((Income!D$3:D$502="INR")*(Income!A$3:A$502=DATE(2026,12,5)),ROW(Income!A$3:A$502)-2),4)),0)=0,"",IFERROR(-INDEX(Expenses!D$3:D$1002,SMALL(IF((Expenses!E$3:E$1002="INR")*(Expenses!A$3:A$1002=DATE(2026,12,5)),ROW(Expenses!A$3:A$1002)-2),4)),0)+IFERROR(INDEX(Income!C$3:C$502,SMALL(IF((Income!D$3:D$502="INR")*(Income!A$3:A$502=DATE(2026,12,5)),ROW(Income!A$3:A$502)-2),4)),0))</f>
        <v/>
      </c>
      <c r="N247" s="38" t="str">
        <f aca="false">IF(IFERROR(INDEX(Expenses!B$3:B$1002,SMALL(IF((Expenses!E$3:E$1002="INR")*(Expenses!A$3:A$1002=DATE(2026,12,5)),ROW(Expenses!A$3:A$1002)-2),4)),"")&lt;&gt;"",IFERROR(INDEX(Expenses!B$3:B$1002,SMALL(IF((Expenses!E$3:E$1002="INR")*(Expenses!A$3:A$1002=DATE(2026,12,5)),ROW(Expenses!A$3:A$1002)-2),4)),""),IF(IFERROR(INDEX(Income!B$3:B$502,SMALL(IF((Income!D$3:D$502="INR")*(Income!A$3:A$502=DATE(2026,12,5)),ROW(Income!A$3:A$502)-2),4)),"")&lt;&gt;"",IFERROR(INDEX(Income!B$3:B$502,SMALL(IF((Income!D$3:D$502="INR")*(Income!A$3:A$502=DATE(2026,12,5)),ROW(Income!A$3:A$502)-2),4)),""),""))</f>
        <v/>
      </c>
      <c r="O247" s="63" t="str">
        <f aca="false">IF(IFERROR(-INDEX(Expenses!D$3:D$1002,SMALL(IF((Expenses!E$3:E$1002="INR")*(Expenses!A$3:A$1002=DATE(2026,12,6)),ROW(Expenses!A$3:A$1002)-2),4)),0)+IFERROR(INDEX(Income!C$3:C$502,SMALL(IF((Income!D$3:D$502="INR")*(Income!A$3:A$502=DATE(2026,12,6)),ROW(Income!A$3:A$502)-2),4)),0)=0,"",IFERROR(-INDEX(Expenses!D$3:D$1002,SMALL(IF((Expenses!E$3:E$1002="INR")*(Expenses!A$3:A$1002=DATE(2026,12,6)),ROW(Expenses!A$3:A$1002)-2),4)),0)+IFERROR(INDEX(Income!C$3:C$502,SMALL(IF((Income!D$3:D$502="INR")*(Income!A$3:A$502=DATE(2026,12,6)),ROW(Income!A$3:A$502)-2),4)),0))</f>
        <v/>
      </c>
      <c r="P247" s="38" t="str">
        <f aca="false">IF(IFERROR(INDEX(Expenses!B$3:B$1002,SMALL(IF((Expenses!E$3:E$1002="INR")*(Expenses!A$3:A$1002=DATE(2026,12,6)),ROW(Expenses!A$3:A$1002)-2),4)),"")&lt;&gt;"",IFERROR(INDEX(Expenses!B$3:B$1002,SMALL(IF((Expenses!E$3:E$1002="INR")*(Expenses!A$3:A$1002=DATE(2026,12,6)),ROW(Expenses!A$3:A$1002)-2),4)),""),IF(IFERROR(INDEX(Income!B$3:B$502,SMALL(IF((Income!D$3:D$502="INR")*(Income!A$3:A$502=DATE(2026,12,6)),ROW(Income!A$3:A$502)-2),4)),"")&lt;&gt;"",IFERROR(INDEX(Income!B$3:B$502,SMALL(IF((Income!D$3:D$502="INR")*(Income!A$3:A$502=DATE(2026,12,6)),ROW(Income!A$3:A$502)-2),4)),""),""))</f>
        <v/>
      </c>
      <c r="Q247" s="16"/>
      <c r="R247" s="16"/>
    </row>
    <row r="248" customFormat="false" ht="15" hidden="false" customHeight="false" outlineLevel="0" collapsed="false">
      <c r="A248" s="16"/>
      <c r="B248" s="16"/>
      <c r="C248" s="63" t="str">
        <f aca="false">IF(IFERROR(-INDEX(Expenses!D$3:D$1002,SMALL(IF((Expenses!E$3:E$1002="INR")*(Expenses!A$3:A$1002=DATE(2026,11,30)),ROW(Expenses!A$3:A$1002)-2),5)),0)+IFERROR(INDEX(Income!C$3:C$502,SMALL(IF((Income!D$3:D$502="INR")*(Income!A$3:A$502=DATE(2026,11,30)),ROW(Income!A$3:A$502)-2),5)),0)=0,"",IFERROR(-INDEX(Expenses!D$3:D$1002,SMALL(IF((Expenses!E$3:E$1002="INR")*(Expenses!A$3:A$1002=DATE(2026,11,30)),ROW(Expenses!A$3:A$1002)-2),5)),0)+IFERROR(INDEX(Income!C$3:C$502,SMALL(IF((Income!D$3:D$502="INR")*(Income!A$3:A$502=DATE(2026,11,30)),ROW(Income!A$3:A$502)-2),5)),0))</f>
        <v/>
      </c>
      <c r="D248" s="38" t="str">
        <f aca="false">IF(IFERROR(INDEX(Expenses!B$3:B$1002,SMALL(IF((Expenses!E$3:E$1002="INR")*(Expenses!A$3:A$1002=DATE(2026,11,30)),ROW(Expenses!A$3:A$1002)-2),5)),"")&lt;&gt;"",IFERROR(INDEX(Expenses!B$3:B$1002,SMALL(IF((Expenses!E$3:E$1002="INR")*(Expenses!A$3:A$1002=DATE(2026,11,30)),ROW(Expenses!A$3:A$1002)-2),5)),""),IF(IFERROR(INDEX(Income!B$3:B$502,SMALL(IF((Income!D$3:D$502="INR")*(Income!A$3:A$502=DATE(2026,11,30)),ROW(Income!A$3:A$502)-2),5)),"")&lt;&gt;"",IFERROR(INDEX(Income!B$3:B$502,SMALL(IF((Income!D$3:D$502="INR")*(Income!A$3:A$502=DATE(2026,11,30)),ROW(Income!A$3:A$502)-2),5)),""),""))</f>
        <v/>
      </c>
      <c r="E248" s="63" t="str">
        <f aca="false">IF(IFERROR(-INDEX(Expenses!D$3:D$1002,SMALL(IF((Expenses!E$3:E$1002="INR")*(Expenses!A$3:A$1002=DATE(2026,12,1)),ROW(Expenses!A$3:A$1002)-2),5)),0)+IFERROR(INDEX(Income!C$3:C$502,SMALL(IF((Income!D$3:D$502="INR")*(Income!A$3:A$502=DATE(2026,12,1)),ROW(Income!A$3:A$502)-2),5)),0)=0,"",IFERROR(-INDEX(Expenses!D$3:D$1002,SMALL(IF((Expenses!E$3:E$1002="INR")*(Expenses!A$3:A$1002=DATE(2026,12,1)),ROW(Expenses!A$3:A$1002)-2),5)),0)+IFERROR(INDEX(Income!C$3:C$502,SMALL(IF((Income!D$3:D$502="INR")*(Income!A$3:A$502=DATE(2026,12,1)),ROW(Income!A$3:A$502)-2),5)),0))</f>
        <v/>
      </c>
      <c r="F248" s="38" t="str">
        <f aca="false">IF(IFERROR(INDEX(Expenses!B$3:B$1002,SMALL(IF((Expenses!E$3:E$1002="INR")*(Expenses!A$3:A$1002=DATE(2026,12,1)),ROW(Expenses!A$3:A$1002)-2),5)),"")&lt;&gt;"",IFERROR(INDEX(Expenses!B$3:B$1002,SMALL(IF((Expenses!E$3:E$1002="INR")*(Expenses!A$3:A$1002=DATE(2026,12,1)),ROW(Expenses!A$3:A$1002)-2),5)),""),IF(IFERROR(INDEX(Income!B$3:B$502,SMALL(IF((Income!D$3:D$502="INR")*(Income!A$3:A$502=DATE(2026,12,1)),ROW(Income!A$3:A$502)-2),5)),"")&lt;&gt;"",IFERROR(INDEX(Income!B$3:B$502,SMALL(IF((Income!D$3:D$502="INR")*(Income!A$3:A$502=DATE(2026,12,1)),ROW(Income!A$3:A$502)-2),5)),""),""))</f>
        <v/>
      </c>
      <c r="G248" s="63" t="str">
        <f aca="false">IF(IFERROR(-INDEX(Expenses!D$3:D$1002,SMALL(IF((Expenses!E$3:E$1002="INR")*(Expenses!A$3:A$1002=DATE(2026,12,2)),ROW(Expenses!A$3:A$1002)-2),5)),0)+IFERROR(INDEX(Income!C$3:C$502,SMALL(IF((Income!D$3:D$502="INR")*(Income!A$3:A$502=DATE(2026,12,2)),ROW(Income!A$3:A$502)-2),5)),0)=0,"",IFERROR(-INDEX(Expenses!D$3:D$1002,SMALL(IF((Expenses!E$3:E$1002="INR")*(Expenses!A$3:A$1002=DATE(2026,12,2)),ROW(Expenses!A$3:A$1002)-2),5)),0)+IFERROR(INDEX(Income!C$3:C$502,SMALL(IF((Income!D$3:D$502="INR")*(Income!A$3:A$502=DATE(2026,12,2)),ROW(Income!A$3:A$502)-2),5)),0))</f>
        <v/>
      </c>
      <c r="H248" s="38" t="str">
        <f aca="false">IF(IFERROR(INDEX(Expenses!B$3:B$1002,SMALL(IF((Expenses!E$3:E$1002="INR")*(Expenses!A$3:A$1002=DATE(2026,12,2)),ROW(Expenses!A$3:A$1002)-2),5)),"")&lt;&gt;"",IFERROR(INDEX(Expenses!B$3:B$1002,SMALL(IF((Expenses!E$3:E$1002="INR")*(Expenses!A$3:A$1002=DATE(2026,12,2)),ROW(Expenses!A$3:A$1002)-2),5)),""),IF(IFERROR(INDEX(Income!B$3:B$502,SMALL(IF((Income!D$3:D$502="INR")*(Income!A$3:A$502=DATE(2026,12,2)),ROW(Income!A$3:A$502)-2),5)),"")&lt;&gt;"",IFERROR(INDEX(Income!B$3:B$502,SMALL(IF((Income!D$3:D$502="INR")*(Income!A$3:A$502=DATE(2026,12,2)),ROW(Income!A$3:A$502)-2),5)),""),""))</f>
        <v/>
      </c>
      <c r="I248" s="63" t="str">
        <f aca="false">IF(IFERROR(-INDEX(Expenses!D$3:D$1002,SMALL(IF((Expenses!E$3:E$1002="INR")*(Expenses!A$3:A$1002=DATE(2026,12,3)),ROW(Expenses!A$3:A$1002)-2),5)),0)+IFERROR(INDEX(Income!C$3:C$502,SMALL(IF((Income!D$3:D$502="INR")*(Income!A$3:A$502=DATE(2026,12,3)),ROW(Income!A$3:A$502)-2),5)),0)=0,"",IFERROR(-INDEX(Expenses!D$3:D$1002,SMALL(IF((Expenses!E$3:E$1002="INR")*(Expenses!A$3:A$1002=DATE(2026,12,3)),ROW(Expenses!A$3:A$1002)-2),5)),0)+IFERROR(INDEX(Income!C$3:C$502,SMALL(IF((Income!D$3:D$502="INR")*(Income!A$3:A$502=DATE(2026,12,3)),ROW(Income!A$3:A$502)-2),5)),0))</f>
        <v/>
      </c>
      <c r="J248" s="38" t="str">
        <f aca="false">IF(IFERROR(INDEX(Expenses!B$3:B$1002,SMALL(IF((Expenses!E$3:E$1002="INR")*(Expenses!A$3:A$1002=DATE(2026,12,3)),ROW(Expenses!A$3:A$1002)-2),5)),"")&lt;&gt;"",IFERROR(INDEX(Expenses!B$3:B$1002,SMALL(IF((Expenses!E$3:E$1002="INR")*(Expenses!A$3:A$1002=DATE(2026,12,3)),ROW(Expenses!A$3:A$1002)-2),5)),""),IF(IFERROR(INDEX(Income!B$3:B$502,SMALL(IF((Income!D$3:D$502="INR")*(Income!A$3:A$502=DATE(2026,12,3)),ROW(Income!A$3:A$502)-2),5)),"")&lt;&gt;"",IFERROR(INDEX(Income!B$3:B$502,SMALL(IF((Income!D$3:D$502="INR")*(Income!A$3:A$502=DATE(2026,12,3)),ROW(Income!A$3:A$502)-2),5)),""),""))</f>
        <v/>
      </c>
      <c r="K248" s="63" t="str">
        <f aca="false">IF(IFERROR(-INDEX(Expenses!D$3:D$1002,SMALL(IF((Expenses!E$3:E$1002="INR")*(Expenses!A$3:A$1002=DATE(2026,12,4)),ROW(Expenses!A$3:A$1002)-2),5)),0)+IFERROR(INDEX(Income!C$3:C$502,SMALL(IF((Income!D$3:D$502="INR")*(Income!A$3:A$502=DATE(2026,12,4)),ROW(Income!A$3:A$502)-2),5)),0)=0,"",IFERROR(-INDEX(Expenses!D$3:D$1002,SMALL(IF((Expenses!E$3:E$1002="INR")*(Expenses!A$3:A$1002=DATE(2026,12,4)),ROW(Expenses!A$3:A$1002)-2),5)),0)+IFERROR(INDEX(Income!C$3:C$502,SMALL(IF((Income!D$3:D$502="INR")*(Income!A$3:A$502=DATE(2026,12,4)),ROW(Income!A$3:A$502)-2),5)),0))</f>
        <v/>
      </c>
      <c r="L248" s="38" t="str">
        <f aca="false">IF(IFERROR(INDEX(Expenses!B$3:B$1002,SMALL(IF((Expenses!E$3:E$1002="INR")*(Expenses!A$3:A$1002=DATE(2026,12,4)),ROW(Expenses!A$3:A$1002)-2),5)),"")&lt;&gt;"",IFERROR(INDEX(Expenses!B$3:B$1002,SMALL(IF((Expenses!E$3:E$1002="INR")*(Expenses!A$3:A$1002=DATE(2026,12,4)),ROW(Expenses!A$3:A$1002)-2),5)),""),IF(IFERROR(INDEX(Income!B$3:B$502,SMALL(IF((Income!D$3:D$502="INR")*(Income!A$3:A$502=DATE(2026,12,4)),ROW(Income!A$3:A$502)-2),5)),"")&lt;&gt;"",IFERROR(INDEX(Income!B$3:B$502,SMALL(IF((Income!D$3:D$502="INR")*(Income!A$3:A$502=DATE(2026,12,4)),ROW(Income!A$3:A$502)-2),5)),""),""))</f>
        <v/>
      </c>
      <c r="M248" s="63" t="str">
        <f aca="false">IF(IFERROR(-INDEX(Expenses!D$3:D$1002,SMALL(IF((Expenses!E$3:E$1002="INR")*(Expenses!A$3:A$1002=DATE(2026,12,5)),ROW(Expenses!A$3:A$1002)-2),5)),0)+IFERROR(INDEX(Income!C$3:C$502,SMALL(IF((Income!D$3:D$502="INR")*(Income!A$3:A$502=DATE(2026,12,5)),ROW(Income!A$3:A$502)-2),5)),0)=0,"",IFERROR(-INDEX(Expenses!D$3:D$1002,SMALL(IF((Expenses!E$3:E$1002="INR")*(Expenses!A$3:A$1002=DATE(2026,12,5)),ROW(Expenses!A$3:A$1002)-2),5)),0)+IFERROR(INDEX(Income!C$3:C$502,SMALL(IF((Income!D$3:D$502="INR")*(Income!A$3:A$502=DATE(2026,12,5)),ROW(Income!A$3:A$502)-2),5)),0))</f>
        <v/>
      </c>
      <c r="N248" s="38" t="str">
        <f aca="false">IF(IFERROR(INDEX(Expenses!B$3:B$1002,SMALL(IF((Expenses!E$3:E$1002="INR")*(Expenses!A$3:A$1002=DATE(2026,12,5)),ROW(Expenses!A$3:A$1002)-2),5)),"")&lt;&gt;"",IFERROR(INDEX(Expenses!B$3:B$1002,SMALL(IF((Expenses!E$3:E$1002="INR")*(Expenses!A$3:A$1002=DATE(2026,12,5)),ROW(Expenses!A$3:A$1002)-2),5)),""),IF(IFERROR(INDEX(Income!B$3:B$502,SMALL(IF((Income!D$3:D$502="INR")*(Income!A$3:A$502=DATE(2026,12,5)),ROW(Income!A$3:A$502)-2),5)),"")&lt;&gt;"",IFERROR(INDEX(Income!B$3:B$502,SMALL(IF((Income!D$3:D$502="INR")*(Income!A$3:A$502=DATE(2026,12,5)),ROW(Income!A$3:A$502)-2),5)),""),""))</f>
        <v/>
      </c>
      <c r="O248" s="63" t="str">
        <f aca="false">IF(IFERROR(-INDEX(Expenses!D$3:D$1002,SMALL(IF((Expenses!E$3:E$1002="INR")*(Expenses!A$3:A$1002=DATE(2026,12,6)),ROW(Expenses!A$3:A$1002)-2),5)),0)+IFERROR(INDEX(Income!C$3:C$502,SMALL(IF((Income!D$3:D$502="INR")*(Income!A$3:A$502=DATE(2026,12,6)),ROW(Income!A$3:A$502)-2),5)),0)=0,"",IFERROR(-INDEX(Expenses!D$3:D$1002,SMALL(IF((Expenses!E$3:E$1002="INR")*(Expenses!A$3:A$1002=DATE(2026,12,6)),ROW(Expenses!A$3:A$1002)-2),5)),0)+IFERROR(INDEX(Income!C$3:C$502,SMALL(IF((Income!D$3:D$502="INR")*(Income!A$3:A$502=DATE(2026,12,6)),ROW(Income!A$3:A$502)-2),5)),0))</f>
        <v/>
      </c>
      <c r="P248" s="38" t="str">
        <f aca="false">IF(IFERROR(INDEX(Expenses!B$3:B$1002,SMALL(IF((Expenses!E$3:E$1002="INR")*(Expenses!A$3:A$1002=DATE(2026,12,6)),ROW(Expenses!A$3:A$1002)-2),5)),"")&lt;&gt;"",IFERROR(INDEX(Expenses!B$3:B$1002,SMALL(IF((Expenses!E$3:E$1002="INR")*(Expenses!A$3:A$1002=DATE(2026,12,6)),ROW(Expenses!A$3:A$1002)-2),5)),""),IF(IFERROR(INDEX(Income!B$3:B$502,SMALL(IF((Income!D$3:D$502="INR")*(Income!A$3:A$502=DATE(2026,12,6)),ROW(Income!A$3:A$502)-2),5)),"")&lt;&gt;"",IFERROR(INDEX(Income!B$3:B$502,SMALL(IF((Income!D$3:D$502="INR")*(Income!A$3:A$502=DATE(2026,12,6)),ROW(Income!A$3:A$502)-2),5)),""),""))</f>
        <v/>
      </c>
      <c r="Q248" s="16"/>
      <c r="R248" s="16"/>
    </row>
    <row r="249" customFormat="false" ht="15" hidden="false" customHeight="false" outlineLevel="0" collapsed="false">
      <c r="A249" s="61" t="n">
        <v>46363</v>
      </c>
      <c r="B249" s="3" t="n">
        <v>50</v>
      </c>
      <c r="C249" s="63" t="str">
        <f aca="false">IF(IFERROR(-INDEX(Expenses!D$3:D$1002,SMALL(IF((Expenses!E$3:E$1002="INR")*(Expenses!A$3:A$1002=DATE(2026,12,7)),ROW(Expenses!A$3:A$1002)-2),1)),0)+IFERROR(INDEX(Income!C$3:C$502,SMALL(IF((Income!D$3:D$502="INR")*(Income!A$3:A$502=DATE(2026,12,7)),ROW(Income!A$3:A$502)-2),1)),0)=0,"",IFERROR(-INDEX(Expenses!D$3:D$1002,SMALL(IF((Expenses!E$3:E$1002="INR")*(Expenses!A$3:A$1002=DATE(2026,12,7)),ROW(Expenses!A$3:A$1002)-2),1)),0)+IFERROR(INDEX(Income!C$3:C$502,SMALL(IF((Income!D$3:D$502="INR")*(Income!A$3:A$502=DATE(2026,12,7)),ROW(Income!A$3:A$502)-2),1)),0))</f>
        <v/>
      </c>
      <c r="D249" s="38" t="str">
        <f aca="false">IF(IFERROR(INDEX(Expenses!B$3:B$1002,SMALL(IF((Expenses!E$3:E$1002="INR")*(Expenses!A$3:A$1002=DATE(2026,12,7)),ROW(Expenses!A$3:A$1002)-2),1)),"")&lt;&gt;"",IFERROR(INDEX(Expenses!B$3:B$1002,SMALL(IF((Expenses!E$3:E$1002="INR")*(Expenses!A$3:A$1002=DATE(2026,12,7)),ROW(Expenses!A$3:A$1002)-2),1)),""),IF(IFERROR(INDEX(Income!B$3:B$502,SMALL(IF((Income!D$3:D$502="INR")*(Income!A$3:A$502=DATE(2026,12,7)),ROW(Income!A$3:A$502)-2),1)),"")&lt;&gt;"",IFERROR(INDEX(Income!B$3:B$502,SMALL(IF((Income!D$3:D$502="INR")*(Income!A$3:A$502=DATE(2026,12,7)),ROW(Income!A$3:A$502)-2),1)),""),""))</f>
        <v/>
      </c>
      <c r="E249" s="63" t="str">
        <f aca="false">IF(IFERROR(-INDEX(Expenses!D$3:D$1002,SMALL(IF((Expenses!E$3:E$1002="INR")*(Expenses!A$3:A$1002=DATE(2026,12,8)),ROW(Expenses!A$3:A$1002)-2),1)),0)+IFERROR(INDEX(Income!C$3:C$502,SMALL(IF((Income!D$3:D$502="INR")*(Income!A$3:A$502=DATE(2026,12,8)),ROW(Income!A$3:A$502)-2),1)),0)=0,"",IFERROR(-INDEX(Expenses!D$3:D$1002,SMALL(IF((Expenses!E$3:E$1002="INR")*(Expenses!A$3:A$1002=DATE(2026,12,8)),ROW(Expenses!A$3:A$1002)-2),1)),0)+IFERROR(INDEX(Income!C$3:C$502,SMALL(IF((Income!D$3:D$502="INR")*(Income!A$3:A$502=DATE(2026,12,8)),ROW(Income!A$3:A$502)-2),1)),0))</f>
        <v/>
      </c>
      <c r="F249" s="38" t="str">
        <f aca="false">IF(IFERROR(INDEX(Expenses!B$3:B$1002,SMALL(IF((Expenses!E$3:E$1002="INR")*(Expenses!A$3:A$1002=DATE(2026,12,8)),ROW(Expenses!A$3:A$1002)-2),1)),"")&lt;&gt;"",IFERROR(INDEX(Expenses!B$3:B$1002,SMALL(IF((Expenses!E$3:E$1002="INR")*(Expenses!A$3:A$1002=DATE(2026,12,8)),ROW(Expenses!A$3:A$1002)-2),1)),""),IF(IFERROR(INDEX(Income!B$3:B$502,SMALL(IF((Income!D$3:D$502="INR")*(Income!A$3:A$502=DATE(2026,12,8)),ROW(Income!A$3:A$502)-2),1)),"")&lt;&gt;"",IFERROR(INDEX(Income!B$3:B$502,SMALL(IF((Income!D$3:D$502="INR")*(Income!A$3:A$502=DATE(2026,12,8)),ROW(Income!A$3:A$502)-2),1)),""),""))</f>
        <v/>
      </c>
      <c r="G249" s="63" t="str">
        <f aca="false">IF(IFERROR(-INDEX(Expenses!D$3:D$1002,SMALL(IF((Expenses!E$3:E$1002="INR")*(Expenses!A$3:A$1002=DATE(2026,12,9)),ROW(Expenses!A$3:A$1002)-2),1)),0)+IFERROR(INDEX(Income!C$3:C$502,SMALL(IF((Income!D$3:D$502="INR")*(Income!A$3:A$502=DATE(2026,12,9)),ROW(Income!A$3:A$502)-2),1)),0)=0,"",IFERROR(-INDEX(Expenses!D$3:D$1002,SMALL(IF((Expenses!E$3:E$1002="INR")*(Expenses!A$3:A$1002=DATE(2026,12,9)),ROW(Expenses!A$3:A$1002)-2),1)),0)+IFERROR(INDEX(Income!C$3:C$502,SMALL(IF((Income!D$3:D$502="INR")*(Income!A$3:A$502=DATE(2026,12,9)),ROW(Income!A$3:A$502)-2),1)),0))</f>
        <v/>
      </c>
      <c r="H249" s="38" t="str">
        <f aca="false">IF(IFERROR(INDEX(Expenses!B$3:B$1002,SMALL(IF((Expenses!E$3:E$1002="INR")*(Expenses!A$3:A$1002=DATE(2026,12,9)),ROW(Expenses!A$3:A$1002)-2),1)),"")&lt;&gt;"",IFERROR(INDEX(Expenses!B$3:B$1002,SMALL(IF((Expenses!E$3:E$1002="INR")*(Expenses!A$3:A$1002=DATE(2026,12,9)),ROW(Expenses!A$3:A$1002)-2),1)),""),IF(IFERROR(INDEX(Income!B$3:B$502,SMALL(IF((Income!D$3:D$502="INR")*(Income!A$3:A$502=DATE(2026,12,9)),ROW(Income!A$3:A$502)-2),1)),"")&lt;&gt;"",IFERROR(INDEX(Income!B$3:B$502,SMALL(IF((Income!D$3:D$502="INR")*(Income!A$3:A$502=DATE(2026,12,9)),ROW(Income!A$3:A$502)-2),1)),""),""))</f>
        <v/>
      </c>
      <c r="I249" s="63" t="str">
        <f aca="false">IF(IFERROR(-INDEX(Expenses!D$3:D$1002,SMALL(IF((Expenses!E$3:E$1002="INR")*(Expenses!A$3:A$1002=DATE(2026,12,10)),ROW(Expenses!A$3:A$1002)-2),1)),0)+IFERROR(INDEX(Income!C$3:C$502,SMALL(IF((Income!D$3:D$502="INR")*(Income!A$3:A$502=DATE(2026,12,10)),ROW(Income!A$3:A$502)-2),1)),0)=0,"",IFERROR(-INDEX(Expenses!D$3:D$1002,SMALL(IF((Expenses!E$3:E$1002="INR")*(Expenses!A$3:A$1002=DATE(2026,12,10)),ROW(Expenses!A$3:A$1002)-2),1)),0)+IFERROR(INDEX(Income!C$3:C$502,SMALL(IF((Income!D$3:D$502="INR")*(Income!A$3:A$502=DATE(2026,12,10)),ROW(Income!A$3:A$502)-2),1)),0))</f>
        <v/>
      </c>
      <c r="J249" s="38" t="str">
        <f aca="false">IF(IFERROR(INDEX(Expenses!B$3:B$1002,SMALL(IF((Expenses!E$3:E$1002="INR")*(Expenses!A$3:A$1002=DATE(2026,12,10)),ROW(Expenses!A$3:A$1002)-2),1)),"")&lt;&gt;"",IFERROR(INDEX(Expenses!B$3:B$1002,SMALL(IF((Expenses!E$3:E$1002="INR")*(Expenses!A$3:A$1002=DATE(2026,12,10)),ROW(Expenses!A$3:A$1002)-2),1)),""),IF(IFERROR(INDEX(Income!B$3:B$502,SMALL(IF((Income!D$3:D$502="INR")*(Income!A$3:A$502=DATE(2026,12,10)),ROW(Income!A$3:A$502)-2),1)),"")&lt;&gt;"",IFERROR(INDEX(Income!B$3:B$502,SMALL(IF((Income!D$3:D$502="INR")*(Income!A$3:A$502=DATE(2026,12,10)),ROW(Income!A$3:A$502)-2),1)),""),""))</f>
        <v/>
      </c>
      <c r="K249" s="63" t="str">
        <f aca="false">IF(IFERROR(-INDEX(Expenses!D$3:D$1002,SMALL(IF((Expenses!E$3:E$1002="INR")*(Expenses!A$3:A$1002=DATE(2026,12,11)),ROW(Expenses!A$3:A$1002)-2),1)),0)+IFERROR(INDEX(Income!C$3:C$502,SMALL(IF((Income!D$3:D$502="INR")*(Income!A$3:A$502=DATE(2026,12,11)),ROW(Income!A$3:A$502)-2),1)),0)=0,"",IFERROR(-INDEX(Expenses!D$3:D$1002,SMALL(IF((Expenses!E$3:E$1002="INR")*(Expenses!A$3:A$1002=DATE(2026,12,11)),ROW(Expenses!A$3:A$1002)-2),1)),0)+IFERROR(INDEX(Income!C$3:C$502,SMALL(IF((Income!D$3:D$502="INR")*(Income!A$3:A$502=DATE(2026,12,11)),ROW(Income!A$3:A$502)-2),1)),0))</f>
        <v/>
      </c>
      <c r="L249" s="38" t="str">
        <f aca="false">IF(IFERROR(INDEX(Expenses!B$3:B$1002,SMALL(IF((Expenses!E$3:E$1002="INR")*(Expenses!A$3:A$1002=DATE(2026,12,11)),ROW(Expenses!A$3:A$1002)-2),1)),"")&lt;&gt;"",IFERROR(INDEX(Expenses!B$3:B$1002,SMALL(IF((Expenses!E$3:E$1002="INR")*(Expenses!A$3:A$1002=DATE(2026,12,11)),ROW(Expenses!A$3:A$1002)-2),1)),""),IF(IFERROR(INDEX(Income!B$3:B$502,SMALL(IF((Income!D$3:D$502="INR")*(Income!A$3:A$502=DATE(2026,12,11)),ROW(Income!A$3:A$502)-2),1)),"")&lt;&gt;"",IFERROR(INDEX(Income!B$3:B$502,SMALL(IF((Income!D$3:D$502="INR")*(Income!A$3:A$502=DATE(2026,12,11)),ROW(Income!A$3:A$502)-2),1)),""),""))</f>
        <v/>
      </c>
      <c r="M249" s="63" t="str">
        <f aca="false">IF(IFERROR(-INDEX(Expenses!D$3:D$1002,SMALL(IF((Expenses!E$3:E$1002="INR")*(Expenses!A$3:A$1002=DATE(2026,12,12)),ROW(Expenses!A$3:A$1002)-2),1)),0)+IFERROR(INDEX(Income!C$3:C$502,SMALL(IF((Income!D$3:D$502="INR")*(Income!A$3:A$502=DATE(2026,12,12)),ROW(Income!A$3:A$502)-2),1)),0)=0,"",IFERROR(-INDEX(Expenses!D$3:D$1002,SMALL(IF((Expenses!E$3:E$1002="INR")*(Expenses!A$3:A$1002=DATE(2026,12,12)),ROW(Expenses!A$3:A$1002)-2),1)),0)+IFERROR(INDEX(Income!C$3:C$502,SMALL(IF((Income!D$3:D$502="INR")*(Income!A$3:A$502=DATE(2026,12,12)),ROW(Income!A$3:A$502)-2),1)),0))</f>
        <v/>
      </c>
      <c r="N249" s="38" t="str">
        <f aca="false">IF(IFERROR(INDEX(Expenses!B$3:B$1002,SMALL(IF((Expenses!E$3:E$1002="INR")*(Expenses!A$3:A$1002=DATE(2026,12,12)),ROW(Expenses!A$3:A$1002)-2),1)),"")&lt;&gt;"",IFERROR(INDEX(Expenses!B$3:B$1002,SMALL(IF((Expenses!E$3:E$1002="INR")*(Expenses!A$3:A$1002=DATE(2026,12,12)),ROW(Expenses!A$3:A$1002)-2),1)),""),IF(IFERROR(INDEX(Income!B$3:B$502,SMALL(IF((Income!D$3:D$502="INR")*(Income!A$3:A$502=DATE(2026,12,12)),ROW(Income!A$3:A$502)-2),1)),"")&lt;&gt;"",IFERROR(INDEX(Income!B$3:B$502,SMALL(IF((Income!D$3:D$502="INR")*(Income!A$3:A$502=DATE(2026,12,12)),ROW(Income!A$3:A$502)-2),1)),""),""))</f>
        <v/>
      </c>
      <c r="O249" s="63" t="str">
        <f aca="false">IF(IFERROR(-INDEX(Expenses!D$3:D$1002,SMALL(IF((Expenses!E$3:E$1002="INR")*(Expenses!A$3:A$1002=DATE(2026,12,13)),ROW(Expenses!A$3:A$1002)-2),1)),0)+IFERROR(INDEX(Income!C$3:C$502,SMALL(IF((Income!D$3:D$502="INR")*(Income!A$3:A$502=DATE(2026,12,13)),ROW(Income!A$3:A$502)-2),1)),0)=0,"",IFERROR(-INDEX(Expenses!D$3:D$1002,SMALL(IF((Expenses!E$3:E$1002="INR")*(Expenses!A$3:A$1002=DATE(2026,12,13)),ROW(Expenses!A$3:A$1002)-2),1)),0)+IFERROR(INDEX(Income!C$3:C$502,SMALL(IF((Income!D$3:D$502="INR")*(Income!A$3:A$502=DATE(2026,12,13)),ROW(Income!A$3:A$502)-2),1)),0))</f>
        <v/>
      </c>
      <c r="P249" s="38" t="str">
        <f aca="false">IF(IFERROR(INDEX(Expenses!B$3:B$1002,SMALL(IF((Expenses!E$3:E$1002="INR")*(Expenses!A$3:A$1002=DATE(2026,12,13)),ROW(Expenses!A$3:A$1002)-2),1)),"")&lt;&gt;"",IFERROR(INDEX(Expenses!B$3:B$1002,SMALL(IF((Expenses!E$3:E$1002="INR")*(Expenses!A$3:A$1002=DATE(2026,12,13)),ROW(Expenses!A$3:A$1002)-2),1)),""),IF(IFERROR(INDEX(Income!B$3:B$502,SMALL(IF((Income!D$3:D$502="INR")*(Income!A$3:A$502=DATE(2026,12,13)),ROW(Income!A$3:A$502)-2),1)),"")&lt;&gt;"",IFERROR(INDEX(Income!B$3:B$502,SMALL(IF((Income!D$3:D$502="INR")*(Income!A$3:A$502=DATE(2026,12,13)),ROW(Income!A$3:A$502)-2),1)),""),""))</f>
        <v/>
      </c>
      <c r="Q249" s="3" t="n">
        <v>50</v>
      </c>
      <c r="R249" s="53" t="n">
        <f aca="false">SUM(C249:C253)+SUM(E249:E253)+SUM(G249:G253)+SUM(I249:I253)+SUM(K249:K253)+SUM(M249:M253)+SUM(O249:O253)</f>
        <v>0</v>
      </c>
    </row>
    <row r="250" customFormat="false" ht="15" hidden="false" customHeight="false" outlineLevel="0" collapsed="false">
      <c r="A250" s="16"/>
      <c r="B250" s="16"/>
      <c r="C250" s="63" t="str">
        <f aca="false">IF(IFERROR(-INDEX(Expenses!D$3:D$1002,SMALL(IF((Expenses!E$3:E$1002="INR")*(Expenses!A$3:A$1002=DATE(2026,12,7)),ROW(Expenses!A$3:A$1002)-2),2)),0)+IFERROR(INDEX(Income!C$3:C$502,SMALL(IF((Income!D$3:D$502="INR")*(Income!A$3:A$502=DATE(2026,12,7)),ROW(Income!A$3:A$502)-2),2)),0)=0,"",IFERROR(-INDEX(Expenses!D$3:D$1002,SMALL(IF((Expenses!E$3:E$1002="INR")*(Expenses!A$3:A$1002=DATE(2026,12,7)),ROW(Expenses!A$3:A$1002)-2),2)),0)+IFERROR(INDEX(Income!C$3:C$502,SMALL(IF((Income!D$3:D$502="INR")*(Income!A$3:A$502=DATE(2026,12,7)),ROW(Income!A$3:A$502)-2),2)),0))</f>
        <v/>
      </c>
      <c r="D250" s="38" t="str">
        <f aca="false">IF(IFERROR(INDEX(Expenses!B$3:B$1002,SMALL(IF((Expenses!E$3:E$1002="INR")*(Expenses!A$3:A$1002=DATE(2026,12,7)),ROW(Expenses!A$3:A$1002)-2),2)),"")&lt;&gt;"",IFERROR(INDEX(Expenses!B$3:B$1002,SMALL(IF((Expenses!E$3:E$1002="INR")*(Expenses!A$3:A$1002=DATE(2026,12,7)),ROW(Expenses!A$3:A$1002)-2),2)),""),IF(IFERROR(INDEX(Income!B$3:B$502,SMALL(IF((Income!D$3:D$502="INR")*(Income!A$3:A$502=DATE(2026,12,7)),ROW(Income!A$3:A$502)-2),2)),"")&lt;&gt;"",IFERROR(INDEX(Income!B$3:B$502,SMALL(IF((Income!D$3:D$502="INR")*(Income!A$3:A$502=DATE(2026,12,7)),ROW(Income!A$3:A$502)-2),2)),""),""))</f>
        <v/>
      </c>
      <c r="E250" s="63" t="str">
        <f aca="false">IF(IFERROR(-INDEX(Expenses!D$3:D$1002,SMALL(IF((Expenses!E$3:E$1002="INR")*(Expenses!A$3:A$1002=DATE(2026,12,8)),ROW(Expenses!A$3:A$1002)-2),2)),0)+IFERROR(INDEX(Income!C$3:C$502,SMALL(IF((Income!D$3:D$502="INR")*(Income!A$3:A$502=DATE(2026,12,8)),ROW(Income!A$3:A$502)-2),2)),0)=0,"",IFERROR(-INDEX(Expenses!D$3:D$1002,SMALL(IF((Expenses!E$3:E$1002="INR")*(Expenses!A$3:A$1002=DATE(2026,12,8)),ROW(Expenses!A$3:A$1002)-2),2)),0)+IFERROR(INDEX(Income!C$3:C$502,SMALL(IF((Income!D$3:D$502="INR")*(Income!A$3:A$502=DATE(2026,12,8)),ROW(Income!A$3:A$502)-2),2)),0))</f>
        <v/>
      </c>
      <c r="F250" s="38" t="str">
        <f aca="false">IF(IFERROR(INDEX(Expenses!B$3:B$1002,SMALL(IF((Expenses!E$3:E$1002="INR")*(Expenses!A$3:A$1002=DATE(2026,12,8)),ROW(Expenses!A$3:A$1002)-2),2)),"")&lt;&gt;"",IFERROR(INDEX(Expenses!B$3:B$1002,SMALL(IF((Expenses!E$3:E$1002="INR")*(Expenses!A$3:A$1002=DATE(2026,12,8)),ROW(Expenses!A$3:A$1002)-2),2)),""),IF(IFERROR(INDEX(Income!B$3:B$502,SMALL(IF((Income!D$3:D$502="INR")*(Income!A$3:A$502=DATE(2026,12,8)),ROW(Income!A$3:A$502)-2),2)),"")&lt;&gt;"",IFERROR(INDEX(Income!B$3:B$502,SMALL(IF((Income!D$3:D$502="INR")*(Income!A$3:A$502=DATE(2026,12,8)),ROW(Income!A$3:A$502)-2),2)),""),""))</f>
        <v/>
      </c>
      <c r="G250" s="63" t="str">
        <f aca="false">IF(IFERROR(-INDEX(Expenses!D$3:D$1002,SMALL(IF((Expenses!E$3:E$1002="INR")*(Expenses!A$3:A$1002=DATE(2026,12,9)),ROW(Expenses!A$3:A$1002)-2),2)),0)+IFERROR(INDEX(Income!C$3:C$502,SMALL(IF((Income!D$3:D$502="INR")*(Income!A$3:A$502=DATE(2026,12,9)),ROW(Income!A$3:A$502)-2),2)),0)=0,"",IFERROR(-INDEX(Expenses!D$3:D$1002,SMALL(IF((Expenses!E$3:E$1002="INR")*(Expenses!A$3:A$1002=DATE(2026,12,9)),ROW(Expenses!A$3:A$1002)-2),2)),0)+IFERROR(INDEX(Income!C$3:C$502,SMALL(IF((Income!D$3:D$502="INR")*(Income!A$3:A$502=DATE(2026,12,9)),ROW(Income!A$3:A$502)-2),2)),0))</f>
        <v/>
      </c>
      <c r="H250" s="38" t="str">
        <f aca="false">IF(IFERROR(INDEX(Expenses!B$3:B$1002,SMALL(IF((Expenses!E$3:E$1002="INR")*(Expenses!A$3:A$1002=DATE(2026,12,9)),ROW(Expenses!A$3:A$1002)-2),2)),"")&lt;&gt;"",IFERROR(INDEX(Expenses!B$3:B$1002,SMALL(IF((Expenses!E$3:E$1002="INR")*(Expenses!A$3:A$1002=DATE(2026,12,9)),ROW(Expenses!A$3:A$1002)-2),2)),""),IF(IFERROR(INDEX(Income!B$3:B$502,SMALL(IF((Income!D$3:D$502="INR")*(Income!A$3:A$502=DATE(2026,12,9)),ROW(Income!A$3:A$502)-2),2)),"")&lt;&gt;"",IFERROR(INDEX(Income!B$3:B$502,SMALL(IF((Income!D$3:D$502="INR")*(Income!A$3:A$502=DATE(2026,12,9)),ROW(Income!A$3:A$502)-2),2)),""),""))</f>
        <v/>
      </c>
      <c r="I250" s="63" t="str">
        <f aca="false">IF(IFERROR(-INDEX(Expenses!D$3:D$1002,SMALL(IF((Expenses!E$3:E$1002="INR")*(Expenses!A$3:A$1002=DATE(2026,12,10)),ROW(Expenses!A$3:A$1002)-2),2)),0)+IFERROR(INDEX(Income!C$3:C$502,SMALL(IF((Income!D$3:D$502="INR")*(Income!A$3:A$502=DATE(2026,12,10)),ROW(Income!A$3:A$502)-2),2)),0)=0,"",IFERROR(-INDEX(Expenses!D$3:D$1002,SMALL(IF((Expenses!E$3:E$1002="INR")*(Expenses!A$3:A$1002=DATE(2026,12,10)),ROW(Expenses!A$3:A$1002)-2),2)),0)+IFERROR(INDEX(Income!C$3:C$502,SMALL(IF((Income!D$3:D$502="INR")*(Income!A$3:A$502=DATE(2026,12,10)),ROW(Income!A$3:A$502)-2),2)),0))</f>
        <v/>
      </c>
      <c r="J250" s="38" t="str">
        <f aca="false">IF(IFERROR(INDEX(Expenses!B$3:B$1002,SMALL(IF((Expenses!E$3:E$1002="INR")*(Expenses!A$3:A$1002=DATE(2026,12,10)),ROW(Expenses!A$3:A$1002)-2),2)),"")&lt;&gt;"",IFERROR(INDEX(Expenses!B$3:B$1002,SMALL(IF((Expenses!E$3:E$1002="INR")*(Expenses!A$3:A$1002=DATE(2026,12,10)),ROW(Expenses!A$3:A$1002)-2),2)),""),IF(IFERROR(INDEX(Income!B$3:B$502,SMALL(IF((Income!D$3:D$502="INR")*(Income!A$3:A$502=DATE(2026,12,10)),ROW(Income!A$3:A$502)-2),2)),"")&lt;&gt;"",IFERROR(INDEX(Income!B$3:B$502,SMALL(IF((Income!D$3:D$502="INR")*(Income!A$3:A$502=DATE(2026,12,10)),ROW(Income!A$3:A$502)-2),2)),""),""))</f>
        <v/>
      </c>
      <c r="K250" s="63" t="str">
        <f aca="false">IF(IFERROR(-INDEX(Expenses!D$3:D$1002,SMALL(IF((Expenses!E$3:E$1002="INR")*(Expenses!A$3:A$1002=DATE(2026,12,11)),ROW(Expenses!A$3:A$1002)-2),2)),0)+IFERROR(INDEX(Income!C$3:C$502,SMALL(IF((Income!D$3:D$502="INR")*(Income!A$3:A$502=DATE(2026,12,11)),ROW(Income!A$3:A$502)-2),2)),0)=0,"",IFERROR(-INDEX(Expenses!D$3:D$1002,SMALL(IF((Expenses!E$3:E$1002="INR")*(Expenses!A$3:A$1002=DATE(2026,12,11)),ROW(Expenses!A$3:A$1002)-2),2)),0)+IFERROR(INDEX(Income!C$3:C$502,SMALL(IF((Income!D$3:D$502="INR")*(Income!A$3:A$502=DATE(2026,12,11)),ROW(Income!A$3:A$502)-2),2)),0))</f>
        <v/>
      </c>
      <c r="L250" s="38" t="str">
        <f aca="false">IF(IFERROR(INDEX(Expenses!B$3:B$1002,SMALL(IF((Expenses!E$3:E$1002="INR")*(Expenses!A$3:A$1002=DATE(2026,12,11)),ROW(Expenses!A$3:A$1002)-2),2)),"")&lt;&gt;"",IFERROR(INDEX(Expenses!B$3:B$1002,SMALL(IF((Expenses!E$3:E$1002="INR")*(Expenses!A$3:A$1002=DATE(2026,12,11)),ROW(Expenses!A$3:A$1002)-2),2)),""),IF(IFERROR(INDEX(Income!B$3:B$502,SMALL(IF((Income!D$3:D$502="INR")*(Income!A$3:A$502=DATE(2026,12,11)),ROW(Income!A$3:A$502)-2),2)),"")&lt;&gt;"",IFERROR(INDEX(Income!B$3:B$502,SMALL(IF((Income!D$3:D$502="INR")*(Income!A$3:A$502=DATE(2026,12,11)),ROW(Income!A$3:A$502)-2),2)),""),""))</f>
        <v/>
      </c>
      <c r="M250" s="63" t="str">
        <f aca="false">IF(IFERROR(-INDEX(Expenses!D$3:D$1002,SMALL(IF((Expenses!E$3:E$1002="INR")*(Expenses!A$3:A$1002=DATE(2026,12,12)),ROW(Expenses!A$3:A$1002)-2),2)),0)+IFERROR(INDEX(Income!C$3:C$502,SMALL(IF((Income!D$3:D$502="INR")*(Income!A$3:A$502=DATE(2026,12,12)),ROW(Income!A$3:A$502)-2),2)),0)=0,"",IFERROR(-INDEX(Expenses!D$3:D$1002,SMALL(IF((Expenses!E$3:E$1002="INR")*(Expenses!A$3:A$1002=DATE(2026,12,12)),ROW(Expenses!A$3:A$1002)-2),2)),0)+IFERROR(INDEX(Income!C$3:C$502,SMALL(IF((Income!D$3:D$502="INR")*(Income!A$3:A$502=DATE(2026,12,12)),ROW(Income!A$3:A$502)-2),2)),0))</f>
        <v/>
      </c>
      <c r="N250" s="38" t="str">
        <f aca="false">IF(IFERROR(INDEX(Expenses!B$3:B$1002,SMALL(IF((Expenses!E$3:E$1002="INR")*(Expenses!A$3:A$1002=DATE(2026,12,12)),ROW(Expenses!A$3:A$1002)-2),2)),"")&lt;&gt;"",IFERROR(INDEX(Expenses!B$3:B$1002,SMALL(IF((Expenses!E$3:E$1002="INR")*(Expenses!A$3:A$1002=DATE(2026,12,12)),ROW(Expenses!A$3:A$1002)-2),2)),""),IF(IFERROR(INDEX(Income!B$3:B$502,SMALL(IF((Income!D$3:D$502="INR")*(Income!A$3:A$502=DATE(2026,12,12)),ROW(Income!A$3:A$502)-2),2)),"")&lt;&gt;"",IFERROR(INDEX(Income!B$3:B$502,SMALL(IF((Income!D$3:D$502="INR")*(Income!A$3:A$502=DATE(2026,12,12)),ROW(Income!A$3:A$502)-2),2)),""),""))</f>
        <v/>
      </c>
      <c r="O250" s="63" t="str">
        <f aca="false">IF(IFERROR(-INDEX(Expenses!D$3:D$1002,SMALL(IF((Expenses!E$3:E$1002="INR")*(Expenses!A$3:A$1002=DATE(2026,12,13)),ROW(Expenses!A$3:A$1002)-2),2)),0)+IFERROR(INDEX(Income!C$3:C$502,SMALL(IF((Income!D$3:D$502="INR")*(Income!A$3:A$502=DATE(2026,12,13)),ROW(Income!A$3:A$502)-2),2)),0)=0,"",IFERROR(-INDEX(Expenses!D$3:D$1002,SMALL(IF((Expenses!E$3:E$1002="INR")*(Expenses!A$3:A$1002=DATE(2026,12,13)),ROW(Expenses!A$3:A$1002)-2),2)),0)+IFERROR(INDEX(Income!C$3:C$502,SMALL(IF((Income!D$3:D$502="INR")*(Income!A$3:A$502=DATE(2026,12,13)),ROW(Income!A$3:A$502)-2),2)),0))</f>
        <v/>
      </c>
      <c r="P250" s="38" t="str">
        <f aca="false">IF(IFERROR(INDEX(Expenses!B$3:B$1002,SMALL(IF((Expenses!E$3:E$1002="INR")*(Expenses!A$3:A$1002=DATE(2026,12,13)),ROW(Expenses!A$3:A$1002)-2),2)),"")&lt;&gt;"",IFERROR(INDEX(Expenses!B$3:B$1002,SMALL(IF((Expenses!E$3:E$1002="INR")*(Expenses!A$3:A$1002=DATE(2026,12,13)),ROW(Expenses!A$3:A$1002)-2),2)),""),IF(IFERROR(INDEX(Income!B$3:B$502,SMALL(IF((Income!D$3:D$502="INR")*(Income!A$3:A$502=DATE(2026,12,13)),ROW(Income!A$3:A$502)-2),2)),"")&lt;&gt;"",IFERROR(INDEX(Income!B$3:B$502,SMALL(IF((Income!D$3:D$502="INR")*(Income!A$3:A$502=DATE(2026,12,13)),ROW(Income!A$3:A$502)-2),2)),""),""))</f>
        <v/>
      </c>
      <c r="Q250" s="16"/>
      <c r="R250" s="16"/>
    </row>
    <row r="251" customFormat="false" ht="15" hidden="false" customHeight="false" outlineLevel="0" collapsed="false">
      <c r="A251" s="16"/>
      <c r="B251" s="16"/>
      <c r="C251" s="63" t="str">
        <f aca="false">IF(IFERROR(-INDEX(Expenses!D$3:D$1002,SMALL(IF((Expenses!E$3:E$1002="INR")*(Expenses!A$3:A$1002=DATE(2026,12,7)),ROW(Expenses!A$3:A$1002)-2),3)),0)+IFERROR(INDEX(Income!C$3:C$502,SMALL(IF((Income!D$3:D$502="INR")*(Income!A$3:A$502=DATE(2026,12,7)),ROW(Income!A$3:A$502)-2),3)),0)=0,"",IFERROR(-INDEX(Expenses!D$3:D$1002,SMALL(IF((Expenses!E$3:E$1002="INR")*(Expenses!A$3:A$1002=DATE(2026,12,7)),ROW(Expenses!A$3:A$1002)-2),3)),0)+IFERROR(INDEX(Income!C$3:C$502,SMALL(IF((Income!D$3:D$502="INR")*(Income!A$3:A$502=DATE(2026,12,7)),ROW(Income!A$3:A$502)-2),3)),0))</f>
        <v/>
      </c>
      <c r="D251" s="38" t="str">
        <f aca="false">IF(IFERROR(INDEX(Expenses!B$3:B$1002,SMALL(IF((Expenses!E$3:E$1002="INR")*(Expenses!A$3:A$1002=DATE(2026,12,7)),ROW(Expenses!A$3:A$1002)-2),3)),"")&lt;&gt;"",IFERROR(INDEX(Expenses!B$3:B$1002,SMALL(IF((Expenses!E$3:E$1002="INR")*(Expenses!A$3:A$1002=DATE(2026,12,7)),ROW(Expenses!A$3:A$1002)-2),3)),""),IF(IFERROR(INDEX(Income!B$3:B$502,SMALL(IF((Income!D$3:D$502="INR")*(Income!A$3:A$502=DATE(2026,12,7)),ROW(Income!A$3:A$502)-2),3)),"")&lt;&gt;"",IFERROR(INDEX(Income!B$3:B$502,SMALL(IF((Income!D$3:D$502="INR")*(Income!A$3:A$502=DATE(2026,12,7)),ROW(Income!A$3:A$502)-2),3)),""),""))</f>
        <v/>
      </c>
      <c r="E251" s="63" t="str">
        <f aca="false">IF(IFERROR(-INDEX(Expenses!D$3:D$1002,SMALL(IF((Expenses!E$3:E$1002="INR")*(Expenses!A$3:A$1002=DATE(2026,12,8)),ROW(Expenses!A$3:A$1002)-2),3)),0)+IFERROR(INDEX(Income!C$3:C$502,SMALL(IF((Income!D$3:D$502="INR")*(Income!A$3:A$502=DATE(2026,12,8)),ROW(Income!A$3:A$502)-2),3)),0)=0,"",IFERROR(-INDEX(Expenses!D$3:D$1002,SMALL(IF((Expenses!E$3:E$1002="INR")*(Expenses!A$3:A$1002=DATE(2026,12,8)),ROW(Expenses!A$3:A$1002)-2),3)),0)+IFERROR(INDEX(Income!C$3:C$502,SMALL(IF((Income!D$3:D$502="INR")*(Income!A$3:A$502=DATE(2026,12,8)),ROW(Income!A$3:A$502)-2),3)),0))</f>
        <v/>
      </c>
      <c r="F251" s="38" t="str">
        <f aca="false">IF(IFERROR(INDEX(Expenses!B$3:B$1002,SMALL(IF((Expenses!E$3:E$1002="INR")*(Expenses!A$3:A$1002=DATE(2026,12,8)),ROW(Expenses!A$3:A$1002)-2),3)),"")&lt;&gt;"",IFERROR(INDEX(Expenses!B$3:B$1002,SMALL(IF((Expenses!E$3:E$1002="INR")*(Expenses!A$3:A$1002=DATE(2026,12,8)),ROW(Expenses!A$3:A$1002)-2),3)),""),IF(IFERROR(INDEX(Income!B$3:B$502,SMALL(IF((Income!D$3:D$502="INR")*(Income!A$3:A$502=DATE(2026,12,8)),ROW(Income!A$3:A$502)-2),3)),"")&lt;&gt;"",IFERROR(INDEX(Income!B$3:B$502,SMALL(IF((Income!D$3:D$502="INR")*(Income!A$3:A$502=DATE(2026,12,8)),ROW(Income!A$3:A$502)-2),3)),""),""))</f>
        <v/>
      </c>
      <c r="G251" s="63" t="str">
        <f aca="false">IF(IFERROR(-INDEX(Expenses!D$3:D$1002,SMALL(IF((Expenses!E$3:E$1002="INR")*(Expenses!A$3:A$1002=DATE(2026,12,9)),ROW(Expenses!A$3:A$1002)-2),3)),0)+IFERROR(INDEX(Income!C$3:C$502,SMALL(IF((Income!D$3:D$502="INR")*(Income!A$3:A$502=DATE(2026,12,9)),ROW(Income!A$3:A$502)-2),3)),0)=0,"",IFERROR(-INDEX(Expenses!D$3:D$1002,SMALL(IF((Expenses!E$3:E$1002="INR")*(Expenses!A$3:A$1002=DATE(2026,12,9)),ROW(Expenses!A$3:A$1002)-2),3)),0)+IFERROR(INDEX(Income!C$3:C$502,SMALL(IF((Income!D$3:D$502="INR")*(Income!A$3:A$502=DATE(2026,12,9)),ROW(Income!A$3:A$502)-2),3)),0))</f>
        <v/>
      </c>
      <c r="H251" s="38" t="str">
        <f aca="false">IF(IFERROR(INDEX(Expenses!B$3:B$1002,SMALL(IF((Expenses!E$3:E$1002="INR")*(Expenses!A$3:A$1002=DATE(2026,12,9)),ROW(Expenses!A$3:A$1002)-2),3)),"")&lt;&gt;"",IFERROR(INDEX(Expenses!B$3:B$1002,SMALL(IF((Expenses!E$3:E$1002="INR")*(Expenses!A$3:A$1002=DATE(2026,12,9)),ROW(Expenses!A$3:A$1002)-2),3)),""),IF(IFERROR(INDEX(Income!B$3:B$502,SMALL(IF((Income!D$3:D$502="INR")*(Income!A$3:A$502=DATE(2026,12,9)),ROW(Income!A$3:A$502)-2),3)),"")&lt;&gt;"",IFERROR(INDEX(Income!B$3:B$502,SMALL(IF((Income!D$3:D$502="INR")*(Income!A$3:A$502=DATE(2026,12,9)),ROW(Income!A$3:A$502)-2),3)),""),""))</f>
        <v/>
      </c>
      <c r="I251" s="63" t="str">
        <f aca="false">IF(IFERROR(-INDEX(Expenses!D$3:D$1002,SMALL(IF((Expenses!E$3:E$1002="INR")*(Expenses!A$3:A$1002=DATE(2026,12,10)),ROW(Expenses!A$3:A$1002)-2),3)),0)+IFERROR(INDEX(Income!C$3:C$502,SMALL(IF((Income!D$3:D$502="INR")*(Income!A$3:A$502=DATE(2026,12,10)),ROW(Income!A$3:A$502)-2),3)),0)=0,"",IFERROR(-INDEX(Expenses!D$3:D$1002,SMALL(IF((Expenses!E$3:E$1002="INR")*(Expenses!A$3:A$1002=DATE(2026,12,10)),ROW(Expenses!A$3:A$1002)-2),3)),0)+IFERROR(INDEX(Income!C$3:C$502,SMALL(IF((Income!D$3:D$502="INR")*(Income!A$3:A$502=DATE(2026,12,10)),ROW(Income!A$3:A$502)-2),3)),0))</f>
        <v/>
      </c>
      <c r="J251" s="38" t="str">
        <f aca="false">IF(IFERROR(INDEX(Expenses!B$3:B$1002,SMALL(IF((Expenses!E$3:E$1002="INR")*(Expenses!A$3:A$1002=DATE(2026,12,10)),ROW(Expenses!A$3:A$1002)-2),3)),"")&lt;&gt;"",IFERROR(INDEX(Expenses!B$3:B$1002,SMALL(IF((Expenses!E$3:E$1002="INR")*(Expenses!A$3:A$1002=DATE(2026,12,10)),ROW(Expenses!A$3:A$1002)-2),3)),""),IF(IFERROR(INDEX(Income!B$3:B$502,SMALL(IF((Income!D$3:D$502="INR")*(Income!A$3:A$502=DATE(2026,12,10)),ROW(Income!A$3:A$502)-2),3)),"")&lt;&gt;"",IFERROR(INDEX(Income!B$3:B$502,SMALL(IF((Income!D$3:D$502="INR")*(Income!A$3:A$502=DATE(2026,12,10)),ROW(Income!A$3:A$502)-2),3)),""),""))</f>
        <v/>
      </c>
      <c r="K251" s="63" t="str">
        <f aca="false">IF(IFERROR(-INDEX(Expenses!D$3:D$1002,SMALL(IF((Expenses!E$3:E$1002="INR")*(Expenses!A$3:A$1002=DATE(2026,12,11)),ROW(Expenses!A$3:A$1002)-2),3)),0)+IFERROR(INDEX(Income!C$3:C$502,SMALL(IF((Income!D$3:D$502="INR")*(Income!A$3:A$502=DATE(2026,12,11)),ROW(Income!A$3:A$502)-2),3)),0)=0,"",IFERROR(-INDEX(Expenses!D$3:D$1002,SMALL(IF((Expenses!E$3:E$1002="INR")*(Expenses!A$3:A$1002=DATE(2026,12,11)),ROW(Expenses!A$3:A$1002)-2),3)),0)+IFERROR(INDEX(Income!C$3:C$502,SMALL(IF((Income!D$3:D$502="INR")*(Income!A$3:A$502=DATE(2026,12,11)),ROW(Income!A$3:A$502)-2),3)),0))</f>
        <v/>
      </c>
      <c r="L251" s="38" t="str">
        <f aca="false">IF(IFERROR(INDEX(Expenses!B$3:B$1002,SMALL(IF((Expenses!E$3:E$1002="INR")*(Expenses!A$3:A$1002=DATE(2026,12,11)),ROW(Expenses!A$3:A$1002)-2),3)),"")&lt;&gt;"",IFERROR(INDEX(Expenses!B$3:B$1002,SMALL(IF((Expenses!E$3:E$1002="INR")*(Expenses!A$3:A$1002=DATE(2026,12,11)),ROW(Expenses!A$3:A$1002)-2),3)),""),IF(IFERROR(INDEX(Income!B$3:B$502,SMALL(IF((Income!D$3:D$502="INR")*(Income!A$3:A$502=DATE(2026,12,11)),ROW(Income!A$3:A$502)-2),3)),"")&lt;&gt;"",IFERROR(INDEX(Income!B$3:B$502,SMALL(IF((Income!D$3:D$502="INR")*(Income!A$3:A$502=DATE(2026,12,11)),ROW(Income!A$3:A$502)-2),3)),""),""))</f>
        <v/>
      </c>
      <c r="M251" s="63" t="str">
        <f aca="false">IF(IFERROR(-INDEX(Expenses!D$3:D$1002,SMALL(IF((Expenses!E$3:E$1002="INR")*(Expenses!A$3:A$1002=DATE(2026,12,12)),ROW(Expenses!A$3:A$1002)-2),3)),0)+IFERROR(INDEX(Income!C$3:C$502,SMALL(IF((Income!D$3:D$502="INR")*(Income!A$3:A$502=DATE(2026,12,12)),ROW(Income!A$3:A$502)-2),3)),0)=0,"",IFERROR(-INDEX(Expenses!D$3:D$1002,SMALL(IF((Expenses!E$3:E$1002="INR")*(Expenses!A$3:A$1002=DATE(2026,12,12)),ROW(Expenses!A$3:A$1002)-2),3)),0)+IFERROR(INDEX(Income!C$3:C$502,SMALL(IF((Income!D$3:D$502="INR")*(Income!A$3:A$502=DATE(2026,12,12)),ROW(Income!A$3:A$502)-2),3)),0))</f>
        <v/>
      </c>
      <c r="N251" s="38" t="str">
        <f aca="false">IF(IFERROR(INDEX(Expenses!B$3:B$1002,SMALL(IF((Expenses!E$3:E$1002="INR")*(Expenses!A$3:A$1002=DATE(2026,12,12)),ROW(Expenses!A$3:A$1002)-2),3)),"")&lt;&gt;"",IFERROR(INDEX(Expenses!B$3:B$1002,SMALL(IF((Expenses!E$3:E$1002="INR")*(Expenses!A$3:A$1002=DATE(2026,12,12)),ROW(Expenses!A$3:A$1002)-2),3)),""),IF(IFERROR(INDEX(Income!B$3:B$502,SMALL(IF((Income!D$3:D$502="INR")*(Income!A$3:A$502=DATE(2026,12,12)),ROW(Income!A$3:A$502)-2),3)),"")&lt;&gt;"",IFERROR(INDEX(Income!B$3:B$502,SMALL(IF((Income!D$3:D$502="INR")*(Income!A$3:A$502=DATE(2026,12,12)),ROW(Income!A$3:A$502)-2),3)),""),""))</f>
        <v/>
      </c>
      <c r="O251" s="63" t="str">
        <f aca="false">IF(IFERROR(-INDEX(Expenses!D$3:D$1002,SMALL(IF((Expenses!E$3:E$1002="INR")*(Expenses!A$3:A$1002=DATE(2026,12,13)),ROW(Expenses!A$3:A$1002)-2),3)),0)+IFERROR(INDEX(Income!C$3:C$502,SMALL(IF((Income!D$3:D$502="INR")*(Income!A$3:A$502=DATE(2026,12,13)),ROW(Income!A$3:A$502)-2),3)),0)=0,"",IFERROR(-INDEX(Expenses!D$3:D$1002,SMALL(IF((Expenses!E$3:E$1002="INR")*(Expenses!A$3:A$1002=DATE(2026,12,13)),ROW(Expenses!A$3:A$1002)-2),3)),0)+IFERROR(INDEX(Income!C$3:C$502,SMALL(IF((Income!D$3:D$502="INR")*(Income!A$3:A$502=DATE(2026,12,13)),ROW(Income!A$3:A$502)-2),3)),0))</f>
        <v/>
      </c>
      <c r="P251" s="38" t="str">
        <f aca="false">IF(IFERROR(INDEX(Expenses!B$3:B$1002,SMALL(IF((Expenses!E$3:E$1002="INR")*(Expenses!A$3:A$1002=DATE(2026,12,13)),ROW(Expenses!A$3:A$1002)-2),3)),"")&lt;&gt;"",IFERROR(INDEX(Expenses!B$3:B$1002,SMALL(IF((Expenses!E$3:E$1002="INR")*(Expenses!A$3:A$1002=DATE(2026,12,13)),ROW(Expenses!A$3:A$1002)-2),3)),""),IF(IFERROR(INDEX(Income!B$3:B$502,SMALL(IF((Income!D$3:D$502="INR")*(Income!A$3:A$502=DATE(2026,12,13)),ROW(Income!A$3:A$502)-2),3)),"")&lt;&gt;"",IFERROR(INDEX(Income!B$3:B$502,SMALL(IF((Income!D$3:D$502="INR")*(Income!A$3:A$502=DATE(2026,12,13)),ROW(Income!A$3:A$502)-2),3)),""),""))</f>
        <v/>
      </c>
      <c r="Q251" s="16"/>
      <c r="R251" s="16"/>
    </row>
    <row r="252" customFormat="false" ht="15" hidden="false" customHeight="false" outlineLevel="0" collapsed="false">
      <c r="A252" s="16"/>
      <c r="B252" s="16"/>
      <c r="C252" s="63" t="str">
        <f aca="false">IF(IFERROR(-INDEX(Expenses!D$3:D$1002,SMALL(IF((Expenses!E$3:E$1002="INR")*(Expenses!A$3:A$1002=DATE(2026,12,7)),ROW(Expenses!A$3:A$1002)-2),4)),0)+IFERROR(INDEX(Income!C$3:C$502,SMALL(IF((Income!D$3:D$502="INR")*(Income!A$3:A$502=DATE(2026,12,7)),ROW(Income!A$3:A$502)-2),4)),0)=0,"",IFERROR(-INDEX(Expenses!D$3:D$1002,SMALL(IF((Expenses!E$3:E$1002="INR")*(Expenses!A$3:A$1002=DATE(2026,12,7)),ROW(Expenses!A$3:A$1002)-2),4)),0)+IFERROR(INDEX(Income!C$3:C$502,SMALL(IF((Income!D$3:D$502="INR")*(Income!A$3:A$502=DATE(2026,12,7)),ROW(Income!A$3:A$502)-2),4)),0))</f>
        <v/>
      </c>
      <c r="D252" s="38" t="str">
        <f aca="false">IF(IFERROR(INDEX(Expenses!B$3:B$1002,SMALL(IF((Expenses!E$3:E$1002="INR")*(Expenses!A$3:A$1002=DATE(2026,12,7)),ROW(Expenses!A$3:A$1002)-2),4)),"")&lt;&gt;"",IFERROR(INDEX(Expenses!B$3:B$1002,SMALL(IF((Expenses!E$3:E$1002="INR")*(Expenses!A$3:A$1002=DATE(2026,12,7)),ROW(Expenses!A$3:A$1002)-2),4)),""),IF(IFERROR(INDEX(Income!B$3:B$502,SMALL(IF((Income!D$3:D$502="INR")*(Income!A$3:A$502=DATE(2026,12,7)),ROW(Income!A$3:A$502)-2),4)),"")&lt;&gt;"",IFERROR(INDEX(Income!B$3:B$502,SMALL(IF((Income!D$3:D$502="INR")*(Income!A$3:A$502=DATE(2026,12,7)),ROW(Income!A$3:A$502)-2),4)),""),""))</f>
        <v/>
      </c>
      <c r="E252" s="63" t="str">
        <f aca="false">IF(IFERROR(-INDEX(Expenses!D$3:D$1002,SMALL(IF((Expenses!E$3:E$1002="INR")*(Expenses!A$3:A$1002=DATE(2026,12,8)),ROW(Expenses!A$3:A$1002)-2),4)),0)+IFERROR(INDEX(Income!C$3:C$502,SMALL(IF((Income!D$3:D$502="INR")*(Income!A$3:A$502=DATE(2026,12,8)),ROW(Income!A$3:A$502)-2),4)),0)=0,"",IFERROR(-INDEX(Expenses!D$3:D$1002,SMALL(IF((Expenses!E$3:E$1002="INR")*(Expenses!A$3:A$1002=DATE(2026,12,8)),ROW(Expenses!A$3:A$1002)-2),4)),0)+IFERROR(INDEX(Income!C$3:C$502,SMALL(IF((Income!D$3:D$502="INR")*(Income!A$3:A$502=DATE(2026,12,8)),ROW(Income!A$3:A$502)-2),4)),0))</f>
        <v/>
      </c>
      <c r="F252" s="38" t="str">
        <f aca="false">IF(IFERROR(INDEX(Expenses!B$3:B$1002,SMALL(IF((Expenses!E$3:E$1002="INR")*(Expenses!A$3:A$1002=DATE(2026,12,8)),ROW(Expenses!A$3:A$1002)-2),4)),"")&lt;&gt;"",IFERROR(INDEX(Expenses!B$3:B$1002,SMALL(IF((Expenses!E$3:E$1002="INR")*(Expenses!A$3:A$1002=DATE(2026,12,8)),ROW(Expenses!A$3:A$1002)-2),4)),""),IF(IFERROR(INDEX(Income!B$3:B$502,SMALL(IF((Income!D$3:D$502="INR")*(Income!A$3:A$502=DATE(2026,12,8)),ROW(Income!A$3:A$502)-2),4)),"")&lt;&gt;"",IFERROR(INDEX(Income!B$3:B$502,SMALL(IF((Income!D$3:D$502="INR")*(Income!A$3:A$502=DATE(2026,12,8)),ROW(Income!A$3:A$502)-2),4)),""),""))</f>
        <v/>
      </c>
      <c r="G252" s="63" t="str">
        <f aca="false">IF(IFERROR(-INDEX(Expenses!D$3:D$1002,SMALL(IF((Expenses!E$3:E$1002="INR")*(Expenses!A$3:A$1002=DATE(2026,12,9)),ROW(Expenses!A$3:A$1002)-2),4)),0)+IFERROR(INDEX(Income!C$3:C$502,SMALL(IF((Income!D$3:D$502="INR")*(Income!A$3:A$502=DATE(2026,12,9)),ROW(Income!A$3:A$502)-2),4)),0)=0,"",IFERROR(-INDEX(Expenses!D$3:D$1002,SMALL(IF((Expenses!E$3:E$1002="INR")*(Expenses!A$3:A$1002=DATE(2026,12,9)),ROW(Expenses!A$3:A$1002)-2),4)),0)+IFERROR(INDEX(Income!C$3:C$502,SMALL(IF((Income!D$3:D$502="INR")*(Income!A$3:A$502=DATE(2026,12,9)),ROW(Income!A$3:A$502)-2),4)),0))</f>
        <v/>
      </c>
      <c r="H252" s="38" t="str">
        <f aca="false">IF(IFERROR(INDEX(Expenses!B$3:B$1002,SMALL(IF((Expenses!E$3:E$1002="INR")*(Expenses!A$3:A$1002=DATE(2026,12,9)),ROW(Expenses!A$3:A$1002)-2),4)),"")&lt;&gt;"",IFERROR(INDEX(Expenses!B$3:B$1002,SMALL(IF((Expenses!E$3:E$1002="INR")*(Expenses!A$3:A$1002=DATE(2026,12,9)),ROW(Expenses!A$3:A$1002)-2),4)),""),IF(IFERROR(INDEX(Income!B$3:B$502,SMALL(IF((Income!D$3:D$502="INR")*(Income!A$3:A$502=DATE(2026,12,9)),ROW(Income!A$3:A$502)-2),4)),"")&lt;&gt;"",IFERROR(INDEX(Income!B$3:B$502,SMALL(IF((Income!D$3:D$502="INR")*(Income!A$3:A$502=DATE(2026,12,9)),ROW(Income!A$3:A$502)-2),4)),""),""))</f>
        <v/>
      </c>
      <c r="I252" s="63" t="str">
        <f aca="false">IF(IFERROR(-INDEX(Expenses!D$3:D$1002,SMALL(IF((Expenses!E$3:E$1002="INR")*(Expenses!A$3:A$1002=DATE(2026,12,10)),ROW(Expenses!A$3:A$1002)-2),4)),0)+IFERROR(INDEX(Income!C$3:C$502,SMALL(IF((Income!D$3:D$502="INR")*(Income!A$3:A$502=DATE(2026,12,10)),ROW(Income!A$3:A$502)-2),4)),0)=0,"",IFERROR(-INDEX(Expenses!D$3:D$1002,SMALL(IF((Expenses!E$3:E$1002="INR")*(Expenses!A$3:A$1002=DATE(2026,12,10)),ROW(Expenses!A$3:A$1002)-2),4)),0)+IFERROR(INDEX(Income!C$3:C$502,SMALL(IF((Income!D$3:D$502="INR")*(Income!A$3:A$502=DATE(2026,12,10)),ROW(Income!A$3:A$502)-2),4)),0))</f>
        <v/>
      </c>
      <c r="J252" s="38" t="str">
        <f aca="false">IF(IFERROR(INDEX(Expenses!B$3:B$1002,SMALL(IF((Expenses!E$3:E$1002="INR")*(Expenses!A$3:A$1002=DATE(2026,12,10)),ROW(Expenses!A$3:A$1002)-2),4)),"")&lt;&gt;"",IFERROR(INDEX(Expenses!B$3:B$1002,SMALL(IF((Expenses!E$3:E$1002="INR")*(Expenses!A$3:A$1002=DATE(2026,12,10)),ROW(Expenses!A$3:A$1002)-2),4)),""),IF(IFERROR(INDEX(Income!B$3:B$502,SMALL(IF((Income!D$3:D$502="INR")*(Income!A$3:A$502=DATE(2026,12,10)),ROW(Income!A$3:A$502)-2),4)),"")&lt;&gt;"",IFERROR(INDEX(Income!B$3:B$502,SMALL(IF((Income!D$3:D$502="INR")*(Income!A$3:A$502=DATE(2026,12,10)),ROW(Income!A$3:A$502)-2),4)),""),""))</f>
        <v/>
      </c>
      <c r="K252" s="63" t="str">
        <f aca="false">IF(IFERROR(-INDEX(Expenses!D$3:D$1002,SMALL(IF((Expenses!E$3:E$1002="INR")*(Expenses!A$3:A$1002=DATE(2026,12,11)),ROW(Expenses!A$3:A$1002)-2),4)),0)+IFERROR(INDEX(Income!C$3:C$502,SMALL(IF((Income!D$3:D$502="INR")*(Income!A$3:A$502=DATE(2026,12,11)),ROW(Income!A$3:A$502)-2),4)),0)=0,"",IFERROR(-INDEX(Expenses!D$3:D$1002,SMALL(IF((Expenses!E$3:E$1002="INR")*(Expenses!A$3:A$1002=DATE(2026,12,11)),ROW(Expenses!A$3:A$1002)-2),4)),0)+IFERROR(INDEX(Income!C$3:C$502,SMALL(IF((Income!D$3:D$502="INR")*(Income!A$3:A$502=DATE(2026,12,11)),ROW(Income!A$3:A$502)-2),4)),0))</f>
        <v/>
      </c>
      <c r="L252" s="38" t="str">
        <f aca="false">IF(IFERROR(INDEX(Expenses!B$3:B$1002,SMALL(IF((Expenses!E$3:E$1002="INR")*(Expenses!A$3:A$1002=DATE(2026,12,11)),ROW(Expenses!A$3:A$1002)-2),4)),"")&lt;&gt;"",IFERROR(INDEX(Expenses!B$3:B$1002,SMALL(IF((Expenses!E$3:E$1002="INR")*(Expenses!A$3:A$1002=DATE(2026,12,11)),ROW(Expenses!A$3:A$1002)-2),4)),""),IF(IFERROR(INDEX(Income!B$3:B$502,SMALL(IF((Income!D$3:D$502="INR")*(Income!A$3:A$502=DATE(2026,12,11)),ROW(Income!A$3:A$502)-2),4)),"")&lt;&gt;"",IFERROR(INDEX(Income!B$3:B$502,SMALL(IF((Income!D$3:D$502="INR")*(Income!A$3:A$502=DATE(2026,12,11)),ROW(Income!A$3:A$502)-2),4)),""),""))</f>
        <v/>
      </c>
      <c r="M252" s="63" t="str">
        <f aca="false">IF(IFERROR(-INDEX(Expenses!D$3:D$1002,SMALL(IF((Expenses!E$3:E$1002="INR")*(Expenses!A$3:A$1002=DATE(2026,12,12)),ROW(Expenses!A$3:A$1002)-2),4)),0)+IFERROR(INDEX(Income!C$3:C$502,SMALL(IF((Income!D$3:D$502="INR")*(Income!A$3:A$502=DATE(2026,12,12)),ROW(Income!A$3:A$502)-2),4)),0)=0,"",IFERROR(-INDEX(Expenses!D$3:D$1002,SMALL(IF((Expenses!E$3:E$1002="INR")*(Expenses!A$3:A$1002=DATE(2026,12,12)),ROW(Expenses!A$3:A$1002)-2),4)),0)+IFERROR(INDEX(Income!C$3:C$502,SMALL(IF((Income!D$3:D$502="INR")*(Income!A$3:A$502=DATE(2026,12,12)),ROW(Income!A$3:A$502)-2),4)),0))</f>
        <v/>
      </c>
      <c r="N252" s="38" t="str">
        <f aca="false">IF(IFERROR(INDEX(Expenses!B$3:B$1002,SMALL(IF((Expenses!E$3:E$1002="INR")*(Expenses!A$3:A$1002=DATE(2026,12,12)),ROW(Expenses!A$3:A$1002)-2),4)),"")&lt;&gt;"",IFERROR(INDEX(Expenses!B$3:B$1002,SMALL(IF((Expenses!E$3:E$1002="INR")*(Expenses!A$3:A$1002=DATE(2026,12,12)),ROW(Expenses!A$3:A$1002)-2),4)),""),IF(IFERROR(INDEX(Income!B$3:B$502,SMALL(IF((Income!D$3:D$502="INR")*(Income!A$3:A$502=DATE(2026,12,12)),ROW(Income!A$3:A$502)-2),4)),"")&lt;&gt;"",IFERROR(INDEX(Income!B$3:B$502,SMALL(IF((Income!D$3:D$502="INR")*(Income!A$3:A$502=DATE(2026,12,12)),ROW(Income!A$3:A$502)-2),4)),""),""))</f>
        <v/>
      </c>
      <c r="O252" s="63" t="str">
        <f aca="false">IF(IFERROR(-INDEX(Expenses!D$3:D$1002,SMALL(IF((Expenses!E$3:E$1002="INR")*(Expenses!A$3:A$1002=DATE(2026,12,13)),ROW(Expenses!A$3:A$1002)-2),4)),0)+IFERROR(INDEX(Income!C$3:C$502,SMALL(IF((Income!D$3:D$502="INR")*(Income!A$3:A$502=DATE(2026,12,13)),ROW(Income!A$3:A$502)-2),4)),0)=0,"",IFERROR(-INDEX(Expenses!D$3:D$1002,SMALL(IF((Expenses!E$3:E$1002="INR")*(Expenses!A$3:A$1002=DATE(2026,12,13)),ROW(Expenses!A$3:A$1002)-2),4)),0)+IFERROR(INDEX(Income!C$3:C$502,SMALL(IF((Income!D$3:D$502="INR")*(Income!A$3:A$502=DATE(2026,12,13)),ROW(Income!A$3:A$502)-2),4)),0))</f>
        <v/>
      </c>
      <c r="P252" s="38" t="str">
        <f aca="false">IF(IFERROR(INDEX(Expenses!B$3:B$1002,SMALL(IF((Expenses!E$3:E$1002="INR")*(Expenses!A$3:A$1002=DATE(2026,12,13)),ROW(Expenses!A$3:A$1002)-2),4)),"")&lt;&gt;"",IFERROR(INDEX(Expenses!B$3:B$1002,SMALL(IF((Expenses!E$3:E$1002="INR")*(Expenses!A$3:A$1002=DATE(2026,12,13)),ROW(Expenses!A$3:A$1002)-2),4)),""),IF(IFERROR(INDEX(Income!B$3:B$502,SMALL(IF((Income!D$3:D$502="INR")*(Income!A$3:A$502=DATE(2026,12,13)),ROW(Income!A$3:A$502)-2),4)),"")&lt;&gt;"",IFERROR(INDEX(Income!B$3:B$502,SMALL(IF((Income!D$3:D$502="INR")*(Income!A$3:A$502=DATE(2026,12,13)),ROW(Income!A$3:A$502)-2),4)),""),""))</f>
        <v/>
      </c>
      <c r="Q252" s="16"/>
      <c r="R252" s="16"/>
    </row>
    <row r="253" customFormat="false" ht="15" hidden="false" customHeight="false" outlineLevel="0" collapsed="false">
      <c r="A253" s="16"/>
      <c r="B253" s="16"/>
      <c r="C253" s="63" t="str">
        <f aca="false">IF(IFERROR(-INDEX(Expenses!D$3:D$1002,SMALL(IF((Expenses!E$3:E$1002="INR")*(Expenses!A$3:A$1002=DATE(2026,12,7)),ROW(Expenses!A$3:A$1002)-2),5)),0)+IFERROR(INDEX(Income!C$3:C$502,SMALL(IF((Income!D$3:D$502="INR")*(Income!A$3:A$502=DATE(2026,12,7)),ROW(Income!A$3:A$502)-2),5)),0)=0,"",IFERROR(-INDEX(Expenses!D$3:D$1002,SMALL(IF((Expenses!E$3:E$1002="INR")*(Expenses!A$3:A$1002=DATE(2026,12,7)),ROW(Expenses!A$3:A$1002)-2),5)),0)+IFERROR(INDEX(Income!C$3:C$502,SMALL(IF((Income!D$3:D$502="INR")*(Income!A$3:A$502=DATE(2026,12,7)),ROW(Income!A$3:A$502)-2),5)),0))</f>
        <v/>
      </c>
      <c r="D253" s="38" t="str">
        <f aca="false">IF(IFERROR(INDEX(Expenses!B$3:B$1002,SMALL(IF((Expenses!E$3:E$1002="INR")*(Expenses!A$3:A$1002=DATE(2026,12,7)),ROW(Expenses!A$3:A$1002)-2),5)),"")&lt;&gt;"",IFERROR(INDEX(Expenses!B$3:B$1002,SMALL(IF((Expenses!E$3:E$1002="INR")*(Expenses!A$3:A$1002=DATE(2026,12,7)),ROW(Expenses!A$3:A$1002)-2),5)),""),IF(IFERROR(INDEX(Income!B$3:B$502,SMALL(IF((Income!D$3:D$502="INR")*(Income!A$3:A$502=DATE(2026,12,7)),ROW(Income!A$3:A$502)-2),5)),"")&lt;&gt;"",IFERROR(INDEX(Income!B$3:B$502,SMALL(IF((Income!D$3:D$502="INR")*(Income!A$3:A$502=DATE(2026,12,7)),ROW(Income!A$3:A$502)-2),5)),""),""))</f>
        <v/>
      </c>
      <c r="E253" s="63" t="str">
        <f aca="false">IF(IFERROR(-INDEX(Expenses!D$3:D$1002,SMALL(IF((Expenses!E$3:E$1002="INR")*(Expenses!A$3:A$1002=DATE(2026,12,8)),ROW(Expenses!A$3:A$1002)-2),5)),0)+IFERROR(INDEX(Income!C$3:C$502,SMALL(IF((Income!D$3:D$502="INR")*(Income!A$3:A$502=DATE(2026,12,8)),ROW(Income!A$3:A$502)-2),5)),0)=0,"",IFERROR(-INDEX(Expenses!D$3:D$1002,SMALL(IF((Expenses!E$3:E$1002="INR")*(Expenses!A$3:A$1002=DATE(2026,12,8)),ROW(Expenses!A$3:A$1002)-2),5)),0)+IFERROR(INDEX(Income!C$3:C$502,SMALL(IF((Income!D$3:D$502="INR")*(Income!A$3:A$502=DATE(2026,12,8)),ROW(Income!A$3:A$502)-2),5)),0))</f>
        <v/>
      </c>
      <c r="F253" s="38" t="str">
        <f aca="false">IF(IFERROR(INDEX(Expenses!B$3:B$1002,SMALL(IF((Expenses!E$3:E$1002="INR")*(Expenses!A$3:A$1002=DATE(2026,12,8)),ROW(Expenses!A$3:A$1002)-2),5)),"")&lt;&gt;"",IFERROR(INDEX(Expenses!B$3:B$1002,SMALL(IF((Expenses!E$3:E$1002="INR")*(Expenses!A$3:A$1002=DATE(2026,12,8)),ROW(Expenses!A$3:A$1002)-2),5)),""),IF(IFERROR(INDEX(Income!B$3:B$502,SMALL(IF((Income!D$3:D$502="INR")*(Income!A$3:A$502=DATE(2026,12,8)),ROW(Income!A$3:A$502)-2),5)),"")&lt;&gt;"",IFERROR(INDEX(Income!B$3:B$502,SMALL(IF((Income!D$3:D$502="INR")*(Income!A$3:A$502=DATE(2026,12,8)),ROW(Income!A$3:A$502)-2),5)),""),""))</f>
        <v/>
      </c>
      <c r="G253" s="63" t="str">
        <f aca="false">IF(IFERROR(-INDEX(Expenses!D$3:D$1002,SMALL(IF((Expenses!E$3:E$1002="INR")*(Expenses!A$3:A$1002=DATE(2026,12,9)),ROW(Expenses!A$3:A$1002)-2),5)),0)+IFERROR(INDEX(Income!C$3:C$502,SMALL(IF((Income!D$3:D$502="INR")*(Income!A$3:A$502=DATE(2026,12,9)),ROW(Income!A$3:A$502)-2),5)),0)=0,"",IFERROR(-INDEX(Expenses!D$3:D$1002,SMALL(IF((Expenses!E$3:E$1002="INR")*(Expenses!A$3:A$1002=DATE(2026,12,9)),ROW(Expenses!A$3:A$1002)-2),5)),0)+IFERROR(INDEX(Income!C$3:C$502,SMALL(IF((Income!D$3:D$502="INR")*(Income!A$3:A$502=DATE(2026,12,9)),ROW(Income!A$3:A$502)-2),5)),0))</f>
        <v/>
      </c>
      <c r="H253" s="38" t="str">
        <f aca="false">IF(IFERROR(INDEX(Expenses!B$3:B$1002,SMALL(IF((Expenses!E$3:E$1002="INR")*(Expenses!A$3:A$1002=DATE(2026,12,9)),ROW(Expenses!A$3:A$1002)-2),5)),"")&lt;&gt;"",IFERROR(INDEX(Expenses!B$3:B$1002,SMALL(IF((Expenses!E$3:E$1002="INR")*(Expenses!A$3:A$1002=DATE(2026,12,9)),ROW(Expenses!A$3:A$1002)-2),5)),""),IF(IFERROR(INDEX(Income!B$3:B$502,SMALL(IF((Income!D$3:D$502="INR")*(Income!A$3:A$502=DATE(2026,12,9)),ROW(Income!A$3:A$502)-2),5)),"")&lt;&gt;"",IFERROR(INDEX(Income!B$3:B$502,SMALL(IF((Income!D$3:D$502="INR")*(Income!A$3:A$502=DATE(2026,12,9)),ROW(Income!A$3:A$502)-2),5)),""),""))</f>
        <v/>
      </c>
      <c r="I253" s="63" t="str">
        <f aca="false">IF(IFERROR(-INDEX(Expenses!D$3:D$1002,SMALL(IF((Expenses!E$3:E$1002="INR")*(Expenses!A$3:A$1002=DATE(2026,12,10)),ROW(Expenses!A$3:A$1002)-2),5)),0)+IFERROR(INDEX(Income!C$3:C$502,SMALL(IF((Income!D$3:D$502="INR")*(Income!A$3:A$502=DATE(2026,12,10)),ROW(Income!A$3:A$502)-2),5)),0)=0,"",IFERROR(-INDEX(Expenses!D$3:D$1002,SMALL(IF((Expenses!E$3:E$1002="INR")*(Expenses!A$3:A$1002=DATE(2026,12,10)),ROW(Expenses!A$3:A$1002)-2),5)),0)+IFERROR(INDEX(Income!C$3:C$502,SMALL(IF((Income!D$3:D$502="INR")*(Income!A$3:A$502=DATE(2026,12,10)),ROW(Income!A$3:A$502)-2),5)),0))</f>
        <v/>
      </c>
      <c r="J253" s="38" t="str">
        <f aca="false">IF(IFERROR(INDEX(Expenses!B$3:B$1002,SMALL(IF((Expenses!E$3:E$1002="INR")*(Expenses!A$3:A$1002=DATE(2026,12,10)),ROW(Expenses!A$3:A$1002)-2),5)),"")&lt;&gt;"",IFERROR(INDEX(Expenses!B$3:B$1002,SMALL(IF((Expenses!E$3:E$1002="INR")*(Expenses!A$3:A$1002=DATE(2026,12,10)),ROW(Expenses!A$3:A$1002)-2),5)),""),IF(IFERROR(INDEX(Income!B$3:B$502,SMALL(IF((Income!D$3:D$502="INR")*(Income!A$3:A$502=DATE(2026,12,10)),ROW(Income!A$3:A$502)-2),5)),"")&lt;&gt;"",IFERROR(INDEX(Income!B$3:B$502,SMALL(IF((Income!D$3:D$502="INR")*(Income!A$3:A$502=DATE(2026,12,10)),ROW(Income!A$3:A$502)-2),5)),""),""))</f>
        <v/>
      </c>
      <c r="K253" s="63" t="str">
        <f aca="false">IF(IFERROR(-INDEX(Expenses!D$3:D$1002,SMALL(IF((Expenses!E$3:E$1002="INR")*(Expenses!A$3:A$1002=DATE(2026,12,11)),ROW(Expenses!A$3:A$1002)-2),5)),0)+IFERROR(INDEX(Income!C$3:C$502,SMALL(IF((Income!D$3:D$502="INR")*(Income!A$3:A$502=DATE(2026,12,11)),ROW(Income!A$3:A$502)-2),5)),0)=0,"",IFERROR(-INDEX(Expenses!D$3:D$1002,SMALL(IF((Expenses!E$3:E$1002="INR")*(Expenses!A$3:A$1002=DATE(2026,12,11)),ROW(Expenses!A$3:A$1002)-2),5)),0)+IFERROR(INDEX(Income!C$3:C$502,SMALL(IF((Income!D$3:D$502="INR")*(Income!A$3:A$502=DATE(2026,12,11)),ROW(Income!A$3:A$502)-2),5)),0))</f>
        <v/>
      </c>
      <c r="L253" s="38" t="str">
        <f aca="false">IF(IFERROR(INDEX(Expenses!B$3:B$1002,SMALL(IF((Expenses!E$3:E$1002="INR")*(Expenses!A$3:A$1002=DATE(2026,12,11)),ROW(Expenses!A$3:A$1002)-2),5)),"")&lt;&gt;"",IFERROR(INDEX(Expenses!B$3:B$1002,SMALL(IF((Expenses!E$3:E$1002="INR")*(Expenses!A$3:A$1002=DATE(2026,12,11)),ROW(Expenses!A$3:A$1002)-2),5)),""),IF(IFERROR(INDEX(Income!B$3:B$502,SMALL(IF((Income!D$3:D$502="INR")*(Income!A$3:A$502=DATE(2026,12,11)),ROW(Income!A$3:A$502)-2),5)),"")&lt;&gt;"",IFERROR(INDEX(Income!B$3:B$502,SMALL(IF((Income!D$3:D$502="INR")*(Income!A$3:A$502=DATE(2026,12,11)),ROW(Income!A$3:A$502)-2),5)),""),""))</f>
        <v/>
      </c>
      <c r="M253" s="63" t="str">
        <f aca="false">IF(IFERROR(-INDEX(Expenses!D$3:D$1002,SMALL(IF((Expenses!E$3:E$1002="INR")*(Expenses!A$3:A$1002=DATE(2026,12,12)),ROW(Expenses!A$3:A$1002)-2),5)),0)+IFERROR(INDEX(Income!C$3:C$502,SMALL(IF((Income!D$3:D$502="INR")*(Income!A$3:A$502=DATE(2026,12,12)),ROW(Income!A$3:A$502)-2),5)),0)=0,"",IFERROR(-INDEX(Expenses!D$3:D$1002,SMALL(IF((Expenses!E$3:E$1002="INR")*(Expenses!A$3:A$1002=DATE(2026,12,12)),ROW(Expenses!A$3:A$1002)-2),5)),0)+IFERROR(INDEX(Income!C$3:C$502,SMALL(IF((Income!D$3:D$502="INR")*(Income!A$3:A$502=DATE(2026,12,12)),ROW(Income!A$3:A$502)-2),5)),0))</f>
        <v/>
      </c>
      <c r="N253" s="38" t="str">
        <f aca="false">IF(IFERROR(INDEX(Expenses!B$3:B$1002,SMALL(IF((Expenses!E$3:E$1002="INR")*(Expenses!A$3:A$1002=DATE(2026,12,12)),ROW(Expenses!A$3:A$1002)-2),5)),"")&lt;&gt;"",IFERROR(INDEX(Expenses!B$3:B$1002,SMALL(IF((Expenses!E$3:E$1002="INR")*(Expenses!A$3:A$1002=DATE(2026,12,12)),ROW(Expenses!A$3:A$1002)-2),5)),""),IF(IFERROR(INDEX(Income!B$3:B$502,SMALL(IF((Income!D$3:D$502="INR")*(Income!A$3:A$502=DATE(2026,12,12)),ROW(Income!A$3:A$502)-2),5)),"")&lt;&gt;"",IFERROR(INDEX(Income!B$3:B$502,SMALL(IF((Income!D$3:D$502="INR")*(Income!A$3:A$502=DATE(2026,12,12)),ROW(Income!A$3:A$502)-2),5)),""),""))</f>
        <v/>
      </c>
      <c r="O253" s="63" t="str">
        <f aca="false">IF(IFERROR(-INDEX(Expenses!D$3:D$1002,SMALL(IF((Expenses!E$3:E$1002="INR")*(Expenses!A$3:A$1002=DATE(2026,12,13)),ROW(Expenses!A$3:A$1002)-2),5)),0)+IFERROR(INDEX(Income!C$3:C$502,SMALL(IF((Income!D$3:D$502="INR")*(Income!A$3:A$502=DATE(2026,12,13)),ROW(Income!A$3:A$502)-2),5)),0)=0,"",IFERROR(-INDEX(Expenses!D$3:D$1002,SMALL(IF((Expenses!E$3:E$1002="INR")*(Expenses!A$3:A$1002=DATE(2026,12,13)),ROW(Expenses!A$3:A$1002)-2),5)),0)+IFERROR(INDEX(Income!C$3:C$502,SMALL(IF((Income!D$3:D$502="INR")*(Income!A$3:A$502=DATE(2026,12,13)),ROW(Income!A$3:A$502)-2),5)),0))</f>
        <v/>
      </c>
      <c r="P253" s="38" t="str">
        <f aca="false">IF(IFERROR(INDEX(Expenses!B$3:B$1002,SMALL(IF((Expenses!E$3:E$1002="INR")*(Expenses!A$3:A$1002=DATE(2026,12,13)),ROW(Expenses!A$3:A$1002)-2),5)),"")&lt;&gt;"",IFERROR(INDEX(Expenses!B$3:B$1002,SMALL(IF((Expenses!E$3:E$1002="INR")*(Expenses!A$3:A$1002=DATE(2026,12,13)),ROW(Expenses!A$3:A$1002)-2),5)),""),IF(IFERROR(INDEX(Income!B$3:B$502,SMALL(IF((Income!D$3:D$502="INR")*(Income!A$3:A$502=DATE(2026,12,13)),ROW(Income!A$3:A$502)-2),5)),"")&lt;&gt;"",IFERROR(INDEX(Income!B$3:B$502,SMALL(IF((Income!D$3:D$502="INR")*(Income!A$3:A$502=DATE(2026,12,13)),ROW(Income!A$3:A$502)-2),5)),""),""))</f>
        <v/>
      </c>
      <c r="Q253" s="16"/>
      <c r="R253" s="16"/>
    </row>
    <row r="254" customFormat="false" ht="15" hidden="false" customHeight="false" outlineLevel="0" collapsed="false">
      <c r="A254" s="61" t="n">
        <v>46370</v>
      </c>
      <c r="B254" s="3" t="n">
        <v>51</v>
      </c>
      <c r="C254" s="63" t="str">
        <f aca="false">IF(IFERROR(-INDEX(Expenses!D$3:D$1002,SMALL(IF((Expenses!E$3:E$1002="INR")*(Expenses!A$3:A$1002=DATE(2026,12,14)),ROW(Expenses!A$3:A$1002)-2),1)),0)+IFERROR(INDEX(Income!C$3:C$502,SMALL(IF((Income!D$3:D$502="INR")*(Income!A$3:A$502=DATE(2026,12,14)),ROW(Income!A$3:A$502)-2),1)),0)=0,"",IFERROR(-INDEX(Expenses!D$3:D$1002,SMALL(IF((Expenses!E$3:E$1002="INR")*(Expenses!A$3:A$1002=DATE(2026,12,14)),ROW(Expenses!A$3:A$1002)-2),1)),0)+IFERROR(INDEX(Income!C$3:C$502,SMALL(IF((Income!D$3:D$502="INR")*(Income!A$3:A$502=DATE(2026,12,14)),ROW(Income!A$3:A$502)-2),1)),0))</f>
        <v/>
      </c>
      <c r="D254" s="38" t="str">
        <f aca="false">IF(IFERROR(INDEX(Expenses!B$3:B$1002,SMALL(IF((Expenses!E$3:E$1002="INR")*(Expenses!A$3:A$1002=DATE(2026,12,14)),ROW(Expenses!A$3:A$1002)-2),1)),"")&lt;&gt;"",IFERROR(INDEX(Expenses!B$3:B$1002,SMALL(IF((Expenses!E$3:E$1002="INR")*(Expenses!A$3:A$1002=DATE(2026,12,14)),ROW(Expenses!A$3:A$1002)-2),1)),""),IF(IFERROR(INDEX(Income!B$3:B$502,SMALL(IF((Income!D$3:D$502="INR")*(Income!A$3:A$502=DATE(2026,12,14)),ROW(Income!A$3:A$502)-2),1)),"")&lt;&gt;"",IFERROR(INDEX(Income!B$3:B$502,SMALL(IF((Income!D$3:D$502="INR")*(Income!A$3:A$502=DATE(2026,12,14)),ROW(Income!A$3:A$502)-2),1)),""),""))</f>
        <v/>
      </c>
      <c r="E254" s="63" t="str">
        <f aca="false">IF(IFERROR(-INDEX(Expenses!D$3:D$1002,SMALL(IF((Expenses!E$3:E$1002="INR")*(Expenses!A$3:A$1002=DATE(2026,12,15)),ROW(Expenses!A$3:A$1002)-2),1)),0)+IFERROR(INDEX(Income!C$3:C$502,SMALL(IF((Income!D$3:D$502="INR")*(Income!A$3:A$502=DATE(2026,12,15)),ROW(Income!A$3:A$502)-2),1)),0)=0,"",IFERROR(-INDEX(Expenses!D$3:D$1002,SMALL(IF((Expenses!E$3:E$1002="INR")*(Expenses!A$3:A$1002=DATE(2026,12,15)),ROW(Expenses!A$3:A$1002)-2),1)),0)+IFERROR(INDEX(Income!C$3:C$502,SMALL(IF((Income!D$3:D$502="INR")*(Income!A$3:A$502=DATE(2026,12,15)),ROW(Income!A$3:A$502)-2),1)),0))</f>
        <v/>
      </c>
      <c r="F254" s="38" t="str">
        <f aca="false">IF(IFERROR(INDEX(Expenses!B$3:B$1002,SMALL(IF((Expenses!E$3:E$1002="INR")*(Expenses!A$3:A$1002=DATE(2026,12,15)),ROW(Expenses!A$3:A$1002)-2),1)),"")&lt;&gt;"",IFERROR(INDEX(Expenses!B$3:B$1002,SMALL(IF((Expenses!E$3:E$1002="INR")*(Expenses!A$3:A$1002=DATE(2026,12,15)),ROW(Expenses!A$3:A$1002)-2),1)),""),IF(IFERROR(INDEX(Income!B$3:B$502,SMALL(IF((Income!D$3:D$502="INR")*(Income!A$3:A$502=DATE(2026,12,15)),ROW(Income!A$3:A$502)-2),1)),"")&lt;&gt;"",IFERROR(INDEX(Income!B$3:B$502,SMALL(IF((Income!D$3:D$502="INR")*(Income!A$3:A$502=DATE(2026,12,15)),ROW(Income!A$3:A$502)-2),1)),""),""))</f>
        <v/>
      </c>
      <c r="G254" s="63" t="str">
        <f aca="false">IF(IFERROR(-INDEX(Expenses!D$3:D$1002,SMALL(IF((Expenses!E$3:E$1002="INR")*(Expenses!A$3:A$1002=DATE(2026,12,16)),ROW(Expenses!A$3:A$1002)-2),1)),0)+IFERROR(INDEX(Income!C$3:C$502,SMALL(IF((Income!D$3:D$502="INR")*(Income!A$3:A$502=DATE(2026,12,16)),ROW(Income!A$3:A$502)-2),1)),0)=0,"",IFERROR(-INDEX(Expenses!D$3:D$1002,SMALL(IF((Expenses!E$3:E$1002="INR")*(Expenses!A$3:A$1002=DATE(2026,12,16)),ROW(Expenses!A$3:A$1002)-2),1)),0)+IFERROR(INDEX(Income!C$3:C$502,SMALL(IF((Income!D$3:D$502="INR")*(Income!A$3:A$502=DATE(2026,12,16)),ROW(Income!A$3:A$502)-2),1)),0))</f>
        <v/>
      </c>
      <c r="H254" s="38" t="str">
        <f aca="false">IF(IFERROR(INDEX(Expenses!B$3:B$1002,SMALL(IF((Expenses!E$3:E$1002="INR")*(Expenses!A$3:A$1002=DATE(2026,12,16)),ROW(Expenses!A$3:A$1002)-2),1)),"")&lt;&gt;"",IFERROR(INDEX(Expenses!B$3:B$1002,SMALL(IF((Expenses!E$3:E$1002="INR")*(Expenses!A$3:A$1002=DATE(2026,12,16)),ROW(Expenses!A$3:A$1002)-2),1)),""),IF(IFERROR(INDEX(Income!B$3:B$502,SMALL(IF((Income!D$3:D$502="INR")*(Income!A$3:A$502=DATE(2026,12,16)),ROW(Income!A$3:A$502)-2),1)),"")&lt;&gt;"",IFERROR(INDEX(Income!B$3:B$502,SMALL(IF((Income!D$3:D$502="INR")*(Income!A$3:A$502=DATE(2026,12,16)),ROW(Income!A$3:A$502)-2),1)),""),""))</f>
        <v/>
      </c>
      <c r="I254" s="63" t="str">
        <f aca="false">IF(IFERROR(-INDEX(Expenses!D$3:D$1002,SMALL(IF((Expenses!E$3:E$1002="INR")*(Expenses!A$3:A$1002=DATE(2026,12,17)),ROW(Expenses!A$3:A$1002)-2),1)),0)+IFERROR(INDEX(Income!C$3:C$502,SMALL(IF((Income!D$3:D$502="INR")*(Income!A$3:A$502=DATE(2026,12,17)),ROW(Income!A$3:A$502)-2),1)),0)=0,"",IFERROR(-INDEX(Expenses!D$3:D$1002,SMALL(IF((Expenses!E$3:E$1002="INR")*(Expenses!A$3:A$1002=DATE(2026,12,17)),ROW(Expenses!A$3:A$1002)-2),1)),0)+IFERROR(INDEX(Income!C$3:C$502,SMALL(IF((Income!D$3:D$502="INR")*(Income!A$3:A$502=DATE(2026,12,17)),ROW(Income!A$3:A$502)-2),1)),0))</f>
        <v/>
      </c>
      <c r="J254" s="38" t="str">
        <f aca="false">IF(IFERROR(INDEX(Expenses!B$3:B$1002,SMALL(IF((Expenses!E$3:E$1002="INR")*(Expenses!A$3:A$1002=DATE(2026,12,17)),ROW(Expenses!A$3:A$1002)-2),1)),"")&lt;&gt;"",IFERROR(INDEX(Expenses!B$3:B$1002,SMALL(IF((Expenses!E$3:E$1002="INR")*(Expenses!A$3:A$1002=DATE(2026,12,17)),ROW(Expenses!A$3:A$1002)-2),1)),""),IF(IFERROR(INDEX(Income!B$3:B$502,SMALL(IF((Income!D$3:D$502="INR")*(Income!A$3:A$502=DATE(2026,12,17)),ROW(Income!A$3:A$502)-2),1)),"")&lt;&gt;"",IFERROR(INDEX(Income!B$3:B$502,SMALL(IF((Income!D$3:D$502="INR")*(Income!A$3:A$502=DATE(2026,12,17)),ROW(Income!A$3:A$502)-2),1)),""),""))</f>
        <v/>
      </c>
      <c r="K254" s="63" t="str">
        <f aca="false">IF(IFERROR(-INDEX(Expenses!D$3:D$1002,SMALL(IF((Expenses!E$3:E$1002="INR")*(Expenses!A$3:A$1002=DATE(2026,12,18)),ROW(Expenses!A$3:A$1002)-2),1)),0)+IFERROR(INDEX(Income!C$3:C$502,SMALL(IF((Income!D$3:D$502="INR")*(Income!A$3:A$502=DATE(2026,12,18)),ROW(Income!A$3:A$502)-2),1)),0)=0,"",IFERROR(-INDEX(Expenses!D$3:D$1002,SMALL(IF((Expenses!E$3:E$1002="INR")*(Expenses!A$3:A$1002=DATE(2026,12,18)),ROW(Expenses!A$3:A$1002)-2),1)),0)+IFERROR(INDEX(Income!C$3:C$502,SMALL(IF((Income!D$3:D$502="INR")*(Income!A$3:A$502=DATE(2026,12,18)),ROW(Income!A$3:A$502)-2),1)),0))</f>
        <v/>
      </c>
      <c r="L254" s="38" t="str">
        <f aca="false">IF(IFERROR(INDEX(Expenses!B$3:B$1002,SMALL(IF((Expenses!E$3:E$1002="INR")*(Expenses!A$3:A$1002=DATE(2026,12,18)),ROW(Expenses!A$3:A$1002)-2),1)),"")&lt;&gt;"",IFERROR(INDEX(Expenses!B$3:B$1002,SMALL(IF((Expenses!E$3:E$1002="INR")*(Expenses!A$3:A$1002=DATE(2026,12,18)),ROW(Expenses!A$3:A$1002)-2),1)),""),IF(IFERROR(INDEX(Income!B$3:B$502,SMALL(IF((Income!D$3:D$502="INR")*(Income!A$3:A$502=DATE(2026,12,18)),ROW(Income!A$3:A$502)-2),1)),"")&lt;&gt;"",IFERROR(INDEX(Income!B$3:B$502,SMALL(IF((Income!D$3:D$502="INR")*(Income!A$3:A$502=DATE(2026,12,18)),ROW(Income!A$3:A$502)-2),1)),""),""))</f>
        <v/>
      </c>
      <c r="M254" s="63" t="str">
        <f aca="false">IF(IFERROR(-INDEX(Expenses!D$3:D$1002,SMALL(IF((Expenses!E$3:E$1002="INR")*(Expenses!A$3:A$1002=DATE(2026,12,19)),ROW(Expenses!A$3:A$1002)-2),1)),0)+IFERROR(INDEX(Income!C$3:C$502,SMALL(IF((Income!D$3:D$502="INR")*(Income!A$3:A$502=DATE(2026,12,19)),ROW(Income!A$3:A$502)-2),1)),0)=0,"",IFERROR(-INDEX(Expenses!D$3:D$1002,SMALL(IF((Expenses!E$3:E$1002="INR")*(Expenses!A$3:A$1002=DATE(2026,12,19)),ROW(Expenses!A$3:A$1002)-2),1)),0)+IFERROR(INDEX(Income!C$3:C$502,SMALL(IF((Income!D$3:D$502="INR")*(Income!A$3:A$502=DATE(2026,12,19)),ROW(Income!A$3:A$502)-2),1)),0))</f>
        <v/>
      </c>
      <c r="N254" s="38" t="str">
        <f aca="false">IF(IFERROR(INDEX(Expenses!B$3:B$1002,SMALL(IF((Expenses!E$3:E$1002="INR")*(Expenses!A$3:A$1002=DATE(2026,12,19)),ROW(Expenses!A$3:A$1002)-2),1)),"")&lt;&gt;"",IFERROR(INDEX(Expenses!B$3:B$1002,SMALL(IF((Expenses!E$3:E$1002="INR")*(Expenses!A$3:A$1002=DATE(2026,12,19)),ROW(Expenses!A$3:A$1002)-2),1)),""),IF(IFERROR(INDEX(Income!B$3:B$502,SMALL(IF((Income!D$3:D$502="INR")*(Income!A$3:A$502=DATE(2026,12,19)),ROW(Income!A$3:A$502)-2),1)),"")&lt;&gt;"",IFERROR(INDEX(Income!B$3:B$502,SMALL(IF((Income!D$3:D$502="INR")*(Income!A$3:A$502=DATE(2026,12,19)),ROW(Income!A$3:A$502)-2),1)),""),""))</f>
        <v/>
      </c>
      <c r="O254" s="63" t="str">
        <f aca="false">IF(IFERROR(-INDEX(Expenses!D$3:D$1002,SMALL(IF((Expenses!E$3:E$1002="INR")*(Expenses!A$3:A$1002=DATE(2026,12,20)),ROW(Expenses!A$3:A$1002)-2),1)),0)+IFERROR(INDEX(Income!C$3:C$502,SMALL(IF((Income!D$3:D$502="INR")*(Income!A$3:A$502=DATE(2026,12,20)),ROW(Income!A$3:A$502)-2),1)),0)=0,"",IFERROR(-INDEX(Expenses!D$3:D$1002,SMALL(IF((Expenses!E$3:E$1002="INR")*(Expenses!A$3:A$1002=DATE(2026,12,20)),ROW(Expenses!A$3:A$1002)-2),1)),0)+IFERROR(INDEX(Income!C$3:C$502,SMALL(IF((Income!D$3:D$502="INR")*(Income!A$3:A$502=DATE(2026,12,20)),ROW(Income!A$3:A$502)-2),1)),0))</f>
        <v/>
      </c>
      <c r="P254" s="38" t="str">
        <f aca="false">IF(IFERROR(INDEX(Expenses!B$3:B$1002,SMALL(IF((Expenses!E$3:E$1002="INR")*(Expenses!A$3:A$1002=DATE(2026,12,20)),ROW(Expenses!A$3:A$1002)-2),1)),"")&lt;&gt;"",IFERROR(INDEX(Expenses!B$3:B$1002,SMALL(IF((Expenses!E$3:E$1002="INR")*(Expenses!A$3:A$1002=DATE(2026,12,20)),ROW(Expenses!A$3:A$1002)-2),1)),""),IF(IFERROR(INDEX(Income!B$3:B$502,SMALL(IF((Income!D$3:D$502="INR")*(Income!A$3:A$502=DATE(2026,12,20)),ROW(Income!A$3:A$502)-2),1)),"")&lt;&gt;"",IFERROR(INDEX(Income!B$3:B$502,SMALL(IF((Income!D$3:D$502="INR")*(Income!A$3:A$502=DATE(2026,12,20)),ROW(Income!A$3:A$502)-2),1)),""),""))</f>
        <v/>
      </c>
      <c r="Q254" s="3" t="n">
        <v>51</v>
      </c>
      <c r="R254" s="53" t="n">
        <f aca="false">SUM(C254:C258)+SUM(E254:E258)+SUM(G254:G258)+SUM(I254:I258)+SUM(K254:K258)+SUM(M254:M258)+SUM(O254:O258)</f>
        <v>0</v>
      </c>
    </row>
    <row r="255" customFormat="false" ht="15" hidden="false" customHeight="false" outlineLevel="0" collapsed="false">
      <c r="A255" s="16"/>
      <c r="B255" s="16"/>
      <c r="C255" s="63" t="str">
        <f aca="false">IF(IFERROR(-INDEX(Expenses!D$3:D$1002,SMALL(IF((Expenses!E$3:E$1002="INR")*(Expenses!A$3:A$1002=DATE(2026,12,14)),ROW(Expenses!A$3:A$1002)-2),2)),0)+IFERROR(INDEX(Income!C$3:C$502,SMALL(IF((Income!D$3:D$502="INR")*(Income!A$3:A$502=DATE(2026,12,14)),ROW(Income!A$3:A$502)-2),2)),0)=0,"",IFERROR(-INDEX(Expenses!D$3:D$1002,SMALL(IF((Expenses!E$3:E$1002="INR")*(Expenses!A$3:A$1002=DATE(2026,12,14)),ROW(Expenses!A$3:A$1002)-2),2)),0)+IFERROR(INDEX(Income!C$3:C$502,SMALL(IF((Income!D$3:D$502="INR")*(Income!A$3:A$502=DATE(2026,12,14)),ROW(Income!A$3:A$502)-2),2)),0))</f>
        <v/>
      </c>
      <c r="D255" s="38" t="str">
        <f aca="false">IF(IFERROR(INDEX(Expenses!B$3:B$1002,SMALL(IF((Expenses!E$3:E$1002="INR")*(Expenses!A$3:A$1002=DATE(2026,12,14)),ROW(Expenses!A$3:A$1002)-2),2)),"")&lt;&gt;"",IFERROR(INDEX(Expenses!B$3:B$1002,SMALL(IF((Expenses!E$3:E$1002="INR")*(Expenses!A$3:A$1002=DATE(2026,12,14)),ROW(Expenses!A$3:A$1002)-2),2)),""),IF(IFERROR(INDEX(Income!B$3:B$502,SMALL(IF((Income!D$3:D$502="INR")*(Income!A$3:A$502=DATE(2026,12,14)),ROW(Income!A$3:A$502)-2),2)),"")&lt;&gt;"",IFERROR(INDEX(Income!B$3:B$502,SMALL(IF((Income!D$3:D$502="INR")*(Income!A$3:A$502=DATE(2026,12,14)),ROW(Income!A$3:A$502)-2),2)),""),""))</f>
        <v/>
      </c>
      <c r="E255" s="63" t="str">
        <f aca="false">IF(IFERROR(-INDEX(Expenses!D$3:D$1002,SMALL(IF((Expenses!E$3:E$1002="INR")*(Expenses!A$3:A$1002=DATE(2026,12,15)),ROW(Expenses!A$3:A$1002)-2),2)),0)+IFERROR(INDEX(Income!C$3:C$502,SMALL(IF((Income!D$3:D$502="INR")*(Income!A$3:A$502=DATE(2026,12,15)),ROW(Income!A$3:A$502)-2),2)),0)=0,"",IFERROR(-INDEX(Expenses!D$3:D$1002,SMALL(IF((Expenses!E$3:E$1002="INR")*(Expenses!A$3:A$1002=DATE(2026,12,15)),ROW(Expenses!A$3:A$1002)-2),2)),0)+IFERROR(INDEX(Income!C$3:C$502,SMALL(IF((Income!D$3:D$502="INR")*(Income!A$3:A$502=DATE(2026,12,15)),ROW(Income!A$3:A$502)-2),2)),0))</f>
        <v/>
      </c>
      <c r="F255" s="38" t="str">
        <f aca="false">IF(IFERROR(INDEX(Expenses!B$3:B$1002,SMALL(IF((Expenses!E$3:E$1002="INR")*(Expenses!A$3:A$1002=DATE(2026,12,15)),ROW(Expenses!A$3:A$1002)-2),2)),"")&lt;&gt;"",IFERROR(INDEX(Expenses!B$3:B$1002,SMALL(IF((Expenses!E$3:E$1002="INR")*(Expenses!A$3:A$1002=DATE(2026,12,15)),ROW(Expenses!A$3:A$1002)-2),2)),""),IF(IFERROR(INDEX(Income!B$3:B$502,SMALL(IF((Income!D$3:D$502="INR")*(Income!A$3:A$502=DATE(2026,12,15)),ROW(Income!A$3:A$502)-2),2)),"")&lt;&gt;"",IFERROR(INDEX(Income!B$3:B$502,SMALL(IF((Income!D$3:D$502="INR")*(Income!A$3:A$502=DATE(2026,12,15)),ROW(Income!A$3:A$502)-2),2)),""),""))</f>
        <v/>
      </c>
      <c r="G255" s="63" t="str">
        <f aca="false">IF(IFERROR(-INDEX(Expenses!D$3:D$1002,SMALL(IF((Expenses!E$3:E$1002="INR")*(Expenses!A$3:A$1002=DATE(2026,12,16)),ROW(Expenses!A$3:A$1002)-2),2)),0)+IFERROR(INDEX(Income!C$3:C$502,SMALL(IF((Income!D$3:D$502="INR")*(Income!A$3:A$502=DATE(2026,12,16)),ROW(Income!A$3:A$502)-2),2)),0)=0,"",IFERROR(-INDEX(Expenses!D$3:D$1002,SMALL(IF((Expenses!E$3:E$1002="INR")*(Expenses!A$3:A$1002=DATE(2026,12,16)),ROW(Expenses!A$3:A$1002)-2),2)),0)+IFERROR(INDEX(Income!C$3:C$502,SMALL(IF((Income!D$3:D$502="INR")*(Income!A$3:A$502=DATE(2026,12,16)),ROW(Income!A$3:A$502)-2),2)),0))</f>
        <v/>
      </c>
      <c r="H255" s="38" t="str">
        <f aca="false">IF(IFERROR(INDEX(Expenses!B$3:B$1002,SMALL(IF((Expenses!E$3:E$1002="INR")*(Expenses!A$3:A$1002=DATE(2026,12,16)),ROW(Expenses!A$3:A$1002)-2),2)),"")&lt;&gt;"",IFERROR(INDEX(Expenses!B$3:B$1002,SMALL(IF((Expenses!E$3:E$1002="INR")*(Expenses!A$3:A$1002=DATE(2026,12,16)),ROW(Expenses!A$3:A$1002)-2),2)),""),IF(IFERROR(INDEX(Income!B$3:B$502,SMALL(IF((Income!D$3:D$502="INR")*(Income!A$3:A$502=DATE(2026,12,16)),ROW(Income!A$3:A$502)-2),2)),"")&lt;&gt;"",IFERROR(INDEX(Income!B$3:B$502,SMALL(IF((Income!D$3:D$502="INR")*(Income!A$3:A$502=DATE(2026,12,16)),ROW(Income!A$3:A$502)-2),2)),""),""))</f>
        <v/>
      </c>
      <c r="I255" s="63" t="str">
        <f aca="false">IF(IFERROR(-INDEX(Expenses!D$3:D$1002,SMALL(IF((Expenses!E$3:E$1002="INR")*(Expenses!A$3:A$1002=DATE(2026,12,17)),ROW(Expenses!A$3:A$1002)-2),2)),0)+IFERROR(INDEX(Income!C$3:C$502,SMALL(IF((Income!D$3:D$502="INR")*(Income!A$3:A$502=DATE(2026,12,17)),ROW(Income!A$3:A$502)-2),2)),0)=0,"",IFERROR(-INDEX(Expenses!D$3:D$1002,SMALL(IF((Expenses!E$3:E$1002="INR")*(Expenses!A$3:A$1002=DATE(2026,12,17)),ROW(Expenses!A$3:A$1002)-2),2)),0)+IFERROR(INDEX(Income!C$3:C$502,SMALL(IF((Income!D$3:D$502="INR")*(Income!A$3:A$502=DATE(2026,12,17)),ROW(Income!A$3:A$502)-2),2)),0))</f>
        <v/>
      </c>
      <c r="J255" s="38" t="str">
        <f aca="false">IF(IFERROR(INDEX(Expenses!B$3:B$1002,SMALL(IF((Expenses!E$3:E$1002="INR")*(Expenses!A$3:A$1002=DATE(2026,12,17)),ROW(Expenses!A$3:A$1002)-2),2)),"")&lt;&gt;"",IFERROR(INDEX(Expenses!B$3:B$1002,SMALL(IF((Expenses!E$3:E$1002="INR")*(Expenses!A$3:A$1002=DATE(2026,12,17)),ROW(Expenses!A$3:A$1002)-2),2)),""),IF(IFERROR(INDEX(Income!B$3:B$502,SMALL(IF((Income!D$3:D$502="INR")*(Income!A$3:A$502=DATE(2026,12,17)),ROW(Income!A$3:A$502)-2),2)),"")&lt;&gt;"",IFERROR(INDEX(Income!B$3:B$502,SMALL(IF((Income!D$3:D$502="INR")*(Income!A$3:A$502=DATE(2026,12,17)),ROW(Income!A$3:A$502)-2),2)),""),""))</f>
        <v/>
      </c>
      <c r="K255" s="63" t="str">
        <f aca="false">IF(IFERROR(-INDEX(Expenses!D$3:D$1002,SMALL(IF((Expenses!E$3:E$1002="INR")*(Expenses!A$3:A$1002=DATE(2026,12,18)),ROW(Expenses!A$3:A$1002)-2),2)),0)+IFERROR(INDEX(Income!C$3:C$502,SMALL(IF((Income!D$3:D$502="INR")*(Income!A$3:A$502=DATE(2026,12,18)),ROW(Income!A$3:A$502)-2),2)),0)=0,"",IFERROR(-INDEX(Expenses!D$3:D$1002,SMALL(IF((Expenses!E$3:E$1002="INR")*(Expenses!A$3:A$1002=DATE(2026,12,18)),ROW(Expenses!A$3:A$1002)-2),2)),0)+IFERROR(INDEX(Income!C$3:C$502,SMALL(IF((Income!D$3:D$502="INR")*(Income!A$3:A$502=DATE(2026,12,18)),ROW(Income!A$3:A$502)-2),2)),0))</f>
        <v/>
      </c>
      <c r="L255" s="38" t="str">
        <f aca="false">IF(IFERROR(INDEX(Expenses!B$3:B$1002,SMALL(IF((Expenses!E$3:E$1002="INR")*(Expenses!A$3:A$1002=DATE(2026,12,18)),ROW(Expenses!A$3:A$1002)-2),2)),"")&lt;&gt;"",IFERROR(INDEX(Expenses!B$3:B$1002,SMALL(IF((Expenses!E$3:E$1002="INR")*(Expenses!A$3:A$1002=DATE(2026,12,18)),ROW(Expenses!A$3:A$1002)-2),2)),""),IF(IFERROR(INDEX(Income!B$3:B$502,SMALL(IF((Income!D$3:D$502="INR")*(Income!A$3:A$502=DATE(2026,12,18)),ROW(Income!A$3:A$502)-2),2)),"")&lt;&gt;"",IFERROR(INDEX(Income!B$3:B$502,SMALL(IF((Income!D$3:D$502="INR")*(Income!A$3:A$502=DATE(2026,12,18)),ROW(Income!A$3:A$502)-2),2)),""),""))</f>
        <v/>
      </c>
      <c r="M255" s="63" t="str">
        <f aca="false">IF(IFERROR(-INDEX(Expenses!D$3:D$1002,SMALL(IF((Expenses!E$3:E$1002="INR")*(Expenses!A$3:A$1002=DATE(2026,12,19)),ROW(Expenses!A$3:A$1002)-2),2)),0)+IFERROR(INDEX(Income!C$3:C$502,SMALL(IF((Income!D$3:D$502="INR")*(Income!A$3:A$502=DATE(2026,12,19)),ROW(Income!A$3:A$502)-2),2)),0)=0,"",IFERROR(-INDEX(Expenses!D$3:D$1002,SMALL(IF((Expenses!E$3:E$1002="INR")*(Expenses!A$3:A$1002=DATE(2026,12,19)),ROW(Expenses!A$3:A$1002)-2),2)),0)+IFERROR(INDEX(Income!C$3:C$502,SMALL(IF((Income!D$3:D$502="INR")*(Income!A$3:A$502=DATE(2026,12,19)),ROW(Income!A$3:A$502)-2),2)),0))</f>
        <v/>
      </c>
      <c r="N255" s="38" t="str">
        <f aca="false">IF(IFERROR(INDEX(Expenses!B$3:B$1002,SMALL(IF((Expenses!E$3:E$1002="INR")*(Expenses!A$3:A$1002=DATE(2026,12,19)),ROW(Expenses!A$3:A$1002)-2),2)),"")&lt;&gt;"",IFERROR(INDEX(Expenses!B$3:B$1002,SMALL(IF((Expenses!E$3:E$1002="INR")*(Expenses!A$3:A$1002=DATE(2026,12,19)),ROW(Expenses!A$3:A$1002)-2),2)),""),IF(IFERROR(INDEX(Income!B$3:B$502,SMALL(IF((Income!D$3:D$502="INR")*(Income!A$3:A$502=DATE(2026,12,19)),ROW(Income!A$3:A$502)-2),2)),"")&lt;&gt;"",IFERROR(INDEX(Income!B$3:B$502,SMALL(IF((Income!D$3:D$502="INR")*(Income!A$3:A$502=DATE(2026,12,19)),ROW(Income!A$3:A$502)-2),2)),""),""))</f>
        <v/>
      </c>
      <c r="O255" s="63" t="str">
        <f aca="false">IF(IFERROR(-INDEX(Expenses!D$3:D$1002,SMALL(IF((Expenses!E$3:E$1002="INR")*(Expenses!A$3:A$1002=DATE(2026,12,20)),ROW(Expenses!A$3:A$1002)-2),2)),0)+IFERROR(INDEX(Income!C$3:C$502,SMALL(IF((Income!D$3:D$502="INR")*(Income!A$3:A$502=DATE(2026,12,20)),ROW(Income!A$3:A$502)-2),2)),0)=0,"",IFERROR(-INDEX(Expenses!D$3:D$1002,SMALL(IF((Expenses!E$3:E$1002="INR")*(Expenses!A$3:A$1002=DATE(2026,12,20)),ROW(Expenses!A$3:A$1002)-2),2)),0)+IFERROR(INDEX(Income!C$3:C$502,SMALL(IF((Income!D$3:D$502="INR")*(Income!A$3:A$502=DATE(2026,12,20)),ROW(Income!A$3:A$502)-2),2)),0))</f>
        <v/>
      </c>
      <c r="P255" s="38" t="str">
        <f aca="false">IF(IFERROR(INDEX(Expenses!B$3:B$1002,SMALL(IF((Expenses!E$3:E$1002="INR")*(Expenses!A$3:A$1002=DATE(2026,12,20)),ROW(Expenses!A$3:A$1002)-2),2)),"")&lt;&gt;"",IFERROR(INDEX(Expenses!B$3:B$1002,SMALL(IF((Expenses!E$3:E$1002="INR")*(Expenses!A$3:A$1002=DATE(2026,12,20)),ROW(Expenses!A$3:A$1002)-2),2)),""),IF(IFERROR(INDEX(Income!B$3:B$502,SMALL(IF((Income!D$3:D$502="INR")*(Income!A$3:A$502=DATE(2026,12,20)),ROW(Income!A$3:A$502)-2),2)),"")&lt;&gt;"",IFERROR(INDEX(Income!B$3:B$502,SMALL(IF((Income!D$3:D$502="INR")*(Income!A$3:A$502=DATE(2026,12,20)),ROW(Income!A$3:A$502)-2),2)),""),""))</f>
        <v/>
      </c>
      <c r="Q255" s="16"/>
      <c r="R255" s="16"/>
    </row>
    <row r="256" customFormat="false" ht="15" hidden="false" customHeight="false" outlineLevel="0" collapsed="false">
      <c r="A256" s="16"/>
      <c r="B256" s="16"/>
      <c r="C256" s="63" t="str">
        <f aca="false">IF(IFERROR(-INDEX(Expenses!D$3:D$1002,SMALL(IF((Expenses!E$3:E$1002="INR")*(Expenses!A$3:A$1002=DATE(2026,12,14)),ROW(Expenses!A$3:A$1002)-2),3)),0)+IFERROR(INDEX(Income!C$3:C$502,SMALL(IF((Income!D$3:D$502="INR")*(Income!A$3:A$502=DATE(2026,12,14)),ROW(Income!A$3:A$502)-2),3)),0)=0,"",IFERROR(-INDEX(Expenses!D$3:D$1002,SMALL(IF((Expenses!E$3:E$1002="INR")*(Expenses!A$3:A$1002=DATE(2026,12,14)),ROW(Expenses!A$3:A$1002)-2),3)),0)+IFERROR(INDEX(Income!C$3:C$502,SMALL(IF((Income!D$3:D$502="INR")*(Income!A$3:A$502=DATE(2026,12,14)),ROW(Income!A$3:A$502)-2),3)),0))</f>
        <v/>
      </c>
      <c r="D256" s="38" t="str">
        <f aca="false">IF(IFERROR(INDEX(Expenses!B$3:B$1002,SMALL(IF((Expenses!E$3:E$1002="INR")*(Expenses!A$3:A$1002=DATE(2026,12,14)),ROW(Expenses!A$3:A$1002)-2),3)),"")&lt;&gt;"",IFERROR(INDEX(Expenses!B$3:B$1002,SMALL(IF((Expenses!E$3:E$1002="INR")*(Expenses!A$3:A$1002=DATE(2026,12,14)),ROW(Expenses!A$3:A$1002)-2),3)),""),IF(IFERROR(INDEX(Income!B$3:B$502,SMALL(IF((Income!D$3:D$502="INR")*(Income!A$3:A$502=DATE(2026,12,14)),ROW(Income!A$3:A$502)-2),3)),"")&lt;&gt;"",IFERROR(INDEX(Income!B$3:B$502,SMALL(IF((Income!D$3:D$502="INR")*(Income!A$3:A$502=DATE(2026,12,14)),ROW(Income!A$3:A$502)-2),3)),""),""))</f>
        <v/>
      </c>
      <c r="E256" s="63" t="str">
        <f aca="false">IF(IFERROR(-INDEX(Expenses!D$3:D$1002,SMALL(IF((Expenses!E$3:E$1002="INR")*(Expenses!A$3:A$1002=DATE(2026,12,15)),ROW(Expenses!A$3:A$1002)-2),3)),0)+IFERROR(INDEX(Income!C$3:C$502,SMALL(IF((Income!D$3:D$502="INR")*(Income!A$3:A$502=DATE(2026,12,15)),ROW(Income!A$3:A$502)-2),3)),0)=0,"",IFERROR(-INDEX(Expenses!D$3:D$1002,SMALL(IF((Expenses!E$3:E$1002="INR")*(Expenses!A$3:A$1002=DATE(2026,12,15)),ROW(Expenses!A$3:A$1002)-2),3)),0)+IFERROR(INDEX(Income!C$3:C$502,SMALL(IF((Income!D$3:D$502="INR")*(Income!A$3:A$502=DATE(2026,12,15)),ROW(Income!A$3:A$502)-2),3)),0))</f>
        <v/>
      </c>
      <c r="F256" s="38" t="str">
        <f aca="false">IF(IFERROR(INDEX(Expenses!B$3:B$1002,SMALL(IF((Expenses!E$3:E$1002="INR")*(Expenses!A$3:A$1002=DATE(2026,12,15)),ROW(Expenses!A$3:A$1002)-2),3)),"")&lt;&gt;"",IFERROR(INDEX(Expenses!B$3:B$1002,SMALL(IF((Expenses!E$3:E$1002="INR")*(Expenses!A$3:A$1002=DATE(2026,12,15)),ROW(Expenses!A$3:A$1002)-2),3)),""),IF(IFERROR(INDEX(Income!B$3:B$502,SMALL(IF((Income!D$3:D$502="INR")*(Income!A$3:A$502=DATE(2026,12,15)),ROW(Income!A$3:A$502)-2),3)),"")&lt;&gt;"",IFERROR(INDEX(Income!B$3:B$502,SMALL(IF((Income!D$3:D$502="INR")*(Income!A$3:A$502=DATE(2026,12,15)),ROW(Income!A$3:A$502)-2),3)),""),""))</f>
        <v/>
      </c>
      <c r="G256" s="63" t="str">
        <f aca="false">IF(IFERROR(-INDEX(Expenses!D$3:D$1002,SMALL(IF((Expenses!E$3:E$1002="INR")*(Expenses!A$3:A$1002=DATE(2026,12,16)),ROW(Expenses!A$3:A$1002)-2),3)),0)+IFERROR(INDEX(Income!C$3:C$502,SMALL(IF((Income!D$3:D$502="INR")*(Income!A$3:A$502=DATE(2026,12,16)),ROW(Income!A$3:A$502)-2),3)),0)=0,"",IFERROR(-INDEX(Expenses!D$3:D$1002,SMALL(IF((Expenses!E$3:E$1002="INR")*(Expenses!A$3:A$1002=DATE(2026,12,16)),ROW(Expenses!A$3:A$1002)-2),3)),0)+IFERROR(INDEX(Income!C$3:C$502,SMALL(IF((Income!D$3:D$502="INR")*(Income!A$3:A$502=DATE(2026,12,16)),ROW(Income!A$3:A$502)-2),3)),0))</f>
        <v/>
      </c>
      <c r="H256" s="38" t="str">
        <f aca="false">IF(IFERROR(INDEX(Expenses!B$3:B$1002,SMALL(IF((Expenses!E$3:E$1002="INR")*(Expenses!A$3:A$1002=DATE(2026,12,16)),ROW(Expenses!A$3:A$1002)-2),3)),"")&lt;&gt;"",IFERROR(INDEX(Expenses!B$3:B$1002,SMALL(IF((Expenses!E$3:E$1002="INR")*(Expenses!A$3:A$1002=DATE(2026,12,16)),ROW(Expenses!A$3:A$1002)-2),3)),""),IF(IFERROR(INDEX(Income!B$3:B$502,SMALL(IF((Income!D$3:D$502="INR")*(Income!A$3:A$502=DATE(2026,12,16)),ROW(Income!A$3:A$502)-2),3)),"")&lt;&gt;"",IFERROR(INDEX(Income!B$3:B$502,SMALL(IF((Income!D$3:D$502="INR")*(Income!A$3:A$502=DATE(2026,12,16)),ROW(Income!A$3:A$502)-2),3)),""),""))</f>
        <v/>
      </c>
      <c r="I256" s="63" t="str">
        <f aca="false">IF(IFERROR(-INDEX(Expenses!D$3:D$1002,SMALL(IF((Expenses!E$3:E$1002="INR")*(Expenses!A$3:A$1002=DATE(2026,12,17)),ROW(Expenses!A$3:A$1002)-2),3)),0)+IFERROR(INDEX(Income!C$3:C$502,SMALL(IF((Income!D$3:D$502="INR")*(Income!A$3:A$502=DATE(2026,12,17)),ROW(Income!A$3:A$502)-2),3)),0)=0,"",IFERROR(-INDEX(Expenses!D$3:D$1002,SMALL(IF((Expenses!E$3:E$1002="INR")*(Expenses!A$3:A$1002=DATE(2026,12,17)),ROW(Expenses!A$3:A$1002)-2),3)),0)+IFERROR(INDEX(Income!C$3:C$502,SMALL(IF((Income!D$3:D$502="INR")*(Income!A$3:A$502=DATE(2026,12,17)),ROW(Income!A$3:A$502)-2),3)),0))</f>
        <v/>
      </c>
      <c r="J256" s="38" t="str">
        <f aca="false">IF(IFERROR(INDEX(Expenses!B$3:B$1002,SMALL(IF((Expenses!E$3:E$1002="INR")*(Expenses!A$3:A$1002=DATE(2026,12,17)),ROW(Expenses!A$3:A$1002)-2),3)),"")&lt;&gt;"",IFERROR(INDEX(Expenses!B$3:B$1002,SMALL(IF((Expenses!E$3:E$1002="INR")*(Expenses!A$3:A$1002=DATE(2026,12,17)),ROW(Expenses!A$3:A$1002)-2),3)),""),IF(IFERROR(INDEX(Income!B$3:B$502,SMALL(IF((Income!D$3:D$502="INR")*(Income!A$3:A$502=DATE(2026,12,17)),ROW(Income!A$3:A$502)-2),3)),"")&lt;&gt;"",IFERROR(INDEX(Income!B$3:B$502,SMALL(IF((Income!D$3:D$502="INR")*(Income!A$3:A$502=DATE(2026,12,17)),ROW(Income!A$3:A$502)-2),3)),""),""))</f>
        <v/>
      </c>
      <c r="K256" s="63" t="str">
        <f aca="false">IF(IFERROR(-INDEX(Expenses!D$3:D$1002,SMALL(IF((Expenses!E$3:E$1002="INR")*(Expenses!A$3:A$1002=DATE(2026,12,18)),ROW(Expenses!A$3:A$1002)-2),3)),0)+IFERROR(INDEX(Income!C$3:C$502,SMALL(IF((Income!D$3:D$502="INR")*(Income!A$3:A$502=DATE(2026,12,18)),ROW(Income!A$3:A$502)-2),3)),0)=0,"",IFERROR(-INDEX(Expenses!D$3:D$1002,SMALL(IF((Expenses!E$3:E$1002="INR")*(Expenses!A$3:A$1002=DATE(2026,12,18)),ROW(Expenses!A$3:A$1002)-2),3)),0)+IFERROR(INDEX(Income!C$3:C$502,SMALL(IF((Income!D$3:D$502="INR")*(Income!A$3:A$502=DATE(2026,12,18)),ROW(Income!A$3:A$502)-2),3)),0))</f>
        <v/>
      </c>
      <c r="L256" s="38" t="str">
        <f aca="false">IF(IFERROR(INDEX(Expenses!B$3:B$1002,SMALL(IF((Expenses!E$3:E$1002="INR")*(Expenses!A$3:A$1002=DATE(2026,12,18)),ROW(Expenses!A$3:A$1002)-2),3)),"")&lt;&gt;"",IFERROR(INDEX(Expenses!B$3:B$1002,SMALL(IF((Expenses!E$3:E$1002="INR")*(Expenses!A$3:A$1002=DATE(2026,12,18)),ROW(Expenses!A$3:A$1002)-2),3)),""),IF(IFERROR(INDEX(Income!B$3:B$502,SMALL(IF((Income!D$3:D$502="INR")*(Income!A$3:A$502=DATE(2026,12,18)),ROW(Income!A$3:A$502)-2),3)),"")&lt;&gt;"",IFERROR(INDEX(Income!B$3:B$502,SMALL(IF((Income!D$3:D$502="INR")*(Income!A$3:A$502=DATE(2026,12,18)),ROW(Income!A$3:A$502)-2),3)),""),""))</f>
        <v/>
      </c>
      <c r="M256" s="63" t="str">
        <f aca="false">IF(IFERROR(-INDEX(Expenses!D$3:D$1002,SMALL(IF((Expenses!E$3:E$1002="INR")*(Expenses!A$3:A$1002=DATE(2026,12,19)),ROW(Expenses!A$3:A$1002)-2),3)),0)+IFERROR(INDEX(Income!C$3:C$502,SMALL(IF((Income!D$3:D$502="INR")*(Income!A$3:A$502=DATE(2026,12,19)),ROW(Income!A$3:A$502)-2),3)),0)=0,"",IFERROR(-INDEX(Expenses!D$3:D$1002,SMALL(IF((Expenses!E$3:E$1002="INR")*(Expenses!A$3:A$1002=DATE(2026,12,19)),ROW(Expenses!A$3:A$1002)-2),3)),0)+IFERROR(INDEX(Income!C$3:C$502,SMALL(IF((Income!D$3:D$502="INR")*(Income!A$3:A$502=DATE(2026,12,19)),ROW(Income!A$3:A$502)-2),3)),0))</f>
        <v/>
      </c>
      <c r="N256" s="38" t="str">
        <f aca="false">IF(IFERROR(INDEX(Expenses!B$3:B$1002,SMALL(IF((Expenses!E$3:E$1002="INR")*(Expenses!A$3:A$1002=DATE(2026,12,19)),ROW(Expenses!A$3:A$1002)-2),3)),"")&lt;&gt;"",IFERROR(INDEX(Expenses!B$3:B$1002,SMALL(IF((Expenses!E$3:E$1002="INR")*(Expenses!A$3:A$1002=DATE(2026,12,19)),ROW(Expenses!A$3:A$1002)-2),3)),""),IF(IFERROR(INDEX(Income!B$3:B$502,SMALL(IF((Income!D$3:D$502="INR")*(Income!A$3:A$502=DATE(2026,12,19)),ROW(Income!A$3:A$502)-2),3)),"")&lt;&gt;"",IFERROR(INDEX(Income!B$3:B$502,SMALL(IF((Income!D$3:D$502="INR")*(Income!A$3:A$502=DATE(2026,12,19)),ROW(Income!A$3:A$502)-2),3)),""),""))</f>
        <v/>
      </c>
      <c r="O256" s="63" t="str">
        <f aca="false">IF(IFERROR(-INDEX(Expenses!D$3:D$1002,SMALL(IF((Expenses!E$3:E$1002="INR")*(Expenses!A$3:A$1002=DATE(2026,12,20)),ROW(Expenses!A$3:A$1002)-2),3)),0)+IFERROR(INDEX(Income!C$3:C$502,SMALL(IF((Income!D$3:D$502="INR")*(Income!A$3:A$502=DATE(2026,12,20)),ROW(Income!A$3:A$502)-2),3)),0)=0,"",IFERROR(-INDEX(Expenses!D$3:D$1002,SMALL(IF((Expenses!E$3:E$1002="INR")*(Expenses!A$3:A$1002=DATE(2026,12,20)),ROW(Expenses!A$3:A$1002)-2),3)),0)+IFERROR(INDEX(Income!C$3:C$502,SMALL(IF((Income!D$3:D$502="INR")*(Income!A$3:A$502=DATE(2026,12,20)),ROW(Income!A$3:A$502)-2),3)),0))</f>
        <v/>
      </c>
      <c r="P256" s="38" t="str">
        <f aca="false">IF(IFERROR(INDEX(Expenses!B$3:B$1002,SMALL(IF((Expenses!E$3:E$1002="INR")*(Expenses!A$3:A$1002=DATE(2026,12,20)),ROW(Expenses!A$3:A$1002)-2),3)),"")&lt;&gt;"",IFERROR(INDEX(Expenses!B$3:B$1002,SMALL(IF((Expenses!E$3:E$1002="INR")*(Expenses!A$3:A$1002=DATE(2026,12,20)),ROW(Expenses!A$3:A$1002)-2),3)),""),IF(IFERROR(INDEX(Income!B$3:B$502,SMALL(IF((Income!D$3:D$502="INR")*(Income!A$3:A$502=DATE(2026,12,20)),ROW(Income!A$3:A$502)-2),3)),"")&lt;&gt;"",IFERROR(INDEX(Income!B$3:B$502,SMALL(IF((Income!D$3:D$502="INR")*(Income!A$3:A$502=DATE(2026,12,20)),ROW(Income!A$3:A$502)-2),3)),""),""))</f>
        <v/>
      </c>
      <c r="Q256" s="16"/>
      <c r="R256" s="16"/>
    </row>
    <row r="257" customFormat="false" ht="15" hidden="false" customHeight="false" outlineLevel="0" collapsed="false">
      <c r="A257" s="16"/>
      <c r="B257" s="16"/>
      <c r="C257" s="63" t="str">
        <f aca="false">IF(IFERROR(-INDEX(Expenses!D$3:D$1002,SMALL(IF((Expenses!E$3:E$1002="INR")*(Expenses!A$3:A$1002=DATE(2026,12,14)),ROW(Expenses!A$3:A$1002)-2),4)),0)+IFERROR(INDEX(Income!C$3:C$502,SMALL(IF((Income!D$3:D$502="INR")*(Income!A$3:A$502=DATE(2026,12,14)),ROW(Income!A$3:A$502)-2),4)),0)=0,"",IFERROR(-INDEX(Expenses!D$3:D$1002,SMALL(IF((Expenses!E$3:E$1002="INR")*(Expenses!A$3:A$1002=DATE(2026,12,14)),ROW(Expenses!A$3:A$1002)-2),4)),0)+IFERROR(INDEX(Income!C$3:C$502,SMALL(IF((Income!D$3:D$502="INR")*(Income!A$3:A$502=DATE(2026,12,14)),ROW(Income!A$3:A$502)-2),4)),0))</f>
        <v/>
      </c>
      <c r="D257" s="38" t="str">
        <f aca="false">IF(IFERROR(INDEX(Expenses!B$3:B$1002,SMALL(IF((Expenses!E$3:E$1002="INR")*(Expenses!A$3:A$1002=DATE(2026,12,14)),ROW(Expenses!A$3:A$1002)-2),4)),"")&lt;&gt;"",IFERROR(INDEX(Expenses!B$3:B$1002,SMALL(IF((Expenses!E$3:E$1002="INR")*(Expenses!A$3:A$1002=DATE(2026,12,14)),ROW(Expenses!A$3:A$1002)-2),4)),""),IF(IFERROR(INDEX(Income!B$3:B$502,SMALL(IF((Income!D$3:D$502="INR")*(Income!A$3:A$502=DATE(2026,12,14)),ROW(Income!A$3:A$502)-2),4)),"")&lt;&gt;"",IFERROR(INDEX(Income!B$3:B$502,SMALL(IF((Income!D$3:D$502="INR")*(Income!A$3:A$502=DATE(2026,12,14)),ROW(Income!A$3:A$502)-2),4)),""),""))</f>
        <v/>
      </c>
      <c r="E257" s="63" t="str">
        <f aca="false">IF(IFERROR(-INDEX(Expenses!D$3:D$1002,SMALL(IF((Expenses!E$3:E$1002="INR")*(Expenses!A$3:A$1002=DATE(2026,12,15)),ROW(Expenses!A$3:A$1002)-2),4)),0)+IFERROR(INDEX(Income!C$3:C$502,SMALL(IF((Income!D$3:D$502="INR")*(Income!A$3:A$502=DATE(2026,12,15)),ROW(Income!A$3:A$502)-2),4)),0)=0,"",IFERROR(-INDEX(Expenses!D$3:D$1002,SMALL(IF((Expenses!E$3:E$1002="INR")*(Expenses!A$3:A$1002=DATE(2026,12,15)),ROW(Expenses!A$3:A$1002)-2),4)),0)+IFERROR(INDEX(Income!C$3:C$502,SMALL(IF((Income!D$3:D$502="INR")*(Income!A$3:A$502=DATE(2026,12,15)),ROW(Income!A$3:A$502)-2),4)),0))</f>
        <v/>
      </c>
      <c r="F257" s="38" t="str">
        <f aca="false">IF(IFERROR(INDEX(Expenses!B$3:B$1002,SMALL(IF((Expenses!E$3:E$1002="INR")*(Expenses!A$3:A$1002=DATE(2026,12,15)),ROW(Expenses!A$3:A$1002)-2),4)),"")&lt;&gt;"",IFERROR(INDEX(Expenses!B$3:B$1002,SMALL(IF((Expenses!E$3:E$1002="INR")*(Expenses!A$3:A$1002=DATE(2026,12,15)),ROW(Expenses!A$3:A$1002)-2),4)),""),IF(IFERROR(INDEX(Income!B$3:B$502,SMALL(IF((Income!D$3:D$502="INR")*(Income!A$3:A$502=DATE(2026,12,15)),ROW(Income!A$3:A$502)-2),4)),"")&lt;&gt;"",IFERROR(INDEX(Income!B$3:B$502,SMALL(IF((Income!D$3:D$502="INR")*(Income!A$3:A$502=DATE(2026,12,15)),ROW(Income!A$3:A$502)-2),4)),""),""))</f>
        <v/>
      </c>
      <c r="G257" s="63" t="str">
        <f aca="false">IF(IFERROR(-INDEX(Expenses!D$3:D$1002,SMALL(IF((Expenses!E$3:E$1002="INR")*(Expenses!A$3:A$1002=DATE(2026,12,16)),ROW(Expenses!A$3:A$1002)-2),4)),0)+IFERROR(INDEX(Income!C$3:C$502,SMALL(IF((Income!D$3:D$502="INR")*(Income!A$3:A$502=DATE(2026,12,16)),ROW(Income!A$3:A$502)-2),4)),0)=0,"",IFERROR(-INDEX(Expenses!D$3:D$1002,SMALL(IF((Expenses!E$3:E$1002="INR")*(Expenses!A$3:A$1002=DATE(2026,12,16)),ROW(Expenses!A$3:A$1002)-2),4)),0)+IFERROR(INDEX(Income!C$3:C$502,SMALL(IF((Income!D$3:D$502="INR")*(Income!A$3:A$502=DATE(2026,12,16)),ROW(Income!A$3:A$502)-2),4)),0))</f>
        <v/>
      </c>
      <c r="H257" s="38" t="str">
        <f aca="false">IF(IFERROR(INDEX(Expenses!B$3:B$1002,SMALL(IF((Expenses!E$3:E$1002="INR")*(Expenses!A$3:A$1002=DATE(2026,12,16)),ROW(Expenses!A$3:A$1002)-2),4)),"")&lt;&gt;"",IFERROR(INDEX(Expenses!B$3:B$1002,SMALL(IF((Expenses!E$3:E$1002="INR")*(Expenses!A$3:A$1002=DATE(2026,12,16)),ROW(Expenses!A$3:A$1002)-2),4)),""),IF(IFERROR(INDEX(Income!B$3:B$502,SMALL(IF((Income!D$3:D$502="INR")*(Income!A$3:A$502=DATE(2026,12,16)),ROW(Income!A$3:A$502)-2),4)),"")&lt;&gt;"",IFERROR(INDEX(Income!B$3:B$502,SMALL(IF((Income!D$3:D$502="INR")*(Income!A$3:A$502=DATE(2026,12,16)),ROW(Income!A$3:A$502)-2),4)),""),""))</f>
        <v/>
      </c>
      <c r="I257" s="63" t="str">
        <f aca="false">IF(IFERROR(-INDEX(Expenses!D$3:D$1002,SMALL(IF((Expenses!E$3:E$1002="INR")*(Expenses!A$3:A$1002=DATE(2026,12,17)),ROW(Expenses!A$3:A$1002)-2),4)),0)+IFERROR(INDEX(Income!C$3:C$502,SMALL(IF((Income!D$3:D$502="INR")*(Income!A$3:A$502=DATE(2026,12,17)),ROW(Income!A$3:A$502)-2),4)),0)=0,"",IFERROR(-INDEX(Expenses!D$3:D$1002,SMALL(IF((Expenses!E$3:E$1002="INR")*(Expenses!A$3:A$1002=DATE(2026,12,17)),ROW(Expenses!A$3:A$1002)-2),4)),0)+IFERROR(INDEX(Income!C$3:C$502,SMALL(IF((Income!D$3:D$502="INR")*(Income!A$3:A$502=DATE(2026,12,17)),ROW(Income!A$3:A$502)-2),4)),0))</f>
        <v/>
      </c>
      <c r="J257" s="38" t="str">
        <f aca="false">IF(IFERROR(INDEX(Expenses!B$3:B$1002,SMALL(IF((Expenses!E$3:E$1002="INR")*(Expenses!A$3:A$1002=DATE(2026,12,17)),ROW(Expenses!A$3:A$1002)-2),4)),"")&lt;&gt;"",IFERROR(INDEX(Expenses!B$3:B$1002,SMALL(IF((Expenses!E$3:E$1002="INR")*(Expenses!A$3:A$1002=DATE(2026,12,17)),ROW(Expenses!A$3:A$1002)-2),4)),""),IF(IFERROR(INDEX(Income!B$3:B$502,SMALL(IF((Income!D$3:D$502="INR")*(Income!A$3:A$502=DATE(2026,12,17)),ROW(Income!A$3:A$502)-2),4)),"")&lt;&gt;"",IFERROR(INDEX(Income!B$3:B$502,SMALL(IF((Income!D$3:D$502="INR")*(Income!A$3:A$502=DATE(2026,12,17)),ROW(Income!A$3:A$502)-2),4)),""),""))</f>
        <v/>
      </c>
      <c r="K257" s="63" t="str">
        <f aca="false">IF(IFERROR(-INDEX(Expenses!D$3:D$1002,SMALL(IF((Expenses!E$3:E$1002="INR")*(Expenses!A$3:A$1002=DATE(2026,12,18)),ROW(Expenses!A$3:A$1002)-2),4)),0)+IFERROR(INDEX(Income!C$3:C$502,SMALL(IF((Income!D$3:D$502="INR")*(Income!A$3:A$502=DATE(2026,12,18)),ROW(Income!A$3:A$502)-2),4)),0)=0,"",IFERROR(-INDEX(Expenses!D$3:D$1002,SMALL(IF((Expenses!E$3:E$1002="INR")*(Expenses!A$3:A$1002=DATE(2026,12,18)),ROW(Expenses!A$3:A$1002)-2),4)),0)+IFERROR(INDEX(Income!C$3:C$502,SMALL(IF((Income!D$3:D$502="INR")*(Income!A$3:A$502=DATE(2026,12,18)),ROW(Income!A$3:A$502)-2),4)),0))</f>
        <v/>
      </c>
      <c r="L257" s="38" t="str">
        <f aca="false">IF(IFERROR(INDEX(Expenses!B$3:B$1002,SMALL(IF((Expenses!E$3:E$1002="INR")*(Expenses!A$3:A$1002=DATE(2026,12,18)),ROW(Expenses!A$3:A$1002)-2),4)),"")&lt;&gt;"",IFERROR(INDEX(Expenses!B$3:B$1002,SMALL(IF((Expenses!E$3:E$1002="INR")*(Expenses!A$3:A$1002=DATE(2026,12,18)),ROW(Expenses!A$3:A$1002)-2),4)),""),IF(IFERROR(INDEX(Income!B$3:B$502,SMALL(IF((Income!D$3:D$502="INR")*(Income!A$3:A$502=DATE(2026,12,18)),ROW(Income!A$3:A$502)-2),4)),"")&lt;&gt;"",IFERROR(INDEX(Income!B$3:B$502,SMALL(IF((Income!D$3:D$502="INR")*(Income!A$3:A$502=DATE(2026,12,18)),ROW(Income!A$3:A$502)-2),4)),""),""))</f>
        <v/>
      </c>
      <c r="M257" s="63" t="str">
        <f aca="false">IF(IFERROR(-INDEX(Expenses!D$3:D$1002,SMALL(IF((Expenses!E$3:E$1002="INR")*(Expenses!A$3:A$1002=DATE(2026,12,19)),ROW(Expenses!A$3:A$1002)-2),4)),0)+IFERROR(INDEX(Income!C$3:C$502,SMALL(IF((Income!D$3:D$502="INR")*(Income!A$3:A$502=DATE(2026,12,19)),ROW(Income!A$3:A$502)-2),4)),0)=0,"",IFERROR(-INDEX(Expenses!D$3:D$1002,SMALL(IF((Expenses!E$3:E$1002="INR")*(Expenses!A$3:A$1002=DATE(2026,12,19)),ROW(Expenses!A$3:A$1002)-2),4)),0)+IFERROR(INDEX(Income!C$3:C$502,SMALL(IF((Income!D$3:D$502="INR")*(Income!A$3:A$502=DATE(2026,12,19)),ROW(Income!A$3:A$502)-2),4)),0))</f>
        <v/>
      </c>
      <c r="N257" s="38" t="str">
        <f aca="false">IF(IFERROR(INDEX(Expenses!B$3:B$1002,SMALL(IF((Expenses!E$3:E$1002="INR")*(Expenses!A$3:A$1002=DATE(2026,12,19)),ROW(Expenses!A$3:A$1002)-2),4)),"")&lt;&gt;"",IFERROR(INDEX(Expenses!B$3:B$1002,SMALL(IF((Expenses!E$3:E$1002="INR")*(Expenses!A$3:A$1002=DATE(2026,12,19)),ROW(Expenses!A$3:A$1002)-2),4)),""),IF(IFERROR(INDEX(Income!B$3:B$502,SMALL(IF((Income!D$3:D$502="INR")*(Income!A$3:A$502=DATE(2026,12,19)),ROW(Income!A$3:A$502)-2),4)),"")&lt;&gt;"",IFERROR(INDEX(Income!B$3:B$502,SMALL(IF((Income!D$3:D$502="INR")*(Income!A$3:A$502=DATE(2026,12,19)),ROW(Income!A$3:A$502)-2),4)),""),""))</f>
        <v/>
      </c>
      <c r="O257" s="63" t="str">
        <f aca="false">IF(IFERROR(-INDEX(Expenses!D$3:D$1002,SMALL(IF((Expenses!E$3:E$1002="INR")*(Expenses!A$3:A$1002=DATE(2026,12,20)),ROW(Expenses!A$3:A$1002)-2),4)),0)+IFERROR(INDEX(Income!C$3:C$502,SMALL(IF((Income!D$3:D$502="INR")*(Income!A$3:A$502=DATE(2026,12,20)),ROW(Income!A$3:A$502)-2),4)),0)=0,"",IFERROR(-INDEX(Expenses!D$3:D$1002,SMALL(IF((Expenses!E$3:E$1002="INR")*(Expenses!A$3:A$1002=DATE(2026,12,20)),ROW(Expenses!A$3:A$1002)-2),4)),0)+IFERROR(INDEX(Income!C$3:C$502,SMALL(IF((Income!D$3:D$502="INR")*(Income!A$3:A$502=DATE(2026,12,20)),ROW(Income!A$3:A$502)-2),4)),0))</f>
        <v/>
      </c>
      <c r="P257" s="38" t="str">
        <f aca="false">IF(IFERROR(INDEX(Expenses!B$3:B$1002,SMALL(IF((Expenses!E$3:E$1002="INR")*(Expenses!A$3:A$1002=DATE(2026,12,20)),ROW(Expenses!A$3:A$1002)-2),4)),"")&lt;&gt;"",IFERROR(INDEX(Expenses!B$3:B$1002,SMALL(IF((Expenses!E$3:E$1002="INR")*(Expenses!A$3:A$1002=DATE(2026,12,20)),ROW(Expenses!A$3:A$1002)-2),4)),""),IF(IFERROR(INDEX(Income!B$3:B$502,SMALL(IF((Income!D$3:D$502="INR")*(Income!A$3:A$502=DATE(2026,12,20)),ROW(Income!A$3:A$502)-2),4)),"")&lt;&gt;"",IFERROR(INDEX(Income!B$3:B$502,SMALL(IF((Income!D$3:D$502="INR")*(Income!A$3:A$502=DATE(2026,12,20)),ROW(Income!A$3:A$502)-2),4)),""),""))</f>
        <v/>
      </c>
      <c r="Q257" s="16"/>
      <c r="R257" s="16"/>
    </row>
    <row r="258" customFormat="false" ht="15" hidden="false" customHeight="false" outlineLevel="0" collapsed="false">
      <c r="A258" s="16"/>
      <c r="B258" s="16"/>
      <c r="C258" s="63" t="str">
        <f aca="false">IF(IFERROR(-INDEX(Expenses!D$3:D$1002,SMALL(IF((Expenses!E$3:E$1002="INR")*(Expenses!A$3:A$1002=DATE(2026,12,14)),ROW(Expenses!A$3:A$1002)-2),5)),0)+IFERROR(INDEX(Income!C$3:C$502,SMALL(IF((Income!D$3:D$502="INR")*(Income!A$3:A$502=DATE(2026,12,14)),ROW(Income!A$3:A$502)-2),5)),0)=0,"",IFERROR(-INDEX(Expenses!D$3:D$1002,SMALL(IF((Expenses!E$3:E$1002="INR")*(Expenses!A$3:A$1002=DATE(2026,12,14)),ROW(Expenses!A$3:A$1002)-2),5)),0)+IFERROR(INDEX(Income!C$3:C$502,SMALL(IF((Income!D$3:D$502="INR")*(Income!A$3:A$502=DATE(2026,12,14)),ROW(Income!A$3:A$502)-2),5)),0))</f>
        <v/>
      </c>
      <c r="D258" s="38" t="str">
        <f aca="false">IF(IFERROR(INDEX(Expenses!B$3:B$1002,SMALL(IF((Expenses!E$3:E$1002="INR")*(Expenses!A$3:A$1002=DATE(2026,12,14)),ROW(Expenses!A$3:A$1002)-2),5)),"")&lt;&gt;"",IFERROR(INDEX(Expenses!B$3:B$1002,SMALL(IF((Expenses!E$3:E$1002="INR")*(Expenses!A$3:A$1002=DATE(2026,12,14)),ROW(Expenses!A$3:A$1002)-2),5)),""),IF(IFERROR(INDEX(Income!B$3:B$502,SMALL(IF((Income!D$3:D$502="INR")*(Income!A$3:A$502=DATE(2026,12,14)),ROW(Income!A$3:A$502)-2),5)),"")&lt;&gt;"",IFERROR(INDEX(Income!B$3:B$502,SMALL(IF((Income!D$3:D$502="INR")*(Income!A$3:A$502=DATE(2026,12,14)),ROW(Income!A$3:A$502)-2),5)),""),""))</f>
        <v/>
      </c>
      <c r="E258" s="63" t="str">
        <f aca="false">IF(IFERROR(-INDEX(Expenses!D$3:D$1002,SMALL(IF((Expenses!E$3:E$1002="INR")*(Expenses!A$3:A$1002=DATE(2026,12,15)),ROW(Expenses!A$3:A$1002)-2),5)),0)+IFERROR(INDEX(Income!C$3:C$502,SMALL(IF((Income!D$3:D$502="INR")*(Income!A$3:A$502=DATE(2026,12,15)),ROW(Income!A$3:A$502)-2),5)),0)=0,"",IFERROR(-INDEX(Expenses!D$3:D$1002,SMALL(IF((Expenses!E$3:E$1002="INR")*(Expenses!A$3:A$1002=DATE(2026,12,15)),ROW(Expenses!A$3:A$1002)-2),5)),0)+IFERROR(INDEX(Income!C$3:C$502,SMALL(IF((Income!D$3:D$502="INR")*(Income!A$3:A$502=DATE(2026,12,15)),ROW(Income!A$3:A$502)-2),5)),0))</f>
        <v/>
      </c>
      <c r="F258" s="38" t="str">
        <f aca="false">IF(IFERROR(INDEX(Expenses!B$3:B$1002,SMALL(IF((Expenses!E$3:E$1002="INR")*(Expenses!A$3:A$1002=DATE(2026,12,15)),ROW(Expenses!A$3:A$1002)-2),5)),"")&lt;&gt;"",IFERROR(INDEX(Expenses!B$3:B$1002,SMALL(IF((Expenses!E$3:E$1002="INR")*(Expenses!A$3:A$1002=DATE(2026,12,15)),ROW(Expenses!A$3:A$1002)-2),5)),""),IF(IFERROR(INDEX(Income!B$3:B$502,SMALL(IF((Income!D$3:D$502="INR")*(Income!A$3:A$502=DATE(2026,12,15)),ROW(Income!A$3:A$502)-2),5)),"")&lt;&gt;"",IFERROR(INDEX(Income!B$3:B$502,SMALL(IF((Income!D$3:D$502="INR")*(Income!A$3:A$502=DATE(2026,12,15)),ROW(Income!A$3:A$502)-2),5)),""),""))</f>
        <v/>
      </c>
      <c r="G258" s="63" t="str">
        <f aca="false">IF(IFERROR(-INDEX(Expenses!D$3:D$1002,SMALL(IF((Expenses!E$3:E$1002="INR")*(Expenses!A$3:A$1002=DATE(2026,12,16)),ROW(Expenses!A$3:A$1002)-2),5)),0)+IFERROR(INDEX(Income!C$3:C$502,SMALL(IF((Income!D$3:D$502="INR")*(Income!A$3:A$502=DATE(2026,12,16)),ROW(Income!A$3:A$502)-2),5)),0)=0,"",IFERROR(-INDEX(Expenses!D$3:D$1002,SMALL(IF((Expenses!E$3:E$1002="INR")*(Expenses!A$3:A$1002=DATE(2026,12,16)),ROW(Expenses!A$3:A$1002)-2),5)),0)+IFERROR(INDEX(Income!C$3:C$502,SMALL(IF((Income!D$3:D$502="INR")*(Income!A$3:A$502=DATE(2026,12,16)),ROW(Income!A$3:A$502)-2),5)),0))</f>
        <v/>
      </c>
      <c r="H258" s="38" t="str">
        <f aca="false">IF(IFERROR(INDEX(Expenses!B$3:B$1002,SMALL(IF((Expenses!E$3:E$1002="INR")*(Expenses!A$3:A$1002=DATE(2026,12,16)),ROW(Expenses!A$3:A$1002)-2),5)),"")&lt;&gt;"",IFERROR(INDEX(Expenses!B$3:B$1002,SMALL(IF((Expenses!E$3:E$1002="INR")*(Expenses!A$3:A$1002=DATE(2026,12,16)),ROW(Expenses!A$3:A$1002)-2),5)),""),IF(IFERROR(INDEX(Income!B$3:B$502,SMALL(IF((Income!D$3:D$502="INR")*(Income!A$3:A$502=DATE(2026,12,16)),ROW(Income!A$3:A$502)-2),5)),"")&lt;&gt;"",IFERROR(INDEX(Income!B$3:B$502,SMALL(IF((Income!D$3:D$502="INR")*(Income!A$3:A$502=DATE(2026,12,16)),ROW(Income!A$3:A$502)-2),5)),""),""))</f>
        <v/>
      </c>
      <c r="I258" s="63" t="str">
        <f aca="false">IF(IFERROR(-INDEX(Expenses!D$3:D$1002,SMALL(IF((Expenses!E$3:E$1002="INR")*(Expenses!A$3:A$1002=DATE(2026,12,17)),ROW(Expenses!A$3:A$1002)-2),5)),0)+IFERROR(INDEX(Income!C$3:C$502,SMALL(IF((Income!D$3:D$502="INR")*(Income!A$3:A$502=DATE(2026,12,17)),ROW(Income!A$3:A$502)-2),5)),0)=0,"",IFERROR(-INDEX(Expenses!D$3:D$1002,SMALL(IF((Expenses!E$3:E$1002="INR")*(Expenses!A$3:A$1002=DATE(2026,12,17)),ROW(Expenses!A$3:A$1002)-2),5)),0)+IFERROR(INDEX(Income!C$3:C$502,SMALL(IF((Income!D$3:D$502="INR")*(Income!A$3:A$502=DATE(2026,12,17)),ROW(Income!A$3:A$502)-2),5)),0))</f>
        <v/>
      </c>
      <c r="J258" s="38" t="str">
        <f aca="false">IF(IFERROR(INDEX(Expenses!B$3:B$1002,SMALL(IF((Expenses!E$3:E$1002="INR")*(Expenses!A$3:A$1002=DATE(2026,12,17)),ROW(Expenses!A$3:A$1002)-2),5)),"")&lt;&gt;"",IFERROR(INDEX(Expenses!B$3:B$1002,SMALL(IF((Expenses!E$3:E$1002="INR")*(Expenses!A$3:A$1002=DATE(2026,12,17)),ROW(Expenses!A$3:A$1002)-2),5)),""),IF(IFERROR(INDEX(Income!B$3:B$502,SMALL(IF((Income!D$3:D$502="INR")*(Income!A$3:A$502=DATE(2026,12,17)),ROW(Income!A$3:A$502)-2),5)),"")&lt;&gt;"",IFERROR(INDEX(Income!B$3:B$502,SMALL(IF((Income!D$3:D$502="INR")*(Income!A$3:A$502=DATE(2026,12,17)),ROW(Income!A$3:A$502)-2),5)),""),""))</f>
        <v/>
      </c>
      <c r="K258" s="63" t="str">
        <f aca="false">IF(IFERROR(-INDEX(Expenses!D$3:D$1002,SMALL(IF((Expenses!E$3:E$1002="INR")*(Expenses!A$3:A$1002=DATE(2026,12,18)),ROW(Expenses!A$3:A$1002)-2),5)),0)+IFERROR(INDEX(Income!C$3:C$502,SMALL(IF((Income!D$3:D$502="INR")*(Income!A$3:A$502=DATE(2026,12,18)),ROW(Income!A$3:A$502)-2),5)),0)=0,"",IFERROR(-INDEX(Expenses!D$3:D$1002,SMALL(IF((Expenses!E$3:E$1002="INR")*(Expenses!A$3:A$1002=DATE(2026,12,18)),ROW(Expenses!A$3:A$1002)-2),5)),0)+IFERROR(INDEX(Income!C$3:C$502,SMALL(IF((Income!D$3:D$502="INR")*(Income!A$3:A$502=DATE(2026,12,18)),ROW(Income!A$3:A$502)-2),5)),0))</f>
        <v/>
      </c>
      <c r="L258" s="38" t="str">
        <f aca="false">IF(IFERROR(INDEX(Expenses!B$3:B$1002,SMALL(IF((Expenses!E$3:E$1002="INR")*(Expenses!A$3:A$1002=DATE(2026,12,18)),ROW(Expenses!A$3:A$1002)-2),5)),"")&lt;&gt;"",IFERROR(INDEX(Expenses!B$3:B$1002,SMALL(IF((Expenses!E$3:E$1002="INR")*(Expenses!A$3:A$1002=DATE(2026,12,18)),ROW(Expenses!A$3:A$1002)-2),5)),""),IF(IFERROR(INDEX(Income!B$3:B$502,SMALL(IF((Income!D$3:D$502="INR")*(Income!A$3:A$502=DATE(2026,12,18)),ROW(Income!A$3:A$502)-2),5)),"")&lt;&gt;"",IFERROR(INDEX(Income!B$3:B$502,SMALL(IF((Income!D$3:D$502="INR")*(Income!A$3:A$502=DATE(2026,12,18)),ROW(Income!A$3:A$502)-2),5)),""),""))</f>
        <v/>
      </c>
      <c r="M258" s="63" t="str">
        <f aca="false">IF(IFERROR(-INDEX(Expenses!D$3:D$1002,SMALL(IF((Expenses!E$3:E$1002="INR")*(Expenses!A$3:A$1002=DATE(2026,12,19)),ROW(Expenses!A$3:A$1002)-2),5)),0)+IFERROR(INDEX(Income!C$3:C$502,SMALL(IF((Income!D$3:D$502="INR")*(Income!A$3:A$502=DATE(2026,12,19)),ROW(Income!A$3:A$502)-2),5)),0)=0,"",IFERROR(-INDEX(Expenses!D$3:D$1002,SMALL(IF((Expenses!E$3:E$1002="INR")*(Expenses!A$3:A$1002=DATE(2026,12,19)),ROW(Expenses!A$3:A$1002)-2),5)),0)+IFERROR(INDEX(Income!C$3:C$502,SMALL(IF((Income!D$3:D$502="INR")*(Income!A$3:A$502=DATE(2026,12,19)),ROW(Income!A$3:A$502)-2),5)),0))</f>
        <v/>
      </c>
      <c r="N258" s="38" t="str">
        <f aca="false">IF(IFERROR(INDEX(Expenses!B$3:B$1002,SMALL(IF((Expenses!E$3:E$1002="INR")*(Expenses!A$3:A$1002=DATE(2026,12,19)),ROW(Expenses!A$3:A$1002)-2),5)),"")&lt;&gt;"",IFERROR(INDEX(Expenses!B$3:B$1002,SMALL(IF((Expenses!E$3:E$1002="INR")*(Expenses!A$3:A$1002=DATE(2026,12,19)),ROW(Expenses!A$3:A$1002)-2),5)),""),IF(IFERROR(INDEX(Income!B$3:B$502,SMALL(IF((Income!D$3:D$502="INR")*(Income!A$3:A$502=DATE(2026,12,19)),ROW(Income!A$3:A$502)-2),5)),"")&lt;&gt;"",IFERROR(INDEX(Income!B$3:B$502,SMALL(IF((Income!D$3:D$502="INR")*(Income!A$3:A$502=DATE(2026,12,19)),ROW(Income!A$3:A$502)-2),5)),""),""))</f>
        <v/>
      </c>
      <c r="O258" s="63" t="str">
        <f aca="false">IF(IFERROR(-INDEX(Expenses!D$3:D$1002,SMALL(IF((Expenses!E$3:E$1002="INR")*(Expenses!A$3:A$1002=DATE(2026,12,20)),ROW(Expenses!A$3:A$1002)-2),5)),0)+IFERROR(INDEX(Income!C$3:C$502,SMALL(IF((Income!D$3:D$502="INR")*(Income!A$3:A$502=DATE(2026,12,20)),ROW(Income!A$3:A$502)-2),5)),0)=0,"",IFERROR(-INDEX(Expenses!D$3:D$1002,SMALL(IF((Expenses!E$3:E$1002="INR")*(Expenses!A$3:A$1002=DATE(2026,12,20)),ROW(Expenses!A$3:A$1002)-2),5)),0)+IFERROR(INDEX(Income!C$3:C$502,SMALL(IF((Income!D$3:D$502="INR")*(Income!A$3:A$502=DATE(2026,12,20)),ROW(Income!A$3:A$502)-2),5)),0))</f>
        <v/>
      </c>
      <c r="P258" s="38" t="str">
        <f aca="false">IF(IFERROR(INDEX(Expenses!B$3:B$1002,SMALL(IF((Expenses!E$3:E$1002="INR")*(Expenses!A$3:A$1002=DATE(2026,12,20)),ROW(Expenses!A$3:A$1002)-2),5)),"")&lt;&gt;"",IFERROR(INDEX(Expenses!B$3:B$1002,SMALL(IF((Expenses!E$3:E$1002="INR")*(Expenses!A$3:A$1002=DATE(2026,12,20)),ROW(Expenses!A$3:A$1002)-2),5)),""),IF(IFERROR(INDEX(Income!B$3:B$502,SMALL(IF((Income!D$3:D$502="INR")*(Income!A$3:A$502=DATE(2026,12,20)),ROW(Income!A$3:A$502)-2),5)),"")&lt;&gt;"",IFERROR(INDEX(Income!B$3:B$502,SMALL(IF((Income!D$3:D$502="INR")*(Income!A$3:A$502=DATE(2026,12,20)),ROW(Income!A$3:A$502)-2),5)),""),""))</f>
        <v/>
      </c>
      <c r="Q258" s="16"/>
      <c r="R258" s="16"/>
    </row>
    <row r="259" customFormat="false" ht="15" hidden="false" customHeight="false" outlineLevel="0" collapsed="false">
      <c r="A259" s="61" t="n">
        <v>46377</v>
      </c>
      <c r="B259" s="3" t="n">
        <v>52</v>
      </c>
      <c r="C259" s="63" t="str">
        <f aca="false">IF(IFERROR(-INDEX(Expenses!D$3:D$1002,SMALL(IF((Expenses!E$3:E$1002="INR")*(Expenses!A$3:A$1002=DATE(2026,12,21)),ROW(Expenses!A$3:A$1002)-2),1)),0)+IFERROR(INDEX(Income!C$3:C$502,SMALL(IF((Income!D$3:D$502="INR")*(Income!A$3:A$502=DATE(2026,12,21)),ROW(Income!A$3:A$502)-2),1)),0)=0,"",IFERROR(-INDEX(Expenses!D$3:D$1002,SMALL(IF((Expenses!E$3:E$1002="INR")*(Expenses!A$3:A$1002=DATE(2026,12,21)),ROW(Expenses!A$3:A$1002)-2),1)),0)+IFERROR(INDEX(Income!C$3:C$502,SMALL(IF((Income!D$3:D$502="INR")*(Income!A$3:A$502=DATE(2026,12,21)),ROW(Income!A$3:A$502)-2),1)),0))</f>
        <v/>
      </c>
      <c r="D259" s="38" t="str">
        <f aca="false">IF(IFERROR(INDEX(Expenses!B$3:B$1002,SMALL(IF((Expenses!E$3:E$1002="INR")*(Expenses!A$3:A$1002=DATE(2026,12,21)),ROW(Expenses!A$3:A$1002)-2),1)),"")&lt;&gt;"",IFERROR(INDEX(Expenses!B$3:B$1002,SMALL(IF((Expenses!E$3:E$1002="INR")*(Expenses!A$3:A$1002=DATE(2026,12,21)),ROW(Expenses!A$3:A$1002)-2),1)),""),IF(IFERROR(INDEX(Income!B$3:B$502,SMALL(IF((Income!D$3:D$502="INR")*(Income!A$3:A$502=DATE(2026,12,21)),ROW(Income!A$3:A$502)-2),1)),"")&lt;&gt;"",IFERROR(INDEX(Income!B$3:B$502,SMALL(IF((Income!D$3:D$502="INR")*(Income!A$3:A$502=DATE(2026,12,21)),ROW(Income!A$3:A$502)-2),1)),""),""))</f>
        <v/>
      </c>
      <c r="E259" s="63" t="str">
        <f aca="false">IF(IFERROR(-INDEX(Expenses!D$3:D$1002,SMALL(IF((Expenses!E$3:E$1002="INR")*(Expenses!A$3:A$1002=DATE(2026,12,22)),ROW(Expenses!A$3:A$1002)-2),1)),0)+IFERROR(INDEX(Income!C$3:C$502,SMALL(IF((Income!D$3:D$502="INR")*(Income!A$3:A$502=DATE(2026,12,22)),ROW(Income!A$3:A$502)-2),1)),0)=0,"",IFERROR(-INDEX(Expenses!D$3:D$1002,SMALL(IF((Expenses!E$3:E$1002="INR")*(Expenses!A$3:A$1002=DATE(2026,12,22)),ROW(Expenses!A$3:A$1002)-2),1)),0)+IFERROR(INDEX(Income!C$3:C$502,SMALL(IF((Income!D$3:D$502="INR")*(Income!A$3:A$502=DATE(2026,12,22)),ROW(Income!A$3:A$502)-2),1)),0))</f>
        <v/>
      </c>
      <c r="F259" s="38" t="str">
        <f aca="false">IF(IFERROR(INDEX(Expenses!B$3:B$1002,SMALL(IF((Expenses!E$3:E$1002="INR")*(Expenses!A$3:A$1002=DATE(2026,12,22)),ROW(Expenses!A$3:A$1002)-2),1)),"")&lt;&gt;"",IFERROR(INDEX(Expenses!B$3:B$1002,SMALL(IF((Expenses!E$3:E$1002="INR")*(Expenses!A$3:A$1002=DATE(2026,12,22)),ROW(Expenses!A$3:A$1002)-2),1)),""),IF(IFERROR(INDEX(Income!B$3:B$502,SMALL(IF((Income!D$3:D$502="INR")*(Income!A$3:A$502=DATE(2026,12,22)),ROW(Income!A$3:A$502)-2),1)),"")&lt;&gt;"",IFERROR(INDEX(Income!B$3:B$502,SMALL(IF((Income!D$3:D$502="INR")*(Income!A$3:A$502=DATE(2026,12,22)),ROW(Income!A$3:A$502)-2),1)),""),""))</f>
        <v/>
      </c>
      <c r="G259" s="63" t="str">
        <f aca="false">IF(IFERROR(-INDEX(Expenses!D$3:D$1002,SMALL(IF((Expenses!E$3:E$1002="INR")*(Expenses!A$3:A$1002=DATE(2026,12,23)),ROW(Expenses!A$3:A$1002)-2),1)),0)+IFERROR(INDEX(Income!C$3:C$502,SMALL(IF((Income!D$3:D$502="INR")*(Income!A$3:A$502=DATE(2026,12,23)),ROW(Income!A$3:A$502)-2),1)),0)=0,"",IFERROR(-INDEX(Expenses!D$3:D$1002,SMALL(IF((Expenses!E$3:E$1002="INR")*(Expenses!A$3:A$1002=DATE(2026,12,23)),ROW(Expenses!A$3:A$1002)-2),1)),0)+IFERROR(INDEX(Income!C$3:C$502,SMALL(IF((Income!D$3:D$502="INR")*(Income!A$3:A$502=DATE(2026,12,23)),ROW(Income!A$3:A$502)-2),1)),0))</f>
        <v/>
      </c>
      <c r="H259" s="38" t="str">
        <f aca="false">IF(IFERROR(INDEX(Expenses!B$3:B$1002,SMALL(IF((Expenses!E$3:E$1002="INR")*(Expenses!A$3:A$1002=DATE(2026,12,23)),ROW(Expenses!A$3:A$1002)-2),1)),"")&lt;&gt;"",IFERROR(INDEX(Expenses!B$3:B$1002,SMALL(IF((Expenses!E$3:E$1002="INR")*(Expenses!A$3:A$1002=DATE(2026,12,23)),ROW(Expenses!A$3:A$1002)-2),1)),""),IF(IFERROR(INDEX(Income!B$3:B$502,SMALL(IF((Income!D$3:D$502="INR")*(Income!A$3:A$502=DATE(2026,12,23)),ROW(Income!A$3:A$502)-2),1)),"")&lt;&gt;"",IFERROR(INDEX(Income!B$3:B$502,SMALL(IF((Income!D$3:D$502="INR")*(Income!A$3:A$502=DATE(2026,12,23)),ROW(Income!A$3:A$502)-2),1)),""),""))</f>
        <v/>
      </c>
      <c r="I259" s="63" t="str">
        <f aca="false">IF(IFERROR(-INDEX(Expenses!D$3:D$1002,SMALL(IF((Expenses!E$3:E$1002="INR")*(Expenses!A$3:A$1002=DATE(2026,12,24)),ROW(Expenses!A$3:A$1002)-2),1)),0)+IFERROR(INDEX(Income!C$3:C$502,SMALL(IF((Income!D$3:D$502="INR")*(Income!A$3:A$502=DATE(2026,12,24)),ROW(Income!A$3:A$502)-2),1)),0)=0,"",IFERROR(-INDEX(Expenses!D$3:D$1002,SMALL(IF((Expenses!E$3:E$1002="INR")*(Expenses!A$3:A$1002=DATE(2026,12,24)),ROW(Expenses!A$3:A$1002)-2),1)),0)+IFERROR(INDEX(Income!C$3:C$502,SMALL(IF((Income!D$3:D$502="INR")*(Income!A$3:A$502=DATE(2026,12,24)),ROW(Income!A$3:A$502)-2),1)),0))</f>
        <v/>
      </c>
      <c r="J259" s="38" t="str">
        <f aca="false">IF(IFERROR(INDEX(Expenses!B$3:B$1002,SMALL(IF((Expenses!E$3:E$1002="INR")*(Expenses!A$3:A$1002=DATE(2026,12,24)),ROW(Expenses!A$3:A$1002)-2),1)),"")&lt;&gt;"",IFERROR(INDEX(Expenses!B$3:B$1002,SMALL(IF((Expenses!E$3:E$1002="INR")*(Expenses!A$3:A$1002=DATE(2026,12,24)),ROW(Expenses!A$3:A$1002)-2),1)),""),IF(IFERROR(INDEX(Income!B$3:B$502,SMALL(IF((Income!D$3:D$502="INR")*(Income!A$3:A$502=DATE(2026,12,24)),ROW(Income!A$3:A$502)-2),1)),"")&lt;&gt;"",IFERROR(INDEX(Income!B$3:B$502,SMALL(IF((Income!D$3:D$502="INR")*(Income!A$3:A$502=DATE(2026,12,24)),ROW(Income!A$3:A$502)-2),1)),""),""))</f>
        <v/>
      </c>
      <c r="K259" s="63" t="str">
        <f aca="false">IF(IFERROR(-INDEX(Expenses!D$3:D$1002,SMALL(IF((Expenses!E$3:E$1002="INR")*(Expenses!A$3:A$1002=DATE(2026,12,25)),ROW(Expenses!A$3:A$1002)-2),1)),0)+IFERROR(INDEX(Income!C$3:C$502,SMALL(IF((Income!D$3:D$502="INR")*(Income!A$3:A$502=DATE(2026,12,25)),ROW(Income!A$3:A$502)-2),1)),0)=0,"",IFERROR(-INDEX(Expenses!D$3:D$1002,SMALL(IF((Expenses!E$3:E$1002="INR")*(Expenses!A$3:A$1002=DATE(2026,12,25)),ROW(Expenses!A$3:A$1002)-2),1)),0)+IFERROR(INDEX(Income!C$3:C$502,SMALL(IF((Income!D$3:D$502="INR")*(Income!A$3:A$502=DATE(2026,12,25)),ROW(Income!A$3:A$502)-2),1)),0))</f>
        <v/>
      </c>
      <c r="L259" s="38" t="str">
        <f aca="false">IF(IFERROR(INDEX(Expenses!B$3:B$1002,SMALL(IF((Expenses!E$3:E$1002="INR")*(Expenses!A$3:A$1002=DATE(2026,12,25)),ROW(Expenses!A$3:A$1002)-2),1)),"")&lt;&gt;"",IFERROR(INDEX(Expenses!B$3:B$1002,SMALL(IF((Expenses!E$3:E$1002="INR")*(Expenses!A$3:A$1002=DATE(2026,12,25)),ROW(Expenses!A$3:A$1002)-2),1)),""),IF(IFERROR(INDEX(Income!B$3:B$502,SMALL(IF((Income!D$3:D$502="INR")*(Income!A$3:A$502=DATE(2026,12,25)),ROW(Income!A$3:A$502)-2),1)),"")&lt;&gt;"",IFERROR(INDEX(Income!B$3:B$502,SMALL(IF((Income!D$3:D$502="INR")*(Income!A$3:A$502=DATE(2026,12,25)),ROW(Income!A$3:A$502)-2),1)),""),""))</f>
        <v/>
      </c>
      <c r="M259" s="63" t="str">
        <f aca="false">IF(IFERROR(-INDEX(Expenses!D$3:D$1002,SMALL(IF((Expenses!E$3:E$1002="INR")*(Expenses!A$3:A$1002=DATE(2026,12,26)),ROW(Expenses!A$3:A$1002)-2),1)),0)+IFERROR(INDEX(Income!C$3:C$502,SMALL(IF((Income!D$3:D$502="INR")*(Income!A$3:A$502=DATE(2026,12,26)),ROW(Income!A$3:A$502)-2),1)),0)=0,"",IFERROR(-INDEX(Expenses!D$3:D$1002,SMALL(IF((Expenses!E$3:E$1002="INR")*(Expenses!A$3:A$1002=DATE(2026,12,26)),ROW(Expenses!A$3:A$1002)-2),1)),0)+IFERROR(INDEX(Income!C$3:C$502,SMALL(IF((Income!D$3:D$502="INR")*(Income!A$3:A$502=DATE(2026,12,26)),ROW(Income!A$3:A$502)-2),1)),0))</f>
        <v/>
      </c>
      <c r="N259" s="38" t="str">
        <f aca="false">IF(IFERROR(INDEX(Expenses!B$3:B$1002,SMALL(IF((Expenses!E$3:E$1002="INR")*(Expenses!A$3:A$1002=DATE(2026,12,26)),ROW(Expenses!A$3:A$1002)-2),1)),"")&lt;&gt;"",IFERROR(INDEX(Expenses!B$3:B$1002,SMALL(IF((Expenses!E$3:E$1002="INR")*(Expenses!A$3:A$1002=DATE(2026,12,26)),ROW(Expenses!A$3:A$1002)-2),1)),""),IF(IFERROR(INDEX(Income!B$3:B$502,SMALL(IF((Income!D$3:D$502="INR")*(Income!A$3:A$502=DATE(2026,12,26)),ROW(Income!A$3:A$502)-2),1)),"")&lt;&gt;"",IFERROR(INDEX(Income!B$3:B$502,SMALL(IF((Income!D$3:D$502="INR")*(Income!A$3:A$502=DATE(2026,12,26)),ROW(Income!A$3:A$502)-2),1)),""),""))</f>
        <v/>
      </c>
      <c r="O259" s="63" t="str">
        <f aca="false">IF(IFERROR(-INDEX(Expenses!D$3:D$1002,SMALL(IF((Expenses!E$3:E$1002="INR")*(Expenses!A$3:A$1002=DATE(2026,12,27)),ROW(Expenses!A$3:A$1002)-2),1)),0)+IFERROR(INDEX(Income!C$3:C$502,SMALL(IF((Income!D$3:D$502="INR")*(Income!A$3:A$502=DATE(2026,12,27)),ROW(Income!A$3:A$502)-2),1)),0)=0,"",IFERROR(-INDEX(Expenses!D$3:D$1002,SMALL(IF((Expenses!E$3:E$1002="INR")*(Expenses!A$3:A$1002=DATE(2026,12,27)),ROW(Expenses!A$3:A$1002)-2),1)),0)+IFERROR(INDEX(Income!C$3:C$502,SMALL(IF((Income!D$3:D$502="INR")*(Income!A$3:A$502=DATE(2026,12,27)),ROW(Income!A$3:A$502)-2),1)),0))</f>
        <v/>
      </c>
      <c r="P259" s="38" t="str">
        <f aca="false">IF(IFERROR(INDEX(Expenses!B$3:B$1002,SMALL(IF((Expenses!E$3:E$1002="INR")*(Expenses!A$3:A$1002=DATE(2026,12,27)),ROW(Expenses!A$3:A$1002)-2),1)),"")&lt;&gt;"",IFERROR(INDEX(Expenses!B$3:B$1002,SMALL(IF((Expenses!E$3:E$1002="INR")*(Expenses!A$3:A$1002=DATE(2026,12,27)),ROW(Expenses!A$3:A$1002)-2),1)),""),IF(IFERROR(INDEX(Income!B$3:B$502,SMALL(IF((Income!D$3:D$502="INR")*(Income!A$3:A$502=DATE(2026,12,27)),ROW(Income!A$3:A$502)-2),1)),"")&lt;&gt;"",IFERROR(INDEX(Income!B$3:B$502,SMALL(IF((Income!D$3:D$502="INR")*(Income!A$3:A$502=DATE(2026,12,27)),ROW(Income!A$3:A$502)-2),1)),""),""))</f>
        <v/>
      </c>
      <c r="Q259" s="3" t="n">
        <v>52</v>
      </c>
      <c r="R259" s="53" t="n">
        <f aca="false">SUM(C259:C263)+SUM(E259:E263)+SUM(G259:G263)+SUM(I259:I263)+SUM(K259:K263)+SUM(M259:M263)+SUM(O259:O263)</f>
        <v>0</v>
      </c>
    </row>
    <row r="260" customFormat="false" ht="15" hidden="false" customHeight="false" outlineLevel="0" collapsed="false">
      <c r="A260" s="16"/>
      <c r="B260" s="16"/>
      <c r="C260" s="63" t="str">
        <f aca="false">IF(IFERROR(-INDEX(Expenses!D$3:D$1002,SMALL(IF((Expenses!E$3:E$1002="INR")*(Expenses!A$3:A$1002=DATE(2026,12,21)),ROW(Expenses!A$3:A$1002)-2),2)),0)+IFERROR(INDEX(Income!C$3:C$502,SMALL(IF((Income!D$3:D$502="INR")*(Income!A$3:A$502=DATE(2026,12,21)),ROW(Income!A$3:A$502)-2),2)),0)=0,"",IFERROR(-INDEX(Expenses!D$3:D$1002,SMALL(IF((Expenses!E$3:E$1002="INR")*(Expenses!A$3:A$1002=DATE(2026,12,21)),ROW(Expenses!A$3:A$1002)-2),2)),0)+IFERROR(INDEX(Income!C$3:C$502,SMALL(IF((Income!D$3:D$502="INR")*(Income!A$3:A$502=DATE(2026,12,21)),ROW(Income!A$3:A$502)-2),2)),0))</f>
        <v/>
      </c>
      <c r="D260" s="38" t="str">
        <f aca="false">IF(IFERROR(INDEX(Expenses!B$3:B$1002,SMALL(IF((Expenses!E$3:E$1002="INR")*(Expenses!A$3:A$1002=DATE(2026,12,21)),ROW(Expenses!A$3:A$1002)-2),2)),"")&lt;&gt;"",IFERROR(INDEX(Expenses!B$3:B$1002,SMALL(IF((Expenses!E$3:E$1002="INR")*(Expenses!A$3:A$1002=DATE(2026,12,21)),ROW(Expenses!A$3:A$1002)-2),2)),""),IF(IFERROR(INDEX(Income!B$3:B$502,SMALL(IF((Income!D$3:D$502="INR")*(Income!A$3:A$502=DATE(2026,12,21)),ROW(Income!A$3:A$502)-2),2)),"")&lt;&gt;"",IFERROR(INDEX(Income!B$3:B$502,SMALL(IF((Income!D$3:D$502="INR")*(Income!A$3:A$502=DATE(2026,12,21)),ROW(Income!A$3:A$502)-2),2)),""),""))</f>
        <v/>
      </c>
      <c r="E260" s="63" t="str">
        <f aca="false">IF(IFERROR(-INDEX(Expenses!D$3:D$1002,SMALL(IF((Expenses!E$3:E$1002="INR")*(Expenses!A$3:A$1002=DATE(2026,12,22)),ROW(Expenses!A$3:A$1002)-2),2)),0)+IFERROR(INDEX(Income!C$3:C$502,SMALL(IF((Income!D$3:D$502="INR")*(Income!A$3:A$502=DATE(2026,12,22)),ROW(Income!A$3:A$502)-2),2)),0)=0,"",IFERROR(-INDEX(Expenses!D$3:D$1002,SMALL(IF((Expenses!E$3:E$1002="INR")*(Expenses!A$3:A$1002=DATE(2026,12,22)),ROW(Expenses!A$3:A$1002)-2),2)),0)+IFERROR(INDEX(Income!C$3:C$502,SMALL(IF((Income!D$3:D$502="INR")*(Income!A$3:A$502=DATE(2026,12,22)),ROW(Income!A$3:A$502)-2),2)),0))</f>
        <v/>
      </c>
      <c r="F260" s="38" t="str">
        <f aca="false">IF(IFERROR(INDEX(Expenses!B$3:B$1002,SMALL(IF((Expenses!E$3:E$1002="INR")*(Expenses!A$3:A$1002=DATE(2026,12,22)),ROW(Expenses!A$3:A$1002)-2),2)),"")&lt;&gt;"",IFERROR(INDEX(Expenses!B$3:B$1002,SMALL(IF((Expenses!E$3:E$1002="INR")*(Expenses!A$3:A$1002=DATE(2026,12,22)),ROW(Expenses!A$3:A$1002)-2),2)),""),IF(IFERROR(INDEX(Income!B$3:B$502,SMALL(IF((Income!D$3:D$502="INR")*(Income!A$3:A$502=DATE(2026,12,22)),ROW(Income!A$3:A$502)-2),2)),"")&lt;&gt;"",IFERROR(INDEX(Income!B$3:B$502,SMALL(IF((Income!D$3:D$502="INR")*(Income!A$3:A$502=DATE(2026,12,22)),ROW(Income!A$3:A$502)-2),2)),""),""))</f>
        <v/>
      </c>
      <c r="G260" s="63" t="str">
        <f aca="false">IF(IFERROR(-INDEX(Expenses!D$3:D$1002,SMALL(IF((Expenses!E$3:E$1002="INR")*(Expenses!A$3:A$1002=DATE(2026,12,23)),ROW(Expenses!A$3:A$1002)-2),2)),0)+IFERROR(INDEX(Income!C$3:C$502,SMALL(IF((Income!D$3:D$502="INR")*(Income!A$3:A$502=DATE(2026,12,23)),ROW(Income!A$3:A$502)-2),2)),0)=0,"",IFERROR(-INDEX(Expenses!D$3:D$1002,SMALL(IF((Expenses!E$3:E$1002="INR")*(Expenses!A$3:A$1002=DATE(2026,12,23)),ROW(Expenses!A$3:A$1002)-2),2)),0)+IFERROR(INDEX(Income!C$3:C$502,SMALL(IF((Income!D$3:D$502="INR")*(Income!A$3:A$502=DATE(2026,12,23)),ROW(Income!A$3:A$502)-2),2)),0))</f>
        <v/>
      </c>
      <c r="H260" s="38" t="str">
        <f aca="false">IF(IFERROR(INDEX(Expenses!B$3:B$1002,SMALL(IF((Expenses!E$3:E$1002="INR")*(Expenses!A$3:A$1002=DATE(2026,12,23)),ROW(Expenses!A$3:A$1002)-2),2)),"")&lt;&gt;"",IFERROR(INDEX(Expenses!B$3:B$1002,SMALL(IF((Expenses!E$3:E$1002="INR")*(Expenses!A$3:A$1002=DATE(2026,12,23)),ROW(Expenses!A$3:A$1002)-2),2)),""),IF(IFERROR(INDEX(Income!B$3:B$502,SMALL(IF((Income!D$3:D$502="INR")*(Income!A$3:A$502=DATE(2026,12,23)),ROW(Income!A$3:A$502)-2),2)),"")&lt;&gt;"",IFERROR(INDEX(Income!B$3:B$502,SMALL(IF((Income!D$3:D$502="INR")*(Income!A$3:A$502=DATE(2026,12,23)),ROW(Income!A$3:A$502)-2),2)),""),""))</f>
        <v/>
      </c>
      <c r="I260" s="63" t="str">
        <f aca="false">IF(IFERROR(-INDEX(Expenses!D$3:D$1002,SMALL(IF((Expenses!E$3:E$1002="INR")*(Expenses!A$3:A$1002=DATE(2026,12,24)),ROW(Expenses!A$3:A$1002)-2),2)),0)+IFERROR(INDEX(Income!C$3:C$502,SMALL(IF((Income!D$3:D$502="INR")*(Income!A$3:A$502=DATE(2026,12,24)),ROW(Income!A$3:A$502)-2),2)),0)=0,"",IFERROR(-INDEX(Expenses!D$3:D$1002,SMALL(IF((Expenses!E$3:E$1002="INR")*(Expenses!A$3:A$1002=DATE(2026,12,24)),ROW(Expenses!A$3:A$1002)-2),2)),0)+IFERROR(INDEX(Income!C$3:C$502,SMALL(IF((Income!D$3:D$502="INR")*(Income!A$3:A$502=DATE(2026,12,24)),ROW(Income!A$3:A$502)-2),2)),0))</f>
        <v/>
      </c>
      <c r="J260" s="38" t="str">
        <f aca="false">IF(IFERROR(INDEX(Expenses!B$3:B$1002,SMALL(IF((Expenses!E$3:E$1002="INR")*(Expenses!A$3:A$1002=DATE(2026,12,24)),ROW(Expenses!A$3:A$1002)-2),2)),"")&lt;&gt;"",IFERROR(INDEX(Expenses!B$3:B$1002,SMALL(IF((Expenses!E$3:E$1002="INR")*(Expenses!A$3:A$1002=DATE(2026,12,24)),ROW(Expenses!A$3:A$1002)-2),2)),""),IF(IFERROR(INDEX(Income!B$3:B$502,SMALL(IF((Income!D$3:D$502="INR")*(Income!A$3:A$502=DATE(2026,12,24)),ROW(Income!A$3:A$502)-2),2)),"")&lt;&gt;"",IFERROR(INDEX(Income!B$3:B$502,SMALL(IF((Income!D$3:D$502="INR")*(Income!A$3:A$502=DATE(2026,12,24)),ROW(Income!A$3:A$502)-2),2)),""),""))</f>
        <v/>
      </c>
      <c r="K260" s="63" t="str">
        <f aca="false">IF(IFERROR(-INDEX(Expenses!D$3:D$1002,SMALL(IF((Expenses!E$3:E$1002="INR")*(Expenses!A$3:A$1002=DATE(2026,12,25)),ROW(Expenses!A$3:A$1002)-2),2)),0)+IFERROR(INDEX(Income!C$3:C$502,SMALL(IF((Income!D$3:D$502="INR")*(Income!A$3:A$502=DATE(2026,12,25)),ROW(Income!A$3:A$502)-2),2)),0)=0,"",IFERROR(-INDEX(Expenses!D$3:D$1002,SMALL(IF((Expenses!E$3:E$1002="INR")*(Expenses!A$3:A$1002=DATE(2026,12,25)),ROW(Expenses!A$3:A$1002)-2),2)),0)+IFERROR(INDEX(Income!C$3:C$502,SMALL(IF((Income!D$3:D$502="INR")*(Income!A$3:A$502=DATE(2026,12,25)),ROW(Income!A$3:A$502)-2),2)),0))</f>
        <v/>
      </c>
      <c r="L260" s="38" t="str">
        <f aca="false">IF(IFERROR(INDEX(Expenses!B$3:B$1002,SMALL(IF((Expenses!E$3:E$1002="INR")*(Expenses!A$3:A$1002=DATE(2026,12,25)),ROW(Expenses!A$3:A$1002)-2),2)),"")&lt;&gt;"",IFERROR(INDEX(Expenses!B$3:B$1002,SMALL(IF((Expenses!E$3:E$1002="INR")*(Expenses!A$3:A$1002=DATE(2026,12,25)),ROW(Expenses!A$3:A$1002)-2),2)),""),IF(IFERROR(INDEX(Income!B$3:B$502,SMALL(IF((Income!D$3:D$502="INR")*(Income!A$3:A$502=DATE(2026,12,25)),ROW(Income!A$3:A$502)-2),2)),"")&lt;&gt;"",IFERROR(INDEX(Income!B$3:B$502,SMALL(IF((Income!D$3:D$502="INR")*(Income!A$3:A$502=DATE(2026,12,25)),ROW(Income!A$3:A$502)-2),2)),""),""))</f>
        <v/>
      </c>
      <c r="M260" s="63" t="str">
        <f aca="false">IF(IFERROR(-INDEX(Expenses!D$3:D$1002,SMALL(IF((Expenses!E$3:E$1002="INR")*(Expenses!A$3:A$1002=DATE(2026,12,26)),ROW(Expenses!A$3:A$1002)-2),2)),0)+IFERROR(INDEX(Income!C$3:C$502,SMALL(IF((Income!D$3:D$502="INR")*(Income!A$3:A$502=DATE(2026,12,26)),ROW(Income!A$3:A$502)-2),2)),0)=0,"",IFERROR(-INDEX(Expenses!D$3:D$1002,SMALL(IF((Expenses!E$3:E$1002="INR")*(Expenses!A$3:A$1002=DATE(2026,12,26)),ROW(Expenses!A$3:A$1002)-2),2)),0)+IFERROR(INDEX(Income!C$3:C$502,SMALL(IF((Income!D$3:D$502="INR")*(Income!A$3:A$502=DATE(2026,12,26)),ROW(Income!A$3:A$502)-2),2)),0))</f>
        <v/>
      </c>
      <c r="N260" s="38" t="str">
        <f aca="false">IF(IFERROR(INDEX(Expenses!B$3:B$1002,SMALL(IF((Expenses!E$3:E$1002="INR")*(Expenses!A$3:A$1002=DATE(2026,12,26)),ROW(Expenses!A$3:A$1002)-2),2)),"")&lt;&gt;"",IFERROR(INDEX(Expenses!B$3:B$1002,SMALL(IF((Expenses!E$3:E$1002="INR")*(Expenses!A$3:A$1002=DATE(2026,12,26)),ROW(Expenses!A$3:A$1002)-2),2)),""),IF(IFERROR(INDEX(Income!B$3:B$502,SMALL(IF((Income!D$3:D$502="INR")*(Income!A$3:A$502=DATE(2026,12,26)),ROW(Income!A$3:A$502)-2),2)),"")&lt;&gt;"",IFERROR(INDEX(Income!B$3:B$502,SMALL(IF((Income!D$3:D$502="INR")*(Income!A$3:A$502=DATE(2026,12,26)),ROW(Income!A$3:A$502)-2),2)),""),""))</f>
        <v/>
      </c>
      <c r="O260" s="63" t="str">
        <f aca="false">IF(IFERROR(-INDEX(Expenses!D$3:D$1002,SMALL(IF((Expenses!E$3:E$1002="INR")*(Expenses!A$3:A$1002=DATE(2026,12,27)),ROW(Expenses!A$3:A$1002)-2),2)),0)+IFERROR(INDEX(Income!C$3:C$502,SMALL(IF((Income!D$3:D$502="INR")*(Income!A$3:A$502=DATE(2026,12,27)),ROW(Income!A$3:A$502)-2),2)),0)=0,"",IFERROR(-INDEX(Expenses!D$3:D$1002,SMALL(IF((Expenses!E$3:E$1002="INR")*(Expenses!A$3:A$1002=DATE(2026,12,27)),ROW(Expenses!A$3:A$1002)-2),2)),0)+IFERROR(INDEX(Income!C$3:C$502,SMALL(IF((Income!D$3:D$502="INR")*(Income!A$3:A$502=DATE(2026,12,27)),ROW(Income!A$3:A$502)-2),2)),0))</f>
        <v/>
      </c>
      <c r="P260" s="38" t="str">
        <f aca="false">IF(IFERROR(INDEX(Expenses!B$3:B$1002,SMALL(IF((Expenses!E$3:E$1002="INR")*(Expenses!A$3:A$1002=DATE(2026,12,27)),ROW(Expenses!A$3:A$1002)-2),2)),"")&lt;&gt;"",IFERROR(INDEX(Expenses!B$3:B$1002,SMALL(IF((Expenses!E$3:E$1002="INR")*(Expenses!A$3:A$1002=DATE(2026,12,27)),ROW(Expenses!A$3:A$1002)-2),2)),""),IF(IFERROR(INDEX(Income!B$3:B$502,SMALL(IF((Income!D$3:D$502="INR")*(Income!A$3:A$502=DATE(2026,12,27)),ROW(Income!A$3:A$502)-2),2)),"")&lt;&gt;"",IFERROR(INDEX(Income!B$3:B$502,SMALL(IF((Income!D$3:D$502="INR")*(Income!A$3:A$502=DATE(2026,12,27)),ROW(Income!A$3:A$502)-2),2)),""),""))</f>
        <v/>
      </c>
      <c r="Q260" s="16"/>
      <c r="R260" s="16"/>
    </row>
    <row r="261" customFormat="false" ht="15" hidden="false" customHeight="false" outlineLevel="0" collapsed="false">
      <c r="A261" s="16"/>
      <c r="B261" s="16"/>
      <c r="C261" s="63" t="str">
        <f aca="false">IF(IFERROR(-INDEX(Expenses!D$3:D$1002,SMALL(IF((Expenses!E$3:E$1002="INR")*(Expenses!A$3:A$1002=DATE(2026,12,21)),ROW(Expenses!A$3:A$1002)-2),3)),0)+IFERROR(INDEX(Income!C$3:C$502,SMALL(IF((Income!D$3:D$502="INR")*(Income!A$3:A$502=DATE(2026,12,21)),ROW(Income!A$3:A$502)-2),3)),0)=0,"",IFERROR(-INDEX(Expenses!D$3:D$1002,SMALL(IF((Expenses!E$3:E$1002="INR")*(Expenses!A$3:A$1002=DATE(2026,12,21)),ROW(Expenses!A$3:A$1002)-2),3)),0)+IFERROR(INDEX(Income!C$3:C$502,SMALL(IF((Income!D$3:D$502="INR")*(Income!A$3:A$502=DATE(2026,12,21)),ROW(Income!A$3:A$502)-2),3)),0))</f>
        <v/>
      </c>
      <c r="D261" s="38" t="str">
        <f aca="false">IF(IFERROR(INDEX(Expenses!B$3:B$1002,SMALL(IF((Expenses!E$3:E$1002="INR")*(Expenses!A$3:A$1002=DATE(2026,12,21)),ROW(Expenses!A$3:A$1002)-2),3)),"")&lt;&gt;"",IFERROR(INDEX(Expenses!B$3:B$1002,SMALL(IF((Expenses!E$3:E$1002="INR")*(Expenses!A$3:A$1002=DATE(2026,12,21)),ROW(Expenses!A$3:A$1002)-2),3)),""),IF(IFERROR(INDEX(Income!B$3:B$502,SMALL(IF((Income!D$3:D$502="INR")*(Income!A$3:A$502=DATE(2026,12,21)),ROW(Income!A$3:A$502)-2),3)),"")&lt;&gt;"",IFERROR(INDEX(Income!B$3:B$502,SMALL(IF((Income!D$3:D$502="INR")*(Income!A$3:A$502=DATE(2026,12,21)),ROW(Income!A$3:A$502)-2),3)),""),""))</f>
        <v/>
      </c>
      <c r="E261" s="63" t="str">
        <f aca="false">IF(IFERROR(-INDEX(Expenses!D$3:D$1002,SMALL(IF((Expenses!E$3:E$1002="INR")*(Expenses!A$3:A$1002=DATE(2026,12,22)),ROW(Expenses!A$3:A$1002)-2),3)),0)+IFERROR(INDEX(Income!C$3:C$502,SMALL(IF((Income!D$3:D$502="INR")*(Income!A$3:A$502=DATE(2026,12,22)),ROW(Income!A$3:A$502)-2),3)),0)=0,"",IFERROR(-INDEX(Expenses!D$3:D$1002,SMALL(IF((Expenses!E$3:E$1002="INR")*(Expenses!A$3:A$1002=DATE(2026,12,22)),ROW(Expenses!A$3:A$1002)-2),3)),0)+IFERROR(INDEX(Income!C$3:C$502,SMALL(IF((Income!D$3:D$502="INR")*(Income!A$3:A$502=DATE(2026,12,22)),ROW(Income!A$3:A$502)-2),3)),0))</f>
        <v/>
      </c>
      <c r="F261" s="38" t="str">
        <f aca="false">IF(IFERROR(INDEX(Expenses!B$3:B$1002,SMALL(IF((Expenses!E$3:E$1002="INR")*(Expenses!A$3:A$1002=DATE(2026,12,22)),ROW(Expenses!A$3:A$1002)-2),3)),"")&lt;&gt;"",IFERROR(INDEX(Expenses!B$3:B$1002,SMALL(IF((Expenses!E$3:E$1002="INR")*(Expenses!A$3:A$1002=DATE(2026,12,22)),ROW(Expenses!A$3:A$1002)-2),3)),""),IF(IFERROR(INDEX(Income!B$3:B$502,SMALL(IF((Income!D$3:D$502="INR")*(Income!A$3:A$502=DATE(2026,12,22)),ROW(Income!A$3:A$502)-2),3)),"")&lt;&gt;"",IFERROR(INDEX(Income!B$3:B$502,SMALL(IF((Income!D$3:D$502="INR")*(Income!A$3:A$502=DATE(2026,12,22)),ROW(Income!A$3:A$502)-2),3)),""),""))</f>
        <v/>
      </c>
      <c r="G261" s="63" t="str">
        <f aca="false">IF(IFERROR(-INDEX(Expenses!D$3:D$1002,SMALL(IF((Expenses!E$3:E$1002="INR")*(Expenses!A$3:A$1002=DATE(2026,12,23)),ROW(Expenses!A$3:A$1002)-2),3)),0)+IFERROR(INDEX(Income!C$3:C$502,SMALL(IF((Income!D$3:D$502="INR")*(Income!A$3:A$502=DATE(2026,12,23)),ROW(Income!A$3:A$502)-2),3)),0)=0,"",IFERROR(-INDEX(Expenses!D$3:D$1002,SMALL(IF((Expenses!E$3:E$1002="INR")*(Expenses!A$3:A$1002=DATE(2026,12,23)),ROW(Expenses!A$3:A$1002)-2),3)),0)+IFERROR(INDEX(Income!C$3:C$502,SMALL(IF((Income!D$3:D$502="INR")*(Income!A$3:A$502=DATE(2026,12,23)),ROW(Income!A$3:A$502)-2),3)),0))</f>
        <v/>
      </c>
      <c r="H261" s="38" t="str">
        <f aca="false">IF(IFERROR(INDEX(Expenses!B$3:B$1002,SMALL(IF((Expenses!E$3:E$1002="INR")*(Expenses!A$3:A$1002=DATE(2026,12,23)),ROW(Expenses!A$3:A$1002)-2),3)),"")&lt;&gt;"",IFERROR(INDEX(Expenses!B$3:B$1002,SMALL(IF((Expenses!E$3:E$1002="INR")*(Expenses!A$3:A$1002=DATE(2026,12,23)),ROW(Expenses!A$3:A$1002)-2),3)),""),IF(IFERROR(INDEX(Income!B$3:B$502,SMALL(IF((Income!D$3:D$502="INR")*(Income!A$3:A$502=DATE(2026,12,23)),ROW(Income!A$3:A$502)-2),3)),"")&lt;&gt;"",IFERROR(INDEX(Income!B$3:B$502,SMALL(IF((Income!D$3:D$502="INR")*(Income!A$3:A$502=DATE(2026,12,23)),ROW(Income!A$3:A$502)-2),3)),""),""))</f>
        <v/>
      </c>
      <c r="I261" s="63" t="str">
        <f aca="false">IF(IFERROR(-INDEX(Expenses!D$3:D$1002,SMALL(IF((Expenses!E$3:E$1002="INR")*(Expenses!A$3:A$1002=DATE(2026,12,24)),ROW(Expenses!A$3:A$1002)-2),3)),0)+IFERROR(INDEX(Income!C$3:C$502,SMALL(IF((Income!D$3:D$502="INR")*(Income!A$3:A$502=DATE(2026,12,24)),ROW(Income!A$3:A$502)-2),3)),0)=0,"",IFERROR(-INDEX(Expenses!D$3:D$1002,SMALL(IF((Expenses!E$3:E$1002="INR")*(Expenses!A$3:A$1002=DATE(2026,12,24)),ROW(Expenses!A$3:A$1002)-2),3)),0)+IFERROR(INDEX(Income!C$3:C$502,SMALL(IF((Income!D$3:D$502="INR")*(Income!A$3:A$502=DATE(2026,12,24)),ROW(Income!A$3:A$502)-2),3)),0))</f>
        <v/>
      </c>
      <c r="J261" s="38" t="str">
        <f aca="false">IF(IFERROR(INDEX(Expenses!B$3:B$1002,SMALL(IF((Expenses!E$3:E$1002="INR")*(Expenses!A$3:A$1002=DATE(2026,12,24)),ROW(Expenses!A$3:A$1002)-2),3)),"")&lt;&gt;"",IFERROR(INDEX(Expenses!B$3:B$1002,SMALL(IF((Expenses!E$3:E$1002="INR")*(Expenses!A$3:A$1002=DATE(2026,12,24)),ROW(Expenses!A$3:A$1002)-2),3)),""),IF(IFERROR(INDEX(Income!B$3:B$502,SMALL(IF((Income!D$3:D$502="INR")*(Income!A$3:A$502=DATE(2026,12,24)),ROW(Income!A$3:A$502)-2),3)),"")&lt;&gt;"",IFERROR(INDEX(Income!B$3:B$502,SMALL(IF((Income!D$3:D$502="INR")*(Income!A$3:A$502=DATE(2026,12,24)),ROW(Income!A$3:A$502)-2),3)),""),""))</f>
        <v/>
      </c>
      <c r="K261" s="63" t="str">
        <f aca="false">IF(IFERROR(-INDEX(Expenses!D$3:D$1002,SMALL(IF((Expenses!E$3:E$1002="INR")*(Expenses!A$3:A$1002=DATE(2026,12,25)),ROW(Expenses!A$3:A$1002)-2),3)),0)+IFERROR(INDEX(Income!C$3:C$502,SMALL(IF((Income!D$3:D$502="INR")*(Income!A$3:A$502=DATE(2026,12,25)),ROW(Income!A$3:A$502)-2),3)),0)=0,"",IFERROR(-INDEX(Expenses!D$3:D$1002,SMALL(IF((Expenses!E$3:E$1002="INR")*(Expenses!A$3:A$1002=DATE(2026,12,25)),ROW(Expenses!A$3:A$1002)-2),3)),0)+IFERROR(INDEX(Income!C$3:C$502,SMALL(IF((Income!D$3:D$502="INR")*(Income!A$3:A$502=DATE(2026,12,25)),ROW(Income!A$3:A$502)-2),3)),0))</f>
        <v/>
      </c>
      <c r="L261" s="38" t="str">
        <f aca="false">IF(IFERROR(INDEX(Expenses!B$3:B$1002,SMALL(IF((Expenses!E$3:E$1002="INR")*(Expenses!A$3:A$1002=DATE(2026,12,25)),ROW(Expenses!A$3:A$1002)-2),3)),"")&lt;&gt;"",IFERROR(INDEX(Expenses!B$3:B$1002,SMALL(IF((Expenses!E$3:E$1002="INR")*(Expenses!A$3:A$1002=DATE(2026,12,25)),ROW(Expenses!A$3:A$1002)-2),3)),""),IF(IFERROR(INDEX(Income!B$3:B$502,SMALL(IF((Income!D$3:D$502="INR")*(Income!A$3:A$502=DATE(2026,12,25)),ROW(Income!A$3:A$502)-2),3)),"")&lt;&gt;"",IFERROR(INDEX(Income!B$3:B$502,SMALL(IF((Income!D$3:D$502="INR")*(Income!A$3:A$502=DATE(2026,12,25)),ROW(Income!A$3:A$502)-2),3)),""),""))</f>
        <v/>
      </c>
      <c r="M261" s="63" t="str">
        <f aca="false">IF(IFERROR(-INDEX(Expenses!D$3:D$1002,SMALL(IF((Expenses!E$3:E$1002="INR")*(Expenses!A$3:A$1002=DATE(2026,12,26)),ROW(Expenses!A$3:A$1002)-2),3)),0)+IFERROR(INDEX(Income!C$3:C$502,SMALL(IF((Income!D$3:D$502="INR")*(Income!A$3:A$502=DATE(2026,12,26)),ROW(Income!A$3:A$502)-2),3)),0)=0,"",IFERROR(-INDEX(Expenses!D$3:D$1002,SMALL(IF((Expenses!E$3:E$1002="INR")*(Expenses!A$3:A$1002=DATE(2026,12,26)),ROW(Expenses!A$3:A$1002)-2),3)),0)+IFERROR(INDEX(Income!C$3:C$502,SMALL(IF((Income!D$3:D$502="INR")*(Income!A$3:A$502=DATE(2026,12,26)),ROW(Income!A$3:A$502)-2),3)),0))</f>
        <v/>
      </c>
      <c r="N261" s="38" t="str">
        <f aca="false">IF(IFERROR(INDEX(Expenses!B$3:B$1002,SMALL(IF((Expenses!E$3:E$1002="INR")*(Expenses!A$3:A$1002=DATE(2026,12,26)),ROW(Expenses!A$3:A$1002)-2),3)),"")&lt;&gt;"",IFERROR(INDEX(Expenses!B$3:B$1002,SMALL(IF((Expenses!E$3:E$1002="INR")*(Expenses!A$3:A$1002=DATE(2026,12,26)),ROW(Expenses!A$3:A$1002)-2),3)),""),IF(IFERROR(INDEX(Income!B$3:B$502,SMALL(IF((Income!D$3:D$502="INR")*(Income!A$3:A$502=DATE(2026,12,26)),ROW(Income!A$3:A$502)-2),3)),"")&lt;&gt;"",IFERROR(INDEX(Income!B$3:B$502,SMALL(IF((Income!D$3:D$502="INR")*(Income!A$3:A$502=DATE(2026,12,26)),ROW(Income!A$3:A$502)-2),3)),""),""))</f>
        <v/>
      </c>
      <c r="O261" s="63" t="str">
        <f aca="false">IF(IFERROR(-INDEX(Expenses!D$3:D$1002,SMALL(IF((Expenses!E$3:E$1002="INR")*(Expenses!A$3:A$1002=DATE(2026,12,27)),ROW(Expenses!A$3:A$1002)-2),3)),0)+IFERROR(INDEX(Income!C$3:C$502,SMALL(IF((Income!D$3:D$502="INR")*(Income!A$3:A$502=DATE(2026,12,27)),ROW(Income!A$3:A$502)-2),3)),0)=0,"",IFERROR(-INDEX(Expenses!D$3:D$1002,SMALL(IF((Expenses!E$3:E$1002="INR")*(Expenses!A$3:A$1002=DATE(2026,12,27)),ROW(Expenses!A$3:A$1002)-2),3)),0)+IFERROR(INDEX(Income!C$3:C$502,SMALL(IF((Income!D$3:D$502="INR")*(Income!A$3:A$502=DATE(2026,12,27)),ROW(Income!A$3:A$502)-2),3)),0))</f>
        <v/>
      </c>
      <c r="P261" s="38" t="str">
        <f aca="false">IF(IFERROR(INDEX(Expenses!B$3:B$1002,SMALL(IF((Expenses!E$3:E$1002="INR")*(Expenses!A$3:A$1002=DATE(2026,12,27)),ROW(Expenses!A$3:A$1002)-2),3)),"")&lt;&gt;"",IFERROR(INDEX(Expenses!B$3:B$1002,SMALL(IF((Expenses!E$3:E$1002="INR")*(Expenses!A$3:A$1002=DATE(2026,12,27)),ROW(Expenses!A$3:A$1002)-2),3)),""),IF(IFERROR(INDEX(Income!B$3:B$502,SMALL(IF((Income!D$3:D$502="INR")*(Income!A$3:A$502=DATE(2026,12,27)),ROW(Income!A$3:A$502)-2),3)),"")&lt;&gt;"",IFERROR(INDEX(Income!B$3:B$502,SMALL(IF((Income!D$3:D$502="INR")*(Income!A$3:A$502=DATE(2026,12,27)),ROW(Income!A$3:A$502)-2),3)),""),""))</f>
        <v/>
      </c>
      <c r="Q261" s="16"/>
      <c r="R261" s="16"/>
    </row>
    <row r="262" customFormat="false" ht="15" hidden="false" customHeight="false" outlineLevel="0" collapsed="false">
      <c r="A262" s="16"/>
      <c r="B262" s="16"/>
      <c r="C262" s="63" t="str">
        <f aca="false">IF(IFERROR(-INDEX(Expenses!D$3:D$1002,SMALL(IF((Expenses!E$3:E$1002="INR")*(Expenses!A$3:A$1002=DATE(2026,12,21)),ROW(Expenses!A$3:A$1002)-2),4)),0)+IFERROR(INDEX(Income!C$3:C$502,SMALL(IF((Income!D$3:D$502="INR")*(Income!A$3:A$502=DATE(2026,12,21)),ROW(Income!A$3:A$502)-2),4)),0)=0,"",IFERROR(-INDEX(Expenses!D$3:D$1002,SMALL(IF((Expenses!E$3:E$1002="INR")*(Expenses!A$3:A$1002=DATE(2026,12,21)),ROW(Expenses!A$3:A$1002)-2),4)),0)+IFERROR(INDEX(Income!C$3:C$502,SMALL(IF((Income!D$3:D$502="INR")*(Income!A$3:A$502=DATE(2026,12,21)),ROW(Income!A$3:A$502)-2),4)),0))</f>
        <v/>
      </c>
      <c r="D262" s="38" t="str">
        <f aca="false">IF(IFERROR(INDEX(Expenses!B$3:B$1002,SMALL(IF((Expenses!E$3:E$1002="INR")*(Expenses!A$3:A$1002=DATE(2026,12,21)),ROW(Expenses!A$3:A$1002)-2),4)),"")&lt;&gt;"",IFERROR(INDEX(Expenses!B$3:B$1002,SMALL(IF((Expenses!E$3:E$1002="INR")*(Expenses!A$3:A$1002=DATE(2026,12,21)),ROW(Expenses!A$3:A$1002)-2),4)),""),IF(IFERROR(INDEX(Income!B$3:B$502,SMALL(IF((Income!D$3:D$502="INR")*(Income!A$3:A$502=DATE(2026,12,21)),ROW(Income!A$3:A$502)-2),4)),"")&lt;&gt;"",IFERROR(INDEX(Income!B$3:B$502,SMALL(IF((Income!D$3:D$502="INR")*(Income!A$3:A$502=DATE(2026,12,21)),ROW(Income!A$3:A$502)-2),4)),""),""))</f>
        <v/>
      </c>
      <c r="E262" s="63" t="str">
        <f aca="false">IF(IFERROR(-INDEX(Expenses!D$3:D$1002,SMALL(IF((Expenses!E$3:E$1002="INR")*(Expenses!A$3:A$1002=DATE(2026,12,22)),ROW(Expenses!A$3:A$1002)-2),4)),0)+IFERROR(INDEX(Income!C$3:C$502,SMALL(IF((Income!D$3:D$502="INR")*(Income!A$3:A$502=DATE(2026,12,22)),ROW(Income!A$3:A$502)-2),4)),0)=0,"",IFERROR(-INDEX(Expenses!D$3:D$1002,SMALL(IF((Expenses!E$3:E$1002="INR")*(Expenses!A$3:A$1002=DATE(2026,12,22)),ROW(Expenses!A$3:A$1002)-2),4)),0)+IFERROR(INDEX(Income!C$3:C$502,SMALL(IF((Income!D$3:D$502="INR")*(Income!A$3:A$502=DATE(2026,12,22)),ROW(Income!A$3:A$502)-2),4)),0))</f>
        <v/>
      </c>
      <c r="F262" s="38" t="str">
        <f aca="false">IF(IFERROR(INDEX(Expenses!B$3:B$1002,SMALL(IF((Expenses!E$3:E$1002="INR")*(Expenses!A$3:A$1002=DATE(2026,12,22)),ROW(Expenses!A$3:A$1002)-2),4)),"")&lt;&gt;"",IFERROR(INDEX(Expenses!B$3:B$1002,SMALL(IF((Expenses!E$3:E$1002="INR")*(Expenses!A$3:A$1002=DATE(2026,12,22)),ROW(Expenses!A$3:A$1002)-2),4)),""),IF(IFERROR(INDEX(Income!B$3:B$502,SMALL(IF((Income!D$3:D$502="INR")*(Income!A$3:A$502=DATE(2026,12,22)),ROW(Income!A$3:A$502)-2),4)),"")&lt;&gt;"",IFERROR(INDEX(Income!B$3:B$502,SMALL(IF((Income!D$3:D$502="INR")*(Income!A$3:A$502=DATE(2026,12,22)),ROW(Income!A$3:A$502)-2),4)),""),""))</f>
        <v/>
      </c>
      <c r="G262" s="63" t="str">
        <f aca="false">IF(IFERROR(-INDEX(Expenses!D$3:D$1002,SMALL(IF((Expenses!E$3:E$1002="INR")*(Expenses!A$3:A$1002=DATE(2026,12,23)),ROW(Expenses!A$3:A$1002)-2),4)),0)+IFERROR(INDEX(Income!C$3:C$502,SMALL(IF((Income!D$3:D$502="INR")*(Income!A$3:A$502=DATE(2026,12,23)),ROW(Income!A$3:A$502)-2),4)),0)=0,"",IFERROR(-INDEX(Expenses!D$3:D$1002,SMALL(IF((Expenses!E$3:E$1002="INR")*(Expenses!A$3:A$1002=DATE(2026,12,23)),ROW(Expenses!A$3:A$1002)-2),4)),0)+IFERROR(INDEX(Income!C$3:C$502,SMALL(IF((Income!D$3:D$502="INR")*(Income!A$3:A$502=DATE(2026,12,23)),ROW(Income!A$3:A$502)-2),4)),0))</f>
        <v/>
      </c>
      <c r="H262" s="38" t="str">
        <f aca="false">IF(IFERROR(INDEX(Expenses!B$3:B$1002,SMALL(IF((Expenses!E$3:E$1002="INR")*(Expenses!A$3:A$1002=DATE(2026,12,23)),ROW(Expenses!A$3:A$1002)-2),4)),"")&lt;&gt;"",IFERROR(INDEX(Expenses!B$3:B$1002,SMALL(IF((Expenses!E$3:E$1002="INR")*(Expenses!A$3:A$1002=DATE(2026,12,23)),ROW(Expenses!A$3:A$1002)-2),4)),""),IF(IFERROR(INDEX(Income!B$3:B$502,SMALL(IF((Income!D$3:D$502="INR")*(Income!A$3:A$502=DATE(2026,12,23)),ROW(Income!A$3:A$502)-2),4)),"")&lt;&gt;"",IFERROR(INDEX(Income!B$3:B$502,SMALL(IF((Income!D$3:D$502="INR")*(Income!A$3:A$502=DATE(2026,12,23)),ROW(Income!A$3:A$502)-2),4)),""),""))</f>
        <v/>
      </c>
      <c r="I262" s="63" t="str">
        <f aca="false">IF(IFERROR(-INDEX(Expenses!D$3:D$1002,SMALL(IF((Expenses!E$3:E$1002="INR")*(Expenses!A$3:A$1002=DATE(2026,12,24)),ROW(Expenses!A$3:A$1002)-2),4)),0)+IFERROR(INDEX(Income!C$3:C$502,SMALL(IF((Income!D$3:D$502="INR")*(Income!A$3:A$502=DATE(2026,12,24)),ROW(Income!A$3:A$502)-2),4)),0)=0,"",IFERROR(-INDEX(Expenses!D$3:D$1002,SMALL(IF((Expenses!E$3:E$1002="INR")*(Expenses!A$3:A$1002=DATE(2026,12,24)),ROW(Expenses!A$3:A$1002)-2),4)),0)+IFERROR(INDEX(Income!C$3:C$502,SMALL(IF((Income!D$3:D$502="INR")*(Income!A$3:A$502=DATE(2026,12,24)),ROW(Income!A$3:A$502)-2),4)),0))</f>
        <v/>
      </c>
      <c r="J262" s="38" t="str">
        <f aca="false">IF(IFERROR(INDEX(Expenses!B$3:B$1002,SMALL(IF((Expenses!E$3:E$1002="INR")*(Expenses!A$3:A$1002=DATE(2026,12,24)),ROW(Expenses!A$3:A$1002)-2),4)),"")&lt;&gt;"",IFERROR(INDEX(Expenses!B$3:B$1002,SMALL(IF((Expenses!E$3:E$1002="INR")*(Expenses!A$3:A$1002=DATE(2026,12,24)),ROW(Expenses!A$3:A$1002)-2),4)),""),IF(IFERROR(INDEX(Income!B$3:B$502,SMALL(IF((Income!D$3:D$502="INR")*(Income!A$3:A$502=DATE(2026,12,24)),ROW(Income!A$3:A$502)-2),4)),"")&lt;&gt;"",IFERROR(INDEX(Income!B$3:B$502,SMALL(IF((Income!D$3:D$502="INR")*(Income!A$3:A$502=DATE(2026,12,24)),ROW(Income!A$3:A$502)-2),4)),""),""))</f>
        <v/>
      </c>
      <c r="K262" s="63" t="str">
        <f aca="false">IF(IFERROR(-INDEX(Expenses!D$3:D$1002,SMALL(IF((Expenses!E$3:E$1002="INR")*(Expenses!A$3:A$1002=DATE(2026,12,25)),ROW(Expenses!A$3:A$1002)-2),4)),0)+IFERROR(INDEX(Income!C$3:C$502,SMALL(IF((Income!D$3:D$502="INR")*(Income!A$3:A$502=DATE(2026,12,25)),ROW(Income!A$3:A$502)-2),4)),0)=0,"",IFERROR(-INDEX(Expenses!D$3:D$1002,SMALL(IF((Expenses!E$3:E$1002="INR")*(Expenses!A$3:A$1002=DATE(2026,12,25)),ROW(Expenses!A$3:A$1002)-2),4)),0)+IFERROR(INDEX(Income!C$3:C$502,SMALL(IF((Income!D$3:D$502="INR")*(Income!A$3:A$502=DATE(2026,12,25)),ROW(Income!A$3:A$502)-2),4)),0))</f>
        <v/>
      </c>
      <c r="L262" s="38" t="str">
        <f aca="false">IF(IFERROR(INDEX(Expenses!B$3:B$1002,SMALL(IF((Expenses!E$3:E$1002="INR")*(Expenses!A$3:A$1002=DATE(2026,12,25)),ROW(Expenses!A$3:A$1002)-2),4)),"")&lt;&gt;"",IFERROR(INDEX(Expenses!B$3:B$1002,SMALL(IF((Expenses!E$3:E$1002="INR")*(Expenses!A$3:A$1002=DATE(2026,12,25)),ROW(Expenses!A$3:A$1002)-2),4)),""),IF(IFERROR(INDEX(Income!B$3:B$502,SMALL(IF((Income!D$3:D$502="INR")*(Income!A$3:A$502=DATE(2026,12,25)),ROW(Income!A$3:A$502)-2),4)),"")&lt;&gt;"",IFERROR(INDEX(Income!B$3:B$502,SMALL(IF((Income!D$3:D$502="INR")*(Income!A$3:A$502=DATE(2026,12,25)),ROW(Income!A$3:A$502)-2),4)),""),""))</f>
        <v/>
      </c>
      <c r="M262" s="63" t="str">
        <f aca="false">IF(IFERROR(-INDEX(Expenses!D$3:D$1002,SMALL(IF((Expenses!E$3:E$1002="INR")*(Expenses!A$3:A$1002=DATE(2026,12,26)),ROW(Expenses!A$3:A$1002)-2),4)),0)+IFERROR(INDEX(Income!C$3:C$502,SMALL(IF((Income!D$3:D$502="INR")*(Income!A$3:A$502=DATE(2026,12,26)),ROW(Income!A$3:A$502)-2),4)),0)=0,"",IFERROR(-INDEX(Expenses!D$3:D$1002,SMALL(IF((Expenses!E$3:E$1002="INR")*(Expenses!A$3:A$1002=DATE(2026,12,26)),ROW(Expenses!A$3:A$1002)-2),4)),0)+IFERROR(INDEX(Income!C$3:C$502,SMALL(IF((Income!D$3:D$502="INR")*(Income!A$3:A$502=DATE(2026,12,26)),ROW(Income!A$3:A$502)-2),4)),0))</f>
        <v/>
      </c>
      <c r="N262" s="38" t="str">
        <f aca="false">IF(IFERROR(INDEX(Expenses!B$3:B$1002,SMALL(IF((Expenses!E$3:E$1002="INR")*(Expenses!A$3:A$1002=DATE(2026,12,26)),ROW(Expenses!A$3:A$1002)-2),4)),"")&lt;&gt;"",IFERROR(INDEX(Expenses!B$3:B$1002,SMALL(IF((Expenses!E$3:E$1002="INR")*(Expenses!A$3:A$1002=DATE(2026,12,26)),ROW(Expenses!A$3:A$1002)-2),4)),""),IF(IFERROR(INDEX(Income!B$3:B$502,SMALL(IF((Income!D$3:D$502="INR")*(Income!A$3:A$502=DATE(2026,12,26)),ROW(Income!A$3:A$502)-2),4)),"")&lt;&gt;"",IFERROR(INDEX(Income!B$3:B$502,SMALL(IF((Income!D$3:D$502="INR")*(Income!A$3:A$502=DATE(2026,12,26)),ROW(Income!A$3:A$502)-2),4)),""),""))</f>
        <v/>
      </c>
      <c r="O262" s="63" t="str">
        <f aca="false">IF(IFERROR(-INDEX(Expenses!D$3:D$1002,SMALL(IF((Expenses!E$3:E$1002="INR")*(Expenses!A$3:A$1002=DATE(2026,12,27)),ROW(Expenses!A$3:A$1002)-2),4)),0)+IFERROR(INDEX(Income!C$3:C$502,SMALL(IF((Income!D$3:D$502="INR")*(Income!A$3:A$502=DATE(2026,12,27)),ROW(Income!A$3:A$502)-2),4)),0)=0,"",IFERROR(-INDEX(Expenses!D$3:D$1002,SMALL(IF((Expenses!E$3:E$1002="INR")*(Expenses!A$3:A$1002=DATE(2026,12,27)),ROW(Expenses!A$3:A$1002)-2),4)),0)+IFERROR(INDEX(Income!C$3:C$502,SMALL(IF((Income!D$3:D$502="INR")*(Income!A$3:A$502=DATE(2026,12,27)),ROW(Income!A$3:A$502)-2),4)),0))</f>
        <v/>
      </c>
      <c r="P262" s="38" t="str">
        <f aca="false">IF(IFERROR(INDEX(Expenses!B$3:B$1002,SMALL(IF((Expenses!E$3:E$1002="INR")*(Expenses!A$3:A$1002=DATE(2026,12,27)),ROW(Expenses!A$3:A$1002)-2),4)),"")&lt;&gt;"",IFERROR(INDEX(Expenses!B$3:B$1002,SMALL(IF((Expenses!E$3:E$1002="INR")*(Expenses!A$3:A$1002=DATE(2026,12,27)),ROW(Expenses!A$3:A$1002)-2),4)),""),IF(IFERROR(INDEX(Income!B$3:B$502,SMALL(IF((Income!D$3:D$502="INR")*(Income!A$3:A$502=DATE(2026,12,27)),ROW(Income!A$3:A$502)-2),4)),"")&lt;&gt;"",IFERROR(INDEX(Income!B$3:B$502,SMALL(IF((Income!D$3:D$502="INR")*(Income!A$3:A$502=DATE(2026,12,27)),ROW(Income!A$3:A$502)-2),4)),""),""))</f>
        <v/>
      </c>
      <c r="Q262" s="16"/>
      <c r="R262" s="16"/>
    </row>
    <row r="263" customFormat="false" ht="15" hidden="false" customHeight="false" outlineLevel="0" collapsed="false">
      <c r="A263" s="16"/>
      <c r="B263" s="16"/>
      <c r="C263" s="63" t="str">
        <f aca="false">IF(IFERROR(-INDEX(Expenses!D$3:D$1002,SMALL(IF((Expenses!E$3:E$1002="INR")*(Expenses!A$3:A$1002=DATE(2026,12,21)),ROW(Expenses!A$3:A$1002)-2),5)),0)+IFERROR(INDEX(Income!C$3:C$502,SMALL(IF((Income!D$3:D$502="INR")*(Income!A$3:A$502=DATE(2026,12,21)),ROW(Income!A$3:A$502)-2),5)),0)=0,"",IFERROR(-INDEX(Expenses!D$3:D$1002,SMALL(IF((Expenses!E$3:E$1002="INR")*(Expenses!A$3:A$1002=DATE(2026,12,21)),ROW(Expenses!A$3:A$1002)-2),5)),0)+IFERROR(INDEX(Income!C$3:C$502,SMALL(IF((Income!D$3:D$502="INR")*(Income!A$3:A$502=DATE(2026,12,21)),ROW(Income!A$3:A$502)-2),5)),0))</f>
        <v/>
      </c>
      <c r="D263" s="38" t="str">
        <f aca="false">IF(IFERROR(INDEX(Expenses!B$3:B$1002,SMALL(IF((Expenses!E$3:E$1002="INR")*(Expenses!A$3:A$1002=DATE(2026,12,21)),ROW(Expenses!A$3:A$1002)-2),5)),"")&lt;&gt;"",IFERROR(INDEX(Expenses!B$3:B$1002,SMALL(IF((Expenses!E$3:E$1002="INR")*(Expenses!A$3:A$1002=DATE(2026,12,21)),ROW(Expenses!A$3:A$1002)-2),5)),""),IF(IFERROR(INDEX(Income!B$3:B$502,SMALL(IF((Income!D$3:D$502="INR")*(Income!A$3:A$502=DATE(2026,12,21)),ROW(Income!A$3:A$502)-2),5)),"")&lt;&gt;"",IFERROR(INDEX(Income!B$3:B$502,SMALL(IF((Income!D$3:D$502="INR")*(Income!A$3:A$502=DATE(2026,12,21)),ROW(Income!A$3:A$502)-2),5)),""),""))</f>
        <v/>
      </c>
      <c r="E263" s="63" t="str">
        <f aca="false">IF(IFERROR(-INDEX(Expenses!D$3:D$1002,SMALL(IF((Expenses!E$3:E$1002="INR")*(Expenses!A$3:A$1002=DATE(2026,12,22)),ROW(Expenses!A$3:A$1002)-2),5)),0)+IFERROR(INDEX(Income!C$3:C$502,SMALL(IF((Income!D$3:D$502="INR")*(Income!A$3:A$502=DATE(2026,12,22)),ROW(Income!A$3:A$502)-2),5)),0)=0,"",IFERROR(-INDEX(Expenses!D$3:D$1002,SMALL(IF((Expenses!E$3:E$1002="INR")*(Expenses!A$3:A$1002=DATE(2026,12,22)),ROW(Expenses!A$3:A$1002)-2),5)),0)+IFERROR(INDEX(Income!C$3:C$502,SMALL(IF((Income!D$3:D$502="INR")*(Income!A$3:A$502=DATE(2026,12,22)),ROW(Income!A$3:A$502)-2),5)),0))</f>
        <v/>
      </c>
      <c r="F263" s="38" t="str">
        <f aca="false">IF(IFERROR(INDEX(Expenses!B$3:B$1002,SMALL(IF((Expenses!E$3:E$1002="INR")*(Expenses!A$3:A$1002=DATE(2026,12,22)),ROW(Expenses!A$3:A$1002)-2),5)),"")&lt;&gt;"",IFERROR(INDEX(Expenses!B$3:B$1002,SMALL(IF((Expenses!E$3:E$1002="INR")*(Expenses!A$3:A$1002=DATE(2026,12,22)),ROW(Expenses!A$3:A$1002)-2),5)),""),IF(IFERROR(INDEX(Income!B$3:B$502,SMALL(IF((Income!D$3:D$502="INR")*(Income!A$3:A$502=DATE(2026,12,22)),ROW(Income!A$3:A$502)-2),5)),"")&lt;&gt;"",IFERROR(INDEX(Income!B$3:B$502,SMALL(IF((Income!D$3:D$502="INR")*(Income!A$3:A$502=DATE(2026,12,22)),ROW(Income!A$3:A$502)-2),5)),""),""))</f>
        <v/>
      </c>
      <c r="G263" s="63" t="str">
        <f aca="false">IF(IFERROR(-INDEX(Expenses!D$3:D$1002,SMALL(IF((Expenses!E$3:E$1002="INR")*(Expenses!A$3:A$1002=DATE(2026,12,23)),ROW(Expenses!A$3:A$1002)-2),5)),0)+IFERROR(INDEX(Income!C$3:C$502,SMALL(IF((Income!D$3:D$502="INR")*(Income!A$3:A$502=DATE(2026,12,23)),ROW(Income!A$3:A$502)-2),5)),0)=0,"",IFERROR(-INDEX(Expenses!D$3:D$1002,SMALL(IF((Expenses!E$3:E$1002="INR")*(Expenses!A$3:A$1002=DATE(2026,12,23)),ROW(Expenses!A$3:A$1002)-2),5)),0)+IFERROR(INDEX(Income!C$3:C$502,SMALL(IF((Income!D$3:D$502="INR")*(Income!A$3:A$502=DATE(2026,12,23)),ROW(Income!A$3:A$502)-2),5)),0))</f>
        <v/>
      </c>
      <c r="H263" s="38" t="str">
        <f aca="false">IF(IFERROR(INDEX(Expenses!B$3:B$1002,SMALL(IF((Expenses!E$3:E$1002="INR")*(Expenses!A$3:A$1002=DATE(2026,12,23)),ROW(Expenses!A$3:A$1002)-2),5)),"")&lt;&gt;"",IFERROR(INDEX(Expenses!B$3:B$1002,SMALL(IF((Expenses!E$3:E$1002="INR")*(Expenses!A$3:A$1002=DATE(2026,12,23)),ROW(Expenses!A$3:A$1002)-2),5)),""),IF(IFERROR(INDEX(Income!B$3:B$502,SMALL(IF((Income!D$3:D$502="INR")*(Income!A$3:A$502=DATE(2026,12,23)),ROW(Income!A$3:A$502)-2),5)),"")&lt;&gt;"",IFERROR(INDEX(Income!B$3:B$502,SMALL(IF((Income!D$3:D$502="INR")*(Income!A$3:A$502=DATE(2026,12,23)),ROW(Income!A$3:A$502)-2),5)),""),""))</f>
        <v/>
      </c>
      <c r="I263" s="63" t="str">
        <f aca="false">IF(IFERROR(-INDEX(Expenses!D$3:D$1002,SMALL(IF((Expenses!E$3:E$1002="INR")*(Expenses!A$3:A$1002=DATE(2026,12,24)),ROW(Expenses!A$3:A$1002)-2),5)),0)+IFERROR(INDEX(Income!C$3:C$502,SMALL(IF((Income!D$3:D$502="INR")*(Income!A$3:A$502=DATE(2026,12,24)),ROW(Income!A$3:A$502)-2),5)),0)=0,"",IFERROR(-INDEX(Expenses!D$3:D$1002,SMALL(IF((Expenses!E$3:E$1002="INR")*(Expenses!A$3:A$1002=DATE(2026,12,24)),ROW(Expenses!A$3:A$1002)-2),5)),0)+IFERROR(INDEX(Income!C$3:C$502,SMALL(IF((Income!D$3:D$502="INR")*(Income!A$3:A$502=DATE(2026,12,24)),ROW(Income!A$3:A$502)-2),5)),0))</f>
        <v/>
      </c>
      <c r="J263" s="38" t="str">
        <f aca="false">IF(IFERROR(INDEX(Expenses!B$3:B$1002,SMALL(IF((Expenses!E$3:E$1002="INR")*(Expenses!A$3:A$1002=DATE(2026,12,24)),ROW(Expenses!A$3:A$1002)-2),5)),"")&lt;&gt;"",IFERROR(INDEX(Expenses!B$3:B$1002,SMALL(IF((Expenses!E$3:E$1002="INR")*(Expenses!A$3:A$1002=DATE(2026,12,24)),ROW(Expenses!A$3:A$1002)-2),5)),""),IF(IFERROR(INDEX(Income!B$3:B$502,SMALL(IF((Income!D$3:D$502="INR")*(Income!A$3:A$502=DATE(2026,12,24)),ROW(Income!A$3:A$502)-2),5)),"")&lt;&gt;"",IFERROR(INDEX(Income!B$3:B$502,SMALL(IF((Income!D$3:D$502="INR")*(Income!A$3:A$502=DATE(2026,12,24)),ROW(Income!A$3:A$502)-2),5)),""),""))</f>
        <v/>
      </c>
      <c r="K263" s="63" t="str">
        <f aca="false">IF(IFERROR(-INDEX(Expenses!D$3:D$1002,SMALL(IF((Expenses!E$3:E$1002="INR")*(Expenses!A$3:A$1002=DATE(2026,12,25)),ROW(Expenses!A$3:A$1002)-2),5)),0)+IFERROR(INDEX(Income!C$3:C$502,SMALL(IF((Income!D$3:D$502="INR")*(Income!A$3:A$502=DATE(2026,12,25)),ROW(Income!A$3:A$502)-2),5)),0)=0,"",IFERROR(-INDEX(Expenses!D$3:D$1002,SMALL(IF((Expenses!E$3:E$1002="INR")*(Expenses!A$3:A$1002=DATE(2026,12,25)),ROW(Expenses!A$3:A$1002)-2),5)),0)+IFERROR(INDEX(Income!C$3:C$502,SMALL(IF((Income!D$3:D$502="INR")*(Income!A$3:A$502=DATE(2026,12,25)),ROW(Income!A$3:A$502)-2),5)),0))</f>
        <v/>
      </c>
      <c r="L263" s="38" t="str">
        <f aca="false">IF(IFERROR(INDEX(Expenses!B$3:B$1002,SMALL(IF((Expenses!E$3:E$1002="INR")*(Expenses!A$3:A$1002=DATE(2026,12,25)),ROW(Expenses!A$3:A$1002)-2),5)),"")&lt;&gt;"",IFERROR(INDEX(Expenses!B$3:B$1002,SMALL(IF((Expenses!E$3:E$1002="INR")*(Expenses!A$3:A$1002=DATE(2026,12,25)),ROW(Expenses!A$3:A$1002)-2),5)),""),IF(IFERROR(INDEX(Income!B$3:B$502,SMALL(IF((Income!D$3:D$502="INR")*(Income!A$3:A$502=DATE(2026,12,25)),ROW(Income!A$3:A$502)-2),5)),"")&lt;&gt;"",IFERROR(INDEX(Income!B$3:B$502,SMALL(IF((Income!D$3:D$502="INR")*(Income!A$3:A$502=DATE(2026,12,25)),ROW(Income!A$3:A$502)-2),5)),""),""))</f>
        <v/>
      </c>
      <c r="M263" s="63" t="str">
        <f aca="false">IF(IFERROR(-INDEX(Expenses!D$3:D$1002,SMALL(IF((Expenses!E$3:E$1002="INR")*(Expenses!A$3:A$1002=DATE(2026,12,26)),ROW(Expenses!A$3:A$1002)-2),5)),0)+IFERROR(INDEX(Income!C$3:C$502,SMALL(IF((Income!D$3:D$502="INR")*(Income!A$3:A$502=DATE(2026,12,26)),ROW(Income!A$3:A$502)-2),5)),0)=0,"",IFERROR(-INDEX(Expenses!D$3:D$1002,SMALL(IF((Expenses!E$3:E$1002="INR")*(Expenses!A$3:A$1002=DATE(2026,12,26)),ROW(Expenses!A$3:A$1002)-2),5)),0)+IFERROR(INDEX(Income!C$3:C$502,SMALL(IF((Income!D$3:D$502="INR")*(Income!A$3:A$502=DATE(2026,12,26)),ROW(Income!A$3:A$502)-2),5)),0))</f>
        <v/>
      </c>
      <c r="N263" s="38" t="str">
        <f aca="false">IF(IFERROR(INDEX(Expenses!B$3:B$1002,SMALL(IF((Expenses!E$3:E$1002="INR")*(Expenses!A$3:A$1002=DATE(2026,12,26)),ROW(Expenses!A$3:A$1002)-2),5)),"")&lt;&gt;"",IFERROR(INDEX(Expenses!B$3:B$1002,SMALL(IF((Expenses!E$3:E$1002="INR")*(Expenses!A$3:A$1002=DATE(2026,12,26)),ROW(Expenses!A$3:A$1002)-2),5)),""),IF(IFERROR(INDEX(Income!B$3:B$502,SMALL(IF((Income!D$3:D$502="INR")*(Income!A$3:A$502=DATE(2026,12,26)),ROW(Income!A$3:A$502)-2),5)),"")&lt;&gt;"",IFERROR(INDEX(Income!B$3:B$502,SMALL(IF((Income!D$3:D$502="INR")*(Income!A$3:A$502=DATE(2026,12,26)),ROW(Income!A$3:A$502)-2),5)),""),""))</f>
        <v/>
      </c>
      <c r="O263" s="63" t="str">
        <f aca="false">IF(IFERROR(-INDEX(Expenses!D$3:D$1002,SMALL(IF((Expenses!E$3:E$1002="INR")*(Expenses!A$3:A$1002=DATE(2026,12,27)),ROW(Expenses!A$3:A$1002)-2),5)),0)+IFERROR(INDEX(Income!C$3:C$502,SMALL(IF((Income!D$3:D$502="INR")*(Income!A$3:A$502=DATE(2026,12,27)),ROW(Income!A$3:A$502)-2),5)),0)=0,"",IFERROR(-INDEX(Expenses!D$3:D$1002,SMALL(IF((Expenses!E$3:E$1002="INR")*(Expenses!A$3:A$1002=DATE(2026,12,27)),ROW(Expenses!A$3:A$1002)-2),5)),0)+IFERROR(INDEX(Income!C$3:C$502,SMALL(IF((Income!D$3:D$502="INR")*(Income!A$3:A$502=DATE(2026,12,27)),ROW(Income!A$3:A$502)-2),5)),0))</f>
        <v/>
      </c>
      <c r="P263" s="38" t="str">
        <f aca="false">IF(IFERROR(INDEX(Expenses!B$3:B$1002,SMALL(IF((Expenses!E$3:E$1002="INR")*(Expenses!A$3:A$1002=DATE(2026,12,27)),ROW(Expenses!A$3:A$1002)-2),5)),"")&lt;&gt;"",IFERROR(INDEX(Expenses!B$3:B$1002,SMALL(IF((Expenses!E$3:E$1002="INR")*(Expenses!A$3:A$1002=DATE(2026,12,27)),ROW(Expenses!A$3:A$1002)-2),5)),""),IF(IFERROR(INDEX(Income!B$3:B$502,SMALL(IF((Income!D$3:D$502="INR")*(Income!A$3:A$502=DATE(2026,12,27)),ROW(Income!A$3:A$502)-2),5)),"")&lt;&gt;"",IFERROR(INDEX(Income!B$3:B$502,SMALL(IF((Income!D$3:D$502="INR")*(Income!A$3:A$502=DATE(2026,12,27)),ROW(Income!A$3:A$502)-2),5)),""),""))</f>
        <v/>
      </c>
      <c r="Q263" s="16"/>
      <c r="R263" s="16"/>
    </row>
    <row r="264" customFormat="false" ht="15" hidden="false" customHeight="false" outlineLevel="0" collapsed="false">
      <c r="A264" s="61" t="n">
        <v>46384</v>
      </c>
      <c r="B264" s="3" t="n">
        <v>53</v>
      </c>
      <c r="C264" s="63" t="str">
        <f aca="false">IF(IFERROR(-INDEX(Expenses!D$3:D$1002,SMALL(IF((Expenses!E$3:E$1002="INR")*(Expenses!A$3:A$1002=DATE(2026,12,28)),ROW(Expenses!A$3:A$1002)-2),1)),0)+IFERROR(INDEX(Income!C$3:C$502,SMALL(IF((Income!D$3:D$502="INR")*(Income!A$3:A$502=DATE(2026,12,28)),ROW(Income!A$3:A$502)-2),1)),0)=0,"",IFERROR(-INDEX(Expenses!D$3:D$1002,SMALL(IF((Expenses!E$3:E$1002="INR")*(Expenses!A$3:A$1002=DATE(2026,12,28)),ROW(Expenses!A$3:A$1002)-2),1)),0)+IFERROR(INDEX(Income!C$3:C$502,SMALL(IF((Income!D$3:D$502="INR")*(Income!A$3:A$502=DATE(2026,12,28)),ROW(Income!A$3:A$502)-2),1)),0))</f>
        <v/>
      </c>
      <c r="D264" s="38" t="str">
        <f aca="false">IF(IFERROR(INDEX(Expenses!B$3:B$1002,SMALL(IF((Expenses!E$3:E$1002="INR")*(Expenses!A$3:A$1002=DATE(2026,12,28)),ROW(Expenses!A$3:A$1002)-2),1)),"")&lt;&gt;"",IFERROR(INDEX(Expenses!B$3:B$1002,SMALL(IF((Expenses!E$3:E$1002="INR")*(Expenses!A$3:A$1002=DATE(2026,12,28)),ROW(Expenses!A$3:A$1002)-2),1)),""),IF(IFERROR(INDEX(Income!B$3:B$502,SMALL(IF((Income!D$3:D$502="INR")*(Income!A$3:A$502=DATE(2026,12,28)),ROW(Income!A$3:A$502)-2),1)),"")&lt;&gt;"",IFERROR(INDEX(Income!B$3:B$502,SMALL(IF((Income!D$3:D$502="INR")*(Income!A$3:A$502=DATE(2026,12,28)),ROW(Income!A$3:A$502)-2),1)),""),""))</f>
        <v/>
      </c>
      <c r="E264" s="63" t="str">
        <f aca="false">IF(IFERROR(-INDEX(Expenses!D$3:D$1002,SMALL(IF((Expenses!E$3:E$1002="INR")*(Expenses!A$3:A$1002=DATE(2026,12,29)),ROW(Expenses!A$3:A$1002)-2),1)),0)+IFERROR(INDEX(Income!C$3:C$502,SMALL(IF((Income!D$3:D$502="INR")*(Income!A$3:A$502=DATE(2026,12,29)),ROW(Income!A$3:A$502)-2),1)),0)=0,"",IFERROR(-INDEX(Expenses!D$3:D$1002,SMALL(IF((Expenses!E$3:E$1002="INR")*(Expenses!A$3:A$1002=DATE(2026,12,29)),ROW(Expenses!A$3:A$1002)-2),1)),0)+IFERROR(INDEX(Income!C$3:C$502,SMALL(IF((Income!D$3:D$502="INR")*(Income!A$3:A$502=DATE(2026,12,29)),ROW(Income!A$3:A$502)-2),1)),0))</f>
        <v/>
      </c>
      <c r="F264" s="38" t="str">
        <f aca="false">IF(IFERROR(INDEX(Expenses!B$3:B$1002,SMALL(IF((Expenses!E$3:E$1002="INR")*(Expenses!A$3:A$1002=DATE(2026,12,29)),ROW(Expenses!A$3:A$1002)-2),1)),"")&lt;&gt;"",IFERROR(INDEX(Expenses!B$3:B$1002,SMALL(IF((Expenses!E$3:E$1002="INR")*(Expenses!A$3:A$1002=DATE(2026,12,29)),ROW(Expenses!A$3:A$1002)-2),1)),""),IF(IFERROR(INDEX(Income!B$3:B$502,SMALL(IF((Income!D$3:D$502="INR")*(Income!A$3:A$502=DATE(2026,12,29)),ROW(Income!A$3:A$502)-2),1)),"")&lt;&gt;"",IFERROR(INDEX(Income!B$3:B$502,SMALL(IF((Income!D$3:D$502="INR")*(Income!A$3:A$502=DATE(2026,12,29)),ROW(Income!A$3:A$502)-2),1)),""),""))</f>
        <v/>
      </c>
      <c r="G264" s="63" t="str">
        <f aca="false">IF(IFERROR(-INDEX(Expenses!D$3:D$1002,SMALL(IF((Expenses!E$3:E$1002="INR")*(Expenses!A$3:A$1002=DATE(2026,12,30)),ROW(Expenses!A$3:A$1002)-2),1)),0)+IFERROR(INDEX(Income!C$3:C$502,SMALL(IF((Income!D$3:D$502="INR")*(Income!A$3:A$502=DATE(2026,12,30)),ROW(Income!A$3:A$502)-2),1)),0)=0,"",IFERROR(-INDEX(Expenses!D$3:D$1002,SMALL(IF((Expenses!E$3:E$1002="INR")*(Expenses!A$3:A$1002=DATE(2026,12,30)),ROW(Expenses!A$3:A$1002)-2),1)),0)+IFERROR(INDEX(Income!C$3:C$502,SMALL(IF((Income!D$3:D$502="INR")*(Income!A$3:A$502=DATE(2026,12,30)),ROW(Income!A$3:A$502)-2),1)),0))</f>
        <v/>
      </c>
      <c r="H264" s="38" t="str">
        <f aca="false">IF(IFERROR(INDEX(Expenses!B$3:B$1002,SMALL(IF((Expenses!E$3:E$1002="INR")*(Expenses!A$3:A$1002=DATE(2026,12,30)),ROW(Expenses!A$3:A$1002)-2),1)),"")&lt;&gt;"",IFERROR(INDEX(Expenses!B$3:B$1002,SMALL(IF((Expenses!E$3:E$1002="INR")*(Expenses!A$3:A$1002=DATE(2026,12,30)),ROW(Expenses!A$3:A$1002)-2),1)),""),IF(IFERROR(INDEX(Income!B$3:B$502,SMALL(IF((Income!D$3:D$502="INR")*(Income!A$3:A$502=DATE(2026,12,30)),ROW(Income!A$3:A$502)-2),1)),"")&lt;&gt;"",IFERROR(INDEX(Income!B$3:B$502,SMALL(IF((Income!D$3:D$502="INR")*(Income!A$3:A$502=DATE(2026,12,30)),ROW(Income!A$3:A$502)-2),1)),""),""))</f>
        <v/>
      </c>
      <c r="I264" s="63" t="str">
        <f aca="false">IF(IFERROR(-INDEX(Expenses!D$3:D$1002,SMALL(IF((Expenses!E$3:E$1002="INR")*(Expenses!A$3:A$1002=DATE(2026,12,31)),ROW(Expenses!A$3:A$1002)-2),1)),0)+IFERROR(INDEX(Income!C$3:C$502,SMALL(IF((Income!D$3:D$502="INR")*(Income!A$3:A$502=DATE(2026,12,31)),ROW(Income!A$3:A$502)-2),1)),0)=0,"",IFERROR(-INDEX(Expenses!D$3:D$1002,SMALL(IF((Expenses!E$3:E$1002="INR")*(Expenses!A$3:A$1002=DATE(2026,12,31)),ROW(Expenses!A$3:A$1002)-2),1)),0)+IFERROR(INDEX(Income!C$3:C$502,SMALL(IF((Income!D$3:D$502="INR")*(Income!A$3:A$502=DATE(2026,12,31)),ROW(Income!A$3:A$502)-2),1)),0))</f>
        <v/>
      </c>
      <c r="J264" s="38" t="str">
        <f aca="false">IF(IFERROR(INDEX(Expenses!B$3:B$1002,SMALL(IF((Expenses!E$3:E$1002="INR")*(Expenses!A$3:A$1002=DATE(2026,12,31)),ROW(Expenses!A$3:A$1002)-2),1)),"")&lt;&gt;"",IFERROR(INDEX(Expenses!B$3:B$1002,SMALL(IF((Expenses!E$3:E$1002="INR")*(Expenses!A$3:A$1002=DATE(2026,12,31)),ROW(Expenses!A$3:A$1002)-2),1)),""),IF(IFERROR(INDEX(Income!B$3:B$502,SMALL(IF((Income!D$3:D$502="INR")*(Income!A$3:A$502=DATE(2026,12,31)),ROW(Income!A$3:A$502)-2),1)),"")&lt;&gt;"",IFERROR(INDEX(Income!B$3:B$502,SMALL(IF((Income!D$3:D$502="INR")*(Income!A$3:A$502=DATE(2026,12,31)),ROW(Income!A$3:A$502)-2),1)),""),""))</f>
        <v/>
      </c>
      <c r="K264" s="63" t="str">
        <f aca="false">IF(IFERROR(-INDEX(Expenses!D$3:D$1002,SMALL(IF((Expenses!E$3:E$1002="INR")*(Expenses!A$3:A$1002=DATE(2027,1,1)),ROW(Expenses!A$3:A$1002)-2),1)),0)+IFERROR(INDEX(Income!C$3:C$502,SMALL(IF((Income!D$3:D$502="INR")*(Income!A$3:A$502=DATE(2027,1,1)),ROW(Income!A$3:A$502)-2),1)),0)=0,"",IFERROR(-INDEX(Expenses!D$3:D$1002,SMALL(IF((Expenses!E$3:E$1002="INR")*(Expenses!A$3:A$1002=DATE(2027,1,1)),ROW(Expenses!A$3:A$1002)-2),1)),0)+IFERROR(INDEX(Income!C$3:C$502,SMALL(IF((Income!D$3:D$502="INR")*(Income!A$3:A$502=DATE(2027,1,1)),ROW(Income!A$3:A$502)-2),1)),0))</f>
        <v/>
      </c>
      <c r="L264" s="38" t="str">
        <f aca="false">IF(IFERROR(INDEX(Expenses!B$3:B$1002,SMALL(IF((Expenses!E$3:E$1002="INR")*(Expenses!A$3:A$1002=DATE(2027,1,1)),ROW(Expenses!A$3:A$1002)-2),1)),"")&lt;&gt;"",IFERROR(INDEX(Expenses!B$3:B$1002,SMALL(IF((Expenses!E$3:E$1002="INR")*(Expenses!A$3:A$1002=DATE(2027,1,1)),ROW(Expenses!A$3:A$1002)-2),1)),""),IF(IFERROR(INDEX(Income!B$3:B$502,SMALL(IF((Income!D$3:D$502="INR")*(Income!A$3:A$502=DATE(2027,1,1)),ROW(Income!A$3:A$502)-2),1)),"")&lt;&gt;"",IFERROR(INDEX(Income!B$3:B$502,SMALL(IF((Income!D$3:D$502="INR")*(Income!A$3:A$502=DATE(2027,1,1)),ROW(Income!A$3:A$502)-2),1)),""),""))</f>
        <v/>
      </c>
      <c r="M264" s="63" t="str">
        <f aca="false">IF(IFERROR(-INDEX(Expenses!D$3:D$1002,SMALL(IF((Expenses!E$3:E$1002="INR")*(Expenses!A$3:A$1002=DATE(2027,1,2)),ROW(Expenses!A$3:A$1002)-2),1)),0)+IFERROR(INDEX(Income!C$3:C$502,SMALL(IF((Income!D$3:D$502="INR")*(Income!A$3:A$502=DATE(2027,1,2)),ROW(Income!A$3:A$502)-2),1)),0)=0,"",IFERROR(-INDEX(Expenses!D$3:D$1002,SMALL(IF((Expenses!E$3:E$1002="INR")*(Expenses!A$3:A$1002=DATE(2027,1,2)),ROW(Expenses!A$3:A$1002)-2),1)),0)+IFERROR(INDEX(Income!C$3:C$502,SMALL(IF((Income!D$3:D$502="INR")*(Income!A$3:A$502=DATE(2027,1,2)),ROW(Income!A$3:A$502)-2),1)),0))</f>
        <v/>
      </c>
      <c r="N264" s="38" t="str">
        <f aca="false">IF(IFERROR(INDEX(Expenses!B$3:B$1002,SMALL(IF((Expenses!E$3:E$1002="INR")*(Expenses!A$3:A$1002=DATE(2027,1,2)),ROW(Expenses!A$3:A$1002)-2),1)),"")&lt;&gt;"",IFERROR(INDEX(Expenses!B$3:B$1002,SMALL(IF((Expenses!E$3:E$1002="INR")*(Expenses!A$3:A$1002=DATE(2027,1,2)),ROW(Expenses!A$3:A$1002)-2),1)),""),IF(IFERROR(INDEX(Income!B$3:B$502,SMALL(IF((Income!D$3:D$502="INR")*(Income!A$3:A$502=DATE(2027,1,2)),ROW(Income!A$3:A$502)-2),1)),"")&lt;&gt;"",IFERROR(INDEX(Income!B$3:B$502,SMALL(IF((Income!D$3:D$502="INR")*(Income!A$3:A$502=DATE(2027,1,2)),ROW(Income!A$3:A$502)-2),1)),""),""))</f>
        <v/>
      </c>
      <c r="O264" s="63" t="str">
        <f aca="false">IF(IFERROR(-INDEX(Expenses!D$3:D$1002,SMALL(IF((Expenses!E$3:E$1002="INR")*(Expenses!A$3:A$1002=DATE(2027,1,3)),ROW(Expenses!A$3:A$1002)-2),1)),0)+IFERROR(INDEX(Income!C$3:C$502,SMALL(IF((Income!D$3:D$502="INR")*(Income!A$3:A$502=DATE(2027,1,3)),ROW(Income!A$3:A$502)-2),1)),0)=0,"",IFERROR(-INDEX(Expenses!D$3:D$1002,SMALL(IF((Expenses!E$3:E$1002="INR")*(Expenses!A$3:A$1002=DATE(2027,1,3)),ROW(Expenses!A$3:A$1002)-2),1)),0)+IFERROR(INDEX(Income!C$3:C$502,SMALL(IF((Income!D$3:D$502="INR")*(Income!A$3:A$502=DATE(2027,1,3)),ROW(Income!A$3:A$502)-2),1)),0))</f>
        <v/>
      </c>
      <c r="P264" s="38" t="str">
        <f aca="false">IF(IFERROR(INDEX(Expenses!B$3:B$1002,SMALL(IF((Expenses!E$3:E$1002="INR")*(Expenses!A$3:A$1002=DATE(2027,1,3)),ROW(Expenses!A$3:A$1002)-2),1)),"")&lt;&gt;"",IFERROR(INDEX(Expenses!B$3:B$1002,SMALL(IF((Expenses!E$3:E$1002="INR")*(Expenses!A$3:A$1002=DATE(2027,1,3)),ROW(Expenses!A$3:A$1002)-2),1)),""),IF(IFERROR(INDEX(Income!B$3:B$502,SMALL(IF((Income!D$3:D$502="INR")*(Income!A$3:A$502=DATE(2027,1,3)),ROW(Income!A$3:A$502)-2),1)),"")&lt;&gt;"",IFERROR(INDEX(Income!B$3:B$502,SMALL(IF((Income!D$3:D$502="INR")*(Income!A$3:A$502=DATE(2027,1,3)),ROW(Income!A$3:A$502)-2),1)),""),""))</f>
        <v/>
      </c>
      <c r="Q264" s="3" t="n">
        <v>53</v>
      </c>
      <c r="R264" s="53" t="n">
        <f aca="false">SUM(C264:C268)+SUM(E264:E268)+SUM(G264:G268)+SUM(I264:I268)+SUM(K264:K268)+SUM(M264:M268)+SUM(O264:O268)</f>
        <v>0</v>
      </c>
    </row>
    <row r="265" customFormat="false" ht="15" hidden="false" customHeight="false" outlineLevel="0" collapsed="false">
      <c r="A265" s="16"/>
      <c r="B265" s="16"/>
      <c r="C265" s="63" t="str">
        <f aca="false">IF(IFERROR(-INDEX(Expenses!D$3:D$1002,SMALL(IF((Expenses!E$3:E$1002="INR")*(Expenses!A$3:A$1002=DATE(2026,12,28)),ROW(Expenses!A$3:A$1002)-2),2)),0)+IFERROR(INDEX(Income!C$3:C$502,SMALL(IF((Income!D$3:D$502="INR")*(Income!A$3:A$502=DATE(2026,12,28)),ROW(Income!A$3:A$502)-2),2)),0)=0,"",IFERROR(-INDEX(Expenses!D$3:D$1002,SMALL(IF((Expenses!E$3:E$1002="INR")*(Expenses!A$3:A$1002=DATE(2026,12,28)),ROW(Expenses!A$3:A$1002)-2),2)),0)+IFERROR(INDEX(Income!C$3:C$502,SMALL(IF((Income!D$3:D$502="INR")*(Income!A$3:A$502=DATE(2026,12,28)),ROW(Income!A$3:A$502)-2),2)),0))</f>
        <v/>
      </c>
      <c r="D265" s="38" t="str">
        <f aca="false">IF(IFERROR(INDEX(Expenses!B$3:B$1002,SMALL(IF((Expenses!E$3:E$1002="INR")*(Expenses!A$3:A$1002=DATE(2026,12,28)),ROW(Expenses!A$3:A$1002)-2),2)),"")&lt;&gt;"",IFERROR(INDEX(Expenses!B$3:B$1002,SMALL(IF((Expenses!E$3:E$1002="INR")*(Expenses!A$3:A$1002=DATE(2026,12,28)),ROW(Expenses!A$3:A$1002)-2),2)),""),IF(IFERROR(INDEX(Income!B$3:B$502,SMALL(IF((Income!D$3:D$502="INR")*(Income!A$3:A$502=DATE(2026,12,28)),ROW(Income!A$3:A$502)-2),2)),"")&lt;&gt;"",IFERROR(INDEX(Income!B$3:B$502,SMALL(IF((Income!D$3:D$502="INR")*(Income!A$3:A$502=DATE(2026,12,28)),ROW(Income!A$3:A$502)-2),2)),""),""))</f>
        <v/>
      </c>
      <c r="E265" s="63" t="str">
        <f aca="false">IF(IFERROR(-INDEX(Expenses!D$3:D$1002,SMALL(IF((Expenses!E$3:E$1002="INR")*(Expenses!A$3:A$1002=DATE(2026,12,29)),ROW(Expenses!A$3:A$1002)-2),2)),0)+IFERROR(INDEX(Income!C$3:C$502,SMALL(IF((Income!D$3:D$502="INR")*(Income!A$3:A$502=DATE(2026,12,29)),ROW(Income!A$3:A$502)-2),2)),0)=0,"",IFERROR(-INDEX(Expenses!D$3:D$1002,SMALL(IF((Expenses!E$3:E$1002="INR")*(Expenses!A$3:A$1002=DATE(2026,12,29)),ROW(Expenses!A$3:A$1002)-2),2)),0)+IFERROR(INDEX(Income!C$3:C$502,SMALL(IF((Income!D$3:D$502="INR")*(Income!A$3:A$502=DATE(2026,12,29)),ROW(Income!A$3:A$502)-2),2)),0))</f>
        <v/>
      </c>
      <c r="F265" s="38" t="str">
        <f aca="false">IF(IFERROR(INDEX(Expenses!B$3:B$1002,SMALL(IF((Expenses!E$3:E$1002="INR")*(Expenses!A$3:A$1002=DATE(2026,12,29)),ROW(Expenses!A$3:A$1002)-2),2)),"")&lt;&gt;"",IFERROR(INDEX(Expenses!B$3:B$1002,SMALL(IF((Expenses!E$3:E$1002="INR")*(Expenses!A$3:A$1002=DATE(2026,12,29)),ROW(Expenses!A$3:A$1002)-2),2)),""),IF(IFERROR(INDEX(Income!B$3:B$502,SMALL(IF((Income!D$3:D$502="INR")*(Income!A$3:A$502=DATE(2026,12,29)),ROW(Income!A$3:A$502)-2),2)),"")&lt;&gt;"",IFERROR(INDEX(Income!B$3:B$502,SMALL(IF((Income!D$3:D$502="INR")*(Income!A$3:A$502=DATE(2026,12,29)),ROW(Income!A$3:A$502)-2),2)),""),""))</f>
        <v/>
      </c>
      <c r="G265" s="63" t="str">
        <f aca="false">IF(IFERROR(-INDEX(Expenses!D$3:D$1002,SMALL(IF((Expenses!E$3:E$1002="INR")*(Expenses!A$3:A$1002=DATE(2026,12,30)),ROW(Expenses!A$3:A$1002)-2),2)),0)+IFERROR(INDEX(Income!C$3:C$502,SMALL(IF((Income!D$3:D$502="INR")*(Income!A$3:A$502=DATE(2026,12,30)),ROW(Income!A$3:A$502)-2),2)),0)=0,"",IFERROR(-INDEX(Expenses!D$3:D$1002,SMALL(IF((Expenses!E$3:E$1002="INR")*(Expenses!A$3:A$1002=DATE(2026,12,30)),ROW(Expenses!A$3:A$1002)-2),2)),0)+IFERROR(INDEX(Income!C$3:C$502,SMALL(IF((Income!D$3:D$502="INR")*(Income!A$3:A$502=DATE(2026,12,30)),ROW(Income!A$3:A$502)-2),2)),0))</f>
        <v/>
      </c>
      <c r="H265" s="38" t="str">
        <f aca="false">IF(IFERROR(INDEX(Expenses!B$3:B$1002,SMALL(IF((Expenses!E$3:E$1002="INR")*(Expenses!A$3:A$1002=DATE(2026,12,30)),ROW(Expenses!A$3:A$1002)-2),2)),"")&lt;&gt;"",IFERROR(INDEX(Expenses!B$3:B$1002,SMALL(IF((Expenses!E$3:E$1002="INR")*(Expenses!A$3:A$1002=DATE(2026,12,30)),ROW(Expenses!A$3:A$1002)-2),2)),""),IF(IFERROR(INDEX(Income!B$3:B$502,SMALL(IF((Income!D$3:D$502="INR")*(Income!A$3:A$502=DATE(2026,12,30)),ROW(Income!A$3:A$502)-2),2)),"")&lt;&gt;"",IFERROR(INDEX(Income!B$3:B$502,SMALL(IF((Income!D$3:D$502="INR")*(Income!A$3:A$502=DATE(2026,12,30)),ROW(Income!A$3:A$502)-2),2)),""),""))</f>
        <v/>
      </c>
      <c r="I265" s="63" t="str">
        <f aca="false">IF(IFERROR(-INDEX(Expenses!D$3:D$1002,SMALL(IF((Expenses!E$3:E$1002="INR")*(Expenses!A$3:A$1002=DATE(2026,12,31)),ROW(Expenses!A$3:A$1002)-2),2)),0)+IFERROR(INDEX(Income!C$3:C$502,SMALL(IF((Income!D$3:D$502="INR")*(Income!A$3:A$502=DATE(2026,12,31)),ROW(Income!A$3:A$502)-2),2)),0)=0,"",IFERROR(-INDEX(Expenses!D$3:D$1002,SMALL(IF((Expenses!E$3:E$1002="INR")*(Expenses!A$3:A$1002=DATE(2026,12,31)),ROW(Expenses!A$3:A$1002)-2),2)),0)+IFERROR(INDEX(Income!C$3:C$502,SMALL(IF((Income!D$3:D$502="INR")*(Income!A$3:A$502=DATE(2026,12,31)),ROW(Income!A$3:A$502)-2),2)),0))</f>
        <v/>
      </c>
      <c r="J265" s="38" t="str">
        <f aca="false">IF(IFERROR(INDEX(Expenses!B$3:B$1002,SMALL(IF((Expenses!E$3:E$1002="INR")*(Expenses!A$3:A$1002=DATE(2026,12,31)),ROW(Expenses!A$3:A$1002)-2),2)),"")&lt;&gt;"",IFERROR(INDEX(Expenses!B$3:B$1002,SMALL(IF((Expenses!E$3:E$1002="INR")*(Expenses!A$3:A$1002=DATE(2026,12,31)),ROW(Expenses!A$3:A$1002)-2),2)),""),IF(IFERROR(INDEX(Income!B$3:B$502,SMALL(IF((Income!D$3:D$502="INR")*(Income!A$3:A$502=DATE(2026,12,31)),ROW(Income!A$3:A$502)-2),2)),"")&lt;&gt;"",IFERROR(INDEX(Income!B$3:B$502,SMALL(IF((Income!D$3:D$502="INR")*(Income!A$3:A$502=DATE(2026,12,31)),ROW(Income!A$3:A$502)-2),2)),""),""))</f>
        <v/>
      </c>
      <c r="K265" s="63" t="str">
        <f aca="false">IF(IFERROR(-INDEX(Expenses!D$3:D$1002,SMALL(IF((Expenses!E$3:E$1002="INR")*(Expenses!A$3:A$1002=DATE(2027,1,1)),ROW(Expenses!A$3:A$1002)-2),2)),0)+IFERROR(INDEX(Income!C$3:C$502,SMALL(IF((Income!D$3:D$502="INR")*(Income!A$3:A$502=DATE(2027,1,1)),ROW(Income!A$3:A$502)-2),2)),0)=0,"",IFERROR(-INDEX(Expenses!D$3:D$1002,SMALL(IF((Expenses!E$3:E$1002="INR")*(Expenses!A$3:A$1002=DATE(2027,1,1)),ROW(Expenses!A$3:A$1002)-2),2)),0)+IFERROR(INDEX(Income!C$3:C$502,SMALL(IF((Income!D$3:D$502="INR")*(Income!A$3:A$502=DATE(2027,1,1)),ROW(Income!A$3:A$502)-2),2)),0))</f>
        <v/>
      </c>
      <c r="L265" s="38" t="str">
        <f aca="false">IF(IFERROR(INDEX(Expenses!B$3:B$1002,SMALL(IF((Expenses!E$3:E$1002="INR")*(Expenses!A$3:A$1002=DATE(2027,1,1)),ROW(Expenses!A$3:A$1002)-2),2)),"")&lt;&gt;"",IFERROR(INDEX(Expenses!B$3:B$1002,SMALL(IF((Expenses!E$3:E$1002="INR")*(Expenses!A$3:A$1002=DATE(2027,1,1)),ROW(Expenses!A$3:A$1002)-2),2)),""),IF(IFERROR(INDEX(Income!B$3:B$502,SMALL(IF((Income!D$3:D$502="INR")*(Income!A$3:A$502=DATE(2027,1,1)),ROW(Income!A$3:A$502)-2),2)),"")&lt;&gt;"",IFERROR(INDEX(Income!B$3:B$502,SMALL(IF((Income!D$3:D$502="INR")*(Income!A$3:A$502=DATE(2027,1,1)),ROW(Income!A$3:A$502)-2),2)),""),""))</f>
        <v/>
      </c>
      <c r="M265" s="63" t="str">
        <f aca="false">IF(IFERROR(-INDEX(Expenses!D$3:D$1002,SMALL(IF((Expenses!E$3:E$1002="INR")*(Expenses!A$3:A$1002=DATE(2027,1,2)),ROW(Expenses!A$3:A$1002)-2),2)),0)+IFERROR(INDEX(Income!C$3:C$502,SMALL(IF((Income!D$3:D$502="INR")*(Income!A$3:A$502=DATE(2027,1,2)),ROW(Income!A$3:A$502)-2),2)),0)=0,"",IFERROR(-INDEX(Expenses!D$3:D$1002,SMALL(IF((Expenses!E$3:E$1002="INR")*(Expenses!A$3:A$1002=DATE(2027,1,2)),ROW(Expenses!A$3:A$1002)-2),2)),0)+IFERROR(INDEX(Income!C$3:C$502,SMALL(IF((Income!D$3:D$502="INR")*(Income!A$3:A$502=DATE(2027,1,2)),ROW(Income!A$3:A$502)-2),2)),0))</f>
        <v/>
      </c>
      <c r="N265" s="38" t="str">
        <f aca="false">IF(IFERROR(INDEX(Expenses!B$3:B$1002,SMALL(IF((Expenses!E$3:E$1002="INR")*(Expenses!A$3:A$1002=DATE(2027,1,2)),ROW(Expenses!A$3:A$1002)-2),2)),"")&lt;&gt;"",IFERROR(INDEX(Expenses!B$3:B$1002,SMALL(IF((Expenses!E$3:E$1002="INR")*(Expenses!A$3:A$1002=DATE(2027,1,2)),ROW(Expenses!A$3:A$1002)-2),2)),""),IF(IFERROR(INDEX(Income!B$3:B$502,SMALL(IF((Income!D$3:D$502="INR")*(Income!A$3:A$502=DATE(2027,1,2)),ROW(Income!A$3:A$502)-2),2)),"")&lt;&gt;"",IFERROR(INDEX(Income!B$3:B$502,SMALL(IF((Income!D$3:D$502="INR")*(Income!A$3:A$502=DATE(2027,1,2)),ROW(Income!A$3:A$502)-2),2)),""),""))</f>
        <v/>
      </c>
      <c r="O265" s="63" t="str">
        <f aca="false">IF(IFERROR(-INDEX(Expenses!D$3:D$1002,SMALL(IF((Expenses!E$3:E$1002="INR")*(Expenses!A$3:A$1002=DATE(2027,1,3)),ROW(Expenses!A$3:A$1002)-2),2)),0)+IFERROR(INDEX(Income!C$3:C$502,SMALL(IF((Income!D$3:D$502="INR")*(Income!A$3:A$502=DATE(2027,1,3)),ROW(Income!A$3:A$502)-2),2)),0)=0,"",IFERROR(-INDEX(Expenses!D$3:D$1002,SMALL(IF((Expenses!E$3:E$1002="INR")*(Expenses!A$3:A$1002=DATE(2027,1,3)),ROW(Expenses!A$3:A$1002)-2),2)),0)+IFERROR(INDEX(Income!C$3:C$502,SMALL(IF((Income!D$3:D$502="INR")*(Income!A$3:A$502=DATE(2027,1,3)),ROW(Income!A$3:A$502)-2),2)),0))</f>
        <v/>
      </c>
      <c r="P265" s="38" t="str">
        <f aca="false">IF(IFERROR(INDEX(Expenses!B$3:B$1002,SMALL(IF((Expenses!E$3:E$1002="INR")*(Expenses!A$3:A$1002=DATE(2027,1,3)),ROW(Expenses!A$3:A$1002)-2),2)),"")&lt;&gt;"",IFERROR(INDEX(Expenses!B$3:B$1002,SMALL(IF((Expenses!E$3:E$1002="INR")*(Expenses!A$3:A$1002=DATE(2027,1,3)),ROW(Expenses!A$3:A$1002)-2),2)),""),IF(IFERROR(INDEX(Income!B$3:B$502,SMALL(IF((Income!D$3:D$502="INR")*(Income!A$3:A$502=DATE(2027,1,3)),ROW(Income!A$3:A$502)-2),2)),"")&lt;&gt;"",IFERROR(INDEX(Income!B$3:B$502,SMALL(IF((Income!D$3:D$502="INR")*(Income!A$3:A$502=DATE(2027,1,3)),ROW(Income!A$3:A$502)-2),2)),""),""))</f>
        <v/>
      </c>
      <c r="Q265" s="16"/>
      <c r="R265" s="16"/>
    </row>
    <row r="266" customFormat="false" ht="15" hidden="false" customHeight="false" outlineLevel="0" collapsed="false">
      <c r="A266" s="16"/>
      <c r="B266" s="16"/>
      <c r="C266" s="63" t="str">
        <f aca="false">IF(IFERROR(-INDEX(Expenses!D$3:D$1002,SMALL(IF((Expenses!E$3:E$1002="INR")*(Expenses!A$3:A$1002=DATE(2026,12,28)),ROW(Expenses!A$3:A$1002)-2),3)),0)+IFERROR(INDEX(Income!C$3:C$502,SMALL(IF((Income!D$3:D$502="INR")*(Income!A$3:A$502=DATE(2026,12,28)),ROW(Income!A$3:A$502)-2),3)),0)=0,"",IFERROR(-INDEX(Expenses!D$3:D$1002,SMALL(IF((Expenses!E$3:E$1002="INR")*(Expenses!A$3:A$1002=DATE(2026,12,28)),ROW(Expenses!A$3:A$1002)-2),3)),0)+IFERROR(INDEX(Income!C$3:C$502,SMALL(IF((Income!D$3:D$502="INR")*(Income!A$3:A$502=DATE(2026,12,28)),ROW(Income!A$3:A$502)-2),3)),0))</f>
        <v/>
      </c>
      <c r="D266" s="38" t="str">
        <f aca="false">IF(IFERROR(INDEX(Expenses!B$3:B$1002,SMALL(IF((Expenses!E$3:E$1002="INR")*(Expenses!A$3:A$1002=DATE(2026,12,28)),ROW(Expenses!A$3:A$1002)-2),3)),"")&lt;&gt;"",IFERROR(INDEX(Expenses!B$3:B$1002,SMALL(IF((Expenses!E$3:E$1002="INR")*(Expenses!A$3:A$1002=DATE(2026,12,28)),ROW(Expenses!A$3:A$1002)-2),3)),""),IF(IFERROR(INDEX(Income!B$3:B$502,SMALL(IF((Income!D$3:D$502="INR")*(Income!A$3:A$502=DATE(2026,12,28)),ROW(Income!A$3:A$502)-2),3)),"")&lt;&gt;"",IFERROR(INDEX(Income!B$3:B$502,SMALL(IF((Income!D$3:D$502="INR")*(Income!A$3:A$502=DATE(2026,12,28)),ROW(Income!A$3:A$502)-2),3)),""),""))</f>
        <v/>
      </c>
      <c r="E266" s="63" t="str">
        <f aca="false">IF(IFERROR(-INDEX(Expenses!D$3:D$1002,SMALL(IF((Expenses!E$3:E$1002="INR")*(Expenses!A$3:A$1002=DATE(2026,12,29)),ROW(Expenses!A$3:A$1002)-2),3)),0)+IFERROR(INDEX(Income!C$3:C$502,SMALL(IF((Income!D$3:D$502="INR")*(Income!A$3:A$502=DATE(2026,12,29)),ROW(Income!A$3:A$502)-2),3)),0)=0,"",IFERROR(-INDEX(Expenses!D$3:D$1002,SMALL(IF((Expenses!E$3:E$1002="INR")*(Expenses!A$3:A$1002=DATE(2026,12,29)),ROW(Expenses!A$3:A$1002)-2),3)),0)+IFERROR(INDEX(Income!C$3:C$502,SMALL(IF((Income!D$3:D$502="INR")*(Income!A$3:A$502=DATE(2026,12,29)),ROW(Income!A$3:A$502)-2),3)),0))</f>
        <v/>
      </c>
      <c r="F266" s="38" t="str">
        <f aca="false">IF(IFERROR(INDEX(Expenses!B$3:B$1002,SMALL(IF((Expenses!E$3:E$1002="INR")*(Expenses!A$3:A$1002=DATE(2026,12,29)),ROW(Expenses!A$3:A$1002)-2),3)),"")&lt;&gt;"",IFERROR(INDEX(Expenses!B$3:B$1002,SMALL(IF((Expenses!E$3:E$1002="INR")*(Expenses!A$3:A$1002=DATE(2026,12,29)),ROW(Expenses!A$3:A$1002)-2),3)),""),IF(IFERROR(INDEX(Income!B$3:B$502,SMALL(IF((Income!D$3:D$502="INR")*(Income!A$3:A$502=DATE(2026,12,29)),ROW(Income!A$3:A$502)-2),3)),"")&lt;&gt;"",IFERROR(INDEX(Income!B$3:B$502,SMALL(IF((Income!D$3:D$502="INR")*(Income!A$3:A$502=DATE(2026,12,29)),ROW(Income!A$3:A$502)-2),3)),""),""))</f>
        <v/>
      </c>
      <c r="G266" s="63" t="str">
        <f aca="false">IF(IFERROR(-INDEX(Expenses!D$3:D$1002,SMALL(IF((Expenses!E$3:E$1002="INR")*(Expenses!A$3:A$1002=DATE(2026,12,30)),ROW(Expenses!A$3:A$1002)-2),3)),0)+IFERROR(INDEX(Income!C$3:C$502,SMALL(IF((Income!D$3:D$502="INR")*(Income!A$3:A$502=DATE(2026,12,30)),ROW(Income!A$3:A$502)-2),3)),0)=0,"",IFERROR(-INDEX(Expenses!D$3:D$1002,SMALL(IF((Expenses!E$3:E$1002="INR")*(Expenses!A$3:A$1002=DATE(2026,12,30)),ROW(Expenses!A$3:A$1002)-2),3)),0)+IFERROR(INDEX(Income!C$3:C$502,SMALL(IF((Income!D$3:D$502="INR")*(Income!A$3:A$502=DATE(2026,12,30)),ROW(Income!A$3:A$502)-2),3)),0))</f>
        <v/>
      </c>
      <c r="H266" s="38" t="str">
        <f aca="false">IF(IFERROR(INDEX(Expenses!B$3:B$1002,SMALL(IF((Expenses!E$3:E$1002="INR")*(Expenses!A$3:A$1002=DATE(2026,12,30)),ROW(Expenses!A$3:A$1002)-2),3)),"")&lt;&gt;"",IFERROR(INDEX(Expenses!B$3:B$1002,SMALL(IF((Expenses!E$3:E$1002="INR")*(Expenses!A$3:A$1002=DATE(2026,12,30)),ROW(Expenses!A$3:A$1002)-2),3)),""),IF(IFERROR(INDEX(Income!B$3:B$502,SMALL(IF((Income!D$3:D$502="INR")*(Income!A$3:A$502=DATE(2026,12,30)),ROW(Income!A$3:A$502)-2),3)),"")&lt;&gt;"",IFERROR(INDEX(Income!B$3:B$502,SMALL(IF((Income!D$3:D$502="INR")*(Income!A$3:A$502=DATE(2026,12,30)),ROW(Income!A$3:A$502)-2),3)),""),""))</f>
        <v/>
      </c>
      <c r="I266" s="63" t="str">
        <f aca="false">IF(IFERROR(-INDEX(Expenses!D$3:D$1002,SMALL(IF((Expenses!E$3:E$1002="INR")*(Expenses!A$3:A$1002=DATE(2026,12,31)),ROW(Expenses!A$3:A$1002)-2),3)),0)+IFERROR(INDEX(Income!C$3:C$502,SMALL(IF((Income!D$3:D$502="INR")*(Income!A$3:A$502=DATE(2026,12,31)),ROW(Income!A$3:A$502)-2),3)),0)=0,"",IFERROR(-INDEX(Expenses!D$3:D$1002,SMALL(IF((Expenses!E$3:E$1002="INR")*(Expenses!A$3:A$1002=DATE(2026,12,31)),ROW(Expenses!A$3:A$1002)-2),3)),0)+IFERROR(INDEX(Income!C$3:C$502,SMALL(IF((Income!D$3:D$502="INR")*(Income!A$3:A$502=DATE(2026,12,31)),ROW(Income!A$3:A$502)-2),3)),0))</f>
        <v/>
      </c>
      <c r="J266" s="38" t="str">
        <f aca="false">IF(IFERROR(INDEX(Expenses!B$3:B$1002,SMALL(IF((Expenses!E$3:E$1002="INR")*(Expenses!A$3:A$1002=DATE(2026,12,31)),ROW(Expenses!A$3:A$1002)-2),3)),"")&lt;&gt;"",IFERROR(INDEX(Expenses!B$3:B$1002,SMALL(IF((Expenses!E$3:E$1002="INR")*(Expenses!A$3:A$1002=DATE(2026,12,31)),ROW(Expenses!A$3:A$1002)-2),3)),""),IF(IFERROR(INDEX(Income!B$3:B$502,SMALL(IF((Income!D$3:D$502="INR")*(Income!A$3:A$502=DATE(2026,12,31)),ROW(Income!A$3:A$502)-2),3)),"")&lt;&gt;"",IFERROR(INDEX(Income!B$3:B$502,SMALL(IF((Income!D$3:D$502="INR")*(Income!A$3:A$502=DATE(2026,12,31)),ROW(Income!A$3:A$502)-2),3)),""),""))</f>
        <v/>
      </c>
      <c r="K266" s="63" t="str">
        <f aca="false">IF(IFERROR(-INDEX(Expenses!D$3:D$1002,SMALL(IF((Expenses!E$3:E$1002="INR")*(Expenses!A$3:A$1002=DATE(2027,1,1)),ROW(Expenses!A$3:A$1002)-2),3)),0)+IFERROR(INDEX(Income!C$3:C$502,SMALL(IF((Income!D$3:D$502="INR")*(Income!A$3:A$502=DATE(2027,1,1)),ROW(Income!A$3:A$502)-2),3)),0)=0,"",IFERROR(-INDEX(Expenses!D$3:D$1002,SMALL(IF((Expenses!E$3:E$1002="INR")*(Expenses!A$3:A$1002=DATE(2027,1,1)),ROW(Expenses!A$3:A$1002)-2),3)),0)+IFERROR(INDEX(Income!C$3:C$502,SMALL(IF((Income!D$3:D$502="INR")*(Income!A$3:A$502=DATE(2027,1,1)),ROW(Income!A$3:A$502)-2),3)),0))</f>
        <v/>
      </c>
      <c r="L266" s="38" t="str">
        <f aca="false">IF(IFERROR(INDEX(Expenses!B$3:B$1002,SMALL(IF((Expenses!E$3:E$1002="INR")*(Expenses!A$3:A$1002=DATE(2027,1,1)),ROW(Expenses!A$3:A$1002)-2),3)),"")&lt;&gt;"",IFERROR(INDEX(Expenses!B$3:B$1002,SMALL(IF((Expenses!E$3:E$1002="INR")*(Expenses!A$3:A$1002=DATE(2027,1,1)),ROW(Expenses!A$3:A$1002)-2),3)),""),IF(IFERROR(INDEX(Income!B$3:B$502,SMALL(IF((Income!D$3:D$502="INR")*(Income!A$3:A$502=DATE(2027,1,1)),ROW(Income!A$3:A$502)-2),3)),"")&lt;&gt;"",IFERROR(INDEX(Income!B$3:B$502,SMALL(IF((Income!D$3:D$502="INR")*(Income!A$3:A$502=DATE(2027,1,1)),ROW(Income!A$3:A$502)-2),3)),""),""))</f>
        <v/>
      </c>
      <c r="M266" s="63" t="str">
        <f aca="false">IF(IFERROR(-INDEX(Expenses!D$3:D$1002,SMALL(IF((Expenses!E$3:E$1002="INR")*(Expenses!A$3:A$1002=DATE(2027,1,2)),ROW(Expenses!A$3:A$1002)-2),3)),0)+IFERROR(INDEX(Income!C$3:C$502,SMALL(IF((Income!D$3:D$502="INR")*(Income!A$3:A$502=DATE(2027,1,2)),ROW(Income!A$3:A$502)-2),3)),0)=0,"",IFERROR(-INDEX(Expenses!D$3:D$1002,SMALL(IF((Expenses!E$3:E$1002="INR")*(Expenses!A$3:A$1002=DATE(2027,1,2)),ROW(Expenses!A$3:A$1002)-2),3)),0)+IFERROR(INDEX(Income!C$3:C$502,SMALL(IF((Income!D$3:D$502="INR")*(Income!A$3:A$502=DATE(2027,1,2)),ROW(Income!A$3:A$502)-2),3)),0))</f>
        <v/>
      </c>
      <c r="N266" s="38" t="str">
        <f aca="false">IF(IFERROR(INDEX(Expenses!B$3:B$1002,SMALL(IF((Expenses!E$3:E$1002="INR")*(Expenses!A$3:A$1002=DATE(2027,1,2)),ROW(Expenses!A$3:A$1002)-2),3)),"")&lt;&gt;"",IFERROR(INDEX(Expenses!B$3:B$1002,SMALL(IF((Expenses!E$3:E$1002="INR")*(Expenses!A$3:A$1002=DATE(2027,1,2)),ROW(Expenses!A$3:A$1002)-2),3)),""),IF(IFERROR(INDEX(Income!B$3:B$502,SMALL(IF((Income!D$3:D$502="INR")*(Income!A$3:A$502=DATE(2027,1,2)),ROW(Income!A$3:A$502)-2),3)),"")&lt;&gt;"",IFERROR(INDEX(Income!B$3:B$502,SMALL(IF((Income!D$3:D$502="INR")*(Income!A$3:A$502=DATE(2027,1,2)),ROW(Income!A$3:A$502)-2),3)),""),""))</f>
        <v/>
      </c>
      <c r="O266" s="63" t="str">
        <f aca="false">IF(IFERROR(-INDEX(Expenses!D$3:D$1002,SMALL(IF((Expenses!E$3:E$1002="INR")*(Expenses!A$3:A$1002=DATE(2027,1,3)),ROW(Expenses!A$3:A$1002)-2),3)),0)+IFERROR(INDEX(Income!C$3:C$502,SMALL(IF((Income!D$3:D$502="INR")*(Income!A$3:A$502=DATE(2027,1,3)),ROW(Income!A$3:A$502)-2),3)),0)=0,"",IFERROR(-INDEX(Expenses!D$3:D$1002,SMALL(IF((Expenses!E$3:E$1002="INR")*(Expenses!A$3:A$1002=DATE(2027,1,3)),ROW(Expenses!A$3:A$1002)-2),3)),0)+IFERROR(INDEX(Income!C$3:C$502,SMALL(IF((Income!D$3:D$502="INR")*(Income!A$3:A$502=DATE(2027,1,3)),ROW(Income!A$3:A$502)-2),3)),0))</f>
        <v/>
      </c>
      <c r="P266" s="38" t="str">
        <f aca="false">IF(IFERROR(INDEX(Expenses!B$3:B$1002,SMALL(IF((Expenses!E$3:E$1002="INR")*(Expenses!A$3:A$1002=DATE(2027,1,3)),ROW(Expenses!A$3:A$1002)-2),3)),"")&lt;&gt;"",IFERROR(INDEX(Expenses!B$3:B$1002,SMALL(IF((Expenses!E$3:E$1002="INR")*(Expenses!A$3:A$1002=DATE(2027,1,3)),ROW(Expenses!A$3:A$1002)-2),3)),""),IF(IFERROR(INDEX(Income!B$3:B$502,SMALL(IF((Income!D$3:D$502="INR")*(Income!A$3:A$502=DATE(2027,1,3)),ROW(Income!A$3:A$502)-2),3)),"")&lt;&gt;"",IFERROR(INDEX(Income!B$3:B$502,SMALL(IF((Income!D$3:D$502="INR")*(Income!A$3:A$502=DATE(2027,1,3)),ROW(Income!A$3:A$502)-2),3)),""),""))</f>
        <v/>
      </c>
      <c r="Q266" s="16"/>
      <c r="R266" s="16"/>
    </row>
    <row r="267" customFormat="false" ht="15" hidden="false" customHeight="false" outlineLevel="0" collapsed="false">
      <c r="A267" s="16"/>
      <c r="B267" s="16"/>
      <c r="C267" s="63" t="str">
        <f aca="false">IF(IFERROR(-INDEX(Expenses!D$3:D$1002,SMALL(IF((Expenses!E$3:E$1002="INR")*(Expenses!A$3:A$1002=DATE(2026,12,28)),ROW(Expenses!A$3:A$1002)-2),4)),0)+IFERROR(INDEX(Income!C$3:C$502,SMALL(IF((Income!D$3:D$502="INR")*(Income!A$3:A$502=DATE(2026,12,28)),ROW(Income!A$3:A$502)-2),4)),0)=0,"",IFERROR(-INDEX(Expenses!D$3:D$1002,SMALL(IF((Expenses!E$3:E$1002="INR")*(Expenses!A$3:A$1002=DATE(2026,12,28)),ROW(Expenses!A$3:A$1002)-2),4)),0)+IFERROR(INDEX(Income!C$3:C$502,SMALL(IF((Income!D$3:D$502="INR")*(Income!A$3:A$502=DATE(2026,12,28)),ROW(Income!A$3:A$502)-2),4)),0))</f>
        <v/>
      </c>
      <c r="D267" s="38" t="str">
        <f aca="false">IF(IFERROR(INDEX(Expenses!B$3:B$1002,SMALL(IF((Expenses!E$3:E$1002="INR")*(Expenses!A$3:A$1002=DATE(2026,12,28)),ROW(Expenses!A$3:A$1002)-2),4)),"")&lt;&gt;"",IFERROR(INDEX(Expenses!B$3:B$1002,SMALL(IF((Expenses!E$3:E$1002="INR")*(Expenses!A$3:A$1002=DATE(2026,12,28)),ROW(Expenses!A$3:A$1002)-2),4)),""),IF(IFERROR(INDEX(Income!B$3:B$502,SMALL(IF((Income!D$3:D$502="INR")*(Income!A$3:A$502=DATE(2026,12,28)),ROW(Income!A$3:A$502)-2),4)),"")&lt;&gt;"",IFERROR(INDEX(Income!B$3:B$502,SMALL(IF((Income!D$3:D$502="INR")*(Income!A$3:A$502=DATE(2026,12,28)),ROW(Income!A$3:A$502)-2),4)),""),""))</f>
        <v/>
      </c>
      <c r="E267" s="63" t="str">
        <f aca="false">IF(IFERROR(-INDEX(Expenses!D$3:D$1002,SMALL(IF((Expenses!E$3:E$1002="INR")*(Expenses!A$3:A$1002=DATE(2026,12,29)),ROW(Expenses!A$3:A$1002)-2),4)),0)+IFERROR(INDEX(Income!C$3:C$502,SMALL(IF((Income!D$3:D$502="INR")*(Income!A$3:A$502=DATE(2026,12,29)),ROW(Income!A$3:A$502)-2),4)),0)=0,"",IFERROR(-INDEX(Expenses!D$3:D$1002,SMALL(IF((Expenses!E$3:E$1002="INR")*(Expenses!A$3:A$1002=DATE(2026,12,29)),ROW(Expenses!A$3:A$1002)-2),4)),0)+IFERROR(INDEX(Income!C$3:C$502,SMALL(IF((Income!D$3:D$502="INR")*(Income!A$3:A$502=DATE(2026,12,29)),ROW(Income!A$3:A$502)-2),4)),0))</f>
        <v/>
      </c>
      <c r="F267" s="38" t="str">
        <f aca="false">IF(IFERROR(INDEX(Expenses!B$3:B$1002,SMALL(IF((Expenses!E$3:E$1002="INR")*(Expenses!A$3:A$1002=DATE(2026,12,29)),ROW(Expenses!A$3:A$1002)-2),4)),"")&lt;&gt;"",IFERROR(INDEX(Expenses!B$3:B$1002,SMALL(IF((Expenses!E$3:E$1002="INR")*(Expenses!A$3:A$1002=DATE(2026,12,29)),ROW(Expenses!A$3:A$1002)-2),4)),""),IF(IFERROR(INDEX(Income!B$3:B$502,SMALL(IF((Income!D$3:D$502="INR")*(Income!A$3:A$502=DATE(2026,12,29)),ROW(Income!A$3:A$502)-2),4)),"")&lt;&gt;"",IFERROR(INDEX(Income!B$3:B$502,SMALL(IF((Income!D$3:D$502="INR")*(Income!A$3:A$502=DATE(2026,12,29)),ROW(Income!A$3:A$502)-2),4)),""),""))</f>
        <v/>
      </c>
      <c r="G267" s="63" t="str">
        <f aca="false">IF(IFERROR(-INDEX(Expenses!D$3:D$1002,SMALL(IF((Expenses!E$3:E$1002="INR")*(Expenses!A$3:A$1002=DATE(2026,12,30)),ROW(Expenses!A$3:A$1002)-2),4)),0)+IFERROR(INDEX(Income!C$3:C$502,SMALL(IF((Income!D$3:D$502="INR")*(Income!A$3:A$502=DATE(2026,12,30)),ROW(Income!A$3:A$502)-2),4)),0)=0,"",IFERROR(-INDEX(Expenses!D$3:D$1002,SMALL(IF((Expenses!E$3:E$1002="INR")*(Expenses!A$3:A$1002=DATE(2026,12,30)),ROW(Expenses!A$3:A$1002)-2),4)),0)+IFERROR(INDEX(Income!C$3:C$502,SMALL(IF((Income!D$3:D$502="INR")*(Income!A$3:A$502=DATE(2026,12,30)),ROW(Income!A$3:A$502)-2),4)),0))</f>
        <v/>
      </c>
      <c r="H267" s="38" t="str">
        <f aca="false">IF(IFERROR(INDEX(Expenses!B$3:B$1002,SMALL(IF((Expenses!E$3:E$1002="INR")*(Expenses!A$3:A$1002=DATE(2026,12,30)),ROW(Expenses!A$3:A$1002)-2),4)),"")&lt;&gt;"",IFERROR(INDEX(Expenses!B$3:B$1002,SMALL(IF((Expenses!E$3:E$1002="INR")*(Expenses!A$3:A$1002=DATE(2026,12,30)),ROW(Expenses!A$3:A$1002)-2),4)),""),IF(IFERROR(INDEX(Income!B$3:B$502,SMALL(IF((Income!D$3:D$502="INR")*(Income!A$3:A$502=DATE(2026,12,30)),ROW(Income!A$3:A$502)-2),4)),"")&lt;&gt;"",IFERROR(INDEX(Income!B$3:B$502,SMALL(IF((Income!D$3:D$502="INR")*(Income!A$3:A$502=DATE(2026,12,30)),ROW(Income!A$3:A$502)-2),4)),""),""))</f>
        <v/>
      </c>
      <c r="I267" s="63" t="str">
        <f aca="false">IF(IFERROR(-INDEX(Expenses!D$3:D$1002,SMALL(IF((Expenses!E$3:E$1002="INR")*(Expenses!A$3:A$1002=DATE(2026,12,31)),ROW(Expenses!A$3:A$1002)-2),4)),0)+IFERROR(INDEX(Income!C$3:C$502,SMALL(IF((Income!D$3:D$502="INR")*(Income!A$3:A$502=DATE(2026,12,31)),ROW(Income!A$3:A$502)-2),4)),0)=0,"",IFERROR(-INDEX(Expenses!D$3:D$1002,SMALL(IF((Expenses!E$3:E$1002="INR")*(Expenses!A$3:A$1002=DATE(2026,12,31)),ROW(Expenses!A$3:A$1002)-2),4)),0)+IFERROR(INDEX(Income!C$3:C$502,SMALL(IF((Income!D$3:D$502="INR")*(Income!A$3:A$502=DATE(2026,12,31)),ROW(Income!A$3:A$502)-2),4)),0))</f>
        <v/>
      </c>
      <c r="J267" s="38" t="str">
        <f aca="false">IF(IFERROR(INDEX(Expenses!B$3:B$1002,SMALL(IF((Expenses!E$3:E$1002="INR")*(Expenses!A$3:A$1002=DATE(2026,12,31)),ROW(Expenses!A$3:A$1002)-2),4)),"")&lt;&gt;"",IFERROR(INDEX(Expenses!B$3:B$1002,SMALL(IF((Expenses!E$3:E$1002="INR")*(Expenses!A$3:A$1002=DATE(2026,12,31)),ROW(Expenses!A$3:A$1002)-2),4)),""),IF(IFERROR(INDEX(Income!B$3:B$502,SMALL(IF((Income!D$3:D$502="INR")*(Income!A$3:A$502=DATE(2026,12,31)),ROW(Income!A$3:A$502)-2),4)),"")&lt;&gt;"",IFERROR(INDEX(Income!B$3:B$502,SMALL(IF((Income!D$3:D$502="INR")*(Income!A$3:A$502=DATE(2026,12,31)),ROW(Income!A$3:A$502)-2),4)),""),""))</f>
        <v/>
      </c>
      <c r="K267" s="63" t="str">
        <f aca="false">IF(IFERROR(-INDEX(Expenses!D$3:D$1002,SMALL(IF((Expenses!E$3:E$1002="INR")*(Expenses!A$3:A$1002=DATE(2027,1,1)),ROW(Expenses!A$3:A$1002)-2),4)),0)+IFERROR(INDEX(Income!C$3:C$502,SMALL(IF((Income!D$3:D$502="INR")*(Income!A$3:A$502=DATE(2027,1,1)),ROW(Income!A$3:A$502)-2),4)),0)=0,"",IFERROR(-INDEX(Expenses!D$3:D$1002,SMALL(IF((Expenses!E$3:E$1002="INR")*(Expenses!A$3:A$1002=DATE(2027,1,1)),ROW(Expenses!A$3:A$1002)-2),4)),0)+IFERROR(INDEX(Income!C$3:C$502,SMALL(IF((Income!D$3:D$502="INR")*(Income!A$3:A$502=DATE(2027,1,1)),ROW(Income!A$3:A$502)-2),4)),0))</f>
        <v/>
      </c>
      <c r="L267" s="38" t="str">
        <f aca="false">IF(IFERROR(INDEX(Expenses!B$3:B$1002,SMALL(IF((Expenses!E$3:E$1002="INR")*(Expenses!A$3:A$1002=DATE(2027,1,1)),ROW(Expenses!A$3:A$1002)-2),4)),"")&lt;&gt;"",IFERROR(INDEX(Expenses!B$3:B$1002,SMALL(IF((Expenses!E$3:E$1002="INR")*(Expenses!A$3:A$1002=DATE(2027,1,1)),ROW(Expenses!A$3:A$1002)-2),4)),""),IF(IFERROR(INDEX(Income!B$3:B$502,SMALL(IF((Income!D$3:D$502="INR")*(Income!A$3:A$502=DATE(2027,1,1)),ROW(Income!A$3:A$502)-2),4)),"")&lt;&gt;"",IFERROR(INDEX(Income!B$3:B$502,SMALL(IF((Income!D$3:D$502="INR")*(Income!A$3:A$502=DATE(2027,1,1)),ROW(Income!A$3:A$502)-2),4)),""),""))</f>
        <v/>
      </c>
      <c r="M267" s="63" t="str">
        <f aca="false">IF(IFERROR(-INDEX(Expenses!D$3:D$1002,SMALL(IF((Expenses!E$3:E$1002="INR")*(Expenses!A$3:A$1002=DATE(2027,1,2)),ROW(Expenses!A$3:A$1002)-2),4)),0)+IFERROR(INDEX(Income!C$3:C$502,SMALL(IF((Income!D$3:D$502="INR")*(Income!A$3:A$502=DATE(2027,1,2)),ROW(Income!A$3:A$502)-2),4)),0)=0,"",IFERROR(-INDEX(Expenses!D$3:D$1002,SMALL(IF((Expenses!E$3:E$1002="INR")*(Expenses!A$3:A$1002=DATE(2027,1,2)),ROW(Expenses!A$3:A$1002)-2),4)),0)+IFERROR(INDEX(Income!C$3:C$502,SMALL(IF((Income!D$3:D$502="INR")*(Income!A$3:A$502=DATE(2027,1,2)),ROW(Income!A$3:A$502)-2),4)),0))</f>
        <v/>
      </c>
      <c r="N267" s="38" t="str">
        <f aca="false">IF(IFERROR(INDEX(Expenses!B$3:B$1002,SMALL(IF((Expenses!E$3:E$1002="INR")*(Expenses!A$3:A$1002=DATE(2027,1,2)),ROW(Expenses!A$3:A$1002)-2),4)),"")&lt;&gt;"",IFERROR(INDEX(Expenses!B$3:B$1002,SMALL(IF((Expenses!E$3:E$1002="INR")*(Expenses!A$3:A$1002=DATE(2027,1,2)),ROW(Expenses!A$3:A$1002)-2),4)),""),IF(IFERROR(INDEX(Income!B$3:B$502,SMALL(IF((Income!D$3:D$502="INR")*(Income!A$3:A$502=DATE(2027,1,2)),ROW(Income!A$3:A$502)-2),4)),"")&lt;&gt;"",IFERROR(INDEX(Income!B$3:B$502,SMALL(IF((Income!D$3:D$502="INR")*(Income!A$3:A$502=DATE(2027,1,2)),ROW(Income!A$3:A$502)-2),4)),""),""))</f>
        <v/>
      </c>
      <c r="O267" s="63" t="str">
        <f aca="false">IF(IFERROR(-INDEX(Expenses!D$3:D$1002,SMALL(IF((Expenses!E$3:E$1002="INR")*(Expenses!A$3:A$1002=DATE(2027,1,3)),ROW(Expenses!A$3:A$1002)-2),4)),0)+IFERROR(INDEX(Income!C$3:C$502,SMALL(IF((Income!D$3:D$502="INR")*(Income!A$3:A$502=DATE(2027,1,3)),ROW(Income!A$3:A$502)-2),4)),0)=0,"",IFERROR(-INDEX(Expenses!D$3:D$1002,SMALL(IF((Expenses!E$3:E$1002="INR")*(Expenses!A$3:A$1002=DATE(2027,1,3)),ROW(Expenses!A$3:A$1002)-2),4)),0)+IFERROR(INDEX(Income!C$3:C$502,SMALL(IF((Income!D$3:D$502="INR")*(Income!A$3:A$502=DATE(2027,1,3)),ROW(Income!A$3:A$502)-2),4)),0))</f>
        <v/>
      </c>
      <c r="P267" s="38" t="str">
        <f aca="false">IF(IFERROR(INDEX(Expenses!B$3:B$1002,SMALL(IF((Expenses!E$3:E$1002="INR")*(Expenses!A$3:A$1002=DATE(2027,1,3)),ROW(Expenses!A$3:A$1002)-2),4)),"")&lt;&gt;"",IFERROR(INDEX(Expenses!B$3:B$1002,SMALL(IF((Expenses!E$3:E$1002="INR")*(Expenses!A$3:A$1002=DATE(2027,1,3)),ROW(Expenses!A$3:A$1002)-2),4)),""),IF(IFERROR(INDEX(Income!B$3:B$502,SMALL(IF((Income!D$3:D$502="INR")*(Income!A$3:A$502=DATE(2027,1,3)),ROW(Income!A$3:A$502)-2),4)),"")&lt;&gt;"",IFERROR(INDEX(Income!B$3:B$502,SMALL(IF((Income!D$3:D$502="INR")*(Income!A$3:A$502=DATE(2027,1,3)),ROW(Income!A$3:A$502)-2),4)),""),""))</f>
        <v/>
      </c>
      <c r="Q267" s="16"/>
      <c r="R267" s="16"/>
    </row>
    <row r="268" customFormat="false" ht="15" hidden="false" customHeight="false" outlineLevel="0" collapsed="false">
      <c r="A268" s="16"/>
      <c r="B268" s="16"/>
      <c r="C268" s="63" t="str">
        <f aca="false">IF(IFERROR(-INDEX(Expenses!D$3:D$1002,SMALL(IF((Expenses!E$3:E$1002="INR")*(Expenses!A$3:A$1002=DATE(2026,12,28)),ROW(Expenses!A$3:A$1002)-2),5)),0)+IFERROR(INDEX(Income!C$3:C$502,SMALL(IF((Income!D$3:D$502="INR")*(Income!A$3:A$502=DATE(2026,12,28)),ROW(Income!A$3:A$502)-2),5)),0)=0,"",IFERROR(-INDEX(Expenses!D$3:D$1002,SMALL(IF((Expenses!E$3:E$1002="INR")*(Expenses!A$3:A$1002=DATE(2026,12,28)),ROW(Expenses!A$3:A$1002)-2),5)),0)+IFERROR(INDEX(Income!C$3:C$502,SMALL(IF((Income!D$3:D$502="INR")*(Income!A$3:A$502=DATE(2026,12,28)),ROW(Income!A$3:A$502)-2),5)),0))</f>
        <v/>
      </c>
      <c r="D268" s="38" t="str">
        <f aca="false">IF(IFERROR(INDEX(Expenses!B$3:B$1002,SMALL(IF((Expenses!E$3:E$1002="INR")*(Expenses!A$3:A$1002=DATE(2026,12,28)),ROW(Expenses!A$3:A$1002)-2),5)),"")&lt;&gt;"",IFERROR(INDEX(Expenses!B$3:B$1002,SMALL(IF((Expenses!E$3:E$1002="INR")*(Expenses!A$3:A$1002=DATE(2026,12,28)),ROW(Expenses!A$3:A$1002)-2),5)),""),IF(IFERROR(INDEX(Income!B$3:B$502,SMALL(IF((Income!D$3:D$502="INR")*(Income!A$3:A$502=DATE(2026,12,28)),ROW(Income!A$3:A$502)-2),5)),"")&lt;&gt;"",IFERROR(INDEX(Income!B$3:B$502,SMALL(IF((Income!D$3:D$502="INR")*(Income!A$3:A$502=DATE(2026,12,28)),ROW(Income!A$3:A$502)-2),5)),""),""))</f>
        <v/>
      </c>
      <c r="E268" s="63" t="str">
        <f aca="false">IF(IFERROR(-INDEX(Expenses!D$3:D$1002,SMALL(IF((Expenses!E$3:E$1002="INR")*(Expenses!A$3:A$1002=DATE(2026,12,29)),ROW(Expenses!A$3:A$1002)-2),5)),0)+IFERROR(INDEX(Income!C$3:C$502,SMALL(IF((Income!D$3:D$502="INR")*(Income!A$3:A$502=DATE(2026,12,29)),ROW(Income!A$3:A$502)-2),5)),0)=0,"",IFERROR(-INDEX(Expenses!D$3:D$1002,SMALL(IF((Expenses!E$3:E$1002="INR")*(Expenses!A$3:A$1002=DATE(2026,12,29)),ROW(Expenses!A$3:A$1002)-2),5)),0)+IFERROR(INDEX(Income!C$3:C$502,SMALL(IF((Income!D$3:D$502="INR")*(Income!A$3:A$502=DATE(2026,12,29)),ROW(Income!A$3:A$502)-2),5)),0))</f>
        <v/>
      </c>
      <c r="F268" s="38" t="str">
        <f aca="false">IF(IFERROR(INDEX(Expenses!B$3:B$1002,SMALL(IF((Expenses!E$3:E$1002="INR")*(Expenses!A$3:A$1002=DATE(2026,12,29)),ROW(Expenses!A$3:A$1002)-2),5)),"")&lt;&gt;"",IFERROR(INDEX(Expenses!B$3:B$1002,SMALL(IF((Expenses!E$3:E$1002="INR")*(Expenses!A$3:A$1002=DATE(2026,12,29)),ROW(Expenses!A$3:A$1002)-2),5)),""),IF(IFERROR(INDEX(Income!B$3:B$502,SMALL(IF((Income!D$3:D$502="INR")*(Income!A$3:A$502=DATE(2026,12,29)),ROW(Income!A$3:A$502)-2),5)),"")&lt;&gt;"",IFERROR(INDEX(Income!B$3:B$502,SMALL(IF((Income!D$3:D$502="INR")*(Income!A$3:A$502=DATE(2026,12,29)),ROW(Income!A$3:A$502)-2),5)),""),""))</f>
        <v/>
      </c>
      <c r="G268" s="63" t="str">
        <f aca="false">IF(IFERROR(-INDEX(Expenses!D$3:D$1002,SMALL(IF((Expenses!E$3:E$1002="INR")*(Expenses!A$3:A$1002=DATE(2026,12,30)),ROW(Expenses!A$3:A$1002)-2),5)),0)+IFERROR(INDEX(Income!C$3:C$502,SMALL(IF((Income!D$3:D$502="INR")*(Income!A$3:A$502=DATE(2026,12,30)),ROW(Income!A$3:A$502)-2),5)),0)=0,"",IFERROR(-INDEX(Expenses!D$3:D$1002,SMALL(IF((Expenses!E$3:E$1002="INR")*(Expenses!A$3:A$1002=DATE(2026,12,30)),ROW(Expenses!A$3:A$1002)-2),5)),0)+IFERROR(INDEX(Income!C$3:C$502,SMALL(IF((Income!D$3:D$502="INR")*(Income!A$3:A$502=DATE(2026,12,30)),ROW(Income!A$3:A$502)-2),5)),0))</f>
        <v/>
      </c>
      <c r="H268" s="38" t="str">
        <f aca="false">IF(IFERROR(INDEX(Expenses!B$3:B$1002,SMALL(IF((Expenses!E$3:E$1002="INR")*(Expenses!A$3:A$1002=DATE(2026,12,30)),ROW(Expenses!A$3:A$1002)-2),5)),"")&lt;&gt;"",IFERROR(INDEX(Expenses!B$3:B$1002,SMALL(IF((Expenses!E$3:E$1002="INR")*(Expenses!A$3:A$1002=DATE(2026,12,30)),ROW(Expenses!A$3:A$1002)-2),5)),""),IF(IFERROR(INDEX(Income!B$3:B$502,SMALL(IF((Income!D$3:D$502="INR")*(Income!A$3:A$502=DATE(2026,12,30)),ROW(Income!A$3:A$502)-2),5)),"")&lt;&gt;"",IFERROR(INDEX(Income!B$3:B$502,SMALL(IF((Income!D$3:D$502="INR")*(Income!A$3:A$502=DATE(2026,12,30)),ROW(Income!A$3:A$502)-2),5)),""),""))</f>
        <v/>
      </c>
      <c r="I268" s="63" t="str">
        <f aca="false">IF(IFERROR(-INDEX(Expenses!D$3:D$1002,SMALL(IF((Expenses!E$3:E$1002="INR")*(Expenses!A$3:A$1002=DATE(2026,12,31)),ROW(Expenses!A$3:A$1002)-2),5)),0)+IFERROR(INDEX(Income!C$3:C$502,SMALL(IF((Income!D$3:D$502="INR")*(Income!A$3:A$502=DATE(2026,12,31)),ROW(Income!A$3:A$502)-2),5)),0)=0,"",IFERROR(-INDEX(Expenses!D$3:D$1002,SMALL(IF((Expenses!E$3:E$1002="INR")*(Expenses!A$3:A$1002=DATE(2026,12,31)),ROW(Expenses!A$3:A$1002)-2),5)),0)+IFERROR(INDEX(Income!C$3:C$502,SMALL(IF((Income!D$3:D$502="INR")*(Income!A$3:A$502=DATE(2026,12,31)),ROW(Income!A$3:A$502)-2),5)),0))</f>
        <v/>
      </c>
      <c r="J268" s="38" t="str">
        <f aca="false">IF(IFERROR(INDEX(Expenses!B$3:B$1002,SMALL(IF((Expenses!E$3:E$1002="INR")*(Expenses!A$3:A$1002=DATE(2026,12,31)),ROW(Expenses!A$3:A$1002)-2),5)),"")&lt;&gt;"",IFERROR(INDEX(Expenses!B$3:B$1002,SMALL(IF((Expenses!E$3:E$1002="INR")*(Expenses!A$3:A$1002=DATE(2026,12,31)),ROW(Expenses!A$3:A$1002)-2),5)),""),IF(IFERROR(INDEX(Income!B$3:B$502,SMALL(IF((Income!D$3:D$502="INR")*(Income!A$3:A$502=DATE(2026,12,31)),ROW(Income!A$3:A$502)-2),5)),"")&lt;&gt;"",IFERROR(INDEX(Income!B$3:B$502,SMALL(IF((Income!D$3:D$502="INR")*(Income!A$3:A$502=DATE(2026,12,31)),ROW(Income!A$3:A$502)-2),5)),""),""))</f>
        <v/>
      </c>
      <c r="K268" s="63" t="str">
        <f aca="false">IF(IFERROR(-INDEX(Expenses!D$3:D$1002,SMALL(IF((Expenses!E$3:E$1002="INR")*(Expenses!A$3:A$1002=DATE(2027,1,1)),ROW(Expenses!A$3:A$1002)-2),5)),0)+IFERROR(INDEX(Income!C$3:C$502,SMALL(IF((Income!D$3:D$502="INR")*(Income!A$3:A$502=DATE(2027,1,1)),ROW(Income!A$3:A$502)-2),5)),0)=0,"",IFERROR(-INDEX(Expenses!D$3:D$1002,SMALL(IF((Expenses!E$3:E$1002="INR")*(Expenses!A$3:A$1002=DATE(2027,1,1)),ROW(Expenses!A$3:A$1002)-2),5)),0)+IFERROR(INDEX(Income!C$3:C$502,SMALL(IF((Income!D$3:D$502="INR")*(Income!A$3:A$502=DATE(2027,1,1)),ROW(Income!A$3:A$502)-2),5)),0))</f>
        <v/>
      </c>
      <c r="L268" s="38" t="str">
        <f aca="false">IF(IFERROR(INDEX(Expenses!B$3:B$1002,SMALL(IF((Expenses!E$3:E$1002="INR")*(Expenses!A$3:A$1002=DATE(2027,1,1)),ROW(Expenses!A$3:A$1002)-2),5)),"")&lt;&gt;"",IFERROR(INDEX(Expenses!B$3:B$1002,SMALL(IF((Expenses!E$3:E$1002="INR")*(Expenses!A$3:A$1002=DATE(2027,1,1)),ROW(Expenses!A$3:A$1002)-2),5)),""),IF(IFERROR(INDEX(Income!B$3:B$502,SMALL(IF((Income!D$3:D$502="INR")*(Income!A$3:A$502=DATE(2027,1,1)),ROW(Income!A$3:A$502)-2),5)),"")&lt;&gt;"",IFERROR(INDEX(Income!B$3:B$502,SMALL(IF((Income!D$3:D$502="INR")*(Income!A$3:A$502=DATE(2027,1,1)),ROW(Income!A$3:A$502)-2),5)),""),""))</f>
        <v/>
      </c>
      <c r="M268" s="63" t="str">
        <f aca="false">IF(IFERROR(-INDEX(Expenses!D$3:D$1002,SMALL(IF((Expenses!E$3:E$1002="INR")*(Expenses!A$3:A$1002=DATE(2027,1,2)),ROW(Expenses!A$3:A$1002)-2),5)),0)+IFERROR(INDEX(Income!C$3:C$502,SMALL(IF((Income!D$3:D$502="INR")*(Income!A$3:A$502=DATE(2027,1,2)),ROW(Income!A$3:A$502)-2),5)),0)=0,"",IFERROR(-INDEX(Expenses!D$3:D$1002,SMALL(IF((Expenses!E$3:E$1002="INR")*(Expenses!A$3:A$1002=DATE(2027,1,2)),ROW(Expenses!A$3:A$1002)-2),5)),0)+IFERROR(INDEX(Income!C$3:C$502,SMALL(IF((Income!D$3:D$502="INR")*(Income!A$3:A$502=DATE(2027,1,2)),ROW(Income!A$3:A$502)-2),5)),0))</f>
        <v/>
      </c>
      <c r="N268" s="38" t="str">
        <f aca="false">IF(IFERROR(INDEX(Expenses!B$3:B$1002,SMALL(IF((Expenses!E$3:E$1002="INR")*(Expenses!A$3:A$1002=DATE(2027,1,2)),ROW(Expenses!A$3:A$1002)-2),5)),"")&lt;&gt;"",IFERROR(INDEX(Expenses!B$3:B$1002,SMALL(IF((Expenses!E$3:E$1002="INR")*(Expenses!A$3:A$1002=DATE(2027,1,2)),ROW(Expenses!A$3:A$1002)-2),5)),""),IF(IFERROR(INDEX(Income!B$3:B$502,SMALL(IF((Income!D$3:D$502="INR")*(Income!A$3:A$502=DATE(2027,1,2)),ROW(Income!A$3:A$502)-2),5)),"")&lt;&gt;"",IFERROR(INDEX(Income!B$3:B$502,SMALL(IF((Income!D$3:D$502="INR")*(Income!A$3:A$502=DATE(2027,1,2)),ROW(Income!A$3:A$502)-2),5)),""),""))</f>
        <v/>
      </c>
      <c r="O268" s="63" t="str">
        <f aca="false">IF(IFERROR(-INDEX(Expenses!D$3:D$1002,SMALL(IF((Expenses!E$3:E$1002="INR")*(Expenses!A$3:A$1002=DATE(2027,1,3)),ROW(Expenses!A$3:A$1002)-2),5)),0)+IFERROR(INDEX(Income!C$3:C$502,SMALL(IF((Income!D$3:D$502="INR")*(Income!A$3:A$502=DATE(2027,1,3)),ROW(Income!A$3:A$502)-2),5)),0)=0,"",IFERROR(-INDEX(Expenses!D$3:D$1002,SMALL(IF((Expenses!E$3:E$1002="INR")*(Expenses!A$3:A$1002=DATE(2027,1,3)),ROW(Expenses!A$3:A$1002)-2),5)),0)+IFERROR(INDEX(Income!C$3:C$502,SMALL(IF((Income!D$3:D$502="INR")*(Income!A$3:A$502=DATE(2027,1,3)),ROW(Income!A$3:A$502)-2),5)),0))</f>
        <v/>
      </c>
      <c r="P268" s="38" t="str">
        <f aca="false">IF(IFERROR(INDEX(Expenses!B$3:B$1002,SMALL(IF((Expenses!E$3:E$1002="INR")*(Expenses!A$3:A$1002=DATE(2027,1,3)),ROW(Expenses!A$3:A$1002)-2),5)),"")&lt;&gt;"",IFERROR(INDEX(Expenses!B$3:B$1002,SMALL(IF((Expenses!E$3:E$1002="INR")*(Expenses!A$3:A$1002=DATE(2027,1,3)),ROW(Expenses!A$3:A$1002)-2),5)),""),IF(IFERROR(INDEX(Income!B$3:B$502,SMALL(IF((Income!D$3:D$502="INR")*(Income!A$3:A$502=DATE(2027,1,3)),ROW(Income!A$3:A$502)-2),5)),"")&lt;&gt;"",IFERROR(INDEX(Income!B$3:B$502,SMALL(IF((Income!D$3:D$502="INR")*(Income!A$3:A$502=DATE(2027,1,3)),ROW(Income!A$3:A$502)-2),5)),""),""))</f>
        <v/>
      </c>
      <c r="Q268" s="16"/>
      <c r="R268" s="16"/>
    </row>
  </sheetData>
  <mergeCells count="8">
    <mergeCell ref="A1:R1"/>
    <mergeCell ref="C2:D2"/>
    <mergeCell ref="E2:F2"/>
    <mergeCell ref="G2:H2"/>
    <mergeCell ref="I2:J2"/>
    <mergeCell ref="K2:L2"/>
    <mergeCell ref="M2:N2"/>
    <mergeCell ref="O2:P2"/>
  </mergeCells>
  <conditionalFormatting sqref="C4:C269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4:E269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0">
      <formula>0</formula>
    </cfRule>
  </conditionalFormatting>
  <conditionalFormatting sqref="G4:G269">
    <cfRule type="cellIs" priority="6" operator="lessThan" aboveAverage="0" equalAverage="0" bottom="0" percent="0" rank="0" text="" dxfId="1">
      <formula>0</formula>
    </cfRule>
    <cfRule type="cellIs" priority="7" operator="greaterThan" aboveAverage="0" equalAverage="0" bottom="0" percent="0" rank="0" text="" dxfId="0">
      <formula>0</formula>
    </cfRule>
  </conditionalFormatting>
  <conditionalFormatting sqref="I4:I269">
    <cfRule type="cellIs" priority="8" operator="lessThan" aboveAverage="0" equalAverage="0" bottom="0" percent="0" rank="0" text="" dxfId="1">
      <formula>0</formula>
    </cfRule>
    <cfRule type="cellIs" priority="9" operator="greaterThan" aboveAverage="0" equalAverage="0" bottom="0" percent="0" rank="0" text="" dxfId="0">
      <formula>0</formula>
    </cfRule>
  </conditionalFormatting>
  <conditionalFormatting sqref="K4:K269">
    <cfRule type="cellIs" priority="10" operator="lessThan" aboveAverage="0" equalAverage="0" bottom="0" percent="0" rank="0" text="" dxfId="1">
      <formula>0</formula>
    </cfRule>
    <cfRule type="cellIs" priority="11" operator="greaterThan" aboveAverage="0" equalAverage="0" bottom="0" percent="0" rank="0" text="" dxfId="0">
      <formula>0</formula>
    </cfRule>
  </conditionalFormatting>
  <conditionalFormatting sqref="M4:M269">
    <cfRule type="cellIs" priority="12" operator="lessThan" aboveAverage="0" equalAverage="0" bottom="0" percent="0" rank="0" text="" dxfId="1">
      <formula>0</formula>
    </cfRule>
    <cfRule type="cellIs" priority="13" operator="greaterThan" aboveAverage="0" equalAverage="0" bottom="0" percent="0" rank="0" text="" dxfId="0">
      <formula>0</formula>
    </cfRule>
  </conditionalFormatting>
  <conditionalFormatting sqref="O4:O269">
    <cfRule type="cellIs" priority="14" operator="lessThan" aboveAverage="0" equalAverage="0" bottom="0" percent="0" rank="0" text="" dxfId="1">
      <formula>0</formula>
    </cfRule>
    <cfRule type="cellIs" priority="15" operator="greaterThan" aboveAverage="0" equalAverage="0" bottom="0" percent="0" rank="0" text="" dxfId="0">
      <formula>0</formula>
    </cfRule>
  </conditionalFormatting>
  <conditionalFormatting sqref="R4:R269">
    <cfRule type="cellIs" priority="16" operator="lessThan" aboveAverage="0" equalAverage="0" bottom="0" percent="0" rank="0" text="" dxfId="1">
      <formula>0</formula>
    </cfRule>
    <cfRule type="cellIs" priority="17" operator="greater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11" min="6" style="0" width="14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85" hidden="false" customHeight="false" outlineLevel="0" collapsed="false">
      <c r="A2" s="31" t="s">
        <v>162</v>
      </c>
      <c r="B2" s="31" t="s">
        <v>109</v>
      </c>
      <c r="C2" s="31" t="s">
        <v>163</v>
      </c>
      <c r="D2" s="31" t="s">
        <v>59</v>
      </c>
      <c r="E2" s="31" t="s">
        <v>164</v>
      </c>
      <c r="F2" s="31" t="s">
        <v>165</v>
      </c>
      <c r="G2" s="31" t="s">
        <v>166</v>
      </c>
      <c r="H2" s="31" t="s">
        <v>167</v>
      </c>
      <c r="I2" s="31" t="s">
        <v>168</v>
      </c>
      <c r="J2" s="31" t="s">
        <v>169</v>
      </c>
      <c r="K2" s="31" t="s">
        <v>170</v>
      </c>
      <c r="L2" s="31" t="s">
        <v>171</v>
      </c>
    </row>
    <row r="3" customFormat="false" ht="15" hidden="false" customHeight="false" outlineLevel="0" collapsed="false">
      <c r="A3" s="38"/>
      <c r="B3" s="38"/>
      <c r="C3" s="38"/>
      <c r="D3" s="38"/>
      <c r="E3" s="39"/>
      <c r="F3" s="64"/>
      <c r="G3" s="39"/>
      <c r="H3" s="37"/>
      <c r="I3" s="37"/>
      <c r="J3" s="33" t="str">
        <f aca="true">IF(I3="","",MAX(0,DATEDIF(TODAY(),I3,"M")))</f>
        <v/>
      </c>
      <c r="K3" s="41" t="str">
        <f aca="true">IF(H3="","",G3*MAX(0,DATEDIF(H3,TODAY(),"M")))</f>
        <v/>
      </c>
      <c r="L3" s="42" t="str">
        <f aca="false">IF(E3="","",E3-K3)</f>
        <v/>
      </c>
    </row>
    <row r="4" customFormat="false" ht="15" hidden="false" customHeight="false" outlineLevel="0" collapsed="false">
      <c r="A4" s="38"/>
      <c r="B4" s="38"/>
      <c r="C4" s="38"/>
      <c r="D4" s="38"/>
      <c r="E4" s="39"/>
      <c r="F4" s="64"/>
      <c r="G4" s="39"/>
      <c r="H4" s="37"/>
      <c r="I4" s="37"/>
      <c r="J4" s="33" t="str">
        <f aca="true">IF(I4="","",MAX(0,DATEDIF(TODAY(),I4,"M")))</f>
        <v/>
      </c>
      <c r="K4" s="41" t="str">
        <f aca="true">IF(H4="","",G4*MAX(0,DATEDIF(H4,TODAY(),"M")))</f>
        <v/>
      </c>
      <c r="L4" s="42" t="str">
        <f aca="false">IF(E4="","",E4-K4)</f>
        <v/>
      </c>
    </row>
    <row r="5" customFormat="false" ht="15" hidden="false" customHeight="false" outlineLevel="0" collapsed="false">
      <c r="A5" s="38"/>
      <c r="B5" s="38"/>
      <c r="C5" s="38"/>
      <c r="D5" s="38"/>
      <c r="E5" s="39"/>
      <c r="F5" s="64"/>
      <c r="G5" s="39"/>
      <c r="H5" s="37"/>
      <c r="I5" s="37"/>
      <c r="J5" s="33" t="str">
        <f aca="true">IF(I5="","",MAX(0,DATEDIF(TODAY(),I5,"M")))</f>
        <v/>
      </c>
      <c r="K5" s="41" t="str">
        <f aca="true">IF(H5="","",G5*MAX(0,DATEDIF(H5,TODAY(),"M")))</f>
        <v/>
      </c>
      <c r="L5" s="42" t="str">
        <f aca="false">IF(E5="","",E5-K5)</f>
        <v/>
      </c>
    </row>
    <row r="6" customFormat="false" ht="15" hidden="false" customHeight="false" outlineLevel="0" collapsed="false">
      <c r="A6" s="38"/>
      <c r="B6" s="38"/>
      <c r="C6" s="38"/>
      <c r="D6" s="38"/>
      <c r="E6" s="39"/>
      <c r="F6" s="64"/>
      <c r="G6" s="39"/>
      <c r="H6" s="37"/>
      <c r="I6" s="37"/>
      <c r="J6" s="33" t="str">
        <f aca="true">IF(I6="","",MAX(0,DATEDIF(TODAY(),I6,"M")))</f>
        <v/>
      </c>
      <c r="K6" s="41" t="str">
        <f aca="true">IF(H6="","",G6*MAX(0,DATEDIF(H6,TODAY(),"M")))</f>
        <v/>
      </c>
      <c r="L6" s="42" t="str">
        <f aca="false">IF(E6="","",E6-K6)</f>
        <v/>
      </c>
    </row>
    <row r="7" customFormat="false" ht="15" hidden="false" customHeight="false" outlineLevel="0" collapsed="false">
      <c r="A7" s="38"/>
      <c r="B7" s="38"/>
      <c r="C7" s="38"/>
      <c r="D7" s="38"/>
      <c r="E7" s="39"/>
      <c r="F7" s="64"/>
      <c r="G7" s="39"/>
      <c r="H7" s="37"/>
      <c r="I7" s="37"/>
      <c r="J7" s="33" t="str">
        <f aca="true">IF(I7="","",MAX(0,DATEDIF(TODAY(),I7,"M")))</f>
        <v/>
      </c>
      <c r="K7" s="41" t="str">
        <f aca="true">IF(H7="","",G7*MAX(0,DATEDIF(H7,TODAY(),"M")))</f>
        <v/>
      </c>
      <c r="L7" s="42" t="str">
        <f aca="false">IF(E7="","",E7-K7)</f>
        <v/>
      </c>
    </row>
    <row r="8" customFormat="false" ht="15" hidden="false" customHeight="false" outlineLevel="0" collapsed="false">
      <c r="A8" s="38"/>
      <c r="B8" s="38"/>
      <c r="C8" s="38"/>
      <c r="D8" s="38"/>
      <c r="E8" s="39"/>
      <c r="F8" s="64"/>
      <c r="G8" s="39"/>
      <c r="H8" s="37"/>
      <c r="I8" s="37"/>
      <c r="J8" s="33" t="str">
        <f aca="true">IF(I8="","",MAX(0,DATEDIF(TODAY(),I8,"M")))</f>
        <v/>
      </c>
      <c r="K8" s="41" t="str">
        <f aca="true">IF(H8="","",G8*MAX(0,DATEDIF(H8,TODAY(),"M")))</f>
        <v/>
      </c>
      <c r="L8" s="42" t="str">
        <f aca="false">IF(E8="","",E8-K8)</f>
        <v/>
      </c>
    </row>
    <row r="9" customFormat="false" ht="15" hidden="false" customHeight="false" outlineLevel="0" collapsed="false">
      <c r="A9" s="38"/>
      <c r="B9" s="38"/>
      <c r="C9" s="38"/>
      <c r="D9" s="38"/>
      <c r="E9" s="39"/>
      <c r="F9" s="64"/>
      <c r="G9" s="39"/>
      <c r="H9" s="37"/>
      <c r="I9" s="37"/>
      <c r="J9" s="33" t="str">
        <f aca="true">IF(I9="","",MAX(0,DATEDIF(TODAY(),I9,"M")))</f>
        <v/>
      </c>
      <c r="K9" s="41" t="str">
        <f aca="true">IF(H9="","",G9*MAX(0,DATEDIF(H9,TODAY(),"M")))</f>
        <v/>
      </c>
      <c r="L9" s="42" t="str">
        <f aca="false">IF(E9="","",E9-K9)</f>
        <v/>
      </c>
    </row>
    <row r="10" customFormat="false" ht="15" hidden="false" customHeight="false" outlineLevel="0" collapsed="false">
      <c r="A10" s="38"/>
      <c r="B10" s="38"/>
      <c r="C10" s="38"/>
      <c r="D10" s="38"/>
      <c r="E10" s="39"/>
      <c r="F10" s="64"/>
      <c r="G10" s="39"/>
      <c r="H10" s="37"/>
      <c r="I10" s="37"/>
      <c r="J10" s="33" t="str">
        <f aca="true">IF(I10="","",MAX(0,DATEDIF(TODAY(),I10,"M")))</f>
        <v/>
      </c>
      <c r="K10" s="41" t="str">
        <f aca="true">IF(H10="","",G10*MAX(0,DATEDIF(H10,TODAY(),"M")))</f>
        <v/>
      </c>
      <c r="L10" s="42" t="str">
        <f aca="false">IF(E10="","",E10-K10)</f>
        <v/>
      </c>
    </row>
    <row r="11" customFormat="false" ht="15" hidden="false" customHeight="false" outlineLevel="0" collapsed="false">
      <c r="A11" s="38"/>
      <c r="B11" s="38"/>
      <c r="C11" s="38"/>
      <c r="D11" s="38"/>
      <c r="E11" s="39"/>
      <c r="F11" s="64"/>
      <c r="G11" s="39"/>
      <c r="H11" s="37"/>
      <c r="I11" s="37"/>
      <c r="J11" s="33" t="str">
        <f aca="true">IF(I11="","",MAX(0,DATEDIF(TODAY(),I11,"M")))</f>
        <v/>
      </c>
      <c r="K11" s="41" t="str">
        <f aca="true">IF(H11="","",G11*MAX(0,DATEDIF(H11,TODAY(),"M")))</f>
        <v/>
      </c>
      <c r="L11" s="42" t="str">
        <f aca="false">IF(E11="","",E11-K11)</f>
        <v/>
      </c>
    </row>
    <row r="12" customFormat="false" ht="15" hidden="false" customHeight="false" outlineLevel="0" collapsed="false">
      <c r="A12" s="38"/>
      <c r="B12" s="38"/>
      <c r="C12" s="38"/>
      <c r="D12" s="38"/>
      <c r="E12" s="39"/>
      <c r="F12" s="64"/>
      <c r="G12" s="39"/>
      <c r="H12" s="37"/>
      <c r="I12" s="37"/>
      <c r="J12" s="33" t="str">
        <f aca="true">IF(I12="","",MAX(0,DATEDIF(TODAY(),I12,"M")))</f>
        <v/>
      </c>
      <c r="K12" s="41" t="str">
        <f aca="true">IF(H12="","",G12*MAX(0,DATEDIF(H12,TODAY(),"M")))</f>
        <v/>
      </c>
      <c r="L12" s="42" t="str">
        <f aca="false">IF(E12="","",E12-K12)</f>
        <v/>
      </c>
    </row>
    <row r="13" customFormat="false" ht="15" hidden="false" customHeight="false" outlineLevel="0" collapsed="false">
      <c r="A13" s="38"/>
      <c r="B13" s="38"/>
      <c r="C13" s="38"/>
      <c r="D13" s="38"/>
      <c r="E13" s="39"/>
      <c r="F13" s="64"/>
      <c r="G13" s="39"/>
      <c r="H13" s="37"/>
      <c r="I13" s="37"/>
      <c r="J13" s="33" t="str">
        <f aca="true">IF(I13="","",MAX(0,DATEDIF(TODAY(),I13,"M")))</f>
        <v/>
      </c>
      <c r="K13" s="41" t="str">
        <f aca="true">IF(H13="","",G13*MAX(0,DATEDIF(H13,TODAY(),"M")))</f>
        <v/>
      </c>
      <c r="L13" s="42" t="str">
        <f aca="false">IF(E13="","",E13-K13)</f>
        <v/>
      </c>
    </row>
    <row r="14" customFormat="false" ht="15" hidden="false" customHeight="false" outlineLevel="0" collapsed="false">
      <c r="A14" s="38"/>
      <c r="B14" s="38"/>
      <c r="C14" s="38"/>
      <c r="D14" s="38"/>
      <c r="E14" s="39"/>
      <c r="F14" s="64"/>
      <c r="G14" s="39"/>
      <c r="H14" s="37"/>
      <c r="I14" s="37"/>
      <c r="J14" s="33" t="str">
        <f aca="true">IF(I14="","",MAX(0,DATEDIF(TODAY(),I14,"M")))</f>
        <v/>
      </c>
      <c r="K14" s="41" t="str">
        <f aca="true">IF(H14="","",G14*MAX(0,DATEDIF(H14,TODAY(),"M")))</f>
        <v/>
      </c>
      <c r="L14" s="42" t="str">
        <f aca="false">IF(E14="","",E14-K14)</f>
        <v/>
      </c>
    </row>
    <row r="15" customFormat="false" ht="15" hidden="false" customHeight="false" outlineLevel="0" collapsed="false">
      <c r="A15" s="38"/>
      <c r="B15" s="38"/>
      <c r="C15" s="38"/>
      <c r="D15" s="38"/>
      <c r="E15" s="39"/>
      <c r="F15" s="64"/>
      <c r="G15" s="39"/>
      <c r="H15" s="37"/>
      <c r="I15" s="37"/>
      <c r="J15" s="33" t="str">
        <f aca="true">IF(I15="","",MAX(0,DATEDIF(TODAY(),I15,"M")))</f>
        <v/>
      </c>
      <c r="K15" s="41" t="str">
        <f aca="true">IF(H15="","",G15*MAX(0,DATEDIF(H15,TODAY(),"M")))</f>
        <v/>
      </c>
      <c r="L15" s="42" t="str">
        <f aca="false">IF(E15="","",E15-K15)</f>
        <v/>
      </c>
    </row>
    <row r="16" customFormat="false" ht="15" hidden="false" customHeight="false" outlineLevel="0" collapsed="false">
      <c r="A16" s="38"/>
      <c r="B16" s="38"/>
      <c r="C16" s="38"/>
      <c r="D16" s="38"/>
      <c r="E16" s="39"/>
      <c r="F16" s="64"/>
      <c r="G16" s="39"/>
      <c r="H16" s="37"/>
      <c r="I16" s="37"/>
      <c r="J16" s="33" t="str">
        <f aca="true">IF(I16="","",MAX(0,DATEDIF(TODAY(),I16,"M")))</f>
        <v/>
      </c>
      <c r="K16" s="41" t="str">
        <f aca="true">IF(H16="","",G16*MAX(0,DATEDIF(H16,TODAY(),"M")))</f>
        <v/>
      </c>
      <c r="L16" s="42" t="str">
        <f aca="false">IF(E16="","",E16-K16)</f>
        <v/>
      </c>
    </row>
    <row r="17" customFormat="false" ht="15" hidden="false" customHeight="false" outlineLevel="0" collapsed="false">
      <c r="A17" s="38"/>
      <c r="B17" s="38"/>
      <c r="C17" s="38"/>
      <c r="D17" s="38"/>
      <c r="E17" s="39"/>
      <c r="F17" s="64"/>
      <c r="G17" s="39"/>
      <c r="H17" s="37"/>
      <c r="I17" s="37"/>
      <c r="J17" s="33" t="str">
        <f aca="true">IF(I17="","",MAX(0,DATEDIF(TODAY(),I17,"M")))</f>
        <v/>
      </c>
      <c r="K17" s="41" t="str">
        <f aca="true">IF(H17="","",G17*MAX(0,DATEDIF(H17,TODAY(),"M")))</f>
        <v/>
      </c>
      <c r="L17" s="42" t="str">
        <f aca="false">IF(E17="","",E17-K17)</f>
        <v/>
      </c>
    </row>
    <row r="18" customFormat="false" ht="15" hidden="false" customHeight="false" outlineLevel="0" collapsed="false">
      <c r="A18" s="38"/>
      <c r="B18" s="38"/>
      <c r="C18" s="38"/>
      <c r="D18" s="38"/>
      <c r="E18" s="39"/>
      <c r="F18" s="64"/>
      <c r="G18" s="39"/>
      <c r="H18" s="37"/>
      <c r="I18" s="37"/>
      <c r="J18" s="33" t="str">
        <f aca="true">IF(I18="","",MAX(0,DATEDIF(TODAY(),I18,"M")))</f>
        <v/>
      </c>
      <c r="K18" s="41" t="str">
        <f aca="true">IF(H18="","",G18*MAX(0,DATEDIF(H18,TODAY(),"M")))</f>
        <v/>
      </c>
      <c r="L18" s="42" t="str">
        <f aca="false">IF(E18="","",E18-K18)</f>
        <v/>
      </c>
    </row>
    <row r="19" customFormat="false" ht="15" hidden="false" customHeight="false" outlineLevel="0" collapsed="false">
      <c r="A19" s="38"/>
      <c r="B19" s="38"/>
      <c r="C19" s="38"/>
      <c r="D19" s="38"/>
      <c r="E19" s="39"/>
      <c r="F19" s="64"/>
      <c r="G19" s="39"/>
      <c r="H19" s="37"/>
      <c r="I19" s="37"/>
      <c r="J19" s="33" t="str">
        <f aca="true">IF(I19="","",MAX(0,DATEDIF(TODAY(),I19,"M")))</f>
        <v/>
      </c>
      <c r="K19" s="41" t="str">
        <f aca="true">IF(H19="","",G19*MAX(0,DATEDIF(H19,TODAY(),"M")))</f>
        <v/>
      </c>
      <c r="L19" s="42" t="str">
        <f aca="false">IF(E19="","",E19-K19)</f>
        <v/>
      </c>
    </row>
    <row r="20" customFormat="false" ht="15" hidden="false" customHeight="false" outlineLevel="0" collapsed="false">
      <c r="A20" s="38"/>
      <c r="B20" s="38"/>
      <c r="C20" s="38"/>
      <c r="D20" s="38"/>
      <c r="E20" s="39"/>
      <c r="F20" s="64"/>
      <c r="G20" s="39"/>
      <c r="H20" s="37"/>
      <c r="I20" s="37"/>
      <c r="J20" s="33" t="str">
        <f aca="true">IF(I20="","",MAX(0,DATEDIF(TODAY(),I20,"M")))</f>
        <v/>
      </c>
      <c r="K20" s="41" t="str">
        <f aca="true">IF(H20="","",G20*MAX(0,DATEDIF(H20,TODAY(),"M")))</f>
        <v/>
      </c>
      <c r="L20" s="42" t="str">
        <f aca="false">IF(E20="","",E20-K20)</f>
        <v/>
      </c>
    </row>
    <row r="21" customFormat="false" ht="15" hidden="false" customHeight="false" outlineLevel="0" collapsed="false">
      <c r="A21" s="38"/>
      <c r="B21" s="38"/>
      <c r="C21" s="38"/>
      <c r="D21" s="38"/>
      <c r="E21" s="39"/>
      <c r="F21" s="64"/>
      <c r="G21" s="39"/>
      <c r="H21" s="37"/>
      <c r="I21" s="37"/>
      <c r="J21" s="33" t="str">
        <f aca="true">IF(I21="","",MAX(0,DATEDIF(TODAY(),I21,"M")))</f>
        <v/>
      </c>
      <c r="K21" s="41" t="str">
        <f aca="true">IF(H21="","",G21*MAX(0,DATEDIF(H21,TODAY(),"M")))</f>
        <v/>
      </c>
      <c r="L21" s="42" t="str">
        <f aca="false">IF(E21="","",E21-K21)</f>
        <v/>
      </c>
    </row>
    <row r="22" customFormat="false" ht="15" hidden="false" customHeight="false" outlineLevel="0" collapsed="false">
      <c r="A22" s="38"/>
      <c r="B22" s="38"/>
      <c r="C22" s="38"/>
      <c r="D22" s="38"/>
      <c r="E22" s="39"/>
      <c r="F22" s="64"/>
      <c r="G22" s="39"/>
      <c r="H22" s="37"/>
      <c r="I22" s="37"/>
      <c r="J22" s="33" t="str">
        <f aca="true">IF(I22="","",MAX(0,DATEDIF(TODAY(),I22,"M")))</f>
        <v/>
      </c>
      <c r="K22" s="41" t="str">
        <f aca="true">IF(H22="","",G22*MAX(0,DATEDIF(H22,TODAY(),"M")))</f>
        <v/>
      </c>
      <c r="L22" s="42" t="str">
        <f aca="false">IF(E22="","",E22-K22)</f>
        <v/>
      </c>
    </row>
    <row r="23" customFormat="false" ht="15" hidden="false" customHeight="false" outlineLevel="0" collapsed="false">
      <c r="A23" s="38"/>
      <c r="B23" s="38"/>
      <c r="C23" s="38"/>
      <c r="D23" s="38"/>
      <c r="E23" s="39"/>
      <c r="F23" s="64"/>
      <c r="G23" s="39"/>
      <c r="H23" s="37"/>
      <c r="I23" s="37"/>
      <c r="J23" s="33" t="str">
        <f aca="true">IF(I23="","",MAX(0,DATEDIF(TODAY(),I23,"M")))</f>
        <v/>
      </c>
      <c r="K23" s="41" t="str">
        <f aca="true">IF(H23="","",G23*MAX(0,DATEDIF(H23,TODAY(),"M")))</f>
        <v/>
      </c>
      <c r="L23" s="42" t="str">
        <f aca="false">IF(E23="","",E23-K23)</f>
        <v/>
      </c>
    </row>
    <row r="24" customFormat="false" ht="15" hidden="false" customHeight="false" outlineLevel="0" collapsed="false">
      <c r="A24" s="38"/>
      <c r="B24" s="38"/>
      <c r="C24" s="38"/>
      <c r="D24" s="38"/>
      <c r="E24" s="39"/>
      <c r="F24" s="64"/>
      <c r="G24" s="39"/>
      <c r="H24" s="37"/>
      <c r="I24" s="37"/>
      <c r="J24" s="33" t="str">
        <f aca="true">IF(I24="","",MAX(0,DATEDIF(TODAY(),I24,"M")))</f>
        <v/>
      </c>
      <c r="K24" s="41" t="str">
        <f aca="true">IF(H24="","",G24*MAX(0,DATEDIF(H24,TODAY(),"M")))</f>
        <v/>
      </c>
      <c r="L24" s="42" t="str">
        <f aca="false">IF(E24="","",E24-K24)</f>
        <v/>
      </c>
    </row>
    <row r="25" customFormat="false" ht="15" hidden="false" customHeight="false" outlineLevel="0" collapsed="false">
      <c r="A25" s="38"/>
      <c r="B25" s="38"/>
      <c r="C25" s="38"/>
      <c r="D25" s="38"/>
      <c r="E25" s="39"/>
      <c r="F25" s="64"/>
      <c r="G25" s="39"/>
      <c r="H25" s="37"/>
      <c r="I25" s="37"/>
      <c r="J25" s="33" t="str">
        <f aca="true">IF(I25="","",MAX(0,DATEDIF(TODAY(),I25,"M")))</f>
        <v/>
      </c>
      <c r="K25" s="41" t="str">
        <f aca="true">IF(H25="","",G25*MAX(0,DATEDIF(H25,TODAY(),"M")))</f>
        <v/>
      </c>
      <c r="L25" s="42" t="str">
        <f aca="false">IF(E25="","",E25-K25)</f>
        <v/>
      </c>
    </row>
    <row r="26" customFormat="false" ht="15" hidden="false" customHeight="false" outlineLevel="0" collapsed="false">
      <c r="A26" s="38"/>
      <c r="B26" s="38"/>
      <c r="C26" s="38"/>
      <c r="D26" s="38"/>
      <c r="E26" s="39"/>
      <c r="F26" s="64"/>
      <c r="G26" s="39"/>
      <c r="H26" s="37"/>
      <c r="I26" s="37"/>
      <c r="J26" s="33" t="str">
        <f aca="true">IF(I26="","",MAX(0,DATEDIF(TODAY(),I26,"M")))</f>
        <v/>
      </c>
      <c r="K26" s="41" t="str">
        <f aca="true">IF(H26="","",G26*MAX(0,DATEDIF(H26,TODAY(),"M")))</f>
        <v/>
      </c>
      <c r="L26" s="42" t="str">
        <f aca="false">IF(E26="","",E26-K26)</f>
        <v/>
      </c>
    </row>
    <row r="27" customFormat="false" ht="15" hidden="false" customHeight="false" outlineLevel="0" collapsed="false">
      <c r="A27" s="38"/>
      <c r="B27" s="38"/>
      <c r="C27" s="38"/>
      <c r="D27" s="38"/>
      <c r="E27" s="39"/>
      <c r="F27" s="64"/>
      <c r="G27" s="39"/>
      <c r="H27" s="37"/>
      <c r="I27" s="37"/>
      <c r="J27" s="33" t="str">
        <f aca="true">IF(I27="","",MAX(0,DATEDIF(TODAY(),I27,"M")))</f>
        <v/>
      </c>
      <c r="K27" s="41" t="str">
        <f aca="true">IF(H27="","",G27*MAX(0,DATEDIF(H27,TODAY(),"M")))</f>
        <v/>
      </c>
      <c r="L27" s="42" t="str">
        <f aca="false">IF(E27="","",E27-K27)</f>
        <v/>
      </c>
    </row>
    <row r="28" customFormat="false" ht="15" hidden="false" customHeight="false" outlineLevel="0" collapsed="false">
      <c r="A28" s="38"/>
      <c r="B28" s="38"/>
      <c r="C28" s="38"/>
      <c r="D28" s="38"/>
      <c r="E28" s="39"/>
      <c r="F28" s="64"/>
      <c r="G28" s="39"/>
      <c r="H28" s="37"/>
      <c r="I28" s="37"/>
      <c r="J28" s="33" t="str">
        <f aca="true">IF(I28="","",MAX(0,DATEDIF(TODAY(),I28,"M")))</f>
        <v/>
      </c>
      <c r="K28" s="41" t="str">
        <f aca="true">IF(H28="","",G28*MAX(0,DATEDIF(H28,TODAY(),"M")))</f>
        <v/>
      </c>
      <c r="L28" s="42" t="str">
        <f aca="false">IF(E28="","",E28-K28)</f>
        <v/>
      </c>
    </row>
    <row r="29" customFormat="false" ht="15" hidden="false" customHeight="false" outlineLevel="0" collapsed="false">
      <c r="A29" s="38"/>
      <c r="B29" s="38"/>
      <c r="C29" s="38"/>
      <c r="D29" s="38"/>
      <c r="E29" s="39"/>
      <c r="F29" s="64"/>
      <c r="G29" s="39"/>
      <c r="H29" s="37"/>
      <c r="I29" s="37"/>
      <c r="J29" s="33" t="str">
        <f aca="true">IF(I29="","",MAX(0,DATEDIF(TODAY(),I29,"M")))</f>
        <v/>
      </c>
      <c r="K29" s="41" t="str">
        <f aca="true">IF(H29="","",G29*MAX(0,DATEDIF(H29,TODAY(),"M")))</f>
        <v/>
      </c>
      <c r="L29" s="42" t="str">
        <f aca="false">IF(E29="","",E29-K29)</f>
        <v/>
      </c>
    </row>
    <row r="30" customFormat="false" ht="15" hidden="false" customHeight="false" outlineLevel="0" collapsed="false">
      <c r="A30" s="38"/>
      <c r="B30" s="38"/>
      <c r="C30" s="38"/>
      <c r="D30" s="38"/>
      <c r="E30" s="39"/>
      <c r="F30" s="64"/>
      <c r="G30" s="39"/>
      <c r="H30" s="37"/>
      <c r="I30" s="37"/>
      <c r="J30" s="33" t="str">
        <f aca="true">IF(I30="","",MAX(0,DATEDIF(TODAY(),I30,"M")))</f>
        <v/>
      </c>
      <c r="K30" s="41" t="str">
        <f aca="true">IF(H30="","",G30*MAX(0,DATEDIF(H30,TODAY(),"M")))</f>
        <v/>
      </c>
      <c r="L30" s="42" t="str">
        <f aca="false">IF(E30="","",E30-K30)</f>
        <v/>
      </c>
    </row>
    <row r="31" customFormat="false" ht="15" hidden="false" customHeight="false" outlineLevel="0" collapsed="false">
      <c r="A31" s="38"/>
      <c r="B31" s="38"/>
      <c r="C31" s="38"/>
      <c r="D31" s="38"/>
      <c r="E31" s="39"/>
      <c r="F31" s="64"/>
      <c r="G31" s="39"/>
      <c r="H31" s="37"/>
      <c r="I31" s="37"/>
      <c r="J31" s="33" t="str">
        <f aca="true">IF(I31="","",MAX(0,DATEDIF(TODAY(),I31,"M")))</f>
        <v/>
      </c>
      <c r="K31" s="41" t="str">
        <f aca="true">IF(H31="","",G31*MAX(0,DATEDIF(H31,TODAY(),"M")))</f>
        <v/>
      </c>
      <c r="L31" s="42" t="str">
        <f aca="false">IF(E31="","",E31-K31)</f>
        <v/>
      </c>
    </row>
    <row r="32" customFormat="false" ht="15" hidden="false" customHeight="false" outlineLevel="0" collapsed="false">
      <c r="A32" s="38"/>
      <c r="B32" s="38"/>
      <c r="C32" s="38"/>
      <c r="D32" s="38"/>
      <c r="E32" s="39"/>
      <c r="F32" s="64"/>
      <c r="G32" s="39"/>
      <c r="H32" s="37"/>
      <c r="I32" s="37"/>
      <c r="J32" s="33" t="str">
        <f aca="true">IF(I32="","",MAX(0,DATEDIF(TODAY(),I32,"M")))</f>
        <v/>
      </c>
      <c r="K32" s="41" t="str">
        <f aca="true">IF(H32="","",G32*MAX(0,DATEDIF(H32,TODAY(),"M")))</f>
        <v/>
      </c>
      <c r="L32" s="42" t="str">
        <f aca="false">IF(E32="","",E32-K32)</f>
        <v/>
      </c>
    </row>
    <row r="33" customFormat="false" ht="15" hidden="false" customHeight="false" outlineLevel="0" collapsed="false">
      <c r="A33" s="38"/>
      <c r="B33" s="38"/>
      <c r="C33" s="38"/>
      <c r="D33" s="38"/>
      <c r="E33" s="39"/>
      <c r="F33" s="64"/>
      <c r="G33" s="39"/>
      <c r="H33" s="37"/>
      <c r="I33" s="37"/>
      <c r="J33" s="33" t="str">
        <f aca="true">IF(I33="","",MAX(0,DATEDIF(TODAY(),I33,"M")))</f>
        <v/>
      </c>
      <c r="K33" s="41" t="str">
        <f aca="true">IF(H33="","",G33*MAX(0,DATEDIF(H33,TODAY(),"M")))</f>
        <v/>
      </c>
      <c r="L33" s="42" t="str">
        <f aca="false">IF(E33="","",E33-K33)</f>
        <v/>
      </c>
    </row>
    <row r="34" customFormat="false" ht="15" hidden="false" customHeight="false" outlineLevel="0" collapsed="false">
      <c r="A34" s="38"/>
      <c r="B34" s="38"/>
      <c r="C34" s="38"/>
      <c r="D34" s="38"/>
      <c r="E34" s="39"/>
      <c r="F34" s="64"/>
      <c r="G34" s="39"/>
      <c r="H34" s="37"/>
      <c r="I34" s="37"/>
      <c r="J34" s="33" t="str">
        <f aca="true">IF(I34="","",MAX(0,DATEDIF(TODAY(),I34,"M")))</f>
        <v/>
      </c>
      <c r="K34" s="41" t="str">
        <f aca="true">IF(H34="","",G34*MAX(0,DATEDIF(H34,TODAY(),"M")))</f>
        <v/>
      </c>
      <c r="L34" s="42" t="str">
        <f aca="false">IF(E34="","",E34-K34)</f>
        <v/>
      </c>
    </row>
    <row r="35" customFormat="false" ht="15" hidden="false" customHeight="false" outlineLevel="0" collapsed="false">
      <c r="A35" s="38"/>
      <c r="B35" s="38"/>
      <c r="C35" s="38"/>
      <c r="D35" s="38"/>
      <c r="E35" s="39"/>
      <c r="F35" s="64"/>
      <c r="G35" s="39"/>
      <c r="H35" s="37"/>
      <c r="I35" s="37"/>
      <c r="J35" s="33" t="str">
        <f aca="true">IF(I35="","",MAX(0,DATEDIF(TODAY(),I35,"M")))</f>
        <v/>
      </c>
      <c r="K35" s="41" t="str">
        <f aca="true">IF(H35="","",G35*MAX(0,DATEDIF(H35,TODAY(),"M")))</f>
        <v/>
      </c>
      <c r="L35" s="42" t="str">
        <f aca="false">IF(E35="","",E35-K35)</f>
        <v/>
      </c>
    </row>
    <row r="36" customFormat="false" ht="15" hidden="false" customHeight="false" outlineLevel="0" collapsed="false">
      <c r="A36" s="38"/>
      <c r="B36" s="38"/>
      <c r="C36" s="38"/>
      <c r="D36" s="38"/>
      <c r="E36" s="39"/>
      <c r="F36" s="64"/>
      <c r="G36" s="39"/>
      <c r="H36" s="37"/>
      <c r="I36" s="37"/>
      <c r="J36" s="33" t="str">
        <f aca="true">IF(I36="","",MAX(0,DATEDIF(TODAY(),I36,"M")))</f>
        <v/>
      </c>
      <c r="K36" s="41" t="str">
        <f aca="true">IF(H36="","",G36*MAX(0,DATEDIF(H36,TODAY(),"M")))</f>
        <v/>
      </c>
      <c r="L36" s="42" t="str">
        <f aca="false">IF(E36="","",E36-K36)</f>
        <v/>
      </c>
    </row>
    <row r="37" customFormat="false" ht="15" hidden="false" customHeight="false" outlineLevel="0" collapsed="false">
      <c r="A37" s="38"/>
      <c r="B37" s="38"/>
      <c r="C37" s="38"/>
      <c r="D37" s="38"/>
      <c r="E37" s="39"/>
      <c r="F37" s="64"/>
      <c r="G37" s="39"/>
      <c r="H37" s="37"/>
      <c r="I37" s="37"/>
      <c r="J37" s="33" t="str">
        <f aca="true">IF(I37="","",MAX(0,DATEDIF(TODAY(),I37,"M")))</f>
        <v/>
      </c>
      <c r="K37" s="41" t="str">
        <f aca="true">IF(H37="","",G37*MAX(0,DATEDIF(H37,TODAY(),"M")))</f>
        <v/>
      </c>
      <c r="L37" s="42" t="str">
        <f aca="false">IF(E37="","",E37-K37)</f>
        <v/>
      </c>
    </row>
    <row r="38" customFormat="false" ht="15" hidden="false" customHeight="false" outlineLevel="0" collapsed="false">
      <c r="A38" s="38"/>
      <c r="B38" s="38"/>
      <c r="C38" s="38"/>
      <c r="D38" s="38"/>
      <c r="E38" s="39"/>
      <c r="F38" s="64"/>
      <c r="G38" s="39"/>
      <c r="H38" s="37"/>
      <c r="I38" s="37"/>
      <c r="J38" s="33" t="str">
        <f aca="true">IF(I38="","",MAX(0,DATEDIF(TODAY(),I38,"M")))</f>
        <v/>
      </c>
      <c r="K38" s="41" t="str">
        <f aca="true">IF(H38="","",G38*MAX(0,DATEDIF(H38,TODAY(),"M")))</f>
        <v/>
      </c>
      <c r="L38" s="42" t="str">
        <f aca="false">IF(E38="","",E38-K38)</f>
        <v/>
      </c>
    </row>
    <row r="39" customFormat="false" ht="15" hidden="false" customHeight="false" outlineLevel="0" collapsed="false">
      <c r="A39" s="38"/>
      <c r="B39" s="38"/>
      <c r="C39" s="38"/>
      <c r="D39" s="38"/>
      <c r="E39" s="39"/>
      <c r="F39" s="64"/>
      <c r="G39" s="39"/>
      <c r="H39" s="37"/>
      <c r="I39" s="37"/>
      <c r="J39" s="33" t="str">
        <f aca="true">IF(I39="","",MAX(0,DATEDIF(TODAY(),I39,"M")))</f>
        <v/>
      </c>
      <c r="K39" s="41" t="str">
        <f aca="true">IF(H39="","",G39*MAX(0,DATEDIF(H39,TODAY(),"M")))</f>
        <v/>
      </c>
      <c r="L39" s="42" t="str">
        <f aca="false">IF(E39="","",E39-K39)</f>
        <v/>
      </c>
    </row>
    <row r="40" customFormat="false" ht="15" hidden="false" customHeight="false" outlineLevel="0" collapsed="false">
      <c r="A40" s="38"/>
      <c r="B40" s="38"/>
      <c r="C40" s="38"/>
      <c r="D40" s="38"/>
      <c r="E40" s="39"/>
      <c r="F40" s="64"/>
      <c r="G40" s="39"/>
      <c r="H40" s="37"/>
      <c r="I40" s="37"/>
      <c r="J40" s="33" t="str">
        <f aca="true">IF(I40="","",MAX(0,DATEDIF(TODAY(),I40,"M")))</f>
        <v/>
      </c>
      <c r="K40" s="41" t="str">
        <f aca="true">IF(H40="","",G40*MAX(0,DATEDIF(H40,TODAY(),"M")))</f>
        <v/>
      </c>
      <c r="L40" s="42" t="str">
        <f aca="false">IF(E40="","",E40-K40)</f>
        <v/>
      </c>
    </row>
    <row r="41" customFormat="false" ht="15" hidden="false" customHeight="false" outlineLevel="0" collapsed="false">
      <c r="A41" s="38"/>
      <c r="B41" s="38"/>
      <c r="C41" s="38"/>
      <c r="D41" s="38"/>
      <c r="E41" s="39"/>
      <c r="F41" s="64"/>
      <c r="G41" s="39"/>
      <c r="H41" s="37"/>
      <c r="I41" s="37"/>
      <c r="J41" s="33" t="str">
        <f aca="true">IF(I41="","",MAX(0,DATEDIF(TODAY(),I41,"M")))</f>
        <v/>
      </c>
      <c r="K41" s="41" t="str">
        <f aca="true">IF(H41="","",G41*MAX(0,DATEDIF(H41,TODAY(),"M")))</f>
        <v/>
      </c>
      <c r="L41" s="42" t="str">
        <f aca="false">IF(E41="","",E41-K41)</f>
        <v/>
      </c>
    </row>
    <row r="42" customFormat="false" ht="15" hidden="false" customHeight="false" outlineLevel="0" collapsed="false">
      <c r="A42" s="38"/>
      <c r="B42" s="38"/>
      <c r="C42" s="38"/>
      <c r="D42" s="38"/>
      <c r="E42" s="39"/>
      <c r="F42" s="64"/>
      <c r="G42" s="39"/>
      <c r="H42" s="37"/>
      <c r="I42" s="37"/>
      <c r="J42" s="33" t="str">
        <f aca="true">IF(I42="","",MAX(0,DATEDIF(TODAY(),I42,"M")))</f>
        <v/>
      </c>
      <c r="K42" s="41" t="str">
        <f aca="true">IF(H42="","",G42*MAX(0,DATEDIF(H42,TODAY(),"M")))</f>
        <v/>
      </c>
      <c r="L42" s="42" t="str">
        <f aca="false">IF(E42="","",E42-K42)</f>
        <v/>
      </c>
    </row>
    <row r="43" customFormat="false" ht="15" hidden="false" customHeight="false" outlineLevel="0" collapsed="false">
      <c r="A43" s="38"/>
      <c r="B43" s="38"/>
      <c r="C43" s="38"/>
      <c r="D43" s="38"/>
      <c r="E43" s="39"/>
      <c r="F43" s="64"/>
      <c r="G43" s="39"/>
      <c r="H43" s="37"/>
      <c r="I43" s="37"/>
      <c r="J43" s="33" t="str">
        <f aca="true">IF(I43="","",MAX(0,DATEDIF(TODAY(),I43,"M")))</f>
        <v/>
      </c>
      <c r="K43" s="41" t="str">
        <f aca="true">IF(H43="","",G43*MAX(0,DATEDIF(H43,TODAY(),"M")))</f>
        <v/>
      </c>
      <c r="L43" s="42" t="str">
        <f aca="false">IF(E43="","",E43-K43)</f>
        <v/>
      </c>
    </row>
    <row r="44" customFormat="false" ht="15" hidden="false" customHeight="false" outlineLevel="0" collapsed="false">
      <c r="A44" s="38"/>
      <c r="B44" s="38"/>
      <c r="C44" s="38"/>
      <c r="D44" s="38"/>
      <c r="E44" s="39"/>
      <c r="F44" s="64"/>
      <c r="G44" s="39"/>
      <c r="H44" s="37"/>
      <c r="I44" s="37"/>
      <c r="J44" s="33" t="str">
        <f aca="true">IF(I44="","",MAX(0,DATEDIF(TODAY(),I44,"M")))</f>
        <v/>
      </c>
      <c r="K44" s="41" t="str">
        <f aca="true">IF(H44="","",G44*MAX(0,DATEDIF(H44,TODAY(),"M")))</f>
        <v/>
      </c>
      <c r="L44" s="42" t="str">
        <f aca="false">IF(E44="","",E44-K44)</f>
        <v/>
      </c>
    </row>
    <row r="45" customFormat="false" ht="15" hidden="false" customHeight="false" outlineLevel="0" collapsed="false">
      <c r="A45" s="38"/>
      <c r="B45" s="38"/>
      <c r="C45" s="38"/>
      <c r="D45" s="38"/>
      <c r="E45" s="39"/>
      <c r="F45" s="64"/>
      <c r="G45" s="39"/>
      <c r="H45" s="37"/>
      <c r="I45" s="37"/>
      <c r="J45" s="33" t="str">
        <f aca="true">IF(I45="","",MAX(0,DATEDIF(TODAY(),I45,"M")))</f>
        <v/>
      </c>
      <c r="K45" s="41" t="str">
        <f aca="true">IF(H45="","",G45*MAX(0,DATEDIF(H45,TODAY(),"M")))</f>
        <v/>
      </c>
      <c r="L45" s="42" t="str">
        <f aca="false">IF(E45="","",E45-K45)</f>
        <v/>
      </c>
    </row>
    <row r="46" customFormat="false" ht="15" hidden="false" customHeight="false" outlineLevel="0" collapsed="false">
      <c r="A46" s="38"/>
      <c r="B46" s="38"/>
      <c r="C46" s="38"/>
      <c r="D46" s="38"/>
      <c r="E46" s="39"/>
      <c r="F46" s="64"/>
      <c r="G46" s="39"/>
      <c r="H46" s="37"/>
      <c r="I46" s="37"/>
      <c r="J46" s="33" t="str">
        <f aca="true">IF(I46="","",MAX(0,DATEDIF(TODAY(),I46,"M")))</f>
        <v/>
      </c>
      <c r="K46" s="41" t="str">
        <f aca="true">IF(H46="","",G46*MAX(0,DATEDIF(H46,TODAY(),"M")))</f>
        <v/>
      </c>
      <c r="L46" s="42" t="str">
        <f aca="false">IF(E46="","",E46-K46)</f>
        <v/>
      </c>
    </row>
    <row r="47" customFormat="false" ht="15" hidden="false" customHeight="false" outlineLevel="0" collapsed="false">
      <c r="A47" s="38"/>
      <c r="B47" s="38"/>
      <c r="C47" s="38"/>
      <c r="D47" s="38"/>
      <c r="E47" s="39"/>
      <c r="F47" s="64"/>
      <c r="G47" s="39"/>
      <c r="H47" s="37"/>
      <c r="I47" s="37"/>
      <c r="J47" s="33" t="str">
        <f aca="true">IF(I47="","",MAX(0,DATEDIF(TODAY(),I47,"M")))</f>
        <v/>
      </c>
      <c r="K47" s="41" t="str">
        <f aca="true">IF(H47="","",G47*MAX(0,DATEDIF(H47,TODAY(),"M")))</f>
        <v/>
      </c>
      <c r="L47" s="42" t="str">
        <f aca="false">IF(E47="","",E47-K47)</f>
        <v/>
      </c>
    </row>
    <row r="48" customFormat="false" ht="15" hidden="false" customHeight="false" outlineLevel="0" collapsed="false">
      <c r="A48" s="38"/>
      <c r="B48" s="38"/>
      <c r="C48" s="38"/>
      <c r="D48" s="38"/>
      <c r="E48" s="39"/>
      <c r="F48" s="64"/>
      <c r="G48" s="39"/>
      <c r="H48" s="37"/>
      <c r="I48" s="37"/>
      <c r="J48" s="33" t="str">
        <f aca="true">IF(I48="","",MAX(0,DATEDIF(TODAY(),I48,"M")))</f>
        <v/>
      </c>
      <c r="K48" s="41" t="str">
        <f aca="true">IF(H48="","",G48*MAX(0,DATEDIF(H48,TODAY(),"M")))</f>
        <v/>
      </c>
      <c r="L48" s="42" t="str">
        <f aca="false">IF(E48="","",E48-K48)</f>
        <v/>
      </c>
    </row>
    <row r="49" customFormat="false" ht="15" hidden="false" customHeight="false" outlineLevel="0" collapsed="false">
      <c r="A49" s="38"/>
      <c r="B49" s="38"/>
      <c r="C49" s="38"/>
      <c r="D49" s="38"/>
      <c r="E49" s="39"/>
      <c r="F49" s="64"/>
      <c r="G49" s="39"/>
      <c r="H49" s="37"/>
      <c r="I49" s="37"/>
      <c r="J49" s="33" t="str">
        <f aca="true">IF(I49="","",MAX(0,DATEDIF(TODAY(),I49,"M")))</f>
        <v/>
      </c>
      <c r="K49" s="41" t="str">
        <f aca="true">IF(H49="","",G49*MAX(0,DATEDIF(H49,TODAY(),"M")))</f>
        <v/>
      </c>
      <c r="L49" s="42" t="str">
        <f aca="false">IF(E49="","",E49-K49)</f>
        <v/>
      </c>
    </row>
    <row r="50" customFormat="false" ht="15" hidden="false" customHeight="false" outlineLevel="0" collapsed="false">
      <c r="A50" s="38"/>
      <c r="B50" s="38"/>
      <c r="C50" s="38"/>
      <c r="D50" s="38"/>
      <c r="E50" s="39"/>
      <c r="F50" s="64"/>
      <c r="G50" s="39"/>
      <c r="H50" s="37"/>
      <c r="I50" s="37"/>
      <c r="J50" s="33" t="str">
        <f aca="true">IF(I50="","",MAX(0,DATEDIF(TODAY(),I50,"M")))</f>
        <v/>
      </c>
      <c r="K50" s="41" t="str">
        <f aca="true">IF(H50="","",G50*MAX(0,DATEDIF(H50,TODAY(),"M")))</f>
        <v/>
      </c>
      <c r="L50" s="42" t="str">
        <f aca="false">IF(E50="","",E50-K50)</f>
        <v/>
      </c>
    </row>
    <row r="51" customFormat="false" ht="15" hidden="false" customHeight="false" outlineLevel="0" collapsed="false">
      <c r="A51" s="38"/>
      <c r="B51" s="38"/>
      <c r="C51" s="38"/>
      <c r="D51" s="38"/>
      <c r="E51" s="39"/>
      <c r="F51" s="64"/>
      <c r="G51" s="39"/>
      <c r="H51" s="37"/>
      <c r="I51" s="37"/>
      <c r="J51" s="33" t="str">
        <f aca="true">IF(I51="","",MAX(0,DATEDIF(TODAY(),I51,"M")))</f>
        <v/>
      </c>
      <c r="K51" s="41" t="str">
        <f aca="true">IF(H51="","",G51*MAX(0,DATEDIF(H51,TODAY(),"M")))</f>
        <v/>
      </c>
      <c r="L51" s="42" t="str">
        <f aca="false">IF(E51="","",E51-K51)</f>
        <v/>
      </c>
    </row>
    <row r="52" customFormat="false" ht="15" hidden="false" customHeight="false" outlineLevel="0" collapsed="false">
      <c r="A52" s="38"/>
      <c r="B52" s="38"/>
      <c r="C52" s="38"/>
      <c r="D52" s="38"/>
      <c r="E52" s="39"/>
      <c r="F52" s="64"/>
      <c r="G52" s="39"/>
      <c r="H52" s="37"/>
      <c r="I52" s="37"/>
      <c r="J52" s="33" t="str">
        <f aca="true">IF(I52="","",MAX(0,DATEDIF(TODAY(),I52,"M")))</f>
        <v/>
      </c>
      <c r="K52" s="41" t="str">
        <f aca="true">IF(H52="","",G52*MAX(0,DATEDIF(H52,TODAY(),"M")))</f>
        <v/>
      </c>
      <c r="L52" s="42" t="str">
        <f aca="false">IF(E52="","",E52-K52)</f>
        <v/>
      </c>
    </row>
    <row r="54" customFormat="false" ht="15" hidden="false" customHeight="false" outlineLevel="0" collapsed="false">
      <c r="A54" s="47" t="s">
        <v>172</v>
      </c>
      <c r="E54" s="65" t="n">
        <f aca="false">SUM(E3:E52)</f>
        <v>0</v>
      </c>
      <c r="G54" s="65" t="n">
        <f aca="false">SUM(G3:G52)</f>
        <v>0</v>
      </c>
      <c r="K54" s="65" t="n">
        <f aca="false">SUM(K3:K52)</f>
        <v>0</v>
      </c>
      <c r="L54" s="65" t="n">
        <f aca="false">SUM(L3:L52)</f>
        <v>0</v>
      </c>
    </row>
  </sheetData>
  <mergeCells count="1">
    <mergeCell ref="A1:L1"/>
  </mergeCells>
  <dataValidations count="2">
    <dataValidation allowBlank="true" errorStyle="stop" operator="between" showDropDown="false" showErrorMessage="false" showInputMessage="false" sqref="B3:B52" type="list">
      <formula1>"Personal Loan,Car Loan,Student Loan,Mortgage,Buy Now Pay Later,EMI,Other"</formula1>
      <formula2>0</formula2>
    </dataValidation>
    <dataValidation allowBlank="true" errorStyle="stop" operator="between" showDropDown="false" showErrorMessage="false" showInputMessage="false" sqref="D3:D52" type="list">
      <formula1>"GBP,INR"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173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66" t="s">
        <v>174</v>
      </c>
      <c r="B2" s="66" t="s">
        <v>175</v>
      </c>
      <c r="C2" s="66" t="s">
        <v>59</v>
      </c>
      <c r="D2" s="66" t="s">
        <v>176</v>
      </c>
      <c r="E2" s="66" t="s">
        <v>177</v>
      </c>
      <c r="F2" s="66" t="s">
        <v>178</v>
      </c>
      <c r="G2" s="66" t="s">
        <v>179</v>
      </c>
      <c r="H2" s="66" t="s">
        <v>180</v>
      </c>
    </row>
    <row r="3" customFormat="false" ht="15" hidden="false" customHeight="false" outlineLevel="0" collapsed="false">
      <c r="A3" s="26"/>
      <c r="B3" s="32"/>
      <c r="C3" s="26"/>
      <c r="D3" s="28"/>
      <c r="E3" s="32"/>
      <c r="F3" s="67" t="str">
        <f aca="false">IF(B3=0,"",E3/B3)</f>
        <v/>
      </c>
      <c r="G3" s="41" t="str">
        <f aca="false">IF(B3="","",B3-E3)</f>
        <v/>
      </c>
      <c r="H3" s="33" t="str">
        <f aca="true">IF(D3="","",IF(D3&lt;TODAY(),IF(F3&gt;=1,"Achieved","Missed"),IF(F3&gt;=((TODAY()-DATE(2026,1,1))/(D3-DATE(2026,1,1))),"On Track","Behind")))</f>
        <v/>
      </c>
    </row>
    <row r="4" customFormat="false" ht="15" hidden="false" customHeight="false" outlineLevel="0" collapsed="false">
      <c r="A4" s="26"/>
      <c r="B4" s="32"/>
      <c r="C4" s="26"/>
      <c r="D4" s="28"/>
      <c r="E4" s="32"/>
      <c r="F4" s="67" t="str">
        <f aca="false">IF(B4=0,"",E4/B4)</f>
        <v/>
      </c>
      <c r="G4" s="41" t="str">
        <f aca="false">IF(B4="","",B4-E4)</f>
        <v/>
      </c>
      <c r="H4" s="33" t="str">
        <f aca="true">IF(D4="","",IF(D4&lt;TODAY(),IF(F4&gt;=1,"Achieved","Missed"),IF(F4&gt;=((TODAY()-DATE(2026,1,1))/(D4-DATE(2026,1,1))),"On Track","Behind")))</f>
        <v/>
      </c>
    </row>
    <row r="5" customFormat="false" ht="15" hidden="false" customHeight="false" outlineLevel="0" collapsed="false">
      <c r="A5" s="26"/>
      <c r="B5" s="32"/>
      <c r="C5" s="26"/>
      <c r="D5" s="28"/>
      <c r="E5" s="32"/>
      <c r="F5" s="67" t="str">
        <f aca="false">IF(B5=0,"",E5/B5)</f>
        <v/>
      </c>
      <c r="G5" s="41" t="str">
        <f aca="false">IF(B5="","",B5-E5)</f>
        <v/>
      </c>
      <c r="H5" s="33" t="str">
        <f aca="true">IF(D5="","",IF(D5&lt;TODAY(),IF(F5&gt;=1,"Achieved","Missed"),IF(F5&gt;=((TODAY()-DATE(2026,1,1))/(D5-DATE(2026,1,1))),"On Track","Behind")))</f>
        <v/>
      </c>
    </row>
    <row r="6" customFormat="false" ht="15" hidden="false" customHeight="false" outlineLevel="0" collapsed="false">
      <c r="A6" s="26"/>
      <c r="B6" s="32"/>
      <c r="C6" s="26"/>
      <c r="D6" s="28"/>
      <c r="E6" s="32"/>
      <c r="F6" s="67" t="str">
        <f aca="false">IF(B6=0,"",E6/B6)</f>
        <v/>
      </c>
      <c r="G6" s="41" t="str">
        <f aca="false">IF(B6="","",B6-E6)</f>
        <v/>
      </c>
      <c r="H6" s="33" t="str">
        <f aca="true">IF(D6="","",IF(D6&lt;TODAY(),IF(F6&gt;=1,"Achieved","Missed"),IF(F6&gt;=((TODAY()-DATE(2026,1,1))/(D6-DATE(2026,1,1))),"On Track","Behind")))</f>
        <v/>
      </c>
    </row>
    <row r="7" customFormat="false" ht="15" hidden="false" customHeight="false" outlineLevel="0" collapsed="false">
      <c r="A7" s="26"/>
      <c r="B7" s="32"/>
      <c r="C7" s="26"/>
      <c r="D7" s="28"/>
      <c r="E7" s="32"/>
      <c r="F7" s="67" t="str">
        <f aca="false">IF(B7=0,"",E7/B7)</f>
        <v/>
      </c>
      <c r="G7" s="41" t="str">
        <f aca="false">IF(B7="","",B7-E7)</f>
        <v/>
      </c>
      <c r="H7" s="33" t="str">
        <f aca="true">IF(D7="","",IF(D7&lt;TODAY(),IF(F7&gt;=1,"Achieved","Missed"),IF(F7&gt;=((TODAY()-DATE(2026,1,1))/(D7-DATE(2026,1,1))),"On Track","Behind")))</f>
        <v/>
      </c>
    </row>
    <row r="8" customFormat="false" ht="15" hidden="false" customHeight="false" outlineLevel="0" collapsed="false">
      <c r="A8" s="26"/>
      <c r="B8" s="32"/>
      <c r="C8" s="26"/>
      <c r="D8" s="28"/>
      <c r="E8" s="32"/>
      <c r="F8" s="67" t="str">
        <f aca="false">IF(B8=0,"",E8/B8)</f>
        <v/>
      </c>
      <c r="G8" s="41" t="str">
        <f aca="false">IF(B8="","",B8-E8)</f>
        <v/>
      </c>
      <c r="H8" s="33" t="str">
        <f aca="true">IF(D8="","",IF(D8&lt;TODAY(),IF(F8&gt;=1,"Achieved","Missed"),IF(F8&gt;=((TODAY()-DATE(2026,1,1))/(D8-DATE(2026,1,1))),"On Track","Behind")))</f>
        <v/>
      </c>
    </row>
    <row r="9" customFormat="false" ht="15" hidden="false" customHeight="false" outlineLevel="0" collapsed="false">
      <c r="A9" s="26"/>
      <c r="B9" s="32"/>
      <c r="C9" s="26"/>
      <c r="D9" s="28"/>
      <c r="E9" s="32"/>
      <c r="F9" s="67" t="str">
        <f aca="false">IF(B9=0,"",E9/B9)</f>
        <v/>
      </c>
      <c r="G9" s="41" t="str">
        <f aca="false">IF(B9="","",B9-E9)</f>
        <v/>
      </c>
      <c r="H9" s="33" t="str">
        <f aca="true">IF(D9="","",IF(D9&lt;TODAY(),IF(F9&gt;=1,"Achieved","Missed"),IF(F9&gt;=((TODAY()-DATE(2026,1,1))/(D9-DATE(2026,1,1))),"On Track","Behind")))</f>
        <v/>
      </c>
    </row>
    <row r="10" customFormat="false" ht="15" hidden="false" customHeight="false" outlineLevel="0" collapsed="false">
      <c r="A10" s="26"/>
      <c r="B10" s="32"/>
      <c r="C10" s="26"/>
      <c r="D10" s="28"/>
      <c r="E10" s="32"/>
      <c r="F10" s="67" t="str">
        <f aca="false">IF(B10=0,"",E10/B10)</f>
        <v/>
      </c>
      <c r="G10" s="41" t="str">
        <f aca="false">IF(B10="","",B10-E10)</f>
        <v/>
      </c>
      <c r="H10" s="33" t="str">
        <f aca="true">IF(D10="","",IF(D10&lt;TODAY(),IF(F10&gt;=1,"Achieved","Missed"),IF(F10&gt;=((TODAY()-DATE(2026,1,1))/(D10-DATE(2026,1,1))),"On Track","Behind")))</f>
        <v/>
      </c>
    </row>
    <row r="11" customFormat="false" ht="15" hidden="false" customHeight="false" outlineLevel="0" collapsed="false">
      <c r="A11" s="26"/>
      <c r="B11" s="32"/>
      <c r="C11" s="26"/>
      <c r="D11" s="28"/>
      <c r="E11" s="32"/>
      <c r="F11" s="67" t="str">
        <f aca="false">IF(B11=0,"",E11/B11)</f>
        <v/>
      </c>
      <c r="G11" s="41" t="str">
        <f aca="false">IF(B11="","",B11-E11)</f>
        <v/>
      </c>
      <c r="H11" s="33" t="str">
        <f aca="true">IF(D11="","",IF(D11&lt;TODAY(),IF(F11&gt;=1,"Achieved","Missed"),IF(F11&gt;=((TODAY()-DATE(2026,1,1))/(D11-DATE(2026,1,1))),"On Track","Behind")))</f>
        <v/>
      </c>
    </row>
    <row r="12" customFormat="false" ht="15" hidden="false" customHeight="false" outlineLevel="0" collapsed="false">
      <c r="A12" s="26"/>
      <c r="B12" s="32"/>
      <c r="C12" s="26"/>
      <c r="D12" s="28"/>
      <c r="E12" s="32"/>
      <c r="F12" s="67" t="str">
        <f aca="false">IF(B12=0,"",E12/B12)</f>
        <v/>
      </c>
      <c r="G12" s="41" t="str">
        <f aca="false">IF(B12="","",B12-E12)</f>
        <v/>
      </c>
      <c r="H12" s="33" t="str">
        <f aca="true">IF(D12="","",IF(D12&lt;TODAY(),IF(F12&gt;=1,"Achieved","Missed"),IF(F12&gt;=((TODAY()-DATE(2026,1,1))/(D12-DATE(2026,1,1))),"On Track","Behind")))</f>
        <v/>
      </c>
    </row>
    <row r="13" customFormat="false" ht="15" hidden="false" customHeight="false" outlineLevel="0" collapsed="false">
      <c r="A13" s="26"/>
      <c r="B13" s="32"/>
      <c r="C13" s="26"/>
      <c r="D13" s="28"/>
      <c r="E13" s="32"/>
      <c r="F13" s="67" t="str">
        <f aca="false">IF(B13=0,"",E13/B13)</f>
        <v/>
      </c>
      <c r="G13" s="41" t="str">
        <f aca="false">IF(B13="","",B13-E13)</f>
        <v/>
      </c>
      <c r="H13" s="33" t="str">
        <f aca="true">IF(D13="","",IF(D13&lt;TODAY(),IF(F13&gt;=1,"Achieved","Missed"),IF(F13&gt;=((TODAY()-DATE(2026,1,1))/(D13-DATE(2026,1,1))),"On Track","Behind")))</f>
        <v/>
      </c>
    </row>
    <row r="14" customFormat="false" ht="15" hidden="false" customHeight="false" outlineLevel="0" collapsed="false">
      <c r="A14" s="26"/>
      <c r="B14" s="32"/>
      <c r="C14" s="26"/>
      <c r="D14" s="28"/>
      <c r="E14" s="32"/>
      <c r="F14" s="67" t="str">
        <f aca="false">IF(B14=0,"",E14/B14)</f>
        <v/>
      </c>
      <c r="G14" s="41" t="str">
        <f aca="false">IF(B14="","",B14-E14)</f>
        <v/>
      </c>
      <c r="H14" s="33" t="str">
        <f aca="true">IF(D14="","",IF(D14&lt;TODAY(),IF(F14&gt;=1,"Achieved","Missed"),IF(F14&gt;=((TODAY()-DATE(2026,1,1))/(D14-DATE(2026,1,1))),"On Track","Behind")))</f>
        <v/>
      </c>
    </row>
    <row r="15" customFormat="false" ht="15" hidden="false" customHeight="false" outlineLevel="0" collapsed="false">
      <c r="A15" s="26"/>
      <c r="B15" s="32"/>
      <c r="C15" s="26"/>
      <c r="D15" s="28"/>
      <c r="E15" s="32"/>
      <c r="F15" s="67" t="str">
        <f aca="false">IF(B15=0,"",E15/B15)</f>
        <v/>
      </c>
      <c r="G15" s="41" t="str">
        <f aca="false">IF(B15="","",B15-E15)</f>
        <v/>
      </c>
      <c r="H15" s="33" t="str">
        <f aca="true">IF(D15="","",IF(D15&lt;TODAY(),IF(F15&gt;=1,"Achieved","Missed"),IF(F15&gt;=((TODAY()-DATE(2026,1,1))/(D15-DATE(2026,1,1))),"On Track","Behind")))</f>
        <v/>
      </c>
    </row>
    <row r="16" customFormat="false" ht="15" hidden="false" customHeight="false" outlineLevel="0" collapsed="false">
      <c r="A16" s="26"/>
      <c r="B16" s="32"/>
      <c r="C16" s="26"/>
      <c r="D16" s="28"/>
      <c r="E16" s="32"/>
      <c r="F16" s="67" t="str">
        <f aca="false">IF(B16=0,"",E16/B16)</f>
        <v/>
      </c>
      <c r="G16" s="41" t="str">
        <f aca="false">IF(B16="","",B16-E16)</f>
        <v/>
      </c>
      <c r="H16" s="33" t="str">
        <f aca="true">IF(D16="","",IF(D16&lt;TODAY(),IF(F16&gt;=1,"Achieved","Missed"),IF(F16&gt;=((TODAY()-DATE(2026,1,1))/(D16-DATE(2026,1,1))),"On Track","Behind")))</f>
        <v/>
      </c>
    </row>
    <row r="17" customFormat="false" ht="15" hidden="false" customHeight="false" outlineLevel="0" collapsed="false">
      <c r="A17" s="26"/>
      <c r="B17" s="32"/>
      <c r="C17" s="26"/>
      <c r="D17" s="28"/>
      <c r="E17" s="32"/>
      <c r="F17" s="67" t="str">
        <f aca="false">IF(B17=0,"",E17/B17)</f>
        <v/>
      </c>
      <c r="G17" s="41" t="str">
        <f aca="false">IF(B17="","",B17-E17)</f>
        <v/>
      </c>
      <c r="H17" s="33" t="str">
        <f aca="true">IF(D17="","",IF(D17&lt;TODAY(),IF(F17&gt;=1,"Achieved","Missed"),IF(F17&gt;=((TODAY()-DATE(2026,1,1))/(D17-DATE(2026,1,1))),"On Track","Behind")))</f>
        <v/>
      </c>
    </row>
    <row r="18" customFormat="false" ht="15" hidden="false" customHeight="false" outlineLevel="0" collapsed="false">
      <c r="A18" s="26"/>
      <c r="B18" s="32"/>
      <c r="C18" s="26"/>
      <c r="D18" s="28"/>
      <c r="E18" s="32"/>
      <c r="F18" s="67" t="str">
        <f aca="false">IF(B18=0,"",E18/B18)</f>
        <v/>
      </c>
      <c r="G18" s="41" t="str">
        <f aca="false">IF(B18="","",B18-E18)</f>
        <v/>
      </c>
      <c r="H18" s="33" t="str">
        <f aca="true">IF(D18="","",IF(D18&lt;TODAY(),IF(F18&gt;=1,"Achieved","Missed"),IF(F18&gt;=((TODAY()-DATE(2026,1,1))/(D18-DATE(2026,1,1))),"On Track","Behind")))</f>
        <v/>
      </c>
    </row>
    <row r="19" customFormat="false" ht="15" hidden="false" customHeight="false" outlineLevel="0" collapsed="false">
      <c r="A19" s="26"/>
      <c r="B19" s="32"/>
      <c r="C19" s="26"/>
      <c r="D19" s="28"/>
      <c r="E19" s="32"/>
      <c r="F19" s="67" t="str">
        <f aca="false">IF(B19=0,"",E19/B19)</f>
        <v/>
      </c>
      <c r="G19" s="41" t="str">
        <f aca="false">IF(B19="","",B19-E19)</f>
        <v/>
      </c>
      <c r="H19" s="33" t="str">
        <f aca="true">IF(D19="","",IF(D19&lt;TODAY(),IF(F19&gt;=1,"Achieved","Missed"),IF(F19&gt;=((TODAY()-DATE(2026,1,1))/(D19-DATE(2026,1,1))),"On Track","Behind")))</f>
        <v/>
      </c>
    </row>
    <row r="20" customFormat="false" ht="15" hidden="false" customHeight="false" outlineLevel="0" collapsed="false">
      <c r="A20" s="26"/>
      <c r="B20" s="32"/>
      <c r="C20" s="26"/>
      <c r="D20" s="28"/>
      <c r="E20" s="32"/>
      <c r="F20" s="67" t="str">
        <f aca="false">IF(B20=0,"",E20/B20)</f>
        <v/>
      </c>
      <c r="G20" s="41" t="str">
        <f aca="false">IF(B20="","",B20-E20)</f>
        <v/>
      </c>
      <c r="H20" s="33" t="str">
        <f aca="true">IF(D20="","",IF(D20&lt;TODAY(),IF(F20&gt;=1,"Achieved","Missed"),IF(F20&gt;=((TODAY()-DATE(2026,1,1))/(D20-DATE(2026,1,1))),"On Track","Behind")))</f>
        <v/>
      </c>
    </row>
    <row r="21" customFormat="false" ht="15" hidden="false" customHeight="false" outlineLevel="0" collapsed="false">
      <c r="A21" s="26"/>
      <c r="B21" s="32"/>
      <c r="C21" s="26"/>
      <c r="D21" s="28"/>
      <c r="E21" s="32"/>
      <c r="F21" s="67" t="str">
        <f aca="false">IF(B21=0,"",E21/B21)</f>
        <v/>
      </c>
      <c r="G21" s="41" t="str">
        <f aca="false">IF(B21="","",B21-E21)</f>
        <v/>
      </c>
      <c r="H21" s="33" t="str">
        <f aca="true">IF(D21="","",IF(D21&lt;TODAY(),IF(F21&gt;=1,"Achieved","Missed"),IF(F21&gt;=((TODAY()-DATE(2026,1,1))/(D21-DATE(2026,1,1))),"On Track","Behind")))</f>
        <v/>
      </c>
    </row>
    <row r="22" customFormat="false" ht="15" hidden="false" customHeight="false" outlineLevel="0" collapsed="false">
      <c r="A22" s="26"/>
      <c r="B22" s="32"/>
      <c r="C22" s="26"/>
      <c r="D22" s="28"/>
      <c r="E22" s="32"/>
      <c r="F22" s="67" t="str">
        <f aca="false">IF(B22=0,"",E22/B22)</f>
        <v/>
      </c>
      <c r="G22" s="41" t="str">
        <f aca="false">IF(B22="","",B22-E22)</f>
        <v/>
      </c>
      <c r="H22" s="33" t="str">
        <f aca="true">IF(D22="","",IF(D22&lt;TODAY(),IF(F22&gt;=1,"Achieved","Missed"),IF(F22&gt;=((TODAY()-DATE(2026,1,1))/(D22-DATE(2026,1,1))),"On Track","Behind")))</f>
        <v/>
      </c>
    </row>
  </sheetData>
  <mergeCells count="1">
    <mergeCell ref="A1:H1"/>
  </mergeCells>
  <conditionalFormatting sqref="F3:F22">
    <cfRule type="cellIs" priority="2" operator="greaterThanOrEqual" aboveAverage="0" equalAverage="0" bottom="0" percent="0" rank="0" text="" dxfId="0">
      <formula>0.8</formula>
    </cfRule>
    <cfRule type="cellIs" priority="3" operator="lessThan" aboveAverage="0" equalAverage="0" bottom="0" percent="0" rank="0" text="" dxfId="1">
      <formula>0.5</formula>
    </cfRule>
  </conditionalFormatting>
  <dataValidations count="1">
    <dataValidation allowBlank="true" errorStyle="stop" operator="between" showDropDown="false" showErrorMessage="false" showInputMessage="false" sqref="C3:C22" type="list">
      <formula1>"GBP,INR"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16" min="5" style="0" width="12"/>
  </cols>
  <sheetData>
    <row r="1" customFormat="false" ht="17.35" hidden="false" customHeight="fals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6.85" hidden="false" customHeight="false" outlineLevel="0" collapsed="false">
      <c r="A2" s="68" t="s">
        <v>182</v>
      </c>
      <c r="B2" s="68" t="s">
        <v>91</v>
      </c>
      <c r="C2" s="68" t="s">
        <v>59</v>
      </c>
      <c r="D2" s="68" t="s">
        <v>183</v>
      </c>
      <c r="E2" s="68" t="s">
        <v>184</v>
      </c>
      <c r="F2" s="68" t="s">
        <v>185</v>
      </c>
      <c r="G2" s="68" t="s">
        <v>186</v>
      </c>
      <c r="H2" s="68" t="s">
        <v>187</v>
      </c>
      <c r="I2" s="68" t="s">
        <v>188</v>
      </c>
      <c r="J2" s="68" t="s">
        <v>189</v>
      </c>
      <c r="K2" s="68" t="s">
        <v>190</v>
      </c>
      <c r="L2" s="68" t="s">
        <v>191</v>
      </c>
      <c r="M2" s="68" t="s">
        <v>192</v>
      </c>
      <c r="N2" s="68" t="s">
        <v>193</v>
      </c>
      <c r="O2" s="68" t="s">
        <v>194</v>
      </c>
      <c r="P2" s="68" t="s">
        <v>195</v>
      </c>
    </row>
    <row r="3" customFormat="false" ht="15" hidden="false" customHeight="false" outlineLevel="0" collapsed="false">
      <c r="A3" s="26"/>
      <c r="B3" s="26"/>
      <c r="C3" s="26"/>
      <c r="D3" s="32"/>
      <c r="E3" s="41" t="str">
        <f aca="false">IF(D3="","",D3)</f>
        <v/>
      </c>
      <c r="F3" s="41" t="str">
        <f aca="false">IF(D3="","",D3)</f>
        <v/>
      </c>
      <c r="G3" s="41" t="str">
        <f aca="false">IF(D3="","",D3)</f>
        <v/>
      </c>
      <c r="H3" s="41" t="str">
        <f aca="false">IF(D3="","",D3)</f>
        <v/>
      </c>
      <c r="I3" s="41" t="str">
        <f aca="false">IF(D3="","",D3)</f>
        <v/>
      </c>
      <c r="J3" s="41" t="str">
        <f aca="false">IF(D3="","",D3)</f>
        <v/>
      </c>
      <c r="K3" s="41" t="str">
        <f aca="false">IF(D3="","",D3)</f>
        <v/>
      </c>
      <c r="L3" s="41" t="str">
        <f aca="false">IF(D3="","",D3)</f>
        <v/>
      </c>
      <c r="M3" s="41" t="str">
        <f aca="false">IF(D3="","",D3)</f>
        <v/>
      </c>
      <c r="N3" s="41" t="str">
        <f aca="false">IF(D3="","",D3)</f>
        <v/>
      </c>
      <c r="O3" s="41" t="str">
        <f aca="false">IF(D3="","",D3)</f>
        <v/>
      </c>
      <c r="P3" s="41" t="str">
        <f aca="false">IF(D3="","",D3)</f>
        <v/>
      </c>
    </row>
    <row r="4" customFormat="false" ht="15" hidden="false" customHeight="false" outlineLevel="0" collapsed="false">
      <c r="A4" s="26"/>
      <c r="B4" s="26"/>
      <c r="C4" s="26"/>
      <c r="D4" s="32"/>
      <c r="E4" s="41" t="str">
        <f aca="false">IF(D4="","",D4)</f>
        <v/>
      </c>
      <c r="F4" s="41" t="str">
        <f aca="false">IF(D4="","",D4)</f>
        <v/>
      </c>
      <c r="G4" s="41" t="str">
        <f aca="false">IF(D4="","",D4)</f>
        <v/>
      </c>
      <c r="H4" s="41" t="str">
        <f aca="false">IF(D4="","",D4)</f>
        <v/>
      </c>
      <c r="I4" s="41" t="str">
        <f aca="false">IF(D4="","",D4)</f>
        <v/>
      </c>
      <c r="J4" s="41" t="str">
        <f aca="false">IF(D4="","",D4)</f>
        <v/>
      </c>
      <c r="K4" s="41" t="str">
        <f aca="false">IF(D4="","",D4)</f>
        <v/>
      </c>
      <c r="L4" s="41" t="str">
        <f aca="false">IF(D4="","",D4)</f>
        <v/>
      </c>
      <c r="M4" s="41" t="str">
        <f aca="false">IF(D4="","",D4)</f>
        <v/>
      </c>
      <c r="N4" s="41" t="str">
        <f aca="false">IF(D4="","",D4)</f>
        <v/>
      </c>
      <c r="O4" s="41" t="str">
        <f aca="false">IF(D4="","",D4)</f>
        <v/>
      </c>
      <c r="P4" s="41" t="str">
        <f aca="false">IF(D4="","",D4)</f>
        <v/>
      </c>
    </row>
    <row r="5" customFormat="false" ht="15" hidden="false" customHeight="false" outlineLevel="0" collapsed="false">
      <c r="A5" s="26"/>
      <c r="B5" s="26"/>
      <c r="C5" s="26"/>
      <c r="D5" s="32"/>
      <c r="E5" s="41" t="str">
        <f aca="false">IF(D5="","",D5)</f>
        <v/>
      </c>
      <c r="F5" s="41" t="str">
        <f aca="false">IF(D5="","",D5)</f>
        <v/>
      </c>
      <c r="G5" s="41" t="str">
        <f aca="false">IF(D5="","",D5)</f>
        <v/>
      </c>
      <c r="H5" s="41" t="str">
        <f aca="false">IF(D5="","",D5)</f>
        <v/>
      </c>
      <c r="I5" s="41" t="str">
        <f aca="false">IF(D5="","",D5)</f>
        <v/>
      </c>
      <c r="J5" s="41" t="str">
        <f aca="false">IF(D5="","",D5)</f>
        <v/>
      </c>
      <c r="K5" s="41" t="str">
        <f aca="false">IF(D5="","",D5)</f>
        <v/>
      </c>
      <c r="L5" s="41" t="str">
        <f aca="false">IF(D5="","",D5)</f>
        <v/>
      </c>
      <c r="M5" s="41" t="str">
        <f aca="false">IF(D5="","",D5)</f>
        <v/>
      </c>
      <c r="N5" s="41" t="str">
        <f aca="false">IF(D5="","",D5)</f>
        <v/>
      </c>
      <c r="O5" s="41" t="str">
        <f aca="false">IF(D5="","",D5)</f>
        <v/>
      </c>
      <c r="P5" s="41" t="str">
        <f aca="false">IF(D5="","",D5)</f>
        <v/>
      </c>
    </row>
    <row r="6" customFormat="false" ht="15" hidden="false" customHeight="false" outlineLevel="0" collapsed="false">
      <c r="A6" s="26"/>
      <c r="B6" s="26"/>
      <c r="C6" s="26"/>
      <c r="D6" s="32"/>
      <c r="E6" s="41" t="str">
        <f aca="false">IF(D6="","",D6)</f>
        <v/>
      </c>
      <c r="F6" s="41" t="str">
        <f aca="false">IF(D6="","",D6)</f>
        <v/>
      </c>
      <c r="G6" s="41" t="str">
        <f aca="false">IF(D6="","",D6)</f>
        <v/>
      </c>
      <c r="H6" s="41" t="str">
        <f aca="false">IF(D6="","",D6)</f>
        <v/>
      </c>
      <c r="I6" s="41" t="str">
        <f aca="false">IF(D6="","",D6)</f>
        <v/>
      </c>
      <c r="J6" s="41" t="str">
        <f aca="false">IF(D6="","",D6)</f>
        <v/>
      </c>
      <c r="K6" s="41" t="str">
        <f aca="false">IF(D6="","",D6)</f>
        <v/>
      </c>
      <c r="L6" s="41" t="str">
        <f aca="false">IF(D6="","",D6)</f>
        <v/>
      </c>
      <c r="M6" s="41" t="str">
        <f aca="false">IF(D6="","",D6)</f>
        <v/>
      </c>
      <c r="N6" s="41" t="str">
        <f aca="false">IF(D6="","",D6)</f>
        <v/>
      </c>
      <c r="O6" s="41" t="str">
        <f aca="false">IF(D6="","",D6)</f>
        <v/>
      </c>
      <c r="P6" s="41" t="str">
        <f aca="false">IF(D6="","",D6)</f>
        <v/>
      </c>
    </row>
    <row r="7" customFormat="false" ht="15" hidden="false" customHeight="false" outlineLevel="0" collapsed="false">
      <c r="A7" s="26"/>
      <c r="B7" s="26"/>
      <c r="C7" s="26"/>
      <c r="D7" s="32"/>
      <c r="E7" s="41" t="str">
        <f aca="false">IF(D7="","",D7)</f>
        <v/>
      </c>
      <c r="F7" s="41" t="str">
        <f aca="false">IF(D7="","",D7)</f>
        <v/>
      </c>
      <c r="G7" s="41" t="str">
        <f aca="false">IF(D7="","",D7)</f>
        <v/>
      </c>
      <c r="H7" s="41" t="str">
        <f aca="false">IF(D7="","",D7)</f>
        <v/>
      </c>
      <c r="I7" s="41" t="str">
        <f aca="false">IF(D7="","",D7)</f>
        <v/>
      </c>
      <c r="J7" s="41" t="str">
        <f aca="false">IF(D7="","",D7)</f>
        <v/>
      </c>
      <c r="K7" s="41" t="str">
        <f aca="false">IF(D7="","",D7)</f>
        <v/>
      </c>
      <c r="L7" s="41" t="str">
        <f aca="false">IF(D7="","",D7)</f>
        <v/>
      </c>
      <c r="M7" s="41" t="str">
        <f aca="false">IF(D7="","",D7)</f>
        <v/>
      </c>
      <c r="N7" s="41" t="str">
        <f aca="false">IF(D7="","",D7)</f>
        <v/>
      </c>
      <c r="O7" s="41" t="str">
        <f aca="false">IF(D7="","",D7)</f>
        <v/>
      </c>
      <c r="P7" s="41" t="str">
        <f aca="false">IF(D7="","",D7)</f>
        <v/>
      </c>
    </row>
    <row r="8" customFormat="false" ht="15" hidden="false" customHeight="false" outlineLevel="0" collapsed="false">
      <c r="A8" s="26"/>
      <c r="B8" s="26"/>
      <c r="C8" s="26"/>
      <c r="D8" s="32"/>
      <c r="E8" s="41" t="str">
        <f aca="false">IF(D8="","",D8)</f>
        <v/>
      </c>
      <c r="F8" s="41" t="str">
        <f aca="false">IF(D8="","",D8)</f>
        <v/>
      </c>
      <c r="G8" s="41" t="str">
        <f aca="false">IF(D8="","",D8)</f>
        <v/>
      </c>
      <c r="H8" s="41" t="str">
        <f aca="false">IF(D8="","",D8)</f>
        <v/>
      </c>
      <c r="I8" s="41" t="str">
        <f aca="false">IF(D8="","",D8)</f>
        <v/>
      </c>
      <c r="J8" s="41" t="str">
        <f aca="false">IF(D8="","",D8)</f>
        <v/>
      </c>
      <c r="K8" s="41" t="str">
        <f aca="false">IF(D8="","",D8)</f>
        <v/>
      </c>
      <c r="L8" s="41" t="str">
        <f aca="false">IF(D8="","",D8)</f>
        <v/>
      </c>
      <c r="M8" s="41" t="str">
        <f aca="false">IF(D8="","",D8)</f>
        <v/>
      </c>
      <c r="N8" s="41" t="str">
        <f aca="false">IF(D8="","",D8)</f>
        <v/>
      </c>
      <c r="O8" s="41" t="str">
        <f aca="false">IF(D8="","",D8)</f>
        <v/>
      </c>
      <c r="P8" s="41" t="str">
        <f aca="false">IF(D8="","",D8)</f>
        <v/>
      </c>
    </row>
    <row r="9" customFormat="false" ht="15" hidden="false" customHeight="false" outlineLevel="0" collapsed="false">
      <c r="A9" s="26"/>
      <c r="B9" s="26"/>
      <c r="C9" s="26"/>
      <c r="D9" s="32"/>
      <c r="E9" s="41" t="str">
        <f aca="false">IF(D9="","",D9)</f>
        <v/>
      </c>
      <c r="F9" s="41" t="str">
        <f aca="false">IF(D9="","",D9)</f>
        <v/>
      </c>
      <c r="G9" s="41" t="str">
        <f aca="false">IF(D9="","",D9)</f>
        <v/>
      </c>
      <c r="H9" s="41" t="str">
        <f aca="false">IF(D9="","",D9)</f>
        <v/>
      </c>
      <c r="I9" s="41" t="str">
        <f aca="false">IF(D9="","",D9)</f>
        <v/>
      </c>
      <c r="J9" s="41" t="str">
        <f aca="false">IF(D9="","",D9)</f>
        <v/>
      </c>
      <c r="K9" s="41" t="str">
        <f aca="false">IF(D9="","",D9)</f>
        <v/>
      </c>
      <c r="L9" s="41" t="str">
        <f aca="false">IF(D9="","",D9)</f>
        <v/>
      </c>
      <c r="M9" s="41" t="str">
        <f aca="false">IF(D9="","",D9)</f>
        <v/>
      </c>
      <c r="N9" s="41" t="str">
        <f aca="false">IF(D9="","",D9)</f>
        <v/>
      </c>
      <c r="O9" s="41" t="str">
        <f aca="false">IF(D9="","",D9)</f>
        <v/>
      </c>
      <c r="P9" s="41" t="str">
        <f aca="false">IF(D9="","",D9)</f>
        <v/>
      </c>
    </row>
    <row r="10" customFormat="false" ht="15" hidden="false" customHeight="false" outlineLevel="0" collapsed="false">
      <c r="A10" s="26"/>
      <c r="B10" s="26"/>
      <c r="C10" s="26"/>
      <c r="D10" s="32"/>
      <c r="E10" s="41" t="str">
        <f aca="false">IF(D10="","",D10)</f>
        <v/>
      </c>
      <c r="F10" s="41" t="str">
        <f aca="false">IF(D10="","",D10)</f>
        <v/>
      </c>
      <c r="G10" s="41" t="str">
        <f aca="false">IF(D10="","",D10)</f>
        <v/>
      </c>
      <c r="H10" s="41" t="str">
        <f aca="false">IF(D10="","",D10)</f>
        <v/>
      </c>
      <c r="I10" s="41" t="str">
        <f aca="false">IF(D10="","",D10)</f>
        <v/>
      </c>
      <c r="J10" s="41" t="str">
        <f aca="false">IF(D10="","",D10)</f>
        <v/>
      </c>
      <c r="K10" s="41" t="str">
        <f aca="false">IF(D10="","",D10)</f>
        <v/>
      </c>
      <c r="L10" s="41" t="str">
        <f aca="false">IF(D10="","",D10)</f>
        <v/>
      </c>
      <c r="M10" s="41" t="str">
        <f aca="false">IF(D10="","",D10)</f>
        <v/>
      </c>
      <c r="N10" s="41" t="str">
        <f aca="false">IF(D10="","",D10)</f>
        <v/>
      </c>
      <c r="O10" s="41" t="str">
        <f aca="false">IF(D10="","",D10)</f>
        <v/>
      </c>
      <c r="P10" s="41" t="str">
        <f aca="false">IF(D10="","",D10)</f>
        <v/>
      </c>
    </row>
    <row r="11" customFormat="false" ht="15" hidden="false" customHeight="false" outlineLevel="0" collapsed="false">
      <c r="A11" s="26"/>
      <c r="B11" s="26"/>
      <c r="C11" s="26"/>
      <c r="D11" s="32"/>
      <c r="E11" s="41" t="str">
        <f aca="false">IF(D11="","",D11)</f>
        <v/>
      </c>
      <c r="F11" s="41" t="str">
        <f aca="false">IF(D11="","",D11)</f>
        <v/>
      </c>
      <c r="G11" s="41" t="str">
        <f aca="false">IF(D11="","",D11)</f>
        <v/>
      </c>
      <c r="H11" s="41" t="str">
        <f aca="false">IF(D11="","",D11)</f>
        <v/>
      </c>
      <c r="I11" s="41" t="str">
        <f aca="false">IF(D11="","",D11)</f>
        <v/>
      </c>
      <c r="J11" s="41" t="str">
        <f aca="false">IF(D11="","",D11)</f>
        <v/>
      </c>
      <c r="K11" s="41" t="str">
        <f aca="false">IF(D11="","",D11)</f>
        <v/>
      </c>
      <c r="L11" s="41" t="str">
        <f aca="false">IF(D11="","",D11)</f>
        <v/>
      </c>
      <c r="M11" s="41" t="str">
        <f aca="false">IF(D11="","",D11)</f>
        <v/>
      </c>
      <c r="N11" s="41" t="str">
        <f aca="false">IF(D11="","",D11)</f>
        <v/>
      </c>
      <c r="O11" s="41" t="str">
        <f aca="false">IF(D11="","",D11)</f>
        <v/>
      </c>
      <c r="P11" s="41" t="str">
        <f aca="false">IF(D11="","",D11)</f>
        <v/>
      </c>
    </row>
    <row r="12" customFormat="false" ht="15" hidden="false" customHeight="false" outlineLevel="0" collapsed="false">
      <c r="A12" s="26"/>
      <c r="B12" s="26"/>
      <c r="C12" s="26"/>
      <c r="D12" s="32"/>
      <c r="E12" s="41" t="str">
        <f aca="false">IF(D12="","",D12)</f>
        <v/>
      </c>
      <c r="F12" s="41" t="str">
        <f aca="false">IF(D12="","",D12)</f>
        <v/>
      </c>
      <c r="G12" s="41" t="str">
        <f aca="false">IF(D12="","",D12)</f>
        <v/>
      </c>
      <c r="H12" s="41" t="str">
        <f aca="false">IF(D12="","",D12)</f>
        <v/>
      </c>
      <c r="I12" s="41" t="str">
        <f aca="false">IF(D12="","",D12)</f>
        <v/>
      </c>
      <c r="J12" s="41" t="str">
        <f aca="false">IF(D12="","",D12)</f>
        <v/>
      </c>
      <c r="K12" s="41" t="str">
        <f aca="false">IF(D12="","",D12)</f>
        <v/>
      </c>
      <c r="L12" s="41" t="str">
        <f aca="false">IF(D12="","",D12)</f>
        <v/>
      </c>
      <c r="M12" s="41" t="str">
        <f aca="false">IF(D12="","",D12)</f>
        <v/>
      </c>
      <c r="N12" s="41" t="str">
        <f aca="false">IF(D12="","",D12)</f>
        <v/>
      </c>
      <c r="O12" s="41" t="str">
        <f aca="false">IF(D12="","",D12)</f>
        <v/>
      </c>
      <c r="P12" s="41" t="str">
        <f aca="false">IF(D12="","",D12)</f>
        <v/>
      </c>
    </row>
    <row r="13" customFormat="false" ht="15" hidden="false" customHeight="false" outlineLevel="0" collapsed="false">
      <c r="A13" s="26"/>
      <c r="B13" s="26"/>
      <c r="C13" s="26"/>
      <c r="D13" s="32"/>
      <c r="E13" s="41" t="str">
        <f aca="false">IF(D13="","",D13)</f>
        <v/>
      </c>
      <c r="F13" s="41" t="str">
        <f aca="false">IF(D13="","",D13)</f>
        <v/>
      </c>
      <c r="G13" s="41" t="str">
        <f aca="false">IF(D13="","",D13)</f>
        <v/>
      </c>
      <c r="H13" s="41" t="str">
        <f aca="false">IF(D13="","",D13)</f>
        <v/>
      </c>
      <c r="I13" s="41" t="str">
        <f aca="false">IF(D13="","",D13)</f>
        <v/>
      </c>
      <c r="J13" s="41" t="str">
        <f aca="false">IF(D13="","",D13)</f>
        <v/>
      </c>
      <c r="K13" s="41" t="str">
        <f aca="false">IF(D13="","",D13)</f>
        <v/>
      </c>
      <c r="L13" s="41" t="str">
        <f aca="false">IF(D13="","",D13)</f>
        <v/>
      </c>
      <c r="M13" s="41" t="str">
        <f aca="false">IF(D13="","",D13)</f>
        <v/>
      </c>
      <c r="N13" s="41" t="str">
        <f aca="false">IF(D13="","",D13)</f>
        <v/>
      </c>
      <c r="O13" s="41" t="str">
        <f aca="false">IF(D13="","",D13)</f>
        <v/>
      </c>
      <c r="P13" s="41" t="str">
        <f aca="false">IF(D13="","",D13)</f>
        <v/>
      </c>
    </row>
    <row r="14" customFormat="false" ht="15" hidden="false" customHeight="false" outlineLevel="0" collapsed="false">
      <c r="A14" s="26"/>
      <c r="B14" s="26"/>
      <c r="C14" s="26"/>
      <c r="D14" s="32"/>
      <c r="E14" s="41" t="str">
        <f aca="false">IF(D14="","",D14)</f>
        <v/>
      </c>
      <c r="F14" s="41" t="str">
        <f aca="false">IF(D14="","",D14)</f>
        <v/>
      </c>
      <c r="G14" s="41" t="str">
        <f aca="false">IF(D14="","",D14)</f>
        <v/>
      </c>
      <c r="H14" s="41" t="str">
        <f aca="false">IF(D14="","",D14)</f>
        <v/>
      </c>
      <c r="I14" s="41" t="str">
        <f aca="false">IF(D14="","",D14)</f>
        <v/>
      </c>
      <c r="J14" s="41" t="str">
        <f aca="false">IF(D14="","",D14)</f>
        <v/>
      </c>
      <c r="K14" s="41" t="str">
        <f aca="false">IF(D14="","",D14)</f>
        <v/>
      </c>
      <c r="L14" s="41" t="str">
        <f aca="false">IF(D14="","",D14)</f>
        <v/>
      </c>
      <c r="M14" s="41" t="str">
        <f aca="false">IF(D14="","",D14)</f>
        <v/>
      </c>
      <c r="N14" s="41" t="str">
        <f aca="false">IF(D14="","",D14)</f>
        <v/>
      </c>
      <c r="O14" s="41" t="str">
        <f aca="false">IF(D14="","",D14)</f>
        <v/>
      </c>
      <c r="P14" s="41" t="str">
        <f aca="false">IF(D14="","",D14)</f>
        <v/>
      </c>
    </row>
    <row r="15" customFormat="false" ht="15" hidden="false" customHeight="false" outlineLevel="0" collapsed="false">
      <c r="A15" s="26"/>
      <c r="B15" s="26"/>
      <c r="C15" s="26"/>
      <c r="D15" s="32"/>
      <c r="E15" s="41" t="str">
        <f aca="false">IF(D15="","",D15)</f>
        <v/>
      </c>
      <c r="F15" s="41" t="str">
        <f aca="false">IF(D15="","",D15)</f>
        <v/>
      </c>
      <c r="G15" s="41" t="str">
        <f aca="false">IF(D15="","",D15)</f>
        <v/>
      </c>
      <c r="H15" s="41" t="str">
        <f aca="false">IF(D15="","",D15)</f>
        <v/>
      </c>
      <c r="I15" s="41" t="str">
        <f aca="false">IF(D15="","",D15)</f>
        <v/>
      </c>
      <c r="J15" s="41" t="str">
        <f aca="false">IF(D15="","",D15)</f>
        <v/>
      </c>
      <c r="K15" s="41" t="str">
        <f aca="false">IF(D15="","",D15)</f>
        <v/>
      </c>
      <c r="L15" s="41" t="str">
        <f aca="false">IF(D15="","",D15)</f>
        <v/>
      </c>
      <c r="M15" s="41" t="str">
        <f aca="false">IF(D15="","",D15)</f>
        <v/>
      </c>
      <c r="N15" s="41" t="str">
        <f aca="false">IF(D15="","",D15)</f>
        <v/>
      </c>
      <c r="O15" s="41" t="str">
        <f aca="false">IF(D15="","",D15)</f>
        <v/>
      </c>
      <c r="P15" s="41" t="str">
        <f aca="false">IF(D15="","",D15)</f>
        <v/>
      </c>
    </row>
    <row r="16" customFormat="false" ht="15" hidden="false" customHeight="false" outlineLevel="0" collapsed="false">
      <c r="A16" s="26"/>
      <c r="B16" s="26"/>
      <c r="C16" s="26"/>
      <c r="D16" s="32"/>
      <c r="E16" s="41" t="str">
        <f aca="false">IF(D16="","",D16)</f>
        <v/>
      </c>
      <c r="F16" s="41" t="str">
        <f aca="false">IF(D16="","",D16)</f>
        <v/>
      </c>
      <c r="G16" s="41" t="str">
        <f aca="false">IF(D16="","",D16)</f>
        <v/>
      </c>
      <c r="H16" s="41" t="str">
        <f aca="false">IF(D16="","",D16)</f>
        <v/>
      </c>
      <c r="I16" s="41" t="str">
        <f aca="false">IF(D16="","",D16)</f>
        <v/>
      </c>
      <c r="J16" s="41" t="str">
        <f aca="false">IF(D16="","",D16)</f>
        <v/>
      </c>
      <c r="K16" s="41" t="str">
        <f aca="false">IF(D16="","",D16)</f>
        <v/>
      </c>
      <c r="L16" s="41" t="str">
        <f aca="false">IF(D16="","",D16)</f>
        <v/>
      </c>
      <c r="M16" s="41" t="str">
        <f aca="false">IF(D16="","",D16)</f>
        <v/>
      </c>
      <c r="N16" s="41" t="str">
        <f aca="false">IF(D16="","",D16)</f>
        <v/>
      </c>
      <c r="O16" s="41" t="str">
        <f aca="false">IF(D16="","",D16)</f>
        <v/>
      </c>
      <c r="P16" s="41" t="str">
        <f aca="false">IF(D16="","",D16)</f>
        <v/>
      </c>
    </row>
    <row r="17" customFormat="false" ht="15" hidden="false" customHeight="false" outlineLevel="0" collapsed="false">
      <c r="A17" s="26"/>
      <c r="B17" s="26"/>
      <c r="C17" s="26"/>
      <c r="D17" s="32"/>
      <c r="E17" s="41" t="str">
        <f aca="false">IF(D17="","",D17)</f>
        <v/>
      </c>
      <c r="F17" s="41" t="str">
        <f aca="false">IF(D17="","",D17)</f>
        <v/>
      </c>
      <c r="G17" s="41" t="str">
        <f aca="false">IF(D17="","",D17)</f>
        <v/>
      </c>
      <c r="H17" s="41" t="str">
        <f aca="false">IF(D17="","",D17)</f>
        <v/>
      </c>
      <c r="I17" s="41" t="str">
        <f aca="false">IF(D17="","",D17)</f>
        <v/>
      </c>
      <c r="J17" s="41" t="str">
        <f aca="false">IF(D17="","",D17)</f>
        <v/>
      </c>
      <c r="K17" s="41" t="str">
        <f aca="false">IF(D17="","",D17)</f>
        <v/>
      </c>
      <c r="L17" s="41" t="str">
        <f aca="false">IF(D17="","",D17)</f>
        <v/>
      </c>
      <c r="M17" s="41" t="str">
        <f aca="false">IF(D17="","",D17)</f>
        <v/>
      </c>
      <c r="N17" s="41" t="str">
        <f aca="false">IF(D17="","",D17)</f>
        <v/>
      </c>
      <c r="O17" s="41" t="str">
        <f aca="false">IF(D17="","",D17)</f>
        <v/>
      </c>
      <c r="P17" s="41" t="str">
        <f aca="false">IF(D17="","",D17)</f>
        <v/>
      </c>
    </row>
    <row r="18" customFormat="false" ht="15" hidden="false" customHeight="false" outlineLevel="0" collapsed="false">
      <c r="A18" s="26"/>
      <c r="B18" s="26"/>
      <c r="C18" s="26"/>
      <c r="D18" s="32"/>
      <c r="E18" s="41" t="str">
        <f aca="false">IF(D18="","",D18)</f>
        <v/>
      </c>
      <c r="F18" s="41" t="str">
        <f aca="false">IF(D18="","",D18)</f>
        <v/>
      </c>
      <c r="G18" s="41" t="str">
        <f aca="false">IF(D18="","",D18)</f>
        <v/>
      </c>
      <c r="H18" s="41" t="str">
        <f aca="false">IF(D18="","",D18)</f>
        <v/>
      </c>
      <c r="I18" s="41" t="str">
        <f aca="false">IF(D18="","",D18)</f>
        <v/>
      </c>
      <c r="J18" s="41" t="str">
        <f aca="false">IF(D18="","",D18)</f>
        <v/>
      </c>
      <c r="K18" s="41" t="str">
        <f aca="false">IF(D18="","",D18)</f>
        <v/>
      </c>
      <c r="L18" s="41" t="str">
        <f aca="false">IF(D18="","",D18)</f>
        <v/>
      </c>
      <c r="M18" s="41" t="str">
        <f aca="false">IF(D18="","",D18)</f>
        <v/>
      </c>
      <c r="N18" s="41" t="str">
        <f aca="false">IF(D18="","",D18)</f>
        <v/>
      </c>
      <c r="O18" s="41" t="str">
        <f aca="false">IF(D18="","",D18)</f>
        <v/>
      </c>
      <c r="P18" s="41" t="str">
        <f aca="false">IF(D18="","",D18)</f>
        <v/>
      </c>
    </row>
    <row r="19" customFormat="false" ht="15" hidden="false" customHeight="false" outlineLevel="0" collapsed="false">
      <c r="A19" s="26"/>
      <c r="B19" s="26"/>
      <c r="C19" s="26"/>
      <c r="D19" s="32"/>
      <c r="E19" s="41" t="str">
        <f aca="false">IF(D19="","",D19)</f>
        <v/>
      </c>
      <c r="F19" s="41" t="str">
        <f aca="false">IF(D19="","",D19)</f>
        <v/>
      </c>
      <c r="G19" s="41" t="str">
        <f aca="false">IF(D19="","",D19)</f>
        <v/>
      </c>
      <c r="H19" s="41" t="str">
        <f aca="false">IF(D19="","",D19)</f>
        <v/>
      </c>
      <c r="I19" s="41" t="str">
        <f aca="false">IF(D19="","",D19)</f>
        <v/>
      </c>
      <c r="J19" s="41" t="str">
        <f aca="false">IF(D19="","",D19)</f>
        <v/>
      </c>
      <c r="K19" s="41" t="str">
        <f aca="false">IF(D19="","",D19)</f>
        <v/>
      </c>
      <c r="L19" s="41" t="str">
        <f aca="false">IF(D19="","",D19)</f>
        <v/>
      </c>
      <c r="M19" s="41" t="str">
        <f aca="false">IF(D19="","",D19)</f>
        <v/>
      </c>
      <c r="N19" s="41" t="str">
        <f aca="false">IF(D19="","",D19)</f>
        <v/>
      </c>
      <c r="O19" s="41" t="str">
        <f aca="false">IF(D19="","",D19)</f>
        <v/>
      </c>
      <c r="P19" s="41" t="str">
        <f aca="false">IF(D19="","",D19)</f>
        <v/>
      </c>
    </row>
    <row r="20" customFormat="false" ht="15" hidden="false" customHeight="false" outlineLevel="0" collapsed="false">
      <c r="A20" s="26"/>
      <c r="B20" s="26"/>
      <c r="C20" s="26"/>
      <c r="D20" s="32"/>
      <c r="E20" s="41" t="str">
        <f aca="false">IF(D20="","",D20)</f>
        <v/>
      </c>
      <c r="F20" s="41" t="str">
        <f aca="false">IF(D20="","",D20)</f>
        <v/>
      </c>
      <c r="G20" s="41" t="str">
        <f aca="false">IF(D20="","",D20)</f>
        <v/>
      </c>
      <c r="H20" s="41" t="str">
        <f aca="false">IF(D20="","",D20)</f>
        <v/>
      </c>
      <c r="I20" s="41" t="str">
        <f aca="false">IF(D20="","",D20)</f>
        <v/>
      </c>
      <c r="J20" s="41" t="str">
        <f aca="false">IF(D20="","",D20)</f>
        <v/>
      </c>
      <c r="K20" s="41" t="str">
        <f aca="false">IF(D20="","",D20)</f>
        <v/>
      </c>
      <c r="L20" s="41" t="str">
        <f aca="false">IF(D20="","",D20)</f>
        <v/>
      </c>
      <c r="M20" s="41" t="str">
        <f aca="false">IF(D20="","",D20)</f>
        <v/>
      </c>
      <c r="N20" s="41" t="str">
        <f aca="false">IF(D20="","",D20)</f>
        <v/>
      </c>
      <c r="O20" s="41" t="str">
        <f aca="false">IF(D20="","",D20)</f>
        <v/>
      </c>
      <c r="P20" s="41" t="str">
        <f aca="false">IF(D20="","",D20)</f>
        <v/>
      </c>
    </row>
    <row r="21" customFormat="false" ht="15" hidden="false" customHeight="false" outlineLevel="0" collapsed="false">
      <c r="A21" s="26"/>
      <c r="B21" s="26"/>
      <c r="C21" s="26"/>
      <c r="D21" s="32"/>
      <c r="E21" s="41" t="str">
        <f aca="false">IF(D21="","",D21)</f>
        <v/>
      </c>
      <c r="F21" s="41" t="str">
        <f aca="false">IF(D21="","",D21)</f>
        <v/>
      </c>
      <c r="G21" s="41" t="str">
        <f aca="false">IF(D21="","",D21)</f>
        <v/>
      </c>
      <c r="H21" s="41" t="str">
        <f aca="false">IF(D21="","",D21)</f>
        <v/>
      </c>
      <c r="I21" s="41" t="str">
        <f aca="false">IF(D21="","",D21)</f>
        <v/>
      </c>
      <c r="J21" s="41" t="str">
        <f aca="false">IF(D21="","",D21)</f>
        <v/>
      </c>
      <c r="K21" s="41" t="str">
        <f aca="false">IF(D21="","",D21)</f>
        <v/>
      </c>
      <c r="L21" s="41" t="str">
        <f aca="false">IF(D21="","",D21)</f>
        <v/>
      </c>
      <c r="M21" s="41" t="str">
        <f aca="false">IF(D21="","",D21)</f>
        <v/>
      </c>
      <c r="N21" s="41" t="str">
        <f aca="false">IF(D21="","",D21)</f>
        <v/>
      </c>
      <c r="O21" s="41" t="str">
        <f aca="false">IF(D21="","",D21)</f>
        <v/>
      </c>
      <c r="P21" s="41" t="str">
        <f aca="false">IF(D21="","",D21)</f>
        <v/>
      </c>
    </row>
    <row r="22" customFormat="false" ht="15" hidden="false" customHeight="false" outlineLevel="0" collapsed="false">
      <c r="A22" s="26"/>
      <c r="B22" s="26"/>
      <c r="C22" s="26"/>
      <c r="D22" s="32"/>
      <c r="E22" s="41" t="str">
        <f aca="false">IF(D22="","",D22)</f>
        <v/>
      </c>
      <c r="F22" s="41" t="str">
        <f aca="false">IF(D22="","",D22)</f>
        <v/>
      </c>
      <c r="G22" s="41" t="str">
        <f aca="false">IF(D22="","",D22)</f>
        <v/>
      </c>
      <c r="H22" s="41" t="str">
        <f aca="false">IF(D22="","",D22)</f>
        <v/>
      </c>
      <c r="I22" s="41" t="str">
        <f aca="false">IF(D22="","",D22)</f>
        <v/>
      </c>
      <c r="J22" s="41" t="str">
        <f aca="false">IF(D22="","",D22)</f>
        <v/>
      </c>
      <c r="K22" s="41" t="str">
        <f aca="false">IF(D22="","",D22)</f>
        <v/>
      </c>
      <c r="L22" s="41" t="str">
        <f aca="false">IF(D22="","",D22)</f>
        <v/>
      </c>
      <c r="M22" s="41" t="str">
        <f aca="false">IF(D22="","",D22)</f>
        <v/>
      </c>
      <c r="N22" s="41" t="str">
        <f aca="false">IF(D22="","",D22)</f>
        <v/>
      </c>
      <c r="O22" s="41" t="str">
        <f aca="false">IF(D22="","",D22)</f>
        <v/>
      </c>
      <c r="P22" s="41" t="str">
        <f aca="false">IF(D22="","",D22)</f>
        <v/>
      </c>
    </row>
    <row r="23" customFormat="false" ht="15" hidden="false" customHeight="false" outlineLevel="0" collapsed="false">
      <c r="A23" s="26"/>
      <c r="B23" s="26"/>
      <c r="C23" s="26"/>
      <c r="D23" s="32"/>
      <c r="E23" s="41" t="str">
        <f aca="false">IF(D23="","",D23)</f>
        <v/>
      </c>
      <c r="F23" s="41" t="str">
        <f aca="false">IF(D23="","",D23)</f>
        <v/>
      </c>
      <c r="G23" s="41" t="str">
        <f aca="false">IF(D23="","",D23)</f>
        <v/>
      </c>
      <c r="H23" s="41" t="str">
        <f aca="false">IF(D23="","",D23)</f>
        <v/>
      </c>
      <c r="I23" s="41" t="str">
        <f aca="false">IF(D23="","",D23)</f>
        <v/>
      </c>
      <c r="J23" s="41" t="str">
        <f aca="false">IF(D23="","",D23)</f>
        <v/>
      </c>
      <c r="K23" s="41" t="str">
        <f aca="false">IF(D23="","",D23)</f>
        <v/>
      </c>
      <c r="L23" s="41" t="str">
        <f aca="false">IF(D23="","",D23)</f>
        <v/>
      </c>
      <c r="M23" s="41" t="str">
        <f aca="false">IF(D23="","",D23)</f>
        <v/>
      </c>
      <c r="N23" s="41" t="str">
        <f aca="false">IF(D23="","",D23)</f>
        <v/>
      </c>
      <c r="O23" s="41" t="str">
        <f aca="false">IF(D23="","",D23)</f>
        <v/>
      </c>
      <c r="P23" s="41" t="str">
        <f aca="false">IF(D23="","",D23)</f>
        <v/>
      </c>
    </row>
    <row r="24" customFormat="false" ht="15" hidden="false" customHeight="false" outlineLevel="0" collapsed="false">
      <c r="A24" s="26"/>
      <c r="B24" s="26"/>
      <c r="C24" s="26"/>
      <c r="D24" s="32"/>
      <c r="E24" s="41" t="str">
        <f aca="false">IF(D24="","",D24)</f>
        <v/>
      </c>
      <c r="F24" s="41" t="str">
        <f aca="false">IF(D24="","",D24)</f>
        <v/>
      </c>
      <c r="G24" s="41" t="str">
        <f aca="false">IF(D24="","",D24)</f>
        <v/>
      </c>
      <c r="H24" s="41" t="str">
        <f aca="false">IF(D24="","",D24)</f>
        <v/>
      </c>
      <c r="I24" s="41" t="str">
        <f aca="false">IF(D24="","",D24)</f>
        <v/>
      </c>
      <c r="J24" s="41" t="str">
        <f aca="false">IF(D24="","",D24)</f>
        <v/>
      </c>
      <c r="K24" s="41" t="str">
        <f aca="false">IF(D24="","",D24)</f>
        <v/>
      </c>
      <c r="L24" s="41" t="str">
        <f aca="false">IF(D24="","",D24)</f>
        <v/>
      </c>
      <c r="M24" s="41" t="str">
        <f aca="false">IF(D24="","",D24)</f>
        <v/>
      </c>
      <c r="N24" s="41" t="str">
        <f aca="false">IF(D24="","",D24)</f>
        <v/>
      </c>
      <c r="O24" s="41" t="str">
        <f aca="false">IF(D24="","",D24)</f>
        <v/>
      </c>
      <c r="P24" s="41" t="str">
        <f aca="false">IF(D24="","",D24)</f>
        <v/>
      </c>
    </row>
    <row r="25" customFormat="false" ht="15" hidden="false" customHeight="false" outlineLevel="0" collapsed="false">
      <c r="A25" s="26"/>
      <c r="B25" s="26"/>
      <c r="C25" s="26"/>
      <c r="D25" s="32"/>
      <c r="E25" s="41" t="str">
        <f aca="false">IF(D25="","",D25)</f>
        <v/>
      </c>
      <c r="F25" s="41" t="str">
        <f aca="false">IF(D25="","",D25)</f>
        <v/>
      </c>
      <c r="G25" s="41" t="str">
        <f aca="false">IF(D25="","",D25)</f>
        <v/>
      </c>
      <c r="H25" s="41" t="str">
        <f aca="false">IF(D25="","",D25)</f>
        <v/>
      </c>
      <c r="I25" s="41" t="str">
        <f aca="false">IF(D25="","",D25)</f>
        <v/>
      </c>
      <c r="J25" s="41" t="str">
        <f aca="false">IF(D25="","",D25)</f>
        <v/>
      </c>
      <c r="K25" s="41" t="str">
        <f aca="false">IF(D25="","",D25)</f>
        <v/>
      </c>
      <c r="L25" s="41" t="str">
        <f aca="false">IF(D25="","",D25)</f>
        <v/>
      </c>
      <c r="M25" s="41" t="str">
        <f aca="false">IF(D25="","",D25)</f>
        <v/>
      </c>
      <c r="N25" s="41" t="str">
        <f aca="false">IF(D25="","",D25)</f>
        <v/>
      </c>
      <c r="O25" s="41" t="str">
        <f aca="false">IF(D25="","",D25)</f>
        <v/>
      </c>
      <c r="P25" s="41" t="str">
        <f aca="false">IF(D25="","",D25)</f>
        <v/>
      </c>
    </row>
    <row r="26" customFormat="false" ht="15" hidden="false" customHeight="false" outlineLevel="0" collapsed="false">
      <c r="A26" s="26"/>
      <c r="B26" s="26"/>
      <c r="C26" s="26"/>
      <c r="D26" s="32"/>
      <c r="E26" s="41" t="str">
        <f aca="false">IF(D26="","",D26)</f>
        <v/>
      </c>
      <c r="F26" s="41" t="str">
        <f aca="false">IF(D26="","",D26)</f>
        <v/>
      </c>
      <c r="G26" s="41" t="str">
        <f aca="false">IF(D26="","",D26)</f>
        <v/>
      </c>
      <c r="H26" s="41" t="str">
        <f aca="false">IF(D26="","",D26)</f>
        <v/>
      </c>
      <c r="I26" s="41" t="str">
        <f aca="false">IF(D26="","",D26)</f>
        <v/>
      </c>
      <c r="J26" s="41" t="str">
        <f aca="false">IF(D26="","",D26)</f>
        <v/>
      </c>
      <c r="K26" s="41" t="str">
        <f aca="false">IF(D26="","",D26)</f>
        <v/>
      </c>
      <c r="L26" s="41" t="str">
        <f aca="false">IF(D26="","",D26)</f>
        <v/>
      </c>
      <c r="M26" s="41" t="str">
        <f aca="false">IF(D26="","",D26)</f>
        <v/>
      </c>
      <c r="N26" s="41" t="str">
        <f aca="false">IF(D26="","",D26)</f>
        <v/>
      </c>
      <c r="O26" s="41" t="str">
        <f aca="false">IF(D26="","",D26)</f>
        <v/>
      </c>
      <c r="P26" s="41" t="str">
        <f aca="false">IF(D26="","",D26)</f>
        <v/>
      </c>
    </row>
    <row r="27" customFormat="false" ht="15" hidden="false" customHeight="false" outlineLevel="0" collapsed="false">
      <c r="A27" s="26"/>
      <c r="B27" s="26"/>
      <c r="C27" s="26"/>
      <c r="D27" s="32"/>
      <c r="E27" s="41" t="str">
        <f aca="false">IF(D27="","",D27)</f>
        <v/>
      </c>
      <c r="F27" s="41" t="str">
        <f aca="false">IF(D27="","",D27)</f>
        <v/>
      </c>
      <c r="G27" s="41" t="str">
        <f aca="false">IF(D27="","",D27)</f>
        <v/>
      </c>
      <c r="H27" s="41" t="str">
        <f aca="false">IF(D27="","",D27)</f>
        <v/>
      </c>
      <c r="I27" s="41" t="str">
        <f aca="false">IF(D27="","",D27)</f>
        <v/>
      </c>
      <c r="J27" s="41" t="str">
        <f aca="false">IF(D27="","",D27)</f>
        <v/>
      </c>
      <c r="K27" s="41" t="str">
        <f aca="false">IF(D27="","",D27)</f>
        <v/>
      </c>
      <c r="L27" s="41" t="str">
        <f aca="false">IF(D27="","",D27)</f>
        <v/>
      </c>
      <c r="M27" s="41" t="str">
        <f aca="false">IF(D27="","",D27)</f>
        <v/>
      </c>
      <c r="N27" s="41" t="str">
        <f aca="false">IF(D27="","",D27)</f>
        <v/>
      </c>
      <c r="O27" s="41" t="str">
        <f aca="false">IF(D27="","",D27)</f>
        <v/>
      </c>
      <c r="P27" s="41" t="str">
        <f aca="false">IF(D27="","",D27)</f>
        <v/>
      </c>
    </row>
    <row r="28" customFormat="false" ht="15" hidden="false" customHeight="false" outlineLevel="0" collapsed="false">
      <c r="A28" s="26"/>
      <c r="B28" s="26"/>
      <c r="C28" s="26"/>
      <c r="D28" s="32"/>
      <c r="E28" s="41" t="str">
        <f aca="false">IF(D28="","",D28)</f>
        <v/>
      </c>
      <c r="F28" s="41" t="str">
        <f aca="false">IF(D28="","",D28)</f>
        <v/>
      </c>
      <c r="G28" s="41" t="str">
        <f aca="false">IF(D28="","",D28)</f>
        <v/>
      </c>
      <c r="H28" s="41" t="str">
        <f aca="false">IF(D28="","",D28)</f>
        <v/>
      </c>
      <c r="I28" s="41" t="str">
        <f aca="false">IF(D28="","",D28)</f>
        <v/>
      </c>
      <c r="J28" s="41" t="str">
        <f aca="false">IF(D28="","",D28)</f>
        <v/>
      </c>
      <c r="K28" s="41" t="str">
        <f aca="false">IF(D28="","",D28)</f>
        <v/>
      </c>
      <c r="L28" s="41" t="str">
        <f aca="false">IF(D28="","",D28)</f>
        <v/>
      </c>
      <c r="M28" s="41" t="str">
        <f aca="false">IF(D28="","",D28)</f>
        <v/>
      </c>
      <c r="N28" s="41" t="str">
        <f aca="false">IF(D28="","",D28)</f>
        <v/>
      </c>
      <c r="O28" s="41" t="str">
        <f aca="false">IF(D28="","",D28)</f>
        <v/>
      </c>
      <c r="P28" s="41" t="str">
        <f aca="false">IF(D28="","",D28)</f>
        <v/>
      </c>
    </row>
    <row r="29" customFormat="false" ht="15" hidden="false" customHeight="false" outlineLevel="0" collapsed="false">
      <c r="A29" s="26"/>
      <c r="B29" s="26"/>
      <c r="C29" s="26"/>
      <c r="D29" s="32"/>
      <c r="E29" s="41" t="str">
        <f aca="false">IF(D29="","",D29)</f>
        <v/>
      </c>
      <c r="F29" s="41" t="str">
        <f aca="false">IF(D29="","",D29)</f>
        <v/>
      </c>
      <c r="G29" s="41" t="str">
        <f aca="false">IF(D29="","",D29)</f>
        <v/>
      </c>
      <c r="H29" s="41" t="str">
        <f aca="false">IF(D29="","",D29)</f>
        <v/>
      </c>
      <c r="I29" s="41" t="str">
        <f aca="false">IF(D29="","",D29)</f>
        <v/>
      </c>
      <c r="J29" s="41" t="str">
        <f aca="false">IF(D29="","",D29)</f>
        <v/>
      </c>
      <c r="K29" s="41" t="str">
        <f aca="false">IF(D29="","",D29)</f>
        <v/>
      </c>
      <c r="L29" s="41" t="str">
        <f aca="false">IF(D29="","",D29)</f>
        <v/>
      </c>
      <c r="M29" s="41" t="str">
        <f aca="false">IF(D29="","",D29)</f>
        <v/>
      </c>
      <c r="N29" s="41" t="str">
        <f aca="false">IF(D29="","",D29)</f>
        <v/>
      </c>
      <c r="O29" s="41" t="str">
        <f aca="false">IF(D29="","",D29)</f>
        <v/>
      </c>
      <c r="P29" s="41" t="str">
        <f aca="false">IF(D29="","",D29)</f>
        <v/>
      </c>
    </row>
    <row r="30" customFormat="false" ht="15" hidden="false" customHeight="false" outlineLevel="0" collapsed="false">
      <c r="A30" s="26"/>
      <c r="B30" s="26"/>
      <c r="C30" s="26"/>
      <c r="D30" s="32"/>
      <c r="E30" s="41" t="str">
        <f aca="false">IF(D30="","",D30)</f>
        <v/>
      </c>
      <c r="F30" s="41" t="str">
        <f aca="false">IF(D30="","",D30)</f>
        <v/>
      </c>
      <c r="G30" s="41" t="str">
        <f aca="false">IF(D30="","",D30)</f>
        <v/>
      </c>
      <c r="H30" s="41" t="str">
        <f aca="false">IF(D30="","",D30)</f>
        <v/>
      </c>
      <c r="I30" s="41" t="str">
        <f aca="false">IF(D30="","",D30)</f>
        <v/>
      </c>
      <c r="J30" s="41" t="str">
        <f aca="false">IF(D30="","",D30)</f>
        <v/>
      </c>
      <c r="K30" s="41" t="str">
        <f aca="false">IF(D30="","",D30)</f>
        <v/>
      </c>
      <c r="L30" s="41" t="str">
        <f aca="false">IF(D30="","",D30)</f>
        <v/>
      </c>
      <c r="M30" s="41" t="str">
        <f aca="false">IF(D30="","",D30)</f>
        <v/>
      </c>
      <c r="N30" s="41" t="str">
        <f aca="false">IF(D30="","",D30)</f>
        <v/>
      </c>
      <c r="O30" s="41" t="str">
        <f aca="false">IF(D30="","",D30)</f>
        <v/>
      </c>
      <c r="P30" s="41" t="str">
        <f aca="false">IF(D30="","",D30)</f>
        <v/>
      </c>
    </row>
    <row r="31" customFormat="false" ht="15" hidden="false" customHeight="false" outlineLevel="0" collapsed="false">
      <c r="A31" s="26"/>
      <c r="B31" s="26"/>
      <c r="C31" s="26"/>
      <c r="D31" s="32"/>
      <c r="E31" s="41" t="str">
        <f aca="false">IF(D31="","",D31)</f>
        <v/>
      </c>
      <c r="F31" s="41" t="str">
        <f aca="false">IF(D31="","",D31)</f>
        <v/>
      </c>
      <c r="G31" s="41" t="str">
        <f aca="false">IF(D31="","",D31)</f>
        <v/>
      </c>
      <c r="H31" s="41" t="str">
        <f aca="false">IF(D31="","",D31)</f>
        <v/>
      </c>
      <c r="I31" s="41" t="str">
        <f aca="false">IF(D31="","",D31)</f>
        <v/>
      </c>
      <c r="J31" s="41" t="str">
        <f aca="false">IF(D31="","",D31)</f>
        <v/>
      </c>
      <c r="K31" s="41" t="str">
        <f aca="false">IF(D31="","",D31)</f>
        <v/>
      </c>
      <c r="L31" s="41" t="str">
        <f aca="false">IF(D31="","",D31)</f>
        <v/>
      </c>
      <c r="M31" s="41" t="str">
        <f aca="false">IF(D31="","",D31)</f>
        <v/>
      </c>
      <c r="N31" s="41" t="str">
        <f aca="false">IF(D31="","",D31)</f>
        <v/>
      </c>
      <c r="O31" s="41" t="str">
        <f aca="false">IF(D31="","",D31)</f>
        <v/>
      </c>
      <c r="P31" s="41" t="str">
        <f aca="false">IF(D31="","",D31)</f>
        <v/>
      </c>
    </row>
    <row r="32" customFormat="false" ht="15" hidden="false" customHeight="false" outlineLevel="0" collapsed="false">
      <c r="A32" s="26"/>
      <c r="B32" s="26"/>
      <c r="C32" s="26"/>
      <c r="D32" s="32"/>
      <c r="E32" s="41" t="str">
        <f aca="false">IF(D32="","",D32)</f>
        <v/>
      </c>
      <c r="F32" s="41" t="str">
        <f aca="false">IF(D32="","",D32)</f>
        <v/>
      </c>
      <c r="G32" s="41" t="str">
        <f aca="false">IF(D32="","",D32)</f>
        <v/>
      </c>
      <c r="H32" s="41" t="str">
        <f aca="false">IF(D32="","",D32)</f>
        <v/>
      </c>
      <c r="I32" s="41" t="str">
        <f aca="false">IF(D32="","",D32)</f>
        <v/>
      </c>
      <c r="J32" s="41" t="str">
        <f aca="false">IF(D32="","",D32)</f>
        <v/>
      </c>
      <c r="K32" s="41" t="str">
        <f aca="false">IF(D32="","",D32)</f>
        <v/>
      </c>
      <c r="L32" s="41" t="str">
        <f aca="false">IF(D32="","",D32)</f>
        <v/>
      </c>
      <c r="M32" s="41" t="str">
        <f aca="false">IF(D32="","",D32)</f>
        <v/>
      </c>
      <c r="N32" s="41" t="str">
        <f aca="false">IF(D32="","",D32)</f>
        <v/>
      </c>
      <c r="O32" s="41" t="str">
        <f aca="false">IF(D32="","",D32)</f>
        <v/>
      </c>
      <c r="P32" s="41" t="str">
        <f aca="false">IF(D32="","",D32)</f>
        <v/>
      </c>
    </row>
    <row r="33" customFormat="false" ht="15" hidden="false" customHeight="false" outlineLevel="0" collapsed="false">
      <c r="A33" s="26"/>
      <c r="B33" s="26"/>
      <c r="C33" s="26"/>
      <c r="D33" s="32"/>
      <c r="E33" s="41" t="str">
        <f aca="false">IF(D33="","",D33)</f>
        <v/>
      </c>
      <c r="F33" s="41" t="str">
        <f aca="false">IF(D33="","",D33)</f>
        <v/>
      </c>
      <c r="G33" s="41" t="str">
        <f aca="false">IF(D33="","",D33)</f>
        <v/>
      </c>
      <c r="H33" s="41" t="str">
        <f aca="false">IF(D33="","",D33)</f>
        <v/>
      </c>
      <c r="I33" s="41" t="str">
        <f aca="false">IF(D33="","",D33)</f>
        <v/>
      </c>
      <c r="J33" s="41" t="str">
        <f aca="false">IF(D33="","",D33)</f>
        <v/>
      </c>
      <c r="K33" s="41" t="str">
        <f aca="false">IF(D33="","",D33)</f>
        <v/>
      </c>
      <c r="L33" s="41" t="str">
        <f aca="false">IF(D33="","",D33)</f>
        <v/>
      </c>
      <c r="M33" s="41" t="str">
        <f aca="false">IF(D33="","",D33)</f>
        <v/>
      </c>
      <c r="N33" s="41" t="str">
        <f aca="false">IF(D33="","",D33)</f>
        <v/>
      </c>
      <c r="O33" s="41" t="str">
        <f aca="false">IF(D33="","",D33)</f>
        <v/>
      </c>
      <c r="P33" s="41" t="str">
        <f aca="false">IF(D33="","",D33)</f>
        <v/>
      </c>
    </row>
    <row r="34" customFormat="false" ht="15" hidden="false" customHeight="false" outlineLevel="0" collapsed="false">
      <c r="A34" s="26"/>
      <c r="B34" s="26"/>
      <c r="C34" s="26"/>
      <c r="D34" s="32"/>
      <c r="E34" s="41" t="str">
        <f aca="false">IF(D34="","",D34)</f>
        <v/>
      </c>
      <c r="F34" s="41" t="str">
        <f aca="false">IF(D34="","",D34)</f>
        <v/>
      </c>
      <c r="G34" s="41" t="str">
        <f aca="false">IF(D34="","",D34)</f>
        <v/>
      </c>
      <c r="H34" s="41" t="str">
        <f aca="false">IF(D34="","",D34)</f>
        <v/>
      </c>
      <c r="I34" s="41" t="str">
        <f aca="false">IF(D34="","",D34)</f>
        <v/>
      </c>
      <c r="J34" s="41" t="str">
        <f aca="false">IF(D34="","",D34)</f>
        <v/>
      </c>
      <c r="K34" s="41" t="str">
        <f aca="false">IF(D34="","",D34)</f>
        <v/>
      </c>
      <c r="L34" s="41" t="str">
        <f aca="false">IF(D34="","",D34)</f>
        <v/>
      </c>
      <c r="M34" s="41" t="str">
        <f aca="false">IF(D34="","",D34)</f>
        <v/>
      </c>
      <c r="N34" s="41" t="str">
        <f aca="false">IF(D34="","",D34)</f>
        <v/>
      </c>
      <c r="O34" s="41" t="str">
        <f aca="false">IF(D34="","",D34)</f>
        <v/>
      </c>
      <c r="P34" s="41" t="str">
        <f aca="false">IF(D34="","",D34)</f>
        <v/>
      </c>
    </row>
    <row r="35" customFormat="false" ht="15" hidden="false" customHeight="false" outlineLevel="0" collapsed="false">
      <c r="A35" s="26"/>
      <c r="B35" s="26"/>
      <c r="C35" s="26"/>
      <c r="D35" s="32"/>
      <c r="E35" s="41" t="str">
        <f aca="false">IF(D35="","",D35)</f>
        <v/>
      </c>
      <c r="F35" s="41" t="str">
        <f aca="false">IF(D35="","",D35)</f>
        <v/>
      </c>
      <c r="G35" s="41" t="str">
        <f aca="false">IF(D35="","",D35)</f>
        <v/>
      </c>
      <c r="H35" s="41" t="str">
        <f aca="false">IF(D35="","",D35)</f>
        <v/>
      </c>
      <c r="I35" s="41" t="str">
        <f aca="false">IF(D35="","",D35)</f>
        <v/>
      </c>
      <c r="J35" s="41" t="str">
        <f aca="false">IF(D35="","",D35)</f>
        <v/>
      </c>
      <c r="K35" s="41" t="str">
        <f aca="false">IF(D35="","",D35)</f>
        <v/>
      </c>
      <c r="L35" s="41" t="str">
        <f aca="false">IF(D35="","",D35)</f>
        <v/>
      </c>
      <c r="M35" s="41" t="str">
        <f aca="false">IF(D35="","",D35)</f>
        <v/>
      </c>
      <c r="N35" s="41" t="str">
        <f aca="false">IF(D35="","",D35)</f>
        <v/>
      </c>
      <c r="O35" s="41" t="str">
        <f aca="false">IF(D35="","",D35)</f>
        <v/>
      </c>
      <c r="P35" s="41" t="str">
        <f aca="false">IF(D35="","",D35)</f>
        <v/>
      </c>
    </row>
    <row r="36" customFormat="false" ht="15" hidden="false" customHeight="false" outlineLevel="0" collapsed="false">
      <c r="A36" s="26"/>
      <c r="B36" s="26"/>
      <c r="C36" s="26"/>
      <c r="D36" s="32"/>
      <c r="E36" s="41" t="str">
        <f aca="false">IF(D36="","",D36)</f>
        <v/>
      </c>
      <c r="F36" s="41" t="str">
        <f aca="false">IF(D36="","",D36)</f>
        <v/>
      </c>
      <c r="G36" s="41" t="str">
        <f aca="false">IF(D36="","",D36)</f>
        <v/>
      </c>
      <c r="H36" s="41" t="str">
        <f aca="false">IF(D36="","",D36)</f>
        <v/>
      </c>
      <c r="I36" s="41" t="str">
        <f aca="false">IF(D36="","",D36)</f>
        <v/>
      </c>
      <c r="J36" s="41" t="str">
        <f aca="false">IF(D36="","",D36)</f>
        <v/>
      </c>
      <c r="K36" s="41" t="str">
        <f aca="false">IF(D36="","",D36)</f>
        <v/>
      </c>
      <c r="L36" s="41" t="str">
        <f aca="false">IF(D36="","",D36)</f>
        <v/>
      </c>
      <c r="M36" s="41" t="str">
        <f aca="false">IF(D36="","",D36)</f>
        <v/>
      </c>
      <c r="N36" s="41" t="str">
        <f aca="false">IF(D36="","",D36)</f>
        <v/>
      </c>
      <c r="O36" s="41" t="str">
        <f aca="false">IF(D36="","",D36)</f>
        <v/>
      </c>
      <c r="P36" s="41" t="str">
        <f aca="false">IF(D36="","",D36)</f>
        <v/>
      </c>
    </row>
    <row r="37" customFormat="false" ht="15" hidden="false" customHeight="false" outlineLevel="0" collapsed="false">
      <c r="A37" s="26"/>
      <c r="B37" s="26"/>
      <c r="C37" s="26"/>
      <c r="D37" s="32"/>
      <c r="E37" s="41" t="str">
        <f aca="false">IF(D37="","",D37)</f>
        <v/>
      </c>
      <c r="F37" s="41" t="str">
        <f aca="false">IF(D37="","",D37)</f>
        <v/>
      </c>
      <c r="G37" s="41" t="str">
        <f aca="false">IF(D37="","",D37)</f>
        <v/>
      </c>
      <c r="H37" s="41" t="str">
        <f aca="false">IF(D37="","",D37)</f>
        <v/>
      </c>
      <c r="I37" s="41" t="str">
        <f aca="false">IF(D37="","",D37)</f>
        <v/>
      </c>
      <c r="J37" s="41" t="str">
        <f aca="false">IF(D37="","",D37)</f>
        <v/>
      </c>
      <c r="K37" s="41" t="str">
        <f aca="false">IF(D37="","",D37)</f>
        <v/>
      </c>
      <c r="L37" s="41" t="str">
        <f aca="false">IF(D37="","",D37)</f>
        <v/>
      </c>
      <c r="M37" s="41" t="str">
        <f aca="false">IF(D37="","",D37)</f>
        <v/>
      </c>
      <c r="N37" s="41" t="str">
        <f aca="false">IF(D37="","",D37)</f>
        <v/>
      </c>
      <c r="O37" s="41" t="str">
        <f aca="false">IF(D37="","",D37)</f>
        <v/>
      </c>
      <c r="P37" s="41" t="str">
        <f aca="false">IF(D37="","",D37)</f>
        <v/>
      </c>
    </row>
    <row r="38" customFormat="false" ht="15" hidden="false" customHeight="false" outlineLevel="0" collapsed="false">
      <c r="A38" s="26"/>
      <c r="B38" s="26"/>
      <c r="C38" s="26"/>
      <c r="D38" s="32"/>
      <c r="E38" s="41" t="str">
        <f aca="false">IF(D38="","",D38)</f>
        <v/>
      </c>
      <c r="F38" s="41" t="str">
        <f aca="false">IF(D38="","",D38)</f>
        <v/>
      </c>
      <c r="G38" s="41" t="str">
        <f aca="false">IF(D38="","",D38)</f>
        <v/>
      </c>
      <c r="H38" s="41" t="str">
        <f aca="false">IF(D38="","",D38)</f>
        <v/>
      </c>
      <c r="I38" s="41" t="str">
        <f aca="false">IF(D38="","",D38)</f>
        <v/>
      </c>
      <c r="J38" s="41" t="str">
        <f aca="false">IF(D38="","",D38)</f>
        <v/>
      </c>
      <c r="K38" s="41" t="str">
        <f aca="false">IF(D38="","",D38)</f>
        <v/>
      </c>
      <c r="L38" s="41" t="str">
        <f aca="false">IF(D38="","",D38)</f>
        <v/>
      </c>
      <c r="M38" s="41" t="str">
        <f aca="false">IF(D38="","",D38)</f>
        <v/>
      </c>
      <c r="N38" s="41" t="str">
        <f aca="false">IF(D38="","",D38)</f>
        <v/>
      </c>
      <c r="O38" s="41" t="str">
        <f aca="false">IF(D38="","",D38)</f>
        <v/>
      </c>
      <c r="P38" s="41" t="str">
        <f aca="false">IF(D38="","",D38)</f>
        <v/>
      </c>
    </row>
    <row r="39" customFormat="false" ht="15" hidden="false" customHeight="false" outlineLevel="0" collapsed="false">
      <c r="A39" s="26"/>
      <c r="B39" s="26"/>
      <c r="C39" s="26"/>
      <c r="D39" s="32"/>
      <c r="E39" s="41" t="str">
        <f aca="false">IF(D39="","",D39)</f>
        <v/>
      </c>
      <c r="F39" s="41" t="str">
        <f aca="false">IF(D39="","",D39)</f>
        <v/>
      </c>
      <c r="G39" s="41" t="str">
        <f aca="false">IF(D39="","",D39)</f>
        <v/>
      </c>
      <c r="H39" s="41" t="str">
        <f aca="false">IF(D39="","",D39)</f>
        <v/>
      </c>
      <c r="I39" s="41" t="str">
        <f aca="false">IF(D39="","",D39)</f>
        <v/>
      </c>
      <c r="J39" s="41" t="str">
        <f aca="false">IF(D39="","",D39)</f>
        <v/>
      </c>
      <c r="K39" s="41" t="str">
        <f aca="false">IF(D39="","",D39)</f>
        <v/>
      </c>
      <c r="L39" s="41" t="str">
        <f aca="false">IF(D39="","",D39)</f>
        <v/>
      </c>
      <c r="M39" s="41" t="str">
        <f aca="false">IF(D39="","",D39)</f>
        <v/>
      </c>
      <c r="N39" s="41" t="str">
        <f aca="false">IF(D39="","",D39)</f>
        <v/>
      </c>
      <c r="O39" s="41" t="str">
        <f aca="false">IF(D39="","",D39)</f>
        <v/>
      </c>
      <c r="P39" s="41" t="str">
        <f aca="false">IF(D39="","",D39)</f>
        <v/>
      </c>
    </row>
    <row r="40" customFormat="false" ht="15" hidden="false" customHeight="false" outlineLevel="0" collapsed="false">
      <c r="A40" s="26"/>
      <c r="B40" s="26"/>
      <c r="C40" s="26"/>
      <c r="D40" s="32"/>
      <c r="E40" s="41" t="str">
        <f aca="false">IF(D40="","",D40)</f>
        <v/>
      </c>
      <c r="F40" s="41" t="str">
        <f aca="false">IF(D40="","",D40)</f>
        <v/>
      </c>
      <c r="G40" s="41" t="str">
        <f aca="false">IF(D40="","",D40)</f>
        <v/>
      </c>
      <c r="H40" s="41" t="str">
        <f aca="false">IF(D40="","",D40)</f>
        <v/>
      </c>
      <c r="I40" s="41" t="str">
        <f aca="false">IF(D40="","",D40)</f>
        <v/>
      </c>
      <c r="J40" s="41" t="str">
        <f aca="false">IF(D40="","",D40)</f>
        <v/>
      </c>
      <c r="K40" s="41" t="str">
        <f aca="false">IF(D40="","",D40)</f>
        <v/>
      </c>
      <c r="L40" s="41" t="str">
        <f aca="false">IF(D40="","",D40)</f>
        <v/>
      </c>
      <c r="M40" s="41" t="str">
        <f aca="false">IF(D40="","",D40)</f>
        <v/>
      </c>
      <c r="N40" s="41" t="str">
        <f aca="false">IF(D40="","",D40)</f>
        <v/>
      </c>
      <c r="O40" s="41" t="str">
        <f aca="false">IF(D40="","",D40)</f>
        <v/>
      </c>
      <c r="P40" s="41" t="str">
        <f aca="false">IF(D40="","",D40)</f>
        <v/>
      </c>
    </row>
    <row r="41" customFormat="false" ht="15" hidden="false" customHeight="false" outlineLevel="0" collapsed="false">
      <c r="A41" s="26"/>
      <c r="B41" s="26"/>
      <c r="C41" s="26"/>
      <c r="D41" s="32"/>
      <c r="E41" s="41" t="str">
        <f aca="false">IF(D41="","",D41)</f>
        <v/>
      </c>
      <c r="F41" s="41" t="str">
        <f aca="false">IF(D41="","",D41)</f>
        <v/>
      </c>
      <c r="G41" s="41" t="str">
        <f aca="false">IF(D41="","",D41)</f>
        <v/>
      </c>
      <c r="H41" s="41" t="str">
        <f aca="false">IF(D41="","",D41)</f>
        <v/>
      </c>
      <c r="I41" s="41" t="str">
        <f aca="false">IF(D41="","",D41)</f>
        <v/>
      </c>
      <c r="J41" s="41" t="str">
        <f aca="false">IF(D41="","",D41)</f>
        <v/>
      </c>
      <c r="K41" s="41" t="str">
        <f aca="false">IF(D41="","",D41)</f>
        <v/>
      </c>
      <c r="L41" s="41" t="str">
        <f aca="false">IF(D41="","",D41)</f>
        <v/>
      </c>
      <c r="M41" s="41" t="str">
        <f aca="false">IF(D41="","",D41)</f>
        <v/>
      </c>
      <c r="N41" s="41" t="str">
        <f aca="false">IF(D41="","",D41)</f>
        <v/>
      </c>
      <c r="O41" s="41" t="str">
        <f aca="false">IF(D41="","",D41)</f>
        <v/>
      </c>
      <c r="P41" s="41" t="str">
        <f aca="false">IF(D41="","",D41)</f>
        <v/>
      </c>
    </row>
    <row r="42" customFormat="false" ht="15" hidden="false" customHeight="false" outlineLevel="0" collapsed="false">
      <c r="A42" s="26"/>
      <c r="B42" s="26"/>
      <c r="C42" s="26"/>
      <c r="D42" s="32"/>
      <c r="E42" s="41" t="str">
        <f aca="false">IF(D42="","",D42)</f>
        <v/>
      </c>
      <c r="F42" s="41" t="str">
        <f aca="false">IF(D42="","",D42)</f>
        <v/>
      </c>
      <c r="G42" s="41" t="str">
        <f aca="false">IF(D42="","",D42)</f>
        <v/>
      </c>
      <c r="H42" s="41" t="str">
        <f aca="false">IF(D42="","",D42)</f>
        <v/>
      </c>
      <c r="I42" s="41" t="str">
        <f aca="false">IF(D42="","",D42)</f>
        <v/>
      </c>
      <c r="J42" s="41" t="str">
        <f aca="false">IF(D42="","",D42)</f>
        <v/>
      </c>
      <c r="K42" s="41" t="str">
        <f aca="false">IF(D42="","",D42)</f>
        <v/>
      </c>
      <c r="L42" s="41" t="str">
        <f aca="false">IF(D42="","",D42)</f>
        <v/>
      </c>
      <c r="M42" s="41" t="str">
        <f aca="false">IF(D42="","",D42)</f>
        <v/>
      </c>
      <c r="N42" s="41" t="str">
        <f aca="false">IF(D42="","",D42)</f>
        <v/>
      </c>
      <c r="O42" s="41" t="str">
        <f aca="false">IF(D42="","",D42)</f>
        <v/>
      </c>
      <c r="P42" s="41" t="str">
        <f aca="false">IF(D42="","",D42)</f>
        <v/>
      </c>
    </row>
    <row r="43" customFormat="false" ht="15" hidden="false" customHeight="false" outlineLevel="0" collapsed="false">
      <c r="A43" s="26"/>
      <c r="B43" s="26"/>
      <c r="C43" s="26"/>
      <c r="D43" s="32"/>
      <c r="E43" s="41" t="str">
        <f aca="false">IF(D43="","",D43)</f>
        <v/>
      </c>
      <c r="F43" s="41" t="str">
        <f aca="false">IF(D43="","",D43)</f>
        <v/>
      </c>
      <c r="G43" s="41" t="str">
        <f aca="false">IF(D43="","",D43)</f>
        <v/>
      </c>
      <c r="H43" s="41" t="str">
        <f aca="false">IF(D43="","",D43)</f>
        <v/>
      </c>
      <c r="I43" s="41" t="str">
        <f aca="false">IF(D43="","",D43)</f>
        <v/>
      </c>
      <c r="J43" s="41" t="str">
        <f aca="false">IF(D43="","",D43)</f>
        <v/>
      </c>
      <c r="K43" s="41" t="str">
        <f aca="false">IF(D43="","",D43)</f>
        <v/>
      </c>
      <c r="L43" s="41" t="str">
        <f aca="false">IF(D43="","",D43)</f>
        <v/>
      </c>
      <c r="M43" s="41" t="str">
        <f aca="false">IF(D43="","",D43)</f>
        <v/>
      </c>
      <c r="N43" s="41" t="str">
        <f aca="false">IF(D43="","",D43)</f>
        <v/>
      </c>
      <c r="O43" s="41" t="str">
        <f aca="false">IF(D43="","",D43)</f>
        <v/>
      </c>
      <c r="P43" s="41" t="str">
        <f aca="false">IF(D43="","",D43)</f>
        <v/>
      </c>
    </row>
    <row r="44" customFormat="false" ht="15" hidden="false" customHeight="false" outlineLevel="0" collapsed="false">
      <c r="A44" s="26"/>
      <c r="B44" s="26"/>
      <c r="C44" s="26"/>
      <c r="D44" s="32"/>
      <c r="E44" s="41" t="str">
        <f aca="false">IF(D44="","",D44)</f>
        <v/>
      </c>
      <c r="F44" s="41" t="str">
        <f aca="false">IF(D44="","",D44)</f>
        <v/>
      </c>
      <c r="G44" s="41" t="str">
        <f aca="false">IF(D44="","",D44)</f>
        <v/>
      </c>
      <c r="H44" s="41" t="str">
        <f aca="false">IF(D44="","",D44)</f>
        <v/>
      </c>
      <c r="I44" s="41" t="str">
        <f aca="false">IF(D44="","",D44)</f>
        <v/>
      </c>
      <c r="J44" s="41" t="str">
        <f aca="false">IF(D44="","",D44)</f>
        <v/>
      </c>
      <c r="K44" s="41" t="str">
        <f aca="false">IF(D44="","",D44)</f>
        <v/>
      </c>
      <c r="L44" s="41" t="str">
        <f aca="false">IF(D44="","",D44)</f>
        <v/>
      </c>
      <c r="M44" s="41" t="str">
        <f aca="false">IF(D44="","",D44)</f>
        <v/>
      </c>
      <c r="N44" s="41" t="str">
        <f aca="false">IF(D44="","",D44)</f>
        <v/>
      </c>
      <c r="O44" s="41" t="str">
        <f aca="false">IF(D44="","",D44)</f>
        <v/>
      </c>
      <c r="P44" s="41" t="str">
        <f aca="false">IF(D44="","",D44)</f>
        <v/>
      </c>
    </row>
    <row r="45" customFormat="false" ht="15" hidden="false" customHeight="false" outlineLevel="0" collapsed="false">
      <c r="A45" s="26"/>
      <c r="B45" s="26"/>
      <c r="C45" s="26"/>
      <c r="D45" s="32"/>
      <c r="E45" s="41" t="str">
        <f aca="false">IF(D45="","",D45)</f>
        <v/>
      </c>
      <c r="F45" s="41" t="str">
        <f aca="false">IF(D45="","",D45)</f>
        <v/>
      </c>
      <c r="G45" s="41" t="str">
        <f aca="false">IF(D45="","",D45)</f>
        <v/>
      </c>
      <c r="H45" s="41" t="str">
        <f aca="false">IF(D45="","",D45)</f>
        <v/>
      </c>
      <c r="I45" s="41" t="str">
        <f aca="false">IF(D45="","",D45)</f>
        <v/>
      </c>
      <c r="J45" s="41" t="str">
        <f aca="false">IF(D45="","",D45)</f>
        <v/>
      </c>
      <c r="K45" s="41" t="str">
        <f aca="false">IF(D45="","",D45)</f>
        <v/>
      </c>
      <c r="L45" s="41" t="str">
        <f aca="false">IF(D45="","",D45)</f>
        <v/>
      </c>
      <c r="M45" s="41" t="str">
        <f aca="false">IF(D45="","",D45)</f>
        <v/>
      </c>
      <c r="N45" s="41" t="str">
        <f aca="false">IF(D45="","",D45)</f>
        <v/>
      </c>
      <c r="O45" s="41" t="str">
        <f aca="false">IF(D45="","",D45)</f>
        <v/>
      </c>
      <c r="P45" s="41" t="str">
        <f aca="false">IF(D45="","",D45)</f>
        <v/>
      </c>
    </row>
    <row r="46" customFormat="false" ht="15" hidden="false" customHeight="false" outlineLevel="0" collapsed="false">
      <c r="A46" s="26"/>
      <c r="B46" s="26"/>
      <c r="C46" s="26"/>
      <c r="D46" s="32"/>
      <c r="E46" s="41" t="str">
        <f aca="false">IF(D46="","",D46)</f>
        <v/>
      </c>
      <c r="F46" s="41" t="str">
        <f aca="false">IF(D46="","",D46)</f>
        <v/>
      </c>
      <c r="G46" s="41" t="str">
        <f aca="false">IF(D46="","",D46)</f>
        <v/>
      </c>
      <c r="H46" s="41" t="str">
        <f aca="false">IF(D46="","",D46)</f>
        <v/>
      </c>
      <c r="I46" s="41" t="str">
        <f aca="false">IF(D46="","",D46)</f>
        <v/>
      </c>
      <c r="J46" s="41" t="str">
        <f aca="false">IF(D46="","",D46)</f>
        <v/>
      </c>
      <c r="K46" s="41" t="str">
        <f aca="false">IF(D46="","",D46)</f>
        <v/>
      </c>
      <c r="L46" s="41" t="str">
        <f aca="false">IF(D46="","",D46)</f>
        <v/>
      </c>
      <c r="M46" s="41" t="str">
        <f aca="false">IF(D46="","",D46)</f>
        <v/>
      </c>
      <c r="N46" s="41" t="str">
        <f aca="false">IF(D46="","",D46)</f>
        <v/>
      </c>
      <c r="O46" s="41" t="str">
        <f aca="false">IF(D46="","",D46)</f>
        <v/>
      </c>
      <c r="P46" s="41" t="str">
        <f aca="false">IF(D46="","",D46)</f>
        <v/>
      </c>
    </row>
    <row r="47" customFormat="false" ht="15" hidden="false" customHeight="false" outlineLevel="0" collapsed="false">
      <c r="A47" s="26"/>
      <c r="B47" s="26"/>
      <c r="C47" s="26"/>
      <c r="D47" s="32"/>
      <c r="E47" s="41" t="str">
        <f aca="false">IF(D47="","",D47)</f>
        <v/>
      </c>
      <c r="F47" s="41" t="str">
        <f aca="false">IF(D47="","",D47)</f>
        <v/>
      </c>
      <c r="G47" s="41" t="str">
        <f aca="false">IF(D47="","",D47)</f>
        <v/>
      </c>
      <c r="H47" s="41" t="str">
        <f aca="false">IF(D47="","",D47)</f>
        <v/>
      </c>
      <c r="I47" s="41" t="str">
        <f aca="false">IF(D47="","",D47)</f>
        <v/>
      </c>
      <c r="J47" s="41" t="str">
        <f aca="false">IF(D47="","",D47)</f>
        <v/>
      </c>
      <c r="K47" s="41" t="str">
        <f aca="false">IF(D47="","",D47)</f>
        <v/>
      </c>
      <c r="L47" s="41" t="str">
        <f aca="false">IF(D47="","",D47)</f>
        <v/>
      </c>
      <c r="M47" s="41" t="str">
        <f aca="false">IF(D47="","",D47)</f>
        <v/>
      </c>
      <c r="N47" s="41" t="str">
        <f aca="false">IF(D47="","",D47)</f>
        <v/>
      </c>
      <c r="O47" s="41" t="str">
        <f aca="false">IF(D47="","",D47)</f>
        <v/>
      </c>
      <c r="P47" s="41" t="str">
        <f aca="false">IF(D47="","",D47)</f>
        <v/>
      </c>
    </row>
    <row r="48" customFormat="false" ht="15" hidden="false" customHeight="false" outlineLevel="0" collapsed="false">
      <c r="A48" s="26"/>
      <c r="B48" s="26"/>
      <c r="C48" s="26"/>
      <c r="D48" s="32"/>
      <c r="E48" s="41" t="str">
        <f aca="false">IF(D48="","",D48)</f>
        <v/>
      </c>
      <c r="F48" s="41" t="str">
        <f aca="false">IF(D48="","",D48)</f>
        <v/>
      </c>
      <c r="G48" s="41" t="str">
        <f aca="false">IF(D48="","",D48)</f>
        <v/>
      </c>
      <c r="H48" s="41" t="str">
        <f aca="false">IF(D48="","",D48)</f>
        <v/>
      </c>
      <c r="I48" s="41" t="str">
        <f aca="false">IF(D48="","",D48)</f>
        <v/>
      </c>
      <c r="J48" s="41" t="str">
        <f aca="false">IF(D48="","",D48)</f>
        <v/>
      </c>
      <c r="K48" s="41" t="str">
        <f aca="false">IF(D48="","",D48)</f>
        <v/>
      </c>
      <c r="L48" s="41" t="str">
        <f aca="false">IF(D48="","",D48)</f>
        <v/>
      </c>
      <c r="M48" s="41" t="str">
        <f aca="false">IF(D48="","",D48)</f>
        <v/>
      </c>
      <c r="N48" s="41" t="str">
        <f aca="false">IF(D48="","",D48)</f>
        <v/>
      </c>
      <c r="O48" s="41" t="str">
        <f aca="false">IF(D48="","",D48)</f>
        <v/>
      </c>
      <c r="P48" s="41" t="str">
        <f aca="false">IF(D48="","",D48)</f>
        <v/>
      </c>
    </row>
    <row r="49" customFormat="false" ht="15" hidden="false" customHeight="false" outlineLevel="0" collapsed="false">
      <c r="A49" s="26"/>
      <c r="B49" s="26"/>
      <c r="C49" s="26"/>
      <c r="D49" s="32"/>
      <c r="E49" s="41" t="str">
        <f aca="false">IF(D49="","",D49)</f>
        <v/>
      </c>
      <c r="F49" s="41" t="str">
        <f aca="false">IF(D49="","",D49)</f>
        <v/>
      </c>
      <c r="G49" s="41" t="str">
        <f aca="false">IF(D49="","",D49)</f>
        <v/>
      </c>
      <c r="H49" s="41" t="str">
        <f aca="false">IF(D49="","",D49)</f>
        <v/>
      </c>
      <c r="I49" s="41" t="str">
        <f aca="false">IF(D49="","",D49)</f>
        <v/>
      </c>
      <c r="J49" s="41" t="str">
        <f aca="false">IF(D49="","",D49)</f>
        <v/>
      </c>
      <c r="K49" s="41" t="str">
        <f aca="false">IF(D49="","",D49)</f>
        <v/>
      </c>
      <c r="L49" s="41" t="str">
        <f aca="false">IF(D49="","",D49)</f>
        <v/>
      </c>
      <c r="M49" s="41" t="str">
        <f aca="false">IF(D49="","",D49)</f>
        <v/>
      </c>
      <c r="N49" s="41" t="str">
        <f aca="false">IF(D49="","",D49)</f>
        <v/>
      </c>
      <c r="O49" s="41" t="str">
        <f aca="false">IF(D49="","",D49)</f>
        <v/>
      </c>
      <c r="P49" s="41" t="str">
        <f aca="false">IF(D49="","",D49)</f>
        <v/>
      </c>
    </row>
    <row r="50" customFormat="false" ht="15" hidden="false" customHeight="false" outlineLevel="0" collapsed="false">
      <c r="A50" s="26"/>
      <c r="B50" s="26"/>
      <c r="C50" s="26"/>
      <c r="D50" s="32"/>
      <c r="E50" s="41" t="str">
        <f aca="false">IF(D50="","",D50)</f>
        <v/>
      </c>
      <c r="F50" s="41" t="str">
        <f aca="false">IF(D50="","",D50)</f>
        <v/>
      </c>
      <c r="G50" s="41" t="str">
        <f aca="false">IF(D50="","",D50)</f>
        <v/>
      </c>
      <c r="H50" s="41" t="str">
        <f aca="false">IF(D50="","",D50)</f>
        <v/>
      </c>
      <c r="I50" s="41" t="str">
        <f aca="false">IF(D50="","",D50)</f>
        <v/>
      </c>
      <c r="J50" s="41" t="str">
        <f aca="false">IF(D50="","",D50)</f>
        <v/>
      </c>
      <c r="K50" s="41" t="str">
        <f aca="false">IF(D50="","",D50)</f>
        <v/>
      </c>
      <c r="L50" s="41" t="str">
        <f aca="false">IF(D50="","",D50)</f>
        <v/>
      </c>
      <c r="M50" s="41" t="str">
        <f aca="false">IF(D50="","",D50)</f>
        <v/>
      </c>
      <c r="N50" s="41" t="str">
        <f aca="false">IF(D50="","",D50)</f>
        <v/>
      </c>
      <c r="O50" s="41" t="str">
        <f aca="false">IF(D50="","",D50)</f>
        <v/>
      </c>
      <c r="P50" s="41" t="str">
        <f aca="false">IF(D50="","",D50)</f>
        <v/>
      </c>
    </row>
    <row r="51" customFormat="false" ht="15" hidden="false" customHeight="false" outlineLevel="0" collapsed="false">
      <c r="A51" s="26"/>
      <c r="B51" s="26"/>
      <c r="C51" s="26"/>
      <c r="D51" s="32"/>
      <c r="E51" s="41" t="str">
        <f aca="false">IF(D51="","",D51)</f>
        <v/>
      </c>
      <c r="F51" s="41" t="str">
        <f aca="false">IF(D51="","",D51)</f>
        <v/>
      </c>
      <c r="G51" s="41" t="str">
        <f aca="false">IF(D51="","",D51)</f>
        <v/>
      </c>
      <c r="H51" s="41" t="str">
        <f aca="false">IF(D51="","",D51)</f>
        <v/>
      </c>
      <c r="I51" s="41" t="str">
        <f aca="false">IF(D51="","",D51)</f>
        <v/>
      </c>
      <c r="J51" s="41" t="str">
        <f aca="false">IF(D51="","",D51)</f>
        <v/>
      </c>
      <c r="K51" s="41" t="str">
        <f aca="false">IF(D51="","",D51)</f>
        <v/>
      </c>
      <c r="L51" s="41" t="str">
        <f aca="false">IF(D51="","",D51)</f>
        <v/>
      </c>
      <c r="M51" s="41" t="str">
        <f aca="false">IF(D51="","",D51)</f>
        <v/>
      </c>
      <c r="N51" s="41" t="str">
        <f aca="false">IF(D51="","",D51)</f>
        <v/>
      </c>
      <c r="O51" s="41" t="str">
        <f aca="false">IF(D51="","",D51)</f>
        <v/>
      </c>
      <c r="P51" s="41" t="str">
        <f aca="false">IF(D51="","",D51)</f>
        <v/>
      </c>
    </row>
    <row r="52" customFormat="false" ht="15" hidden="false" customHeight="false" outlineLevel="0" collapsed="false">
      <c r="A52" s="26"/>
      <c r="B52" s="26"/>
      <c r="C52" s="26"/>
      <c r="D52" s="32"/>
      <c r="E52" s="41" t="str">
        <f aca="false">IF(D52="","",D52)</f>
        <v/>
      </c>
      <c r="F52" s="41" t="str">
        <f aca="false">IF(D52="","",D52)</f>
        <v/>
      </c>
      <c r="G52" s="41" t="str">
        <f aca="false">IF(D52="","",D52)</f>
        <v/>
      </c>
      <c r="H52" s="41" t="str">
        <f aca="false">IF(D52="","",D52)</f>
        <v/>
      </c>
      <c r="I52" s="41" t="str">
        <f aca="false">IF(D52="","",D52)</f>
        <v/>
      </c>
      <c r="J52" s="41" t="str">
        <f aca="false">IF(D52="","",D52)</f>
        <v/>
      </c>
      <c r="K52" s="41" t="str">
        <f aca="false">IF(D52="","",D52)</f>
        <v/>
      </c>
      <c r="L52" s="41" t="str">
        <f aca="false">IF(D52="","",D52)</f>
        <v/>
      </c>
      <c r="M52" s="41" t="str">
        <f aca="false">IF(D52="","",D52)</f>
        <v/>
      </c>
      <c r="N52" s="41" t="str">
        <f aca="false">IF(D52="","",D52)</f>
        <v/>
      </c>
      <c r="O52" s="41" t="str">
        <f aca="false">IF(D52="","",D52)</f>
        <v/>
      </c>
      <c r="P52" s="41" t="str">
        <f aca="false">IF(D52="","",D52)</f>
        <v/>
      </c>
    </row>
    <row r="54" customFormat="false" ht="15" hidden="false" customHeight="false" outlineLevel="0" collapsed="false">
      <c r="A54" s="47" t="s">
        <v>196</v>
      </c>
      <c r="D54" s="65" t="n">
        <f aca="false">SUM(D3:D52)</f>
        <v>0</v>
      </c>
      <c r="E54" s="65" t="n">
        <f aca="false">SUM(E3:E52)</f>
        <v>0</v>
      </c>
      <c r="F54" s="65" t="n">
        <f aca="false">SUM(F3:F52)</f>
        <v>0</v>
      </c>
      <c r="G54" s="65" t="n">
        <f aca="false">SUM(G3:G52)</f>
        <v>0</v>
      </c>
      <c r="H54" s="65" t="n">
        <f aca="false">SUM(H3:H52)</f>
        <v>0</v>
      </c>
      <c r="I54" s="65" t="n">
        <f aca="false">SUM(I3:I52)</f>
        <v>0</v>
      </c>
      <c r="J54" s="65" t="n">
        <f aca="false">SUM(J3:J52)</f>
        <v>0</v>
      </c>
      <c r="K54" s="65" t="n">
        <f aca="false">SUM(K3:K52)</f>
        <v>0</v>
      </c>
      <c r="L54" s="65" t="n">
        <f aca="false">SUM(L3:L52)</f>
        <v>0</v>
      </c>
      <c r="M54" s="65" t="n">
        <f aca="false">SUM(M3:M52)</f>
        <v>0</v>
      </c>
      <c r="N54" s="65" t="n">
        <f aca="false">SUM(N3:N52)</f>
        <v>0</v>
      </c>
      <c r="O54" s="65" t="n">
        <f aca="false">SUM(O3:O52)</f>
        <v>0</v>
      </c>
      <c r="P54" s="65" t="n">
        <f aca="false">SUM(P3:P52)</f>
        <v>0</v>
      </c>
    </row>
    <row r="55" customFormat="false" ht="15" hidden="false" customHeight="false" outlineLevel="0" collapsed="false">
      <c r="A55" s="69" t="s">
        <v>197</v>
      </c>
      <c r="D55" s="70" t="n">
        <f aca="false">SUM(E54:P54)</f>
        <v>0</v>
      </c>
    </row>
  </sheetData>
  <mergeCells count="1">
    <mergeCell ref="A1:P1"/>
  </mergeCells>
  <dataValidations count="2">
    <dataValidation allowBlank="true" errorStyle="stop" operator="between" showDropDown="false" showErrorMessage="false" showInputMessage="false" sqref="B3:B52" type="list">
      <formula1>"Rent,Transport,Travel,Shopping,Electronics,Subscriptions,Bills,Entertainment,Food and Drinks,Groceries,Others,Gifts,Donations,Investments"</formula1>
      <formula2>0</formula2>
    </dataValidation>
    <dataValidation allowBlank="true" errorStyle="stop" operator="between" showDropDown="false" showErrorMessage="false" showInputMessage="false" sqref="C3:C52" type="list">
      <formula1>"GBP,INR"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198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8" t="s">
        <v>199</v>
      </c>
    </row>
    <row r="3" customFormat="false" ht="15" hidden="false" customHeight="false" outlineLevel="0" collapsed="false">
      <c r="A3" s="9" t="s">
        <v>200</v>
      </c>
    </row>
    <row r="4" customFormat="false" ht="15" hidden="false" customHeight="false" outlineLevel="0" collapsed="false">
      <c r="A4" s="9" t="s">
        <v>201</v>
      </c>
    </row>
    <row r="6" customFormat="false" ht="15" hidden="false" customHeight="false" outlineLevel="0" collapsed="false">
      <c r="A6" s="71" t="s">
        <v>91</v>
      </c>
      <c r="B6" s="71" t="s">
        <v>202</v>
      </c>
      <c r="C6" s="71" t="s">
        <v>203</v>
      </c>
      <c r="D6" s="71" t="s">
        <v>204</v>
      </c>
      <c r="E6" s="71" t="s">
        <v>205</v>
      </c>
      <c r="F6" s="71" t="s">
        <v>206</v>
      </c>
      <c r="G6" s="71" t="s">
        <v>207</v>
      </c>
      <c r="H6" s="71" t="s">
        <v>208</v>
      </c>
      <c r="I6" s="71" t="s">
        <v>205</v>
      </c>
    </row>
    <row r="7" customFormat="false" ht="15" hidden="false" customHeight="false" outlineLevel="0" collapsed="false">
      <c r="A7" s="3" t="s">
        <v>42</v>
      </c>
      <c r="B7" s="49"/>
      <c r="C7" s="24" t="n">
        <f aca="false">SUMPRODUCT((Expenses!C$3:C$1002="Rent")*(Expenses!E$3:E$1002="GBP")*(YEAR(Expenses!A$3:A$1002)=2026)*(Expenses!A$3:A$1002&lt;&gt;"")*Expenses!D$3:D$1002)</f>
        <v>0</v>
      </c>
      <c r="D7" s="72" t="n">
        <f aca="false">C7-B7</f>
        <v>0</v>
      </c>
      <c r="E7" s="73" t="str">
        <f aca="false">IF(B7=0,"",D7/B7)</f>
        <v/>
      </c>
      <c r="F7" s="55"/>
      <c r="G7" s="52" t="n">
        <f aca="false">SUMPRODUCT((Expenses!C$3:C$1002="Rent")*(Expenses!E$3:E$1002="INR")*(YEAR(Expenses!A$3:A$1002)=2026)*(Expenses!A$3:A$1002&lt;&gt;"")*Expenses!D$3:D$1002)</f>
        <v>0</v>
      </c>
      <c r="H7" s="74" t="n">
        <f aca="false">G7-F7</f>
        <v>0</v>
      </c>
      <c r="I7" s="73" t="str">
        <f aca="false">IF(F7=0,"",H7/F7)</f>
        <v/>
      </c>
    </row>
    <row r="8" customFormat="false" ht="15" hidden="false" customHeight="false" outlineLevel="0" collapsed="false">
      <c r="A8" s="3" t="s">
        <v>43</v>
      </c>
      <c r="B8" s="49"/>
      <c r="C8" s="24" t="n">
        <f aca="false">SUMPRODUCT((Expenses!C$3:C$1002="Transport")*(Expenses!E$3:E$1002="GBP")*(YEAR(Expenses!A$3:A$1002)=2026)*(Expenses!A$3:A$1002&lt;&gt;"")*Expenses!D$3:D$1002)</f>
        <v>0</v>
      </c>
      <c r="D8" s="72" t="n">
        <f aca="false">C8-B8</f>
        <v>0</v>
      </c>
      <c r="E8" s="73" t="str">
        <f aca="false">IF(B8=0,"",D8/B8)</f>
        <v/>
      </c>
      <c r="F8" s="55"/>
      <c r="G8" s="52" t="n">
        <f aca="false">SUMPRODUCT((Expenses!C$3:C$1002="Transport")*(Expenses!E$3:E$1002="INR")*(YEAR(Expenses!A$3:A$1002)=2026)*(Expenses!A$3:A$1002&lt;&gt;"")*Expenses!D$3:D$1002)</f>
        <v>0</v>
      </c>
      <c r="H8" s="74" t="n">
        <f aca="false">G8-F8</f>
        <v>0</v>
      </c>
      <c r="I8" s="73" t="str">
        <f aca="false">IF(F8=0,"",H8/F8)</f>
        <v/>
      </c>
    </row>
    <row r="9" customFormat="false" ht="15" hidden="false" customHeight="false" outlineLevel="0" collapsed="false">
      <c r="A9" s="3" t="s">
        <v>44</v>
      </c>
      <c r="B9" s="49"/>
      <c r="C9" s="24" t="n">
        <f aca="false">SUMPRODUCT((Expenses!C$3:C$1002="Travel")*(Expenses!E$3:E$1002="GBP")*(YEAR(Expenses!A$3:A$1002)=2026)*(Expenses!A$3:A$1002&lt;&gt;"")*Expenses!D$3:D$1002)</f>
        <v>0</v>
      </c>
      <c r="D9" s="72" t="n">
        <f aca="false">C9-B9</f>
        <v>0</v>
      </c>
      <c r="E9" s="73" t="str">
        <f aca="false">IF(B9=0,"",D9/B9)</f>
        <v/>
      </c>
      <c r="F9" s="55"/>
      <c r="G9" s="52" t="n">
        <f aca="false">SUMPRODUCT((Expenses!C$3:C$1002="Travel")*(Expenses!E$3:E$1002="INR")*(YEAR(Expenses!A$3:A$1002)=2026)*(Expenses!A$3:A$1002&lt;&gt;"")*Expenses!D$3:D$1002)</f>
        <v>0</v>
      </c>
      <c r="H9" s="74" t="n">
        <f aca="false">G9-F9</f>
        <v>0</v>
      </c>
      <c r="I9" s="73" t="str">
        <f aca="false">IF(F9=0,"",H9/F9)</f>
        <v/>
      </c>
    </row>
    <row r="10" customFormat="false" ht="15" hidden="false" customHeight="false" outlineLevel="0" collapsed="false">
      <c r="A10" s="3" t="s">
        <v>45</v>
      </c>
      <c r="B10" s="49"/>
      <c r="C10" s="24" t="n">
        <f aca="false">SUMPRODUCT((Expenses!C$3:C$1002="Shopping")*(Expenses!E$3:E$1002="GBP")*(YEAR(Expenses!A$3:A$1002)=2026)*(Expenses!A$3:A$1002&lt;&gt;"")*Expenses!D$3:D$1002)</f>
        <v>0</v>
      </c>
      <c r="D10" s="72" t="n">
        <f aca="false">C10-B10</f>
        <v>0</v>
      </c>
      <c r="E10" s="73" t="str">
        <f aca="false">IF(B10=0,"",D10/B10)</f>
        <v/>
      </c>
      <c r="F10" s="55"/>
      <c r="G10" s="52" t="n">
        <f aca="false">SUMPRODUCT((Expenses!C$3:C$1002="Shopping")*(Expenses!E$3:E$1002="INR")*(YEAR(Expenses!A$3:A$1002)=2026)*(Expenses!A$3:A$1002&lt;&gt;"")*Expenses!D$3:D$1002)</f>
        <v>0</v>
      </c>
      <c r="H10" s="74" t="n">
        <f aca="false">G10-F10</f>
        <v>0</v>
      </c>
      <c r="I10" s="73" t="str">
        <f aca="false">IF(F10=0,"",H10/F10)</f>
        <v/>
      </c>
    </row>
    <row r="11" customFormat="false" ht="15" hidden="false" customHeight="false" outlineLevel="0" collapsed="false">
      <c r="A11" s="3" t="s">
        <v>46</v>
      </c>
      <c r="B11" s="49"/>
      <c r="C11" s="24" t="n">
        <f aca="false">SUMPRODUCT((Expenses!C$3:C$1002="Electronics")*(Expenses!E$3:E$1002="GBP")*(YEAR(Expenses!A$3:A$1002)=2026)*(Expenses!A$3:A$1002&lt;&gt;"")*Expenses!D$3:D$1002)</f>
        <v>0</v>
      </c>
      <c r="D11" s="72" t="n">
        <f aca="false">C11-B11</f>
        <v>0</v>
      </c>
      <c r="E11" s="73" t="str">
        <f aca="false">IF(B11=0,"",D11/B11)</f>
        <v/>
      </c>
      <c r="F11" s="55"/>
      <c r="G11" s="52" t="n">
        <f aca="false">SUMPRODUCT((Expenses!C$3:C$1002="Electronics")*(Expenses!E$3:E$1002="INR")*(YEAR(Expenses!A$3:A$1002)=2026)*(Expenses!A$3:A$1002&lt;&gt;"")*Expenses!D$3:D$1002)</f>
        <v>0</v>
      </c>
      <c r="H11" s="74" t="n">
        <f aca="false">G11-F11</f>
        <v>0</v>
      </c>
      <c r="I11" s="73" t="str">
        <f aca="false">IF(F11=0,"",H11/F11)</f>
        <v/>
      </c>
    </row>
    <row r="12" customFormat="false" ht="15" hidden="false" customHeight="false" outlineLevel="0" collapsed="false">
      <c r="A12" s="3" t="s">
        <v>47</v>
      </c>
      <c r="B12" s="49"/>
      <c r="C12" s="24" t="n">
        <f aca="false">SUMPRODUCT((Expenses!C$3:C$1002="Subscriptions")*(Expenses!E$3:E$1002="GBP")*(YEAR(Expenses!A$3:A$1002)=2026)*(Expenses!A$3:A$1002&lt;&gt;"")*Expenses!D$3:D$1002)</f>
        <v>0</v>
      </c>
      <c r="D12" s="72" t="n">
        <f aca="false">C12-B12</f>
        <v>0</v>
      </c>
      <c r="E12" s="73" t="str">
        <f aca="false">IF(B12=0,"",D12/B12)</f>
        <v/>
      </c>
      <c r="F12" s="55"/>
      <c r="G12" s="52" t="n">
        <f aca="false">SUMPRODUCT((Expenses!C$3:C$1002="Subscriptions")*(Expenses!E$3:E$1002="INR")*(YEAR(Expenses!A$3:A$1002)=2026)*(Expenses!A$3:A$1002&lt;&gt;"")*Expenses!D$3:D$1002)</f>
        <v>0</v>
      </c>
      <c r="H12" s="74" t="n">
        <f aca="false">G12-F12</f>
        <v>0</v>
      </c>
      <c r="I12" s="73" t="str">
        <f aca="false">IF(F12=0,"",H12/F12)</f>
        <v/>
      </c>
    </row>
    <row r="13" customFormat="false" ht="15" hidden="false" customHeight="false" outlineLevel="0" collapsed="false">
      <c r="A13" s="3" t="s">
        <v>48</v>
      </c>
      <c r="B13" s="49"/>
      <c r="C13" s="24" t="n">
        <f aca="false">SUMPRODUCT((Expenses!C$3:C$1002="Bills")*(Expenses!E$3:E$1002="GBP")*(YEAR(Expenses!A$3:A$1002)=2026)*(Expenses!A$3:A$1002&lt;&gt;"")*Expenses!D$3:D$1002)</f>
        <v>0</v>
      </c>
      <c r="D13" s="72" t="n">
        <f aca="false">C13-B13</f>
        <v>0</v>
      </c>
      <c r="E13" s="73" t="str">
        <f aca="false">IF(B13=0,"",D13/B13)</f>
        <v/>
      </c>
      <c r="F13" s="55"/>
      <c r="G13" s="52" t="n">
        <f aca="false">SUMPRODUCT((Expenses!C$3:C$1002="Bills")*(Expenses!E$3:E$1002="INR")*(YEAR(Expenses!A$3:A$1002)=2026)*(Expenses!A$3:A$1002&lt;&gt;"")*Expenses!D$3:D$1002)</f>
        <v>0</v>
      </c>
      <c r="H13" s="74" t="n">
        <f aca="false">G13-F13</f>
        <v>0</v>
      </c>
      <c r="I13" s="73" t="str">
        <f aca="false">IF(F13=0,"",H13/F13)</f>
        <v/>
      </c>
    </row>
    <row r="14" customFormat="false" ht="15" hidden="false" customHeight="false" outlineLevel="0" collapsed="false">
      <c r="A14" s="3" t="s">
        <v>49</v>
      </c>
      <c r="B14" s="49"/>
      <c r="C14" s="24" t="n">
        <f aca="false">SUMPRODUCT((Expenses!C$3:C$1002="Entertainment")*(Expenses!E$3:E$1002="GBP")*(YEAR(Expenses!A$3:A$1002)=2026)*(Expenses!A$3:A$1002&lt;&gt;"")*Expenses!D$3:D$1002)</f>
        <v>0</v>
      </c>
      <c r="D14" s="72" t="n">
        <f aca="false">C14-B14</f>
        <v>0</v>
      </c>
      <c r="E14" s="73" t="str">
        <f aca="false">IF(B14=0,"",D14/B14)</f>
        <v/>
      </c>
      <c r="F14" s="55"/>
      <c r="G14" s="52" t="n">
        <f aca="false">SUMPRODUCT((Expenses!C$3:C$1002="Entertainment")*(Expenses!E$3:E$1002="INR")*(YEAR(Expenses!A$3:A$1002)=2026)*(Expenses!A$3:A$1002&lt;&gt;"")*Expenses!D$3:D$1002)</f>
        <v>0</v>
      </c>
      <c r="H14" s="74" t="n">
        <f aca="false">G14-F14</f>
        <v>0</v>
      </c>
      <c r="I14" s="73" t="str">
        <f aca="false">IF(F14=0,"",H14/F14)</f>
        <v/>
      </c>
    </row>
    <row r="15" customFormat="false" ht="15" hidden="false" customHeight="false" outlineLevel="0" collapsed="false">
      <c r="A15" s="3" t="s">
        <v>50</v>
      </c>
      <c r="B15" s="49"/>
      <c r="C15" s="24" t="n">
        <f aca="false">SUMPRODUCT((Expenses!C$3:C$1002="Food and Drinks")*(Expenses!E$3:E$1002="GBP")*(YEAR(Expenses!A$3:A$1002)=2026)*(Expenses!A$3:A$1002&lt;&gt;"")*Expenses!D$3:D$1002)</f>
        <v>0</v>
      </c>
      <c r="D15" s="72" t="n">
        <f aca="false">C15-B15</f>
        <v>0</v>
      </c>
      <c r="E15" s="73" t="str">
        <f aca="false">IF(B15=0,"",D15/B15)</f>
        <v/>
      </c>
      <c r="F15" s="55"/>
      <c r="G15" s="52" t="n">
        <f aca="false">SUMPRODUCT((Expenses!C$3:C$1002="Food and Drinks")*(Expenses!E$3:E$1002="INR")*(YEAR(Expenses!A$3:A$1002)=2026)*(Expenses!A$3:A$1002&lt;&gt;"")*Expenses!D$3:D$1002)</f>
        <v>0</v>
      </c>
      <c r="H15" s="74" t="n">
        <f aca="false">G15-F15</f>
        <v>0</v>
      </c>
      <c r="I15" s="73" t="str">
        <f aca="false">IF(F15=0,"",H15/F15)</f>
        <v/>
      </c>
    </row>
    <row r="16" customFormat="false" ht="15" hidden="false" customHeight="false" outlineLevel="0" collapsed="false">
      <c r="A16" s="3" t="s">
        <v>51</v>
      </c>
      <c r="B16" s="49"/>
      <c r="C16" s="24" t="n">
        <f aca="false">SUMPRODUCT((Expenses!C$3:C$1002="Groceries")*(Expenses!E$3:E$1002="GBP")*(YEAR(Expenses!A$3:A$1002)=2026)*(Expenses!A$3:A$1002&lt;&gt;"")*Expenses!D$3:D$1002)</f>
        <v>0</v>
      </c>
      <c r="D16" s="72" t="n">
        <f aca="false">C16-B16</f>
        <v>0</v>
      </c>
      <c r="E16" s="73" t="str">
        <f aca="false">IF(B16=0,"",D16/B16)</f>
        <v/>
      </c>
      <c r="F16" s="55"/>
      <c r="G16" s="52" t="n">
        <f aca="false">SUMPRODUCT((Expenses!C$3:C$1002="Groceries")*(Expenses!E$3:E$1002="INR")*(YEAR(Expenses!A$3:A$1002)=2026)*(Expenses!A$3:A$1002&lt;&gt;"")*Expenses!D$3:D$1002)</f>
        <v>0</v>
      </c>
      <c r="H16" s="74" t="n">
        <f aca="false">G16-F16</f>
        <v>0</v>
      </c>
      <c r="I16" s="73" t="str">
        <f aca="false">IF(F16=0,"",H16/F16)</f>
        <v/>
      </c>
    </row>
    <row r="17" customFormat="false" ht="15" hidden="false" customHeight="false" outlineLevel="0" collapsed="false">
      <c r="A17" s="3" t="s">
        <v>52</v>
      </c>
      <c r="B17" s="49"/>
      <c r="C17" s="24" t="n">
        <f aca="false">SUMPRODUCT((Expenses!C$3:C$1002="Others")*(Expenses!E$3:E$1002="GBP")*(YEAR(Expenses!A$3:A$1002)=2026)*(Expenses!A$3:A$1002&lt;&gt;"")*Expenses!D$3:D$1002)</f>
        <v>0</v>
      </c>
      <c r="D17" s="72" t="n">
        <f aca="false">C17-B17</f>
        <v>0</v>
      </c>
      <c r="E17" s="73" t="str">
        <f aca="false">IF(B17=0,"",D17/B17)</f>
        <v/>
      </c>
      <c r="F17" s="55"/>
      <c r="G17" s="52" t="n">
        <f aca="false">SUMPRODUCT((Expenses!C$3:C$1002="Others")*(Expenses!E$3:E$1002="INR")*(YEAR(Expenses!A$3:A$1002)=2026)*(Expenses!A$3:A$1002&lt;&gt;"")*Expenses!D$3:D$1002)</f>
        <v>0</v>
      </c>
      <c r="H17" s="74" t="n">
        <f aca="false">G17-F17</f>
        <v>0</v>
      </c>
      <c r="I17" s="73" t="str">
        <f aca="false">IF(F17=0,"",H17/F17)</f>
        <v/>
      </c>
    </row>
    <row r="18" customFormat="false" ht="15" hidden="false" customHeight="false" outlineLevel="0" collapsed="false">
      <c r="A18" s="3" t="s">
        <v>53</v>
      </c>
      <c r="B18" s="49"/>
      <c r="C18" s="24" t="n">
        <f aca="false">SUMPRODUCT((Expenses!C$3:C$1002="Gifts")*(Expenses!E$3:E$1002="GBP")*(YEAR(Expenses!A$3:A$1002)=2026)*(Expenses!A$3:A$1002&lt;&gt;"")*Expenses!D$3:D$1002)</f>
        <v>0</v>
      </c>
      <c r="D18" s="72" t="n">
        <f aca="false">C18-B18</f>
        <v>0</v>
      </c>
      <c r="E18" s="73" t="str">
        <f aca="false">IF(B18=0,"",D18/B18)</f>
        <v/>
      </c>
      <c r="F18" s="55"/>
      <c r="G18" s="52" t="n">
        <f aca="false">SUMPRODUCT((Expenses!C$3:C$1002="Gifts")*(Expenses!E$3:E$1002="INR")*(YEAR(Expenses!A$3:A$1002)=2026)*(Expenses!A$3:A$1002&lt;&gt;"")*Expenses!D$3:D$1002)</f>
        <v>0</v>
      </c>
      <c r="H18" s="74" t="n">
        <f aca="false">G18-F18</f>
        <v>0</v>
      </c>
      <c r="I18" s="73" t="str">
        <f aca="false">IF(F18=0,"",H18/F18)</f>
        <v/>
      </c>
    </row>
    <row r="19" customFormat="false" ht="15" hidden="false" customHeight="false" outlineLevel="0" collapsed="false">
      <c r="A19" s="3" t="s">
        <v>54</v>
      </c>
      <c r="B19" s="49"/>
      <c r="C19" s="24" t="n">
        <f aca="false">SUMPRODUCT((Expenses!C$3:C$1002="Donations")*(Expenses!E$3:E$1002="GBP")*(YEAR(Expenses!A$3:A$1002)=2026)*(Expenses!A$3:A$1002&lt;&gt;"")*Expenses!D$3:D$1002)</f>
        <v>0</v>
      </c>
      <c r="D19" s="72" t="n">
        <f aca="false">C19-B19</f>
        <v>0</v>
      </c>
      <c r="E19" s="73" t="str">
        <f aca="false">IF(B19=0,"",D19/B19)</f>
        <v/>
      </c>
      <c r="F19" s="55"/>
      <c r="G19" s="52" t="n">
        <f aca="false">SUMPRODUCT((Expenses!C$3:C$1002="Donations")*(Expenses!E$3:E$1002="INR")*(YEAR(Expenses!A$3:A$1002)=2026)*(Expenses!A$3:A$1002&lt;&gt;"")*Expenses!D$3:D$1002)</f>
        <v>0</v>
      </c>
      <c r="H19" s="74" t="n">
        <f aca="false">G19-F19</f>
        <v>0</v>
      </c>
      <c r="I19" s="73" t="str">
        <f aca="false">IF(F19=0,"",H19/F19)</f>
        <v/>
      </c>
    </row>
    <row r="20" customFormat="false" ht="15" hidden="false" customHeight="false" outlineLevel="0" collapsed="false">
      <c r="A20" s="3" t="s">
        <v>55</v>
      </c>
      <c r="B20" s="49"/>
      <c r="C20" s="24" t="n">
        <f aca="false">SUMPRODUCT((Expenses!C$3:C$1002="Investments")*(Expenses!E$3:E$1002="GBP")*(YEAR(Expenses!A$3:A$1002)=2026)*(Expenses!A$3:A$1002&lt;&gt;"")*Expenses!D$3:D$1002)</f>
        <v>0</v>
      </c>
      <c r="D20" s="72" t="n">
        <f aca="false">C20-B20</f>
        <v>0</v>
      </c>
      <c r="E20" s="73" t="str">
        <f aca="false">IF(B20=0,"",D20/B20)</f>
        <v/>
      </c>
      <c r="F20" s="55"/>
      <c r="G20" s="52" t="n">
        <f aca="false">SUMPRODUCT((Expenses!C$3:C$1002="Investments")*(Expenses!E$3:E$1002="INR")*(YEAR(Expenses!A$3:A$1002)=2026)*(Expenses!A$3:A$1002&lt;&gt;"")*Expenses!D$3:D$1002)</f>
        <v>0</v>
      </c>
      <c r="H20" s="74" t="n">
        <f aca="false">G20-F20</f>
        <v>0</v>
      </c>
      <c r="I20" s="73" t="str">
        <f aca="false">IF(F20=0,"",H20/F20)</f>
        <v/>
      </c>
    </row>
  </sheetData>
  <mergeCells count="1">
    <mergeCell ref="A1:F1"/>
  </mergeCells>
  <conditionalFormatting sqref="D7:D20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0">
      <formula>0</formula>
    </cfRule>
  </conditionalFormatting>
  <conditionalFormatting sqref="E7:E20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0">
      <formula>0</formula>
    </cfRule>
  </conditionalFormatting>
  <conditionalFormatting sqref="H7:H20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0">
      <formula>0</formula>
    </cfRule>
  </conditionalFormatting>
  <conditionalFormatting sqref="I7:I20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80"/>
    <pageSetUpPr fitToPage="false"/>
  </sheetPr>
  <dimension ref="A1:I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</row>
    <row r="2" customFormat="false" ht="26.85" hidden="false" customHeight="false" outlineLevel="0" collapsed="false">
      <c r="A2" s="75" t="s">
        <v>89</v>
      </c>
      <c r="B2" s="75" t="s">
        <v>210</v>
      </c>
      <c r="C2" s="75" t="s">
        <v>211</v>
      </c>
      <c r="D2" s="75" t="s">
        <v>212</v>
      </c>
      <c r="E2" s="75" t="s">
        <v>213</v>
      </c>
      <c r="F2" s="75" t="s">
        <v>214</v>
      </c>
      <c r="G2" s="75" t="s">
        <v>215</v>
      </c>
      <c r="H2" s="75" t="s">
        <v>216</v>
      </c>
      <c r="I2" s="75" t="s">
        <v>65</v>
      </c>
    </row>
    <row r="3" customFormat="false" ht="15" hidden="false" customHeight="false" outlineLevel="0" collapsed="false">
      <c r="A3" s="28"/>
      <c r="B3" s="26"/>
      <c r="C3" s="26"/>
      <c r="D3" s="32"/>
      <c r="E3" s="76"/>
      <c r="F3" s="41" t="str">
        <f aca="false">IF(D3="","",D3*E3)</f>
        <v/>
      </c>
      <c r="G3" s="32"/>
      <c r="H3" s="26"/>
      <c r="I3" s="26"/>
    </row>
    <row r="4" customFormat="false" ht="15" hidden="false" customHeight="false" outlineLevel="0" collapsed="false">
      <c r="A4" s="28"/>
      <c r="B4" s="26"/>
      <c r="C4" s="26"/>
      <c r="D4" s="32"/>
      <c r="E4" s="76"/>
      <c r="F4" s="41" t="str">
        <f aca="false">IF(D4="","",D4*E4)</f>
        <v/>
      </c>
      <c r="G4" s="32"/>
      <c r="H4" s="26"/>
      <c r="I4" s="26"/>
    </row>
    <row r="5" customFormat="false" ht="15" hidden="false" customHeight="false" outlineLevel="0" collapsed="false">
      <c r="A5" s="28"/>
      <c r="B5" s="26"/>
      <c r="C5" s="26"/>
      <c r="D5" s="32"/>
      <c r="E5" s="76"/>
      <c r="F5" s="41" t="str">
        <f aca="false">IF(D5="","",D5*E5)</f>
        <v/>
      </c>
      <c r="G5" s="32"/>
      <c r="H5" s="26"/>
      <c r="I5" s="26"/>
    </row>
    <row r="6" customFormat="false" ht="15" hidden="false" customHeight="false" outlineLevel="0" collapsed="false">
      <c r="A6" s="28"/>
      <c r="B6" s="26"/>
      <c r="C6" s="26"/>
      <c r="D6" s="32"/>
      <c r="E6" s="76"/>
      <c r="F6" s="41" t="str">
        <f aca="false">IF(D6="","",D6*E6)</f>
        <v/>
      </c>
      <c r="G6" s="32"/>
      <c r="H6" s="26"/>
      <c r="I6" s="26"/>
    </row>
    <row r="7" customFormat="false" ht="15" hidden="false" customHeight="false" outlineLevel="0" collapsed="false">
      <c r="A7" s="28"/>
      <c r="B7" s="26"/>
      <c r="C7" s="26"/>
      <c r="D7" s="32"/>
      <c r="E7" s="76"/>
      <c r="F7" s="41" t="str">
        <f aca="false">IF(D7="","",D7*E7)</f>
        <v/>
      </c>
      <c r="G7" s="32"/>
      <c r="H7" s="26"/>
      <c r="I7" s="26"/>
    </row>
    <row r="8" customFormat="false" ht="15" hidden="false" customHeight="false" outlineLevel="0" collapsed="false">
      <c r="A8" s="28"/>
      <c r="B8" s="26"/>
      <c r="C8" s="26"/>
      <c r="D8" s="32"/>
      <c r="E8" s="76"/>
      <c r="F8" s="41" t="str">
        <f aca="false">IF(D8="","",D8*E8)</f>
        <v/>
      </c>
      <c r="G8" s="32"/>
      <c r="H8" s="26"/>
      <c r="I8" s="26"/>
    </row>
    <row r="9" customFormat="false" ht="15" hidden="false" customHeight="false" outlineLevel="0" collapsed="false">
      <c r="A9" s="28"/>
      <c r="B9" s="26"/>
      <c r="C9" s="26"/>
      <c r="D9" s="32"/>
      <c r="E9" s="76"/>
      <c r="F9" s="41" t="str">
        <f aca="false">IF(D9="","",D9*E9)</f>
        <v/>
      </c>
      <c r="G9" s="32"/>
      <c r="H9" s="26"/>
      <c r="I9" s="26"/>
    </row>
    <row r="10" customFormat="false" ht="15" hidden="false" customHeight="false" outlineLevel="0" collapsed="false">
      <c r="A10" s="28"/>
      <c r="B10" s="26"/>
      <c r="C10" s="26"/>
      <c r="D10" s="32"/>
      <c r="E10" s="76"/>
      <c r="F10" s="41" t="str">
        <f aca="false">IF(D10="","",D10*E10)</f>
        <v/>
      </c>
      <c r="G10" s="32"/>
      <c r="H10" s="26"/>
      <c r="I10" s="26"/>
    </row>
    <row r="11" customFormat="false" ht="15" hidden="false" customHeight="false" outlineLevel="0" collapsed="false">
      <c r="A11" s="28"/>
      <c r="B11" s="26"/>
      <c r="C11" s="26"/>
      <c r="D11" s="32"/>
      <c r="E11" s="76"/>
      <c r="F11" s="41" t="str">
        <f aca="false">IF(D11="","",D11*E11)</f>
        <v/>
      </c>
      <c r="G11" s="32"/>
      <c r="H11" s="26"/>
      <c r="I11" s="26"/>
    </row>
    <row r="12" customFormat="false" ht="15" hidden="false" customHeight="false" outlineLevel="0" collapsed="false">
      <c r="A12" s="28"/>
      <c r="B12" s="26"/>
      <c r="C12" s="26"/>
      <c r="D12" s="32"/>
      <c r="E12" s="76"/>
      <c r="F12" s="41" t="str">
        <f aca="false">IF(D12="","",D12*E12)</f>
        <v/>
      </c>
      <c r="G12" s="32"/>
      <c r="H12" s="26"/>
      <c r="I12" s="26"/>
    </row>
    <row r="13" customFormat="false" ht="15" hidden="false" customHeight="false" outlineLevel="0" collapsed="false">
      <c r="A13" s="28"/>
      <c r="B13" s="26"/>
      <c r="C13" s="26"/>
      <c r="D13" s="32"/>
      <c r="E13" s="76"/>
      <c r="F13" s="41" t="str">
        <f aca="false">IF(D13="","",D13*E13)</f>
        <v/>
      </c>
      <c r="G13" s="32"/>
      <c r="H13" s="26"/>
      <c r="I13" s="26"/>
    </row>
    <row r="14" customFormat="false" ht="15" hidden="false" customHeight="false" outlineLevel="0" collapsed="false">
      <c r="A14" s="28"/>
      <c r="B14" s="26"/>
      <c r="C14" s="26"/>
      <c r="D14" s="32"/>
      <c r="E14" s="76"/>
      <c r="F14" s="41" t="str">
        <f aca="false">IF(D14="","",D14*E14)</f>
        <v/>
      </c>
      <c r="G14" s="32"/>
      <c r="H14" s="26"/>
      <c r="I14" s="26"/>
    </row>
    <row r="15" customFormat="false" ht="15" hidden="false" customHeight="false" outlineLevel="0" collapsed="false">
      <c r="A15" s="28"/>
      <c r="B15" s="26"/>
      <c r="C15" s="26"/>
      <c r="D15" s="32"/>
      <c r="E15" s="76"/>
      <c r="F15" s="41" t="str">
        <f aca="false">IF(D15="","",D15*E15)</f>
        <v/>
      </c>
      <c r="G15" s="32"/>
      <c r="H15" s="26"/>
      <c r="I15" s="26"/>
    </row>
    <row r="16" customFormat="false" ht="15" hidden="false" customHeight="false" outlineLevel="0" collapsed="false">
      <c r="A16" s="28"/>
      <c r="B16" s="26"/>
      <c r="C16" s="26"/>
      <c r="D16" s="32"/>
      <c r="E16" s="76"/>
      <c r="F16" s="41" t="str">
        <f aca="false">IF(D16="","",D16*E16)</f>
        <v/>
      </c>
      <c r="G16" s="32"/>
      <c r="H16" s="26"/>
      <c r="I16" s="26"/>
    </row>
    <row r="17" customFormat="false" ht="15" hidden="false" customHeight="false" outlineLevel="0" collapsed="false">
      <c r="A17" s="28"/>
      <c r="B17" s="26"/>
      <c r="C17" s="26"/>
      <c r="D17" s="32"/>
      <c r="E17" s="76"/>
      <c r="F17" s="41" t="str">
        <f aca="false">IF(D17="","",D17*E17)</f>
        <v/>
      </c>
      <c r="G17" s="32"/>
      <c r="H17" s="26"/>
      <c r="I17" s="26"/>
    </row>
    <row r="18" customFormat="false" ht="15" hidden="false" customHeight="false" outlineLevel="0" collapsed="false">
      <c r="A18" s="28"/>
      <c r="B18" s="26"/>
      <c r="C18" s="26"/>
      <c r="D18" s="32"/>
      <c r="E18" s="76"/>
      <c r="F18" s="41" t="str">
        <f aca="false">IF(D18="","",D18*E18)</f>
        <v/>
      </c>
      <c r="G18" s="32"/>
      <c r="H18" s="26"/>
      <c r="I18" s="26"/>
    </row>
    <row r="19" customFormat="false" ht="15" hidden="false" customHeight="false" outlineLevel="0" collapsed="false">
      <c r="A19" s="28"/>
      <c r="B19" s="26"/>
      <c r="C19" s="26"/>
      <c r="D19" s="32"/>
      <c r="E19" s="76"/>
      <c r="F19" s="41" t="str">
        <f aca="false">IF(D19="","",D19*E19)</f>
        <v/>
      </c>
      <c r="G19" s="32"/>
      <c r="H19" s="26"/>
      <c r="I19" s="26"/>
    </row>
    <row r="20" customFormat="false" ht="15" hidden="false" customHeight="false" outlineLevel="0" collapsed="false">
      <c r="A20" s="28"/>
      <c r="B20" s="26"/>
      <c r="C20" s="26"/>
      <c r="D20" s="32"/>
      <c r="E20" s="76"/>
      <c r="F20" s="41" t="str">
        <f aca="false">IF(D20="","",D20*E20)</f>
        <v/>
      </c>
      <c r="G20" s="32"/>
      <c r="H20" s="26"/>
      <c r="I20" s="26"/>
    </row>
    <row r="21" customFormat="false" ht="15" hidden="false" customHeight="false" outlineLevel="0" collapsed="false">
      <c r="A21" s="28"/>
      <c r="B21" s="26"/>
      <c r="C21" s="26"/>
      <c r="D21" s="32"/>
      <c r="E21" s="76"/>
      <c r="F21" s="41" t="str">
        <f aca="false">IF(D21="","",D21*E21)</f>
        <v/>
      </c>
      <c r="G21" s="32"/>
      <c r="H21" s="26"/>
      <c r="I21" s="26"/>
    </row>
    <row r="22" customFormat="false" ht="15" hidden="false" customHeight="false" outlineLevel="0" collapsed="false">
      <c r="A22" s="28"/>
      <c r="B22" s="26"/>
      <c r="C22" s="26"/>
      <c r="D22" s="32"/>
      <c r="E22" s="76"/>
      <c r="F22" s="41" t="str">
        <f aca="false">IF(D22="","",D22*E22)</f>
        <v/>
      </c>
      <c r="G22" s="32"/>
      <c r="H22" s="26"/>
      <c r="I22" s="26"/>
    </row>
    <row r="23" customFormat="false" ht="15" hidden="false" customHeight="false" outlineLevel="0" collapsed="false">
      <c r="A23" s="28"/>
      <c r="B23" s="26"/>
      <c r="C23" s="26"/>
      <c r="D23" s="32"/>
      <c r="E23" s="76"/>
      <c r="F23" s="41" t="str">
        <f aca="false">IF(D23="","",D23*E23)</f>
        <v/>
      </c>
      <c r="G23" s="32"/>
      <c r="H23" s="26"/>
      <c r="I23" s="26"/>
    </row>
    <row r="24" customFormat="false" ht="15" hidden="false" customHeight="false" outlineLevel="0" collapsed="false">
      <c r="A24" s="28"/>
      <c r="B24" s="26"/>
      <c r="C24" s="26"/>
      <c r="D24" s="32"/>
      <c r="E24" s="76"/>
      <c r="F24" s="41" t="str">
        <f aca="false">IF(D24="","",D24*E24)</f>
        <v/>
      </c>
      <c r="G24" s="32"/>
      <c r="H24" s="26"/>
      <c r="I24" s="26"/>
    </row>
    <row r="25" customFormat="false" ht="15" hidden="false" customHeight="false" outlineLevel="0" collapsed="false">
      <c r="A25" s="28"/>
      <c r="B25" s="26"/>
      <c r="C25" s="26"/>
      <c r="D25" s="32"/>
      <c r="E25" s="76"/>
      <c r="F25" s="41" t="str">
        <f aca="false">IF(D25="","",D25*E25)</f>
        <v/>
      </c>
      <c r="G25" s="32"/>
      <c r="H25" s="26"/>
      <c r="I25" s="26"/>
    </row>
    <row r="26" customFormat="false" ht="15" hidden="false" customHeight="false" outlineLevel="0" collapsed="false">
      <c r="A26" s="28"/>
      <c r="B26" s="26"/>
      <c r="C26" s="26"/>
      <c r="D26" s="32"/>
      <c r="E26" s="76"/>
      <c r="F26" s="41" t="str">
        <f aca="false">IF(D26="","",D26*E26)</f>
        <v/>
      </c>
      <c r="G26" s="32"/>
      <c r="H26" s="26"/>
      <c r="I26" s="26"/>
    </row>
    <row r="27" customFormat="false" ht="15" hidden="false" customHeight="false" outlineLevel="0" collapsed="false">
      <c r="A27" s="28"/>
      <c r="B27" s="26"/>
      <c r="C27" s="26"/>
      <c r="D27" s="32"/>
      <c r="E27" s="76"/>
      <c r="F27" s="41" t="str">
        <f aca="false">IF(D27="","",D27*E27)</f>
        <v/>
      </c>
      <c r="G27" s="32"/>
      <c r="H27" s="26"/>
      <c r="I27" s="26"/>
    </row>
    <row r="28" customFormat="false" ht="15" hidden="false" customHeight="false" outlineLevel="0" collapsed="false">
      <c r="A28" s="28"/>
      <c r="B28" s="26"/>
      <c r="C28" s="26"/>
      <c r="D28" s="32"/>
      <c r="E28" s="76"/>
      <c r="F28" s="41" t="str">
        <f aca="false">IF(D28="","",D28*E28)</f>
        <v/>
      </c>
      <c r="G28" s="32"/>
      <c r="H28" s="26"/>
      <c r="I28" s="26"/>
    </row>
    <row r="29" customFormat="false" ht="15" hidden="false" customHeight="false" outlineLevel="0" collapsed="false">
      <c r="A29" s="28"/>
      <c r="B29" s="26"/>
      <c r="C29" s="26"/>
      <c r="D29" s="32"/>
      <c r="E29" s="76"/>
      <c r="F29" s="41" t="str">
        <f aca="false">IF(D29="","",D29*E29)</f>
        <v/>
      </c>
      <c r="G29" s="32"/>
      <c r="H29" s="26"/>
      <c r="I29" s="26"/>
    </row>
    <row r="30" customFormat="false" ht="15" hidden="false" customHeight="false" outlineLevel="0" collapsed="false">
      <c r="A30" s="28"/>
      <c r="B30" s="26"/>
      <c r="C30" s="26"/>
      <c r="D30" s="32"/>
      <c r="E30" s="76"/>
      <c r="F30" s="41" t="str">
        <f aca="false">IF(D30="","",D30*E30)</f>
        <v/>
      </c>
      <c r="G30" s="32"/>
      <c r="H30" s="26"/>
      <c r="I30" s="26"/>
    </row>
    <row r="31" customFormat="false" ht="15" hidden="false" customHeight="false" outlineLevel="0" collapsed="false">
      <c r="A31" s="28"/>
      <c r="B31" s="26"/>
      <c r="C31" s="26"/>
      <c r="D31" s="32"/>
      <c r="E31" s="76"/>
      <c r="F31" s="41" t="str">
        <f aca="false">IF(D31="","",D31*E31)</f>
        <v/>
      </c>
      <c r="G31" s="32"/>
      <c r="H31" s="26"/>
      <c r="I31" s="26"/>
    </row>
    <row r="32" customFormat="false" ht="15" hidden="false" customHeight="false" outlineLevel="0" collapsed="false">
      <c r="A32" s="28"/>
      <c r="B32" s="26"/>
      <c r="C32" s="26"/>
      <c r="D32" s="32"/>
      <c r="E32" s="76"/>
      <c r="F32" s="41" t="str">
        <f aca="false">IF(D32="","",D32*E32)</f>
        <v/>
      </c>
      <c r="G32" s="32"/>
      <c r="H32" s="26"/>
      <c r="I32" s="26"/>
    </row>
    <row r="33" customFormat="false" ht="15" hidden="false" customHeight="false" outlineLevel="0" collapsed="false">
      <c r="A33" s="28"/>
      <c r="B33" s="26"/>
      <c r="C33" s="26"/>
      <c r="D33" s="32"/>
      <c r="E33" s="76"/>
      <c r="F33" s="41" t="str">
        <f aca="false">IF(D33="","",D33*E33)</f>
        <v/>
      </c>
      <c r="G33" s="32"/>
      <c r="H33" s="26"/>
      <c r="I33" s="26"/>
    </row>
    <row r="34" customFormat="false" ht="15" hidden="false" customHeight="false" outlineLevel="0" collapsed="false">
      <c r="A34" s="28"/>
      <c r="B34" s="26"/>
      <c r="C34" s="26"/>
      <c r="D34" s="32"/>
      <c r="E34" s="76"/>
      <c r="F34" s="41" t="str">
        <f aca="false">IF(D34="","",D34*E34)</f>
        <v/>
      </c>
      <c r="G34" s="32"/>
      <c r="H34" s="26"/>
      <c r="I34" s="26"/>
    </row>
    <row r="35" customFormat="false" ht="15" hidden="false" customHeight="false" outlineLevel="0" collapsed="false">
      <c r="A35" s="28"/>
      <c r="B35" s="26"/>
      <c r="C35" s="26"/>
      <c r="D35" s="32"/>
      <c r="E35" s="76"/>
      <c r="F35" s="41" t="str">
        <f aca="false">IF(D35="","",D35*E35)</f>
        <v/>
      </c>
      <c r="G35" s="32"/>
      <c r="H35" s="26"/>
      <c r="I35" s="26"/>
    </row>
    <row r="36" customFormat="false" ht="15" hidden="false" customHeight="false" outlineLevel="0" collapsed="false">
      <c r="A36" s="28"/>
      <c r="B36" s="26"/>
      <c r="C36" s="26"/>
      <c r="D36" s="32"/>
      <c r="E36" s="76"/>
      <c r="F36" s="41" t="str">
        <f aca="false">IF(D36="","",D36*E36)</f>
        <v/>
      </c>
      <c r="G36" s="32"/>
      <c r="H36" s="26"/>
      <c r="I36" s="26"/>
    </row>
    <row r="37" customFormat="false" ht="15" hidden="false" customHeight="false" outlineLevel="0" collapsed="false">
      <c r="A37" s="28"/>
      <c r="B37" s="26"/>
      <c r="C37" s="26"/>
      <c r="D37" s="32"/>
      <c r="E37" s="76"/>
      <c r="F37" s="41" t="str">
        <f aca="false">IF(D37="","",D37*E37)</f>
        <v/>
      </c>
      <c r="G37" s="32"/>
      <c r="H37" s="26"/>
      <c r="I37" s="26"/>
    </row>
    <row r="38" customFormat="false" ht="15" hidden="false" customHeight="false" outlineLevel="0" collapsed="false">
      <c r="A38" s="28"/>
      <c r="B38" s="26"/>
      <c r="C38" s="26"/>
      <c r="D38" s="32"/>
      <c r="E38" s="76"/>
      <c r="F38" s="41" t="str">
        <f aca="false">IF(D38="","",D38*E38)</f>
        <v/>
      </c>
      <c r="G38" s="32"/>
      <c r="H38" s="26"/>
      <c r="I38" s="26"/>
    </row>
    <row r="39" customFormat="false" ht="15" hidden="false" customHeight="false" outlineLevel="0" collapsed="false">
      <c r="A39" s="28"/>
      <c r="B39" s="26"/>
      <c r="C39" s="26"/>
      <c r="D39" s="32"/>
      <c r="E39" s="76"/>
      <c r="F39" s="41" t="str">
        <f aca="false">IF(D39="","",D39*E39)</f>
        <v/>
      </c>
      <c r="G39" s="32"/>
      <c r="H39" s="26"/>
      <c r="I39" s="26"/>
    </row>
    <row r="40" customFormat="false" ht="15" hidden="false" customHeight="false" outlineLevel="0" collapsed="false">
      <c r="A40" s="28"/>
      <c r="B40" s="26"/>
      <c r="C40" s="26"/>
      <c r="D40" s="32"/>
      <c r="E40" s="76"/>
      <c r="F40" s="41" t="str">
        <f aca="false">IF(D40="","",D40*E40)</f>
        <v/>
      </c>
      <c r="G40" s="32"/>
      <c r="H40" s="26"/>
      <c r="I40" s="26"/>
    </row>
    <row r="41" customFormat="false" ht="15" hidden="false" customHeight="false" outlineLevel="0" collapsed="false">
      <c r="A41" s="28"/>
      <c r="B41" s="26"/>
      <c r="C41" s="26"/>
      <c r="D41" s="32"/>
      <c r="E41" s="76"/>
      <c r="F41" s="41" t="str">
        <f aca="false">IF(D41="","",D41*E41)</f>
        <v/>
      </c>
      <c r="G41" s="32"/>
      <c r="H41" s="26"/>
      <c r="I41" s="26"/>
    </row>
    <row r="42" customFormat="false" ht="15" hidden="false" customHeight="false" outlineLevel="0" collapsed="false">
      <c r="A42" s="28"/>
      <c r="B42" s="26"/>
      <c r="C42" s="26"/>
      <c r="D42" s="32"/>
      <c r="E42" s="76"/>
      <c r="F42" s="41" t="str">
        <f aca="false">IF(D42="","",D42*E42)</f>
        <v/>
      </c>
      <c r="G42" s="32"/>
      <c r="H42" s="26"/>
      <c r="I42" s="26"/>
    </row>
    <row r="43" customFormat="false" ht="15" hidden="false" customHeight="false" outlineLevel="0" collapsed="false">
      <c r="A43" s="28"/>
      <c r="B43" s="26"/>
      <c r="C43" s="26"/>
      <c r="D43" s="32"/>
      <c r="E43" s="76"/>
      <c r="F43" s="41" t="str">
        <f aca="false">IF(D43="","",D43*E43)</f>
        <v/>
      </c>
      <c r="G43" s="32"/>
      <c r="H43" s="26"/>
      <c r="I43" s="26"/>
    </row>
    <row r="44" customFormat="false" ht="15" hidden="false" customHeight="false" outlineLevel="0" collapsed="false">
      <c r="A44" s="28"/>
      <c r="B44" s="26"/>
      <c r="C44" s="26"/>
      <c r="D44" s="32"/>
      <c r="E44" s="76"/>
      <c r="F44" s="41" t="str">
        <f aca="false">IF(D44="","",D44*E44)</f>
        <v/>
      </c>
      <c r="G44" s="32"/>
      <c r="H44" s="26"/>
      <c r="I44" s="26"/>
    </row>
    <row r="45" customFormat="false" ht="15" hidden="false" customHeight="false" outlineLevel="0" collapsed="false">
      <c r="A45" s="28"/>
      <c r="B45" s="26"/>
      <c r="C45" s="26"/>
      <c r="D45" s="32"/>
      <c r="E45" s="76"/>
      <c r="F45" s="41" t="str">
        <f aca="false">IF(D45="","",D45*E45)</f>
        <v/>
      </c>
      <c r="G45" s="32"/>
      <c r="H45" s="26"/>
      <c r="I45" s="26"/>
    </row>
    <row r="46" customFormat="false" ht="15" hidden="false" customHeight="false" outlineLevel="0" collapsed="false">
      <c r="A46" s="28"/>
      <c r="B46" s="26"/>
      <c r="C46" s="26"/>
      <c r="D46" s="32"/>
      <c r="E46" s="76"/>
      <c r="F46" s="41" t="str">
        <f aca="false">IF(D46="","",D46*E46)</f>
        <v/>
      </c>
      <c r="G46" s="32"/>
      <c r="H46" s="26"/>
      <c r="I46" s="26"/>
    </row>
    <row r="47" customFormat="false" ht="15" hidden="false" customHeight="false" outlineLevel="0" collapsed="false">
      <c r="A47" s="28"/>
      <c r="B47" s="26"/>
      <c r="C47" s="26"/>
      <c r="D47" s="32"/>
      <c r="E47" s="76"/>
      <c r="F47" s="41" t="str">
        <f aca="false">IF(D47="","",D47*E47)</f>
        <v/>
      </c>
      <c r="G47" s="32"/>
      <c r="H47" s="26"/>
      <c r="I47" s="26"/>
    </row>
    <row r="48" customFormat="false" ht="15" hidden="false" customHeight="false" outlineLevel="0" collapsed="false">
      <c r="A48" s="28"/>
      <c r="B48" s="26"/>
      <c r="C48" s="26"/>
      <c r="D48" s="32"/>
      <c r="E48" s="76"/>
      <c r="F48" s="41" t="str">
        <f aca="false">IF(D48="","",D48*E48)</f>
        <v/>
      </c>
      <c r="G48" s="32"/>
      <c r="H48" s="26"/>
      <c r="I48" s="26"/>
    </row>
    <row r="49" customFormat="false" ht="15" hidden="false" customHeight="false" outlineLevel="0" collapsed="false">
      <c r="A49" s="28"/>
      <c r="B49" s="26"/>
      <c r="C49" s="26"/>
      <c r="D49" s="32"/>
      <c r="E49" s="76"/>
      <c r="F49" s="41" t="str">
        <f aca="false">IF(D49="","",D49*E49)</f>
        <v/>
      </c>
      <c r="G49" s="32"/>
      <c r="H49" s="26"/>
      <c r="I49" s="26"/>
    </row>
    <row r="50" customFormat="false" ht="15" hidden="false" customHeight="false" outlineLevel="0" collapsed="false">
      <c r="A50" s="28"/>
      <c r="B50" s="26"/>
      <c r="C50" s="26"/>
      <c r="D50" s="32"/>
      <c r="E50" s="76"/>
      <c r="F50" s="41" t="str">
        <f aca="false">IF(D50="","",D50*E50)</f>
        <v/>
      </c>
      <c r="G50" s="32"/>
      <c r="H50" s="26"/>
      <c r="I50" s="26"/>
    </row>
    <row r="51" customFormat="false" ht="15" hidden="false" customHeight="false" outlineLevel="0" collapsed="false">
      <c r="A51" s="28"/>
      <c r="B51" s="26"/>
      <c r="C51" s="26"/>
      <c r="D51" s="32"/>
      <c r="E51" s="76"/>
      <c r="F51" s="41" t="str">
        <f aca="false">IF(D51="","",D51*E51)</f>
        <v/>
      </c>
      <c r="G51" s="32"/>
      <c r="H51" s="26"/>
      <c r="I51" s="26"/>
    </row>
    <row r="52" customFormat="false" ht="15" hidden="false" customHeight="false" outlineLevel="0" collapsed="false">
      <c r="A52" s="28"/>
      <c r="B52" s="26"/>
      <c r="C52" s="26"/>
      <c r="D52" s="32"/>
      <c r="E52" s="76"/>
      <c r="F52" s="41" t="str">
        <f aca="false">IF(D52="","",D52*E52)</f>
        <v/>
      </c>
      <c r="G52" s="32"/>
      <c r="H52" s="26"/>
      <c r="I52" s="26"/>
    </row>
    <row r="53" customFormat="false" ht="15" hidden="false" customHeight="false" outlineLevel="0" collapsed="false">
      <c r="A53" s="28"/>
      <c r="B53" s="26"/>
      <c r="C53" s="26"/>
      <c r="D53" s="32"/>
      <c r="E53" s="76"/>
      <c r="F53" s="41" t="str">
        <f aca="false">IF(D53="","",D53*E53)</f>
        <v/>
      </c>
      <c r="G53" s="32"/>
      <c r="H53" s="26"/>
      <c r="I53" s="26"/>
    </row>
    <row r="54" customFormat="false" ht="15" hidden="false" customHeight="false" outlineLevel="0" collapsed="false">
      <c r="A54" s="28"/>
      <c r="B54" s="26"/>
      <c r="C54" s="26"/>
      <c r="D54" s="32"/>
      <c r="E54" s="76"/>
      <c r="F54" s="41" t="str">
        <f aca="false">IF(D54="","",D54*E54)</f>
        <v/>
      </c>
      <c r="G54" s="32"/>
      <c r="H54" s="26"/>
      <c r="I54" s="26"/>
    </row>
    <row r="55" customFormat="false" ht="15" hidden="false" customHeight="false" outlineLevel="0" collapsed="false">
      <c r="A55" s="28"/>
      <c r="B55" s="26"/>
      <c r="C55" s="26"/>
      <c r="D55" s="32"/>
      <c r="E55" s="76"/>
      <c r="F55" s="41" t="str">
        <f aca="false">IF(D55="","",D55*E55)</f>
        <v/>
      </c>
      <c r="G55" s="32"/>
      <c r="H55" s="26"/>
      <c r="I55" s="26"/>
    </row>
    <row r="56" customFormat="false" ht="15" hidden="false" customHeight="false" outlineLevel="0" collapsed="false">
      <c r="A56" s="28"/>
      <c r="B56" s="26"/>
      <c r="C56" s="26"/>
      <c r="D56" s="32"/>
      <c r="E56" s="76"/>
      <c r="F56" s="41" t="str">
        <f aca="false">IF(D56="","",D56*E56)</f>
        <v/>
      </c>
      <c r="G56" s="32"/>
      <c r="H56" s="26"/>
      <c r="I56" s="26"/>
    </row>
    <row r="57" customFormat="false" ht="15" hidden="false" customHeight="false" outlineLevel="0" collapsed="false">
      <c r="A57" s="28"/>
      <c r="B57" s="26"/>
      <c r="C57" s="26"/>
      <c r="D57" s="32"/>
      <c r="E57" s="76"/>
      <c r="F57" s="41" t="str">
        <f aca="false">IF(D57="","",D57*E57)</f>
        <v/>
      </c>
      <c r="G57" s="32"/>
      <c r="H57" s="26"/>
      <c r="I57" s="26"/>
    </row>
    <row r="58" customFormat="false" ht="15" hidden="false" customHeight="false" outlineLevel="0" collapsed="false">
      <c r="A58" s="28"/>
      <c r="B58" s="26"/>
      <c r="C58" s="26"/>
      <c r="D58" s="32"/>
      <c r="E58" s="76"/>
      <c r="F58" s="41" t="str">
        <f aca="false">IF(D58="","",D58*E58)</f>
        <v/>
      </c>
      <c r="G58" s="32"/>
      <c r="H58" s="26"/>
      <c r="I58" s="26"/>
    </row>
    <row r="59" customFormat="false" ht="15" hidden="false" customHeight="false" outlineLevel="0" collapsed="false">
      <c r="A59" s="28"/>
      <c r="B59" s="26"/>
      <c r="C59" s="26"/>
      <c r="D59" s="32"/>
      <c r="E59" s="76"/>
      <c r="F59" s="41" t="str">
        <f aca="false">IF(D59="","",D59*E59)</f>
        <v/>
      </c>
      <c r="G59" s="32"/>
      <c r="H59" s="26"/>
      <c r="I59" s="26"/>
    </row>
    <row r="60" customFormat="false" ht="15" hidden="false" customHeight="false" outlineLevel="0" collapsed="false">
      <c r="A60" s="28"/>
      <c r="B60" s="26"/>
      <c r="C60" s="26"/>
      <c r="D60" s="32"/>
      <c r="E60" s="76"/>
      <c r="F60" s="41" t="str">
        <f aca="false">IF(D60="","",D60*E60)</f>
        <v/>
      </c>
      <c r="G60" s="32"/>
      <c r="H60" s="26"/>
      <c r="I60" s="26"/>
    </row>
    <row r="61" customFormat="false" ht="15" hidden="false" customHeight="false" outlineLevel="0" collapsed="false">
      <c r="A61" s="28"/>
      <c r="B61" s="26"/>
      <c r="C61" s="26"/>
      <c r="D61" s="32"/>
      <c r="E61" s="76"/>
      <c r="F61" s="41" t="str">
        <f aca="false">IF(D61="","",D61*E61)</f>
        <v/>
      </c>
      <c r="G61" s="32"/>
      <c r="H61" s="26"/>
      <c r="I61" s="26"/>
    </row>
    <row r="62" customFormat="false" ht="15" hidden="false" customHeight="false" outlineLevel="0" collapsed="false">
      <c r="A62" s="28"/>
      <c r="B62" s="26"/>
      <c r="C62" s="26"/>
      <c r="D62" s="32"/>
      <c r="E62" s="76"/>
      <c r="F62" s="41" t="str">
        <f aca="false">IF(D62="","",D62*E62)</f>
        <v/>
      </c>
      <c r="G62" s="32"/>
      <c r="H62" s="26"/>
      <c r="I62" s="26"/>
    </row>
    <row r="63" customFormat="false" ht="15" hidden="false" customHeight="false" outlineLevel="0" collapsed="false">
      <c r="A63" s="28"/>
      <c r="B63" s="26"/>
      <c r="C63" s="26"/>
      <c r="D63" s="32"/>
      <c r="E63" s="76"/>
      <c r="F63" s="41" t="str">
        <f aca="false">IF(D63="","",D63*E63)</f>
        <v/>
      </c>
      <c r="G63" s="32"/>
      <c r="H63" s="26"/>
      <c r="I63" s="26"/>
    </row>
    <row r="64" customFormat="false" ht="15" hidden="false" customHeight="false" outlineLevel="0" collapsed="false">
      <c r="A64" s="28"/>
      <c r="B64" s="26"/>
      <c r="C64" s="26"/>
      <c r="D64" s="32"/>
      <c r="E64" s="76"/>
      <c r="F64" s="41" t="str">
        <f aca="false">IF(D64="","",D64*E64)</f>
        <v/>
      </c>
      <c r="G64" s="32"/>
      <c r="H64" s="26"/>
      <c r="I64" s="26"/>
    </row>
    <row r="65" customFormat="false" ht="15" hidden="false" customHeight="false" outlineLevel="0" collapsed="false">
      <c r="A65" s="28"/>
      <c r="B65" s="26"/>
      <c r="C65" s="26"/>
      <c r="D65" s="32"/>
      <c r="E65" s="76"/>
      <c r="F65" s="41" t="str">
        <f aca="false">IF(D65="","",D65*E65)</f>
        <v/>
      </c>
      <c r="G65" s="32"/>
      <c r="H65" s="26"/>
      <c r="I65" s="26"/>
    </row>
    <row r="66" customFormat="false" ht="15" hidden="false" customHeight="false" outlineLevel="0" collapsed="false">
      <c r="A66" s="28"/>
      <c r="B66" s="26"/>
      <c r="C66" s="26"/>
      <c r="D66" s="32"/>
      <c r="E66" s="76"/>
      <c r="F66" s="41" t="str">
        <f aca="false">IF(D66="","",D66*E66)</f>
        <v/>
      </c>
      <c r="G66" s="32"/>
      <c r="H66" s="26"/>
      <c r="I66" s="26"/>
    </row>
    <row r="67" customFormat="false" ht="15" hidden="false" customHeight="false" outlineLevel="0" collapsed="false">
      <c r="A67" s="28"/>
      <c r="B67" s="26"/>
      <c r="C67" s="26"/>
      <c r="D67" s="32"/>
      <c r="E67" s="76"/>
      <c r="F67" s="41" t="str">
        <f aca="false">IF(D67="","",D67*E67)</f>
        <v/>
      </c>
      <c r="G67" s="32"/>
      <c r="H67" s="26"/>
      <c r="I67" s="26"/>
    </row>
    <row r="68" customFormat="false" ht="15" hidden="false" customHeight="false" outlineLevel="0" collapsed="false">
      <c r="A68" s="28"/>
      <c r="B68" s="26"/>
      <c r="C68" s="26"/>
      <c r="D68" s="32"/>
      <c r="E68" s="76"/>
      <c r="F68" s="41" t="str">
        <f aca="false">IF(D68="","",D68*E68)</f>
        <v/>
      </c>
      <c r="G68" s="32"/>
      <c r="H68" s="26"/>
      <c r="I68" s="26"/>
    </row>
    <row r="69" customFormat="false" ht="15" hidden="false" customHeight="false" outlineLevel="0" collapsed="false">
      <c r="A69" s="28"/>
      <c r="B69" s="26"/>
      <c r="C69" s="26"/>
      <c r="D69" s="32"/>
      <c r="E69" s="76"/>
      <c r="F69" s="41" t="str">
        <f aca="false">IF(D69="","",D69*E69)</f>
        <v/>
      </c>
      <c r="G69" s="32"/>
      <c r="H69" s="26"/>
      <c r="I69" s="26"/>
    </row>
    <row r="70" customFormat="false" ht="15" hidden="false" customHeight="false" outlineLevel="0" collapsed="false">
      <c r="A70" s="28"/>
      <c r="B70" s="26"/>
      <c r="C70" s="26"/>
      <c r="D70" s="32"/>
      <c r="E70" s="76"/>
      <c r="F70" s="41" t="str">
        <f aca="false">IF(D70="","",D70*E70)</f>
        <v/>
      </c>
      <c r="G70" s="32"/>
      <c r="H70" s="26"/>
      <c r="I70" s="26"/>
    </row>
    <row r="71" customFormat="false" ht="15" hidden="false" customHeight="false" outlineLevel="0" collapsed="false">
      <c r="A71" s="28"/>
      <c r="B71" s="26"/>
      <c r="C71" s="26"/>
      <c r="D71" s="32"/>
      <c r="E71" s="76"/>
      <c r="F71" s="41" t="str">
        <f aca="false">IF(D71="","",D71*E71)</f>
        <v/>
      </c>
      <c r="G71" s="32"/>
      <c r="H71" s="26"/>
      <c r="I71" s="26"/>
    </row>
    <row r="72" customFormat="false" ht="15" hidden="false" customHeight="false" outlineLevel="0" collapsed="false">
      <c r="A72" s="28"/>
      <c r="B72" s="26"/>
      <c r="C72" s="26"/>
      <c r="D72" s="32"/>
      <c r="E72" s="76"/>
      <c r="F72" s="41" t="str">
        <f aca="false">IF(D72="","",D72*E72)</f>
        <v/>
      </c>
      <c r="G72" s="32"/>
      <c r="H72" s="26"/>
      <c r="I72" s="26"/>
    </row>
    <row r="73" customFormat="false" ht="15" hidden="false" customHeight="false" outlineLevel="0" collapsed="false">
      <c r="A73" s="28"/>
      <c r="B73" s="26"/>
      <c r="C73" s="26"/>
      <c r="D73" s="32"/>
      <c r="E73" s="76"/>
      <c r="F73" s="41" t="str">
        <f aca="false">IF(D73="","",D73*E73)</f>
        <v/>
      </c>
      <c r="G73" s="32"/>
      <c r="H73" s="26"/>
      <c r="I73" s="26"/>
    </row>
    <row r="74" customFormat="false" ht="15" hidden="false" customHeight="false" outlineLevel="0" collapsed="false">
      <c r="A74" s="28"/>
      <c r="B74" s="26"/>
      <c r="C74" s="26"/>
      <c r="D74" s="32"/>
      <c r="E74" s="76"/>
      <c r="F74" s="41" t="str">
        <f aca="false">IF(D74="","",D74*E74)</f>
        <v/>
      </c>
      <c r="G74" s="32"/>
      <c r="H74" s="26"/>
      <c r="I74" s="26"/>
    </row>
    <row r="75" customFormat="false" ht="15" hidden="false" customHeight="false" outlineLevel="0" collapsed="false">
      <c r="A75" s="28"/>
      <c r="B75" s="26"/>
      <c r="C75" s="26"/>
      <c r="D75" s="32"/>
      <c r="E75" s="76"/>
      <c r="F75" s="41" t="str">
        <f aca="false">IF(D75="","",D75*E75)</f>
        <v/>
      </c>
      <c r="G75" s="32"/>
      <c r="H75" s="26"/>
      <c r="I75" s="26"/>
    </row>
    <row r="76" customFormat="false" ht="15" hidden="false" customHeight="false" outlineLevel="0" collapsed="false">
      <c r="A76" s="28"/>
      <c r="B76" s="26"/>
      <c r="C76" s="26"/>
      <c r="D76" s="32"/>
      <c r="E76" s="76"/>
      <c r="F76" s="41" t="str">
        <f aca="false">IF(D76="","",D76*E76)</f>
        <v/>
      </c>
      <c r="G76" s="32"/>
      <c r="H76" s="26"/>
      <c r="I76" s="26"/>
    </row>
    <row r="77" customFormat="false" ht="15" hidden="false" customHeight="false" outlineLevel="0" collapsed="false">
      <c r="A77" s="28"/>
      <c r="B77" s="26"/>
      <c r="C77" s="26"/>
      <c r="D77" s="32"/>
      <c r="E77" s="76"/>
      <c r="F77" s="41" t="str">
        <f aca="false">IF(D77="","",D77*E77)</f>
        <v/>
      </c>
      <c r="G77" s="32"/>
      <c r="H77" s="26"/>
      <c r="I77" s="26"/>
    </row>
    <row r="78" customFormat="false" ht="15" hidden="false" customHeight="false" outlineLevel="0" collapsed="false">
      <c r="A78" s="28"/>
      <c r="B78" s="26"/>
      <c r="C78" s="26"/>
      <c r="D78" s="32"/>
      <c r="E78" s="76"/>
      <c r="F78" s="41" t="str">
        <f aca="false">IF(D78="","",D78*E78)</f>
        <v/>
      </c>
      <c r="G78" s="32"/>
      <c r="H78" s="26"/>
      <c r="I78" s="26"/>
    </row>
    <row r="79" customFormat="false" ht="15" hidden="false" customHeight="false" outlineLevel="0" collapsed="false">
      <c r="A79" s="28"/>
      <c r="B79" s="26"/>
      <c r="C79" s="26"/>
      <c r="D79" s="32"/>
      <c r="E79" s="76"/>
      <c r="F79" s="41" t="str">
        <f aca="false">IF(D79="","",D79*E79)</f>
        <v/>
      </c>
      <c r="G79" s="32"/>
      <c r="H79" s="26"/>
      <c r="I79" s="26"/>
    </row>
    <row r="80" customFormat="false" ht="15" hidden="false" customHeight="false" outlineLevel="0" collapsed="false">
      <c r="A80" s="28"/>
      <c r="B80" s="26"/>
      <c r="C80" s="26"/>
      <c r="D80" s="32"/>
      <c r="E80" s="76"/>
      <c r="F80" s="41" t="str">
        <f aca="false">IF(D80="","",D80*E80)</f>
        <v/>
      </c>
      <c r="G80" s="32"/>
      <c r="H80" s="26"/>
      <c r="I80" s="26"/>
    </row>
    <row r="81" customFormat="false" ht="15" hidden="false" customHeight="false" outlineLevel="0" collapsed="false">
      <c r="A81" s="28"/>
      <c r="B81" s="26"/>
      <c r="C81" s="26"/>
      <c r="D81" s="32"/>
      <c r="E81" s="76"/>
      <c r="F81" s="41" t="str">
        <f aca="false">IF(D81="","",D81*E81)</f>
        <v/>
      </c>
      <c r="G81" s="32"/>
      <c r="H81" s="26"/>
      <c r="I81" s="26"/>
    </row>
    <row r="82" customFormat="false" ht="15" hidden="false" customHeight="false" outlineLevel="0" collapsed="false">
      <c r="A82" s="28"/>
      <c r="B82" s="26"/>
      <c r="C82" s="26"/>
      <c r="D82" s="32"/>
      <c r="E82" s="76"/>
      <c r="F82" s="41" t="str">
        <f aca="false">IF(D82="","",D82*E82)</f>
        <v/>
      </c>
      <c r="G82" s="32"/>
      <c r="H82" s="26"/>
      <c r="I82" s="26"/>
    </row>
    <row r="83" customFormat="false" ht="15" hidden="false" customHeight="false" outlineLevel="0" collapsed="false">
      <c r="A83" s="28"/>
      <c r="B83" s="26"/>
      <c r="C83" s="26"/>
      <c r="D83" s="32"/>
      <c r="E83" s="76"/>
      <c r="F83" s="41" t="str">
        <f aca="false">IF(D83="","",D83*E83)</f>
        <v/>
      </c>
      <c r="G83" s="32"/>
      <c r="H83" s="26"/>
      <c r="I83" s="26"/>
    </row>
    <row r="84" customFormat="false" ht="15" hidden="false" customHeight="false" outlineLevel="0" collapsed="false">
      <c r="A84" s="28"/>
      <c r="B84" s="26"/>
      <c r="C84" s="26"/>
      <c r="D84" s="32"/>
      <c r="E84" s="76"/>
      <c r="F84" s="41" t="str">
        <f aca="false">IF(D84="","",D84*E84)</f>
        <v/>
      </c>
      <c r="G84" s="32"/>
      <c r="H84" s="26"/>
      <c r="I84" s="26"/>
    </row>
    <row r="85" customFormat="false" ht="15" hidden="false" customHeight="false" outlineLevel="0" collapsed="false">
      <c r="A85" s="28"/>
      <c r="B85" s="26"/>
      <c r="C85" s="26"/>
      <c r="D85" s="32"/>
      <c r="E85" s="76"/>
      <c r="F85" s="41" t="str">
        <f aca="false">IF(D85="","",D85*E85)</f>
        <v/>
      </c>
      <c r="G85" s="32"/>
      <c r="H85" s="26"/>
      <c r="I85" s="26"/>
    </row>
    <row r="86" customFormat="false" ht="15" hidden="false" customHeight="false" outlineLevel="0" collapsed="false">
      <c r="A86" s="28"/>
      <c r="B86" s="26"/>
      <c r="C86" s="26"/>
      <c r="D86" s="32"/>
      <c r="E86" s="76"/>
      <c r="F86" s="41" t="str">
        <f aca="false">IF(D86="","",D86*E86)</f>
        <v/>
      </c>
      <c r="G86" s="32"/>
      <c r="H86" s="26"/>
      <c r="I86" s="26"/>
    </row>
    <row r="87" customFormat="false" ht="15" hidden="false" customHeight="false" outlineLevel="0" collapsed="false">
      <c r="A87" s="28"/>
      <c r="B87" s="26"/>
      <c r="C87" s="26"/>
      <c r="D87" s="32"/>
      <c r="E87" s="76"/>
      <c r="F87" s="41" t="str">
        <f aca="false">IF(D87="","",D87*E87)</f>
        <v/>
      </c>
      <c r="G87" s="32"/>
      <c r="H87" s="26"/>
      <c r="I87" s="26"/>
    </row>
    <row r="88" customFormat="false" ht="15" hidden="false" customHeight="false" outlineLevel="0" collapsed="false">
      <c r="A88" s="28"/>
      <c r="B88" s="26"/>
      <c r="C88" s="26"/>
      <c r="D88" s="32"/>
      <c r="E88" s="76"/>
      <c r="F88" s="41" t="str">
        <f aca="false">IF(D88="","",D88*E88)</f>
        <v/>
      </c>
      <c r="G88" s="32"/>
      <c r="H88" s="26"/>
      <c r="I88" s="26"/>
    </row>
    <row r="89" customFormat="false" ht="15" hidden="false" customHeight="false" outlineLevel="0" collapsed="false">
      <c r="A89" s="28"/>
      <c r="B89" s="26"/>
      <c r="C89" s="26"/>
      <c r="D89" s="32"/>
      <c r="E89" s="76"/>
      <c r="F89" s="41" t="str">
        <f aca="false">IF(D89="","",D89*E89)</f>
        <v/>
      </c>
      <c r="G89" s="32"/>
      <c r="H89" s="26"/>
      <c r="I89" s="26"/>
    </row>
    <row r="90" customFormat="false" ht="15" hidden="false" customHeight="false" outlineLevel="0" collapsed="false">
      <c r="A90" s="28"/>
      <c r="B90" s="26"/>
      <c r="C90" s="26"/>
      <c r="D90" s="32"/>
      <c r="E90" s="76"/>
      <c r="F90" s="41" t="str">
        <f aca="false">IF(D90="","",D90*E90)</f>
        <v/>
      </c>
      <c r="G90" s="32"/>
      <c r="H90" s="26"/>
      <c r="I90" s="26"/>
    </row>
    <row r="91" customFormat="false" ht="15" hidden="false" customHeight="false" outlineLevel="0" collapsed="false">
      <c r="A91" s="28"/>
      <c r="B91" s="26"/>
      <c r="C91" s="26"/>
      <c r="D91" s="32"/>
      <c r="E91" s="76"/>
      <c r="F91" s="41" t="str">
        <f aca="false">IF(D91="","",D91*E91)</f>
        <v/>
      </c>
      <c r="G91" s="32"/>
      <c r="H91" s="26"/>
      <c r="I91" s="26"/>
    </row>
    <row r="92" customFormat="false" ht="15" hidden="false" customHeight="false" outlineLevel="0" collapsed="false">
      <c r="A92" s="28"/>
      <c r="B92" s="26"/>
      <c r="C92" s="26"/>
      <c r="D92" s="32"/>
      <c r="E92" s="76"/>
      <c r="F92" s="41" t="str">
        <f aca="false">IF(D92="","",D92*E92)</f>
        <v/>
      </c>
      <c r="G92" s="32"/>
      <c r="H92" s="26"/>
      <c r="I92" s="26"/>
    </row>
    <row r="93" customFormat="false" ht="15" hidden="false" customHeight="false" outlineLevel="0" collapsed="false">
      <c r="A93" s="28"/>
      <c r="B93" s="26"/>
      <c r="C93" s="26"/>
      <c r="D93" s="32"/>
      <c r="E93" s="76"/>
      <c r="F93" s="41" t="str">
        <f aca="false">IF(D93="","",D93*E93)</f>
        <v/>
      </c>
      <c r="G93" s="32"/>
      <c r="H93" s="26"/>
      <c r="I93" s="26"/>
    </row>
    <row r="94" customFormat="false" ht="15" hidden="false" customHeight="false" outlineLevel="0" collapsed="false">
      <c r="A94" s="28"/>
      <c r="B94" s="26"/>
      <c r="C94" s="26"/>
      <c r="D94" s="32"/>
      <c r="E94" s="76"/>
      <c r="F94" s="41" t="str">
        <f aca="false">IF(D94="","",D94*E94)</f>
        <v/>
      </c>
      <c r="G94" s="32"/>
      <c r="H94" s="26"/>
      <c r="I94" s="26"/>
    </row>
    <row r="95" customFormat="false" ht="15" hidden="false" customHeight="false" outlineLevel="0" collapsed="false">
      <c r="A95" s="28"/>
      <c r="B95" s="26"/>
      <c r="C95" s="26"/>
      <c r="D95" s="32"/>
      <c r="E95" s="76"/>
      <c r="F95" s="41" t="str">
        <f aca="false">IF(D95="","",D95*E95)</f>
        <v/>
      </c>
      <c r="G95" s="32"/>
      <c r="H95" s="26"/>
      <c r="I95" s="26"/>
    </row>
    <row r="96" customFormat="false" ht="15" hidden="false" customHeight="false" outlineLevel="0" collapsed="false">
      <c r="A96" s="28"/>
      <c r="B96" s="26"/>
      <c r="C96" s="26"/>
      <c r="D96" s="32"/>
      <c r="E96" s="76"/>
      <c r="F96" s="41" t="str">
        <f aca="false">IF(D96="","",D96*E96)</f>
        <v/>
      </c>
      <c r="G96" s="32"/>
      <c r="H96" s="26"/>
      <c r="I96" s="26"/>
    </row>
    <row r="97" customFormat="false" ht="15" hidden="false" customHeight="false" outlineLevel="0" collapsed="false">
      <c r="A97" s="28"/>
      <c r="B97" s="26"/>
      <c r="C97" s="26"/>
      <c r="D97" s="32"/>
      <c r="E97" s="76"/>
      <c r="F97" s="41" t="str">
        <f aca="false">IF(D97="","",D97*E97)</f>
        <v/>
      </c>
      <c r="G97" s="32"/>
      <c r="H97" s="26"/>
      <c r="I97" s="26"/>
    </row>
    <row r="98" customFormat="false" ht="15" hidden="false" customHeight="false" outlineLevel="0" collapsed="false">
      <c r="A98" s="28"/>
      <c r="B98" s="26"/>
      <c r="C98" s="26"/>
      <c r="D98" s="32"/>
      <c r="E98" s="76"/>
      <c r="F98" s="41" t="str">
        <f aca="false">IF(D98="","",D98*E98)</f>
        <v/>
      </c>
      <c r="G98" s="32"/>
      <c r="H98" s="26"/>
      <c r="I98" s="26"/>
    </row>
    <row r="99" customFormat="false" ht="15" hidden="false" customHeight="false" outlineLevel="0" collapsed="false">
      <c r="A99" s="28"/>
      <c r="B99" s="26"/>
      <c r="C99" s="26"/>
      <c r="D99" s="32"/>
      <c r="E99" s="76"/>
      <c r="F99" s="41" t="str">
        <f aca="false">IF(D99="","",D99*E99)</f>
        <v/>
      </c>
      <c r="G99" s="32"/>
      <c r="H99" s="26"/>
      <c r="I99" s="26"/>
    </row>
    <row r="100" customFormat="false" ht="15" hidden="false" customHeight="false" outlineLevel="0" collapsed="false">
      <c r="A100" s="28"/>
      <c r="B100" s="26"/>
      <c r="C100" s="26"/>
      <c r="D100" s="32"/>
      <c r="E100" s="76"/>
      <c r="F100" s="41" t="str">
        <f aca="false">IF(D100="","",D100*E100)</f>
        <v/>
      </c>
      <c r="G100" s="32"/>
      <c r="H100" s="26"/>
      <c r="I100" s="26"/>
    </row>
    <row r="101" customFormat="false" ht="15" hidden="false" customHeight="false" outlineLevel="0" collapsed="false">
      <c r="A101" s="28"/>
      <c r="B101" s="26"/>
      <c r="C101" s="26"/>
      <c r="D101" s="32"/>
      <c r="E101" s="76"/>
      <c r="F101" s="41" t="str">
        <f aca="false">IF(D101="","",D101*E101)</f>
        <v/>
      </c>
      <c r="G101" s="32"/>
      <c r="H101" s="26"/>
      <c r="I101" s="26"/>
    </row>
    <row r="102" customFormat="false" ht="15" hidden="false" customHeight="false" outlineLevel="0" collapsed="false">
      <c r="A102" s="28"/>
      <c r="B102" s="26"/>
      <c r="C102" s="26"/>
      <c r="D102" s="32"/>
      <c r="E102" s="76"/>
      <c r="F102" s="41" t="str">
        <f aca="false">IF(D102="","",D102*E102)</f>
        <v/>
      </c>
      <c r="G102" s="32"/>
      <c r="H102" s="26"/>
      <c r="I102" s="26"/>
    </row>
    <row r="103" customFormat="false" ht="15" hidden="false" customHeight="false" outlineLevel="0" collapsed="false">
      <c r="A103" s="28"/>
      <c r="B103" s="26"/>
      <c r="C103" s="26"/>
      <c r="D103" s="32"/>
      <c r="E103" s="76"/>
      <c r="F103" s="41" t="str">
        <f aca="false">IF(D103="","",D103*E103)</f>
        <v/>
      </c>
      <c r="G103" s="32"/>
      <c r="H103" s="26"/>
      <c r="I103" s="26"/>
    </row>
    <row r="104" customFormat="false" ht="15" hidden="false" customHeight="false" outlineLevel="0" collapsed="false">
      <c r="A104" s="28"/>
      <c r="B104" s="26"/>
      <c r="C104" s="26"/>
      <c r="D104" s="32"/>
      <c r="E104" s="76"/>
      <c r="F104" s="41" t="str">
        <f aca="false">IF(D104="","",D104*E104)</f>
        <v/>
      </c>
      <c r="G104" s="32"/>
      <c r="H104" s="26"/>
      <c r="I104" s="26"/>
    </row>
    <row r="105" customFormat="false" ht="15" hidden="false" customHeight="false" outlineLevel="0" collapsed="false">
      <c r="A105" s="28"/>
      <c r="B105" s="26"/>
      <c r="C105" s="26"/>
      <c r="D105" s="32"/>
      <c r="E105" s="76"/>
      <c r="F105" s="41" t="str">
        <f aca="false">IF(D105="","",D105*E105)</f>
        <v/>
      </c>
      <c r="G105" s="32"/>
      <c r="H105" s="26"/>
      <c r="I105" s="26"/>
    </row>
    <row r="106" customFormat="false" ht="15" hidden="false" customHeight="false" outlineLevel="0" collapsed="false">
      <c r="A106" s="28"/>
      <c r="B106" s="26"/>
      <c r="C106" s="26"/>
      <c r="D106" s="32"/>
      <c r="E106" s="76"/>
      <c r="F106" s="41" t="str">
        <f aca="false">IF(D106="","",D106*E106)</f>
        <v/>
      </c>
      <c r="G106" s="32"/>
      <c r="H106" s="26"/>
      <c r="I106" s="26"/>
    </row>
    <row r="107" customFormat="false" ht="15" hidden="false" customHeight="false" outlineLevel="0" collapsed="false">
      <c r="A107" s="28"/>
      <c r="B107" s="26"/>
      <c r="C107" s="26"/>
      <c r="D107" s="32"/>
      <c r="E107" s="76"/>
      <c r="F107" s="41" t="str">
        <f aca="false">IF(D107="","",D107*E107)</f>
        <v/>
      </c>
      <c r="G107" s="32"/>
      <c r="H107" s="26"/>
      <c r="I107" s="26"/>
    </row>
    <row r="108" customFormat="false" ht="15" hidden="false" customHeight="false" outlineLevel="0" collapsed="false">
      <c r="A108" s="28"/>
      <c r="B108" s="26"/>
      <c r="C108" s="26"/>
      <c r="D108" s="32"/>
      <c r="E108" s="76"/>
      <c r="F108" s="41" t="str">
        <f aca="false">IF(D108="","",D108*E108)</f>
        <v/>
      </c>
      <c r="G108" s="32"/>
      <c r="H108" s="26"/>
      <c r="I108" s="26"/>
    </row>
    <row r="109" customFormat="false" ht="15" hidden="false" customHeight="false" outlineLevel="0" collapsed="false">
      <c r="A109" s="28"/>
      <c r="B109" s="26"/>
      <c r="C109" s="26"/>
      <c r="D109" s="32"/>
      <c r="E109" s="76"/>
      <c r="F109" s="41" t="str">
        <f aca="false">IF(D109="","",D109*E109)</f>
        <v/>
      </c>
      <c r="G109" s="32"/>
      <c r="H109" s="26"/>
      <c r="I109" s="26"/>
    </row>
    <row r="110" customFormat="false" ht="15" hidden="false" customHeight="false" outlineLevel="0" collapsed="false">
      <c r="A110" s="28"/>
      <c r="B110" s="26"/>
      <c r="C110" s="26"/>
      <c r="D110" s="32"/>
      <c r="E110" s="76"/>
      <c r="F110" s="41" t="str">
        <f aca="false">IF(D110="","",D110*E110)</f>
        <v/>
      </c>
      <c r="G110" s="32"/>
      <c r="H110" s="26"/>
      <c r="I110" s="26"/>
    </row>
    <row r="111" customFormat="false" ht="15" hidden="false" customHeight="false" outlineLevel="0" collapsed="false">
      <c r="A111" s="28"/>
      <c r="B111" s="26"/>
      <c r="C111" s="26"/>
      <c r="D111" s="32"/>
      <c r="E111" s="76"/>
      <c r="F111" s="41" t="str">
        <f aca="false">IF(D111="","",D111*E111)</f>
        <v/>
      </c>
      <c r="G111" s="32"/>
      <c r="H111" s="26"/>
      <c r="I111" s="26"/>
    </row>
    <row r="112" customFormat="false" ht="15" hidden="false" customHeight="false" outlineLevel="0" collapsed="false">
      <c r="A112" s="28"/>
      <c r="B112" s="26"/>
      <c r="C112" s="26"/>
      <c r="D112" s="32"/>
      <c r="E112" s="76"/>
      <c r="F112" s="41" t="str">
        <f aca="false">IF(D112="","",D112*E112)</f>
        <v/>
      </c>
      <c r="G112" s="32"/>
      <c r="H112" s="26"/>
      <c r="I112" s="26"/>
    </row>
    <row r="113" customFormat="false" ht="15" hidden="false" customHeight="false" outlineLevel="0" collapsed="false">
      <c r="A113" s="28"/>
      <c r="B113" s="26"/>
      <c r="C113" s="26"/>
      <c r="D113" s="32"/>
      <c r="E113" s="76"/>
      <c r="F113" s="41" t="str">
        <f aca="false">IF(D113="","",D113*E113)</f>
        <v/>
      </c>
      <c r="G113" s="32"/>
      <c r="H113" s="26"/>
      <c r="I113" s="26"/>
    </row>
    <row r="114" customFormat="false" ht="15" hidden="false" customHeight="false" outlineLevel="0" collapsed="false">
      <c r="A114" s="28"/>
      <c r="B114" s="26"/>
      <c r="C114" s="26"/>
      <c r="D114" s="32"/>
      <c r="E114" s="76"/>
      <c r="F114" s="41" t="str">
        <f aca="false">IF(D114="","",D114*E114)</f>
        <v/>
      </c>
      <c r="G114" s="32"/>
      <c r="H114" s="26"/>
      <c r="I114" s="26"/>
    </row>
    <row r="115" customFormat="false" ht="15" hidden="false" customHeight="false" outlineLevel="0" collapsed="false">
      <c r="A115" s="28"/>
      <c r="B115" s="26"/>
      <c r="C115" s="26"/>
      <c r="D115" s="32"/>
      <c r="E115" s="76"/>
      <c r="F115" s="41" t="str">
        <f aca="false">IF(D115="","",D115*E115)</f>
        <v/>
      </c>
      <c r="G115" s="32"/>
      <c r="H115" s="26"/>
      <c r="I115" s="26"/>
    </row>
    <row r="116" customFormat="false" ht="15" hidden="false" customHeight="false" outlineLevel="0" collapsed="false">
      <c r="A116" s="28"/>
      <c r="B116" s="26"/>
      <c r="C116" s="26"/>
      <c r="D116" s="32"/>
      <c r="E116" s="76"/>
      <c r="F116" s="41" t="str">
        <f aca="false">IF(D116="","",D116*E116)</f>
        <v/>
      </c>
      <c r="G116" s="32"/>
      <c r="H116" s="26"/>
      <c r="I116" s="26"/>
    </row>
    <row r="117" customFormat="false" ht="15" hidden="false" customHeight="false" outlineLevel="0" collapsed="false">
      <c r="A117" s="28"/>
      <c r="B117" s="26"/>
      <c r="C117" s="26"/>
      <c r="D117" s="32"/>
      <c r="E117" s="76"/>
      <c r="F117" s="41" t="str">
        <f aca="false">IF(D117="","",D117*E117)</f>
        <v/>
      </c>
      <c r="G117" s="32"/>
      <c r="H117" s="26"/>
      <c r="I117" s="26"/>
    </row>
    <row r="118" customFormat="false" ht="15" hidden="false" customHeight="false" outlineLevel="0" collapsed="false">
      <c r="A118" s="28"/>
      <c r="B118" s="26"/>
      <c r="C118" s="26"/>
      <c r="D118" s="32"/>
      <c r="E118" s="76"/>
      <c r="F118" s="41" t="str">
        <f aca="false">IF(D118="","",D118*E118)</f>
        <v/>
      </c>
      <c r="G118" s="32"/>
      <c r="H118" s="26"/>
      <c r="I118" s="26"/>
    </row>
    <row r="119" customFormat="false" ht="15" hidden="false" customHeight="false" outlineLevel="0" collapsed="false">
      <c r="A119" s="28"/>
      <c r="B119" s="26"/>
      <c r="C119" s="26"/>
      <c r="D119" s="32"/>
      <c r="E119" s="76"/>
      <c r="F119" s="41" t="str">
        <f aca="false">IF(D119="","",D119*E119)</f>
        <v/>
      </c>
      <c r="G119" s="32"/>
      <c r="H119" s="26"/>
      <c r="I119" s="26"/>
    </row>
    <row r="120" customFormat="false" ht="15" hidden="false" customHeight="false" outlineLevel="0" collapsed="false">
      <c r="A120" s="28"/>
      <c r="B120" s="26"/>
      <c r="C120" s="26"/>
      <c r="D120" s="32"/>
      <c r="E120" s="76"/>
      <c r="F120" s="41" t="str">
        <f aca="false">IF(D120="","",D120*E120)</f>
        <v/>
      </c>
      <c r="G120" s="32"/>
      <c r="H120" s="26"/>
      <c r="I120" s="26"/>
    </row>
    <row r="121" customFormat="false" ht="15" hidden="false" customHeight="false" outlineLevel="0" collapsed="false">
      <c r="A121" s="28"/>
      <c r="B121" s="26"/>
      <c r="C121" s="26"/>
      <c r="D121" s="32"/>
      <c r="E121" s="76"/>
      <c r="F121" s="41" t="str">
        <f aca="false">IF(D121="","",D121*E121)</f>
        <v/>
      </c>
      <c r="G121" s="32"/>
      <c r="H121" s="26"/>
      <c r="I121" s="26"/>
    </row>
    <row r="122" customFormat="false" ht="15" hidden="false" customHeight="false" outlineLevel="0" collapsed="false">
      <c r="A122" s="28"/>
      <c r="B122" s="26"/>
      <c r="C122" s="26"/>
      <c r="D122" s="32"/>
      <c r="E122" s="76"/>
      <c r="F122" s="41" t="str">
        <f aca="false">IF(D122="","",D122*E122)</f>
        <v/>
      </c>
      <c r="G122" s="32"/>
      <c r="H122" s="26"/>
      <c r="I122" s="26"/>
    </row>
    <row r="123" customFormat="false" ht="15" hidden="false" customHeight="false" outlineLevel="0" collapsed="false">
      <c r="A123" s="28"/>
      <c r="B123" s="26"/>
      <c r="C123" s="26"/>
      <c r="D123" s="32"/>
      <c r="E123" s="76"/>
      <c r="F123" s="41" t="str">
        <f aca="false">IF(D123="","",D123*E123)</f>
        <v/>
      </c>
      <c r="G123" s="32"/>
      <c r="H123" s="26"/>
      <c r="I123" s="26"/>
    </row>
    <row r="124" customFormat="false" ht="15" hidden="false" customHeight="false" outlineLevel="0" collapsed="false">
      <c r="A124" s="28"/>
      <c r="B124" s="26"/>
      <c r="C124" s="26"/>
      <c r="D124" s="32"/>
      <c r="E124" s="76"/>
      <c r="F124" s="41" t="str">
        <f aca="false">IF(D124="","",D124*E124)</f>
        <v/>
      </c>
      <c r="G124" s="32"/>
      <c r="H124" s="26"/>
      <c r="I124" s="26"/>
    </row>
    <row r="125" customFormat="false" ht="15" hidden="false" customHeight="false" outlineLevel="0" collapsed="false">
      <c r="A125" s="28"/>
      <c r="B125" s="26"/>
      <c r="C125" s="26"/>
      <c r="D125" s="32"/>
      <c r="E125" s="76"/>
      <c r="F125" s="41" t="str">
        <f aca="false">IF(D125="","",D125*E125)</f>
        <v/>
      </c>
      <c r="G125" s="32"/>
      <c r="H125" s="26"/>
      <c r="I125" s="26"/>
    </row>
    <row r="126" customFormat="false" ht="15" hidden="false" customHeight="false" outlineLevel="0" collapsed="false">
      <c r="A126" s="28"/>
      <c r="B126" s="26"/>
      <c r="C126" s="26"/>
      <c r="D126" s="32"/>
      <c r="E126" s="76"/>
      <c r="F126" s="41" t="str">
        <f aca="false">IF(D126="","",D126*E126)</f>
        <v/>
      </c>
      <c r="G126" s="32"/>
      <c r="H126" s="26"/>
      <c r="I126" s="26"/>
    </row>
    <row r="127" customFormat="false" ht="15" hidden="false" customHeight="false" outlineLevel="0" collapsed="false">
      <c r="A127" s="28"/>
      <c r="B127" s="26"/>
      <c r="C127" s="26"/>
      <c r="D127" s="32"/>
      <c r="E127" s="76"/>
      <c r="F127" s="41" t="str">
        <f aca="false">IF(D127="","",D127*E127)</f>
        <v/>
      </c>
      <c r="G127" s="32"/>
      <c r="H127" s="26"/>
      <c r="I127" s="26"/>
    </row>
    <row r="128" customFormat="false" ht="15" hidden="false" customHeight="false" outlineLevel="0" collapsed="false">
      <c r="A128" s="28"/>
      <c r="B128" s="26"/>
      <c r="C128" s="26"/>
      <c r="D128" s="32"/>
      <c r="E128" s="76"/>
      <c r="F128" s="41" t="str">
        <f aca="false">IF(D128="","",D128*E128)</f>
        <v/>
      </c>
      <c r="G128" s="32"/>
      <c r="H128" s="26"/>
      <c r="I128" s="26"/>
    </row>
    <row r="129" customFormat="false" ht="15" hidden="false" customHeight="false" outlineLevel="0" collapsed="false">
      <c r="A129" s="28"/>
      <c r="B129" s="26"/>
      <c r="C129" s="26"/>
      <c r="D129" s="32"/>
      <c r="E129" s="76"/>
      <c r="F129" s="41" t="str">
        <f aca="false">IF(D129="","",D129*E129)</f>
        <v/>
      </c>
      <c r="G129" s="32"/>
      <c r="H129" s="26"/>
      <c r="I129" s="26"/>
    </row>
    <row r="130" customFormat="false" ht="15" hidden="false" customHeight="false" outlineLevel="0" collapsed="false">
      <c r="A130" s="28"/>
      <c r="B130" s="26"/>
      <c r="C130" s="26"/>
      <c r="D130" s="32"/>
      <c r="E130" s="76"/>
      <c r="F130" s="41" t="str">
        <f aca="false">IF(D130="","",D130*E130)</f>
        <v/>
      </c>
      <c r="G130" s="32"/>
      <c r="H130" s="26"/>
      <c r="I130" s="26"/>
    </row>
    <row r="131" customFormat="false" ht="15" hidden="false" customHeight="false" outlineLevel="0" collapsed="false">
      <c r="A131" s="28"/>
      <c r="B131" s="26"/>
      <c r="C131" s="26"/>
      <c r="D131" s="32"/>
      <c r="E131" s="76"/>
      <c r="F131" s="41" t="str">
        <f aca="false">IF(D131="","",D131*E131)</f>
        <v/>
      </c>
      <c r="G131" s="32"/>
      <c r="H131" s="26"/>
      <c r="I131" s="26"/>
    </row>
    <row r="132" customFormat="false" ht="15" hidden="false" customHeight="false" outlineLevel="0" collapsed="false">
      <c r="A132" s="28"/>
      <c r="B132" s="26"/>
      <c r="C132" s="26"/>
      <c r="D132" s="32"/>
      <c r="E132" s="76"/>
      <c r="F132" s="41" t="str">
        <f aca="false">IF(D132="","",D132*E132)</f>
        <v/>
      </c>
      <c r="G132" s="32"/>
      <c r="H132" s="26"/>
      <c r="I132" s="26"/>
    </row>
    <row r="133" customFormat="false" ht="15" hidden="false" customHeight="false" outlineLevel="0" collapsed="false">
      <c r="A133" s="28"/>
      <c r="B133" s="26"/>
      <c r="C133" s="26"/>
      <c r="D133" s="32"/>
      <c r="E133" s="76"/>
      <c r="F133" s="41" t="str">
        <f aca="false">IF(D133="","",D133*E133)</f>
        <v/>
      </c>
      <c r="G133" s="32"/>
      <c r="H133" s="26"/>
      <c r="I133" s="26"/>
    </row>
    <row r="134" customFormat="false" ht="15" hidden="false" customHeight="false" outlineLevel="0" collapsed="false">
      <c r="A134" s="28"/>
      <c r="B134" s="26"/>
      <c r="C134" s="26"/>
      <c r="D134" s="32"/>
      <c r="E134" s="76"/>
      <c r="F134" s="41" t="str">
        <f aca="false">IF(D134="","",D134*E134)</f>
        <v/>
      </c>
      <c r="G134" s="32"/>
      <c r="H134" s="26"/>
      <c r="I134" s="26"/>
    </row>
    <row r="135" customFormat="false" ht="15" hidden="false" customHeight="false" outlineLevel="0" collapsed="false">
      <c r="A135" s="28"/>
      <c r="B135" s="26"/>
      <c r="C135" s="26"/>
      <c r="D135" s="32"/>
      <c r="E135" s="76"/>
      <c r="F135" s="41" t="str">
        <f aca="false">IF(D135="","",D135*E135)</f>
        <v/>
      </c>
      <c r="G135" s="32"/>
      <c r="H135" s="26"/>
      <c r="I135" s="26"/>
    </row>
    <row r="136" customFormat="false" ht="15" hidden="false" customHeight="false" outlineLevel="0" collapsed="false">
      <c r="A136" s="28"/>
      <c r="B136" s="26"/>
      <c r="C136" s="26"/>
      <c r="D136" s="32"/>
      <c r="E136" s="76"/>
      <c r="F136" s="41" t="str">
        <f aca="false">IF(D136="","",D136*E136)</f>
        <v/>
      </c>
      <c r="G136" s="32"/>
      <c r="H136" s="26"/>
      <c r="I136" s="26"/>
    </row>
    <row r="137" customFormat="false" ht="15" hidden="false" customHeight="false" outlineLevel="0" collapsed="false">
      <c r="A137" s="28"/>
      <c r="B137" s="26"/>
      <c r="C137" s="26"/>
      <c r="D137" s="32"/>
      <c r="E137" s="76"/>
      <c r="F137" s="41" t="str">
        <f aca="false">IF(D137="","",D137*E137)</f>
        <v/>
      </c>
      <c r="G137" s="32"/>
      <c r="H137" s="26"/>
      <c r="I137" s="26"/>
    </row>
    <row r="138" customFormat="false" ht="15" hidden="false" customHeight="false" outlineLevel="0" collapsed="false">
      <c r="A138" s="28"/>
      <c r="B138" s="26"/>
      <c r="C138" s="26"/>
      <c r="D138" s="32"/>
      <c r="E138" s="76"/>
      <c r="F138" s="41" t="str">
        <f aca="false">IF(D138="","",D138*E138)</f>
        <v/>
      </c>
      <c r="G138" s="32"/>
      <c r="H138" s="26"/>
      <c r="I138" s="26"/>
    </row>
    <row r="139" customFormat="false" ht="15" hidden="false" customHeight="false" outlineLevel="0" collapsed="false">
      <c r="A139" s="28"/>
      <c r="B139" s="26"/>
      <c r="C139" s="26"/>
      <c r="D139" s="32"/>
      <c r="E139" s="76"/>
      <c r="F139" s="41" t="str">
        <f aca="false">IF(D139="","",D139*E139)</f>
        <v/>
      </c>
      <c r="G139" s="32"/>
      <c r="H139" s="26"/>
      <c r="I139" s="26"/>
    </row>
    <row r="140" customFormat="false" ht="15" hidden="false" customHeight="false" outlineLevel="0" collapsed="false">
      <c r="A140" s="28"/>
      <c r="B140" s="26"/>
      <c r="C140" s="26"/>
      <c r="D140" s="32"/>
      <c r="E140" s="76"/>
      <c r="F140" s="41" t="str">
        <f aca="false">IF(D140="","",D140*E140)</f>
        <v/>
      </c>
      <c r="G140" s="32"/>
      <c r="H140" s="26"/>
      <c r="I140" s="26"/>
    </row>
    <row r="141" customFormat="false" ht="15" hidden="false" customHeight="false" outlineLevel="0" collapsed="false">
      <c r="A141" s="28"/>
      <c r="B141" s="26"/>
      <c r="C141" s="26"/>
      <c r="D141" s="32"/>
      <c r="E141" s="76"/>
      <c r="F141" s="41" t="str">
        <f aca="false">IF(D141="","",D141*E141)</f>
        <v/>
      </c>
      <c r="G141" s="32"/>
      <c r="H141" s="26"/>
      <c r="I141" s="26"/>
    </row>
    <row r="142" customFormat="false" ht="15" hidden="false" customHeight="false" outlineLevel="0" collapsed="false">
      <c r="A142" s="28"/>
      <c r="B142" s="26"/>
      <c r="C142" s="26"/>
      <c r="D142" s="32"/>
      <c r="E142" s="76"/>
      <c r="F142" s="41" t="str">
        <f aca="false">IF(D142="","",D142*E142)</f>
        <v/>
      </c>
      <c r="G142" s="32"/>
      <c r="H142" s="26"/>
      <c r="I142" s="26"/>
    </row>
    <row r="143" customFormat="false" ht="15" hidden="false" customHeight="false" outlineLevel="0" collapsed="false">
      <c r="A143" s="28"/>
      <c r="B143" s="26"/>
      <c r="C143" s="26"/>
      <c r="D143" s="32"/>
      <c r="E143" s="76"/>
      <c r="F143" s="41" t="str">
        <f aca="false">IF(D143="","",D143*E143)</f>
        <v/>
      </c>
      <c r="G143" s="32"/>
      <c r="H143" s="26"/>
      <c r="I143" s="26"/>
    </row>
    <row r="144" customFormat="false" ht="15" hidden="false" customHeight="false" outlineLevel="0" collapsed="false">
      <c r="A144" s="28"/>
      <c r="B144" s="26"/>
      <c r="C144" s="26"/>
      <c r="D144" s="32"/>
      <c r="E144" s="76"/>
      <c r="F144" s="41" t="str">
        <f aca="false">IF(D144="","",D144*E144)</f>
        <v/>
      </c>
      <c r="G144" s="32"/>
      <c r="H144" s="26"/>
      <c r="I144" s="26"/>
    </row>
    <row r="145" customFormat="false" ht="15" hidden="false" customHeight="false" outlineLevel="0" collapsed="false">
      <c r="A145" s="28"/>
      <c r="B145" s="26"/>
      <c r="C145" s="26"/>
      <c r="D145" s="32"/>
      <c r="E145" s="76"/>
      <c r="F145" s="41" t="str">
        <f aca="false">IF(D145="","",D145*E145)</f>
        <v/>
      </c>
      <c r="G145" s="32"/>
      <c r="H145" s="26"/>
      <c r="I145" s="26"/>
    </row>
    <row r="146" customFormat="false" ht="15" hidden="false" customHeight="false" outlineLevel="0" collapsed="false">
      <c r="A146" s="28"/>
      <c r="B146" s="26"/>
      <c r="C146" s="26"/>
      <c r="D146" s="32"/>
      <c r="E146" s="76"/>
      <c r="F146" s="41" t="str">
        <f aca="false">IF(D146="","",D146*E146)</f>
        <v/>
      </c>
      <c r="G146" s="32"/>
      <c r="H146" s="26"/>
      <c r="I146" s="26"/>
    </row>
    <row r="147" customFormat="false" ht="15" hidden="false" customHeight="false" outlineLevel="0" collapsed="false">
      <c r="A147" s="28"/>
      <c r="B147" s="26"/>
      <c r="C147" s="26"/>
      <c r="D147" s="32"/>
      <c r="E147" s="76"/>
      <c r="F147" s="41" t="str">
        <f aca="false">IF(D147="","",D147*E147)</f>
        <v/>
      </c>
      <c r="G147" s="32"/>
      <c r="H147" s="26"/>
      <c r="I147" s="26"/>
    </row>
    <row r="148" customFormat="false" ht="15" hidden="false" customHeight="false" outlineLevel="0" collapsed="false">
      <c r="A148" s="28"/>
      <c r="B148" s="26"/>
      <c r="C148" s="26"/>
      <c r="D148" s="32"/>
      <c r="E148" s="76"/>
      <c r="F148" s="41" t="str">
        <f aca="false">IF(D148="","",D148*E148)</f>
        <v/>
      </c>
      <c r="G148" s="32"/>
      <c r="H148" s="26"/>
      <c r="I148" s="26"/>
    </row>
    <row r="149" customFormat="false" ht="15" hidden="false" customHeight="false" outlineLevel="0" collapsed="false">
      <c r="A149" s="28"/>
      <c r="B149" s="26"/>
      <c r="C149" s="26"/>
      <c r="D149" s="32"/>
      <c r="E149" s="76"/>
      <c r="F149" s="41" t="str">
        <f aca="false">IF(D149="","",D149*E149)</f>
        <v/>
      </c>
      <c r="G149" s="32"/>
      <c r="H149" s="26"/>
      <c r="I149" s="26"/>
    </row>
    <row r="150" customFormat="false" ht="15" hidden="false" customHeight="false" outlineLevel="0" collapsed="false">
      <c r="A150" s="28"/>
      <c r="B150" s="26"/>
      <c r="C150" s="26"/>
      <c r="D150" s="32"/>
      <c r="E150" s="76"/>
      <c r="F150" s="41" t="str">
        <f aca="false">IF(D150="","",D150*E150)</f>
        <v/>
      </c>
      <c r="G150" s="32"/>
      <c r="H150" s="26"/>
      <c r="I150" s="26"/>
    </row>
    <row r="151" customFormat="false" ht="15" hidden="false" customHeight="false" outlineLevel="0" collapsed="false">
      <c r="A151" s="28"/>
      <c r="B151" s="26"/>
      <c r="C151" s="26"/>
      <c r="D151" s="32"/>
      <c r="E151" s="76"/>
      <c r="F151" s="41" t="str">
        <f aca="false">IF(D151="","",D151*E151)</f>
        <v/>
      </c>
      <c r="G151" s="32"/>
      <c r="H151" s="26"/>
      <c r="I151" s="26"/>
    </row>
    <row r="152" customFormat="false" ht="15" hidden="false" customHeight="false" outlineLevel="0" collapsed="false">
      <c r="A152" s="28"/>
      <c r="B152" s="26"/>
      <c r="C152" s="26"/>
      <c r="D152" s="32"/>
      <c r="E152" s="76"/>
      <c r="F152" s="41" t="str">
        <f aca="false">IF(D152="","",D152*E152)</f>
        <v/>
      </c>
      <c r="G152" s="32"/>
      <c r="H152" s="26"/>
      <c r="I152" s="26"/>
    </row>
    <row r="153" customFormat="false" ht="15" hidden="false" customHeight="false" outlineLevel="0" collapsed="false">
      <c r="A153" s="28"/>
      <c r="B153" s="26"/>
      <c r="C153" s="26"/>
      <c r="D153" s="32"/>
      <c r="E153" s="76"/>
      <c r="F153" s="41" t="str">
        <f aca="false">IF(D153="","",D153*E153)</f>
        <v/>
      </c>
      <c r="G153" s="32"/>
      <c r="H153" s="26"/>
      <c r="I153" s="26"/>
    </row>
    <row r="154" customFormat="false" ht="15" hidden="false" customHeight="false" outlineLevel="0" collapsed="false">
      <c r="A154" s="28"/>
      <c r="B154" s="26"/>
      <c r="C154" s="26"/>
      <c r="D154" s="32"/>
      <c r="E154" s="76"/>
      <c r="F154" s="41" t="str">
        <f aca="false">IF(D154="","",D154*E154)</f>
        <v/>
      </c>
      <c r="G154" s="32"/>
      <c r="H154" s="26"/>
      <c r="I154" s="26"/>
    </row>
    <row r="155" customFormat="false" ht="15" hidden="false" customHeight="false" outlineLevel="0" collapsed="false">
      <c r="A155" s="28"/>
      <c r="B155" s="26"/>
      <c r="C155" s="26"/>
      <c r="D155" s="32"/>
      <c r="E155" s="76"/>
      <c r="F155" s="41" t="str">
        <f aca="false">IF(D155="","",D155*E155)</f>
        <v/>
      </c>
      <c r="G155" s="32"/>
      <c r="H155" s="26"/>
      <c r="I155" s="26"/>
    </row>
    <row r="156" customFormat="false" ht="15" hidden="false" customHeight="false" outlineLevel="0" collapsed="false">
      <c r="A156" s="28"/>
      <c r="B156" s="26"/>
      <c r="C156" s="26"/>
      <c r="D156" s="32"/>
      <c r="E156" s="76"/>
      <c r="F156" s="41" t="str">
        <f aca="false">IF(D156="","",D156*E156)</f>
        <v/>
      </c>
      <c r="G156" s="32"/>
      <c r="H156" s="26"/>
      <c r="I156" s="26"/>
    </row>
    <row r="157" customFormat="false" ht="15" hidden="false" customHeight="false" outlineLevel="0" collapsed="false">
      <c r="A157" s="28"/>
      <c r="B157" s="26"/>
      <c r="C157" s="26"/>
      <c r="D157" s="32"/>
      <c r="E157" s="76"/>
      <c r="F157" s="41" t="str">
        <f aca="false">IF(D157="","",D157*E157)</f>
        <v/>
      </c>
      <c r="G157" s="32"/>
      <c r="H157" s="26"/>
      <c r="I157" s="26"/>
    </row>
    <row r="158" customFormat="false" ht="15" hidden="false" customHeight="false" outlineLevel="0" collapsed="false">
      <c r="A158" s="28"/>
      <c r="B158" s="26"/>
      <c r="C158" s="26"/>
      <c r="D158" s="32"/>
      <c r="E158" s="76"/>
      <c r="F158" s="41" t="str">
        <f aca="false">IF(D158="","",D158*E158)</f>
        <v/>
      </c>
      <c r="G158" s="32"/>
      <c r="H158" s="26"/>
      <c r="I158" s="26"/>
    </row>
    <row r="159" customFormat="false" ht="15" hidden="false" customHeight="false" outlineLevel="0" collapsed="false">
      <c r="A159" s="28"/>
      <c r="B159" s="26"/>
      <c r="C159" s="26"/>
      <c r="D159" s="32"/>
      <c r="E159" s="76"/>
      <c r="F159" s="41" t="str">
        <f aca="false">IF(D159="","",D159*E159)</f>
        <v/>
      </c>
      <c r="G159" s="32"/>
      <c r="H159" s="26"/>
      <c r="I159" s="26"/>
    </row>
    <row r="160" customFormat="false" ht="15" hidden="false" customHeight="false" outlineLevel="0" collapsed="false">
      <c r="A160" s="28"/>
      <c r="B160" s="26"/>
      <c r="C160" s="26"/>
      <c r="D160" s="32"/>
      <c r="E160" s="76"/>
      <c r="F160" s="41" t="str">
        <f aca="false">IF(D160="","",D160*E160)</f>
        <v/>
      </c>
      <c r="G160" s="32"/>
      <c r="H160" s="26"/>
      <c r="I160" s="26"/>
    </row>
    <row r="161" customFormat="false" ht="15" hidden="false" customHeight="false" outlineLevel="0" collapsed="false">
      <c r="A161" s="28"/>
      <c r="B161" s="26"/>
      <c r="C161" s="26"/>
      <c r="D161" s="32"/>
      <c r="E161" s="76"/>
      <c r="F161" s="41" t="str">
        <f aca="false">IF(D161="","",D161*E161)</f>
        <v/>
      </c>
      <c r="G161" s="32"/>
      <c r="H161" s="26"/>
      <c r="I161" s="26"/>
    </row>
    <row r="162" customFormat="false" ht="15" hidden="false" customHeight="false" outlineLevel="0" collapsed="false">
      <c r="A162" s="28"/>
      <c r="B162" s="26"/>
      <c r="C162" s="26"/>
      <c r="D162" s="32"/>
      <c r="E162" s="76"/>
      <c r="F162" s="41" t="str">
        <f aca="false">IF(D162="","",D162*E162)</f>
        <v/>
      </c>
      <c r="G162" s="32"/>
      <c r="H162" s="26"/>
      <c r="I162" s="26"/>
    </row>
    <row r="163" customFormat="false" ht="15" hidden="false" customHeight="false" outlineLevel="0" collapsed="false">
      <c r="A163" s="28"/>
      <c r="B163" s="26"/>
      <c r="C163" s="26"/>
      <c r="D163" s="32"/>
      <c r="E163" s="76"/>
      <c r="F163" s="41" t="str">
        <f aca="false">IF(D163="","",D163*E163)</f>
        <v/>
      </c>
      <c r="G163" s="32"/>
      <c r="H163" s="26"/>
      <c r="I163" s="26"/>
    </row>
    <row r="164" customFormat="false" ht="15" hidden="false" customHeight="false" outlineLevel="0" collapsed="false">
      <c r="A164" s="28"/>
      <c r="B164" s="26"/>
      <c r="C164" s="26"/>
      <c r="D164" s="32"/>
      <c r="E164" s="76"/>
      <c r="F164" s="41" t="str">
        <f aca="false">IF(D164="","",D164*E164)</f>
        <v/>
      </c>
      <c r="G164" s="32"/>
      <c r="H164" s="26"/>
      <c r="I164" s="26"/>
    </row>
    <row r="165" customFormat="false" ht="15" hidden="false" customHeight="false" outlineLevel="0" collapsed="false">
      <c r="A165" s="28"/>
      <c r="B165" s="26"/>
      <c r="C165" s="26"/>
      <c r="D165" s="32"/>
      <c r="E165" s="76"/>
      <c r="F165" s="41" t="str">
        <f aca="false">IF(D165="","",D165*E165)</f>
        <v/>
      </c>
      <c r="G165" s="32"/>
      <c r="H165" s="26"/>
      <c r="I165" s="26"/>
    </row>
    <row r="166" customFormat="false" ht="15" hidden="false" customHeight="false" outlineLevel="0" collapsed="false">
      <c r="A166" s="28"/>
      <c r="B166" s="26"/>
      <c r="C166" s="26"/>
      <c r="D166" s="32"/>
      <c r="E166" s="76"/>
      <c r="F166" s="41" t="str">
        <f aca="false">IF(D166="","",D166*E166)</f>
        <v/>
      </c>
      <c r="G166" s="32"/>
      <c r="H166" s="26"/>
      <c r="I166" s="26"/>
    </row>
    <row r="167" customFormat="false" ht="15" hidden="false" customHeight="false" outlineLevel="0" collapsed="false">
      <c r="A167" s="28"/>
      <c r="B167" s="26"/>
      <c r="C167" s="26"/>
      <c r="D167" s="32"/>
      <c r="E167" s="76"/>
      <c r="F167" s="41" t="str">
        <f aca="false">IF(D167="","",D167*E167)</f>
        <v/>
      </c>
      <c r="G167" s="32"/>
      <c r="H167" s="26"/>
      <c r="I167" s="26"/>
    </row>
    <row r="168" customFormat="false" ht="15" hidden="false" customHeight="false" outlineLevel="0" collapsed="false">
      <c r="A168" s="28"/>
      <c r="B168" s="26"/>
      <c r="C168" s="26"/>
      <c r="D168" s="32"/>
      <c r="E168" s="76"/>
      <c r="F168" s="41" t="str">
        <f aca="false">IF(D168="","",D168*E168)</f>
        <v/>
      </c>
      <c r="G168" s="32"/>
      <c r="H168" s="26"/>
      <c r="I168" s="26"/>
    </row>
    <row r="169" customFormat="false" ht="15" hidden="false" customHeight="false" outlineLevel="0" collapsed="false">
      <c r="A169" s="28"/>
      <c r="B169" s="26"/>
      <c r="C169" s="26"/>
      <c r="D169" s="32"/>
      <c r="E169" s="76"/>
      <c r="F169" s="41" t="str">
        <f aca="false">IF(D169="","",D169*E169)</f>
        <v/>
      </c>
      <c r="G169" s="32"/>
      <c r="H169" s="26"/>
      <c r="I169" s="26"/>
    </row>
    <row r="170" customFormat="false" ht="15" hidden="false" customHeight="false" outlineLevel="0" collapsed="false">
      <c r="A170" s="28"/>
      <c r="B170" s="26"/>
      <c r="C170" s="26"/>
      <c r="D170" s="32"/>
      <c r="E170" s="76"/>
      <c r="F170" s="41" t="str">
        <f aca="false">IF(D170="","",D170*E170)</f>
        <v/>
      </c>
      <c r="G170" s="32"/>
      <c r="H170" s="26"/>
      <c r="I170" s="26"/>
    </row>
    <row r="171" customFormat="false" ht="15" hidden="false" customHeight="false" outlineLevel="0" collapsed="false">
      <c r="A171" s="28"/>
      <c r="B171" s="26"/>
      <c r="C171" s="26"/>
      <c r="D171" s="32"/>
      <c r="E171" s="76"/>
      <c r="F171" s="41" t="str">
        <f aca="false">IF(D171="","",D171*E171)</f>
        <v/>
      </c>
      <c r="G171" s="32"/>
      <c r="H171" s="26"/>
      <c r="I171" s="26"/>
    </row>
    <row r="172" customFormat="false" ht="15" hidden="false" customHeight="false" outlineLevel="0" collapsed="false">
      <c r="A172" s="28"/>
      <c r="B172" s="26"/>
      <c r="C172" s="26"/>
      <c r="D172" s="32"/>
      <c r="E172" s="76"/>
      <c r="F172" s="41" t="str">
        <f aca="false">IF(D172="","",D172*E172)</f>
        <v/>
      </c>
      <c r="G172" s="32"/>
      <c r="H172" s="26"/>
      <c r="I172" s="26"/>
    </row>
    <row r="173" customFormat="false" ht="15" hidden="false" customHeight="false" outlineLevel="0" collapsed="false">
      <c r="A173" s="28"/>
      <c r="B173" s="26"/>
      <c r="C173" s="26"/>
      <c r="D173" s="32"/>
      <c r="E173" s="76"/>
      <c r="F173" s="41" t="str">
        <f aca="false">IF(D173="","",D173*E173)</f>
        <v/>
      </c>
      <c r="G173" s="32"/>
      <c r="H173" s="26"/>
      <c r="I173" s="26"/>
    </row>
    <row r="174" customFormat="false" ht="15" hidden="false" customHeight="false" outlineLevel="0" collapsed="false">
      <c r="A174" s="28"/>
      <c r="B174" s="26"/>
      <c r="C174" s="26"/>
      <c r="D174" s="32"/>
      <c r="E174" s="76"/>
      <c r="F174" s="41" t="str">
        <f aca="false">IF(D174="","",D174*E174)</f>
        <v/>
      </c>
      <c r="G174" s="32"/>
      <c r="H174" s="26"/>
      <c r="I174" s="26"/>
    </row>
    <row r="175" customFormat="false" ht="15" hidden="false" customHeight="false" outlineLevel="0" collapsed="false">
      <c r="A175" s="28"/>
      <c r="B175" s="26"/>
      <c r="C175" s="26"/>
      <c r="D175" s="32"/>
      <c r="E175" s="76"/>
      <c r="F175" s="41" t="str">
        <f aca="false">IF(D175="","",D175*E175)</f>
        <v/>
      </c>
      <c r="G175" s="32"/>
      <c r="H175" s="26"/>
      <c r="I175" s="26"/>
    </row>
    <row r="176" customFormat="false" ht="15" hidden="false" customHeight="false" outlineLevel="0" collapsed="false">
      <c r="A176" s="28"/>
      <c r="B176" s="26"/>
      <c r="C176" s="26"/>
      <c r="D176" s="32"/>
      <c r="E176" s="76"/>
      <c r="F176" s="41" t="str">
        <f aca="false">IF(D176="","",D176*E176)</f>
        <v/>
      </c>
      <c r="G176" s="32"/>
      <c r="H176" s="26"/>
      <c r="I176" s="26"/>
    </row>
    <row r="177" customFormat="false" ht="15" hidden="false" customHeight="false" outlineLevel="0" collapsed="false">
      <c r="A177" s="28"/>
      <c r="B177" s="26"/>
      <c r="C177" s="26"/>
      <c r="D177" s="32"/>
      <c r="E177" s="76"/>
      <c r="F177" s="41" t="str">
        <f aca="false">IF(D177="","",D177*E177)</f>
        <v/>
      </c>
      <c r="G177" s="32"/>
      <c r="H177" s="26"/>
      <c r="I177" s="26"/>
    </row>
    <row r="178" customFormat="false" ht="15" hidden="false" customHeight="false" outlineLevel="0" collapsed="false">
      <c r="A178" s="28"/>
      <c r="B178" s="26"/>
      <c r="C178" s="26"/>
      <c r="D178" s="32"/>
      <c r="E178" s="76"/>
      <c r="F178" s="41" t="str">
        <f aca="false">IF(D178="","",D178*E178)</f>
        <v/>
      </c>
      <c r="G178" s="32"/>
      <c r="H178" s="26"/>
      <c r="I178" s="26"/>
    </row>
    <row r="179" customFormat="false" ht="15" hidden="false" customHeight="false" outlineLevel="0" collapsed="false">
      <c r="A179" s="28"/>
      <c r="B179" s="26"/>
      <c r="C179" s="26"/>
      <c r="D179" s="32"/>
      <c r="E179" s="76"/>
      <c r="F179" s="41" t="str">
        <f aca="false">IF(D179="","",D179*E179)</f>
        <v/>
      </c>
      <c r="G179" s="32"/>
      <c r="H179" s="26"/>
      <c r="I179" s="26"/>
    </row>
    <row r="180" customFormat="false" ht="15" hidden="false" customHeight="false" outlineLevel="0" collapsed="false">
      <c r="A180" s="28"/>
      <c r="B180" s="26"/>
      <c r="C180" s="26"/>
      <c r="D180" s="32"/>
      <c r="E180" s="76"/>
      <c r="F180" s="41" t="str">
        <f aca="false">IF(D180="","",D180*E180)</f>
        <v/>
      </c>
      <c r="G180" s="32"/>
      <c r="H180" s="26"/>
      <c r="I180" s="26"/>
    </row>
    <row r="181" customFormat="false" ht="15" hidden="false" customHeight="false" outlineLevel="0" collapsed="false">
      <c r="A181" s="28"/>
      <c r="B181" s="26"/>
      <c r="C181" s="26"/>
      <c r="D181" s="32"/>
      <c r="E181" s="76"/>
      <c r="F181" s="41" t="str">
        <f aca="false">IF(D181="","",D181*E181)</f>
        <v/>
      </c>
      <c r="G181" s="32"/>
      <c r="H181" s="26"/>
      <c r="I181" s="26"/>
    </row>
    <row r="182" customFormat="false" ht="15" hidden="false" customHeight="false" outlineLevel="0" collapsed="false">
      <c r="A182" s="28"/>
      <c r="B182" s="26"/>
      <c r="C182" s="26"/>
      <c r="D182" s="32"/>
      <c r="E182" s="76"/>
      <c r="F182" s="41" t="str">
        <f aca="false">IF(D182="","",D182*E182)</f>
        <v/>
      </c>
      <c r="G182" s="32"/>
      <c r="H182" s="26"/>
      <c r="I182" s="26"/>
    </row>
    <row r="183" customFormat="false" ht="15" hidden="false" customHeight="false" outlineLevel="0" collapsed="false">
      <c r="A183" s="28"/>
      <c r="B183" s="26"/>
      <c r="C183" s="26"/>
      <c r="D183" s="32"/>
      <c r="E183" s="76"/>
      <c r="F183" s="41" t="str">
        <f aca="false">IF(D183="","",D183*E183)</f>
        <v/>
      </c>
      <c r="G183" s="32"/>
      <c r="H183" s="26"/>
      <c r="I183" s="26"/>
    </row>
    <row r="184" customFormat="false" ht="15" hidden="false" customHeight="false" outlineLevel="0" collapsed="false">
      <c r="A184" s="28"/>
      <c r="B184" s="26"/>
      <c r="C184" s="26"/>
      <c r="D184" s="32"/>
      <c r="E184" s="76"/>
      <c r="F184" s="41" t="str">
        <f aca="false">IF(D184="","",D184*E184)</f>
        <v/>
      </c>
      <c r="G184" s="32"/>
      <c r="H184" s="26"/>
      <c r="I184" s="26"/>
    </row>
    <row r="185" customFormat="false" ht="15" hidden="false" customHeight="false" outlineLevel="0" collapsed="false">
      <c r="A185" s="28"/>
      <c r="B185" s="26"/>
      <c r="C185" s="26"/>
      <c r="D185" s="32"/>
      <c r="E185" s="76"/>
      <c r="F185" s="41" t="str">
        <f aca="false">IF(D185="","",D185*E185)</f>
        <v/>
      </c>
      <c r="G185" s="32"/>
      <c r="H185" s="26"/>
      <c r="I185" s="26"/>
    </row>
    <row r="186" customFormat="false" ht="15" hidden="false" customHeight="false" outlineLevel="0" collapsed="false">
      <c r="A186" s="28"/>
      <c r="B186" s="26"/>
      <c r="C186" s="26"/>
      <c r="D186" s="32"/>
      <c r="E186" s="76"/>
      <c r="F186" s="41" t="str">
        <f aca="false">IF(D186="","",D186*E186)</f>
        <v/>
      </c>
      <c r="G186" s="32"/>
      <c r="H186" s="26"/>
      <c r="I186" s="26"/>
    </row>
    <row r="187" customFormat="false" ht="15" hidden="false" customHeight="false" outlineLevel="0" collapsed="false">
      <c r="A187" s="28"/>
      <c r="B187" s="26"/>
      <c r="C187" s="26"/>
      <c r="D187" s="32"/>
      <c r="E187" s="76"/>
      <c r="F187" s="41" t="str">
        <f aca="false">IF(D187="","",D187*E187)</f>
        <v/>
      </c>
      <c r="G187" s="32"/>
      <c r="H187" s="26"/>
      <c r="I187" s="26"/>
    </row>
    <row r="188" customFormat="false" ht="15" hidden="false" customHeight="false" outlineLevel="0" collapsed="false">
      <c r="A188" s="28"/>
      <c r="B188" s="26"/>
      <c r="C188" s="26"/>
      <c r="D188" s="32"/>
      <c r="E188" s="76"/>
      <c r="F188" s="41" t="str">
        <f aca="false">IF(D188="","",D188*E188)</f>
        <v/>
      </c>
      <c r="G188" s="32"/>
      <c r="H188" s="26"/>
      <c r="I188" s="26"/>
    </row>
    <row r="189" customFormat="false" ht="15" hidden="false" customHeight="false" outlineLevel="0" collapsed="false">
      <c r="A189" s="28"/>
      <c r="B189" s="26"/>
      <c r="C189" s="26"/>
      <c r="D189" s="32"/>
      <c r="E189" s="76"/>
      <c r="F189" s="41" t="str">
        <f aca="false">IF(D189="","",D189*E189)</f>
        <v/>
      </c>
      <c r="G189" s="32"/>
      <c r="H189" s="26"/>
      <c r="I189" s="26"/>
    </row>
    <row r="190" customFormat="false" ht="15" hidden="false" customHeight="false" outlineLevel="0" collapsed="false">
      <c r="A190" s="28"/>
      <c r="B190" s="26"/>
      <c r="C190" s="26"/>
      <c r="D190" s="32"/>
      <c r="E190" s="76"/>
      <c r="F190" s="41" t="str">
        <f aca="false">IF(D190="","",D190*E190)</f>
        <v/>
      </c>
      <c r="G190" s="32"/>
      <c r="H190" s="26"/>
      <c r="I190" s="26"/>
    </row>
    <row r="191" customFormat="false" ht="15" hidden="false" customHeight="false" outlineLevel="0" collapsed="false">
      <c r="A191" s="28"/>
      <c r="B191" s="26"/>
      <c r="C191" s="26"/>
      <c r="D191" s="32"/>
      <c r="E191" s="76"/>
      <c r="F191" s="41" t="str">
        <f aca="false">IF(D191="","",D191*E191)</f>
        <v/>
      </c>
      <c r="G191" s="32"/>
      <c r="H191" s="26"/>
      <c r="I191" s="26"/>
    </row>
    <row r="192" customFormat="false" ht="15" hidden="false" customHeight="false" outlineLevel="0" collapsed="false">
      <c r="A192" s="28"/>
      <c r="B192" s="26"/>
      <c r="C192" s="26"/>
      <c r="D192" s="32"/>
      <c r="E192" s="76"/>
      <c r="F192" s="41" t="str">
        <f aca="false">IF(D192="","",D192*E192)</f>
        <v/>
      </c>
      <c r="G192" s="32"/>
      <c r="H192" s="26"/>
      <c r="I192" s="26"/>
    </row>
    <row r="193" customFormat="false" ht="15" hidden="false" customHeight="false" outlineLevel="0" collapsed="false">
      <c r="A193" s="28"/>
      <c r="B193" s="26"/>
      <c r="C193" s="26"/>
      <c r="D193" s="32"/>
      <c r="E193" s="76"/>
      <c r="F193" s="41" t="str">
        <f aca="false">IF(D193="","",D193*E193)</f>
        <v/>
      </c>
      <c r="G193" s="32"/>
      <c r="H193" s="26"/>
      <c r="I193" s="26"/>
    </row>
    <row r="194" customFormat="false" ht="15" hidden="false" customHeight="false" outlineLevel="0" collapsed="false">
      <c r="A194" s="28"/>
      <c r="B194" s="26"/>
      <c r="C194" s="26"/>
      <c r="D194" s="32"/>
      <c r="E194" s="76"/>
      <c r="F194" s="41" t="str">
        <f aca="false">IF(D194="","",D194*E194)</f>
        <v/>
      </c>
      <c r="G194" s="32"/>
      <c r="H194" s="26"/>
      <c r="I194" s="26"/>
    </row>
    <row r="195" customFormat="false" ht="15" hidden="false" customHeight="false" outlineLevel="0" collapsed="false">
      <c r="A195" s="28"/>
      <c r="B195" s="26"/>
      <c r="C195" s="26"/>
      <c r="D195" s="32"/>
      <c r="E195" s="76"/>
      <c r="F195" s="41" t="str">
        <f aca="false">IF(D195="","",D195*E195)</f>
        <v/>
      </c>
      <c r="G195" s="32"/>
      <c r="H195" s="26"/>
      <c r="I195" s="26"/>
    </row>
    <row r="196" customFormat="false" ht="15" hidden="false" customHeight="false" outlineLevel="0" collapsed="false">
      <c r="A196" s="28"/>
      <c r="B196" s="26"/>
      <c r="C196" s="26"/>
      <c r="D196" s="32"/>
      <c r="E196" s="76"/>
      <c r="F196" s="41" t="str">
        <f aca="false">IF(D196="","",D196*E196)</f>
        <v/>
      </c>
      <c r="G196" s="32"/>
      <c r="H196" s="26"/>
      <c r="I196" s="26"/>
    </row>
    <row r="197" customFormat="false" ht="15" hidden="false" customHeight="false" outlineLevel="0" collapsed="false">
      <c r="A197" s="28"/>
      <c r="B197" s="26"/>
      <c r="C197" s="26"/>
      <c r="D197" s="32"/>
      <c r="E197" s="76"/>
      <c r="F197" s="41" t="str">
        <f aca="false">IF(D197="","",D197*E197)</f>
        <v/>
      </c>
      <c r="G197" s="32"/>
      <c r="H197" s="26"/>
      <c r="I197" s="26"/>
    </row>
    <row r="198" customFormat="false" ht="15" hidden="false" customHeight="false" outlineLevel="0" collapsed="false">
      <c r="A198" s="28"/>
      <c r="B198" s="26"/>
      <c r="C198" s="26"/>
      <c r="D198" s="32"/>
      <c r="E198" s="76"/>
      <c r="F198" s="41" t="str">
        <f aca="false">IF(D198="","",D198*E198)</f>
        <v/>
      </c>
      <c r="G198" s="32"/>
      <c r="H198" s="26"/>
      <c r="I198" s="26"/>
    </row>
    <row r="199" customFormat="false" ht="15" hidden="false" customHeight="false" outlineLevel="0" collapsed="false">
      <c r="A199" s="28"/>
      <c r="B199" s="26"/>
      <c r="C199" s="26"/>
      <c r="D199" s="32"/>
      <c r="E199" s="76"/>
      <c r="F199" s="41" t="str">
        <f aca="false">IF(D199="","",D199*E199)</f>
        <v/>
      </c>
      <c r="G199" s="32"/>
      <c r="H199" s="26"/>
      <c r="I199" s="26"/>
    </row>
    <row r="200" customFormat="false" ht="15" hidden="false" customHeight="false" outlineLevel="0" collapsed="false">
      <c r="A200" s="28"/>
      <c r="B200" s="26"/>
      <c r="C200" s="26"/>
      <c r="D200" s="32"/>
      <c r="E200" s="76"/>
      <c r="F200" s="41" t="str">
        <f aca="false">IF(D200="","",D200*E200)</f>
        <v/>
      </c>
      <c r="G200" s="32"/>
      <c r="H200" s="26"/>
      <c r="I200" s="26"/>
    </row>
    <row r="201" customFormat="false" ht="15" hidden="false" customHeight="false" outlineLevel="0" collapsed="false">
      <c r="A201" s="28"/>
      <c r="B201" s="26"/>
      <c r="C201" s="26"/>
      <c r="D201" s="32"/>
      <c r="E201" s="76"/>
      <c r="F201" s="41" t="str">
        <f aca="false">IF(D201="","",D201*E201)</f>
        <v/>
      </c>
      <c r="G201" s="32"/>
      <c r="H201" s="26"/>
      <c r="I201" s="26"/>
    </row>
    <row r="202" customFormat="false" ht="15" hidden="false" customHeight="false" outlineLevel="0" collapsed="false">
      <c r="A202" s="28"/>
      <c r="B202" s="26"/>
      <c r="C202" s="26"/>
      <c r="D202" s="32"/>
      <c r="E202" s="76"/>
      <c r="F202" s="41" t="str">
        <f aca="false">IF(D202="","",D202*E202)</f>
        <v/>
      </c>
      <c r="G202" s="32"/>
      <c r="H202" s="26"/>
      <c r="I202" s="26"/>
    </row>
    <row r="204" customFormat="false" ht="15" hidden="false" customHeight="false" outlineLevel="0" collapsed="false">
      <c r="A204" s="3" t="s">
        <v>217</v>
      </c>
      <c r="E204" s="77" t="str">
        <f aca="false">IFERROR(AVERAGE(E3:E202),"")</f>
        <v/>
      </c>
    </row>
    <row r="205" customFormat="false" ht="15" hidden="false" customHeight="false" outlineLevel="0" collapsed="false">
      <c r="A205" s="3" t="s">
        <v>218</v>
      </c>
      <c r="D205" s="42" t="n">
        <f aca="false">SUM(D3:D202)</f>
        <v>0</v>
      </c>
    </row>
    <row r="206" customFormat="false" ht="15" hidden="false" customHeight="false" outlineLevel="0" collapsed="false">
      <c r="A206" s="3" t="s">
        <v>219</v>
      </c>
      <c r="G206" s="42" t="n">
        <f aca="false">SUM(G3:G202)</f>
        <v>0</v>
      </c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B3:B202" type="list">
      <formula1>"GBP,INR"</formula1>
      <formula2>0</formula2>
    </dataValidation>
    <dataValidation allowBlank="true" errorStyle="stop" operator="between" showDropDown="false" showErrorMessage="false" showInputMessage="false" sqref="C3:C202" type="list">
      <formula1>"GBP,INR"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2026-04-07T11:53:15Z</dcterms:created>
  <dc:creator>openpyxl</dc:creator>
  <dc:description/>
  <dc:language>en-US</dc:language>
  <cp:lastModifiedBy/>
  <dcterms:modified xsi:type="dcterms:W3CDTF">2026-04-07T11:53:27Z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